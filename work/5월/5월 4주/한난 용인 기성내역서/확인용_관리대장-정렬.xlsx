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C_1M\Desktop\seohabucks\work\5월\5월 4주\한난 용인 기성내역서\"/>
    </mc:Choice>
  </mc:AlternateContent>
  <xr:revisionPtr revIDLastSave="0" documentId="8_{537D2B17-C746-4146-89A2-88D0ACDBE6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리대장(2025년)" sheetId="10" r:id="rId1"/>
  </sheets>
  <definedNames>
    <definedName name="_xlnm._FilterDatabase" localSheetId="0" hidden="1">'관리대장(2025년)'!$A$8:$AL$43</definedName>
    <definedName name="_xlnm.Print_Area" localSheetId="0">'관리대장(2025년)'!$A$1:$AF$65</definedName>
    <definedName name="_xlnm.Print_Titles" localSheetId="0">'관리대장(2025년)'!$1:$6</definedName>
    <definedName name="계약여부" localSheetId="0">'관리대장(2025년)'!#REF!</definedName>
    <definedName name="계약여부">#REF!</definedName>
    <definedName name="공사형태" localSheetId="0">'관리대장(2025년)'!#REF!</definedName>
    <definedName name="공사형태">#REF!</definedName>
    <definedName name="설치여부" localSheetId="0">'관리대장(2025년)'!#REF!</definedName>
    <definedName name="설치여부">#REF!</definedName>
    <definedName name="주야" localSheetId="0">'관리대장(2025년)'!#REF!</definedName>
    <definedName name="주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10" l="1" a="1"/>
  <c r="F45" i="10" s="1"/>
  <c r="Z36" i="10" l="1"/>
  <c r="Z32" i="10"/>
  <c r="Z34" i="10"/>
  <c r="Z37" i="10"/>
  <c r="Z31" i="10"/>
  <c r="Z14" i="10"/>
  <c r="Z33" i="10"/>
  <c r="Z40" i="10"/>
  <c r="Z43" i="10"/>
  <c r="Z39" i="10"/>
  <c r="Z38" i="10"/>
  <c r="Z24" i="10"/>
  <c r="Z23" i="10"/>
  <c r="Z22" i="10"/>
  <c r="Z28" i="10"/>
  <c r="Z30" i="10"/>
  <c r="Z26" i="10"/>
  <c r="Z25" i="10"/>
  <c r="Z13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<sst xmlns="http://schemas.openxmlformats.org/spreadsheetml/2006/main" count="619" uniqueCount="248">
  <si>
    <t>No.</t>
    <phoneticPr fontId="1" type="noConversion"/>
  </si>
  <si>
    <t>지사</t>
    <phoneticPr fontId="1" type="noConversion"/>
  </si>
  <si>
    <t>시행일</t>
    <phoneticPr fontId="1" type="noConversion"/>
  </si>
  <si>
    <t>위치</t>
    <phoneticPr fontId="1" type="noConversion"/>
  </si>
  <si>
    <t>계약상대자</t>
    <phoneticPr fontId="1" type="noConversion"/>
  </si>
  <si>
    <t>관경</t>
    <phoneticPr fontId="1" type="noConversion"/>
  </si>
  <si>
    <t>계약명</t>
    <phoneticPr fontId="1" type="noConversion"/>
  </si>
  <si>
    <t>열수송관공사</t>
    <phoneticPr fontId="1" type="noConversion"/>
  </si>
  <si>
    <t>권역</t>
    <phoneticPr fontId="1" type="noConversion"/>
  </si>
  <si>
    <t>주야</t>
    <phoneticPr fontId="1" type="noConversion"/>
  </si>
  <si>
    <t>By-Pass</t>
    <phoneticPr fontId="1" type="noConversion"/>
  </si>
  <si>
    <t>설치여부</t>
    <phoneticPr fontId="1" type="noConversion"/>
  </si>
  <si>
    <t>사유</t>
    <phoneticPr fontId="1" type="noConversion"/>
  </si>
  <si>
    <t>공사형태</t>
    <phoneticPr fontId="1" type="noConversion"/>
  </si>
  <si>
    <t>천공
수량</t>
    <phoneticPr fontId="1" type="noConversion"/>
  </si>
  <si>
    <t>계약
수량</t>
    <phoneticPr fontId="1" type="noConversion"/>
  </si>
  <si>
    <t>예산
계정</t>
    <phoneticPr fontId="1" type="noConversion"/>
  </si>
  <si>
    <t>활관천공
시행사</t>
    <phoneticPr fontId="1" type="noConversion"/>
  </si>
  <si>
    <t>계약
반영</t>
    <phoneticPr fontId="1" type="noConversion"/>
  </si>
  <si>
    <t>점용구간</t>
    <phoneticPr fontId="1" type="noConversion"/>
  </si>
  <si>
    <t>활동
구간</t>
    <phoneticPr fontId="1" type="noConversion"/>
  </si>
  <si>
    <t>되메
우기</t>
    <phoneticPr fontId="1" type="noConversion"/>
  </si>
  <si>
    <t>기존관
매설
연도</t>
    <phoneticPr fontId="1" type="noConversion"/>
  </si>
  <si>
    <t>매설깊이</t>
    <phoneticPr fontId="1" type="noConversion"/>
  </si>
  <si>
    <t>도면</t>
    <phoneticPr fontId="1" type="noConversion"/>
  </si>
  <si>
    <t>실제</t>
    <phoneticPr fontId="1" type="noConversion"/>
  </si>
  <si>
    <t>길이</t>
    <phoneticPr fontId="1" type="noConversion"/>
  </si>
  <si>
    <t>비고
(특이사항)</t>
    <phoneticPr fontId="1" type="noConversion"/>
  </si>
  <si>
    <t>상세</t>
    <phoneticPr fontId="1" type="noConversion"/>
  </si>
  <si>
    <t>지번</t>
    <phoneticPr fontId="1" type="noConversion"/>
  </si>
  <si>
    <t>천공
차단
No.</t>
    <phoneticPr fontId="1" type="noConversion"/>
  </si>
  <si>
    <t>계약자 : ㈜대호스토퍼</t>
    <phoneticPr fontId="1" type="noConversion"/>
  </si>
  <si>
    <t>시공결과
보고서</t>
    <phoneticPr fontId="1" type="noConversion"/>
  </si>
  <si>
    <t>시공계획
지시서</t>
    <phoneticPr fontId="1" type="noConversion"/>
  </si>
  <si>
    <t>기성청구</t>
    <phoneticPr fontId="1" type="noConversion"/>
  </si>
  <si>
    <t>㈜대호스토퍼</t>
    <phoneticPr fontId="1" type="noConversion"/>
  </si>
  <si>
    <t>주간</t>
    <phoneticPr fontId="1" type="noConversion"/>
  </si>
  <si>
    <t>모래</t>
    <phoneticPr fontId="1" type="noConversion"/>
  </si>
  <si>
    <t>미반영</t>
    <phoneticPr fontId="1" type="noConversion"/>
  </si>
  <si>
    <t>-</t>
    <phoneticPr fontId="1" type="noConversion"/>
  </si>
  <si>
    <t>반영</t>
    <phoneticPr fontId="1" type="noConversion"/>
  </si>
  <si>
    <t>설치</t>
    <phoneticPr fontId="1" type="noConversion"/>
  </si>
  <si>
    <t>O</t>
    <phoneticPr fontId="1" type="noConversion"/>
  </si>
  <si>
    <t>모래</t>
  </si>
  <si>
    <t>유지보수</t>
    <phoneticPr fontId="1" type="noConversion"/>
  </si>
  <si>
    <t>80A</t>
    <phoneticPr fontId="1" type="noConversion"/>
  </si>
  <si>
    <t>보도</t>
    <phoneticPr fontId="1" type="noConversion"/>
  </si>
  <si>
    <t>미반영</t>
    <phoneticPr fontId="1" type="noConversion"/>
  </si>
  <si>
    <t>주간</t>
    <phoneticPr fontId="1" type="noConversion"/>
  </si>
  <si>
    <t>건가</t>
    <phoneticPr fontId="1" type="noConversion"/>
  </si>
  <si>
    <t>모래</t>
    <phoneticPr fontId="1" type="noConversion"/>
  </si>
  <si>
    <t>O</t>
    <phoneticPr fontId="1" type="noConversion"/>
  </si>
  <si>
    <t>주  소</t>
    <phoneticPr fontId="1" type="noConversion"/>
  </si>
  <si>
    <t>활동</t>
  </si>
  <si>
    <t>중립</t>
  </si>
  <si>
    <t>건가</t>
  </si>
  <si>
    <t>공사명 : 2025년 열수송관 천공 및 차단공사(1권역)</t>
    <phoneticPr fontId="1" type="noConversion"/>
  </si>
  <si>
    <t>천공 및 차단공사 관리대장(1권역)</t>
    <phoneticPr fontId="1" type="noConversion"/>
  </si>
  <si>
    <t>분당</t>
    <phoneticPr fontId="1" type="noConversion"/>
  </si>
  <si>
    <t>2025.12.18~2025.12.23</t>
    <phoneticPr fontId="1" type="noConversion"/>
  </si>
  <si>
    <t>분당구 이매동 129-2</t>
    <phoneticPr fontId="1" type="noConversion"/>
  </si>
  <si>
    <t>㈜한은이엔씨</t>
    <phoneticPr fontId="1" type="noConversion"/>
  </si>
  <si>
    <t>기   간 : 2025.12.16. ~ 2027.03.10.</t>
    <phoneticPr fontId="1" type="noConversion"/>
  </si>
  <si>
    <t>분당구 구미동 115</t>
    <phoneticPr fontId="1" type="noConversion"/>
  </si>
  <si>
    <t>2026.01.07~2026.01.08</t>
    <phoneticPr fontId="1" type="noConversion"/>
  </si>
  <si>
    <t>미설치</t>
    <phoneticPr fontId="1" type="noConversion"/>
  </si>
  <si>
    <t>모래</t>
    <phoneticPr fontId="1" type="noConversion"/>
  </si>
  <si>
    <t>-</t>
    <phoneticPr fontId="1" type="noConversion"/>
  </si>
  <si>
    <t>건가</t>
    <phoneticPr fontId="1" type="noConversion"/>
  </si>
  <si>
    <t>개선</t>
    <phoneticPr fontId="1" type="noConversion"/>
  </si>
  <si>
    <t>분당구 구미동 95-1</t>
    <phoneticPr fontId="1" type="noConversion"/>
  </si>
  <si>
    <t>2026.01.13~2026.01.16</t>
    <phoneticPr fontId="1" type="noConversion"/>
  </si>
  <si>
    <t>하천</t>
    <phoneticPr fontId="1" type="noConversion"/>
  </si>
  <si>
    <t>주간</t>
    <phoneticPr fontId="1" type="noConversion"/>
  </si>
  <si>
    <t>분당</t>
    <phoneticPr fontId="1" type="noConversion"/>
  </si>
  <si>
    <t>미반영</t>
    <phoneticPr fontId="1" type="noConversion"/>
  </si>
  <si>
    <t>분당구 수내로 201</t>
    <phoneticPr fontId="1" type="noConversion"/>
  </si>
  <si>
    <t>단지</t>
    <phoneticPr fontId="1" type="noConversion"/>
  </si>
  <si>
    <t>2026.01.21~2026.01.26</t>
    <phoneticPr fontId="1" type="noConversion"/>
  </si>
  <si>
    <t>설치</t>
    <phoneticPr fontId="1" type="noConversion"/>
  </si>
  <si>
    <t>활동</t>
    <phoneticPr fontId="1" type="noConversion"/>
  </si>
  <si>
    <t>용인</t>
    <phoneticPr fontId="1" type="noConversion"/>
  </si>
  <si>
    <t>2024년 분당사업소 열수송시설 유지보수공사</t>
    <phoneticPr fontId="1" type="noConversion"/>
  </si>
  <si>
    <t>2023년 분당사업소 열수송관 추가 및 개선공사</t>
    <phoneticPr fontId="1" type="noConversion"/>
  </si>
  <si>
    <t>분당구 예원로 11</t>
    <phoneticPr fontId="1" type="noConversion"/>
  </si>
  <si>
    <t>2026.01.26~2026.01.27</t>
    <phoneticPr fontId="1" type="noConversion"/>
  </si>
  <si>
    <t>도로</t>
    <phoneticPr fontId="1" type="noConversion"/>
  </si>
  <si>
    <t>분당</t>
    <phoneticPr fontId="1" type="noConversion"/>
  </si>
  <si>
    <t>150A</t>
    <phoneticPr fontId="1" type="noConversion"/>
  </si>
  <si>
    <t>125A</t>
    <phoneticPr fontId="1" type="noConversion"/>
  </si>
  <si>
    <t>100A</t>
    <phoneticPr fontId="1" type="noConversion"/>
  </si>
  <si>
    <t>600A</t>
    <phoneticPr fontId="1" type="noConversion"/>
  </si>
  <si>
    <t>판교</t>
    <phoneticPr fontId="1" type="noConversion"/>
  </si>
  <si>
    <t>450A</t>
    <phoneticPr fontId="1" type="noConversion"/>
  </si>
  <si>
    <t>분당</t>
    <phoneticPr fontId="1" type="noConversion"/>
  </si>
  <si>
    <t>분당구 분당동 50</t>
    <phoneticPr fontId="1" type="noConversion"/>
  </si>
  <si>
    <t>2026.02.13~2026.02.25</t>
    <phoneticPr fontId="1" type="noConversion"/>
  </si>
  <si>
    <t>녹지</t>
  </si>
  <si>
    <t>주간</t>
  </si>
  <si>
    <t>설치</t>
    <phoneticPr fontId="1" type="noConversion"/>
  </si>
  <si>
    <t>100A</t>
    <phoneticPr fontId="1" type="noConversion"/>
  </si>
  <si>
    <t>분당구 이매동 127-8</t>
    <phoneticPr fontId="1" type="noConversion"/>
  </si>
  <si>
    <t>2026.02.23~2026.03.01</t>
    <phoneticPr fontId="1" type="noConversion"/>
  </si>
  <si>
    <t>분당구 정자동 183-1</t>
    <phoneticPr fontId="1" type="noConversion"/>
  </si>
  <si>
    <t>하천</t>
  </si>
  <si>
    <t>토사</t>
  </si>
  <si>
    <t>한국지역난방공사 판교지사</t>
    <phoneticPr fontId="1" type="noConversion"/>
  </si>
  <si>
    <t>2026.02.24~2026.03.05</t>
    <phoneticPr fontId="1" type="noConversion"/>
  </si>
  <si>
    <t>분당구 백현동 518</t>
    <phoneticPr fontId="1" type="noConversion"/>
  </si>
  <si>
    <t>주간</t>
    <phoneticPr fontId="1" type="noConversion"/>
  </si>
  <si>
    <t>미설치</t>
    <phoneticPr fontId="1" type="noConversion"/>
  </si>
  <si>
    <t>-</t>
    <phoneticPr fontId="1" type="noConversion"/>
  </si>
  <si>
    <t>2026.02.26~2026.03.04</t>
    <phoneticPr fontId="1" type="noConversion"/>
  </si>
  <si>
    <t>O</t>
    <phoneticPr fontId="1" type="noConversion"/>
  </si>
  <si>
    <t>주간</t>
    <phoneticPr fontId="1" type="noConversion"/>
  </si>
  <si>
    <t>개선</t>
    <phoneticPr fontId="1" type="noConversion"/>
  </si>
  <si>
    <t>수지-수원연계 지역난방 열배관공사</t>
    <phoneticPr fontId="1" type="noConversion"/>
  </si>
  <si>
    <t>건가</t>
    <phoneticPr fontId="1" type="noConversion"/>
  </si>
  <si>
    <t>설치</t>
    <phoneticPr fontId="1" type="noConversion"/>
  </si>
  <si>
    <t>모래</t>
    <phoneticPr fontId="1" type="noConversion"/>
  </si>
  <si>
    <t>중립</t>
    <phoneticPr fontId="1" type="noConversion"/>
  </si>
  <si>
    <t>반영</t>
    <phoneticPr fontId="1" type="noConversion"/>
  </si>
  <si>
    <t>광진</t>
    <phoneticPr fontId="1" type="noConversion"/>
  </si>
  <si>
    <t>용인</t>
    <phoneticPr fontId="1" type="noConversion"/>
  </si>
  <si>
    <t>하천</t>
    <phoneticPr fontId="1" type="noConversion"/>
  </si>
  <si>
    <t>주간</t>
    <phoneticPr fontId="1" type="noConversion"/>
  </si>
  <si>
    <t>개선</t>
    <phoneticPr fontId="1" type="noConversion"/>
  </si>
  <si>
    <t>건가</t>
    <phoneticPr fontId="1" type="noConversion"/>
  </si>
  <si>
    <t>설치</t>
    <phoneticPr fontId="1" type="noConversion"/>
  </si>
  <si>
    <t>모래</t>
    <phoneticPr fontId="1" type="noConversion"/>
  </si>
  <si>
    <t>2025년 열수송관 천공 및 차단공사</t>
    <phoneticPr fontId="1" type="noConversion"/>
  </si>
  <si>
    <t>200A</t>
    <phoneticPr fontId="1" type="noConversion"/>
  </si>
  <si>
    <t>지성엔지니어링</t>
    <phoneticPr fontId="1" type="noConversion"/>
  </si>
  <si>
    <t>기타</t>
  </si>
  <si>
    <t>도로</t>
  </si>
  <si>
    <t>2024년 용인지사 열수송시설 유지보수공사</t>
    <phoneticPr fontId="1" type="noConversion"/>
  </si>
  <si>
    <t>수선유지비</t>
    <phoneticPr fontId="1" type="noConversion"/>
  </si>
  <si>
    <t>설치</t>
    <phoneticPr fontId="1" type="noConversion"/>
  </si>
  <si>
    <t>미반영</t>
  </si>
  <si>
    <t>분당구 정자동 29</t>
    <phoneticPr fontId="1" type="noConversion"/>
  </si>
  <si>
    <t>2026.03.28~2026.04.03</t>
    <phoneticPr fontId="1" type="noConversion"/>
  </si>
  <si>
    <t>녹지</t>
    <phoneticPr fontId="1" type="noConversion"/>
  </si>
  <si>
    <t>삼송</t>
    <phoneticPr fontId="1" type="noConversion"/>
  </si>
  <si>
    <t>은평구 진관동 30-6</t>
    <phoneticPr fontId="1" type="noConversion"/>
  </si>
  <si>
    <t>2026.03.16~2026.03.27</t>
    <phoneticPr fontId="1" type="noConversion"/>
  </si>
  <si>
    <t>O</t>
    <phoneticPr fontId="1" type="noConversion"/>
  </si>
  <si>
    <t>용인</t>
    <phoneticPr fontId="1" type="noConversion"/>
  </si>
  <si>
    <t>㈜씨티에너지</t>
    <phoneticPr fontId="1" type="noConversion"/>
  </si>
  <si>
    <t>반영</t>
    <phoneticPr fontId="1" type="noConversion"/>
  </si>
  <si>
    <t>주간</t>
    <phoneticPr fontId="1" type="noConversion"/>
  </si>
  <si>
    <t>예수금</t>
  </si>
  <si>
    <t>예수금</t>
    <phoneticPr fontId="1" type="noConversion"/>
  </si>
  <si>
    <t>2025년 삼송지사 열수송관 공사</t>
    <phoneticPr fontId="1" type="noConversion"/>
  </si>
  <si>
    <t>미설치</t>
    <phoneticPr fontId="1" type="noConversion"/>
  </si>
  <si>
    <t>-</t>
    <phoneticPr fontId="1" type="noConversion"/>
  </si>
  <si>
    <t>모래</t>
    <phoneticPr fontId="1" type="noConversion"/>
  </si>
  <si>
    <t>주간</t>
    <phoneticPr fontId="1" type="noConversion"/>
  </si>
  <si>
    <t>설치</t>
    <phoneticPr fontId="1" type="noConversion"/>
  </si>
  <si>
    <t>중립</t>
    <phoneticPr fontId="1" type="noConversion"/>
  </si>
  <si>
    <t>모래</t>
    <phoneticPr fontId="1" type="noConversion"/>
  </si>
  <si>
    <t>건가</t>
    <phoneticPr fontId="1" type="noConversion"/>
  </si>
  <si>
    <t>용인</t>
    <phoneticPr fontId="1" type="noConversion"/>
  </si>
  <si>
    <t>기흥구 보정동</t>
    <phoneticPr fontId="1" type="noConversion"/>
  </si>
  <si>
    <t>반영</t>
    <phoneticPr fontId="1" type="noConversion"/>
  </si>
  <si>
    <t>개선</t>
    <phoneticPr fontId="1" type="noConversion"/>
  </si>
  <si>
    <t>야간</t>
    <phoneticPr fontId="1" type="noConversion"/>
  </si>
  <si>
    <t>용인</t>
    <phoneticPr fontId="1" type="noConversion"/>
  </si>
  <si>
    <t>보도</t>
    <phoneticPr fontId="1" type="noConversion"/>
  </si>
  <si>
    <t>녹지</t>
    <phoneticPr fontId="1" type="noConversion"/>
  </si>
  <si>
    <t>주간</t>
    <phoneticPr fontId="1" type="noConversion"/>
  </si>
  <si>
    <t>반영</t>
    <phoneticPr fontId="1" type="noConversion"/>
  </si>
  <si>
    <t>용인시 수지구 죽전동</t>
    <phoneticPr fontId="1" type="noConversion"/>
  </si>
  <si>
    <t>예수금</t>
    <phoneticPr fontId="1" type="noConversion"/>
  </si>
  <si>
    <t>2024년 용인지사 열수송시설 유지보수공사</t>
    <phoneticPr fontId="1" type="noConversion"/>
  </si>
  <si>
    <t>중립</t>
    <phoneticPr fontId="1" type="noConversion"/>
  </si>
  <si>
    <t>모래</t>
    <phoneticPr fontId="1" type="noConversion"/>
  </si>
  <si>
    <t>2026.05.14~</t>
    <phoneticPr fontId="1" type="noConversion"/>
  </si>
  <si>
    <t>분당</t>
    <phoneticPr fontId="1" type="noConversion"/>
  </si>
  <si>
    <t>미반영</t>
    <phoneticPr fontId="1" type="noConversion"/>
  </si>
  <si>
    <t>성남시 분당구 미금로 215</t>
    <phoneticPr fontId="1" type="noConversion"/>
  </si>
  <si>
    <t>2024년 분당사업소 열수송시설 유지보수공사</t>
    <phoneticPr fontId="1" type="noConversion"/>
  </si>
  <si>
    <t>활동</t>
    <phoneticPr fontId="1" type="noConversion"/>
  </si>
  <si>
    <t>건가</t>
    <phoneticPr fontId="1" type="noConversion"/>
  </si>
  <si>
    <t>-</t>
    <phoneticPr fontId="1" type="noConversion"/>
  </si>
  <si>
    <t>설치</t>
    <phoneticPr fontId="1" type="noConversion"/>
  </si>
  <si>
    <t>미설치</t>
    <phoneticPr fontId="1" type="noConversion"/>
  </si>
  <si>
    <t>유지보수</t>
    <phoneticPr fontId="1" type="noConversion"/>
  </si>
  <si>
    <t>파주</t>
    <phoneticPr fontId="1" type="noConversion"/>
  </si>
  <si>
    <t>파주시 동패동 2257</t>
    <phoneticPr fontId="1" type="noConversion"/>
  </si>
  <si>
    <t>2026.05.18~2026.05.21</t>
    <phoneticPr fontId="1" type="noConversion"/>
  </si>
  <si>
    <t>도로</t>
    <phoneticPr fontId="1" type="noConversion"/>
  </si>
  <si>
    <t>주간</t>
    <phoneticPr fontId="1" type="noConversion"/>
  </si>
  <si>
    <t>㈜삼호화공기계제작소</t>
    <phoneticPr fontId="1" type="noConversion"/>
  </si>
  <si>
    <t>분당</t>
    <phoneticPr fontId="1" type="noConversion"/>
  </si>
  <si>
    <t>2026.05.07~2026.05.12</t>
    <phoneticPr fontId="1" type="noConversion"/>
  </si>
  <si>
    <t>분당구 정자로 56</t>
    <phoneticPr fontId="1" type="noConversion"/>
  </si>
  <si>
    <t>주간</t>
    <phoneticPr fontId="1" type="noConversion"/>
  </si>
  <si>
    <t>2024년 분당사업소 열수송시설 유지보수공사</t>
    <phoneticPr fontId="1" type="noConversion"/>
  </si>
  <si>
    <t>건가</t>
    <phoneticPr fontId="1" type="noConversion"/>
  </si>
  <si>
    <t>-</t>
    <phoneticPr fontId="1" type="noConversion"/>
  </si>
  <si>
    <t>활동</t>
    <phoneticPr fontId="1" type="noConversion"/>
  </si>
  <si>
    <t>모래</t>
    <phoneticPr fontId="1" type="noConversion"/>
  </si>
  <si>
    <t>제조</t>
    <phoneticPr fontId="1" type="noConversion"/>
  </si>
  <si>
    <t>개선</t>
    <phoneticPr fontId="1" type="noConversion"/>
  </si>
  <si>
    <t>제조</t>
  </si>
  <si>
    <t>개선</t>
    <phoneticPr fontId="1" type="noConversion"/>
  </si>
  <si>
    <t>임채민</t>
    <phoneticPr fontId="1" type="noConversion"/>
  </si>
  <si>
    <t>260126~260214</t>
    <phoneticPr fontId="1" type="noConversion"/>
  </si>
  <si>
    <t>용인시 기흥구 보정동</t>
    <phoneticPr fontId="1" type="noConversion"/>
  </si>
  <si>
    <t>시티에너지</t>
    <phoneticPr fontId="1" type="noConversion"/>
  </si>
  <si>
    <t>ㅇ</t>
    <phoneticPr fontId="1" type="noConversion"/>
  </si>
  <si>
    <t>260128~260210</t>
    <phoneticPr fontId="1" type="noConversion"/>
  </si>
  <si>
    <t>경기도 수지구 풍덕천동</t>
    <phoneticPr fontId="1" type="noConversion"/>
  </si>
  <si>
    <t>260305~260313</t>
    <phoneticPr fontId="1" type="noConversion"/>
  </si>
  <si>
    <t>260306~260310</t>
    <phoneticPr fontId="1" type="noConversion"/>
  </si>
  <si>
    <t>홍탁규</t>
    <phoneticPr fontId="1" type="noConversion"/>
  </si>
  <si>
    <t>신창미션힐 아파트 단지 내</t>
    <phoneticPr fontId="1" type="noConversion"/>
  </si>
  <si>
    <t>용인</t>
    <phoneticPr fontId="1" type="noConversion"/>
  </si>
  <si>
    <t>260313~260313</t>
    <phoneticPr fontId="1" type="noConversion"/>
  </si>
  <si>
    <t>수선유지비</t>
    <phoneticPr fontId="1" type="noConversion"/>
  </si>
  <si>
    <t>임채민</t>
    <phoneticPr fontId="1" type="noConversion"/>
  </si>
  <si>
    <t>260324~260401</t>
    <phoneticPr fontId="1" type="noConversion"/>
  </si>
  <si>
    <t>260427~260515</t>
    <phoneticPr fontId="1" type="noConversion"/>
  </si>
  <si>
    <t>260427~260515</t>
    <phoneticPr fontId="1" type="noConversion"/>
  </si>
  <si>
    <t>홍탁규</t>
    <phoneticPr fontId="1" type="noConversion"/>
  </si>
  <si>
    <t>용인</t>
    <phoneticPr fontId="1" type="noConversion"/>
  </si>
  <si>
    <t>반영</t>
  </si>
  <si>
    <t>경기도 수지구 죽전동</t>
    <phoneticPr fontId="1" type="noConversion"/>
  </si>
  <si>
    <t>260425~260426</t>
    <phoneticPr fontId="1" type="noConversion"/>
  </si>
  <si>
    <t>보도</t>
  </si>
  <si>
    <t>야간</t>
  </si>
  <si>
    <t>개선</t>
    <phoneticPr fontId="1" type="noConversion"/>
  </si>
  <si>
    <t>설치</t>
    <phoneticPr fontId="1" type="noConversion"/>
  </si>
  <si>
    <t>811-6번지</t>
    <phoneticPr fontId="1" type="noConversion"/>
  </si>
  <si>
    <t>260516~260517</t>
    <phoneticPr fontId="1" type="noConversion"/>
  </si>
  <si>
    <t>887-1 서울에스병원 앞</t>
    <phoneticPr fontId="1" type="noConversion"/>
  </si>
  <si>
    <t>1019-618 GTX-A 용인정거장 앞</t>
    <phoneticPr fontId="1" type="noConversion"/>
  </si>
  <si>
    <t>260511~260523</t>
    <phoneticPr fontId="1" type="noConversion"/>
  </si>
  <si>
    <t>6--</t>
    <phoneticPr fontId="1" type="noConversion"/>
  </si>
  <si>
    <t>7--</t>
    <phoneticPr fontId="1" type="noConversion"/>
  </si>
  <si>
    <t>미설치</t>
  </si>
  <si>
    <t>-</t>
  </si>
  <si>
    <t>용인시 기흥구 보라동559번지, 신창미션힐 아파트209동 앞</t>
    <phoneticPr fontId="1" type="noConversion"/>
  </si>
  <si>
    <t>경기도 기흥구 보라동</t>
    <phoneticPr fontId="1" type="noConversion"/>
  </si>
  <si>
    <t>용인시 수지구 죽전동 876-18번지</t>
    <phoneticPr fontId="1" type="noConversion"/>
  </si>
  <si>
    <t>260509~260510</t>
    <phoneticPr fontId="1" type="noConversion"/>
  </si>
  <si>
    <t>경기도 기흥구 보정동</t>
  </si>
  <si>
    <t>경기도 기흥구 보정동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</si>
</sst>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&quot;권역&quot;"/>
    <numFmt numFmtId="177" formatCode="0&quot;A&quot;"/>
    <numFmt numFmtId="178" formatCode="0&quot;년&quot;"/>
    <numFmt numFmtId="179" formatCode="0&quot;공&quot;"/>
    <numFmt numFmtId="180" formatCode="0.00&quot;m&quot;"/>
    <numFmt numFmtId="181" formatCode="00"/>
    <numFmt numFmtId="182" formatCode="0&quot;m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177" fontId="0" fillId="0" borderId="5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177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178" fontId="0" fillId="0" borderId="5" xfId="0" applyNumberForma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176" fontId="0" fillId="3" borderId="5" xfId="0" applyNumberFormat="1" applyFill="1" applyBorder="1" applyAlignment="1">
      <alignment horizontal="center" vertical="center"/>
    </xf>
    <xf numFmtId="179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9" fontId="0" fillId="0" borderId="5" xfId="0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 shrinkToFit="1"/>
    </xf>
    <xf numFmtId="41" fontId="0" fillId="0" borderId="0" xfId="1" applyFont="1">
      <alignment vertical="center"/>
    </xf>
    <xf numFmtId="41" fontId="0" fillId="3" borderId="0" xfId="1" applyFont="1" applyFill="1">
      <alignment vertical="center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41" fontId="0" fillId="0" borderId="5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41" fontId="0" fillId="0" borderId="0" xfId="1" applyFont="1" applyFill="1">
      <alignment vertical="center"/>
    </xf>
    <xf numFmtId="0" fontId="0" fillId="0" borderId="10" xfId="0" applyBorder="1" applyAlignment="1">
      <alignment horizontal="center" vertical="center"/>
    </xf>
    <xf numFmtId="180" fontId="0" fillId="0" borderId="20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76" fontId="0" fillId="0" borderId="21" xfId="0" applyNumberFormat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179" fontId="0" fillId="3" borderId="23" xfId="0" applyNumberForma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 shrinkToFit="1"/>
    </xf>
    <xf numFmtId="177" fontId="0" fillId="3" borderId="23" xfId="0" applyNumberFormat="1" applyFill="1" applyBorder="1" applyAlignment="1">
      <alignment horizontal="center" vertical="center"/>
    </xf>
    <xf numFmtId="178" fontId="0" fillId="3" borderId="23" xfId="0" applyNumberFormat="1" applyFill="1" applyBorder="1" applyAlignment="1">
      <alignment horizontal="center" vertical="center"/>
    </xf>
    <xf numFmtId="180" fontId="0" fillId="3" borderId="23" xfId="0" applyNumberFormat="1" applyFill="1" applyBorder="1" applyAlignment="1">
      <alignment horizontal="center" vertical="center"/>
    </xf>
    <xf numFmtId="180" fontId="0" fillId="0" borderId="20" xfId="0" applyNumberFormat="1" applyBorder="1">
      <alignment vertical="center"/>
    </xf>
    <xf numFmtId="177" fontId="0" fillId="0" borderId="0" xfId="0" applyNumberFormat="1">
      <alignment vertical="center"/>
    </xf>
    <xf numFmtId="179" fontId="0" fillId="0" borderId="8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181" fontId="0" fillId="3" borderId="5" xfId="0" applyNumberFormat="1" applyFill="1" applyBorder="1" applyAlignment="1">
      <alignment horizontal="center" vertical="center"/>
    </xf>
    <xf numFmtId="181" fontId="0" fillId="3" borderId="23" xfId="0" applyNumberFormat="1" applyFill="1" applyBorder="1" applyAlignment="1">
      <alignment horizontal="center" vertical="center"/>
    </xf>
    <xf numFmtId="181" fontId="0" fillId="0" borderId="5" xfId="0" applyNumberFormat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1" fontId="0" fillId="0" borderId="0" xfId="0" applyNumberFormat="1">
      <alignment vertical="center"/>
    </xf>
    <xf numFmtId="0" fontId="6" fillId="0" borderId="5" xfId="0" applyFont="1" applyBorder="1" applyAlignment="1">
      <alignment horizontal="center" vertical="center" shrinkToFit="1"/>
    </xf>
    <xf numFmtId="182" fontId="0" fillId="0" borderId="5" xfId="0" applyNumberFormat="1" applyBorder="1" applyAlignment="1">
      <alignment horizontal="center" vertical="center"/>
    </xf>
    <xf numFmtId="182" fontId="0" fillId="0" borderId="8" xfId="0" applyNumberFormat="1" applyBorder="1" applyAlignment="1">
      <alignment horizontal="center" vertical="center"/>
    </xf>
    <xf numFmtId="182" fontId="0" fillId="0" borderId="0" xfId="0" applyNumberForma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81" fontId="0" fillId="4" borderId="5" xfId="0" applyNumberFormat="1" applyFill="1" applyBorder="1" applyAlignment="1">
      <alignment horizontal="center" vertical="center"/>
    </xf>
    <xf numFmtId="177" fontId="0" fillId="4" borderId="5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shrinkToFit="1"/>
    </xf>
    <xf numFmtId="178" fontId="0" fillId="4" borderId="5" xfId="0" applyNumberFormat="1" applyFill="1" applyBorder="1" applyAlignment="1">
      <alignment horizontal="center" vertical="center"/>
    </xf>
    <xf numFmtId="180" fontId="0" fillId="4" borderId="5" xfId="0" applyNumberFormat="1" applyFill="1" applyBorder="1" applyAlignment="1">
      <alignment horizontal="center" vertical="center"/>
    </xf>
    <xf numFmtId="180" fontId="0" fillId="4" borderId="20" xfId="0" applyNumberFormat="1" applyFill="1" applyBorder="1" applyAlignment="1">
      <alignment horizontal="center" vertical="center"/>
    </xf>
    <xf numFmtId="0" fontId="0" fillId="4" borderId="6" xfId="0" applyFill="1" applyBorder="1">
      <alignment vertical="center"/>
    </xf>
    <xf numFmtId="41" fontId="0" fillId="4" borderId="0" xfId="1" applyFont="1" applyFill="1">
      <alignment vertical="center"/>
    </xf>
    <xf numFmtId="0" fontId="0" fillId="4" borderId="0" xfId="0" applyFill="1">
      <alignment vertical="center"/>
    </xf>
    <xf numFmtId="0" fontId="0" fillId="5" borderId="11" xfId="0" applyFill="1" applyBorder="1" applyAlignment="1">
      <alignment horizontal="center" vertical="center" shrinkToFit="1"/>
    </xf>
    <xf numFmtId="176" fontId="0" fillId="4" borderId="5" xfId="0" applyNumberFormat="1" applyFill="1" applyBorder="1" applyAlignment="1">
      <alignment horizontal="center" vertical="center"/>
    </xf>
    <xf numFmtId="176" fontId="0" fillId="6" borderId="5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81" fontId="0" fillId="6" borderId="5" xfId="0" applyNumberFormat="1" applyFill="1" applyBorder="1" applyAlignment="1">
      <alignment horizontal="center" vertical="center"/>
    </xf>
    <xf numFmtId="177" fontId="0" fillId="6" borderId="5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shrinkToFit="1"/>
    </xf>
    <xf numFmtId="0" fontId="4" fillId="6" borderId="5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82" fontId="3" fillId="6" borderId="5" xfId="0" applyNumberFormat="1" applyFont="1" applyFill="1" applyBorder="1" applyAlignment="1">
      <alignment horizontal="center" vertical="center"/>
    </xf>
    <xf numFmtId="178" fontId="0" fillId="6" borderId="5" xfId="0" applyNumberFormat="1" applyFill="1" applyBorder="1" applyAlignment="1">
      <alignment horizontal="center" vertical="center"/>
    </xf>
    <xf numFmtId="180" fontId="0" fillId="6" borderId="5" xfId="0" applyNumberFormat="1" applyFill="1" applyBorder="1" applyAlignment="1">
      <alignment horizontal="center" vertical="center"/>
    </xf>
    <xf numFmtId="41" fontId="0" fillId="6" borderId="0" xfId="1" applyFont="1" applyFill="1">
      <alignment vertical="center"/>
    </xf>
    <xf numFmtId="0" fontId="0" fillId="6" borderId="6" xfId="0" applyFill="1" applyBorder="1">
      <alignment vertical="center"/>
    </xf>
    <xf numFmtId="0" fontId="0" fillId="6" borderId="0" xfId="0" applyFill="1">
      <alignment vertical="center"/>
    </xf>
    <xf numFmtId="180" fontId="0" fillId="6" borderId="2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shrinkToFit="1"/>
    </xf>
    <xf numFmtId="182" fontId="0" fillId="6" borderId="5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81" fontId="0" fillId="2" borderId="5" xfId="0" applyNumberFormat="1" applyFill="1" applyBorder="1" applyAlignment="1">
      <alignment horizontal="center" vertical="center"/>
    </xf>
    <xf numFmtId="177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shrinkToFit="1"/>
    </xf>
    <xf numFmtId="182" fontId="0" fillId="2" borderId="5" xfId="0" applyNumberFormat="1" applyFill="1" applyBorder="1" applyAlignment="1">
      <alignment horizontal="center" vertical="center"/>
    </xf>
    <xf numFmtId="178" fontId="0" fillId="2" borderId="5" xfId="0" applyNumberFormat="1" applyFill="1" applyBorder="1" applyAlignment="1">
      <alignment horizontal="center" vertical="center"/>
    </xf>
    <xf numFmtId="180" fontId="0" fillId="2" borderId="5" xfId="0" applyNumberFormat="1" applyFill="1" applyBorder="1" applyAlignment="1">
      <alignment horizontal="center" vertical="center"/>
    </xf>
    <xf numFmtId="180" fontId="0" fillId="2" borderId="20" xfId="0" applyNumberForma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41" fontId="0" fillId="2" borderId="0" xfId="1" applyFont="1" applyFill="1">
      <alignment vertical="center"/>
    </xf>
    <xf numFmtId="0" fontId="0" fillId="2" borderId="0" xfId="0" applyFill="1">
      <alignment vertical="center"/>
    </xf>
    <xf numFmtId="182" fontId="0" fillId="4" borderId="5" xfId="0" applyNumberForma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8" borderId="4" xfId="0" applyFill="1" applyBorder="1" applyAlignment="1">
      <alignment horizontal="center" vertical="center"/>
    </xf>
    <xf numFmtId="176" fontId="0" fillId="8" borderId="5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81" fontId="0" fillId="8" borderId="5" xfId="0" applyNumberFormat="1" applyFill="1" applyBorder="1" applyAlignment="1">
      <alignment horizontal="center" vertical="center"/>
    </xf>
    <xf numFmtId="177" fontId="0" fillId="8" borderId="5" xfId="0" applyNumberFormat="1" applyFill="1" applyBorder="1" applyAlignment="1">
      <alignment horizontal="center" vertical="center"/>
    </xf>
    <xf numFmtId="179" fontId="0" fillId="8" borderId="23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shrinkToFit="1"/>
    </xf>
    <xf numFmtId="0" fontId="4" fillId="8" borderId="5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 shrinkToFit="1"/>
    </xf>
    <xf numFmtId="182" fontId="0" fillId="8" borderId="5" xfId="0" applyNumberForma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80" fontId="0" fillId="8" borderId="5" xfId="0" applyNumberFormat="1" applyFill="1" applyBorder="1" applyAlignment="1">
      <alignment horizontal="center" vertical="center"/>
    </xf>
    <xf numFmtId="180" fontId="0" fillId="8" borderId="20" xfId="0" applyNumberFormat="1" applyFill="1" applyBorder="1" applyAlignment="1">
      <alignment horizontal="center" vertical="center"/>
    </xf>
    <xf numFmtId="0" fontId="0" fillId="8" borderId="6" xfId="0" applyFill="1" applyBorder="1">
      <alignment vertical="center"/>
    </xf>
    <xf numFmtId="41" fontId="0" fillId="8" borderId="0" xfId="1" applyFont="1" applyFill="1">
      <alignment vertical="center"/>
    </xf>
    <xf numFmtId="0" fontId="0" fillId="8" borderId="0" xfId="0" applyFill="1">
      <alignment vertical="center"/>
    </xf>
    <xf numFmtId="0" fontId="0" fillId="8" borderId="20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 shrinkToFit="1"/>
    </xf>
    <xf numFmtId="182" fontId="3" fillId="8" borderId="5" xfId="0" applyNumberFormat="1" applyFont="1" applyFill="1" applyBorder="1" applyAlignment="1">
      <alignment horizontal="center" vertical="center"/>
    </xf>
    <xf numFmtId="0" fontId="0" fillId="8" borderId="12" xfId="0" applyFill="1" applyBorder="1">
      <alignment vertical="center"/>
    </xf>
    <xf numFmtId="0" fontId="0" fillId="9" borderId="4" xfId="0" applyFill="1" applyBorder="1" applyAlignment="1">
      <alignment horizontal="center" vertical="center"/>
    </xf>
    <xf numFmtId="176" fontId="0" fillId="9" borderId="5" xfId="0" applyNumberForma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181" fontId="0" fillId="9" borderId="5" xfId="0" applyNumberFormat="1" applyFill="1" applyBorder="1" applyAlignment="1">
      <alignment horizontal="center" vertical="center"/>
    </xf>
    <xf numFmtId="177" fontId="0" fillId="9" borderId="5" xfId="0" applyNumberForma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 shrinkToFit="1"/>
    </xf>
    <xf numFmtId="0" fontId="4" fillId="9" borderId="5" xfId="0" applyFont="1" applyFill="1" applyBorder="1" applyAlignment="1">
      <alignment horizontal="center" vertical="center"/>
    </xf>
    <xf numFmtId="182" fontId="3" fillId="9" borderId="5" xfId="0" applyNumberFormat="1" applyFont="1" applyFill="1" applyBorder="1" applyAlignment="1">
      <alignment horizontal="center" vertical="center"/>
    </xf>
    <xf numFmtId="178" fontId="0" fillId="9" borderId="5" xfId="0" applyNumberFormat="1" applyFill="1" applyBorder="1" applyAlignment="1">
      <alignment horizontal="center" vertical="center"/>
    </xf>
    <xf numFmtId="180" fontId="0" fillId="9" borderId="5" xfId="0" applyNumberFormat="1" applyFill="1" applyBorder="1" applyAlignment="1">
      <alignment horizontal="center" vertical="center"/>
    </xf>
    <xf numFmtId="180" fontId="0" fillId="9" borderId="20" xfId="0" applyNumberFormat="1" applyFill="1" applyBorder="1" applyAlignment="1">
      <alignment horizontal="center" vertical="center"/>
    </xf>
    <xf numFmtId="0" fontId="0" fillId="9" borderId="6" xfId="0" applyFill="1" applyBorder="1">
      <alignment vertical="center"/>
    </xf>
    <xf numFmtId="41" fontId="0" fillId="9" borderId="0" xfId="1" applyFont="1" applyFill="1">
      <alignment vertical="center"/>
    </xf>
    <xf numFmtId="0" fontId="0" fillId="9" borderId="0" xfId="0" applyFill="1">
      <alignment vertical="center"/>
    </xf>
    <xf numFmtId="0" fontId="0" fillId="9" borderId="11" xfId="0" applyFill="1" applyBorder="1" applyAlignment="1">
      <alignment horizontal="center" vertical="center" shrinkToFit="1"/>
    </xf>
    <xf numFmtId="177" fontId="7" fillId="8" borderId="5" xfId="0" applyNumberFormat="1" applyFont="1" applyFill="1" applyBorder="1" applyAlignment="1">
      <alignment horizontal="center" vertical="center"/>
    </xf>
    <xf numFmtId="179" fontId="7" fillId="8" borderId="2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76" fontId="0" fillId="10" borderId="5" xfId="0" applyNumberForma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181" fontId="0" fillId="10" borderId="5" xfId="0" applyNumberFormat="1" applyFill="1" applyBorder="1" applyAlignment="1">
      <alignment horizontal="center" vertical="center"/>
    </xf>
    <xf numFmtId="177" fontId="0" fillId="10" borderId="5" xfId="0" applyNumberForma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 shrinkToFit="1"/>
    </xf>
    <xf numFmtId="0" fontId="4" fillId="10" borderId="5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 shrinkToFit="1"/>
    </xf>
    <xf numFmtId="182" fontId="0" fillId="10" borderId="5" xfId="0" applyNumberFormat="1" applyFill="1" applyBorder="1" applyAlignment="1">
      <alignment horizontal="center" vertical="center"/>
    </xf>
    <xf numFmtId="178" fontId="0" fillId="10" borderId="5" xfId="0" applyNumberFormat="1" applyFill="1" applyBorder="1" applyAlignment="1">
      <alignment horizontal="center" vertical="center"/>
    </xf>
    <xf numFmtId="180" fontId="0" fillId="10" borderId="5" xfId="0" applyNumberFormat="1" applyFill="1" applyBorder="1" applyAlignment="1">
      <alignment horizontal="center" vertical="center"/>
    </xf>
    <xf numFmtId="180" fontId="0" fillId="10" borderId="20" xfId="0" applyNumberFormat="1" applyFill="1" applyBorder="1" applyAlignment="1">
      <alignment horizontal="center" vertical="center"/>
    </xf>
    <xf numFmtId="0" fontId="0" fillId="10" borderId="6" xfId="0" applyFill="1" applyBorder="1">
      <alignment vertical="center"/>
    </xf>
    <xf numFmtId="41" fontId="0" fillId="10" borderId="0" xfId="1" applyFont="1" applyFill="1">
      <alignment vertical="center"/>
    </xf>
    <xf numFmtId="0" fontId="0" fillId="10" borderId="0" xfId="0" applyFill="1">
      <alignment vertical="center"/>
    </xf>
    <xf numFmtId="1" fontId="0" fillId="8" borderId="23" xfId="0" applyNumberFormat="1" applyFill="1" applyBorder="1" applyAlignment="1">
      <alignment horizontal="center" vertical="center"/>
    </xf>
    <xf numFmtId="1" fontId="0" fillId="9" borderId="23" xfId="0" applyNumberFormat="1" applyFill="1" applyBorder="1" applyAlignment="1">
      <alignment horizontal="center" vertical="center"/>
    </xf>
    <xf numFmtId="1" fontId="0" fillId="6" borderId="23" xfId="0" applyNumberFormat="1" applyFill="1" applyBorder="1" applyAlignment="1">
      <alignment horizontal="center" vertical="center"/>
    </xf>
    <xf numFmtId="1" fontId="0" fillId="10" borderId="23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4" borderId="23" xfId="0" applyNumberFormat="1" applyFill="1" applyBorder="1" applyAlignment="1">
      <alignment horizontal="center" vertical="center"/>
    </xf>
  </cellXfs>
  <cellStyles count="3">
    <cellStyle name="쉼표 [0]" xfId="1" builtinId="6"/>
    <cellStyle name="쉼표 [0] 2" xfId="2" xr:uid="{A723973F-D618-4E22-8AB8-AC4ED744CAD4}"/>
    <cellStyle name="표준" xfId="0" builtinId="0"/>
  </cellStyles>
  <dxfs count="1">
    <dxf>
      <fill>
        <patternFill patternType="solid">
          <fgColor rgb="FFFFCCFF"/>
          <bgColor rgb="FF000000"/>
        </patternFill>
      </fill>
    </dxf>
  </dxfs>
  <tableStyles count="0" defaultTableStyle="TableStyleMedium2" defaultPivotStyle="PivotStyleLight16"/>
  <colors>
    <mruColors>
      <color rgb="FFCCCCFF"/>
      <color rgb="FFCCFFFF"/>
      <color rgb="FFFFCCFF"/>
      <color rgb="FFCC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AM75"/>
  <sheetViews>
    <sheetView tabSelected="1" view="pageBreakPreview" zoomScale="70" zoomScaleNormal="70" zoomScaleSheetLayoutView="70" workbookViewId="0">
      <pane xSplit="8" ySplit="8" topLeftCell="J13" activePane="bottomRight" state="frozen"/>
      <selection pane="topRight" activeCell="I1" sqref="I1"/>
      <selection pane="bottomLeft" activeCell="A9" sqref="A9"/>
      <selection pane="bottomRight" activeCell="F45" sqref="F45"/>
    </sheetView>
  </sheetViews>
  <sheetFormatPr defaultRowHeight="16.5" x14ac:dyDescent="0.3"/>
  <cols>
    <col min="1" max="1" width="4.125" customWidth="1"/>
    <col min="2" max="2" width="8.875" customWidth="1"/>
    <col min="3" max="3" width="9" bestFit="1" customWidth="1"/>
    <col min="4" max="4" width="5.75" style="60" bestFit="1" customWidth="1"/>
    <col min="5" max="5" width="7.125" style="51" customWidth="1"/>
    <col min="6" max="6" width="13.5" style="53" customWidth="1"/>
    <col min="7" max="8" width="7.125" customWidth="1"/>
    <col min="9" max="9" width="55.625" bestFit="1" customWidth="1"/>
    <col min="10" max="10" width="30.875" bestFit="1" customWidth="1"/>
    <col min="11" max="11" width="18.25" customWidth="1"/>
    <col min="12" max="12" width="9" customWidth="1"/>
    <col min="13" max="13" width="9" style="55" customWidth="1"/>
    <col min="14" max="14" width="10.25" customWidth="1"/>
    <col min="15" max="15" width="34.375" customWidth="1"/>
    <col min="16" max="16" width="19.5" customWidth="1"/>
    <col min="17" max="17" width="20.625" hidden="1" customWidth="1"/>
    <col min="18" max="18" width="7.125" customWidth="1"/>
    <col min="19" max="19" width="9" customWidth="1"/>
    <col min="20" max="20" width="7.125" customWidth="1"/>
    <col min="21" max="21" width="7.875" style="64" customWidth="1"/>
    <col min="22" max="23" width="6.625" customWidth="1"/>
    <col min="24" max="24" width="8.125" customWidth="1"/>
    <col min="25" max="26" width="6.625" customWidth="1"/>
    <col min="27" max="27" width="10.875" customWidth="1"/>
    <col min="28" max="29" width="10.75" customWidth="1"/>
    <col min="30" max="30" width="38.25" customWidth="1"/>
    <col min="31" max="31" width="36.625" customWidth="1"/>
    <col min="32" max="32" width="11.5" customWidth="1"/>
    <col min="33" max="33" width="15.25" style="32" customWidth="1"/>
    <col min="34" max="38" width="0" hidden="1" customWidth="1"/>
  </cols>
  <sheetData>
    <row r="1" spans="1:38" x14ac:dyDescent="0.3">
      <c r="D1"/>
      <c r="E1"/>
      <c r="F1"/>
      <c r="M1"/>
      <c r="U1"/>
    </row>
    <row r="2" spans="1:38" ht="33.75" x14ac:dyDescent="0.3">
      <c r="A2" s="150" t="s">
        <v>57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</row>
    <row r="3" spans="1:38" x14ac:dyDescent="0.3">
      <c r="D3"/>
      <c r="E3"/>
      <c r="F3"/>
      <c r="M3"/>
      <c r="U3"/>
    </row>
    <row r="4" spans="1:38" x14ac:dyDescent="0.3">
      <c r="A4" s="151" t="s">
        <v>56</v>
      </c>
      <c r="B4" s="151"/>
      <c r="C4" s="151"/>
      <c r="D4" s="151"/>
      <c r="E4" s="151"/>
      <c r="F4" s="151"/>
      <c r="G4" s="151"/>
      <c r="H4" s="151"/>
      <c r="I4" s="151"/>
      <c r="J4" s="151"/>
      <c r="M4"/>
      <c r="U4"/>
    </row>
    <row r="5" spans="1:38" x14ac:dyDescent="0.3">
      <c r="A5" s="151" t="s">
        <v>31</v>
      </c>
      <c r="B5" s="151"/>
      <c r="C5" s="151"/>
      <c r="D5" s="151"/>
      <c r="E5" s="151"/>
      <c r="F5" s="151"/>
      <c r="G5" s="151"/>
      <c r="H5" s="151"/>
      <c r="I5" s="151"/>
      <c r="J5" s="151"/>
      <c r="M5"/>
      <c r="U5"/>
    </row>
    <row r="6" spans="1:38" ht="17.25" thickBot="1" x14ac:dyDescent="0.35">
      <c r="A6" s="151" t="s">
        <v>62</v>
      </c>
      <c r="B6" s="151"/>
      <c r="C6" s="151"/>
      <c r="D6" s="151"/>
      <c r="E6" s="151"/>
      <c r="F6" s="151"/>
      <c r="G6" s="151"/>
      <c r="H6" s="151"/>
      <c r="I6" s="151"/>
      <c r="J6" s="151"/>
      <c r="M6"/>
      <c r="U6"/>
      <c r="AF6" s="29"/>
    </row>
    <row r="7" spans="1:38" ht="30" customHeight="1" x14ac:dyDescent="0.3">
      <c r="A7" s="152" t="s">
        <v>0</v>
      </c>
      <c r="B7" s="154" t="s">
        <v>8</v>
      </c>
      <c r="C7" s="154" t="s">
        <v>1</v>
      </c>
      <c r="D7" s="156" t="s">
        <v>30</v>
      </c>
      <c r="E7" s="154" t="s">
        <v>5</v>
      </c>
      <c r="F7" s="156" t="s">
        <v>14</v>
      </c>
      <c r="G7" s="156" t="s">
        <v>18</v>
      </c>
      <c r="H7" s="158" t="s">
        <v>15</v>
      </c>
      <c r="I7" s="160" t="s">
        <v>3</v>
      </c>
      <c r="J7" s="161"/>
      <c r="K7" s="154" t="s">
        <v>2</v>
      </c>
      <c r="L7" s="164" t="s">
        <v>19</v>
      </c>
      <c r="M7" s="156" t="s">
        <v>9</v>
      </c>
      <c r="N7" s="154" t="s">
        <v>7</v>
      </c>
      <c r="O7" s="154"/>
      <c r="P7" s="154"/>
      <c r="Q7" s="158" t="s">
        <v>17</v>
      </c>
      <c r="R7" s="156" t="s">
        <v>16</v>
      </c>
      <c r="S7" s="156" t="s">
        <v>10</v>
      </c>
      <c r="T7" s="156"/>
      <c r="U7" s="156"/>
      <c r="V7" s="158" t="s">
        <v>20</v>
      </c>
      <c r="W7" s="158" t="s">
        <v>21</v>
      </c>
      <c r="X7" s="158" t="s">
        <v>22</v>
      </c>
      <c r="Y7" s="156" t="s">
        <v>23</v>
      </c>
      <c r="Z7" s="156"/>
      <c r="AA7" s="41" t="s">
        <v>33</v>
      </c>
      <c r="AB7" s="41" t="s">
        <v>32</v>
      </c>
      <c r="AC7" s="41" t="s">
        <v>34</v>
      </c>
      <c r="AD7" s="158" t="s">
        <v>52</v>
      </c>
      <c r="AE7" s="154" t="s">
        <v>12</v>
      </c>
      <c r="AF7" s="162" t="s">
        <v>27</v>
      </c>
    </row>
    <row r="8" spans="1:38" ht="24.95" customHeight="1" thickBot="1" x14ac:dyDescent="0.35">
      <c r="A8" s="153"/>
      <c r="B8" s="155"/>
      <c r="C8" s="155"/>
      <c r="D8" s="155"/>
      <c r="E8" s="155"/>
      <c r="F8" s="157"/>
      <c r="G8" s="155"/>
      <c r="H8" s="159"/>
      <c r="I8" s="27" t="s">
        <v>28</v>
      </c>
      <c r="J8" s="27" t="s">
        <v>29</v>
      </c>
      <c r="K8" s="155"/>
      <c r="L8" s="165"/>
      <c r="M8" s="157"/>
      <c r="N8" s="27" t="s">
        <v>13</v>
      </c>
      <c r="O8" s="27" t="s">
        <v>6</v>
      </c>
      <c r="P8" s="27" t="s">
        <v>4</v>
      </c>
      <c r="Q8" s="159"/>
      <c r="R8" s="155"/>
      <c r="S8" s="27" t="s">
        <v>11</v>
      </c>
      <c r="T8" s="27" t="s">
        <v>5</v>
      </c>
      <c r="U8" s="27" t="s">
        <v>26</v>
      </c>
      <c r="V8" s="159"/>
      <c r="W8" s="159"/>
      <c r="X8" s="159"/>
      <c r="Y8" s="28" t="s">
        <v>24</v>
      </c>
      <c r="Z8" s="28" t="s">
        <v>25</v>
      </c>
      <c r="AA8" s="28"/>
      <c r="AB8" s="28"/>
      <c r="AC8" s="28"/>
      <c r="AD8" s="159"/>
      <c r="AE8" s="155"/>
      <c r="AF8" s="163"/>
    </row>
    <row r="9" spans="1:38" ht="24.95" hidden="1" customHeight="1" thickTop="1" x14ac:dyDescent="0.3">
      <c r="A9" s="39">
        <v>1</v>
      </c>
      <c r="B9" s="3"/>
      <c r="C9" s="19" t="s">
        <v>58</v>
      </c>
      <c r="D9" s="56">
        <v>1</v>
      </c>
      <c r="E9" s="20">
        <v>100</v>
      </c>
      <c r="F9" s="23">
        <v>4</v>
      </c>
      <c r="G9" s="24" t="s">
        <v>47</v>
      </c>
      <c r="H9" s="1">
        <v>4</v>
      </c>
      <c r="I9" s="4" t="s">
        <v>60</v>
      </c>
      <c r="J9" s="1"/>
      <c r="K9" s="4" t="s">
        <v>59</v>
      </c>
      <c r="L9" s="4" t="s">
        <v>46</v>
      </c>
      <c r="M9" s="1" t="s">
        <v>48</v>
      </c>
      <c r="N9" s="4" t="s">
        <v>44</v>
      </c>
      <c r="O9" s="4" t="s">
        <v>82</v>
      </c>
      <c r="P9" s="4" t="s">
        <v>61</v>
      </c>
      <c r="Q9" s="37" t="s">
        <v>35</v>
      </c>
      <c r="R9" s="13" t="s">
        <v>49</v>
      </c>
      <c r="S9" s="5" t="s">
        <v>41</v>
      </c>
      <c r="T9" s="5" t="s">
        <v>45</v>
      </c>
      <c r="U9" s="62">
        <v>30</v>
      </c>
      <c r="V9" s="5" t="s">
        <v>54</v>
      </c>
      <c r="W9" s="5" t="s">
        <v>50</v>
      </c>
      <c r="X9" s="15">
        <v>1993</v>
      </c>
      <c r="Y9" s="16">
        <v>3.1</v>
      </c>
      <c r="Z9" s="16">
        <v>3.1</v>
      </c>
      <c r="AA9" s="16" t="s">
        <v>51</v>
      </c>
      <c r="AB9" s="16" t="s">
        <v>42</v>
      </c>
      <c r="AC9" s="16"/>
      <c r="AD9" s="16"/>
      <c r="AE9" s="4"/>
      <c r="AF9" s="6"/>
      <c r="AG9" s="38"/>
    </row>
    <row r="10" spans="1:38" s="21" customFormat="1" ht="24.95" hidden="1" customHeight="1" x14ac:dyDescent="0.3">
      <c r="A10" s="43">
        <v>2</v>
      </c>
      <c r="B10" s="22"/>
      <c r="C10" s="1" t="s">
        <v>58</v>
      </c>
      <c r="D10" s="57">
        <v>1</v>
      </c>
      <c r="E10" s="47">
        <v>65</v>
      </c>
      <c r="F10" s="45">
        <v>2</v>
      </c>
      <c r="G10" s="24" t="s">
        <v>38</v>
      </c>
      <c r="H10" s="44">
        <v>2</v>
      </c>
      <c r="I10" s="44" t="s">
        <v>63</v>
      </c>
      <c r="J10" s="44"/>
      <c r="K10" s="4" t="s">
        <v>64</v>
      </c>
      <c r="L10" s="4" t="s">
        <v>46</v>
      </c>
      <c r="M10" s="1" t="s">
        <v>36</v>
      </c>
      <c r="N10" s="4" t="s">
        <v>44</v>
      </c>
      <c r="O10" s="4" t="s">
        <v>82</v>
      </c>
      <c r="P10" s="4" t="s">
        <v>61</v>
      </c>
      <c r="Q10" s="37" t="s">
        <v>35</v>
      </c>
      <c r="R10" s="19" t="s">
        <v>55</v>
      </c>
      <c r="S10" s="5" t="s">
        <v>65</v>
      </c>
      <c r="T10" s="5" t="s">
        <v>39</v>
      </c>
      <c r="U10" s="62" t="s">
        <v>39</v>
      </c>
      <c r="V10" s="47" t="s">
        <v>54</v>
      </c>
      <c r="W10" s="47" t="s">
        <v>43</v>
      </c>
      <c r="X10" s="48">
        <v>1995</v>
      </c>
      <c r="Y10" s="49">
        <v>3</v>
      </c>
      <c r="Z10" s="49">
        <v>3</v>
      </c>
      <c r="AA10" s="16" t="s">
        <v>42</v>
      </c>
      <c r="AB10" s="16" t="s">
        <v>42</v>
      </c>
      <c r="AC10" s="49"/>
      <c r="AD10" s="49"/>
      <c r="AE10" s="46"/>
      <c r="AF10" s="25"/>
      <c r="AG10" s="33"/>
    </row>
    <row r="11" spans="1:38" s="21" customFormat="1" ht="24.95" hidden="1" customHeight="1" x14ac:dyDescent="0.3">
      <c r="A11" s="43">
        <v>3</v>
      </c>
      <c r="B11" s="22"/>
      <c r="C11" s="1" t="s">
        <v>58</v>
      </c>
      <c r="D11" s="57">
        <v>2</v>
      </c>
      <c r="E11" s="47">
        <v>400</v>
      </c>
      <c r="F11" s="45">
        <v>4</v>
      </c>
      <c r="G11" s="24" t="s">
        <v>40</v>
      </c>
      <c r="H11" s="44">
        <v>4</v>
      </c>
      <c r="I11" s="44" t="s">
        <v>70</v>
      </c>
      <c r="J11" s="44"/>
      <c r="K11" s="4" t="s">
        <v>71</v>
      </c>
      <c r="L11" s="4" t="s">
        <v>72</v>
      </c>
      <c r="M11" s="1" t="s">
        <v>73</v>
      </c>
      <c r="N11" s="4" t="s">
        <v>69</v>
      </c>
      <c r="O11" s="4" t="s">
        <v>83</v>
      </c>
      <c r="P11" s="4" t="s">
        <v>122</v>
      </c>
      <c r="Q11" s="37" t="s">
        <v>35</v>
      </c>
      <c r="R11" s="19" t="s">
        <v>68</v>
      </c>
      <c r="S11" s="5" t="s">
        <v>65</v>
      </c>
      <c r="T11" s="5" t="s">
        <v>67</v>
      </c>
      <c r="U11" s="62" t="s">
        <v>67</v>
      </c>
      <c r="V11" s="47" t="s">
        <v>53</v>
      </c>
      <c r="W11" s="47" t="s">
        <v>66</v>
      </c>
      <c r="X11" s="48">
        <v>1995</v>
      </c>
      <c r="Y11" s="49">
        <v>2.72</v>
      </c>
      <c r="Z11" s="49">
        <v>2.72</v>
      </c>
      <c r="AA11" s="16" t="s">
        <v>42</v>
      </c>
      <c r="AB11" s="16" t="s">
        <v>42</v>
      </c>
      <c r="AC11" s="49"/>
      <c r="AD11" s="49"/>
      <c r="AE11" s="46"/>
      <c r="AF11" s="25"/>
      <c r="AG11" s="33"/>
    </row>
    <row r="12" spans="1:38" ht="24.95" hidden="1" customHeight="1" x14ac:dyDescent="0.3">
      <c r="A12" s="1">
        <v>4</v>
      </c>
      <c r="B12" s="42"/>
      <c r="C12" s="1" t="s">
        <v>74</v>
      </c>
      <c r="D12" s="58">
        <v>3</v>
      </c>
      <c r="E12" s="5">
        <v>100</v>
      </c>
      <c r="F12" s="45">
        <v>4</v>
      </c>
      <c r="G12" s="1" t="s">
        <v>75</v>
      </c>
      <c r="H12" s="1">
        <v>4</v>
      </c>
      <c r="I12" s="24" t="s">
        <v>76</v>
      </c>
      <c r="J12" s="1"/>
      <c r="K12" s="4" t="s">
        <v>78</v>
      </c>
      <c r="L12" s="1" t="s">
        <v>77</v>
      </c>
      <c r="M12" s="26" t="s">
        <v>73</v>
      </c>
      <c r="N12" s="4" t="s">
        <v>44</v>
      </c>
      <c r="O12" s="4" t="s">
        <v>82</v>
      </c>
      <c r="P12" s="4" t="s">
        <v>61</v>
      </c>
      <c r="Q12" s="37" t="s">
        <v>35</v>
      </c>
      <c r="R12" s="13" t="s">
        <v>68</v>
      </c>
      <c r="S12" s="5" t="s">
        <v>79</v>
      </c>
      <c r="T12" s="5">
        <v>80</v>
      </c>
      <c r="U12" s="62">
        <v>7</v>
      </c>
      <c r="V12" s="20" t="s">
        <v>53</v>
      </c>
      <c r="W12" s="5" t="s">
        <v>66</v>
      </c>
      <c r="X12" s="15">
        <v>1993</v>
      </c>
      <c r="Y12" s="16">
        <v>1.5</v>
      </c>
      <c r="Z12" s="16">
        <v>1.5</v>
      </c>
      <c r="AA12" s="16" t="s">
        <v>42</v>
      </c>
      <c r="AB12" s="16" t="s">
        <v>42</v>
      </c>
      <c r="AC12" s="16"/>
      <c r="AD12" s="16"/>
      <c r="AE12" s="4"/>
      <c r="AF12" s="14"/>
    </row>
    <row r="13" spans="1:38" s="128" customFormat="1" ht="24.95" customHeight="1" thickTop="1" x14ac:dyDescent="0.3">
      <c r="A13" s="129">
        <v>2</v>
      </c>
      <c r="B13" s="114" t="s">
        <v>206</v>
      </c>
      <c r="C13" s="115" t="s">
        <v>81</v>
      </c>
      <c r="D13" s="116">
        <v>2</v>
      </c>
      <c r="E13" s="148">
        <v>700</v>
      </c>
      <c r="F13" s="149">
        <v>2</v>
      </c>
      <c r="G13" s="115" t="s">
        <v>121</v>
      </c>
      <c r="H13" s="115">
        <v>2</v>
      </c>
      <c r="I13" s="115" t="s">
        <v>247</v>
      </c>
      <c r="J13" s="115"/>
      <c r="K13" s="119" t="s">
        <v>207</v>
      </c>
      <c r="L13" s="115" t="s">
        <v>72</v>
      </c>
      <c r="M13" s="120" t="s">
        <v>114</v>
      </c>
      <c r="N13" s="119" t="s">
        <v>115</v>
      </c>
      <c r="O13" s="130" t="s">
        <v>116</v>
      </c>
      <c r="P13" s="119" t="s">
        <v>209</v>
      </c>
      <c r="Q13" s="37" t="s">
        <v>35</v>
      </c>
      <c r="R13" s="115" t="s">
        <v>117</v>
      </c>
      <c r="S13" s="117" t="s">
        <v>118</v>
      </c>
      <c r="T13" s="117">
        <v>500</v>
      </c>
      <c r="U13" s="131">
        <v>200</v>
      </c>
      <c r="V13" s="117" t="s">
        <v>120</v>
      </c>
      <c r="W13" s="117" t="s">
        <v>119</v>
      </c>
      <c r="X13" s="123">
        <v>1999</v>
      </c>
      <c r="Y13" s="124">
        <v>1.55</v>
      </c>
      <c r="Z13" s="124">
        <f>Y13</f>
        <v>1.55</v>
      </c>
      <c r="AA13" s="124" t="s">
        <v>210</v>
      </c>
      <c r="AB13" s="124"/>
      <c r="AC13" s="124"/>
      <c r="AD13" s="124"/>
      <c r="AE13" s="119"/>
      <c r="AF13" s="132"/>
      <c r="AG13" s="127"/>
      <c r="AH13"/>
      <c r="AI13"/>
      <c r="AJ13"/>
      <c r="AK13"/>
      <c r="AL13"/>
    </row>
    <row r="14" spans="1:38" s="128" customFormat="1" ht="24.95" customHeight="1" x14ac:dyDescent="0.3">
      <c r="A14" s="113">
        <v>1</v>
      </c>
      <c r="B14" s="114" t="s">
        <v>206</v>
      </c>
      <c r="C14" s="115" t="s">
        <v>81</v>
      </c>
      <c r="D14" s="116">
        <v>1</v>
      </c>
      <c r="E14" s="148">
        <v>700</v>
      </c>
      <c r="F14" s="149">
        <v>2</v>
      </c>
      <c r="G14" s="115" t="s">
        <v>40</v>
      </c>
      <c r="H14" s="115">
        <v>2</v>
      </c>
      <c r="I14" s="115" t="s">
        <v>247</v>
      </c>
      <c r="J14" s="115"/>
      <c r="K14" s="119" t="s">
        <v>211</v>
      </c>
      <c r="L14" s="115" t="s">
        <v>72</v>
      </c>
      <c r="M14" s="120" t="s">
        <v>36</v>
      </c>
      <c r="N14" s="119" t="s">
        <v>69</v>
      </c>
      <c r="O14" s="130" t="s">
        <v>116</v>
      </c>
      <c r="P14" s="119" t="s">
        <v>209</v>
      </c>
      <c r="Q14" s="37"/>
      <c r="R14" s="115" t="s">
        <v>49</v>
      </c>
      <c r="S14" s="117" t="s">
        <v>41</v>
      </c>
      <c r="T14" s="117">
        <v>500</v>
      </c>
      <c r="U14" s="131">
        <v>200</v>
      </c>
      <c r="V14" s="117" t="s">
        <v>120</v>
      </c>
      <c r="W14" s="117" t="s">
        <v>37</v>
      </c>
      <c r="X14" s="123">
        <v>2008</v>
      </c>
      <c r="Y14" s="124">
        <v>1.68</v>
      </c>
      <c r="Z14" s="124">
        <f>Y14</f>
        <v>1.68</v>
      </c>
      <c r="AA14" s="124" t="s">
        <v>210</v>
      </c>
      <c r="AB14" s="124"/>
      <c r="AC14" s="124"/>
      <c r="AD14" s="124"/>
      <c r="AE14" s="119"/>
      <c r="AF14" s="126"/>
      <c r="AG14" s="127"/>
      <c r="AH14"/>
      <c r="AI14"/>
      <c r="AJ14"/>
      <c r="AK14"/>
      <c r="AL14"/>
    </row>
    <row r="15" spans="1:38" ht="24.95" hidden="1" customHeight="1" x14ac:dyDescent="0.3">
      <c r="A15" s="2"/>
      <c r="B15" s="3"/>
      <c r="C15" s="1" t="s">
        <v>58</v>
      </c>
      <c r="D15" s="58">
        <v>4</v>
      </c>
      <c r="E15" s="5">
        <v>80</v>
      </c>
      <c r="F15" s="45">
        <v>2</v>
      </c>
      <c r="G15" s="1" t="s">
        <v>75</v>
      </c>
      <c r="H15" s="1">
        <v>2</v>
      </c>
      <c r="I15" s="24" t="s">
        <v>84</v>
      </c>
      <c r="J15" s="1"/>
      <c r="K15" s="4" t="s">
        <v>85</v>
      </c>
      <c r="L15" s="1" t="s">
        <v>86</v>
      </c>
      <c r="M15" s="26" t="s">
        <v>73</v>
      </c>
      <c r="N15" s="4" t="s">
        <v>44</v>
      </c>
      <c r="O15" s="4" t="s">
        <v>82</v>
      </c>
      <c r="P15" s="4" t="s">
        <v>61</v>
      </c>
      <c r="Q15" s="37" t="s">
        <v>35</v>
      </c>
      <c r="R15" s="1" t="s">
        <v>68</v>
      </c>
      <c r="S15" s="5" t="s">
        <v>65</v>
      </c>
      <c r="T15" s="5" t="s">
        <v>67</v>
      </c>
      <c r="U15" s="62" t="s">
        <v>67</v>
      </c>
      <c r="V15" s="20" t="s">
        <v>80</v>
      </c>
      <c r="W15" s="5" t="s">
        <v>37</v>
      </c>
      <c r="X15" s="15">
        <v>1995</v>
      </c>
      <c r="Y15" s="16">
        <v>1.3</v>
      </c>
      <c r="Z15" s="16">
        <v>1.3</v>
      </c>
      <c r="AA15" s="16" t="s">
        <v>42</v>
      </c>
      <c r="AB15" s="16" t="s">
        <v>42</v>
      </c>
      <c r="AC15" s="40"/>
      <c r="AD15" s="40"/>
      <c r="AE15" s="4"/>
      <c r="AF15" s="6"/>
    </row>
    <row r="16" spans="1:38" ht="24.95" hidden="1" customHeight="1" x14ac:dyDescent="0.3">
      <c r="A16" s="2"/>
      <c r="B16" s="3"/>
      <c r="C16" s="1" t="s">
        <v>87</v>
      </c>
      <c r="D16" s="58">
        <v>5</v>
      </c>
      <c r="E16" s="5" t="s">
        <v>88</v>
      </c>
      <c r="F16" s="45">
        <v>2</v>
      </c>
      <c r="G16" s="1" t="s">
        <v>38</v>
      </c>
      <c r="H16" s="1">
        <v>2</v>
      </c>
      <c r="I16" s="24" t="s">
        <v>95</v>
      </c>
      <c r="J16" s="1"/>
      <c r="K16" s="4" t="s">
        <v>96</v>
      </c>
      <c r="L16" s="1" t="s">
        <v>97</v>
      </c>
      <c r="M16" s="26" t="s">
        <v>98</v>
      </c>
      <c r="N16" s="4" t="s">
        <v>44</v>
      </c>
      <c r="O16" s="4" t="s">
        <v>82</v>
      </c>
      <c r="P16" s="4" t="s">
        <v>61</v>
      </c>
      <c r="Q16" s="37" t="s">
        <v>35</v>
      </c>
      <c r="R16" s="1" t="s">
        <v>49</v>
      </c>
      <c r="S16" s="5" t="s">
        <v>99</v>
      </c>
      <c r="T16" s="5" t="s">
        <v>100</v>
      </c>
      <c r="U16" s="62">
        <v>5</v>
      </c>
      <c r="V16" s="20" t="s">
        <v>80</v>
      </c>
      <c r="W16" s="5" t="s">
        <v>37</v>
      </c>
      <c r="X16" s="15">
        <v>1993</v>
      </c>
      <c r="Y16" s="16">
        <v>1.6</v>
      </c>
      <c r="Z16" s="16">
        <v>1.6</v>
      </c>
      <c r="AA16" s="16" t="s">
        <v>42</v>
      </c>
      <c r="AB16" s="16" t="s">
        <v>42</v>
      </c>
      <c r="AC16" s="40"/>
      <c r="AD16" s="40"/>
      <c r="AE16" s="4"/>
      <c r="AF16" s="6"/>
    </row>
    <row r="17" spans="1:38" ht="24.95" hidden="1" customHeight="1" x14ac:dyDescent="0.3">
      <c r="A17" s="2"/>
      <c r="B17" s="3"/>
      <c r="C17" s="1" t="s">
        <v>87</v>
      </c>
      <c r="D17" s="58">
        <v>6</v>
      </c>
      <c r="E17" s="5" t="s">
        <v>89</v>
      </c>
      <c r="F17" s="45">
        <v>2</v>
      </c>
      <c r="G17" s="1" t="s">
        <v>38</v>
      </c>
      <c r="H17" s="1">
        <v>2</v>
      </c>
      <c r="I17" s="24" t="s">
        <v>95</v>
      </c>
      <c r="J17" s="1"/>
      <c r="K17" s="4" t="s">
        <v>96</v>
      </c>
      <c r="L17" s="1" t="s">
        <v>97</v>
      </c>
      <c r="M17" s="26" t="s">
        <v>98</v>
      </c>
      <c r="N17" s="4" t="s">
        <v>44</v>
      </c>
      <c r="O17" s="4" t="s">
        <v>82</v>
      </c>
      <c r="P17" s="4" t="s">
        <v>61</v>
      </c>
      <c r="Q17" s="37" t="s">
        <v>35</v>
      </c>
      <c r="R17" s="1" t="s">
        <v>49</v>
      </c>
      <c r="S17" s="5" t="s">
        <v>99</v>
      </c>
      <c r="T17" s="5" t="s">
        <v>100</v>
      </c>
      <c r="U17" s="62">
        <v>5</v>
      </c>
      <c r="V17" s="20" t="s">
        <v>80</v>
      </c>
      <c r="W17" s="5" t="s">
        <v>37</v>
      </c>
      <c r="X17" s="15">
        <v>1993</v>
      </c>
      <c r="Y17" s="16">
        <v>1.6</v>
      </c>
      <c r="Z17" s="16">
        <v>1.6</v>
      </c>
      <c r="AA17" s="16" t="s">
        <v>42</v>
      </c>
      <c r="AB17" s="16" t="s">
        <v>42</v>
      </c>
      <c r="AC17" s="40"/>
      <c r="AD17" s="40"/>
      <c r="AE17" s="4"/>
      <c r="AF17" s="6"/>
    </row>
    <row r="18" spans="1:38" ht="24.95" hidden="1" customHeight="1" x14ac:dyDescent="0.3">
      <c r="A18" s="2"/>
      <c r="B18" s="3"/>
      <c r="C18" s="1" t="s">
        <v>87</v>
      </c>
      <c r="D18" s="58">
        <v>7</v>
      </c>
      <c r="E18" s="5" t="s">
        <v>90</v>
      </c>
      <c r="F18" s="45">
        <v>2</v>
      </c>
      <c r="G18" s="1" t="s">
        <v>38</v>
      </c>
      <c r="H18" s="1">
        <v>2</v>
      </c>
      <c r="I18" s="24" t="s">
        <v>95</v>
      </c>
      <c r="J18" s="1"/>
      <c r="K18" s="4" t="s">
        <v>96</v>
      </c>
      <c r="L18" s="1" t="s">
        <v>97</v>
      </c>
      <c r="M18" s="26" t="s">
        <v>98</v>
      </c>
      <c r="N18" s="4" t="s">
        <v>44</v>
      </c>
      <c r="O18" s="4" t="s">
        <v>82</v>
      </c>
      <c r="P18" s="4" t="s">
        <v>61</v>
      </c>
      <c r="Q18" s="37" t="s">
        <v>35</v>
      </c>
      <c r="R18" s="1" t="s">
        <v>49</v>
      </c>
      <c r="S18" s="5" t="s">
        <v>99</v>
      </c>
      <c r="T18" s="5" t="s">
        <v>100</v>
      </c>
      <c r="U18" s="62">
        <v>5</v>
      </c>
      <c r="V18" s="20" t="s">
        <v>80</v>
      </c>
      <c r="W18" s="5" t="s">
        <v>37</v>
      </c>
      <c r="X18" s="15">
        <v>1993</v>
      </c>
      <c r="Y18" s="16">
        <v>1.6</v>
      </c>
      <c r="Z18" s="16">
        <v>1.6</v>
      </c>
      <c r="AA18" s="16" t="s">
        <v>42</v>
      </c>
      <c r="AB18" s="16" t="s">
        <v>42</v>
      </c>
      <c r="AC18" s="40"/>
      <c r="AD18" s="40"/>
      <c r="AE18" s="4"/>
      <c r="AF18" s="6"/>
    </row>
    <row r="19" spans="1:38" ht="24.95" hidden="1" customHeight="1" x14ac:dyDescent="0.3">
      <c r="A19" s="2"/>
      <c r="B19" s="3"/>
      <c r="C19" s="1" t="s">
        <v>87</v>
      </c>
      <c r="D19" s="58">
        <v>8</v>
      </c>
      <c r="E19" s="5" t="s">
        <v>91</v>
      </c>
      <c r="F19" s="45">
        <v>2</v>
      </c>
      <c r="G19" s="1" t="s">
        <v>38</v>
      </c>
      <c r="H19" s="1">
        <v>2</v>
      </c>
      <c r="I19" s="24" t="s">
        <v>101</v>
      </c>
      <c r="J19" s="1"/>
      <c r="K19" s="4" t="s">
        <v>102</v>
      </c>
      <c r="L19" s="1" t="s">
        <v>97</v>
      </c>
      <c r="M19" s="26" t="s">
        <v>98</v>
      </c>
      <c r="N19" s="4" t="s">
        <v>44</v>
      </c>
      <c r="O19" s="4" t="s">
        <v>82</v>
      </c>
      <c r="P19" s="4" t="s">
        <v>61</v>
      </c>
      <c r="Q19" s="37" t="s">
        <v>35</v>
      </c>
      <c r="R19" s="1" t="s">
        <v>49</v>
      </c>
      <c r="S19" s="5" t="s">
        <v>65</v>
      </c>
      <c r="T19" s="5" t="s">
        <v>39</v>
      </c>
      <c r="U19" s="62" t="s">
        <v>39</v>
      </c>
      <c r="V19" s="20" t="s">
        <v>80</v>
      </c>
      <c r="W19" s="5" t="s">
        <v>37</v>
      </c>
      <c r="X19" s="15">
        <v>1993</v>
      </c>
      <c r="Y19" s="16">
        <v>3.8</v>
      </c>
      <c r="Z19" s="16">
        <v>3.8</v>
      </c>
      <c r="AA19" s="16" t="s">
        <v>42</v>
      </c>
      <c r="AB19" s="16" t="s">
        <v>113</v>
      </c>
      <c r="AC19" s="40"/>
      <c r="AD19" s="40"/>
      <c r="AE19" s="4"/>
      <c r="AF19" s="6"/>
    </row>
    <row r="20" spans="1:38" ht="24.95" hidden="1" customHeight="1" x14ac:dyDescent="0.3">
      <c r="A20" s="2"/>
      <c r="B20" s="3"/>
      <c r="C20" s="1" t="s">
        <v>92</v>
      </c>
      <c r="D20" s="58">
        <v>1</v>
      </c>
      <c r="E20" s="5" t="s">
        <v>93</v>
      </c>
      <c r="F20" s="45">
        <v>2</v>
      </c>
      <c r="G20" s="1" t="s">
        <v>38</v>
      </c>
      <c r="H20" s="1">
        <v>2</v>
      </c>
      <c r="I20" s="24" t="s">
        <v>108</v>
      </c>
      <c r="J20" s="1"/>
      <c r="K20" s="4" t="s">
        <v>107</v>
      </c>
      <c r="L20" s="1" t="s">
        <v>133</v>
      </c>
      <c r="M20" s="26" t="s">
        <v>109</v>
      </c>
      <c r="N20" s="4"/>
      <c r="O20" s="37"/>
      <c r="P20" s="61" t="s">
        <v>106</v>
      </c>
      <c r="Q20" s="37" t="s">
        <v>35</v>
      </c>
      <c r="R20" s="1"/>
      <c r="S20" s="5" t="s">
        <v>110</v>
      </c>
      <c r="T20" s="5" t="s">
        <v>111</v>
      </c>
      <c r="U20" s="62" t="s">
        <v>111</v>
      </c>
      <c r="V20" s="20" t="s">
        <v>53</v>
      </c>
      <c r="W20" s="5"/>
      <c r="X20" s="15"/>
      <c r="Y20" s="16" t="s">
        <v>111</v>
      </c>
      <c r="Z20" s="16" t="s">
        <v>111</v>
      </c>
      <c r="AA20" s="16" t="s">
        <v>42</v>
      </c>
      <c r="AB20" s="16" t="s">
        <v>42</v>
      </c>
      <c r="AC20" s="40"/>
      <c r="AD20" s="40"/>
      <c r="AE20" s="4"/>
      <c r="AF20" s="6"/>
    </row>
    <row r="21" spans="1:38" ht="24.95" hidden="1" customHeight="1" x14ac:dyDescent="0.3">
      <c r="A21" s="2"/>
      <c r="B21" s="3"/>
      <c r="C21" s="1" t="s">
        <v>94</v>
      </c>
      <c r="D21" s="58">
        <v>9</v>
      </c>
      <c r="E21" s="5">
        <v>700</v>
      </c>
      <c r="F21" s="45">
        <v>4</v>
      </c>
      <c r="G21" s="1" t="s">
        <v>38</v>
      </c>
      <c r="H21" s="1">
        <v>4</v>
      </c>
      <c r="I21" s="24" t="s">
        <v>103</v>
      </c>
      <c r="J21" s="1"/>
      <c r="K21" s="4" t="s">
        <v>112</v>
      </c>
      <c r="L21" s="1" t="s">
        <v>104</v>
      </c>
      <c r="M21" s="26" t="s">
        <v>98</v>
      </c>
      <c r="N21" s="4" t="s">
        <v>44</v>
      </c>
      <c r="O21" s="4" t="s">
        <v>82</v>
      </c>
      <c r="P21" s="4" t="s">
        <v>61</v>
      </c>
      <c r="Q21" s="37" t="s">
        <v>35</v>
      </c>
      <c r="R21" s="1" t="s">
        <v>49</v>
      </c>
      <c r="S21" s="5" t="s">
        <v>65</v>
      </c>
      <c r="T21" s="5" t="s">
        <v>39</v>
      </c>
      <c r="U21" s="62" t="s">
        <v>39</v>
      </c>
      <c r="V21" s="20" t="s">
        <v>80</v>
      </c>
      <c r="W21" s="5" t="s">
        <v>105</v>
      </c>
      <c r="X21" s="15">
        <v>1998</v>
      </c>
      <c r="Y21" s="16">
        <v>3.2</v>
      </c>
      <c r="Z21" s="16">
        <v>3.2</v>
      </c>
      <c r="AA21" s="16" t="s">
        <v>42</v>
      </c>
      <c r="AB21" s="16" t="s">
        <v>113</v>
      </c>
      <c r="AC21" s="40"/>
      <c r="AD21" s="40"/>
      <c r="AE21" s="4"/>
      <c r="AF21" s="6"/>
    </row>
    <row r="22" spans="1:38" s="146" customFormat="1" ht="24.95" customHeight="1" x14ac:dyDescent="0.3">
      <c r="A22" s="113">
        <v>9</v>
      </c>
      <c r="B22" s="114" t="s">
        <v>206</v>
      </c>
      <c r="C22" s="115" t="s">
        <v>146</v>
      </c>
      <c r="D22" s="116"/>
      <c r="E22" s="117">
        <v>700</v>
      </c>
      <c r="F22" s="149">
        <v>2</v>
      </c>
      <c r="G22" s="115" t="s">
        <v>163</v>
      </c>
      <c r="H22" s="115">
        <v>2</v>
      </c>
      <c r="I22" s="115" t="s">
        <v>162</v>
      </c>
      <c r="J22" s="115"/>
      <c r="K22" s="119" t="s">
        <v>222</v>
      </c>
      <c r="L22" s="115" t="s">
        <v>134</v>
      </c>
      <c r="M22" s="120" t="s">
        <v>156</v>
      </c>
      <c r="N22" s="119" t="s">
        <v>164</v>
      </c>
      <c r="O22" s="119" t="s">
        <v>116</v>
      </c>
      <c r="P22" s="119" t="s">
        <v>209</v>
      </c>
      <c r="Q22" s="37" t="s">
        <v>35</v>
      </c>
      <c r="R22" s="115" t="s">
        <v>160</v>
      </c>
      <c r="S22" s="117" t="s">
        <v>157</v>
      </c>
      <c r="T22" s="117">
        <v>500</v>
      </c>
      <c r="U22" s="122">
        <v>165</v>
      </c>
      <c r="V22" s="117" t="s">
        <v>158</v>
      </c>
      <c r="W22" s="117" t="s">
        <v>159</v>
      </c>
      <c r="X22" s="123">
        <v>1999</v>
      </c>
      <c r="Y22" s="124">
        <v>1.1000000000000001</v>
      </c>
      <c r="Z22" s="124">
        <f>Y22</f>
        <v>1.1000000000000001</v>
      </c>
      <c r="AA22" s="124"/>
      <c r="AB22" s="124"/>
      <c r="AC22" s="125"/>
      <c r="AD22" s="125"/>
      <c r="AE22" s="119"/>
      <c r="AF22" s="126"/>
      <c r="AG22" s="127"/>
      <c r="AH22"/>
      <c r="AI22"/>
      <c r="AJ22"/>
      <c r="AK22"/>
      <c r="AL22"/>
    </row>
    <row r="23" spans="1:38" s="146" customFormat="1" ht="24.95" customHeight="1" x14ac:dyDescent="0.3">
      <c r="A23" s="113">
        <v>10</v>
      </c>
      <c r="B23" s="114" t="s">
        <v>220</v>
      </c>
      <c r="C23" s="115" t="s">
        <v>146</v>
      </c>
      <c r="D23" s="116"/>
      <c r="E23" s="117">
        <v>500</v>
      </c>
      <c r="F23" s="118">
        <v>2</v>
      </c>
      <c r="G23" s="115" t="s">
        <v>163</v>
      </c>
      <c r="H23" s="115">
        <v>2</v>
      </c>
      <c r="I23" s="115" t="s">
        <v>162</v>
      </c>
      <c r="J23" s="115"/>
      <c r="K23" s="119" t="s">
        <v>223</v>
      </c>
      <c r="L23" s="115" t="s">
        <v>97</v>
      </c>
      <c r="M23" s="120" t="s">
        <v>156</v>
      </c>
      <c r="N23" s="119" t="s">
        <v>164</v>
      </c>
      <c r="O23" s="119" t="s">
        <v>116</v>
      </c>
      <c r="P23" s="119" t="s">
        <v>209</v>
      </c>
      <c r="Q23" s="37" t="s">
        <v>35</v>
      </c>
      <c r="R23" s="115" t="s">
        <v>160</v>
      </c>
      <c r="S23" s="117" t="s">
        <v>157</v>
      </c>
      <c r="T23" s="117">
        <v>500</v>
      </c>
      <c r="U23" s="122">
        <v>165</v>
      </c>
      <c r="V23" s="117" t="s">
        <v>158</v>
      </c>
      <c r="W23" s="117" t="s">
        <v>159</v>
      </c>
      <c r="X23" s="123">
        <v>2007</v>
      </c>
      <c r="Y23" s="124">
        <v>1.34</v>
      </c>
      <c r="Z23" s="124">
        <f>Y23</f>
        <v>1.34</v>
      </c>
      <c r="AA23" s="124"/>
      <c r="AB23" s="124"/>
      <c r="AC23" s="125"/>
      <c r="AD23" s="125"/>
      <c r="AE23" s="119"/>
      <c r="AF23" s="126"/>
      <c r="AG23" s="127"/>
      <c r="AH23"/>
      <c r="AI23"/>
      <c r="AJ23"/>
      <c r="AK23"/>
      <c r="AL23"/>
    </row>
    <row r="24" spans="1:38" s="92" customFormat="1" ht="24.95" customHeight="1" x14ac:dyDescent="0.3">
      <c r="A24" s="113">
        <v>11</v>
      </c>
      <c r="B24" s="114" t="s">
        <v>206</v>
      </c>
      <c r="C24" s="115" t="s">
        <v>161</v>
      </c>
      <c r="D24" s="116"/>
      <c r="E24" s="117">
        <v>700</v>
      </c>
      <c r="F24" s="181">
        <v>2</v>
      </c>
      <c r="G24" s="115" t="s">
        <v>163</v>
      </c>
      <c r="H24" s="115">
        <v>2</v>
      </c>
      <c r="I24" s="115" t="s">
        <v>162</v>
      </c>
      <c r="J24" s="115"/>
      <c r="K24" s="119" t="s">
        <v>223</v>
      </c>
      <c r="L24" s="115" t="s">
        <v>134</v>
      </c>
      <c r="M24" s="120" t="s">
        <v>156</v>
      </c>
      <c r="N24" s="119" t="s">
        <v>164</v>
      </c>
      <c r="O24" s="121" t="s">
        <v>116</v>
      </c>
      <c r="P24" s="119" t="s">
        <v>209</v>
      </c>
      <c r="Q24" s="37" t="s">
        <v>35</v>
      </c>
      <c r="R24" s="115" t="s">
        <v>160</v>
      </c>
      <c r="S24" s="117" t="s">
        <v>157</v>
      </c>
      <c r="T24" s="117">
        <v>500</v>
      </c>
      <c r="U24" s="122">
        <v>165</v>
      </c>
      <c r="V24" s="117" t="s">
        <v>158</v>
      </c>
      <c r="W24" s="117" t="s">
        <v>159</v>
      </c>
      <c r="X24" s="123">
        <v>2024</v>
      </c>
      <c r="Y24" s="124">
        <v>1.1000000000000001</v>
      </c>
      <c r="Z24" s="124">
        <f>Y24</f>
        <v>1.1000000000000001</v>
      </c>
      <c r="AA24" s="124"/>
      <c r="AB24" s="124"/>
      <c r="AC24" s="125"/>
      <c r="AD24" s="125"/>
      <c r="AE24" s="119"/>
      <c r="AF24" s="126"/>
      <c r="AG24" s="127"/>
      <c r="AH24"/>
      <c r="AI24"/>
      <c r="AJ24"/>
      <c r="AK24"/>
      <c r="AL24"/>
    </row>
    <row r="25" spans="1:38" s="92" customFormat="1" ht="24.95" customHeight="1" x14ac:dyDescent="0.3">
      <c r="A25" s="133">
        <v>3</v>
      </c>
      <c r="B25" s="134" t="s">
        <v>206</v>
      </c>
      <c r="C25" s="135" t="s">
        <v>123</v>
      </c>
      <c r="D25" s="136">
        <v>3</v>
      </c>
      <c r="E25" s="137">
        <v>700</v>
      </c>
      <c r="F25" s="181">
        <v>2</v>
      </c>
      <c r="G25" s="135" t="s">
        <v>40</v>
      </c>
      <c r="H25" s="135">
        <v>2</v>
      </c>
      <c r="I25" s="135" t="s">
        <v>212</v>
      </c>
      <c r="J25" s="135"/>
      <c r="K25" s="138" t="s">
        <v>213</v>
      </c>
      <c r="L25" s="135" t="s">
        <v>124</v>
      </c>
      <c r="M25" s="139" t="s">
        <v>125</v>
      </c>
      <c r="N25" s="138" t="s">
        <v>126</v>
      </c>
      <c r="O25" s="147" t="s">
        <v>130</v>
      </c>
      <c r="P25" s="138" t="s">
        <v>209</v>
      </c>
      <c r="Q25" s="37" t="s">
        <v>35</v>
      </c>
      <c r="R25" s="135" t="s">
        <v>127</v>
      </c>
      <c r="S25" s="137" t="s">
        <v>128</v>
      </c>
      <c r="T25" s="137">
        <v>500</v>
      </c>
      <c r="U25" s="140">
        <v>168</v>
      </c>
      <c r="V25" s="137" t="s">
        <v>54</v>
      </c>
      <c r="W25" s="137" t="s">
        <v>129</v>
      </c>
      <c r="X25" s="141">
        <v>1996</v>
      </c>
      <c r="Y25" s="142">
        <v>2.2599999999999998</v>
      </c>
      <c r="Z25" s="142">
        <f>Y25</f>
        <v>2.2599999999999998</v>
      </c>
      <c r="AA25" s="142"/>
      <c r="AB25" s="142"/>
      <c r="AC25" s="143"/>
      <c r="AD25" s="143"/>
      <c r="AE25" s="138"/>
      <c r="AF25" s="144"/>
      <c r="AG25" s="145"/>
      <c r="AH25"/>
      <c r="AI25"/>
      <c r="AJ25"/>
      <c r="AK25"/>
      <c r="AL25"/>
    </row>
    <row r="26" spans="1:38" s="92" customFormat="1" ht="24.95" customHeight="1" x14ac:dyDescent="0.3">
      <c r="A26" s="133">
        <v>4</v>
      </c>
      <c r="B26" s="134" t="s">
        <v>206</v>
      </c>
      <c r="C26" s="135" t="s">
        <v>81</v>
      </c>
      <c r="D26" s="136">
        <v>4</v>
      </c>
      <c r="E26" s="137">
        <v>700</v>
      </c>
      <c r="F26" s="181">
        <v>2</v>
      </c>
      <c r="G26" s="135" t="s">
        <v>40</v>
      </c>
      <c r="H26" s="135">
        <v>2</v>
      </c>
      <c r="I26" s="135" t="s">
        <v>212</v>
      </c>
      <c r="J26" s="135"/>
      <c r="K26" s="138" t="s">
        <v>213</v>
      </c>
      <c r="L26" s="135" t="s">
        <v>72</v>
      </c>
      <c r="M26" s="139" t="s">
        <v>36</v>
      </c>
      <c r="N26" s="138" t="s">
        <v>69</v>
      </c>
      <c r="O26" s="147" t="s">
        <v>130</v>
      </c>
      <c r="P26" s="138" t="s">
        <v>209</v>
      </c>
      <c r="Q26" s="37" t="s">
        <v>35</v>
      </c>
      <c r="R26" s="135" t="s">
        <v>49</v>
      </c>
      <c r="S26" s="137" t="s">
        <v>41</v>
      </c>
      <c r="T26" s="137">
        <v>500</v>
      </c>
      <c r="U26" s="140">
        <v>163</v>
      </c>
      <c r="V26" s="137" t="s">
        <v>54</v>
      </c>
      <c r="W26" s="137" t="s">
        <v>37</v>
      </c>
      <c r="X26" s="141">
        <v>1996</v>
      </c>
      <c r="Y26" s="142">
        <v>2.06</v>
      </c>
      <c r="Z26" s="142">
        <f>Y26</f>
        <v>2.06</v>
      </c>
      <c r="AA26" s="142"/>
      <c r="AB26" s="142"/>
      <c r="AC26" s="143"/>
      <c r="AD26" s="143"/>
      <c r="AE26" s="138"/>
      <c r="AF26" s="144"/>
      <c r="AG26" s="145"/>
      <c r="AH26"/>
      <c r="AI26"/>
      <c r="AJ26"/>
      <c r="AK26"/>
      <c r="AL26"/>
    </row>
    <row r="27" spans="1:38" ht="24.95" hidden="1" customHeight="1" x14ac:dyDescent="0.3">
      <c r="A27" s="2"/>
      <c r="B27" s="3"/>
      <c r="C27" s="1" t="s">
        <v>142</v>
      </c>
      <c r="D27" s="58">
        <v>1</v>
      </c>
      <c r="E27" s="5">
        <v>500</v>
      </c>
      <c r="F27" s="45">
        <v>2</v>
      </c>
      <c r="G27" s="1" t="s">
        <v>148</v>
      </c>
      <c r="H27" s="1">
        <v>2</v>
      </c>
      <c r="I27" s="24" t="s">
        <v>143</v>
      </c>
      <c r="J27" s="1"/>
      <c r="K27" s="4" t="s">
        <v>144</v>
      </c>
      <c r="L27" s="1" t="s">
        <v>134</v>
      </c>
      <c r="M27" s="26" t="s">
        <v>149</v>
      </c>
      <c r="N27" s="4" t="s">
        <v>151</v>
      </c>
      <c r="O27" s="37" t="s">
        <v>152</v>
      </c>
      <c r="P27" s="4" t="s">
        <v>147</v>
      </c>
      <c r="Q27" s="37" t="s">
        <v>35</v>
      </c>
      <c r="R27" s="1" t="s">
        <v>150</v>
      </c>
      <c r="S27" s="5" t="s">
        <v>153</v>
      </c>
      <c r="T27" s="5" t="s">
        <v>154</v>
      </c>
      <c r="U27" s="62" t="s">
        <v>154</v>
      </c>
      <c r="V27" s="20" t="s">
        <v>53</v>
      </c>
      <c r="W27" s="5" t="s">
        <v>155</v>
      </c>
      <c r="X27" s="15">
        <v>2009</v>
      </c>
      <c r="Y27" s="16">
        <v>3.39</v>
      </c>
      <c r="Z27" s="16">
        <v>3.39</v>
      </c>
      <c r="AA27" s="16" t="s">
        <v>42</v>
      </c>
      <c r="AB27" s="16" t="s">
        <v>42</v>
      </c>
      <c r="AC27" s="40"/>
      <c r="AD27" s="40"/>
      <c r="AE27" s="4"/>
      <c r="AF27" s="6"/>
    </row>
    <row r="28" spans="1:38" s="146" customFormat="1" ht="24.95" customHeight="1" x14ac:dyDescent="0.3">
      <c r="A28" s="133">
        <v>8</v>
      </c>
      <c r="B28" s="134" t="s">
        <v>220</v>
      </c>
      <c r="C28" s="135" t="s">
        <v>146</v>
      </c>
      <c r="D28" s="136">
        <v>6</v>
      </c>
      <c r="E28" s="137">
        <v>700</v>
      </c>
      <c r="F28" s="182">
        <v>2</v>
      </c>
      <c r="G28" s="135" t="s">
        <v>170</v>
      </c>
      <c r="H28" s="135">
        <v>2</v>
      </c>
      <c r="I28" s="135" t="s">
        <v>246</v>
      </c>
      <c r="J28" s="135"/>
      <c r="K28" s="138" t="s">
        <v>221</v>
      </c>
      <c r="L28" s="135" t="s">
        <v>133</v>
      </c>
      <c r="M28" s="139" t="s">
        <v>156</v>
      </c>
      <c r="N28" s="138" t="s">
        <v>205</v>
      </c>
      <c r="O28" s="138" t="s">
        <v>130</v>
      </c>
      <c r="P28" s="138" t="s">
        <v>209</v>
      </c>
      <c r="Q28" s="71" t="s">
        <v>35</v>
      </c>
      <c r="R28" s="135" t="s">
        <v>55</v>
      </c>
      <c r="S28" s="137" t="s">
        <v>157</v>
      </c>
      <c r="T28" s="137">
        <v>500</v>
      </c>
      <c r="U28" s="140">
        <v>130</v>
      </c>
      <c r="V28" s="137" t="s">
        <v>158</v>
      </c>
      <c r="W28" s="137" t="s">
        <v>159</v>
      </c>
      <c r="X28" s="141">
        <v>2024</v>
      </c>
      <c r="Y28" s="142">
        <v>0.93</v>
      </c>
      <c r="Z28" s="142">
        <f>Y28</f>
        <v>0.93</v>
      </c>
      <c r="AA28" s="142"/>
      <c r="AB28" s="142"/>
      <c r="AC28" s="143"/>
      <c r="AD28" s="143"/>
      <c r="AE28" s="138"/>
      <c r="AF28" s="144"/>
      <c r="AG28" s="145"/>
      <c r="AH28"/>
      <c r="AI28"/>
      <c r="AJ28"/>
      <c r="AK28"/>
      <c r="AL28"/>
    </row>
    <row r="29" spans="1:38" ht="24.95" hidden="1" customHeight="1" x14ac:dyDescent="0.3">
      <c r="A29" s="2"/>
      <c r="B29" s="3"/>
      <c r="C29" s="1" t="s">
        <v>58</v>
      </c>
      <c r="D29" s="58">
        <v>10</v>
      </c>
      <c r="E29" s="5">
        <v>600</v>
      </c>
      <c r="F29" s="45">
        <v>2</v>
      </c>
      <c r="G29" s="1" t="s">
        <v>40</v>
      </c>
      <c r="H29" s="1">
        <v>2</v>
      </c>
      <c r="I29" s="24" t="s">
        <v>139</v>
      </c>
      <c r="J29" s="1"/>
      <c r="K29" s="4" t="s">
        <v>140</v>
      </c>
      <c r="L29" s="1" t="s">
        <v>141</v>
      </c>
      <c r="M29" s="26" t="s">
        <v>36</v>
      </c>
      <c r="N29" s="4" t="s">
        <v>44</v>
      </c>
      <c r="O29" s="37" t="s">
        <v>82</v>
      </c>
      <c r="P29" s="4" t="s">
        <v>61</v>
      </c>
      <c r="Q29" s="37" t="s">
        <v>35</v>
      </c>
      <c r="R29" s="1" t="s">
        <v>49</v>
      </c>
      <c r="S29" s="5" t="s">
        <v>65</v>
      </c>
      <c r="T29" s="5" t="s">
        <v>39</v>
      </c>
      <c r="U29" s="62" t="s">
        <v>39</v>
      </c>
      <c r="V29" s="20" t="s">
        <v>80</v>
      </c>
      <c r="W29" s="5" t="s">
        <v>37</v>
      </c>
      <c r="X29" s="15">
        <v>1995</v>
      </c>
      <c r="Y29" s="16">
        <v>2.2000000000000002</v>
      </c>
      <c r="Z29" s="16">
        <v>2.2000000000000002</v>
      </c>
      <c r="AA29" s="16" t="s">
        <v>42</v>
      </c>
      <c r="AB29" s="16" t="s">
        <v>145</v>
      </c>
      <c r="AC29" s="40"/>
      <c r="AD29" s="40"/>
      <c r="AE29" s="4"/>
      <c r="AF29" s="6"/>
    </row>
    <row r="30" spans="1:38" s="128" customFormat="1" ht="24.95" customHeight="1" x14ac:dyDescent="0.3">
      <c r="A30" s="86">
        <v>6</v>
      </c>
      <c r="B30" s="80" t="s">
        <v>215</v>
      </c>
      <c r="C30" s="81" t="s">
        <v>81</v>
      </c>
      <c r="D30" s="82" t="s">
        <v>238</v>
      </c>
      <c r="E30" s="83" t="s">
        <v>131</v>
      </c>
      <c r="F30" s="183">
        <v>1</v>
      </c>
      <c r="G30" s="81" t="s">
        <v>138</v>
      </c>
      <c r="H30" s="81"/>
      <c r="I30" s="81" t="s">
        <v>216</v>
      </c>
      <c r="J30" s="81"/>
      <c r="K30" s="84" t="s">
        <v>214</v>
      </c>
      <c r="L30" s="81" t="s">
        <v>97</v>
      </c>
      <c r="M30" s="85" t="s">
        <v>36</v>
      </c>
      <c r="N30" s="84" t="s">
        <v>136</v>
      </c>
      <c r="O30" s="94" t="s">
        <v>135</v>
      </c>
      <c r="P30" s="84" t="s">
        <v>132</v>
      </c>
      <c r="Q30" s="37" t="s">
        <v>35</v>
      </c>
      <c r="R30" s="81" t="s">
        <v>202</v>
      </c>
      <c r="S30" s="83" t="s">
        <v>137</v>
      </c>
      <c r="T30" s="83">
        <v>150</v>
      </c>
      <c r="U30" s="95">
        <v>10</v>
      </c>
      <c r="V30" s="83" t="s">
        <v>53</v>
      </c>
      <c r="W30" s="83" t="s">
        <v>43</v>
      </c>
      <c r="X30" s="88">
        <v>2002</v>
      </c>
      <c r="Y30" s="89">
        <v>1.25</v>
      </c>
      <c r="Z30" s="89">
        <f>Y30</f>
        <v>1.25</v>
      </c>
      <c r="AA30" s="89"/>
      <c r="AB30" s="89"/>
      <c r="AC30" s="93"/>
      <c r="AD30" s="93"/>
      <c r="AE30" s="84"/>
      <c r="AF30" s="91"/>
      <c r="AG30" s="90"/>
      <c r="AH30"/>
      <c r="AI30"/>
      <c r="AJ30"/>
      <c r="AK30"/>
      <c r="AL30"/>
    </row>
    <row r="31" spans="1:38" s="128" customFormat="1" ht="24.95" customHeight="1" x14ac:dyDescent="0.3">
      <c r="A31" s="86">
        <v>7</v>
      </c>
      <c r="B31" s="80" t="s">
        <v>215</v>
      </c>
      <c r="C31" s="81" t="s">
        <v>81</v>
      </c>
      <c r="D31" s="82" t="s">
        <v>239</v>
      </c>
      <c r="E31" s="83">
        <v>200</v>
      </c>
      <c r="F31" s="183">
        <v>1</v>
      </c>
      <c r="G31" s="81" t="s">
        <v>138</v>
      </c>
      <c r="H31" s="81"/>
      <c r="I31" s="81" t="s">
        <v>216</v>
      </c>
      <c r="J31" s="81"/>
      <c r="K31" s="84" t="s">
        <v>214</v>
      </c>
      <c r="L31" s="81" t="s">
        <v>97</v>
      </c>
      <c r="M31" s="85" t="s">
        <v>36</v>
      </c>
      <c r="N31" s="84" t="s">
        <v>136</v>
      </c>
      <c r="O31" s="94" t="s">
        <v>135</v>
      </c>
      <c r="P31" s="84" t="s">
        <v>132</v>
      </c>
      <c r="Q31" s="37" t="s">
        <v>35</v>
      </c>
      <c r="R31" s="81" t="s">
        <v>202</v>
      </c>
      <c r="S31" s="83" t="s">
        <v>41</v>
      </c>
      <c r="T31" s="83">
        <v>150</v>
      </c>
      <c r="U31" s="95">
        <v>10</v>
      </c>
      <c r="V31" s="83" t="s">
        <v>53</v>
      </c>
      <c r="W31" s="83" t="s">
        <v>43</v>
      </c>
      <c r="X31" s="88">
        <v>2002</v>
      </c>
      <c r="Y31" s="89">
        <v>1.25</v>
      </c>
      <c r="Z31" s="89">
        <f>Y31</f>
        <v>1.25</v>
      </c>
      <c r="AA31" s="89"/>
      <c r="AB31" s="89"/>
      <c r="AC31" s="93"/>
      <c r="AD31" s="93"/>
      <c r="AE31" s="84"/>
      <c r="AF31" s="91"/>
      <c r="AG31" s="90"/>
      <c r="AH31"/>
      <c r="AI31"/>
      <c r="AJ31"/>
      <c r="AK31"/>
      <c r="AL31"/>
    </row>
    <row r="32" spans="1:38" s="128" customFormat="1" ht="24.95" customHeight="1" x14ac:dyDescent="0.3">
      <c r="A32" s="86">
        <v>5</v>
      </c>
      <c r="B32" s="80" t="s">
        <v>215</v>
      </c>
      <c r="C32" s="81" t="s">
        <v>217</v>
      </c>
      <c r="D32" s="82">
        <v>5</v>
      </c>
      <c r="E32" s="83">
        <v>150</v>
      </c>
      <c r="F32" s="183">
        <v>2</v>
      </c>
      <c r="G32" s="81" t="s">
        <v>138</v>
      </c>
      <c r="H32" s="81"/>
      <c r="I32" s="81" t="s">
        <v>242</v>
      </c>
      <c r="J32" s="81" t="s">
        <v>243</v>
      </c>
      <c r="K32" s="84" t="s">
        <v>218</v>
      </c>
      <c r="L32" s="81" t="s">
        <v>134</v>
      </c>
      <c r="M32" s="85" t="s">
        <v>36</v>
      </c>
      <c r="N32" s="84" t="s">
        <v>219</v>
      </c>
      <c r="O32" s="94" t="s">
        <v>135</v>
      </c>
      <c r="P32" s="84" t="s">
        <v>132</v>
      </c>
      <c r="Q32" s="37"/>
      <c r="R32" s="81" t="s">
        <v>202</v>
      </c>
      <c r="S32" s="83" t="s">
        <v>240</v>
      </c>
      <c r="T32" s="83" t="s">
        <v>241</v>
      </c>
      <c r="U32" s="87" t="s">
        <v>241</v>
      </c>
      <c r="V32" s="83" t="s">
        <v>54</v>
      </c>
      <c r="W32" s="83" t="s">
        <v>43</v>
      </c>
      <c r="X32" s="88">
        <v>2002</v>
      </c>
      <c r="Y32" s="89">
        <v>2.25</v>
      </c>
      <c r="Z32" s="89">
        <f>Y32</f>
        <v>2.25</v>
      </c>
      <c r="AA32" s="89"/>
      <c r="AB32" s="89"/>
      <c r="AC32" s="93"/>
      <c r="AD32" s="93"/>
      <c r="AE32" s="84"/>
      <c r="AF32" s="91"/>
      <c r="AG32" s="90"/>
      <c r="AH32"/>
      <c r="AI32"/>
      <c r="AJ32"/>
      <c r="AK32"/>
      <c r="AL32"/>
    </row>
    <row r="33" spans="1:38" s="180" customFormat="1" ht="24.95" customHeight="1" x14ac:dyDescent="0.3">
      <c r="A33" s="166">
        <v>18</v>
      </c>
      <c r="B33" s="167" t="s">
        <v>215</v>
      </c>
      <c r="C33" s="168" t="s">
        <v>166</v>
      </c>
      <c r="D33" s="169">
        <v>13</v>
      </c>
      <c r="E33" s="170">
        <v>800</v>
      </c>
      <c r="F33" s="184">
        <v>1</v>
      </c>
      <c r="G33" s="168" t="s">
        <v>40</v>
      </c>
      <c r="H33" s="168"/>
      <c r="I33" s="168" t="s">
        <v>208</v>
      </c>
      <c r="J33" s="168" t="s">
        <v>236</v>
      </c>
      <c r="K33" s="171" t="s">
        <v>237</v>
      </c>
      <c r="L33" s="168" t="s">
        <v>168</v>
      </c>
      <c r="M33" s="172" t="s">
        <v>169</v>
      </c>
      <c r="N33" s="171" t="s">
        <v>172</v>
      </c>
      <c r="O33" s="173" t="s">
        <v>173</v>
      </c>
      <c r="P33" s="171" t="s">
        <v>132</v>
      </c>
      <c r="Q33" s="37" t="s">
        <v>35</v>
      </c>
      <c r="R33" s="168" t="s">
        <v>172</v>
      </c>
      <c r="S33" s="170" t="s">
        <v>184</v>
      </c>
      <c r="T33" s="170">
        <v>600</v>
      </c>
      <c r="U33" s="174">
        <v>70</v>
      </c>
      <c r="V33" s="170" t="s">
        <v>174</v>
      </c>
      <c r="W33" s="170" t="s">
        <v>37</v>
      </c>
      <c r="X33" s="175">
        <v>2018</v>
      </c>
      <c r="Y33" s="176">
        <v>2.0499999999999998</v>
      </c>
      <c r="Z33" s="176">
        <f>Y33</f>
        <v>2.0499999999999998</v>
      </c>
      <c r="AA33" s="176"/>
      <c r="AB33" s="176"/>
      <c r="AC33" s="177"/>
      <c r="AD33" s="177"/>
      <c r="AE33" s="171"/>
      <c r="AF33" s="178"/>
      <c r="AG33" s="179"/>
      <c r="AH33"/>
      <c r="AI33"/>
      <c r="AJ33"/>
      <c r="AK33"/>
      <c r="AL33"/>
    </row>
    <row r="34" spans="1:38" s="180" customFormat="1" ht="24.95" customHeight="1" x14ac:dyDescent="0.3">
      <c r="A34" s="166">
        <v>19</v>
      </c>
      <c r="B34" s="167" t="s">
        <v>224</v>
      </c>
      <c r="C34" s="168" t="s">
        <v>225</v>
      </c>
      <c r="D34" s="169">
        <v>14</v>
      </c>
      <c r="E34" s="170">
        <v>800</v>
      </c>
      <c r="F34" s="184">
        <v>1</v>
      </c>
      <c r="G34" s="168" t="s">
        <v>40</v>
      </c>
      <c r="H34" s="168"/>
      <c r="I34" s="168" t="s">
        <v>208</v>
      </c>
      <c r="J34" s="168" t="s">
        <v>236</v>
      </c>
      <c r="K34" s="171" t="s">
        <v>237</v>
      </c>
      <c r="L34" s="168" t="s">
        <v>141</v>
      </c>
      <c r="M34" s="172" t="s">
        <v>36</v>
      </c>
      <c r="N34" s="171" t="s">
        <v>151</v>
      </c>
      <c r="O34" s="173" t="s">
        <v>135</v>
      </c>
      <c r="P34" s="171" t="s">
        <v>132</v>
      </c>
      <c r="Q34" s="37"/>
      <c r="R34" s="168" t="s">
        <v>151</v>
      </c>
      <c r="S34" s="170" t="s">
        <v>41</v>
      </c>
      <c r="T34" s="170">
        <v>600</v>
      </c>
      <c r="U34" s="174">
        <v>70</v>
      </c>
      <c r="V34" s="170" t="s">
        <v>120</v>
      </c>
      <c r="W34" s="170" t="s">
        <v>37</v>
      </c>
      <c r="X34" s="175">
        <v>2018</v>
      </c>
      <c r="Y34" s="176">
        <v>2.0499999999999998</v>
      </c>
      <c r="Z34" s="176">
        <f>Y34</f>
        <v>2.0499999999999998</v>
      </c>
      <c r="AA34" s="176"/>
      <c r="AB34" s="176"/>
      <c r="AC34" s="177"/>
      <c r="AD34" s="177"/>
      <c r="AE34" s="171"/>
      <c r="AF34" s="178"/>
      <c r="AG34" s="179"/>
      <c r="AH34"/>
      <c r="AI34"/>
      <c r="AJ34"/>
      <c r="AK34"/>
      <c r="AL34"/>
    </row>
    <row r="35" spans="1:38" ht="24.95" hidden="1" customHeight="1" x14ac:dyDescent="0.3">
      <c r="A35" s="2"/>
      <c r="B35" s="3"/>
      <c r="C35" s="1" t="s">
        <v>193</v>
      </c>
      <c r="D35" s="58">
        <v>11</v>
      </c>
      <c r="E35" s="5">
        <v>250</v>
      </c>
      <c r="F35" s="45">
        <v>2</v>
      </c>
      <c r="G35" s="1" t="s">
        <v>38</v>
      </c>
      <c r="H35" s="1"/>
      <c r="I35" s="24" t="s">
        <v>195</v>
      </c>
      <c r="J35" s="1"/>
      <c r="K35" s="4" t="s">
        <v>194</v>
      </c>
      <c r="L35" s="1" t="s">
        <v>46</v>
      </c>
      <c r="M35" s="26" t="s">
        <v>196</v>
      </c>
      <c r="N35" s="4" t="s">
        <v>44</v>
      </c>
      <c r="O35" s="37" t="s">
        <v>197</v>
      </c>
      <c r="P35" s="4" t="s">
        <v>61</v>
      </c>
      <c r="Q35" s="37" t="s">
        <v>35</v>
      </c>
      <c r="R35" s="1" t="s">
        <v>198</v>
      </c>
      <c r="S35" s="5" t="s">
        <v>65</v>
      </c>
      <c r="T35" s="5" t="s">
        <v>199</v>
      </c>
      <c r="U35" s="62" t="s">
        <v>199</v>
      </c>
      <c r="V35" s="20" t="s">
        <v>200</v>
      </c>
      <c r="W35" s="5" t="s">
        <v>201</v>
      </c>
      <c r="X35" s="15">
        <v>1995</v>
      </c>
      <c r="Y35" s="16">
        <v>1.8</v>
      </c>
      <c r="Z35" s="16">
        <v>1.8</v>
      </c>
      <c r="AA35" s="16" t="s">
        <v>42</v>
      </c>
      <c r="AB35" s="16" t="s">
        <v>42</v>
      </c>
      <c r="AC35" s="40"/>
      <c r="AD35" s="40"/>
      <c r="AE35" s="4"/>
      <c r="AF35" s="6"/>
    </row>
    <row r="36" spans="1:38" s="110" customFormat="1" ht="24.95" customHeight="1" x14ac:dyDescent="0.3">
      <c r="A36" s="96">
        <v>12</v>
      </c>
      <c r="B36" s="97" t="s">
        <v>224</v>
      </c>
      <c r="C36" s="98" t="s">
        <v>225</v>
      </c>
      <c r="D36" s="99">
        <v>7</v>
      </c>
      <c r="E36" s="100">
        <v>200</v>
      </c>
      <c r="F36" s="185">
        <v>2</v>
      </c>
      <c r="G36" s="98" t="s">
        <v>226</v>
      </c>
      <c r="H36" s="98"/>
      <c r="I36" s="98" t="s">
        <v>244</v>
      </c>
      <c r="J36" s="98" t="s">
        <v>227</v>
      </c>
      <c r="K36" s="101" t="s">
        <v>228</v>
      </c>
      <c r="L36" s="98" t="s">
        <v>229</v>
      </c>
      <c r="M36" s="102" t="s">
        <v>230</v>
      </c>
      <c r="N36" s="101" t="s">
        <v>231</v>
      </c>
      <c r="O36" s="103" t="s">
        <v>135</v>
      </c>
      <c r="P36" s="101" t="s">
        <v>132</v>
      </c>
      <c r="Q36" s="37"/>
      <c r="R36" s="98" t="s">
        <v>55</v>
      </c>
      <c r="S36" s="100" t="s">
        <v>232</v>
      </c>
      <c r="T36" s="100">
        <v>150</v>
      </c>
      <c r="U36" s="104">
        <v>6</v>
      </c>
      <c r="V36" s="100" t="s">
        <v>120</v>
      </c>
      <c r="W36" s="100" t="s">
        <v>37</v>
      </c>
      <c r="X36" s="105">
        <v>1999</v>
      </c>
      <c r="Y36" s="106">
        <v>1.51</v>
      </c>
      <c r="Z36" s="106">
        <f>Y36</f>
        <v>1.51</v>
      </c>
      <c r="AA36" s="106"/>
      <c r="AB36" s="106"/>
      <c r="AC36" s="107"/>
      <c r="AD36" s="107"/>
      <c r="AE36" s="101"/>
      <c r="AF36" s="108"/>
      <c r="AG36" s="109"/>
      <c r="AH36"/>
      <c r="AI36"/>
      <c r="AJ36"/>
      <c r="AK36"/>
      <c r="AL36"/>
    </row>
    <row r="37" spans="1:38" s="110" customFormat="1" ht="24.95" customHeight="1" x14ac:dyDescent="0.3">
      <c r="A37" s="96">
        <v>13</v>
      </c>
      <c r="B37" s="97" t="s">
        <v>224</v>
      </c>
      <c r="C37" s="98" t="s">
        <v>225</v>
      </c>
      <c r="D37" s="99">
        <v>8</v>
      </c>
      <c r="E37" s="100">
        <v>200</v>
      </c>
      <c r="F37" s="185">
        <v>2</v>
      </c>
      <c r="G37" s="98" t="s">
        <v>226</v>
      </c>
      <c r="H37" s="98"/>
      <c r="I37" s="98" t="s">
        <v>244</v>
      </c>
      <c r="J37" s="98" t="s">
        <v>227</v>
      </c>
      <c r="K37" s="101" t="s">
        <v>228</v>
      </c>
      <c r="L37" s="98" t="s">
        <v>229</v>
      </c>
      <c r="M37" s="102" t="s">
        <v>230</v>
      </c>
      <c r="N37" s="101" t="s">
        <v>231</v>
      </c>
      <c r="O37" s="103" t="s">
        <v>135</v>
      </c>
      <c r="P37" s="101" t="s">
        <v>132</v>
      </c>
      <c r="Q37" s="37"/>
      <c r="R37" s="98" t="s">
        <v>55</v>
      </c>
      <c r="S37" s="100" t="s">
        <v>232</v>
      </c>
      <c r="T37" s="100">
        <v>150</v>
      </c>
      <c r="U37" s="104">
        <v>6</v>
      </c>
      <c r="V37" s="100" t="s">
        <v>120</v>
      </c>
      <c r="W37" s="100" t="s">
        <v>37</v>
      </c>
      <c r="X37" s="105">
        <v>1999</v>
      </c>
      <c r="Y37" s="106">
        <v>1.51</v>
      </c>
      <c r="Z37" s="106">
        <f>Y37</f>
        <v>1.51</v>
      </c>
      <c r="AA37" s="106"/>
      <c r="AB37" s="107"/>
      <c r="AC37" s="107"/>
      <c r="AD37" s="107"/>
      <c r="AE37" s="101"/>
      <c r="AF37" s="108"/>
      <c r="AG37" s="109"/>
      <c r="AH37"/>
      <c r="AI37"/>
      <c r="AJ37"/>
      <c r="AK37"/>
      <c r="AL37"/>
    </row>
    <row r="38" spans="1:38" s="77" customFormat="1" ht="24.95" customHeight="1" x14ac:dyDescent="0.3">
      <c r="A38" s="96">
        <v>14</v>
      </c>
      <c r="B38" s="97" t="s">
        <v>215</v>
      </c>
      <c r="C38" s="98" t="s">
        <v>81</v>
      </c>
      <c r="D38" s="99">
        <v>9</v>
      </c>
      <c r="E38" s="100">
        <v>350</v>
      </c>
      <c r="F38" s="185">
        <v>2</v>
      </c>
      <c r="G38" s="98" t="s">
        <v>40</v>
      </c>
      <c r="H38" s="98"/>
      <c r="I38" s="98" t="s">
        <v>171</v>
      </c>
      <c r="J38" s="98" t="s">
        <v>233</v>
      </c>
      <c r="K38" s="101" t="s">
        <v>245</v>
      </c>
      <c r="L38" s="98" t="s">
        <v>46</v>
      </c>
      <c r="M38" s="102" t="s">
        <v>165</v>
      </c>
      <c r="N38" s="101" t="s">
        <v>203</v>
      </c>
      <c r="O38" s="103" t="s">
        <v>135</v>
      </c>
      <c r="P38" s="101" t="s">
        <v>132</v>
      </c>
      <c r="Q38" s="78" t="s">
        <v>35</v>
      </c>
      <c r="R38" s="98" t="s">
        <v>49</v>
      </c>
      <c r="S38" s="100" t="s">
        <v>65</v>
      </c>
      <c r="T38" s="100" t="s">
        <v>39</v>
      </c>
      <c r="U38" s="104" t="s">
        <v>39</v>
      </c>
      <c r="V38" s="100" t="s">
        <v>120</v>
      </c>
      <c r="W38" s="100" t="s">
        <v>37</v>
      </c>
      <c r="X38" s="105">
        <v>1999</v>
      </c>
      <c r="Y38" s="107">
        <v>1.75</v>
      </c>
      <c r="Z38" s="106">
        <f>Y38</f>
        <v>1.75</v>
      </c>
      <c r="AA38" s="106"/>
      <c r="AB38" s="107"/>
      <c r="AC38" s="107"/>
      <c r="AD38" s="107"/>
      <c r="AE38" s="101"/>
      <c r="AF38" s="108"/>
      <c r="AG38" s="109"/>
      <c r="AH38"/>
      <c r="AI38"/>
      <c r="AJ38"/>
      <c r="AK38"/>
      <c r="AL38"/>
    </row>
    <row r="39" spans="1:38" s="110" customFormat="1" ht="24.95" customHeight="1" x14ac:dyDescent="0.3">
      <c r="A39" s="96">
        <v>15</v>
      </c>
      <c r="B39" s="97" t="s">
        <v>215</v>
      </c>
      <c r="C39" s="98" t="s">
        <v>81</v>
      </c>
      <c r="D39" s="99">
        <v>10</v>
      </c>
      <c r="E39" s="100">
        <v>350</v>
      </c>
      <c r="F39" s="185">
        <v>2</v>
      </c>
      <c r="G39" s="98" t="s">
        <v>40</v>
      </c>
      <c r="H39" s="98"/>
      <c r="I39" s="98" t="s">
        <v>171</v>
      </c>
      <c r="J39" s="98" t="s">
        <v>233</v>
      </c>
      <c r="K39" s="101" t="s">
        <v>245</v>
      </c>
      <c r="L39" s="98" t="s">
        <v>134</v>
      </c>
      <c r="M39" s="102" t="s">
        <v>165</v>
      </c>
      <c r="N39" s="101" t="s">
        <v>69</v>
      </c>
      <c r="O39" s="103" t="s">
        <v>135</v>
      </c>
      <c r="P39" s="101" t="s">
        <v>132</v>
      </c>
      <c r="Q39" s="78" t="s">
        <v>35</v>
      </c>
      <c r="R39" s="98" t="s">
        <v>49</v>
      </c>
      <c r="S39" s="100" t="s">
        <v>65</v>
      </c>
      <c r="T39" s="100" t="s">
        <v>39</v>
      </c>
      <c r="U39" s="104" t="s">
        <v>39</v>
      </c>
      <c r="V39" s="100" t="s">
        <v>120</v>
      </c>
      <c r="W39" s="100" t="s">
        <v>37</v>
      </c>
      <c r="X39" s="105">
        <v>1999</v>
      </c>
      <c r="Y39" s="107">
        <v>1.75</v>
      </c>
      <c r="Z39" s="106">
        <f>Y39</f>
        <v>1.75</v>
      </c>
      <c r="AA39" s="106"/>
      <c r="AB39" s="107"/>
      <c r="AC39" s="107"/>
      <c r="AD39" s="107"/>
      <c r="AE39" s="101"/>
      <c r="AF39" s="108"/>
      <c r="AG39" s="109"/>
      <c r="AH39"/>
      <c r="AI39"/>
      <c r="AJ39"/>
      <c r="AK39"/>
      <c r="AL39"/>
    </row>
    <row r="40" spans="1:38" s="112" customFormat="1" ht="24.95" customHeight="1" x14ac:dyDescent="0.3">
      <c r="A40" s="96">
        <v>17</v>
      </c>
      <c r="B40" s="97" t="s">
        <v>215</v>
      </c>
      <c r="C40" s="98" t="s">
        <v>81</v>
      </c>
      <c r="D40" s="99">
        <v>12</v>
      </c>
      <c r="E40" s="100">
        <v>350</v>
      </c>
      <c r="F40" s="185">
        <v>2</v>
      </c>
      <c r="G40" s="98" t="s">
        <v>40</v>
      </c>
      <c r="H40" s="98"/>
      <c r="I40" s="98" t="s">
        <v>171</v>
      </c>
      <c r="J40" s="98" t="s">
        <v>235</v>
      </c>
      <c r="K40" s="101" t="s">
        <v>234</v>
      </c>
      <c r="L40" s="98" t="s">
        <v>134</v>
      </c>
      <c r="M40" s="102" t="s">
        <v>165</v>
      </c>
      <c r="N40" s="101" t="s">
        <v>69</v>
      </c>
      <c r="O40" s="103" t="s">
        <v>135</v>
      </c>
      <c r="P40" s="101" t="s">
        <v>132</v>
      </c>
      <c r="Q40" s="78" t="s">
        <v>35</v>
      </c>
      <c r="R40" s="98" t="s">
        <v>49</v>
      </c>
      <c r="S40" s="100" t="s">
        <v>65</v>
      </c>
      <c r="T40" s="100" t="s">
        <v>39</v>
      </c>
      <c r="U40" s="104" t="s">
        <v>39</v>
      </c>
      <c r="V40" s="100" t="s">
        <v>120</v>
      </c>
      <c r="W40" s="100" t="s">
        <v>37</v>
      </c>
      <c r="X40" s="105">
        <v>1999</v>
      </c>
      <c r="Y40" s="106">
        <v>1.32</v>
      </c>
      <c r="Z40" s="106">
        <f>Y40</f>
        <v>1.32</v>
      </c>
      <c r="AA40" s="106"/>
      <c r="AB40" s="106"/>
      <c r="AC40" s="107"/>
      <c r="AD40" s="107"/>
      <c r="AE40" s="101"/>
      <c r="AF40" s="108"/>
      <c r="AG40" s="109"/>
      <c r="AH40"/>
      <c r="AI40"/>
      <c r="AJ40"/>
      <c r="AK40"/>
      <c r="AL40"/>
    </row>
    <row r="41" spans="1:38" ht="24.95" hidden="1" customHeight="1" x14ac:dyDescent="0.3">
      <c r="A41" s="2"/>
      <c r="B41" s="3"/>
      <c r="C41" s="1" t="s">
        <v>177</v>
      </c>
      <c r="D41" s="58">
        <v>12</v>
      </c>
      <c r="E41" s="5">
        <v>450</v>
      </c>
      <c r="F41" s="45">
        <v>2</v>
      </c>
      <c r="G41" s="1" t="s">
        <v>178</v>
      </c>
      <c r="H41" s="1"/>
      <c r="I41" s="24" t="s">
        <v>179</v>
      </c>
      <c r="J41" s="1"/>
      <c r="K41" s="4" t="s">
        <v>176</v>
      </c>
      <c r="L41" s="1" t="s">
        <v>167</v>
      </c>
      <c r="M41" s="26" t="s">
        <v>169</v>
      </c>
      <c r="N41" s="4" t="s">
        <v>186</v>
      </c>
      <c r="O41" s="37" t="s">
        <v>180</v>
      </c>
      <c r="P41" s="4" t="s">
        <v>61</v>
      </c>
      <c r="Q41" s="37" t="s">
        <v>35</v>
      </c>
      <c r="R41" s="1" t="s">
        <v>182</v>
      </c>
      <c r="S41" s="5" t="s">
        <v>185</v>
      </c>
      <c r="T41" s="5" t="s">
        <v>183</v>
      </c>
      <c r="U41" s="62" t="s">
        <v>183</v>
      </c>
      <c r="V41" s="20" t="s">
        <v>181</v>
      </c>
      <c r="W41" s="5" t="s">
        <v>175</v>
      </c>
      <c r="X41" s="15">
        <v>1995</v>
      </c>
      <c r="Y41" s="16">
        <v>0.6</v>
      </c>
      <c r="Z41" s="16">
        <v>0.6</v>
      </c>
      <c r="AA41" s="16" t="s">
        <v>42</v>
      </c>
      <c r="AB41" s="16"/>
      <c r="AC41" s="40"/>
      <c r="AD41" s="40"/>
      <c r="AE41" s="4"/>
      <c r="AF41" s="6"/>
    </row>
    <row r="42" spans="1:38" ht="24.95" hidden="1" customHeight="1" x14ac:dyDescent="0.3">
      <c r="A42" s="2"/>
      <c r="B42" s="3"/>
      <c r="C42" s="1" t="s">
        <v>187</v>
      </c>
      <c r="D42" s="58">
        <v>1</v>
      </c>
      <c r="E42" s="5">
        <v>700</v>
      </c>
      <c r="F42" s="45">
        <v>2</v>
      </c>
      <c r="G42" s="1"/>
      <c r="H42" s="1"/>
      <c r="I42" s="24" t="s">
        <v>188</v>
      </c>
      <c r="J42" s="1"/>
      <c r="K42" s="4" t="s">
        <v>189</v>
      </c>
      <c r="L42" s="1" t="s">
        <v>190</v>
      </c>
      <c r="M42" s="26" t="s">
        <v>191</v>
      </c>
      <c r="N42" s="4"/>
      <c r="O42" s="37"/>
      <c r="P42" s="4" t="s">
        <v>192</v>
      </c>
      <c r="Q42" s="37" t="s">
        <v>35</v>
      </c>
      <c r="R42" s="1"/>
      <c r="S42" s="5"/>
      <c r="T42" s="5"/>
      <c r="U42" s="62"/>
      <c r="V42" s="20"/>
      <c r="W42" s="5"/>
      <c r="X42" s="15"/>
      <c r="Y42" s="16"/>
      <c r="Z42" s="16"/>
      <c r="AA42" s="16"/>
      <c r="AB42" s="16"/>
      <c r="AC42" s="40"/>
      <c r="AD42" s="40"/>
      <c r="AE42" s="4"/>
      <c r="AF42" s="6"/>
    </row>
    <row r="43" spans="1:38" s="112" customFormat="1" ht="24.95" customHeight="1" x14ac:dyDescent="0.3">
      <c r="A43" s="65">
        <v>16</v>
      </c>
      <c r="B43" s="79" t="s">
        <v>215</v>
      </c>
      <c r="C43" s="66" t="s">
        <v>81</v>
      </c>
      <c r="D43" s="67">
        <v>11</v>
      </c>
      <c r="E43" s="68">
        <v>350</v>
      </c>
      <c r="F43" s="186">
        <v>2</v>
      </c>
      <c r="G43" s="66" t="s">
        <v>40</v>
      </c>
      <c r="H43" s="66"/>
      <c r="I43" s="66" t="s">
        <v>171</v>
      </c>
      <c r="J43" s="66" t="s">
        <v>235</v>
      </c>
      <c r="K43" s="69" t="s">
        <v>234</v>
      </c>
      <c r="L43" s="66" t="s">
        <v>86</v>
      </c>
      <c r="M43" s="70" t="s">
        <v>165</v>
      </c>
      <c r="N43" s="69" t="s">
        <v>69</v>
      </c>
      <c r="O43" s="71" t="s">
        <v>135</v>
      </c>
      <c r="P43" s="69" t="s">
        <v>132</v>
      </c>
      <c r="Q43" s="78" t="s">
        <v>35</v>
      </c>
      <c r="R43" s="66" t="s">
        <v>204</v>
      </c>
      <c r="S43" s="68" t="s">
        <v>65</v>
      </c>
      <c r="T43" s="68" t="s">
        <v>39</v>
      </c>
      <c r="U43" s="111" t="s">
        <v>39</v>
      </c>
      <c r="V43" s="68" t="s">
        <v>120</v>
      </c>
      <c r="W43" s="68" t="s">
        <v>37</v>
      </c>
      <c r="X43" s="72">
        <v>1999</v>
      </c>
      <c r="Y43" s="73">
        <v>1.32</v>
      </c>
      <c r="Z43" s="73">
        <f>Y43</f>
        <v>1.32</v>
      </c>
      <c r="AA43" s="73"/>
      <c r="AB43" s="73"/>
      <c r="AC43" s="74"/>
      <c r="AD43" s="74"/>
      <c r="AE43" s="69"/>
      <c r="AF43" s="75"/>
      <c r="AG43" s="76"/>
      <c r="AH43"/>
      <c r="AI43"/>
      <c r="AJ43"/>
      <c r="AK43"/>
      <c r="AL43"/>
    </row>
    <row r="44" spans="1:38" ht="24.95" customHeight="1" x14ac:dyDescent="0.3">
      <c r="A44" s="2"/>
      <c r="B44" s="3"/>
      <c r="C44" s="1"/>
      <c r="D44" s="58"/>
      <c r="E44" s="5"/>
      <c r="F44" s="45"/>
      <c r="G44" s="1"/>
      <c r="H44" s="1"/>
      <c r="I44" s="24"/>
      <c r="J44" s="1"/>
      <c r="K44" s="4"/>
      <c r="L44" s="1"/>
      <c r="M44" s="26"/>
      <c r="N44" s="4"/>
      <c r="O44" s="37"/>
      <c r="P44" s="4"/>
      <c r="Q44" s="37"/>
      <c r="R44" s="1"/>
      <c r="S44" s="5"/>
      <c r="T44" s="5"/>
      <c r="U44" s="62"/>
      <c r="V44" s="20"/>
      <c r="W44" s="5"/>
      <c r="X44" s="15"/>
      <c r="Y44" s="16"/>
      <c r="Z44" s="16"/>
      <c r="AA44" s="16"/>
      <c r="AB44" s="16"/>
      <c r="AC44" s="40"/>
      <c r="AD44" s="40"/>
      <c r="AE44" s="4"/>
      <c r="AF44" s="6"/>
    </row>
    <row r="45" spans="1:38" ht="24.95" customHeight="1" x14ac:dyDescent="0.3">
      <c r="A45" s="2"/>
      <c r="B45" s="3" t="s">
        <v>220</v>
      </c>
      <c r="C45" s="1">
        <v>8</v>
      </c>
      <c r="D45" s="58"/>
      <c r="E45" s="5">
        <v>700</v>
      </c>
      <c r="F45" cm="1">
        <f t="array" ref="F45">SUMPRODUCT(($C$13:$C$43="용인") * ($E$13:$E$43="700A") * SUBSTITUTE(0&amp;$F$13:$F$43, "공", ""))</f>
        <v>0</v>
      </c>
      <c r="G45" s="1"/>
      <c r="H45" s="1"/>
      <c r="I45" s="24"/>
      <c r="J45" s="1"/>
      <c r="K45" s="4"/>
      <c r="L45" s="1"/>
      <c r="M45" s="26"/>
      <c r="N45" s="4"/>
      <c r="O45" s="37"/>
      <c r="P45" s="4"/>
      <c r="Q45" s="37"/>
      <c r="R45" s="1"/>
      <c r="S45" s="5"/>
      <c r="T45" s="5"/>
      <c r="U45" s="62"/>
      <c r="V45" s="20"/>
      <c r="W45" s="5"/>
      <c r="X45" s="15"/>
      <c r="Y45" s="16"/>
      <c r="Z45" s="16"/>
      <c r="AA45" s="16"/>
      <c r="AB45" s="16"/>
      <c r="AC45" s="40"/>
      <c r="AD45" s="40"/>
      <c r="AE45" s="4"/>
      <c r="AF45" s="6"/>
    </row>
    <row r="46" spans="1:38" ht="24.95" customHeight="1" x14ac:dyDescent="0.3">
      <c r="A46" s="2"/>
      <c r="B46" s="3" t="s">
        <v>224</v>
      </c>
      <c r="C46" s="1">
        <v>11</v>
      </c>
      <c r="D46" s="58"/>
      <c r="E46" s="5"/>
      <c r="F46" s="45"/>
      <c r="G46" s="1"/>
      <c r="H46" s="1"/>
      <c r="I46" s="24"/>
      <c r="J46" s="1"/>
      <c r="K46" s="4"/>
      <c r="L46" s="1"/>
      <c r="M46" s="26"/>
      <c r="N46" s="4"/>
      <c r="O46" s="37"/>
      <c r="P46" s="4"/>
      <c r="Q46" s="37"/>
      <c r="R46" s="1"/>
      <c r="S46" s="5"/>
      <c r="T46" s="5"/>
      <c r="U46" s="62"/>
      <c r="V46" s="20"/>
      <c r="W46" s="5"/>
      <c r="X46" s="15"/>
      <c r="Y46" s="16"/>
      <c r="Z46" s="16"/>
      <c r="AA46" s="16"/>
      <c r="AB46" s="16"/>
      <c r="AC46" s="40"/>
      <c r="AD46" s="40"/>
      <c r="AE46" s="4"/>
      <c r="AF46" s="6"/>
    </row>
    <row r="47" spans="1:38" ht="24.95" customHeight="1" x14ac:dyDescent="0.3">
      <c r="A47" s="2"/>
      <c r="B47" s="3"/>
      <c r="C47" s="1"/>
      <c r="D47" s="58"/>
      <c r="E47" s="5"/>
      <c r="F47" s="45"/>
      <c r="G47" s="1"/>
      <c r="H47" s="1"/>
      <c r="I47" s="24"/>
      <c r="J47" s="1"/>
      <c r="K47" s="4"/>
      <c r="L47" s="1"/>
      <c r="M47" s="26"/>
      <c r="N47" s="4"/>
      <c r="O47" s="37"/>
      <c r="P47" s="4"/>
      <c r="Q47" s="37"/>
      <c r="R47" s="1"/>
      <c r="S47" s="5"/>
      <c r="T47" s="5"/>
      <c r="U47" s="62"/>
      <c r="V47" s="20"/>
      <c r="W47" s="5"/>
      <c r="X47" s="15"/>
      <c r="Y47" s="16"/>
      <c r="Z47" s="16"/>
      <c r="AA47" s="16"/>
      <c r="AB47" s="16"/>
      <c r="AC47" s="40"/>
      <c r="AD47" s="40"/>
      <c r="AE47" s="4"/>
      <c r="AF47" s="6"/>
    </row>
    <row r="48" spans="1:38" ht="24.95" customHeight="1" x14ac:dyDescent="0.3">
      <c r="A48" s="2"/>
      <c r="B48" s="3"/>
      <c r="C48" s="1"/>
      <c r="D48" s="58"/>
      <c r="E48" s="5"/>
      <c r="F48" s="45"/>
      <c r="G48" s="1"/>
      <c r="H48" s="1"/>
      <c r="I48" s="24"/>
      <c r="J48" s="1"/>
      <c r="K48" s="4"/>
      <c r="L48" s="1"/>
      <c r="M48" s="26"/>
      <c r="N48" s="4"/>
      <c r="O48" s="37"/>
      <c r="P48" s="4"/>
      <c r="Q48" s="37"/>
      <c r="R48" s="1"/>
      <c r="S48" s="5"/>
      <c r="T48" s="5"/>
      <c r="U48" s="62"/>
      <c r="V48" s="20"/>
      <c r="W48" s="5"/>
      <c r="X48" s="15"/>
      <c r="Y48" s="16"/>
      <c r="Z48" s="16"/>
      <c r="AA48" s="16"/>
      <c r="AB48" s="16"/>
      <c r="AC48" s="40"/>
      <c r="AD48" s="40"/>
      <c r="AE48" s="4"/>
      <c r="AF48" s="6"/>
    </row>
    <row r="49" spans="1:39" ht="24.95" customHeight="1" x14ac:dyDescent="0.3">
      <c r="A49" s="2"/>
      <c r="B49" s="3"/>
      <c r="C49" s="1"/>
      <c r="D49" s="58"/>
      <c r="E49" s="5"/>
      <c r="F49" s="45"/>
      <c r="G49" s="1"/>
      <c r="H49" s="1"/>
      <c r="I49" s="24"/>
      <c r="J49" s="1"/>
      <c r="K49" s="4"/>
      <c r="L49" s="1"/>
      <c r="M49" s="26"/>
      <c r="N49" s="4"/>
      <c r="O49" s="37"/>
      <c r="P49" s="4"/>
      <c r="Q49" s="37"/>
      <c r="R49" s="1"/>
      <c r="S49" s="5"/>
      <c r="T49" s="5"/>
      <c r="U49" s="62"/>
      <c r="V49" s="20"/>
      <c r="W49" s="5"/>
      <c r="X49" s="15"/>
      <c r="Y49" s="16"/>
      <c r="Z49" s="16"/>
      <c r="AA49" s="16"/>
      <c r="AB49" s="16"/>
      <c r="AC49" s="40"/>
      <c r="AD49" s="40"/>
      <c r="AE49" s="4"/>
      <c r="AF49" s="6"/>
    </row>
    <row r="50" spans="1:39" ht="24.95" customHeight="1" x14ac:dyDescent="0.3">
      <c r="A50" s="2"/>
      <c r="B50" s="3"/>
      <c r="C50" s="1"/>
      <c r="D50" s="58"/>
      <c r="E50" s="5"/>
      <c r="F50" s="45"/>
      <c r="G50" s="1"/>
      <c r="H50" s="1"/>
      <c r="I50" s="24"/>
      <c r="J50" s="1"/>
      <c r="K50" s="4"/>
      <c r="L50" s="1"/>
      <c r="M50" s="26"/>
      <c r="N50" s="4"/>
      <c r="O50" s="37"/>
      <c r="P50" s="4"/>
      <c r="Q50" s="37"/>
      <c r="R50" s="1"/>
      <c r="S50" s="5"/>
      <c r="T50" s="5"/>
      <c r="U50" s="62"/>
      <c r="V50" s="20"/>
      <c r="W50" s="5"/>
      <c r="X50" s="15"/>
      <c r="Y50" s="16"/>
      <c r="Z50" s="16"/>
      <c r="AA50" s="16"/>
      <c r="AB50" s="16"/>
      <c r="AC50" s="40"/>
      <c r="AD50" s="40"/>
      <c r="AE50" s="4"/>
      <c r="AF50" s="6"/>
    </row>
    <row r="51" spans="1:39" ht="24.95" customHeight="1" x14ac:dyDescent="0.3">
      <c r="A51" s="2"/>
      <c r="B51" s="3"/>
      <c r="C51" s="1"/>
      <c r="D51" s="58"/>
      <c r="E51" s="5"/>
      <c r="F51" s="45"/>
      <c r="G51" s="1"/>
      <c r="H51" s="1"/>
      <c r="I51" s="24"/>
      <c r="J51" s="1"/>
      <c r="K51" s="4"/>
      <c r="L51" s="1"/>
      <c r="M51" s="26"/>
      <c r="N51" s="4"/>
      <c r="O51" s="37"/>
      <c r="P51" s="4"/>
      <c r="Q51" s="37"/>
      <c r="R51" s="1"/>
      <c r="S51" s="5"/>
      <c r="T51" s="5"/>
      <c r="U51" s="62"/>
      <c r="V51" s="20"/>
      <c r="W51" s="5"/>
      <c r="X51" s="15"/>
      <c r="Y51" s="16"/>
      <c r="Z51" s="16"/>
      <c r="AA51" s="16"/>
      <c r="AB51" s="16"/>
      <c r="AC51" s="40"/>
      <c r="AD51" s="40"/>
      <c r="AE51" s="4"/>
      <c r="AF51" s="6"/>
    </row>
    <row r="52" spans="1:39" ht="24.95" customHeight="1" x14ac:dyDescent="0.3">
      <c r="A52" s="2"/>
      <c r="B52" s="3"/>
      <c r="C52" s="1"/>
      <c r="D52" s="58"/>
      <c r="E52" s="5"/>
      <c r="F52" s="45"/>
      <c r="G52" s="1"/>
      <c r="H52" s="1"/>
      <c r="I52" s="24"/>
      <c r="J52" s="1"/>
      <c r="K52" s="4"/>
      <c r="L52" s="1"/>
      <c r="M52" s="26"/>
      <c r="N52" s="4"/>
      <c r="O52" s="37"/>
      <c r="P52" s="4"/>
      <c r="Q52" s="37"/>
      <c r="R52" s="1"/>
      <c r="S52" s="5"/>
      <c r="T52" s="5"/>
      <c r="U52" s="62"/>
      <c r="V52" s="20"/>
      <c r="W52" s="5"/>
      <c r="X52" s="15"/>
      <c r="Y52" s="16"/>
      <c r="Z52" s="16"/>
      <c r="AA52" s="16"/>
      <c r="AB52" s="16"/>
      <c r="AC52" s="40"/>
      <c r="AD52" s="40"/>
      <c r="AE52" s="4"/>
      <c r="AF52" s="6"/>
    </row>
    <row r="53" spans="1:39" ht="24.95" customHeight="1" x14ac:dyDescent="0.3">
      <c r="A53" s="2"/>
      <c r="B53" s="3"/>
      <c r="C53" s="1"/>
      <c r="D53" s="58"/>
      <c r="E53" s="5"/>
      <c r="F53" s="45"/>
      <c r="G53" s="1"/>
      <c r="H53" s="1"/>
      <c r="I53" s="24"/>
      <c r="J53" s="1"/>
      <c r="K53" s="4"/>
      <c r="L53" s="1"/>
      <c r="M53" s="26"/>
      <c r="N53" s="4"/>
      <c r="O53" s="37"/>
      <c r="P53" s="4"/>
      <c r="Q53" s="37"/>
      <c r="R53" s="1"/>
      <c r="S53" s="5"/>
      <c r="T53" s="5"/>
      <c r="U53" s="62"/>
      <c r="V53" s="20"/>
      <c r="W53" s="5"/>
      <c r="X53" s="15"/>
      <c r="Y53" s="16"/>
      <c r="Z53" s="16"/>
      <c r="AA53" s="16"/>
      <c r="AB53" s="16"/>
      <c r="AC53" s="40"/>
      <c r="AD53" s="40"/>
      <c r="AE53" s="4"/>
      <c r="AF53" s="6"/>
    </row>
    <row r="54" spans="1:39" ht="24.95" customHeight="1" x14ac:dyDescent="0.3">
      <c r="A54" s="2"/>
      <c r="B54" s="3"/>
      <c r="C54" s="1"/>
      <c r="D54" s="58"/>
      <c r="E54" s="5"/>
      <c r="F54" s="45"/>
      <c r="G54" s="1"/>
      <c r="H54" s="1"/>
      <c r="I54" s="24"/>
      <c r="J54" s="1"/>
      <c r="K54" s="4"/>
      <c r="L54" s="1"/>
      <c r="M54" s="26"/>
      <c r="N54" s="4"/>
      <c r="O54" s="37"/>
      <c r="P54" s="4"/>
      <c r="Q54" s="37"/>
      <c r="R54" s="1"/>
      <c r="S54" s="5"/>
      <c r="T54" s="5"/>
      <c r="U54" s="62"/>
      <c r="V54" s="20"/>
      <c r="W54" s="5"/>
      <c r="X54" s="15"/>
      <c r="Y54" s="16"/>
      <c r="Z54" s="16"/>
      <c r="AA54" s="16"/>
      <c r="AB54" s="16"/>
      <c r="AC54" s="40"/>
      <c r="AD54" s="40"/>
      <c r="AE54" s="4"/>
      <c r="AF54" s="6"/>
    </row>
    <row r="55" spans="1:39" ht="24.95" customHeight="1" x14ac:dyDescent="0.3">
      <c r="A55" s="2"/>
      <c r="B55" s="3"/>
      <c r="C55" s="1"/>
      <c r="D55" s="58"/>
      <c r="E55" s="5"/>
      <c r="F55" s="45"/>
      <c r="G55" s="1"/>
      <c r="H55" s="1"/>
      <c r="I55" s="24"/>
      <c r="J55" s="1"/>
      <c r="K55" s="4"/>
      <c r="L55" s="1"/>
      <c r="M55" s="26"/>
      <c r="N55" s="4"/>
      <c r="O55" s="37"/>
      <c r="P55" s="4"/>
      <c r="Q55" s="37"/>
      <c r="R55" s="1"/>
      <c r="S55" s="5"/>
      <c r="T55" s="5"/>
      <c r="U55" s="62"/>
      <c r="V55" s="20"/>
      <c r="W55" s="5"/>
      <c r="X55" s="15"/>
      <c r="Y55" s="16"/>
      <c r="Z55" s="16"/>
      <c r="AA55" s="16"/>
      <c r="AB55" s="16"/>
      <c r="AC55" s="40"/>
      <c r="AD55" s="40"/>
      <c r="AE55" s="4"/>
      <c r="AF55" s="6"/>
    </row>
    <row r="56" spans="1:39" ht="24.95" customHeight="1" x14ac:dyDescent="0.3">
      <c r="A56" s="2"/>
      <c r="B56" s="3"/>
      <c r="C56" s="1"/>
      <c r="D56" s="58"/>
      <c r="E56" s="5"/>
      <c r="F56" s="45"/>
      <c r="G56" s="1"/>
      <c r="H56" s="1"/>
      <c r="I56" s="24"/>
      <c r="J56" s="1"/>
      <c r="K56" s="4"/>
      <c r="L56" s="1"/>
      <c r="M56" s="26"/>
      <c r="N56" s="4"/>
      <c r="O56" s="37"/>
      <c r="P56" s="4"/>
      <c r="Q56" s="37"/>
      <c r="R56" s="1"/>
      <c r="S56" s="5"/>
      <c r="T56" s="5"/>
      <c r="U56" s="62"/>
      <c r="V56" s="20"/>
      <c r="W56" s="5"/>
      <c r="X56" s="15"/>
      <c r="Y56" s="16"/>
      <c r="Z56" s="16"/>
      <c r="AA56" s="16"/>
      <c r="AB56" s="16"/>
      <c r="AC56" s="40"/>
      <c r="AD56" s="40"/>
      <c r="AE56" s="4"/>
      <c r="AF56" s="6"/>
    </row>
    <row r="57" spans="1:39" ht="24.95" customHeight="1" x14ac:dyDescent="0.3">
      <c r="A57" s="2"/>
      <c r="B57" s="3"/>
      <c r="C57" s="1"/>
      <c r="D57" s="58"/>
      <c r="E57" s="5"/>
      <c r="F57" s="45"/>
      <c r="G57" s="1"/>
      <c r="H57" s="1"/>
      <c r="I57" s="24"/>
      <c r="J57" s="1"/>
      <c r="K57" s="4"/>
      <c r="L57" s="1"/>
      <c r="M57" s="26"/>
      <c r="N57" s="4"/>
      <c r="O57" s="37"/>
      <c r="P57" s="4"/>
      <c r="Q57" s="37"/>
      <c r="R57" s="1"/>
      <c r="S57" s="5"/>
      <c r="T57" s="5"/>
      <c r="U57" s="62"/>
      <c r="V57" s="20"/>
      <c r="W57" s="5"/>
      <c r="X57" s="15"/>
      <c r="Y57" s="16"/>
      <c r="Z57" s="16"/>
      <c r="AA57" s="16"/>
      <c r="AB57" s="16"/>
      <c r="AC57" s="40"/>
      <c r="AD57" s="40"/>
      <c r="AE57" s="4"/>
      <c r="AF57" s="6"/>
    </row>
    <row r="58" spans="1:39" ht="24.95" customHeight="1" x14ac:dyDescent="0.3">
      <c r="A58" s="2"/>
      <c r="B58" s="3"/>
      <c r="C58" s="1"/>
      <c r="D58" s="58"/>
      <c r="E58" s="5"/>
      <c r="F58" s="45"/>
      <c r="G58" s="1"/>
      <c r="H58" s="1"/>
      <c r="I58" s="24"/>
      <c r="J58" s="1"/>
      <c r="K58" s="4"/>
      <c r="L58" s="1"/>
      <c r="M58" s="26"/>
      <c r="N58" s="4"/>
      <c r="O58" s="37"/>
      <c r="P58" s="4"/>
      <c r="Q58" s="37"/>
      <c r="R58" s="1"/>
      <c r="S58" s="5"/>
      <c r="T58" s="5"/>
      <c r="U58" s="62"/>
      <c r="V58" s="20"/>
      <c r="W58" s="5"/>
      <c r="X58" s="15"/>
      <c r="Y58" s="16"/>
      <c r="Z58" s="16"/>
      <c r="AA58" s="16"/>
      <c r="AB58" s="16"/>
      <c r="AC58" s="40"/>
      <c r="AD58" s="40"/>
      <c r="AE58" s="4"/>
      <c r="AF58" s="6"/>
    </row>
    <row r="59" spans="1:39" ht="24.95" customHeight="1" x14ac:dyDescent="0.3">
      <c r="A59" s="2"/>
      <c r="B59" s="3"/>
      <c r="C59" s="1"/>
      <c r="D59" s="58"/>
      <c r="E59" s="5"/>
      <c r="F59" s="45"/>
      <c r="G59" s="1"/>
      <c r="H59" s="1"/>
      <c r="I59" s="24"/>
      <c r="J59" s="1"/>
      <c r="K59" s="4"/>
      <c r="L59" s="1"/>
      <c r="M59" s="26"/>
      <c r="N59" s="4"/>
      <c r="O59" s="37"/>
      <c r="P59" s="4"/>
      <c r="Q59" s="37"/>
      <c r="R59" s="1"/>
      <c r="S59" s="5"/>
      <c r="T59" s="5"/>
      <c r="U59" s="62"/>
      <c r="V59" s="20"/>
      <c r="W59" s="5"/>
      <c r="X59" s="15"/>
      <c r="Y59" s="16"/>
      <c r="Z59" s="16"/>
      <c r="AA59" s="16"/>
      <c r="AB59" s="16"/>
      <c r="AC59" s="40"/>
      <c r="AD59" s="40"/>
      <c r="AE59" s="4"/>
      <c r="AF59" s="6"/>
    </row>
    <row r="60" spans="1:39" ht="24.95" customHeight="1" x14ac:dyDescent="0.3">
      <c r="A60" s="2"/>
      <c r="B60" s="3"/>
      <c r="C60" s="1"/>
      <c r="D60" s="58"/>
      <c r="E60" s="5"/>
      <c r="F60" s="45"/>
      <c r="G60" s="1"/>
      <c r="H60" s="1"/>
      <c r="I60" s="24"/>
      <c r="J60" s="1"/>
      <c r="K60" s="4"/>
      <c r="L60" s="1"/>
      <c r="M60" s="26"/>
      <c r="N60" s="4"/>
      <c r="O60" s="37"/>
      <c r="P60" s="4"/>
      <c r="Q60" s="37"/>
      <c r="R60" s="1"/>
      <c r="S60" s="5"/>
      <c r="T60" s="5"/>
      <c r="U60" s="62"/>
      <c r="V60" s="20"/>
      <c r="W60" s="5"/>
      <c r="X60" s="15"/>
      <c r="Y60" s="16"/>
      <c r="Z60" s="16"/>
      <c r="AA60" s="16"/>
      <c r="AB60" s="16"/>
      <c r="AC60" s="40"/>
      <c r="AD60" s="40"/>
      <c r="AE60" s="31"/>
      <c r="AF60" s="6"/>
      <c r="AM60" s="35"/>
    </row>
    <row r="61" spans="1:39" ht="24.95" customHeight="1" x14ac:dyDescent="0.3">
      <c r="A61" s="2"/>
      <c r="B61" s="3"/>
      <c r="C61" s="1"/>
      <c r="D61" s="58"/>
      <c r="E61" s="5"/>
      <c r="F61" s="45"/>
      <c r="G61" s="1"/>
      <c r="H61" s="1"/>
      <c r="I61" s="1"/>
      <c r="J61" s="1"/>
      <c r="K61" s="4"/>
      <c r="L61" s="1"/>
      <c r="M61" s="26"/>
      <c r="N61" s="4"/>
      <c r="O61" s="4"/>
      <c r="P61" s="4"/>
      <c r="Q61" s="37"/>
      <c r="R61" s="1"/>
      <c r="S61" s="1"/>
      <c r="T61" s="5"/>
      <c r="U61" s="62"/>
      <c r="V61" s="20"/>
      <c r="W61" s="5"/>
      <c r="X61" s="15"/>
      <c r="Y61" s="16"/>
      <c r="Z61" s="50"/>
      <c r="AA61" s="16"/>
      <c r="AB61" s="16"/>
      <c r="AC61" s="40"/>
      <c r="AD61" s="40"/>
      <c r="AE61" s="31"/>
      <c r="AF61" s="6"/>
      <c r="AG61" s="34"/>
      <c r="AM61" s="35"/>
    </row>
    <row r="62" spans="1:39" ht="24.95" customHeight="1" x14ac:dyDescent="0.3">
      <c r="A62" s="2"/>
      <c r="B62" s="3"/>
      <c r="C62" s="1"/>
      <c r="D62" s="58"/>
      <c r="E62" s="5"/>
      <c r="F62" s="45"/>
      <c r="G62" s="1"/>
      <c r="H62" s="1"/>
      <c r="I62" s="1"/>
      <c r="J62" s="1"/>
      <c r="K62" s="4"/>
      <c r="L62" s="1"/>
      <c r="M62" s="26"/>
      <c r="N62" s="4"/>
      <c r="O62" s="37"/>
      <c r="P62" s="4"/>
      <c r="Q62" s="37"/>
      <c r="R62" s="1"/>
      <c r="S62" s="5"/>
      <c r="T62" s="5"/>
      <c r="U62" s="62"/>
      <c r="V62" s="20"/>
      <c r="W62" s="5"/>
      <c r="X62" s="15"/>
      <c r="Y62" s="16"/>
      <c r="Z62" s="16"/>
      <c r="AA62" s="16"/>
      <c r="AB62" s="16"/>
      <c r="AC62" s="16"/>
      <c r="AD62" s="16"/>
      <c r="AE62" s="36"/>
      <c r="AF62" s="6"/>
    </row>
    <row r="63" spans="1:39" ht="24.95" customHeight="1" x14ac:dyDescent="0.3">
      <c r="A63" s="2"/>
      <c r="B63" s="3"/>
      <c r="C63" s="1"/>
      <c r="D63" s="58"/>
      <c r="E63" s="5"/>
      <c r="F63" s="45"/>
      <c r="G63" s="1"/>
      <c r="H63" s="1"/>
      <c r="I63" s="1"/>
      <c r="J63" s="1"/>
      <c r="K63" s="1"/>
      <c r="L63" s="1"/>
      <c r="M63" s="1"/>
      <c r="N63" s="4"/>
      <c r="O63" s="4"/>
      <c r="P63" s="4"/>
      <c r="Q63" s="4"/>
      <c r="R63" s="1"/>
      <c r="S63" s="1"/>
      <c r="T63" s="5"/>
      <c r="U63" s="62"/>
      <c r="V63" s="20"/>
      <c r="W63" s="5"/>
      <c r="X63" s="15"/>
      <c r="Y63" s="16"/>
      <c r="Z63" s="16"/>
      <c r="AA63" s="16"/>
      <c r="AB63" s="16"/>
      <c r="AC63" s="16"/>
      <c r="AD63" s="16"/>
      <c r="AE63" s="4"/>
      <c r="AF63" s="6"/>
    </row>
    <row r="64" spans="1:39" ht="24.95" customHeight="1" x14ac:dyDescent="0.3">
      <c r="A64" s="2"/>
      <c r="B64" s="3"/>
      <c r="C64" s="1"/>
      <c r="D64" s="58"/>
      <c r="E64" s="5"/>
      <c r="F64" s="45"/>
      <c r="G64" s="1"/>
      <c r="H64" s="1"/>
      <c r="I64" s="1"/>
      <c r="J64" s="1"/>
      <c r="K64" s="1"/>
      <c r="L64" s="1"/>
      <c r="M64" s="1"/>
      <c r="N64" s="4"/>
      <c r="O64" s="4"/>
      <c r="P64" s="4"/>
      <c r="Q64" s="4"/>
      <c r="R64" s="1"/>
      <c r="S64" s="1"/>
      <c r="T64" s="5"/>
      <c r="U64" s="62"/>
      <c r="V64" s="5"/>
      <c r="W64" s="5"/>
      <c r="X64" s="15"/>
      <c r="Y64" s="16"/>
      <c r="Z64" s="16"/>
      <c r="AA64" s="16"/>
      <c r="AB64" s="16"/>
      <c r="AC64" s="16"/>
      <c r="AD64" s="16"/>
      <c r="AE64" s="4"/>
      <c r="AF64" s="6"/>
    </row>
    <row r="65" spans="1:32" ht="24.95" customHeight="1" x14ac:dyDescent="0.3">
      <c r="A65" s="2"/>
      <c r="B65" s="3"/>
      <c r="C65" s="1"/>
      <c r="D65" s="58"/>
      <c r="E65" s="5"/>
      <c r="F65" s="45"/>
      <c r="G65" s="1"/>
      <c r="H65" s="1"/>
      <c r="I65" s="1"/>
      <c r="J65" s="1"/>
      <c r="K65" s="1"/>
      <c r="L65" s="1"/>
      <c r="M65" s="1"/>
      <c r="N65" s="4"/>
      <c r="O65" s="4"/>
      <c r="P65" s="4"/>
      <c r="Q65" s="4"/>
      <c r="R65" s="1"/>
      <c r="S65" s="1"/>
      <c r="T65" s="5"/>
      <c r="U65" s="62"/>
      <c r="V65" s="5"/>
      <c r="W65" s="5"/>
      <c r="X65" s="15"/>
      <c r="Y65" s="16"/>
      <c r="Z65" s="16"/>
      <c r="AA65" s="16"/>
      <c r="AB65" s="16"/>
      <c r="AC65" s="16"/>
      <c r="AD65" s="16"/>
      <c r="AE65" s="4"/>
      <c r="AF65" s="6"/>
    </row>
    <row r="66" spans="1:32" ht="24.95" customHeight="1" x14ac:dyDescent="0.3">
      <c r="A66" s="2"/>
      <c r="B66" s="3"/>
      <c r="C66" s="1"/>
      <c r="D66" s="58"/>
      <c r="E66" s="5"/>
      <c r="F66" s="45"/>
      <c r="G66" s="1"/>
      <c r="H66" s="1"/>
      <c r="I66" s="1"/>
      <c r="J66" s="1"/>
      <c r="K66" s="1"/>
      <c r="L66" s="1"/>
      <c r="M66" s="1"/>
      <c r="N66" s="4"/>
      <c r="O66" s="4"/>
      <c r="P66" s="4"/>
      <c r="Q66" s="4"/>
      <c r="R66" s="1"/>
      <c r="S66" s="1"/>
      <c r="T66" s="5"/>
      <c r="U66" s="62"/>
      <c r="V66" s="5"/>
      <c r="W66" s="5"/>
      <c r="X66" s="15"/>
      <c r="Y66" s="16"/>
      <c r="Z66" s="16"/>
      <c r="AA66" s="16"/>
      <c r="AB66" s="16"/>
      <c r="AC66" s="16"/>
      <c r="AD66" s="16"/>
      <c r="AE66" s="4"/>
      <c r="AF66" s="6"/>
    </row>
    <row r="67" spans="1:32" ht="24.95" customHeight="1" x14ac:dyDescent="0.3">
      <c r="A67" s="2"/>
      <c r="B67" s="3"/>
      <c r="C67" s="1"/>
      <c r="D67" s="58"/>
      <c r="E67" s="5"/>
      <c r="F67" s="30"/>
      <c r="G67" s="1"/>
      <c r="H67" s="1"/>
      <c r="I67" s="1"/>
      <c r="J67" s="1"/>
      <c r="K67" s="1"/>
      <c r="L67" s="1"/>
      <c r="M67" s="1"/>
      <c r="N67" s="4"/>
      <c r="O67" s="4"/>
      <c r="P67" s="4"/>
      <c r="Q67" s="4"/>
      <c r="R67" s="1"/>
      <c r="S67" s="1"/>
      <c r="T67" s="5"/>
      <c r="U67" s="62"/>
      <c r="V67" s="5"/>
      <c r="W67" s="5"/>
      <c r="X67" s="15"/>
      <c r="Y67" s="16"/>
      <c r="Z67" s="16"/>
      <c r="AA67" s="16"/>
      <c r="AB67" s="16"/>
      <c r="AC67" s="16"/>
      <c r="AD67" s="16"/>
      <c r="AE67" s="4"/>
      <c r="AF67" s="6"/>
    </row>
    <row r="68" spans="1:32" ht="24.95" customHeight="1" x14ac:dyDescent="0.3">
      <c r="A68" s="2"/>
      <c r="B68" s="3"/>
      <c r="C68" s="1"/>
      <c r="D68" s="58"/>
      <c r="E68" s="5"/>
      <c r="F68" s="30"/>
      <c r="G68" s="1"/>
      <c r="H68" s="1"/>
      <c r="I68" s="1"/>
      <c r="J68" s="1"/>
      <c r="K68" s="1"/>
      <c r="L68" s="1"/>
      <c r="M68" s="1"/>
      <c r="N68" s="4"/>
      <c r="O68" s="4"/>
      <c r="P68" s="4"/>
      <c r="Q68" s="4"/>
      <c r="R68" s="1"/>
      <c r="S68" s="1"/>
      <c r="T68" s="5"/>
      <c r="U68" s="62"/>
      <c r="V68" s="5"/>
      <c r="W68" s="5"/>
      <c r="X68" s="15"/>
      <c r="Y68" s="16"/>
      <c r="Z68" s="16"/>
      <c r="AA68" s="16"/>
      <c r="AB68" s="16"/>
      <c r="AC68" s="16"/>
      <c r="AD68" s="16"/>
      <c r="AE68" s="4"/>
      <c r="AF68" s="6"/>
    </row>
    <row r="69" spans="1:32" ht="24.95" customHeight="1" x14ac:dyDescent="0.3">
      <c r="A69" s="2"/>
      <c r="B69" s="3"/>
      <c r="C69" s="1"/>
      <c r="D69" s="58"/>
      <c r="E69" s="5"/>
      <c r="F69" s="30"/>
      <c r="G69" s="1"/>
      <c r="H69" s="1"/>
      <c r="I69" s="1"/>
      <c r="J69" s="1"/>
      <c r="K69" s="1"/>
      <c r="L69" s="1"/>
      <c r="M69" s="1"/>
      <c r="N69" s="4"/>
      <c r="O69" s="4"/>
      <c r="P69" s="4"/>
      <c r="Q69" s="4"/>
      <c r="R69" s="1"/>
      <c r="S69" s="1"/>
      <c r="T69" s="5"/>
      <c r="U69" s="62"/>
      <c r="V69" s="5"/>
      <c r="W69" s="5"/>
      <c r="X69" s="15"/>
      <c r="Y69" s="16"/>
      <c r="Z69" s="16"/>
      <c r="AA69" s="16"/>
      <c r="AB69" s="16"/>
      <c r="AC69" s="16"/>
      <c r="AD69" s="16"/>
      <c r="AE69" s="4"/>
      <c r="AF69" s="6"/>
    </row>
    <row r="70" spans="1:32" ht="24.95" customHeight="1" x14ac:dyDescent="0.3">
      <c r="A70" s="2"/>
      <c r="B70" s="3"/>
      <c r="C70" s="1"/>
      <c r="D70" s="58"/>
      <c r="E70" s="5"/>
      <c r="F70" s="30"/>
      <c r="G70" s="1"/>
      <c r="H70" s="1"/>
      <c r="I70" s="1"/>
      <c r="J70" s="1"/>
      <c r="K70" s="1"/>
      <c r="L70" s="1"/>
      <c r="M70" s="1"/>
      <c r="N70" s="4"/>
      <c r="O70" s="4"/>
      <c r="P70" s="4"/>
      <c r="Q70" s="4"/>
      <c r="R70" s="1"/>
      <c r="S70" s="1"/>
      <c r="T70" s="5"/>
      <c r="U70" s="62"/>
      <c r="V70" s="5"/>
      <c r="W70" s="5"/>
      <c r="X70" s="15"/>
      <c r="Y70" s="16"/>
      <c r="Z70" s="16"/>
      <c r="AA70" s="16"/>
      <c r="AB70" s="16"/>
      <c r="AC70" s="16"/>
      <c r="AD70" s="16"/>
      <c r="AE70" s="4"/>
      <c r="AF70" s="6"/>
    </row>
    <row r="71" spans="1:32" ht="24.95" customHeight="1" x14ac:dyDescent="0.3">
      <c r="A71" s="2"/>
      <c r="B71" s="3"/>
      <c r="C71" s="1"/>
      <c r="D71" s="58"/>
      <c r="E71" s="5"/>
      <c r="F71" s="30"/>
      <c r="G71" s="1"/>
      <c r="H71" s="1"/>
      <c r="I71" s="1"/>
      <c r="J71" s="1"/>
      <c r="K71" s="1"/>
      <c r="L71" s="1"/>
      <c r="M71" s="1"/>
      <c r="N71" s="4"/>
      <c r="O71" s="4"/>
      <c r="P71" s="4"/>
      <c r="Q71" s="4"/>
      <c r="R71" s="1"/>
      <c r="S71" s="1"/>
      <c r="T71" s="5"/>
      <c r="U71" s="62"/>
      <c r="V71" s="5"/>
      <c r="W71" s="5"/>
      <c r="X71" s="15"/>
      <c r="Y71" s="16"/>
      <c r="Z71" s="16"/>
      <c r="AA71" s="16"/>
      <c r="AB71" s="16"/>
      <c r="AC71" s="16"/>
      <c r="AD71" s="16"/>
      <c r="AE71" s="4"/>
      <c r="AF71" s="6"/>
    </row>
    <row r="72" spans="1:32" ht="24.95" customHeight="1" x14ac:dyDescent="0.3">
      <c r="A72" s="2"/>
      <c r="B72" s="3"/>
      <c r="C72" s="1"/>
      <c r="D72" s="58"/>
      <c r="E72" s="5"/>
      <c r="F72" s="30"/>
      <c r="G72" s="1"/>
      <c r="H72" s="1"/>
      <c r="I72" s="1"/>
      <c r="J72" s="1"/>
      <c r="K72" s="1"/>
      <c r="L72" s="1"/>
      <c r="M72" s="1"/>
      <c r="N72" s="4"/>
      <c r="O72" s="4"/>
      <c r="P72" s="4"/>
      <c r="Q72" s="4"/>
      <c r="R72" s="1"/>
      <c r="S72" s="1"/>
      <c r="T72" s="5"/>
      <c r="U72" s="62"/>
      <c r="V72" s="5"/>
      <c r="W72" s="5"/>
      <c r="X72" s="15"/>
      <c r="Y72" s="16"/>
      <c r="Z72" s="16"/>
      <c r="AA72" s="16"/>
      <c r="AB72" s="16"/>
      <c r="AC72" s="16"/>
      <c r="AD72" s="16"/>
      <c r="AE72" s="4"/>
      <c r="AF72" s="6"/>
    </row>
    <row r="73" spans="1:32" ht="24.95" customHeight="1" x14ac:dyDescent="0.3">
      <c r="A73" s="2"/>
      <c r="B73" s="3"/>
      <c r="C73" s="1"/>
      <c r="D73" s="58"/>
      <c r="E73" s="5"/>
      <c r="F73" s="30"/>
      <c r="G73" s="1"/>
      <c r="H73" s="1"/>
      <c r="I73" s="1"/>
      <c r="J73" s="1"/>
      <c r="K73" s="1"/>
      <c r="L73" s="1"/>
      <c r="M73" s="1"/>
      <c r="N73" s="4"/>
      <c r="O73" s="4"/>
      <c r="P73" s="4"/>
      <c r="Q73" s="4"/>
      <c r="R73" s="1"/>
      <c r="S73" s="1"/>
      <c r="T73" s="5"/>
      <c r="U73" s="62"/>
      <c r="V73" s="5"/>
      <c r="W73" s="5"/>
      <c r="X73" s="15"/>
      <c r="Y73" s="16"/>
      <c r="Z73" s="16"/>
      <c r="AA73" s="16"/>
      <c r="AB73" s="16"/>
      <c r="AC73" s="16"/>
      <c r="AD73" s="16"/>
      <c r="AE73" s="4"/>
      <c r="AF73" s="6"/>
    </row>
    <row r="74" spans="1:32" ht="24.95" customHeight="1" x14ac:dyDescent="0.3">
      <c r="A74" s="2"/>
      <c r="B74" s="3"/>
      <c r="C74" s="1"/>
      <c r="D74" s="58"/>
      <c r="E74" s="5"/>
      <c r="F74" s="30"/>
      <c r="G74" s="1"/>
      <c r="H74" s="1"/>
      <c r="I74" s="1"/>
      <c r="J74" s="1"/>
      <c r="K74" s="1"/>
      <c r="L74" s="1"/>
      <c r="M74" s="1"/>
      <c r="N74" s="4"/>
      <c r="O74" s="4"/>
      <c r="P74" s="4"/>
      <c r="Q74" s="4"/>
      <c r="R74" s="1"/>
      <c r="S74" s="1"/>
      <c r="T74" s="5"/>
      <c r="U74" s="62"/>
      <c r="V74" s="5"/>
      <c r="W74" s="5"/>
      <c r="X74" s="15"/>
      <c r="Y74" s="16"/>
      <c r="Z74" s="16"/>
      <c r="AA74" s="16"/>
      <c r="AB74" s="16"/>
      <c r="AC74" s="16"/>
      <c r="AD74" s="16"/>
      <c r="AE74" s="4"/>
      <c r="AF74" s="6"/>
    </row>
    <row r="75" spans="1:32" ht="24.95" customHeight="1" thickBot="1" x14ac:dyDescent="0.35">
      <c r="A75" s="7"/>
      <c r="B75" s="8"/>
      <c r="C75" s="9"/>
      <c r="D75" s="59"/>
      <c r="E75" s="11"/>
      <c r="F75" s="52"/>
      <c r="G75" s="9"/>
      <c r="H75" s="9"/>
      <c r="I75" s="9"/>
      <c r="J75" s="9"/>
      <c r="K75" s="9"/>
      <c r="L75" s="9"/>
      <c r="M75" s="54"/>
      <c r="N75" s="10"/>
      <c r="O75" s="10"/>
      <c r="P75" s="10"/>
      <c r="Q75" s="10"/>
      <c r="R75" s="9"/>
      <c r="S75" s="9"/>
      <c r="T75" s="11"/>
      <c r="U75" s="63"/>
      <c r="V75" s="11"/>
      <c r="W75" s="11"/>
      <c r="X75" s="17"/>
      <c r="Y75" s="18"/>
      <c r="Z75" s="18"/>
      <c r="AA75" s="18"/>
      <c r="AB75" s="18"/>
      <c r="AC75" s="18"/>
      <c r="AD75" s="18"/>
      <c r="AE75" s="10"/>
      <c r="AF75" s="12"/>
    </row>
  </sheetData>
  <autoFilter ref="A8:AL43" xr:uid="{00000000-0009-0000-0000-000000000000}">
    <filterColumn colId="2">
      <filters>
        <filter val="용인"/>
      </filters>
    </filterColumn>
    <sortState xmlns:xlrd2="http://schemas.microsoft.com/office/spreadsheetml/2017/richdata2" ref="A13:AL43">
      <sortCondition sortBy="cellColor" ref="A8:A42" dxfId="0"/>
    </sortState>
  </autoFilter>
  <mergeCells count="27">
    <mergeCell ref="L7:L8"/>
    <mergeCell ref="M7:M8"/>
    <mergeCell ref="N7:P7"/>
    <mergeCell ref="Q7:Q8"/>
    <mergeCell ref="W7:W8"/>
    <mergeCell ref="X7:X8"/>
    <mergeCell ref="Y7:Z7"/>
    <mergeCell ref="AE7:AE8"/>
    <mergeCell ref="R7:R8"/>
    <mergeCell ref="S7:U7"/>
    <mergeCell ref="AD7:AD8"/>
    <mergeCell ref="A2:AF2"/>
    <mergeCell ref="A4:J4"/>
    <mergeCell ref="A5:J5"/>
    <mergeCell ref="A6:J6"/>
    <mergeCell ref="A7:A8"/>
    <mergeCell ref="B7:B8"/>
    <mergeCell ref="C7:C8"/>
    <mergeCell ref="D7:D8"/>
    <mergeCell ref="E7:E8"/>
    <mergeCell ref="F7:F8"/>
    <mergeCell ref="G7:G8"/>
    <mergeCell ref="H7:H8"/>
    <mergeCell ref="I7:J7"/>
    <mergeCell ref="K7:K8"/>
    <mergeCell ref="AF7:AF8"/>
    <mergeCell ref="V7:V8"/>
  </mergeCells>
  <phoneticPr fontId="1" type="noConversion"/>
  <dataValidations count="8">
    <dataValidation type="list" allowBlank="1" showInputMessage="1" showErrorMessage="1" sqref="S61 S63:S75" xr:uid="{00000000-0002-0000-0000-000000000000}">
      <formula1>"설치,미설치"</formula1>
    </dataValidation>
    <dataValidation type="list" allowBlank="1" showInputMessage="1" showErrorMessage="1" sqref="W9:W75" xr:uid="{00000000-0002-0000-0000-000007000000}">
      <formula1>"모래,토사,불균일,맨홀"</formula1>
    </dataValidation>
    <dataValidation type="list" allowBlank="1" showInputMessage="1" showErrorMessage="1" sqref="V9:V75" xr:uid="{00000000-0002-0000-0000-000006000000}">
      <formula1>"활동,중립"</formula1>
    </dataValidation>
    <dataValidation type="list" allowBlank="1" showInputMessage="1" showErrorMessage="1" sqref="G9:G75" xr:uid="{00000000-0002-0000-0000-000002000000}">
      <formula1>"반영,반영(변경),미반영"</formula1>
    </dataValidation>
    <dataValidation type="list" allowBlank="1" showInputMessage="1" showErrorMessage="1" sqref="L12:L75" xr:uid="{00000000-0002-0000-0000-000001000000}">
      <formula1>"도로,보도,녹지,공원,하천,단지,기타"</formula1>
    </dataValidation>
    <dataValidation type="list" allowBlank="1" showInputMessage="1" showErrorMessage="1" sqref="M9:M75" xr:uid="{00000000-0002-0000-0000-000004000000}">
      <formula1>"주간,야간"</formula1>
    </dataValidation>
    <dataValidation type="list" allowBlank="1" showInputMessage="1" showErrorMessage="1" sqref="N9:N75" xr:uid="{00000000-0002-0000-0000-000005000000}">
      <formula1>공사형태</formula1>
    </dataValidation>
    <dataValidation type="list" allowBlank="1" showInputMessage="1" showErrorMessage="1" sqref="R9:R75" xr:uid="{00000000-0002-0000-0000-000003000000}">
      <formula1>"건가,제조,예수금"</formula1>
    </dataValidation>
  </dataValidations>
  <pageMargins left="0.23622047244094491" right="0.23622047244094491" top="0.74803149606299213" bottom="0.74803149606299213" header="0.31496062992125984" footer="0.31496062992125984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관리대장(2025년)</vt:lpstr>
      <vt:lpstr>'관리대장(2025년)'!Print_Area</vt:lpstr>
      <vt:lpstr>'관리대장(2025년)'!Print_Titles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승리 백</cp:lastModifiedBy>
  <cp:lastPrinted>2019-12-12T05:03:58Z</cp:lastPrinted>
  <dcterms:created xsi:type="dcterms:W3CDTF">2016-12-01T07:24:40Z</dcterms:created>
  <dcterms:modified xsi:type="dcterms:W3CDTF">2026-05-29T03:10:08Z</dcterms:modified>
</cp:coreProperties>
</file>