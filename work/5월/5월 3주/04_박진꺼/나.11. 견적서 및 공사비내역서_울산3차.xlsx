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5년\경상남도\울산(울산공업용수도 노후관 개량공사(3차))-수자원공사\추가 심의 1200A(흄관)-260514\[수자원공사 낙동강동부사업단] 특정공법(부단수차단) 선정 심사위원회 운영 관련 자료요청\특정공법심의\제출자료(울산3차 흄관)\제출\"/>
    </mc:Choice>
  </mc:AlternateContent>
  <xr:revisionPtr revIDLastSave="0" documentId="13_ncr:1_{FEA786AF-EE69-4FB1-9CE3-D44304C15E2D}" xr6:coauthVersionLast="47" xr6:coauthVersionMax="47" xr10:uidLastSave="{00000000-0000-0000-0000-000000000000}"/>
  <bookViews>
    <workbookView xWindow="-120" yWindow="-120" windowWidth="29040" windowHeight="15720" tabRatio="753" firstSheet="2" activeTab="4" xr2:uid="{00000000-000D-0000-FFFF-FFFF00000000}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22" r:id="rId5"/>
    <sheet name="중기사용료" sheetId="23" r:id="rId6"/>
    <sheet name="중기기초자료" sheetId="24" r:id="rId7"/>
    <sheet name="자재" sheetId="10" r:id="rId8"/>
    <sheet name="노임" sheetId="6" r:id="rId9"/>
    <sheet name="경비" sheetId="11" r:id="rId10"/>
    <sheet name="자재조서" sheetId="4" r:id="rId11"/>
    <sheet name="자재견적서" sheetId="20" r:id="rId12"/>
    <sheet name="장비견적서" sheetId="25" r:id="rId13"/>
    <sheet name="수량산출서" sheetId="7" r:id="rId14"/>
    <sheet name="장비운반비 산출근거" sheetId="21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</externalReferences>
  <definedNames>
    <definedName name="_____dfg1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12" hidden="1">{#N/A,#N/A,FALSE,"배수1"}</definedName>
    <definedName name="_____P3" localSheetId="4" hidden="1">{#N/A,#N/A,FALSE,"배수1"}</definedName>
    <definedName name="_____P3" hidden="1">{#N/A,#N/A,FALSE,"배수1"}</definedName>
    <definedName name="_____P4" localSheetId="12" hidden="1">{#N/A,#N/A,FALSE,"혼합골재"}</definedName>
    <definedName name="_____P4" localSheetId="4" hidden="1">{#N/A,#N/A,FALSE,"혼합골재"}</definedName>
    <definedName name="_____P4" hidden="1">{#N/A,#N/A,FALSE,"혼합골재"}</definedName>
    <definedName name="_____P5" localSheetId="12" hidden="1">{#N/A,#N/A,FALSE,"배수1"}</definedName>
    <definedName name="_____P5" localSheetId="4" hidden="1">{#N/A,#N/A,FALSE,"배수1"}</definedName>
    <definedName name="_____P5" hidden="1">{#N/A,#N/A,FALSE,"배수1"}</definedName>
    <definedName name="_____P6" localSheetId="12" hidden="1">{#N/A,#N/A,FALSE,"2~8번"}</definedName>
    <definedName name="_____P6" localSheetId="4" hidden="1">{#N/A,#N/A,FALSE,"2~8번"}</definedName>
    <definedName name="_____P6" hidden="1">{#N/A,#N/A,FALSE,"2~8번"}</definedName>
    <definedName name="_____S3" localSheetId="12" hidden="1">{#N/A,#N/A,FALSE,"포장2"}</definedName>
    <definedName name="_____S3" localSheetId="4" hidden="1">{#N/A,#N/A,FALSE,"포장2"}</definedName>
    <definedName name="_____S3" hidden="1">{#N/A,#N/A,FALSE,"포장2"}</definedName>
    <definedName name="___dfg1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12" hidden="1">{#N/A,#N/A,FALSE,"배수1"}</definedName>
    <definedName name="___P3" localSheetId="4" hidden="1">{#N/A,#N/A,FALSE,"배수1"}</definedName>
    <definedName name="___P3" hidden="1">{#N/A,#N/A,FALSE,"배수1"}</definedName>
    <definedName name="___P4" localSheetId="12" hidden="1">{#N/A,#N/A,FALSE,"혼합골재"}</definedName>
    <definedName name="___P4" localSheetId="4" hidden="1">{#N/A,#N/A,FALSE,"혼합골재"}</definedName>
    <definedName name="___P4" hidden="1">{#N/A,#N/A,FALSE,"혼합골재"}</definedName>
    <definedName name="___P5" localSheetId="12" hidden="1">{#N/A,#N/A,FALSE,"배수1"}</definedName>
    <definedName name="___P5" localSheetId="4" hidden="1">{#N/A,#N/A,FALSE,"배수1"}</definedName>
    <definedName name="___P5" hidden="1">{#N/A,#N/A,FALSE,"배수1"}</definedName>
    <definedName name="___P6" localSheetId="12" hidden="1">{#N/A,#N/A,FALSE,"2~8번"}</definedName>
    <definedName name="___P6" localSheetId="4" hidden="1">{#N/A,#N/A,FALSE,"2~8번"}</definedName>
    <definedName name="___P6" hidden="1">{#N/A,#N/A,FALSE,"2~8번"}</definedName>
    <definedName name="___S3" localSheetId="12" hidden="1">{#N/A,#N/A,FALSE,"포장2"}</definedName>
    <definedName name="___S3" localSheetId="4" hidden="1">{#N/A,#N/A,FALSE,"포장2"}</definedName>
    <definedName name="___S3" hidden="1">{#N/A,#N/A,FALSE,"포장2"}</definedName>
    <definedName name="__123Graph_X" localSheetId="12" hidden="1">'[1]ENE-CAL 1'!$E$10:$E$35</definedName>
    <definedName name="__123Graph_X" hidden="1">'[2]ENE-CAL 1'!$E$10:$E$35</definedName>
    <definedName name="__dfg1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12" hidden="1">{#N/A,#N/A,FALSE,"배수1"}</definedName>
    <definedName name="__P3" localSheetId="4" hidden="1">{#N/A,#N/A,FALSE,"배수1"}</definedName>
    <definedName name="__P3" hidden="1">{#N/A,#N/A,FALSE,"배수1"}</definedName>
    <definedName name="__P4" localSheetId="12" hidden="1">{#N/A,#N/A,FALSE,"혼합골재"}</definedName>
    <definedName name="__P4" localSheetId="4" hidden="1">{#N/A,#N/A,FALSE,"혼합골재"}</definedName>
    <definedName name="__P4" hidden="1">{#N/A,#N/A,FALSE,"혼합골재"}</definedName>
    <definedName name="__P5" localSheetId="12" hidden="1">{#N/A,#N/A,FALSE,"배수1"}</definedName>
    <definedName name="__P5" localSheetId="4" hidden="1">{#N/A,#N/A,FALSE,"배수1"}</definedName>
    <definedName name="__P5" hidden="1">{#N/A,#N/A,FALSE,"배수1"}</definedName>
    <definedName name="__P6" localSheetId="12" hidden="1">{#N/A,#N/A,FALSE,"2~8번"}</definedName>
    <definedName name="__P6" localSheetId="4" hidden="1">{#N/A,#N/A,FALSE,"2~8번"}</definedName>
    <definedName name="__P6" hidden="1">{#N/A,#N/A,FALSE,"2~8번"}</definedName>
    <definedName name="__S3" localSheetId="12" hidden="1">{#N/A,#N/A,FALSE,"포장2"}</definedName>
    <definedName name="__S3" localSheetId="4" hidden="1">{#N/A,#N/A,FALSE,"포장2"}</definedName>
    <definedName name="__S3" hidden="1">{#N/A,#N/A,FALSE,"포장2"}</definedName>
    <definedName name="_10S3_" localSheetId="12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12" hidden="1">{#N/A,#N/A,FALSE,"2~8번"}</definedName>
    <definedName name="_12P6_" localSheetId="4" hidden="1">{#N/A,#N/A,FALSE,"2~8번"}</definedName>
    <definedName name="_12P6_" hidden="1">{#N/A,#N/A,FALSE,"2~8번"}</definedName>
    <definedName name="_15A">[3]가격조사서!$D$4:$D$11</definedName>
    <definedName name="_15S3_" localSheetId="12" hidden="1">{#N/A,#N/A,FALSE,"포장2"}</definedName>
    <definedName name="_15S3_" localSheetId="4" hidden="1">{#N/A,#N/A,FALSE,"포장2"}</definedName>
    <definedName name="_15S3_" hidden="1">{#N/A,#N/A,FALSE,"포장2"}</definedName>
    <definedName name="_1P3_" localSheetId="12" hidden="1">{#N/A,#N/A,FALSE,"배수1"}</definedName>
    <definedName name="_1P3_" localSheetId="4" hidden="1">{#N/A,#N/A,FALSE,"배수1"}</definedName>
    <definedName name="_1P3_" hidden="1">{#N/A,#N/A,FALSE,"배수1"}</definedName>
    <definedName name="_2P3_" localSheetId="12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12" hidden="1">{#N/A,#N/A,FALSE,"혼합골재"}</definedName>
    <definedName name="_2P4_" localSheetId="4" hidden="1">{#N/A,#N/A,FALSE,"혼합골재"}</definedName>
    <definedName name="_2P4_" hidden="1">{#N/A,#N/A,FALSE,"혼합골재"}</definedName>
    <definedName name="_3P3_" localSheetId="12" hidden="1">{#N/A,#N/A,FALSE,"배수1"}</definedName>
    <definedName name="_3P3_" localSheetId="4" hidden="1">{#N/A,#N/A,FALSE,"배수1"}</definedName>
    <definedName name="_3P3_" hidden="1">{#N/A,#N/A,FALSE,"배수1"}</definedName>
    <definedName name="_3P5_" localSheetId="12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12" hidden="1">{#N/A,#N/A,FALSE,"혼합골재"}</definedName>
    <definedName name="_4P4_" localSheetId="4" hidden="1">{#N/A,#N/A,FALSE,"혼합골재"}</definedName>
    <definedName name="_4P4_" hidden="1">{#N/A,#N/A,FALSE,"혼합골재"}</definedName>
    <definedName name="_4P6_" localSheetId="12" hidden="1">{#N/A,#N/A,FALSE,"2~8번"}</definedName>
    <definedName name="_4P6_" localSheetId="4" hidden="1">{#N/A,#N/A,FALSE,"2~8번"}</definedName>
    <definedName name="_4P6_" hidden="1">{#N/A,#N/A,FALSE,"2~8번"}</definedName>
    <definedName name="_5S3_" localSheetId="12" hidden="1">{#N/A,#N/A,FALSE,"포장2"}</definedName>
    <definedName name="_5S3_" localSheetId="4" hidden="1">{#N/A,#N/A,FALSE,"포장2"}</definedName>
    <definedName name="_5S3_" hidden="1">{#N/A,#N/A,FALSE,"포장2"}</definedName>
    <definedName name="_6P4_" localSheetId="12" hidden="1">{#N/A,#N/A,FALSE,"혼합골재"}</definedName>
    <definedName name="_6P4_" localSheetId="4" hidden="1">{#N/A,#N/A,FALSE,"혼합골재"}</definedName>
    <definedName name="_6P4_" hidden="1">{#N/A,#N/A,FALSE,"혼합골재"}</definedName>
    <definedName name="_6P5_" localSheetId="12" hidden="1">{#N/A,#N/A,FALSE,"배수1"}</definedName>
    <definedName name="_6P5_" localSheetId="4" hidden="1">{#N/A,#N/A,FALSE,"배수1"}</definedName>
    <definedName name="_6P5_" hidden="1">{#N/A,#N/A,FALSE,"배수1"}</definedName>
    <definedName name="_8P6_" localSheetId="12" hidden="1">{#N/A,#N/A,FALSE,"2~8번"}</definedName>
    <definedName name="_8P6_" localSheetId="4" hidden="1">{#N/A,#N/A,FALSE,"2~8번"}</definedName>
    <definedName name="_8P6_" hidden="1">{#N/A,#N/A,FALSE,"2~8번"}</definedName>
    <definedName name="_9P5_" localSheetId="12" hidden="1">{#N/A,#N/A,FALSE,"배수1"}</definedName>
    <definedName name="_9P5_" localSheetId="4" hidden="1">{#N/A,#N/A,FALSE,"배수1"}</definedName>
    <definedName name="_9P5_" hidden="1">{#N/A,#N/A,FALSE,"배수1"}</definedName>
    <definedName name="_B22" localSheetId="12">[4]일위대가!$1400:$1413=[4]일위대가!$A$1400</definedName>
    <definedName name="_B22">[5]일위대가!$1400:$1413=[5]일위대가!$A$1400</definedName>
    <definedName name="_DAN2" localSheetId="12">[6]단가조사서!$M$1:$N$65536</definedName>
    <definedName name="_DAN2">[7]단가조사서!$M$1:$N$65536</definedName>
    <definedName name="_dfg1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[8]조명시설!#REF!</definedName>
    <definedName name="_dist__bin" localSheetId="3" hidden="1">[8]조명시설!#REF!</definedName>
    <definedName name="_dist__bin" localSheetId="12" hidden="1">[8]조명시설!#REF!</definedName>
    <definedName name="_dist__bin" hidden="1">[8]조명시설!#REF!</definedName>
    <definedName name="_Dist_Bin" localSheetId="2" hidden="1">[9]조명시설!#REF!</definedName>
    <definedName name="_Dist_Bin" localSheetId="3" hidden="1">[9]조명시설!#REF!</definedName>
    <definedName name="_Dist_Bin" localSheetId="12" hidden="1">[9]조명시설!#REF!</definedName>
    <definedName name="_Dist_Bin" hidden="1">[9]조명시설!#REF!</definedName>
    <definedName name="_Dist_Values" localSheetId="2" hidden="1">[9]조명시설!#REF!</definedName>
    <definedName name="_Dist_Values" localSheetId="3" hidden="1">[9]조명시설!#REF!</definedName>
    <definedName name="_Dist_Values" localSheetId="12" hidden="1">[9]조명시설!#REF!</definedName>
    <definedName name="_Dist_Values" hidden="1">[9]조명시설!#REF!</definedName>
    <definedName name="_Fill" localSheetId="2" hidden="1">#REF!</definedName>
    <definedName name="_Fill" localSheetId="3" hidden="1">#REF!</definedName>
    <definedName name="_Fill" localSheetId="12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일위대가호표!$A$2:$E$464</definedName>
    <definedName name="_xlnm._FilterDatabase" localSheetId="12" hidden="1">#REF!</definedName>
    <definedName name="_xlnm._FilterDatabase" localSheetId="6" hidden="1">중기기초자료!$A$2:$H$118</definedName>
    <definedName name="_xlnm._FilterDatabase" localSheetId="5" hidden="1">중기사용료!$A$5:$H$1486</definedName>
    <definedName name="_xlnm._FilterDatabase" localSheetId="4" hidden="1">중기사용료목록!$A$2:$I$137</definedName>
    <definedName name="_xlnm._FilterDatabase" hidden="1">#REF!</definedName>
    <definedName name="_JIP1" localSheetId="12">[6]집계표!$A$1:$K$65536</definedName>
    <definedName name="_JIP1">[7]집계표!$A$1:$K$65536</definedName>
    <definedName name="_K02" localSheetId="12">[4]일위대가!$732:$745=[4]일위대가!$A$732</definedName>
    <definedName name="_K02">[5]일위대가!$732:$745=[5]일위대가!$A$732</definedName>
    <definedName name="_Key1" localSheetId="2" hidden="1">#REF!</definedName>
    <definedName name="_Key1" localSheetId="3" hidden="1">#REF!</definedName>
    <definedName name="_Key1" localSheetId="12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12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12" hidden="1">#REF!</definedName>
    <definedName name="_kfkf" localSheetId="4" hidden="1">#REF!</definedName>
    <definedName name="_kfkf" hidden="1">#REF!</definedName>
    <definedName name="_O03" localSheetId="12">[4]일위대가!$1516:$1529=[4]일위대가!$A$1516</definedName>
    <definedName name="_O03">[5]일위대가!$1516:$1529=[5]일위대가!$A$1516</definedName>
    <definedName name="_Order1" hidden="1">255</definedName>
    <definedName name="_Order2" hidden="1">255</definedName>
    <definedName name="_P3" localSheetId="12" hidden="1">{#N/A,#N/A,FALSE,"배수1"}</definedName>
    <definedName name="_P3" localSheetId="4" hidden="1">{#N/A,#N/A,FALSE,"배수1"}</definedName>
    <definedName name="_P3" hidden="1">{#N/A,#N/A,FALSE,"배수1"}</definedName>
    <definedName name="_P4" localSheetId="12" hidden="1">{#N/A,#N/A,FALSE,"혼합골재"}</definedName>
    <definedName name="_P4" localSheetId="4" hidden="1">{#N/A,#N/A,FALSE,"혼합골재"}</definedName>
    <definedName name="_P4" hidden="1">{#N/A,#N/A,FALSE,"혼합골재"}</definedName>
    <definedName name="_P5" localSheetId="12" hidden="1">{#N/A,#N/A,FALSE,"배수1"}</definedName>
    <definedName name="_P5" localSheetId="4" hidden="1">{#N/A,#N/A,FALSE,"배수1"}</definedName>
    <definedName name="_P5" hidden="1">{#N/A,#N/A,FALSE,"배수1"}</definedName>
    <definedName name="_P6" localSheetId="12" hidden="1">{#N/A,#N/A,FALSE,"2~8번"}</definedName>
    <definedName name="_P6" localSheetId="4" hidden="1">{#N/A,#N/A,FALSE,"2~8번"}</definedName>
    <definedName name="_P6" hidden="1">{#N/A,#N/A,FALSE,"2~8번"}</definedName>
    <definedName name="_QTY1">[10]SHEET2!$F$3:$F$101</definedName>
    <definedName name="_RAN5" localSheetId="12">[11]토목품셈!$D$1:$AI$146</definedName>
    <definedName name="_RAN5">[12]토목품셈!$D$1:$AI$146</definedName>
    <definedName name="_RAN6" localSheetId="12">[11]토목품셈!$BO$1:$BZ$25</definedName>
    <definedName name="_RAN6">[12]토목품셈!$BO$1:$BZ$25</definedName>
    <definedName name="_RAN7" localSheetId="12">[11]토목품셈!$CB$1:$CJ$24</definedName>
    <definedName name="_RAN7">[12]토목품셈!$CB$1:$CJ$24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12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12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12" hidden="1">#REF!</definedName>
    <definedName name="_Regression_Y" localSheetId="4" hidden="1">#REF!</definedName>
    <definedName name="_Regression_Y" hidden="1">#REF!</definedName>
    <definedName name="_S3" localSheetId="12" hidden="1">{#N/A,#N/A,FALSE,"포장2"}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12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12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12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12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12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12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12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12" hidden="1">#REF!</definedName>
    <definedName name="_재ㅐ햐" localSheetId="4" hidden="1">#REF!</definedName>
    <definedName name="_재ㅐ햐" hidden="1">#REF!</definedName>
    <definedName name="aaaaaa" localSheetId="12" hidden="1">{#N/A,#N/A,FALSE,"속도"}</definedName>
    <definedName name="aaaaaa" localSheetId="4" hidden="1">{#N/A,#N/A,FALSE,"속도"}</definedName>
    <definedName name="aaaaaa" hidden="1">{#N/A,#N/A,FALSE,"속도"}</definedName>
    <definedName name="AAAAAAAA" localSheetId="12" hidden="1">{"'도면'!$G$62:$H$63","'도면'!$G$62:$H$63"}</definedName>
    <definedName name="AAAAAAAA" hidden="1">{"'도면'!$G$62:$H$63","'도면'!$G$62:$H$63"}</definedName>
    <definedName name="AAAAAQQQ" localSheetId="12" hidden="1">{"'도면'!$G$62:$H$63","'도면'!$G$62:$H$63"}</definedName>
    <definedName name="AAAAAQQQ" hidden="1">{"'도면'!$G$62:$H$63","'도면'!$G$62:$H$63"}</definedName>
    <definedName name="AAAAAQQQ_1" localSheetId="12" hidden="1">{"'도면'!$G$62:$H$63","'도면'!$G$62:$H$63"}</definedName>
    <definedName name="AAAAAQQQ_1" hidden="1">{"'도면'!$G$62:$H$63","'도면'!$G$62:$H$63"}</definedName>
    <definedName name="ABCD" localSheetId="12">[13]CABdata!$E$22:$F$46</definedName>
    <definedName name="ABCD">[14]CABdata!$E$22:$F$46</definedName>
    <definedName name="AccessDatabase" hidden="1">"D:\공무jaje\98년품의-수불\98146.mdb"</definedName>
    <definedName name="adfvvv" localSheetId="12" hidden="1">{"'Firr(선)'!$AS$1:$AY$62","'Firr(사)'!$AS$1:$AY$62","'Firr(회)'!$AS$1:$AY$62","'Firr(선)'!$L$1:$V$62","'Firr(사)'!$L$1:$V$62","'Firr(회)'!$L$1:$V$62"}</definedName>
    <definedName name="adfvvv" hidden="1">{"'Firr(선)'!$AS$1:$AY$62","'Firr(사)'!$AS$1:$AY$62","'Firr(회)'!$AS$1:$AY$62","'Firr(선)'!$L$1:$V$62","'Firr(사)'!$L$1:$V$62","'Firr(회)'!$L$1:$V$62"}</definedName>
    <definedName name="adfvvv_1" localSheetId="12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12" hidden="1">{#N/A,#N/A,FALSE,"2~8번"}</definedName>
    <definedName name="ASF" localSheetId="4" hidden="1">{#N/A,#N/A,FALSE,"2~8번"}</definedName>
    <definedName name="ASF" hidden="1">{#N/A,#N/A,FALSE,"2~8번"}</definedName>
    <definedName name="asfwe" localSheetId="12" hidden="1">{"'Firr(선)'!$AS$1:$AY$62","'Firr(사)'!$AS$1:$AY$62","'Firr(회)'!$AS$1:$AY$62","'Firr(선)'!$L$1:$V$62","'Firr(사)'!$L$1:$V$62","'Firr(회)'!$L$1:$V$62"}</definedName>
    <definedName name="asfwe" hidden="1">{"'Firr(선)'!$AS$1:$AY$62","'Firr(사)'!$AS$1:$AY$62","'Firr(회)'!$AS$1:$AY$62","'Firr(선)'!$L$1:$V$62","'Firr(사)'!$L$1:$V$62","'Firr(회)'!$L$1:$V$62"}</definedName>
    <definedName name="asfwe_1" localSheetId="12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localSheetId="12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localSheetId="12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 localSheetId="12">'[15]노무비(DB)'!$A$1:$D$208</definedName>
    <definedName name="A노임단가">'[16]노무비(DB)'!$A$1:$D$208</definedName>
    <definedName name="BBBBB" localSheetId="12" hidden="1">{"'도면'!$G$62:$H$63","'도면'!$G$62:$H$63"}</definedName>
    <definedName name="BBBBB" hidden="1">{"'도면'!$G$62:$H$63","'도면'!$G$62:$H$63"}</definedName>
    <definedName name="BBBBB_1" localSheetId="12" hidden="1">{"'도면'!$G$62:$H$63","'도면'!$G$62:$H$63"}</definedName>
    <definedName name="BBBBB_1" hidden="1">{"'도면'!$G$62:$H$63","'도면'!$G$62:$H$63"}</definedName>
    <definedName name="bdfgdgr" localSheetId="12">[17]!Macro8</definedName>
    <definedName name="bdfgdgr">[17]!Macro8</definedName>
    <definedName name="BLDG">[18]LEGEND!$D$8</definedName>
    <definedName name="CABDIA" localSheetId="12">[13]MOTOR!$A$86:$B$408</definedName>
    <definedName name="CABDIA">[14]MOTOR!$A$86:$B$408</definedName>
    <definedName name="CABLEA" localSheetId="12">[13]MOTOR!$B$66:$C$82</definedName>
    <definedName name="CABLEA">[14]MOTOR!$B$66:$C$82</definedName>
    <definedName name="CABLEB" localSheetId="12">[13]MOTOR!$D$66:$E$82</definedName>
    <definedName name="CABLEB">[14]MOTOR!$D$66:$E$82</definedName>
    <definedName name="CABLED" localSheetId="12">[13]MOTOR!$F$66:$G$82</definedName>
    <definedName name="CABLED">[14]MOTOR!$F$66:$G$82</definedName>
    <definedName name="CABLEE" localSheetId="12">[13]MOTOR!$H$66:$I$82</definedName>
    <definedName name="CABLEE">[14]MOTOR!$H$66:$I$82</definedName>
    <definedName name="CAB허용" localSheetId="12">[13]MOTOR!$J$66:$N$81</definedName>
    <definedName name="CAB허용">[14]MOTOR!$J$66:$N$81</definedName>
    <definedName name="CC" localSheetId="12" hidden="1">{"'도면'!$G$62:$H$63","'도면'!$G$62:$H$63"}</definedName>
    <definedName name="CC" hidden="1">{"'도면'!$G$62:$H$63","'도면'!$G$62:$H$63"}</definedName>
    <definedName name="CC_1" localSheetId="12" hidden="1">{"'도면'!$G$62:$H$63","'도면'!$G$62:$H$63"}</definedName>
    <definedName name="CC_1" hidden="1">{"'도면'!$G$62:$H$63","'도면'!$G$62:$H$63"}</definedName>
    <definedName name="CCCC" localSheetId="12" hidden="1">{"'도면'!$G$62:$H$63","'도면'!$G$62:$H$63"}</definedName>
    <definedName name="CCCC" hidden="1">{"'도면'!$G$62:$H$63","'도면'!$G$62:$H$63"}</definedName>
    <definedName name="cds" localSheetId="12">장비견적서!cds</definedName>
    <definedName name="cds">[0]!cds</definedName>
    <definedName name="cds가로등" localSheetId="12">장비견적서!cds가로등</definedName>
    <definedName name="cds가로등">[0]!cds가로등</definedName>
    <definedName name="CIRCUIT">[19]Sheet1!$C$4:$D$10</definedName>
    <definedName name="CLIENT">[18]LEGEND!$D$6</definedName>
    <definedName name="cnltn" localSheetId="12" hidden="1">{"'신흥취수펌프 검토'!$M$2","'신흥취수펌프 검토'!$A$1:$AE$87"}</definedName>
    <definedName name="cnltn" hidden="1">{"'신흥취수펌프 검토'!$M$2","'신흥취수펌프 검토'!$A$1:$AE$87"}</definedName>
    <definedName name="cnltn_1" localSheetId="12" hidden="1">{"'신흥취수펌프 검토'!$M$2","'신흥취수펌프 검토'!$A$1:$AE$87"}</definedName>
    <definedName name="cnltn_1" hidden="1">{"'신흥취수펌프 검토'!$M$2","'신흥취수펌프 검토'!$A$1:$AE$87"}</definedName>
    <definedName name="CTC" localSheetId="12">[20]DATA!$H$30:$I$57</definedName>
    <definedName name="CTC">[21]DATA!$H$30:$I$57</definedName>
    <definedName name="cxee" localSheetId="12" hidden="1">{"'Firr(선)'!$AS$1:$AY$62","'Firr(사)'!$AS$1:$AY$62","'Firr(회)'!$AS$1:$AY$62","'Firr(선)'!$L$1:$V$62","'Firr(사)'!$L$1:$V$62","'Firr(회)'!$L$1:$V$62"}</definedName>
    <definedName name="cxee" hidden="1">{"'Firr(선)'!$AS$1:$AY$62","'Firr(사)'!$AS$1:$AY$62","'Firr(회)'!$AS$1:$AY$62","'Firr(선)'!$L$1:$V$62","'Firr(사)'!$L$1:$V$62","'Firr(회)'!$L$1:$V$62"}</definedName>
    <definedName name="cxee_1" localSheetId="12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'[22]Y-WORK'!$D$19:$D$19,'[22]Y-WORK'!$F$19:$BD$19</definedName>
    <definedName name="DAT" localSheetId="12">[23]MCC제원!$A$5:$AG$80</definedName>
    <definedName name="DAT">[24]MCC제원!$A$5:$AG$80</definedName>
    <definedName name="dataww" localSheetId="2" hidden="1">#REF!</definedName>
    <definedName name="dataww" localSheetId="3" hidden="1">#REF!</definedName>
    <definedName name="dataww" localSheetId="12" hidden="1">#REF!</definedName>
    <definedName name="dataww" localSheetId="4" hidden="1">#REF!</definedName>
    <definedName name="dataww" hidden="1">#REF!</definedName>
    <definedName name="DBGUDTLR" localSheetId="12" hidden="1">{"'PC현황'!$A$1:$Z$29"}</definedName>
    <definedName name="DBGUDTLR" hidden="1">{"'PC현황'!$A$1:$Z$29"}</definedName>
    <definedName name="DB형식" localSheetId="12" hidden="1">{"'PC현황'!$A$1:$Z$29"}</definedName>
    <definedName name="DB형식" hidden="1">{"'PC현황'!$A$1:$Z$29"}</definedName>
    <definedName name="DDDD" localSheetId="12" hidden="1">{"'도면'!$G$62:$H$63","'도면'!$G$62:$H$63"}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12" hidden="1">#REF!</definedName>
    <definedName name="ddddd" localSheetId="4" hidden="1">#REF!</definedName>
    <definedName name="ddddd" hidden="1">#REF!</definedName>
    <definedName name="DDDDD_1" localSheetId="12" hidden="1">{"'도면'!$G$62:$H$63","'도면'!$G$62:$H$63"}</definedName>
    <definedName name="DDDDD_1" hidden="1">{"'도면'!$G$62:$H$63","'도면'!$G$62:$H$63"}</definedName>
    <definedName name="dddddd" localSheetId="12" hidden="1">{#N/A,#N/A,FALSE,"이정표"}</definedName>
    <definedName name="dddddd" localSheetId="4" hidden="1">{#N/A,#N/A,FALSE,"이정표"}</definedName>
    <definedName name="dddddd" hidden="1">{#N/A,#N/A,FALSE,"이정표"}</definedName>
    <definedName name="ddd가로등" localSheetId="12">장비견적서!ddd가로등</definedName>
    <definedName name="ddd가로등">[0]!ddd가로등</definedName>
    <definedName name="derwr" localSheetId="12" hidden="1">{"'Firr(선)'!$AS$1:$AY$62","'Firr(사)'!$AS$1:$AY$62","'Firr(회)'!$AS$1:$AY$62","'Firr(선)'!$L$1:$V$62","'Firr(사)'!$L$1:$V$62","'Firr(회)'!$L$1:$V$62"}</definedName>
    <definedName name="derwr" hidden="1">{"'Firr(선)'!$AS$1:$AY$62","'Firr(사)'!$AS$1:$AY$62","'Firr(회)'!$AS$1:$AY$62","'Firr(선)'!$L$1:$V$62","'Firr(사)'!$L$1:$V$62","'Firr(회)'!$L$1:$V$62"}</definedName>
    <definedName name="derwr_1" localSheetId="12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12" hidden="1">{#N/A,#N/A,FALSE,"골재소요량";#N/A,#N/A,FALSE,"골재소요량"}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12" hidden="1">{#N/A,#N/A,FALSE,"단가표지"}</definedName>
    <definedName name="DFDASFGDASG" localSheetId="4" hidden="1">{#N/A,#N/A,FALSE,"단가표지"}</definedName>
    <definedName name="DFDASFGDASG" hidden="1">{#N/A,#N/A,FALSE,"단가표지"}</definedName>
    <definedName name="DFDF" localSheetId="12" hidden="1">{#N/A,#N/A,FALSE,"조골재"}</definedName>
    <definedName name="DFDF" localSheetId="4" hidden="1">{#N/A,#N/A,FALSE,"조골재"}</definedName>
    <definedName name="DFDF" hidden="1">{#N/A,#N/A,FALSE,"조골재"}</definedName>
    <definedName name="DFDFDF" localSheetId="12" hidden="1">{#N/A,#N/A,FALSE,"단가표지"}</definedName>
    <definedName name="DFDFDF" localSheetId="4" hidden="1">{#N/A,#N/A,FALSE,"단가표지"}</definedName>
    <definedName name="DFDFDF" hidden="1">{#N/A,#N/A,FALSE,"단가표지"}</definedName>
    <definedName name="DFDSADFADSF" localSheetId="12" hidden="1">{#N/A,#N/A,FALSE,"2~8번"}</definedName>
    <definedName name="DFDSADFADSF" localSheetId="4" hidden="1">{#N/A,#N/A,FALSE,"2~8번"}</definedName>
    <definedName name="DFDSADFADSF" hidden="1">{#N/A,#N/A,FALSE,"2~8번"}</definedName>
    <definedName name="DFDSAFDFD" localSheetId="12" hidden="1">{#N/A,#N/A,FALSE,"부대1"}</definedName>
    <definedName name="DFDSAFDFD" localSheetId="4" hidden="1">{#N/A,#N/A,FALSE,"부대1"}</definedName>
    <definedName name="DFDSAFDFD" hidden="1">{#N/A,#N/A,FALSE,"부대1"}</definedName>
    <definedName name="DFDSAFSFG" localSheetId="12" hidden="1">{#N/A,#N/A,FALSE,"구조2"}</definedName>
    <definedName name="DFDSAFSFG" localSheetId="4" hidden="1">{#N/A,#N/A,FALSE,"구조2"}</definedName>
    <definedName name="DFDSAFSFG" hidden="1">{#N/A,#N/A,FALSE,"구조2"}</definedName>
    <definedName name="DFDSAGFDSAG" localSheetId="12" hidden="1">{#N/A,#N/A,FALSE,"혼합골재"}</definedName>
    <definedName name="DFDSAGFDSAG" localSheetId="4" hidden="1">{#N/A,#N/A,FALSE,"혼합골재"}</definedName>
    <definedName name="DFDSAGFDSAG" hidden="1">{#N/A,#N/A,FALSE,"혼합골재"}</definedName>
    <definedName name="DFDSFD" localSheetId="12" hidden="1">{#N/A,#N/A,FALSE,"속도"}</definedName>
    <definedName name="DFDSFD" localSheetId="4" hidden="1">{#N/A,#N/A,FALSE,"속도"}</definedName>
    <definedName name="DFDSFD" hidden="1">{#N/A,#N/A,FALSE,"속도"}</definedName>
    <definedName name="DFDSFDFDFD" localSheetId="12" hidden="1">{#N/A,#N/A,FALSE,"구조1"}</definedName>
    <definedName name="DFDSFDFDFD" localSheetId="4" hidden="1">{#N/A,#N/A,FALSE,"구조1"}</definedName>
    <definedName name="DFDSFDFDFD" hidden="1">{#N/A,#N/A,FALSE,"구조1"}</definedName>
    <definedName name="DFDSFDS" localSheetId="12" hidden="1">{#N/A,#N/A,FALSE,"부대2"}</definedName>
    <definedName name="DFDSFDS" localSheetId="4" hidden="1">{#N/A,#N/A,FALSE,"부대2"}</definedName>
    <definedName name="DFDSFDS" hidden="1">{#N/A,#N/A,FALSE,"부대2"}</definedName>
    <definedName name="DFDSSF" localSheetId="12" hidden="1">{#N/A,#N/A,FALSE,"이정표"}</definedName>
    <definedName name="DFDSSF" localSheetId="4" hidden="1">{#N/A,#N/A,FALSE,"이정표"}</definedName>
    <definedName name="DFDSSF" hidden="1">{#N/A,#N/A,FALSE,"이정표"}</definedName>
    <definedName name="dfffffs" localSheetId="12">장비견적서!dfffffs</definedName>
    <definedName name="dfffffs">[0]!dfffffs</definedName>
    <definedName name="dffffs가로등" localSheetId="12">장비견적서!dffffs가로등</definedName>
    <definedName name="dffffs가로등">[0]!dffffs가로등</definedName>
    <definedName name="dfg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12" hidden="1">{#N/A,#N/A,FALSE,"운반시간"}</definedName>
    <definedName name="DFGADSGAFDG" localSheetId="4" hidden="1">{#N/A,#N/A,FALSE,"운반시간"}</definedName>
    <definedName name="DFGADSGAFDG" hidden="1">{#N/A,#N/A,FALSE,"운반시간"}</definedName>
    <definedName name="dfggh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 localSheetId="12">장비견적서!dfs가로등</definedName>
    <definedName name="dfs가로등">[0]!dfs가로등</definedName>
    <definedName name="dfwer" localSheetId="12" hidden="1">{"'Firr(선)'!$AS$1:$AY$62","'Firr(사)'!$AS$1:$AY$62","'Firr(회)'!$AS$1:$AY$62","'Firr(선)'!$L$1:$V$62","'Firr(사)'!$L$1:$V$62","'Firr(회)'!$L$1:$V$62"}</definedName>
    <definedName name="dfwer" hidden="1">{"'Firr(선)'!$AS$1:$AY$62","'Firr(사)'!$AS$1:$AY$62","'Firr(회)'!$AS$1:$AY$62","'Firr(선)'!$L$1:$V$62","'Firr(사)'!$L$1:$V$62","'Firr(회)'!$L$1:$V$62"}</definedName>
    <definedName name="dfwer_1" localSheetId="12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 localSheetId="12">장비견적서!df가로등</definedName>
    <definedName name="df가로등">[0]!df가로등</definedName>
    <definedName name="DG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localSheetId="12" hidden="1">{"'도면'!$G$62:$H$63","'도면'!$G$62:$H$63"}</definedName>
    <definedName name="DGDFFG" hidden="1">{"'도면'!$G$62:$H$63","'도면'!$G$62:$H$63"}</definedName>
    <definedName name="DGDFFG_1" localSheetId="12" hidden="1">{"'도면'!$G$62:$H$63","'도면'!$G$62:$H$63"}</definedName>
    <definedName name="DGDFFG_1" hidden="1">{"'도면'!$G$62:$H$63","'도면'!$G$62:$H$63"}</definedName>
    <definedName name="DGDFGFGDG" localSheetId="12" hidden="1">{#N/A,#N/A,FALSE,"배수1"}</definedName>
    <definedName name="DGDFGFGDG" localSheetId="4" hidden="1">{#N/A,#N/A,FALSE,"배수1"}</definedName>
    <definedName name="DGDFGFGDG" hidden="1">{#N/A,#N/A,FALSE,"배수1"}</definedName>
    <definedName name="DGo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 localSheetId="12">[25]data!$S$4:$T$32</definedName>
    <definedName name="DGS">[26]data!$S$4:$T$32</definedName>
    <definedName name="dj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localSheetId="12" hidden="1">{"'신흥취수펌프 검토'!$M$2","'신흥취수펌프 검토'!$A$1:$AE$87"}</definedName>
    <definedName name="dkdkd" hidden="1">{"'신흥취수펌프 검토'!$M$2","'신흥취수펌프 검토'!$A$1:$AE$87"}</definedName>
    <definedName name="dkdkd_1" localSheetId="12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12" hidden="1">{#N/A,#N/A,FALSE,"포장1";#N/A,#N/A,FALSE,"포장1"}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12" hidden="1">{#N/A,#N/A,FALSE,"조골재"}</definedName>
    <definedName name="dsaf" localSheetId="4" hidden="1">{#N/A,#N/A,FALSE,"조골재"}</definedName>
    <definedName name="dsaf" hidden="1">{#N/A,#N/A,FALSE,"조골재"}</definedName>
    <definedName name="DSF" localSheetId="12" hidden="1">{#N/A,#N/A,FALSE,"골재소요량";#N/A,#N/A,FALSE,"골재소요량"}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12" hidden="1">{#N/A,#N/A,FALSE,"2~8번"}</definedName>
    <definedName name="dtrhgnb" localSheetId="4" hidden="1">{#N/A,#N/A,FALSE,"2~8번"}</definedName>
    <definedName name="dtrhgnb" hidden="1">{#N/A,#N/A,FALSE,"2~8번"}</definedName>
    <definedName name="DW" localSheetId="12" hidden="1">{#N/A,#N/A,FALSE,"배수2"}</definedName>
    <definedName name="DW" localSheetId="4" hidden="1">{#N/A,#N/A,FALSE,"배수2"}</definedName>
    <definedName name="DW" hidden="1">{#N/A,#N/A,FALSE,"배수2"}</definedName>
    <definedName name="ee" localSheetId="12" hidden="1">{#N/A,#N/A,FALSE,"단가표지"}</definedName>
    <definedName name="ee" localSheetId="4" hidden="1">{#N/A,#N/A,FALSE,"단가표지"}</definedName>
    <definedName name="ee" hidden="1">{#N/A,#N/A,FALSE,"단가표지"}</definedName>
    <definedName name="EEEEE" localSheetId="12" hidden="1">{"'도면'!$G$62:$H$63","'도면'!$G$62:$H$63"}</definedName>
    <definedName name="EEEEE" hidden="1">{"'도면'!$G$62:$H$63","'도면'!$G$62:$H$63"}</definedName>
    <definedName name="EJ">[27]소비자가!$I$46:$J$1593</definedName>
    <definedName name="EssAliasTable">"Default"</definedName>
    <definedName name="EssOptions">"A1100000000130001000001100000_0000"</definedName>
    <definedName name="ewq" localSheetId="12" hidden="1">{"'Firr(선)'!$AS$1:$AY$62","'Firr(사)'!$AS$1:$AY$62","'Firr(회)'!$AS$1:$AY$62","'Firr(선)'!$L$1:$V$62","'Firr(사)'!$L$1:$V$62","'Firr(회)'!$L$1:$V$62"}</definedName>
    <definedName name="ewq" hidden="1">{"'Firr(선)'!$AS$1:$AY$62","'Firr(사)'!$AS$1:$AY$62","'Firr(회)'!$AS$1:$AY$62","'Firr(선)'!$L$1:$V$62","'Firr(사)'!$L$1:$V$62","'Firr(회)'!$L$1:$V$62"}</definedName>
    <definedName name="ewq_1" localSheetId="12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12" hidden="1">{#N/A,#N/A,FALSE,"포장1";#N/A,#N/A,FALSE,"포장1"}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12" hidden="1">{#N/A,#N/A,FALSE,"2~8번"}</definedName>
    <definedName name="fdgfdg" localSheetId="4" hidden="1">{#N/A,#N/A,FALSE,"2~8번"}</definedName>
    <definedName name="fdgfdg" hidden="1">{#N/A,#N/A,FALSE,"2~8번"}</definedName>
    <definedName name="fdgfgf" localSheetId="12" hidden="1">{#N/A,#N/A,FALSE,"운반시간"}</definedName>
    <definedName name="fdgfgf" localSheetId="4" hidden="1">{#N/A,#N/A,FALSE,"운반시간"}</definedName>
    <definedName name="fdgfgf" hidden="1">{#N/A,#N/A,FALSE,"운반시간"}</definedName>
    <definedName name="ffffff" localSheetId="12" hidden="1">{#N/A,#N/A,FALSE,"조골재"}</definedName>
    <definedName name="ffffff" localSheetId="4" hidden="1">{#N/A,#N/A,FALSE,"조골재"}</definedName>
    <definedName name="ffffff" hidden="1">{#N/A,#N/A,FALSE,"조골재"}</definedName>
    <definedName name="FGDAG" localSheetId="12" hidden="1">{#N/A,#N/A,FALSE,"포장2"}</definedName>
    <definedName name="FGDAG" localSheetId="4" hidden="1">{#N/A,#N/A,FALSE,"포장2"}</definedName>
    <definedName name="FGDAG" hidden="1">{#N/A,#N/A,FALSE,"포장2"}</definedName>
    <definedName name="FGDAGFG" localSheetId="12" hidden="1">{#N/A,#N/A,FALSE,"혼합골재"}</definedName>
    <definedName name="FGDAGFG" localSheetId="4" hidden="1">{#N/A,#N/A,FALSE,"혼합골재"}</definedName>
    <definedName name="FGDAGFG" hidden="1">{#N/A,#N/A,FALSE,"혼합골재"}</definedName>
    <definedName name="fgfadgf" localSheetId="12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12" hidden="1">{#N/A,#N/A,FALSE,"표지목차"}</definedName>
    <definedName name="FGFDG" localSheetId="4" hidden="1">{#N/A,#N/A,FALSE,"표지목차"}</definedName>
    <definedName name="FGFDG" hidden="1">{#N/A,#N/A,FALSE,"표지목차"}</definedName>
    <definedName name="fgfdgffff" localSheetId="12" hidden="1">{#N/A,#N/A,FALSE,"부대2"}</definedName>
    <definedName name="fgfdgffff" localSheetId="4" hidden="1">{#N/A,#N/A,FALSE,"부대2"}</definedName>
    <definedName name="fgfdgffff" hidden="1">{#N/A,#N/A,FALSE,"부대2"}</definedName>
    <definedName name="fgfdsgdfg" localSheetId="12" hidden="1">{#N/A,#N/A,FALSE,"혼합골재"}</definedName>
    <definedName name="fgfdsgdfg" localSheetId="4" hidden="1">{#N/A,#N/A,FALSE,"혼합골재"}</definedName>
    <definedName name="fgfdsgdfg" hidden="1">{#N/A,#N/A,FALSE,"혼합골재"}</definedName>
    <definedName name="fghfdagfd" localSheetId="12" hidden="1">{#N/A,#N/A,FALSE,"표지목차"}</definedName>
    <definedName name="fghfdagfd" localSheetId="4" hidden="1">{#N/A,#N/A,FALSE,"표지목차"}</definedName>
    <definedName name="fghfdagfd" hidden="1">{#N/A,#N/A,FALSE,"표지목차"}</definedName>
    <definedName name="fhddg" localSheetId="12" hidden="1">{#N/A,#N/A,FALSE,"부대1"}</definedName>
    <definedName name="fhddg" localSheetId="4" hidden="1">{#N/A,#N/A,FALSE,"부대1"}</definedName>
    <definedName name="fhddg" hidden="1">{#N/A,#N/A,FALSE,"부대1"}</definedName>
    <definedName name="FJKSDJF" localSheetId="12" hidden="1">{"'도면'!$G$62:$H$63","'도면'!$G$62:$H$63"}</definedName>
    <definedName name="FJKSDJF" hidden="1">{"'도면'!$G$62:$H$63","'도면'!$G$62:$H$63"}</definedName>
    <definedName name="FS" localSheetId="12" hidden="1">{#N/A,#N/A,FALSE,"배수1"}</definedName>
    <definedName name="FS" localSheetId="4" hidden="1">{#N/A,#N/A,FALSE,"배수1"}</definedName>
    <definedName name="FS" hidden="1">{#N/A,#N/A,FALSE,"배수1"}</definedName>
    <definedName name="fx" localSheetId="12" hidden="1">{#N/A,#N/A,FALSE,"조골재"}</definedName>
    <definedName name="fx" localSheetId="4" hidden="1">{#N/A,#N/A,FALSE,"조골재"}</definedName>
    <definedName name="fx" hidden="1">{#N/A,#N/A,FALSE,"조골재"}</definedName>
    <definedName name="G145.">중기사용료!$G$1446</definedName>
    <definedName name="GDG" localSheetId="12" hidden="1">{#N/A,#N/A,FALSE,"포장2"}</definedName>
    <definedName name="GDG" localSheetId="4" hidden="1">{#N/A,#N/A,FALSE,"포장2"}</definedName>
    <definedName name="GDG" hidden="1">{#N/A,#N/A,FALSE,"포장2"}</definedName>
    <definedName name="GDGFD" localSheetId="12" hidden="1">{#N/A,#N/A,FALSE,"배수1"}</definedName>
    <definedName name="GDGFD" localSheetId="4" hidden="1">{#N/A,#N/A,FALSE,"배수1"}</definedName>
    <definedName name="GDGFD" hidden="1">{#N/A,#N/A,FALSE,"배수1"}</definedName>
    <definedName name="GFDG" localSheetId="12" hidden="1">{#N/A,#N/A,FALSE,"2~8번"}</definedName>
    <definedName name="GFDG" localSheetId="4" hidden="1">{#N/A,#N/A,FALSE,"2~8번"}</definedName>
    <definedName name="GFDG" hidden="1">{#N/A,#N/A,FALSE,"2~8번"}</definedName>
    <definedName name="GFDGDFGFG" localSheetId="12" hidden="1">{#N/A,#N/A,FALSE,"혼합골재"}</definedName>
    <definedName name="GFDGDFGFG" localSheetId="4" hidden="1">{#N/A,#N/A,FALSE,"혼합골재"}</definedName>
    <definedName name="GFDGDFGFG" hidden="1">{#N/A,#N/A,FALSE,"혼합골재"}</definedName>
    <definedName name="gfgdfg" localSheetId="2" hidden="1">[28]차액보증!#REF!</definedName>
    <definedName name="gfgdfg" localSheetId="3" hidden="1">[28]차액보증!#REF!</definedName>
    <definedName name="gfgdfg" localSheetId="12" hidden="1">[28]차액보증!#REF!</definedName>
    <definedName name="gfgdfg" hidden="1">[28]차액보증!#REF!</definedName>
    <definedName name="GFGFHGFHF" localSheetId="12" hidden="1">{#N/A,#N/A,FALSE,"토공2"}</definedName>
    <definedName name="GFGFHGFHF" localSheetId="4" hidden="1">{#N/A,#N/A,FALSE,"토공2"}</definedName>
    <definedName name="GFGFHGFHF" hidden="1">{#N/A,#N/A,FALSE,"토공2"}</definedName>
    <definedName name="gfhgh" localSheetId="12" hidden="1">{#N/A,#N/A,FALSE,"배수2"}</definedName>
    <definedName name="gfhgh" localSheetId="4" hidden="1">{#N/A,#N/A,FALSE,"배수2"}</definedName>
    <definedName name="gfhgh" hidden="1">{#N/A,#N/A,FALSE,"배수2"}</definedName>
    <definedName name="ggfhgfshgh" localSheetId="12" hidden="1">{#N/A,#N/A,FALSE,"포장2"}</definedName>
    <definedName name="ggfhgfshgh" localSheetId="4" hidden="1">{#N/A,#N/A,FALSE,"포장2"}</definedName>
    <definedName name="ggfhgfshgh" hidden="1">{#N/A,#N/A,FALSE,"포장2"}</definedName>
    <definedName name="ggggg" localSheetId="12" hidden="1">{#N/A,#N/A,FALSE,"구조1"}</definedName>
    <definedName name="ggggg" localSheetId="4" hidden="1">{#N/A,#N/A,FALSE,"구조1"}</definedName>
    <definedName name="ggggg" hidden="1">{#N/A,#N/A,FALSE,"구조1"}</definedName>
    <definedName name="ghgfh" localSheetId="12" hidden="1">{#N/A,#N/A,FALSE,"포장2"}</definedName>
    <definedName name="ghgfh" localSheetId="4" hidden="1">{#N/A,#N/A,FALSE,"포장2"}</definedName>
    <definedName name="ghgfh" hidden="1">{#N/A,#N/A,FALSE,"포장2"}</definedName>
    <definedName name="GJHGLI" localSheetId="12" hidden="1">{#N/A,#N/A,FALSE,"포장1";#N/A,#N/A,FALSE,"포장1"}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12" hidden="1">{#N/A,#N/A,FALSE,"포장2"}</definedName>
    <definedName name="GS" localSheetId="4" hidden="1">{#N/A,#N/A,FALSE,"포장2"}</definedName>
    <definedName name="GS" hidden="1">{#N/A,#N/A,FALSE,"포장2"}</definedName>
    <definedName name="happy" localSheetId="12" hidden="1">{"'7'!$B$15:$D$32"}</definedName>
    <definedName name="happy" hidden="1">{"'7'!$B$15:$D$32"}</definedName>
    <definedName name="hgd" localSheetId="12" hidden="1">{#N/A,#N/A,FALSE,"배수2"}</definedName>
    <definedName name="hgd" localSheetId="4" hidden="1">{#N/A,#N/A,FALSE,"배수2"}</definedName>
    <definedName name="hgd" hidden="1">{#N/A,#N/A,FALSE,"배수2"}</definedName>
    <definedName name="hgf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localSheetId="12" hidden="1">{"'도면'!$G$62:$H$63","'도면'!$G$62:$H$63"}</definedName>
    <definedName name="hhhh_1" hidden="1">{"'도면'!$G$62:$H$63","'도면'!$G$62:$H$63"}</definedName>
    <definedName name="hhhhh" localSheetId="12" hidden="1">{"'도면'!$G$62:$H$63","'도면'!$G$62:$H$63"}</definedName>
    <definedName name="hhhhh" hidden="1">{"'도면'!$G$62:$H$63","'도면'!$G$62:$H$63"}</definedName>
    <definedName name="hhhhh_1" localSheetId="12" hidden="1">{"'도면'!$G$62:$H$63","'도면'!$G$62:$H$63"}</definedName>
    <definedName name="hhhhh_1" hidden="1">{"'도면'!$G$62:$H$63","'도면'!$G$62:$H$63"}</definedName>
    <definedName name="HHR" localSheetId="12" hidden="1">{#N/A,#N/A,FALSE,"포장2"}</definedName>
    <definedName name="HHR" localSheetId="4" hidden="1">{#N/A,#N/A,FALSE,"포장2"}</definedName>
    <definedName name="HHR" hidden="1">{#N/A,#N/A,FALSE,"포장2"}</definedName>
    <definedName name="hidden" localSheetId="12">[29]TABLE!$H$1,[29]TABLE!$J$1,[29]TABLE!$K$1</definedName>
    <definedName name="hidden">[30]TABLE!$H$1,[30]TABLE!$J$1,[30]TABLE!$K$1</definedName>
    <definedName name="HIT">'[31]2F 회의실견적(5_14 일대)'!$J$31</definedName>
    <definedName name="HTML_CodePage" hidden="1">949</definedName>
    <definedName name="HTML_Control" localSheetId="12" hidden="1">{"'공사부문'!$A$6:$A$32"}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localSheetId="12" hidden="1">{"'Firr(선)'!$AS$1:$AY$62","'Firr(사)'!$AS$1:$AY$62","'Firr(회)'!$AS$1:$AY$62","'Firr(선)'!$L$1:$V$62","'Firr(사)'!$L$1:$V$62","'Firr(회)'!$L$1:$V$62"}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localSheetId="12" hidden="1">{"'도면'!$G$62:$H$63","'도면'!$G$62:$H$63"}</definedName>
    <definedName name="HUJYUJUJ" hidden="1">{"'도면'!$G$62:$H$63","'도면'!$G$62:$H$63"}</definedName>
    <definedName name="HUJYUJUJ_1" localSheetId="12" hidden="1">{"'도면'!$G$62:$H$63","'도면'!$G$62:$H$63"}</definedName>
    <definedName name="HUJYUJUJ_1" hidden="1">{"'도면'!$G$62:$H$63","'도면'!$G$62:$H$63"}</definedName>
    <definedName name="IEC" localSheetId="12">'[23]허용전류-IEC DATA'!$A$1:$E$352</definedName>
    <definedName name="IEC">'[24]허용전류-IEC DATA'!$A$1:$E$352</definedName>
    <definedName name="III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[32]ilch!$A$3:$M$25</definedName>
    <definedName name="IOIOIOIO" localSheetId="12" hidden="1">{#N/A,#N/A,FALSE,"표지목차"}</definedName>
    <definedName name="IOIOIOIO" localSheetId="4" hidden="1">{#N/A,#N/A,FALSE,"표지목차"}</definedName>
    <definedName name="IOIOIOIO" hidden="1">{#N/A,#N/A,FALSE,"표지목차"}</definedName>
    <definedName name="JJJ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12" hidden="1">{#N/A,#N/A,FALSE,"포장1";#N/A,#N/A,FALSE,"포장1"}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 localSheetId="12">[25]data!$AA$4:$AE$14</definedName>
    <definedName name="JODO">[26]data!$AA$4:$AE$14</definedName>
    <definedName name="juhouho" localSheetId="12" hidden="1">{"'도면'!$G$62:$H$63","'도면'!$G$62:$H$63"}</definedName>
    <definedName name="juhouho" hidden="1">{"'도면'!$G$62:$H$63","'도면'!$G$62:$H$63"}</definedName>
    <definedName name="juhouho_1" localSheetId="12" hidden="1">{"'도면'!$G$62:$H$63","'도면'!$G$62:$H$63"}</definedName>
    <definedName name="juhouho_1" hidden="1">{"'도면'!$G$62:$H$63","'도면'!$G$62:$H$63"}</definedName>
    <definedName name="k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12" hidden="1">{#N/A,#N/A,FALSE,"2~8번"}</definedName>
    <definedName name="khl" localSheetId="4" hidden="1">{#N/A,#N/A,FALSE,"2~8번"}</definedName>
    <definedName name="khl" hidden="1">{#N/A,#N/A,FALSE,"2~8번"}</definedName>
    <definedName name="KIM" localSheetId="12" hidden="1">{"'도면'!$G$62:$H$63","'도면'!$G$62:$H$63"}</definedName>
    <definedName name="KIM" hidden="1">{"'도면'!$G$62:$H$63","'도면'!$G$62:$H$63"}</definedName>
    <definedName name="KLLKLKLK" localSheetId="12" hidden="1">{#N/A,#N/A,FALSE,"포장2"}</definedName>
    <definedName name="KLLKLKLK" localSheetId="4" hidden="1">{#N/A,#N/A,FALSE,"포장2"}</definedName>
    <definedName name="KLLKLKLK" hidden="1">{#N/A,#N/A,FALSE,"포장2"}</definedName>
    <definedName name="KO">'[33]D-RMIL'!$B$7:$C$19</definedName>
    <definedName name="ktf" localSheetId="2" hidden="1">#REF!</definedName>
    <definedName name="ktf" localSheetId="3" hidden="1">#REF!</definedName>
    <definedName name="ktf" localSheetId="12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12" hidden="1">#REF!</definedName>
    <definedName name="kty" localSheetId="4" hidden="1">#REF!</definedName>
    <definedName name="kty" hidden="1">#REF!</definedName>
    <definedName name="KYNGSADO" localSheetId="12">[34]!KYNGSADO</definedName>
    <definedName name="KYNGSADO">[34]!KYNGSADO</definedName>
    <definedName name="KYNGSAYL" localSheetId="12">[35]!KYNGSAYL</definedName>
    <definedName name="KYNGSAYL">[35]!KYNGSAYL</definedName>
    <definedName name="LI" localSheetId="12">[36]Sheet2!$A$2:$B$48</definedName>
    <definedName name="LI">[37]Sheet2!$A$2:$B$48</definedName>
    <definedName name="list1" localSheetId="12">'[38]일위대가(원본)'!$A$159:$Q$1426</definedName>
    <definedName name="list1">'[39]일위대가(원본)'!$A$159:$Q$1426</definedName>
    <definedName name="ListItem01" localSheetId="12">[40]발신정보!$C$4</definedName>
    <definedName name="ListItem01">[41]발신정보!$C$4</definedName>
    <definedName name="ListItem02" localSheetId="12">[40]발신정보!$C$5</definedName>
    <definedName name="ListItem02">[41]발신정보!$C$5</definedName>
    <definedName name="ListItem04" localSheetId="12">[40]발신정보!$C$7</definedName>
    <definedName name="ListItem04">[41]발신정보!$C$7</definedName>
    <definedName name="ListItem07" localSheetId="12">[40]발신정보!$C$11</definedName>
    <definedName name="ListItem07">[41]발신정보!$C$11</definedName>
    <definedName name="ljg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[18]LEGEND!$D$7</definedName>
    <definedName name="LOP" localSheetId="12">[42]LOPCALC!$A$4:$J$8</definedName>
    <definedName name="LOP">[43]LOPCALC!$A$4:$J$8</definedName>
    <definedName name="LX">[10]SHEET2!$K$5:$N$23</definedName>
    <definedName name="Macro1" localSheetId="12">[44]!Macro1</definedName>
    <definedName name="Macro1">[44]!Macro1</definedName>
    <definedName name="Macro10" localSheetId="12">[45]!Macro10</definedName>
    <definedName name="Macro10">[46]!Macro10</definedName>
    <definedName name="Macro11" localSheetId="12">[44]!Macro11</definedName>
    <definedName name="Macro11">[44]!Macro11</definedName>
    <definedName name="Macro12" localSheetId="12">[45]!Macro12</definedName>
    <definedName name="Macro12">[46]!Macro12</definedName>
    <definedName name="Macro13" localSheetId="12">[45]!Macro13</definedName>
    <definedName name="Macro13">[46]!Macro13</definedName>
    <definedName name="Macro14" localSheetId="12">[45]!Macro14</definedName>
    <definedName name="Macro14">[46]!Macro14</definedName>
    <definedName name="Macro2" localSheetId="12">[45]!Macro2</definedName>
    <definedName name="Macro2">[46]!Macro2</definedName>
    <definedName name="MACRO20" localSheetId="12">[17]!Macro2</definedName>
    <definedName name="MACRO20">[17]!Macro2</definedName>
    <definedName name="Macro3" localSheetId="12">[44]!Macro3</definedName>
    <definedName name="Macro3">[44]!Macro3</definedName>
    <definedName name="Macro4" localSheetId="12">[44]!Macro4</definedName>
    <definedName name="Macro4">[44]!Macro4</definedName>
    <definedName name="Macro5" localSheetId="12">[45]!Macro5</definedName>
    <definedName name="Macro5">[46]!Macro5</definedName>
    <definedName name="Macro6" localSheetId="12">[45]!Macro6</definedName>
    <definedName name="Macro6">[46]!Macro6</definedName>
    <definedName name="Macro7" localSheetId="12">[45]!Macro7</definedName>
    <definedName name="Macro7">[46]!Macro7</definedName>
    <definedName name="Macro8" localSheetId="12">[45]!Macro8</definedName>
    <definedName name="Macro8">[46]!Macro8</definedName>
    <definedName name="Macro9" localSheetId="12">[45]!Macro9</definedName>
    <definedName name="Macro9">[46]!Macro9</definedName>
    <definedName name="MCCB" localSheetId="12">[20]DATA!$A$30:$E$52</definedName>
    <definedName name="MCCB">[21]DATA!$A$30:$E$52</definedName>
    <definedName name="MNHL">[44]Sheet1!$A$4:$H$5</definedName>
    <definedName name="NHL" localSheetId="12">[47]터널조도!$AR$19:$AT$25</definedName>
    <definedName name="NHL">[48]터널조도!$AR$19:$AT$25</definedName>
    <definedName name="NNNNN" localSheetId="12">장비견적서!NNNNN</definedName>
    <definedName name="NNNNN">[0]!NNNNN</definedName>
    <definedName name="NOMU" localSheetId="12">[49]NOMUBI!$B$3:$H$39</definedName>
    <definedName name="NOMU">[50]NOMUBI!$B$3:$H$39</definedName>
    <definedName name="OOOO" localSheetId="12" hidden="1">{"'도면'!$G$62:$H$63","'도면'!$G$62:$H$63"}</definedName>
    <definedName name="OOOO" hidden="1">{"'도면'!$G$62:$H$63","'도면'!$G$62:$H$63"}</definedName>
    <definedName name="OOOO_1" localSheetId="12" hidden="1">{"'도면'!$G$62:$H$63","'도면'!$G$62:$H$63"}</definedName>
    <definedName name="OOOO_1" hidden="1">{"'도면'!$G$62:$H$63","'도면'!$G$62:$H$63"}</definedName>
    <definedName name="PBL" localSheetId="12" hidden="1">{"'Firr(선)'!$AS$1:$AY$62","'Firr(사)'!$AS$1:$AY$62","'Firr(회)'!$AS$1:$AY$62","'Firr(선)'!$L$1:$V$62","'Firr(사)'!$L$1:$V$62","'Firr(회)'!$L$1:$V$62"}</definedName>
    <definedName name="PBL" hidden="1">{"'Firr(선)'!$AS$1:$AY$62","'Firr(사)'!$AS$1:$AY$62","'Firr(회)'!$AS$1:$AY$62","'Firr(선)'!$L$1:$V$62","'Firr(사)'!$L$1:$V$62","'Firr(회)'!$L$1:$V$62"}</definedName>
    <definedName name="PE전선관">[19]Sheet1!$N$4:$O$12</definedName>
    <definedName name="PPPPP" localSheetId="12" hidden="1">{"'도면'!$G$62:$H$63","'도면'!$G$62:$H$63"}</definedName>
    <definedName name="PPPPP" hidden="1">{"'도면'!$G$62:$H$63","'도면'!$G$62:$H$63"}</definedName>
    <definedName name="PPPPP_1" localSheetId="12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내역서!$A$1:$O$26</definedName>
    <definedName name="_xlnm.Print_Area" localSheetId="3">일위대가호표!$A$1:$N$251</definedName>
    <definedName name="_xlnm.Print_Area" localSheetId="11">자재견적서!$B$2:$AI$38</definedName>
    <definedName name="_xlnm.Print_Area" localSheetId="12">장비견적서!$B$2:$AI$34</definedName>
    <definedName name="_xlnm.Print_Area">#REF!</definedName>
    <definedName name="_xlnm.Print_Titles" localSheetId="6">중기기초자료!$1:$2</definedName>
    <definedName name="_xlnm.Print_Titles" localSheetId="5">[51]노임!$1:$2</definedName>
    <definedName name="_xlnm.Print_Titles" localSheetId="4">중기사용료목록!$1:$2</definedName>
    <definedName name="_xlnm.Print_Titles">#N/A</definedName>
    <definedName name="PROJ">[18]LEGEND!$D$4</definedName>
    <definedName name="q00" localSheetId="12" hidden="1">{#N/A,#N/A,FALSE,"운반시간"}</definedName>
    <definedName name="q00" localSheetId="4" hidden="1">{#N/A,#N/A,FALSE,"운반시간"}</definedName>
    <definedName name="q00" hidden="1">{#N/A,#N/A,FALSE,"운반시간"}</definedName>
    <definedName name="Q3WEE" localSheetId="12" hidden="1">{#N/A,#N/A,FALSE,"조골재"}</definedName>
    <definedName name="Q3WEE" localSheetId="4" hidden="1">{#N/A,#N/A,FALSE,"조골재"}</definedName>
    <definedName name="Q3WEE" hidden="1">{#N/A,#N/A,FALSE,"조골재"}</definedName>
    <definedName name="QQ" localSheetId="12" hidden="1">{"'도면'!$G$62:$H$63","'도면'!$G$62:$H$63"}</definedName>
    <definedName name="QQ" hidden="1">{"'도면'!$G$62:$H$63","'도면'!$G$62:$H$63"}</definedName>
    <definedName name="qqqqq" localSheetId="12" hidden="1">{"'도면'!$G$62:$H$63","'도면'!$G$62:$H$63"}</definedName>
    <definedName name="qqqqq" hidden="1">{"'도면'!$G$62:$H$63","'도면'!$G$62:$H$63"}</definedName>
    <definedName name="qqqqq_1" localSheetId="12" hidden="1">{"'도면'!$G$62:$H$63","'도면'!$G$62:$H$63"}</definedName>
    <definedName name="qqqqq_1" hidden="1">{"'도면'!$G$62:$H$63","'도면'!$G$62:$H$63"}</definedName>
    <definedName name="qqqqqq" localSheetId="12" hidden="1">{"'도면'!$G$62:$H$63","'도면'!$G$62:$H$63"}</definedName>
    <definedName name="qqqqqq" hidden="1">{"'도면'!$G$62:$H$63","'도면'!$G$62:$H$63"}</definedName>
    <definedName name="qqqqqq_1" localSheetId="12" hidden="1">{"'도면'!$G$62:$H$63","'도면'!$G$62:$H$63"}</definedName>
    <definedName name="qqqqqq_1" hidden="1">{"'도면'!$G$62:$H$63","'도면'!$G$62:$H$63"}</definedName>
    <definedName name="qsdf" localSheetId="12" hidden="1">{"'Firr(선)'!$AS$1:$AY$62","'Firr(사)'!$AS$1:$AY$62","'Firr(회)'!$AS$1:$AY$62","'Firr(선)'!$L$1:$V$62","'Firr(사)'!$L$1:$V$62","'Firr(회)'!$L$1:$V$62"}</definedName>
    <definedName name="qsdf" hidden="1">{"'Firr(선)'!$AS$1:$AY$62","'Firr(사)'!$AS$1:$AY$62","'Firr(회)'!$AS$1:$AY$62","'Firr(선)'!$L$1:$V$62","'Firr(사)'!$L$1:$V$62","'Firr(회)'!$L$1:$V$62"}</definedName>
    <definedName name="qsdf_1" localSheetId="12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12" hidden="1">{#N/A,#N/A,FALSE,"단가표지"}</definedName>
    <definedName name="qw" localSheetId="4" hidden="1">{#N/A,#N/A,FALSE,"단가표지"}</definedName>
    <definedName name="qw" hidden="1">{#N/A,#N/A,FALSE,"단가표지"}</definedName>
    <definedName name="QWQ" localSheetId="12" hidden="1">{#N/A,#N/A,FALSE,"배수2"}</definedName>
    <definedName name="QWQ" localSheetId="4" hidden="1">{#N/A,#N/A,FALSE,"배수2"}</definedName>
    <definedName name="QWQ" hidden="1">{#N/A,#N/A,FALSE,"배수2"}</definedName>
    <definedName name="rhsk" localSheetId="12">장비견적서!rhsk</definedName>
    <definedName name="rhsk">[0]!rhsk</definedName>
    <definedName name="RR" localSheetId="12" hidden="1">{"'7'!$B$15:$D$32"}</definedName>
    <definedName name="RR" hidden="1">{"'7'!$B$15:$D$32"}</definedName>
    <definedName name="RRR" localSheetId="12" hidden="1">{"'7'!$B$15:$D$32"}</definedName>
    <definedName name="RRR" hidden="1">{"'7'!$B$15:$D$32"}</definedName>
    <definedName name="RRTRENMKJKK" localSheetId="12" hidden="1">{"'도면'!$G$62:$H$63","'도면'!$G$62:$H$63"}</definedName>
    <definedName name="RRTRENMKJKK" hidden="1">{"'도면'!$G$62:$H$63","'도면'!$G$62:$H$63"}</definedName>
    <definedName name="RRTRENMKJKK_1" localSheetId="12" hidden="1">{"'도면'!$G$62:$H$63","'도면'!$G$62:$H$63"}</definedName>
    <definedName name="RRTRENMKJKK_1" hidden="1">{"'도면'!$G$62:$H$63","'도면'!$G$62:$H$63"}</definedName>
    <definedName name="SAAAA" localSheetId="12" hidden="1">{"'도면'!$G$62:$H$63","'도면'!$G$62:$H$63"}</definedName>
    <definedName name="SAAAA" hidden="1">{"'도면'!$G$62:$H$63","'도면'!$G$62:$H$63"}</definedName>
    <definedName name="SAAAA_1" localSheetId="12" hidden="1">{"'도면'!$G$62:$H$63","'도면'!$G$62:$H$63"}</definedName>
    <definedName name="SAAAA_1" hidden="1">{"'도면'!$G$62:$H$63","'도면'!$G$62:$H$63"}</definedName>
    <definedName name="SDAS" localSheetId="12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AS_1" localSheetId="12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12" hidden="1">{#N/A,#N/A,FALSE,"운반시간"}</definedName>
    <definedName name="SDCFG\" localSheetId="4" hidden="1">{#N/A,#N/A,FALSE,"운반시간"}</definedName>
    <definedName name="SDCFG\" hidden="1">{#N/A,#N/A,FALSE,"운반시간"}</definedName>
    <definedName name="SDDFD" localSheetId="12" hidden="1">{#N/A,#N/A,FALSE,"배수1"}</definedName>
    <definedName name="SDDFD" localSheetId="4" hidden="1">{#N/A,#N/A,FALSE,"배수1"}</definedName>
    <definedName name="SDDFD" hidden="1">{#N/A,#N/A,FALSE,"배수1"}</definedName>
    <definedName name="SDF" localSheetId="12" hidden="1">{#N/A,#N/A,FALSE,"혼합골재"}</definedName>
    <definedName name="SDF" localSheetId="4" hidden="1">{#N/A,#N/A,FALSE,"혼합골재"}</definedName>
    <definedName name="SDF" hidden="1">{#N/A,#N/A,FALSE,"혼합골재"}</definedName>
    <definedName name="SDFDFD" localSheetId="12" hidden="1">{#N/A,#N/A,FALSE,"운반시간"}</definedName>
    <definedName name="SDFDFD" localSheetId="4" hidden="1">{#N/A,#N/A,FALSE,"운반시간"}</definedName>
    <definedName name="SDFDFD" hidden="1">{#N/A,#N/A,FALSE,"운반시간"}</definedName>
    <definedName name="SDS" localSheetId="12" hidden="1">{#N/A,#N/A,FALSE,"2~8번"}</definedName>
    <definedName name="SDS" localSheetId="4" hidden="1">{#N/A,#N/A,FALSE,"2~8번"}</definedName>
    <definedName name="SDS" hidden="1">{#N/A,#N/A,FALSE,"2~8번"}</definedName>
    <definedName name="sdsdddd" localSheetId="12" hidden="1">{#N/A,#N/A,FALSE,"토공2"}</definedName>
    <definedName name="sdsdddd" localSheetId="4" hidden="1">{#N/A,#N/A,FALSE,"토공2"}</definedName>
    <definedName name="sdsdddd" hidden="1">{#N/A,#N/A,FALSE,"토공2"}</definedName>
    <definedName name="SFA" localSheetId="12" hidden="1">{#N/A,#N/A,FALSE,"포장1";#N/A,#N/A,FALSE,"포장1"}</definedName>
    <definedName name="SFA" localSheetId="4" hidden="1">{#N/A,#N/A,FALSE,"포장1";#N/A,#N/A,FALSE,"포장1"}</definedName>
    <definedName name="SFA" hidden="1">{#N/A,#N/A,FALSE,"포장1";#N/A,#N/A,FALSE,"포장1"}</definedName>
    <definedName name="sfdbd" localSheetId="12">[17]!Macro9</definedName>
    <definedName name="sfdbd">[17]!Macro9</definedName>
    <definedName name="sfggf" localSheetId="12" hidden="1">{#N/A,#N/A,FALSE,"배수1"}</definedName>
    <definedName name="sfggf" localSheetId="4" hidden="1">{#N/A,#N/A,FALSE,"배수1"}</definedName>
    <definedName name="sfggf" hidden="1">{#N/A,#N/A,FALSE,"배수1"}</definedName>
    <definedName name="SFSDFDSF" localSheetId="12" hidden="1">{#N/A,#N/A,FALSE,"운반시간"}</definedName>
    <definedName name="SFSDFDSF" localSheetId="4" hidden="1">{#N/A,#N/A,FALSE,"운반시간"}</definedName>
    <definedName name="SFSDFDSF" hidden="1">{#N/A,#N/A,FALSE,"운반시간"}</definedName>
    <definedName name="SJS" localSheetId="12">[25]data!$P$4:$Q$13</definedName>
    <definedName name="SJS">[26]data!$P$4:$Q$13</definedName>
    <definedName name="sssss" localSheetId="12" hidden="1">{#N/A,#N/A,FALSE,"운반시간"}</definedName>
    <definedName name="sssss" localSheetId="4" hidden="1">{#N/A,#N/A,FALSE,"운반시간"}</definedName>
    <definedName name="sssss" hidden="1">{#N/A,#N/A,FALSE,"운반시간"}</definedName>
    <definedName name="tttt_1" localSheetId="12" hidden="1">{"'도면'!$G$62:$H$63","'도면'!$G$62:$H$63"}</definedName>
    <definedName name="tttt_1" hidden="1">{"'도면'!$G$62:$H$63","'도면'!$G$62:$H$63"}</definedName>
    <definedName name="tttttt" localSheetId="12" hidden="1">{"'도면'!$G$62:$H$63","'도면'!$G$62:$H$63"}</definedName>
    <definedName name="tttttt" hidden="1">{"'도면'!$G$62:$H$63","'도면'!$G$62:$H$63"}</definedName>
    <definedName name="tttttt_1" localSheetId="12" hidden="1">{"'도면'!$G$62:$H$63","'도면'!$G$62:$H$63"}</definedName>
    <definedName name="tttttt_1" hidden="1">{"'도면'!$G$62:$H$63","'도면'!$G$62:$H$63"}</definedName>
    <definedName name="TYHFDGFD" localSheetId="12" hidden="1">{#N/A,#N/A,FALSE,"배수2"}</definedName>
    <definedName name="TYHFDGFD" localSheetId="4" hidden="1">{#N/A,#N/A,FALSE,"배수2"}</definedName>
    <definedName name="TYHFDGFD" hidden="1">{#N/A,#N/A,FALSE,"배수2"}</definedName>
    <definedName name="uu" localSheetId="12">[52]DATA!$B$4:$F$495</definedName>
    <definedName name="uu">[53]DATA!$B$4:$F$495</definedName>
    <definedName name="uy89ihbn" localSheetId="12" hidden="1">{#N/A,#N/A,FALSE,"2~8번"}</definedName>
    <definedName name="uy89ihbn" localSheetId="4" hidden="1">{#N/A,#N/A,FALSE,"2~8번"}</definedName>
    <definedName name="uy89ihbn" hidden="1">{#N/A,#N/A,FALSE,"2~8번"}</definedName>
    <definedName name="vbdfgg" localSheetId="12">[17]!Macro7</definedName>
    <definedName name="vbdfgg">[17]!Macro7</definedName>
    <definedName name="ve" localSheetId="12" hidden="1">{"'Firr(선)'!$AS$1:$AY$62","'Firr(사)'!$AS$1:$AY$62","'Firr(회)'!$AS$1:$AY$62","'Firr(선)'!$L$1:$V$62","'Firr(사)'!$L$1:$V$62","'Firr(회)'!$L$1:$V$62"}</definedName>
    <definedName name="ve" hidden="1">{"'Firr(선)'!$AS$1:$AY$62","'Firr(사)'!$AS$1:$AY$62","'Firr(회)'!$AS$1:$AY$62","'Firr(선)'!$L$1:$V$62","'Firr(사)'!$L$1:$V$62","'Firr(회)'!$L$1:$V$62"}</definedName>
    <definedName name="ve_1" localSheetId="12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 localSheetId="12">'[54]1.동력공사'!$1:$3</definedName>
    <definedName name="WJS">'[55]1.동력공사'!$1:$3</definedName>
    <definedName name="wm.조골재1" localSheetId="12" hidden="1">{#N/A,#N/A,FALSE,"조골재"}</definedName>
    <definedName name="wm.조골재1" localSheetId="4" hidden="1">{#N/A,#N/A,FALSE,"조골재"}</definedName>
    <definedName name="wm.조골재1" hidden="1">{#N/A,#N/A,FALSE,"조골재"}</definedName>
    <definedName name="wrn.2번." localSheetId="12" hidden="1">{#N/A,#N/A,FALSE,"2~8번"}</definedName>
    <definedName name="wrn.2번." localSheetId="4" hidden="1">{#N/A,#N/A,FALSE,"2~8번"}</definedName>
    <definedName name="wrn.2번." hidden="1">{#N/A,#N/A,FALSE,"2~8번"}</definedName>
    <definedName name="wrn.골재소요량." localSheetId="12" hidden="1">{#N/A,#N/A,FALSE,"골재소요량";#N/A,#N/A,FALSE,"골재소요량"}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1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12" hidden="1">{#N/A,#N/A,FALSE,"구조2"}</definedName>
    <definedName name="wrn.구조2." localSheetId="4" hidden="1">{#N/A,#N/A,FALSE,"구조2"}</definedName>
    <definedName name="wrn.구조2." hidden="1">{#N/A,#N/A,FALSE,"구조2"}</definedName>
    <definedName name="wrn.단가표지." localSheetId="12" hidden="1">{#N/A,#N/A,FALSE,"단가표지"}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12" hidden="1">{#N/A,#N/A,FALSE,"배수1"}</definedName>
    <definedName name="wrn.배수1." localSheetId="4" hidden="1">{#N/A,#N/A,FALSE,"배수1"}</definedName>
    <definedName name="wrn.배수1." hidden="1">{#N/A,#N/A,FALSE,"배수1"}</definedName>
    <definedName name="wrn.배수2." localSheetId="12" hidden="1">{#N/A,#N/A,FALSE,"배수2"}</definedName>
    <definedName name="wrn.배수2." localSheetId="4" hidden="1">{#N/A,#N/A,FALSE,"배수2"}</definedName>
    <definedName name="wrn.배수2." hidden="1">{#N/A,#N/A,FALSE,"배수2"}</definedName>
    <definedName name="wrn.부대1." localSheetId="12" hidden="1">{#N/A,#N/A,FALSE,"부대1"}</definedName>
    <definedName name="wrn.부대1." localSheetId="4" hidden="1">{#N/A,#N/A,FALSE,"부대1"}</definedName>
    <definedName name="wrn.부대1." hidden="1">{#N/A,#N/A,FALSE,"부대1"}</definedName>
    <definedName name="wrn.부대2." localSheetId="12" hidden="1">{#N/A,#N/A,FALSE,"부대2"}</definedName>
    <definedName name="wrn.부대2." localSheetId="4" hidden="1">{#N/A,#N/A,FALSE,"부대2"}</definedName>
    <definedName name="wrn.부대2." hidden="1">{#N/A,#N/A,FALSE,"부대2"}</definedName>
    <definedName name="wrn.속도." localSheetId="12" hidden="1">{#N/A,#N/A,FALSE,"속도"}</definedName>
    <definedName name="wrn.속도." localSheetId="4" hidden="1">{#N/A,#N/A,FALSE,"속도"}</definedName>
    <definedName name="wrn.속도." hidden="1">{#N/A,#N/A,FALSE,"속도"}</definedName>
    <definedName name="wrn.운반시간." localSheetId="12" hidden="1">{#N/A,#N/A,FALSE,"운반시간"}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12" hidden="1">{#N/A,#N/A,FALSE,"이정표"}</definedName>
    <definedName name="wrn.이정표." localSheetId="4" hidden="1">{#N/A,#N/A,FALSE,"이정표"}</definedName>
    <definedName name="wrn.이정표." hidden="1">{#N/A,#N/A,FALSE,"이정표"}</definedName>
    <definedName name="wrn.조골재." localSheetId="12" hidden="1">{#N/A,#N/A,FALSE,"조골재"}</definedName>
    <definedName name="wrn.조골재." localSheetId="4" hidden="1">{#N/A,#N/A,FALSE,"조골재"}</definedName>
    <definedName name="wrn.조골재." hidden="1">{#N/A,#N/A,FALSE,"조골재"}</definedName>
    <definedName name="wrn.토공1." localSheetId="12" hidden="1">{#N/A,#N/A,FALSE,"구조1"}</definedName>
    <definedName name="wrn.토공1." localSheetId="4" hidden="1">{#N/A,#N/A,FALSE,"구조1"}</definedName>
    <definedName name="wrn.토공1." hidden="1">{#N/A,#N/A,FALSE,"구조1"}</definedName>
    <definedName name="wrn.토공2." localSheetId="12" hidden="1">{#N/A,#N/A,FALSE,"토공2"}</definedName>
    <definedName name="wrn.토공2." localSheetId="4" hidden="1">{#N/A,#N/A,FALSE,"토공2"}</definedName>
    <definedName name="wrn.토공2." hidden="1">{#N/A,#N/A,FALSE,"토공2"}</definedName>
    <definedName name="wrn.포장1." localSheetId="12" hidden="1">{#N/A,#N/A,FALSE,"포장1";#N/A,#N/A,FALSE,"포장1"}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12" hidden="1">{#N/A,#N/A,FALSE,"포장2"}</definedName>
    <definedName name="wrn.포장2." localSheetId="4" hidden="1">{#N/A,#N/A,FALSE,"포장2"}</definedName>
    <definedName name="wrn.포장2." hidden="1">{#N/A,#N/A,FALSE,"포장2"}</definedName>
    <definedName name="wrn.표지목차." localSheetId="12" hidden="1">{#N/A,#N/A,FALSE,"표지목차"}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12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12" hidden="1">{#N/A,#N/A,FALSE,"혼합골재"}</definedName>
    <definedName name="wrn.혼합골재." localSheetId="4" hidden="1">{#N/A,#N/A,FALSE,"혼합골재"}</definedName>
    <definedName name="wrn.혼합골재." hidden="1">{#N/A,#N/A,FALSE,"혼합골재"}</definedName>
    <definedName name="WWW" localSheetId="12" hidden="1">{"'7'!$B$15:$D$32"}</definedName>
    <definedName name="WWW" hidden="1">{"'7'!$B$15:$D$32"}</definedName>
    <definedName name="WWW_1" localSheetId="12" hidden="1">{"'도면'!$G$62:$H$63","'도면'!$G$62:$H$63"}</definedName>
    <definedName name="WWW_1" hidden="1">{"'도면'!$G$62:$H$63","'도면'!$G$62:$H$63"}</definedName>
    <definedName name="WWWW" localSheetId="12" hidden="1">{"'도면'!$G$62:$H$63","'도면'!$G$62:$H$63"}</definedName>
    <definedName name="WWWW" hidden="1">{"'도면'!$G$62:$H$63","'도면'!$G$62:$H$63"}</definedName>
    <definedName name="WWWW_1" localSheetId="12" hidden="1">{"'도면'!$G$62:$H$63","'도면'!$G$62:$H$63"}</definedName>
    <definedName name="WWWW_1" hidden="1">{"'도면'!$G$62:$H$63","'도면'!$G$62:$H$63"}</definedName>
    <definedName name="xxca" localSheetId="12" hidden="1">{"'Firr(선)'!$AS$1:$AY$62","'Firr(사)'!$AS$1:$AY$62","'Firr(회)'!$AS$1:$AY$62","'Firr(선)'!$L$1:$V$62","'Firr(사)'!$L$1:$V$62","'Firr(회)'!$L$1:$V$62"}</definedName>
    <definedName name="xxca" hidden="1">{"'Firr(선)'!$AS$1:$AY$62","'Firr(사)'!$AS$1:$AY$62","'Firr(회)'!$AS$1:$AY$62","'Firr(선)'!$L$1:$V$62","'Firr(사)'!$L$1:$V$62","'Firr(회)'!$L$1:$V$62"}</definedName>
    <definedName name="xxca_1" localSheetId="12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12" hidden="1">{"'공사부문'!$A$6:$A$32"}</definedName>
    <definedName name="XXXXXX" localSheetId="4" hidden="1">{"'공사부문'!$A$6:$A$32"}</definedName>
    <definedName name="XXXXXX" hidden="1">{"'공사부문'!$A$6:$A$32"}</definedName>
    <definedName name="y" localSheetId="12" hidden="1">{"'도면'!$G$62:$H$63","'도면'!$G$62:$H$63"}</definedName>
    <definedName name="y" hidden="1">{"'도면'!$G$62:$H$63","'도면'!$G$62:$H$63"}</definedName>
    <definedName name="YUYUY" localSheetId="12" hidden="1">{#N/A,#N/A,FALSE,"혼합골재"}</definedName>
    <definedName name="YUYUY" localSheetId="4" hidden="1">{#N/A,#N/A,FALSE,"혼합골재"}</definedName>
    <definedName name="YUYUY" hidden="1">{#N/A,#N/A,FALSE,"혼합골재"}</definedName>
    <definedName name="yyyyy" localSheetId="12" hidden="1">{"'도면'!$G$62:$H$63","'도면'!$G$62:$H$63"}</definedName>
    <definedName name="yyyyy" hidden="1">{"'도면'!$G$62:$H$63","'도면'!$G$62:$H$63"}</definedName>
    <definedName name="yyyyy_1" localSheetId="12" hidden="1">{"'도면'!$G$62:$H$63","'도면'!$G$62:$H$63"}</definedName>
    <definedName name="yyyyy_1" hidden="1">{"'도면'!$G$62:$H$63","'도면'!$G$62:$H$63"}</definedName>
    <definedName name="zhdk">'[56]일반문틀 설치'!$A$1:$L$25</definedName>
    <definedName name="ㄱㄱ" localSheetId="12" hidden="1">{#N/A,#N/A,FALSE,"운반시간"}</definedName>
    <definedName name="ㄱㄱ" localSheetId="4" hidden="1">{#N/A,#N/A,FALSE,"운반시간"}</definedName>
    <definedName name="ㄱㄱ" hidden="1">{#N/A,#N/A,FALSE,"운반시간"}</definedName>
    <definedName name="ㄱㄷㅂㄱㅈ" localSheetId="12" hidden="1">{#N/A,#N/A,FALSE,"2~8번"}</definedName>
    <definedName name="ㄱㄷㅂㄱㅈ" localSheetId="4" hidden="1">{#N/A,#N/A,FALSE,"2~8번"}</definedName>
    <definedName name="ㄱㄷㅂㄱㅈ" hidden="1">{#N/A,#N/A,FALSE,"2~8번"}</definedName>
    <definedName name="ㄱㄷㅈㄱ" localSheetId="12" hidden="1">{"'7'!$B$15:$D$32"}</definedName>
    <definedName name="ㄱㄷㅈㄱ" hidden="1">{"'7'!$B$15:$D$32"}</definedName>
    <definedName name="가1" localSheetId="12" hidden="1">{"'Firr(선)'!$AS$1:$AY$62","'Firr(사)'!$AS$1:$AY$62","'Firr(회)'!$AS$1:$AY$62","'Firr(선)'!$L$1:$V$62","'Firr(사)'!$L$1:$V$62","'Firr(회)'!$L$1:$V$62"}</definedName>
    <definedName name="가1" hidden="1">{"'Firr(선)'!$AS$1:$AY$62","'Firr(사)'!$AS$1:$AY$62","'Firr(회)'!$AS$1:$AY$62","'Firr(선)'!$L$1:$V$62","'Firr(사)'!$L$1:$V$62","'Firr(회)'!$L$1:$V$62"}</definedName>
    <definedName name="가1_1" localSheetId="12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localSheetId="12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localSheetId="1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localSheetId="12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localSheetId="12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localSheetId="12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localSheetId="12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localSheetId="12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localSheetId="12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localSheetId="12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localSheetId="12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 localSheetId="12">장비견적서!가로등기초입력</definedName>
    <definedName name="가로등기초입력">[0]!가로등기초입력</definedName>
    <definedName name="가로등입력" localSheetId="12">장비견적서!가로등입력</definedName>
    <definedName name="가로등입력">[0]!가로등입력</definedName>
    <definedName name="감독2" localSheetId="12" hidden="1">{#N/A,#N/A,FALSE,"단가표지"}</definedName>
    <definedName name="감독2" localSheetId="4" hidden="1">{#N/A,#N/A,FALSE,"단가표지"}</definedName>
    <definedName name="감독2" hidden="1">{#N/A,#N/A,FALSE,"단가표지"}</definedName>
    <definedName name="감독3" localSheetId="1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localSheetId="12" hidden="1">{"'도면'!$G$62:$H$63","'도면'!$G$62:$H$63"}</definedName>
    <definedName name="강정근" hidden="1">{"'도면'!$G$62:$H$63","'도면'!$G$62:$H$63"}</definedName>
    <definedName name="강정근_1" localSheetId="12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localSheetId="12" hidden="1">{"'7'!$B$15:$D$32"}</definedName>
    <definedName name="경비용역" hidden="1">{"'7'!$B$15:$D$32"}</definedName>
    <definedName name="고성" localSheetId="12" hidden="1">{"'도면'!$G$62:$H$63","'도면'!$G$62:$H$63"}</definedName>
    <definedName name="고성" hidden="1">{"'도면'!$G$62:$H$63","'도면'!$G$62:$H$63"}</definedName>
    <definedName name="고성_1" localSheetId="12" hidden="1">{"'도면'!$G$62:$H$63","'도면'!$G$62:$H$63"}</definedName>
    <definedName name="고성_1" hidden="1">{"'도면'!$G$62:$H$63","'도면'!$G$62:$H$63"}</definedName>
    <definedName name="고성1" localSheetId="12" hidden="1">{"'도면'!$G$62:$H$63","'도면'!$G$62:$H$63"}</definedName>
    <definedName name="고성1" hidden="1">{"'도면'!$G$62:$H$63","'도면'!$G$62:$H$63"}</definedName>
    <definedName name="고케" localSheetId="12">'[57]인건비 '!$B$5</definedName>
    <definedName name="고케">'[58]인건비 '!$B$5</definedName>
    <definedName name="곡동" localSheetId="12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곡동_1" localSheetId="12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 localSheetId="12">장비견적서!공구</definedName>
    <definedName name="공구">[0]!공구</definedName>
    <definedName name="공구손료" localSheetId="12">'[59]노무비(전기)뽑지마세요'!$C$49</definedName>
    <definedName name="공구손료">'[60]노무비(전기)뽑지마세요'!$C$49</definedName>
    <definedName name="공압축3.5간재" localSheetId="12">'[61]기계경비(시간당)'!$H$248</definedName>
    <definedName name="공압축3.5간재">'[62]기계경비(시간당)'!$H$248</definedName>
    <definedName name="공압축3.5노무" localSheetId="12">'[61]기계경비(시간당)'!$H$244</definedName>
    <definedName name="공압축3.5노무">'[62]기계경비(시간당)'!$H$244</definedName>
    <definedName name="공압축3.5노무야간" localSheetId="12">'[61]기계경비(시간당)'!$H$245</definedName>
    <definedName name="공압축3.5노무야간">'[62]기계경비(시간당)'!$H$245</definedName>
    <definedName name="공압축3.5손료" localSheetId="12">'[61]기계경비(시간당)'!$H$243</definedName>
    <definedName name="공압축3.5손료">'[62]기계경비(시간당)'!$H$243</definedName>
    <definedName name="공압축7.1간재" localSheetId="12">'[61]기계경비(시간당)'!$H$256</definedName>
    <definedName name="공압축7.1간재">'[62]기계경비(시간당)'!$H$256</definedName>
    <definedName name="공압축7.1노무" localSheetId="12">'[61]기계경비(시간당)'!$H$252</definedName>
    <definedName name="공압축7.1노무">'[62]기계경비(시간당)'!$H$252</definedName>
    <definedName name="공압축7.1노무야간" localSheetId="12">'[61]기계경비(시간당)'!$H$253</definedName>
    <definedName name="공압축7.1노무야간">'[62]기계경비(시간당)'!$H$253</definedName>
    <definedName name="공압축7.1손료" localSheetId="12">'[61]기계경비(시간당)'!$H$251</definedName>
    <definedName name="공압축7.1손료">'[62]기계경비(시간당)'!$H$251</definedName>
    <definedName name="공정" localSheetId="12">장비견적서!공정</definedName>
    <definedName name="공정">[0]!공정</definedName>
    <definedName name="곽동준" localSheetId="12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준_1" localSheetId="12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localSheetId="12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localSheetId="12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12" hidden="1">{#N/A,#N/A,FALSE,"배수1"}</definedName>
    <definedName name="교대펄근집계" localSheetId="4" hidden="1">{#N/A,#N/A,FALSE,"배수1"}</definedName>
    <definedName name="교대펄근집계" hidden="1">{#N/A,#N/A,FALSE,"배수1"}</definedName>
    <definedName name="구매" localSheetId="12" hidden="1">{"'도면'!$G$62:$H$63","'도면'!$G$62:$H$63"}</definedName>
    <definedName name="구매" hidden="1">{"'도면'!$G$62:$H$63","'도면'!$G$62:$H$63"}</definedName>
    <definedName name="구매_1" localSheetId="12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12" hidden="1">#REF!</definedName>
    <definedName name="구산갑지" localSheetId="4" hidden="1">#REF!</definedName>
    <definedName name="구산갑지" hidden="1">#REF!</definedName>
    <definedName name="근" localSheetId="12" hidden="1">{#N/A,#N/A,FALSE,"조골재"}</definedName>
    <definedName name="근" localSheetId="4" hidden="1">{#N/A,#N/A,FALSE,"조골재"}</definedName>
    <definedName name="근" hidden="1">{#N/A,#N/A,FALSE,"조골재"}</definedName>
    <definedName name="기층포설" localSheetId="12">[63]단가!$C$83</definedName>
    <definedName name="기층포설">[64]단가!$C$83</definedName>
    <definedName name="기타" localSheetId="12">[65]집계표!$A$1:$M$2</definedName>
    <definedName name="기타">[66]집계표!$A$1:$M$2</definedName>
    <definedName name="기타자재" localSheetId="12">장비견적서!기타자재</definedName>
    <definedName name="기타자재">[0]!기타자재</definedName>
    <definedName name="김1" localSheetId="12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1_1" localSheetId="12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[67]NOMUBI!$B$3:$H$39</definedName>
    <definedName name="김동" localSheetId="12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_1" localSheetId="12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localSheetId="12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localSheetId="12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localSheetId="12" hidden="1">{"'도면'!$G$62:$H$63","'도면'!$G$62:$H$63"}</definedName>
    <definedName name="김상묵" hidden="1">{"'도면'!$G$62:$H$63","'도면'!$G$62:$H$63"}</definedName>
    <definedName name="김상묵_1" localSheetId="12" hidden="1">{"'도면'!$G$62:$H$63","'도면'!$G$62:$H$63"}</definedName>
    <definedName name="김상묵_1" hidden="1">{"'도면'!$G$62:$H$63","'도면'!$G$62:$H$63"}</definedName>
    <definedName name="김신희" localSheetId="12" hidden="1">{"'7'!$B$15:$D$32"}</definedName>
    <definedName name="김신희" hidden="1">{"'7'!$B$15:$D$32"}</definedName>
    <definedName name="김ㅈㅗㅊ리" localSheetId="12" hidden="1">{"'7'!$B$15:$D$32"}</definedName>
    <definedName name="김ㅈㅗㅊ리" hidden="1">{"'7'!$B$15:$D$32"}</definedName>
    <definedName name="김지원" localSheetId="12" hidden="1">{"'도면'!$G$62:$H$63","'도면'!$G$62:$H$63"}</definedName>
    <definedName name="김지원" hidden="1">{"'도면'!$G$62:$H$63","'도면'!$G$62:$H$63"}</definedName>
    <definedName name="김지원_1" localSheetId="12" hidden="1">{"'도면'!$G$62:$H$63","'도면'!$G$62:$H$63"}</definedName>
    <definedName name="김지원_1" hidden="1">{"'도면'!$G$62:$H$63","'도면'!$G$62:$H$63"}</definedName>
    <definedName name="ㄳㄳㄳㄳ" localSheetId="12" hidden="1">{"'용역비'!$A$4:$C$8"}</definedName>
    <definedName name="ㄳㄳㄳㄳ" hidden="1">{"'용역비'!$A$4:$C$8"}</definedName>
    <definedName name="ㄴㄴㄴ" localSheetId="12" hidden="1">{#N/A,#N/A,FALSE,"배수1"}</definedName>
    <definedName name="ㄴㄴㄴ" localSheetId="4" hidden="1">{#N/A,#N/A,FALSE,"배수1"}</definedName>
    <definedName name="ㄴㄴㄴ" hidden="1">{#N/A,#N/A,FALSE,"배수1"}</definedName>
    <definedName name="ㄴㄴㅀㅇㅇㅀ" localSheetId="12" hidden="1">{#N/A,#N/A,FALSE,"부대1"}</definedName>
    <definedName name="ㄴㄴㅀㅇㅇㅀ" localSheetId="4" hidden="1">{#N/A,#N/A,FALSE,"부대1"}</definedName>
    <definedName name="ㄴㄴㅀㅇㅇㅀ" hidden="1">{#N/A,#N/A,FALSE,"부대1"}</definedName>
    <definedName name="ㄴㄹㄴ" localSheetId="12" hidden="1">{#N/A,#N/A,FALSE,"단가표지"}</definedName>
    <definedName name="ㄴㄹㄴ" localSheetId="4" hidden="1">{#N/A,#N/A,FALSE,"단가표지"}</definedName>
    <definedName name="ㄴㄹㄴ" hidden="1">{#N/A,#N/A,FALSE,"단가표지"}</definedName>
    <definedName name="ㄴㄹㅇ" localSheetId="12" hidden="1">{#N/A,#N/A,FALSE,"포장2"}</definedName>
    <definedName name="ㄴㄹㅇ" localSheetId="4" hidden="1">{#N/A,#N/A,FALSE,"포장2"}</definedName>
    <definedName name="ㄴㄹㅇ" hidden="1">{#N/A,#N/A,FALSE,"포장2"}</definedName>
    <definedName name="ㄴㅁㅇㄴㅁㅇ" localSheetId="12" hidden="1">{#N/A,#N/A,FALSE,"배수1"}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12" hidden="1">{#N/A,#N/A,FALSE,"배수2"}</definedName>
    <definedName name="ㄴㅅㅎㅇㅎㄹㅇ" localSheetId="4" hidden="1">{#N/A,#N/A,FALSE,"배수2"}</definedName>
    <definedName name="ㄴㅅㅎㅇㅎㄹㅇ" hidden="1">{#N/A,#N/A,FALSE,"배수2"}</definedName>
    <definedName name="나" localSheetId="12">[68]노임단가!$A$1:$B$132</definedName>
    <definedName name="나">[69]노임단가!$A$1:$B$132</definedName>
    <definedName name="나1" localSheetId="12" hidden="1">{"'Firr(선)'!$AS$1:$AY$62","'Firr(사)'!$AS$1:$AY$62","'Firr(회)'!$AS$1:$AY$62","'Firr(선)'!$L$1:$V$62","'Firr(사)'!$L$1:$V$62","'Firr(회)'!$L$1:$V$62"}</definedName>
    <definedName name="나1" hidden="1">{"'Firr(선)'!$AS$1:$AY$62","'Firr(사)'!$AS$1:$AY$62","'Firr(회)'!$AS$1:$AY$62","'Firr(선)'!$L$1:$V$62","'Firr(사)'!$L$1:$V$62","'Firr(회)'!$L$1:$V$62"}</definedName>
    <definedName name="나1_1" localSheetId="12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localSheetId="12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localSheetId="1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12" hidden="1">#REF!</definedName>
    <definedName name="남남" localSheetId="4" hidden="1">#REF!</definedName>
    <definedName name="남남" hidden="1">#REF!</definedName>
    <definedName name="내역2" localSheetId="2">[70]배관내역!#REF!</definedName>
    <definedName name="내역2" localSheetId="3">[70]배관내역!#REF!</definedName>
    <definedName name="내역2" localSheetId="12">[70]배관내역!#REF!</definedName>
    <definedName name="내역2" localSheetId="4">[70]배관내역!#REF!</definedName>
    <definedName name="내역2">[70]배관내역!#REF!</definedName>
    <definedName name="내전" localSheetId="12">'[57]인건비 '!$B$12</definedName>
    <definedName name="내전">'[58]인건비 '!$B$12</definedName>
    <definedName name="노" localSheetId="12" hidden="1">{"'도면'!$G$62:$H$63","'도면'!$G$62:$H$63"}</definedName>
    <definedName name="노" hidden="1">{"'도면'!$G$62:$H$63","'도면'!$G$62:$H$63"}</definedName>
    <definedName name="노_1" localSheetId="12" hidden="1">{"'도면'!$G$62:$H$63","'도면'!$G$62:$H$63"}</definedName>
    <definedName name="노_1" hidden="1">{"'도면'!$G$62:$H$63","'도면'!$G$62:$H$63"}</definedName>
    <definedName name="노임단가1" localSheetId="12">[71]노임단가!$A$1:$B$132</definedName>
    <definedName name="노임단가1">[72]노임단가!$A$1:$B$132</definedName>
    <definedName name="ㄷㄳㅅㄷㄱ" localSheetId="12" hidden="1">{#N/A,#N/A,FALSE,"2~8번"}</definedName>
    <definedName name="ㄷㄳㅅㄷㄱ" localSheetId="4" hidden="1">{#N/A,#N/A,FALSE,"2~8번"}</definedName>
    <definedName name="ㄷㄳㅅㄷㄱ" hidden="1">{#N/A,#N/A,FALSE,"2~8번"}</definedName>
    <definedName name="ㄷㅈㄱㄷㅈ" localSheetId="12" hidden="1">{#N/A,#N/A,FALSE,"혼합골재"}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12" hidden="1">{#N/A,#N/A,FALSE,"골재소요량";#N/A,#N/A,FALSE,"골재소요량"}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12" hidden="1">#REF!</definedName>
    <definedName name="ㄷㅎㄹㅇ" localSheetId="4" hidden="1">#REF!</definedName>
    <definedName name="ㄷㅎㄹㅇ" hidden="1">#REF!</definedName>
    <definedName name="단가테이블" localSheetId="12">'[61]기계경비(시간당)'!$C$1:$F$58</definedName>
    <definedName name="단가테이블">'[62]기계경비(시간당)'!$C$1:$F$58</definedName>
    <definedName name="단락전류2" localSheetId="12">장비견적서!단락전류2</definedName>
    <definedName name="단락전류2">[0]!단락전류2</definedName>
    <definedName name="단면특성1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12">#REF!</definedName>
    <definedName name="단위중량" localSheetId="4">#REF!</definedName>
    <definedName name="단위중량">#REF!</definedName>
    <definedName name="대화상자표시" localSheetId="12">장비견적서!대화상자표시</definedName>
    <definedName name="대화상자표시">[0]!대화상자표시</definedName>
    <definedName name="동력케이블" localSheetId="12">장비견적서!동력케이블</definedName>
    <definedName name="동력케이블">[0]!동력케이블</definedName>
    <definedName name="동준" localSheetId="12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동준_1" localSheetId="12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localSheetId="12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localSheetId="12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localSheetId="12" hidden="1">{"'도면'!$G$62:$H$63","'도면'!$G$62:$H$63"}</definedName>
    <definedName name="동해설명서" hidden="1">{"'도면'!$G$62:$H$63","'도면'!$G$62:$H$63"}</definedName>
    <definedName name="동해설명서_1" localSheetId="12" hidden="1">{"'도면'!$G$62:$H$63","'도면'!$G$62:$H$63"}</definedName>
    <definedName name="동해설명서_1" hidden="1">{"'도면'!$G$62:$H$63","'도면'!$G$62:$H$63"}</definedName>
    <definedName name="ㄹ761" localSheetId="2">[70]배관내역!#REF!</definedName>
    <definedName name="ㄹ761" localSheetId="3">[70]배관내역!#REF!</definedName>
    <definedName name="ㄹ761" localSheetId="12">[70]배관내역!#REF!</definedName>
    <definedName name="ㄹ761" localSheetId="4">[70]배관내역!#REF!</definedName>
    <definedName name="ㄹ761">[70]배관내역!#REF!</definedName>
    <definedName name="ㄹㄹㄹ" localSheetId="2" hidden="1">#REF!</definedName>
    <definedName name="ㄹㄹㄹ" localSheetId="3" hidden="1">#REF!</definedName>
    <definedName name="ㄹㄹㄹ" localSheetId="12" hidden="1">#REF!</definedName>
    <definedName name="ㄹㄹㄹ" localSheetId="4" hidden="1">#REF!</definedName>
    <definedName name="ㄹㄹㄹ" hidden="1">#REF!</definedName>
    <definedName name="ㄹㄹㄹㄹ" localSheetId="12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_1" localSheetId="12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12" hidden="1">{#N/A,#N/A,FALSE,"혼합골재"}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12" hidden="1">{#N/A,#N/A,FALSE,"조골재"}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12" hidden="1">{#N/A,#N/A,FALSE,"부대2"}</definedName>
    <definedName name="ㄹㅇㅎㅇㅀ" localSheetId="4" hidden="1">{#N/A,#N/A,FALSE,"부대2"}</definedName>
    <definedName name="ㄹㅇㅎㅇㅀ" hidden="1">{#N/A,#N/A,FALSE,"부대2"}</definedName>
    <definedName name="ㄹ허ㅗ" localSheetId="12" hidden="1">{#N/A,#N/A,FALSE,"이정표"}</definedName>
    <definedName name="ㄹ허ㅗ" localSheetId="4" hidden="1">{#N/A,#N/A,FALSE,"이정표"}</definedName>
    <definedName name="ㄹ허ㅗ" hidden="1">{#N/A,#N/A,FALSE,"이정표"}</definedName>
    <definedName name="ㄹ홓ㄹ" localSheetId="12" hidden="1">{#N/A,#N/A,FALSE,"조골재"}</definedName>
    <definedName name="ㄹ홓ㄹ" localSheetId="4" hidden="1">{#N/A,#N/A,FALSE,"조골재"}</definedName>
    <definedName name="ㄹ홓ㄹ" hidden="1">{#N/A,#N/A,FALSE,"조골재"}</definedName>
    <definedName name="램머Q간재" localSheetId="12">[61]램머!$D$20</definedName>
    <definedName name="램머Q간재">[62]램머!$D$20</definedName>
    <definedName name="램머Q간재10" localSheetId="12">[61]램머!$F$20</definedName>
    <definedName name="램머Q간재10">[62]램머!$F$20</definedName>
    <definedName name="램머Q간재야간" localSheetId="12">[61]램머!$J$20</definedName>
    <definedName name="램머Q간재야간">[62]램머!$J$20</definedName>
    <definedName name="램머Q노무" localSheetId="12">[61]램머!$D$21</definedName>
    <definedName name="램머Q노무">[62]램머!$D$21</definedName>
    <definedName name="램머Q노무10" localSheetId="12">[61]램머!$F$21</definedName>
    <definedName name="램머Q노무10">[62]램머!$F$21</definedName>
    <definedName name="램머Q노무야간" localSheetId="12">[61]램머!$J$21</definedName>
    <definedName name="램머Q노무야간">[62]램머!$J$21</definedName>
    <definedName name="램머Q손료" localSheetId="12">[61]램머!$D$22</definedName>
    <definedName name="램머Q손료">[62]램머!$D$22</definedName>
    <definedName name="램머Q손료10" localSheetId="12">[61]램머!$F$22</definedName>
    <definedName name="램머Q손료10">[62]램머!$F$22</definedName>
    <definedName name="램머Q손료야간" localSheetId="12">[61]램머!$J$22</definedName>
    <definedName name="램머Q손료야간">[62]램머!$J$22</definedName>
    <definedName name="램머간재" localSheetId="12">'[61]기계경비(시간당)'!$H$170</definedName>
    <definedName name="램머간재">'[62]기계경비(시간당)'!$H$170</definedName>
    <definedName name="램머노무" localSheetId="12">'[61]기계경비(시간당)'!$H$166</definedName>
    <definedName name="램머노무">'[62]기계경비(시간당)'!$H$166</definedName>
    <definedName name="램머노무야간" localSheetId="12">'[61]기계경비(시간당)'!$H$167</definedName>
    <definedName name="램머노무야간">'[62]기계경비(시간당)'!$H$167</definedName>
    <definedName name="램머손료" localSheetId="12">'[61]기계경비(시간당)'!$H$165</definedName>
    <definedName name="램머손료">'[62]기계경비(시간당)'!$H$165</definedName>
    <definedName name="류효정" localSheetId="12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류효정_1" localSheetId="12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localSheetId="12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localSheetId="12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[73]차액보증!#REF!</definedName>
    <definedName name="ㅁ" localSheetId="3" hidden="1">[73]차액보증!#REF!</definedName>
    <definedName name="ㅁ" localSheetId="12" hidden="1">[73]차액보증!#REF!</definedName>
    <definedName name="ㅁ" hidden="1">[73]차액보증!#REF!</definedName>
    <definedName name="ㅁ388" localSheetId="2">[70]배관내역!#REF!</definedName>
    <definedName name="ㅁ388" localSheetId="3">[70]배관내역!#REF!</definedName>
    <definedName name="ㅁ388" localSheetId="12">[70]배관내역!#REF!</definedName>
    <definedName name="ㅁ388">[70]배관내역!#REF!</definedName>
    <definedName name="ㅁㄱㅂ" localSheetId="12" hidden="1">{#N/A,#N/A,FALSE,"단가표지"}</definedName>
    <definedName name="ㅁㄱㅂ" localSheetId="4" hidden="1">{#N/A,#N/A,FALSE,"단가표지"}</definedName>
    <definedName name="ㅁㄱㅂ" hidden="1">{#N/A,#N/A,FALSE,"단가표지"}</definedName>
    <definedName name="ㅁㄴ" localSheetId="12" hidden="1">{#N/A,#N/A,FALSE,"2~8번"}</definedName>
    <definedName name="ㅁㄴ" localSheetId="4" hidden="1">{#N/A,#N/A,FALSE,"2~8번"}</definedName>
    <definedName name="ㅁㄴ" hidden="1">{#N/A,#N/A,FALSE,"2~8번"}</definedName>
    <definedName name="ㅁㄴㅇ" localSheetId="12" hidden="1">{#N/A,#N/A,FALSE,"배수1"}</definedName>
    <definedName name="ㅁㄴㅇ" localSheetId="4" hidden="1">{#N/A,#N/A,FALSE,"배수1"}</definedName>
    <definedName name="ㅁㄴㅇ" hidden="1">{#N/A,#N/A,FALSE,"배수1"}</definedName>
    <definedName name="ㅁㄴㅇㅁ" localSheetId="12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12" hidden="1">{#N/A,#N/A,FALSE,"포장1";#N/A,#N/A,FALSE,"포장1"}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localSheetId="12" hidden="1">{"'도면'!$G$62:$H$63","'도면'!$G$62:$H$63"}</definedName>
    <definedName name="ㅁㅁㅁㅁ" hidden="1">{"'도면'!$G$62:$H$63","'도면'!$G$62:$H$63"}</definedName>
    <definedName name="ㅁㅁㅁㅁㅂ" localSheetId="12" hidden="1">{"'도면'!$G$62:$H$63","'도면'!$G$62:$H$63"}</definedName>
    <definedName name="ㅁㅁㅁㅁㅂ" hidden="1">{"'도면'!$G$62:$H$63","'도면'!$G$62:$H$63"}</definedName>
    <definedName name="ㅁㅁㅁㅁㅂ_1" localSheetId="12" hidden="1">{"'도면'!$G$62:$H$63","'도면'!$G$62:$H$63"}</definedName>
    <definedName name="ㅁㅁㅁㅁㅂ_1" hidden="1">{"'도면'!$G$62:$H$63","'도면'!$G$62:$H$63"}</definedName>
    <definedName name="ㅁㅂㅂㅂㅂ" localSheetId="12" hidden="1">{"'도면'!$G$62:$H$63","'도면'!$G$62:$H$63"}</definedName>
    <definedName name="ㅁㅂㅂㅂㅂ" hidden="1">{"'도면'!$G$62:$H$63","'도면'!$G$62:$H$63"}</definedName>
    <definedName name="ㅁㅂㅂㅂㅂ_1" localSheetId="12" hidden="1">{"'도면'!$G$62:$H$63","'도면'!$G$62:$H$63"}</definedName>
    <definedName name="ㅁㅂㅂㅂㅂ_1" hidden="1">{"'도면'!$G$62:$H$63","'도면'!$G$62:$H$63"}</definedName>
    <definedName name="ㅁㅇㄴㅁㅇㅁ" localSheetId="12" hidden="1">{#N/A,#N/A,FALSE,"배수1"}</definedName>
    <definedName name="ㅁㅇㄴㅁㅇㅁ" localSheetId="4" hidden="1">{#N/A,#N/A,FALSE,"배수1"}</definedName>
    <definedName name="ㅁㅇㄴㅁㅇㅁ" hidden="1">{#N/A,#N/A,FALSE,"배수1"}</definedName>
    <definedName name="ㅁㅇㄹ" localSheetId="12" hidden="1">{#N/A,#N/A,FALSE,"포장2"}</definedName>
    <definedName name="ㅁㅇㄹ" localSheetId="4" hidden="1">{#N/A,#N/A,FALSE,"포장2"}</definedName>
    <definedName name="ㅁㅇㄹ" hidden="1">{#N/A,#N/A,FALSE,"포장2"}</definedName>
    <definedName name="ㅁㅊ">[74]OPGW기별!$A$3:$IV$7</definedName>
    <definedName name="목차번호" localSheetId="12">[75]일위목차!$U$4:$V$151</definedName>
    <definedName name="목차번호">[76]일위목차!$U$4:$V$151</definedName>
    <definedName name="무선안테나공">95000</definedName>
    <definedName name="ㅂㅂㅂ" localSheetId="12" hidden="1">{"'용역비'!$A$4:$C$8"}</definedName>
    <definedName name="ㅂㅂㅂ" hidden="1">{"'용역비'!$A$4:$C$8"}</definedName>
    <definedName name="ㅂㅂㅂ_1" localSheetId="12" hidden="1">{"'도면'!$G$62:$H$63","'도면'!$G$62:$H$63"}</definedName>
    <definedName name="ㅂㅂㅂ_1" hidden="1">{"'도면'!$G$62:$H$63","'도면'!$G$62:$H$63"}</definedName>
    <definedName name="ㅂㅈ" localSheetId="12" hidden="1">{#N/A,#N/A,FALSE,"2~8번"}</definedName>
    <definedName name="ㅂㅈ" localSheetId="4" hidden="1">{#N/A,#N/A,FALSE,"2~8번"}</definedName>
    <definedName name="ㅂㅈ" hidden="1">{#N/A,#N/A,FALSE,"2~8번"}</definedName>
    <definedName name="ㅂㅈㄱㄷㅈㅂㄱㅈㄷㅂㄱ" localSheetId="12" hidden="1">{#N/A,#N/A,FALSE,"이정표"}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12" hidden="1">{#N/A,#N/A,FALSE,"골재소요량";#N/A,#N/A,FALSE,"골재소요량"}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localSheetId="12" hidden="1">{"'용역비'!$A$4:$C$8"}</definedName>
    <definedName name="바부" hidden="1">{"'용역비'!$A$4:$C$8"}</definedName>
    <definedName name="배관공수율" hidden="1">'[77]N賃率-職'!$I$5:$I$30</definedName>
    <definedName name="배관배선산출근거양식">[78]을지!$A$1:$IV$2</definedName>
    <definedName name="배전" localSheetId="12">'[57]인건비 '!$B$7</definedName>
    <definedName name="배전">'[58]인건비 '!$B$7</definedName>
    <definedName name="백02간재" localSheetId="12">'[61]기계경비(시간당)'!$H$161</definedName>
    <definedName name="백02간재">'[62]기계경비(시간당)'!$H$161</definedName>
    <definedName name="백02간재티스제외" localSheetId="12">'[61]기계경비(시간당)'!$H$162</definedName>
    <definedName name="백02간재티스제외">'[62]기계경비(시간당)'!$H$162</definedName>
    <definedName name="백02노무" localSheetId="12">'[61]기계경비(시간당)'!$H$153</definedName>
    <definedName name="백02노무">'[62]기계경비(시간당)'!$H$153</definedName>
    <definedName name="백02노무야간" localSheetId="12">'[61]기계경비(시간당)'!$H$157</definedName>
    <definedName name="백02노무야간">'[62]기계경비(시간당)'!$H$157</definedName>
    <definedName name="백02손료" localSheetId="12">'[61]기계경비(시간당)'!$H$149</definedName>
    <definedName name="백02손료">'[62]기계경비(시간당)'!$H$149</definedName>
    <definedName name="백04간재" localSheetId="12">'[61]기계경비(시간당)'!$H$145</definedName>
    <definedName name="백04간재">'[62]기계경비(시간당)'!$H$145</definedName>
    <definedName name="백04간재티스제외" localSheetId="12">'[61]기계경비(시간당)'!$H$146</definedName>
    <definedName name="백04간재티스제외">'[62]기계경비(시간당)'!$H$146</definedName>
    <definedName name="백04노무" localSheetId="12">'[61]기계경비(시간당)'!$H$137</definedName>
    <definedName name="백04노무">'[62]기계경비(시간당)'!$H$137</definedName>
    <definedName name="백04노무야간" localSheetId="12">'[61]기계경비(시간당)'!$H$141</definedName>
    <definedName name="백04노무야간">'[62]기계경비(시간당)'!$H$141</definedName>
    <definedName name="백04손료" localSheetId="12">'[61]기계경비(시간당)'!$H$133</definedName>
    <definedName name="백04손료">'[62]기계경비(시간당)'!$H$133</definedName>
    <definedName name="백07간재" localSheetId="12">'[61]기계경비(시간당)'!$H$129</definedName>
    <definedName name="백07간재">'[62]기계경비(시간당)'!$H$129</definedName>
    <definedName name="백07노무" localSheetId="12">'[61]기계경비(시간당)'!$H$121</definedName>
    <definedName name="백07노무">'[62]기계경비(시간당)'!$H$121</definedName>
    <definedName name="백07손료" localSheetId="12">'[61]기계경비(시간당)'!$H$117</definedName>
    <definedName name="백07손료">'[62]기계경비(시간당)'!$H$117</definedName>
    <definedName name="백색페인트" localSheetId="12">[79]예측단가간지!$D$21</definedName>
    <definedName name="백색페인트">[80]예측단가간지!$D$21</definedName>
    <definedName name="백호">'[56]샌딩 에폭시 도장'!$A$1:$L$25</definedName>
    <definedName name="별지" localSheetId="12">'[59]6.별지'!$B$1:$W$1000</definedName>
    <definedName name="별지">'[60]6.별지'!$B$1:$W$1000</definedName>
    <definedName name="보이기" localSheetId="12">[81]!보이기</definedName>
    <definedName name="보이기">[81]!보이기</definedName>
    <definedName name="보조기층포설" localSheetId="12">[63]단가!$C$86</definedName>
    <definedName name="보조기층포설">[64]단가!$C$86</definedName>
    <definedName name="부대원본" localSheetId="12" hidden="1">{#N/A,#N/A,FALSE,"토공2"}</definedName>
    <definedName name="부대원본" localSheetId="4" hidden="1">{#N/A,#N/A,FALSE,"토공2"}</definedName>
    <definedName name="부대원본" hidden="1">{#N/A,#N/A,FALSE,"토공2"}</definedName>
    <definedName name="부손익" localSheetId="12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 localSheetId="12">'[61]기계경비(시간당)'!$H$112</definedName>
    <definedName name="브02간재구조물">'[62]기계경비(시간당)'!$H$112</definedName>
    <definedName name="브02노무" localSheetId="12">'[61]기계경비(시간당)'!$H$110</definedName>
    <definedName name="브02노무">'[62]기계경비(시간당)'!$H$110</definedName>
    <definedName name="브02노무야간" localSheetId="12">'[61]기계경비(시간당)'!$H$111</definedName>
    <definedName name="브02노무야간">'[62]기계경비(시간당)'!$H$111</definedName>
    <definedName name="브02손료" localSheetId="12">'[61]기계경비(시간당)'!$H$109</definedName>
    <definedName name="브02손료">'[62]기계경비(시간당)'!$H$109</definedName>
    <definedName name="브04간재구조물" localSheetId="12">'[61]기계경비(시간당)'!$H$105</definedName>
    <definedName name="브04간재구조물">'[62]기계경비(시간당)'!$H$105</definedName>
    <definedName name="브04노무" localSheetId="12">'[61]기계경비(시간당)'!$H$103</definedName>
    <definedName name="브04노무">'[62]기계경비(시간당)'!$H$103</definedName>
    <definedName name="브04노무야간" localSheetId="12">'[61]기계경비(시간당)'!$H$104</definedName>
    <definedName name="브04노무야간">'[62]기계경비(시간당)'!$H$104</definedName>
    <definedName name="브04손료" localSheetId="12">'[61]기계경비(시간당)'!$H$102</definedName>
    <definedName name="브04손료">'[62]기계경비(시간당)'!$H$102</definedName>
    <definedName name="브레이드" localSheetId="12">'[61]기계경비(시간당)'!$D$28</definedName>
    <definedName name="브레이드">'[62]기계경비(시간당)'!$D$28</definedName>
    <definedName name="비교" hidden="1">255</definedName>
    <definedName name="비교표1" hidden="1">255</definedName>
    <definedName name="비상부하계산" localSheetId="12">장비견적서!비상부하계산</definedName>
    <definedName name="비상부하계산">[0]!비상부하계산</definedName>
    <definedName name="ㅅㅅㅅㅅㅅㅅㅅ" localSheetId="12" hidden="1">{"'도면'!$G$62:$H$63","'도면'!$G$62:$H$63"}</definedName>
    <definedName name="ㅅㅅㅅㅅㅅㅅㅅ" hidden="1">{"'도면'!$G$62:$H$63","'도면'!$G$62:$H$63"}</definedName>
    <definedName name="ㅅㅅㅅㅅㅅㅅㅅ_1" localSheetId="12" hidden="1">{"'도면'!$G$62:$H$63","'도면'!$G$62:$H$63"}</definedName>
    <definedName name="ㅅㅅㅅㅅㅅㅅㅅ_1" hidden="1">{"'도면'!$G$62:$H$63","'도면'!$G$62:$H$63"}</definedName>
    <definedName name="ㅅㅎㄱㄷㅅㄷㄱ" localSheetId="12" hidden="1">{#N/A,#N/A,FALSE,"표지목차"}</definedName>
    <definedName name="ㅅㅎㄱㄷㅅㄷㄱ" localSheetId="4" hidden="1">{#N/A,#N/A,FALSE,"표지목차"}</definedName>
    <definedName name="ㅅㅎㄱㄷㅅㄷㄱ" hidden="1">{#N/A,#N/A,FALSE,"표지목차"}</definedName>
    <definedName name="사랑" localSheetId="12">'[82]인건비 '!$B$5</definedName>
    <definedName name="사랑">'[83]인건비 '!$B$5</definedName>
    <definedName name="사본" localSheetId="12" hidden="1">{"'7'!$B$15:$D$32"}</definedName>
    <definedName name="사본" hidden="1">{"'7'!$B$15:$D$32"}</definedName>
    <definedName name="산출" localSheetId="12">'[84]내역서 '!$A$22:$BE$356</definedName>
    <definedName name="산출">'[85]내역서 '!$A$22:$BE$356</definedName>
    <definedName name="산출근거44" localSheetId="12" hidden="1">{"'제10장(표)'!$A$5:$L$10"}</definedName>
    <definedName name="산출근거44" hidden="1">{"'제10장(표)'!$A$5:$L$10"}</definedName>
    <definedName name="산출내역서1" localSheetId="12" hidden="1">{"'신흥취수펌프 검토'!$M$2","'신흥취수펌프 검토'!$A$1:$AE$87"}</definedName>
    <definedName name="산출내역서1" hidden="1">{"'신흥취수펌프 검토'!$M$2","'신흥취수펌프 검토'!$A$1:$AE$87"}</definedName>
    <definedName name="산출내역서1_1" localSheetId="12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localSheetId="12" hidden="1">{"'도면'!$G$62:$H$63","'도면'!$G$62:$H$63"}</definedName>
    <definedName name="상" hidden="1">{"'도면'!$G$62:$H$63","'도면'!$G$62:$H$63"}</definedName>
    <definedName name="상권" localSheetId="12" hidden="1">{"'7'!$B$15:$D$32"}</definedName>
    <definedName name="상권" hidden="1">{"'7'!$B$15:$D$32"}</definedName>
    <definedName name="상리설계설명서" localSheetId="12" hidden="1">{"'도면'!$G$62:$H$63","'도면'!$G$62:$H$63"}</definedName>
    <definedName name="상리설계설명서" hidden="1">{"'도면'!$G$62:$H$63","'도면'!$G$62:$H$63"}</definedName>
    <definedName name="상리설계설명서_1" localSheetId="12" hidden="1">{"'도면'!$G$62:$H$63","'도면'!$G$62:$H$63"}</definedName>
    <definedName name="상리설계설명서_1" hidden="1">{"'도면'!$G$62:$H$63","'도면'!$G$62:$H$63"}</definedName>
    <definedName name="상품개발" localSheetId="12" hidden="1">{"'7'!$B$15:$D$32"}</definedName>
    <definedName name="상품개발" hidden="1">{"'7'!$B$15:$D$32"}</definedName>
    <definedName name="새로운이름" localSheetId="12" hidden="1">{"'7'!$B$15:$D$32"}</definedName>
    <definedName name="새로운이름" hidden="1">{"'7'!$B$15:$D$32"}</definedName>
    <definedName name="선택층포설다짐" localSheetId="12">[63]단가!$C$80</definedName>
    <definedName name="선택층포설다짐">[64]단가!$C$80</definedName>
    <definedName name="설명" localSheetId="12" hidden="1">{"'제10장(표)'!$A$5:$L$10"}</definedName>
    <definedName name="설명" hidden="1">{"'제10장(표)'!$A$5:$L$10"}</definedName>
    <definedName name="성근" localSheetId="12" hidden="1">{#N/A,#N/A,FALSE,"포장2"}</definedName>
    <definedName name="성근" localSheetId="4" hidden="1">{#N/A,#N/A,FALSE,"포장2"}</definedName>
    <definedName name="성근" hidden="1">{#N/A,#N/A,FALSE,"포장2"}</definedName>
    <definedName name="성토과재" localSheetId="12" hidden="1">{#N/A,#N/A,FALSE,"조골재"}</definedName>
    <definedName name="성토과재" localSheetId="4" hidden="1">{#N/A,#N/A,FALSE,"조골재"}</definedName>
    <definedName name="성토과재" hidden="1">{#N/A,#N/A,FALSE,"조골재"}</definedName>
    <definedName name="소형B손료" localSheetId="12">'[61]기계경비(시간당)'!$H$240</definedName>
    <definedName name="소형B손료">'[62]기계경비(시간당)'!$H$240</definedName>
    <definedName name="손영주" localSheetId="12" hidden="1">{#N/A,#N/A,FALSE,"조골재"}</definedName>
    <definedName name="손영주" localSheetId="4" hidden="1">{#N/A,#N/A,FALSE,"조골재"}</definedName>
    <definedName name="손영주" hidden="1">{#N/A,#N/A,FALSE,"조골재"}</definedName>
    <definedName name="손익총괄표3" localSheetId="12" hidden="1">{"'7'!$B$15:$D$32"}</definedName>
    <definedName name="손익총괄표3" hidden="1">{"'7'!$B$15:$D$32"}</definedName>
    <definedName name="순위결정" localSheetId="12" hidden="1">{"'제10장(표)'!$A$5:$L$10"}</definedName>
    <definedName name="순위결정" hidden="1">{"'제10장(표)'!$A$5:$L$10"}</definedName>
    <definedName name="숨기기비고" localSheetId="12">[81]!숨기기비고</definedName>
    <definedName name="숨기기비고">[81]!숨기기비고</definedName>
    <definedName name="숨기기총괄" localSheetId="12">[81]!숨기기총괄</definedName>
    <definedName name="숨기기총괄">[81]!숨기기총괄</definedName>
    <definedName name="숨기기팀별" localSheetId="12">[81]!숨기기팀별</definedName>
    <definedName name="숨기기팀별">[81]!숨기기팀별</definedName>
    <definedName name="시" localSheetId="12">[86]집계표!$A$1:$M$2</definedName>
    <definedName name="시">[87]집계표!$A$1:$M$2</definedName>
    <definedName name="시운" localSheetId="12">[88]집계표!$A$1:$M$2</definedName>
    <definedName name="시운">[89]집계표!$A$1:$M$2</definedName>
    <definedName name="식재">[90]코드표!$A:$F</definedName>
    <definedName name="신호" localSheetId="12">[91]인건비!$B$23</definedName>
    <definedName name="신호">[92]인건비!$B$23</definedName>
    <definedName name="신호기" localSheetId="12">장비견적서!신호기</definedName>
    <definedName name="신호기">[0]!신호기</definedName>
    <definedName name="신호기가로등" localSheetId="12">장비견적서!신호기가로등</definedName>
    <definedName name="신호기가로등">[0]!신호기가로등</definedName>
    <definedName name="ㅇㄴㄴㄴㄴㄴㄴㄴㄴㄴ" localSheetId="12" hidden="1">{#N/A,#N/A,FALSE,"혼합골재"}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localSheetId="12" hidden="1">{"'7'!$B$15:$D$32"}</definedName>
    <definedName name="ㅇㄴㅇ" hidden="1">{"'7'!$B$15:$D$32"}</definedName>
    <definedName name="ㅇㄹㄴㅀㄹㅇㅎㄹㅇㅎ" localSheetId="12" hidden="1">{#N/A,#N/A,FALSE,"2~8번"}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12" hidden="1">#REF!</definedName>
    <definedName name="ㅇㄹㄹ" localSheetId="4" hidden="1">#REF!</definedName>
    <definedName name="ㅇㄹㄹ" hidden="1">#REF!</definedName>
    <definedName name="ㅇㄹㄹㅇ" localSheetId="12" hidden="1">{#N/A,#N/A,FALSE,"2~8번"}</definedName>
    <definedName name="ㅇㄹㄹㅇ" localSheetId="4" hidden="1">{#N/A,#N/A,FALSE,"2~8번"}</definedName>
    <definedName name="ㅇㄹㄹㅇ" hidden="1">{#N/A,#N/A,FALSE,"2~8번"}</definedName>
    <definedName name="ㅇㄹㅇ" localSheetId="12" hidden="1">{#N/A,#N/A,FALSE,"운반시간"}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12" hidden="1">{#N/A,#N/A,FALSE,"구조2"}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12" hidden="1">#REF!</definedName>
    <definedName name="ㅇㅇㅇㅇ" localSheetId="4" hidden="1">{"'도면'!$G$62:$H$63","'도면'!$G$62:$H$63"}</definedName>
    <definedName name="ㅇㅇㅇㅇ" hidden="1">#REF!</definedName>
    <definedName name="아니다" localSheetId="12" hidden="1">{"'7'!$B$15:$D$32"}</definedName>
    <definedName name="아니다" hidden="1">{"'7'!$B$15:$D$32"}</definedName>
    <definedName name="아러ㅏ러" localSheetId="12" hidden="1">{"'Firr(선)'!$AS$1:$AY$62","'Firr(사)'!$AS$1:$AY$62","'Firr(회)'!$AS$1:$AY$62","'Firr(선)'!$L$1:$V$62","'Firr(사)'!$L$1:$V$62","'Firr(회)'!$L$1:$V$62"}</definedName>
    <definedName name="아러ㅏ러" hidden="1">{"'Firr(선)'!$AS$1:$AY$62","'Firr(사)'!$AS$1:$AY$62","'Firr(회)'!$AS$1:$AY$62","'Firr(선)'!$L$1:$V$62","'Firr(사)'!$L$1:$V$62","'Firr(회)'!$L$1:$V$62"}</definedName>
    <definedName name="아러ㅏ러_1" localSheetId="12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 localSheetId="12">'[93]배관배선 단가조사'!$A$3:$P$190</definedName>
    <definedName name="아리랑">'[94]배관배선 단가조사'!$A$3:$P$190</definedName>
    <definedName name="아리랑2" localSheetId="12">[93]일위대가!$A$1:$P$990</definedName>
    <definedName name="아리랑2">[94]일위대가!$A$1:$P$990</definedName>
    <definedName name="아리랑3" localSheetId="12">[93]일위대가!$A$1:$O$1918</definedName>
    <definedName name="아리랑3">[94]일위대가!$A$1:$O$1918</definedName>
    <definedName name="아리랑4" localSheetId="12">[93]일위대가집계!$A$1:$L$81</definedName>
    <definedName name="아리랑4">[94]일위대가집계!$A$1:$L$81</definedName>
    <definedName name="아스콘깨기" localSheetId="12" hidden="1">{#N/A,#N/A,FALSE,"골재소요량";#N/A,#N/A,FALSE,"골재소요량"}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localSheetId="12" hidden="1">{"'신흥취수펌프 검토'!$M$2","'신흥취수펌프 검토'!$A$1:$AE$87"}</definedName>
    <definedName name="아앙ㅇㅇ" hidden="1">{"'신흥취수펌프 검토'!$M$2","'신흥취수펌프 검토'!$A$1:$AE$87"}</definedName>
    <definedName name="아앙ㅇㅇ_1" localSheetId="12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localSheetId="12" hidden="1">{"'신흥취수펌프 검토'!$M$2","'신흥취수펌프 검토'!$A$1:$AE$87"}</definedName>
    <definedName name="앙아" hidden="1">{"'신흥취수펌프 검토'!$M$2","'신흥취수펌프 검토'!$A$1:$AE$87"}</definedName>
    <definedName name="앙아_1" localSheetId="12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localSheetId="12" hidden="1">{"'관경확장'!$A$79:$M$98","'관경확장'!$A$54:$M$78"}</definedName>
    <definedName name="업무배분3" hidden="1">{"'관경확장'!$A$79:$M$98","'관경확장'!$A$54:$M$78"}</definedName>
    <definedName name="연접물량" localSheetId="12">장비견적서!연접물량</definedName>
    <definedName name="연접물량">[0]!연접물량</definedName>
    <definedName name="연접물량가로등" localSheetId="12">장비견적서!연접물량가로등</definedName>
    <definedName name="연접물량가로등">[0]!연접물량가로등</definedName>
    <definedName name="연필H" localSheetId="12">'[95]2.재료비'!$D$13</definedName>
    <definedName name="연필H">'[96]2.재료비'!$D$13</definedName>
    <definedName name="연필HB" localSheetId="12">'[95]2.재료비'!$D$12</definedName>
    <definedName name="연필HB">'[96]2.재료비'!$D$12</definedName>
    <definedName name="요" localSheetId="12" hidden="1">{"'7'!$B$15:$D$32"}</definedName>
    <definedName name="요" hidden="1">{"'7'!$B$15:$D$32"}</definedName>
    <definedName name="요마" localSheetId="12" hidden="1">{"'7'!$B$15:$D$32"}</definedName>
    <definedName name="요마" hidden="1">{"'7'!$B$15:$D$32"}</definedName>
    <definedName name="요약1" localSheetId="12" hidden="1">{"'7'!$B$15:$D$32"}</definedName>
    <definedName name="요약1" hidden="1">{"'7'!$B$15:$D$32"}</definedName>
    <definedName name="요약2" localSheetId="12" hidden="1">{"'7'!$B$15:$D$32"}</definedName>
    <definedName name="요약2" hidden="1">{"'7'!$B$15:$D$32"}</definedName>
    <definedName name="용역" localSheetId="12" hidden="1">{"'7'!$B$15:$D$32"}</definedName>
    <definedName name="용역" hidden="1">{"'7'!$B$15:$D$32"}</definedName>
    <definedName name="용접공" localSheetId="12">'[61]기계경비(시간당)'!$D$13</definedName>
    <definedName name="용접공">'[62]기계경비(시간당)'!$D$13</definedName>
    <definedName name="운반차운전사">55214</definedName>
    <definedName name="운전기사" localSheetId="12">[97]인건비!$B$13</definedName>
    <definedName name="운전기사">[98]인건비!$B$13</definedName>
    <definedName name="운전사_운반" localSheetId="12">'[61]기계경비(시간당)'!$D$7</definedName>
    <definedName name="운전사_운반">'[62]기계경비(시간당)'!$D$7</definedName>
    <definedName name="원가계산" localSheetId="12">장비견적서!원가계산</definedName>
    <definedName name="원가계산">[0]!원가계산</definedName>
    <definedName name="원가계산서1" localSheetId="12" hidden="1">{"'신흥취수펌프 검토'!$M$2","'신흥취수펌프 검토'!$A$1:$AE$87"}</definedName>
    <definedName name="원가계산서1" hidden="1">{"'신흥취수펌프 검토'!$M$2","'신흥취수펌프 검토'!$A$1:$AE$87"}</definedName>
    <definedName name="원가계산서1_1" localSheetId="12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 localSheetId="12">장비견적서!원가계산창</definedName>
    <definedName name="원가계산창">[0]!원가계산창</definedName>
    <definedName name="원동" localSheetId="12" hidden="1">{"'신흥취수펌프 검토'!$M$2","'신흥취수펌프 검토'!$A$1:$AE$87"}</definedName>
    <definedName name="원동" hidden="1">{"'신흥취수펌프 검토'!$M$2","'신흥취수펌프 검토'!$A$1:$AE$87"}</definedName>
    <definedName name="원동_1" localSheetId="12" hidden="1">{"'신흥취수펌프 검토'!$M$2","'신흥취수펌프 검토'!$A$1:$AE$87"}</definedName>
    <definedName name="원동_1" hidden="1">{"'신흥취수펌프 검토'!$M$2","'신흥취수펌프 검토'!$A$1:$AE$87"}</definedName>
    <definedName name="원표지" localSheetId="12" hidden="1">{"'관경확장'!$A$79:$M$98","'관경확장'!$A$54:$M$78"}</definedName>
    <definedName name="원표지" hidden="1">{"'관경확장'!$A$79:$M$98","'관경확장'!$A$54:$M$78"}</definedName>
    <definedName name="윤로">[99]공정집계_국별!$G:$G</definedName>
    <definedName name="이가" localSheetId="12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가_1" localSheetId="12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12" hidden="1">{#N/A,#N/A,FALSE,"조골재"}</definedName>
    <definedName name="이동" localSheetId="4" hidden="1">{#N/A,#N/A,FALSE,"조골재"}</definedName>
    <definedName name="이동" hidden="1">{#N/A,#N/A,FALSE,"조골재"}</definedName>
    <definedName name="이수남" localSheetId="12" hidden="1">{"'도면'!$G$62:$H$63","'도면'!$G$62:$H$63"}</definedName>
    <definedName name="이수남" hidden="1">{"'도면'!$G$62:$H$63","'도면'!$G$62:$H$63"}</definedName>
    <definedName name="이수남_1" localSheetId="12" hidden="1">{"'도면'!$G$62:$H$63","'도면'!$G$62:$H$63"}</definedName>
    <definedName name="이수남_1" hidden="1">{"'도면'!$G$62:$H$63","'도면'!$G$62:$H$63"}</definedName>
    <definedName name="이정" localSheetId="12" hidden="1">{#N/A,#N/A,FALSE,"2~8번"}</definedName>
    <definedName name="이정" localSheetId="4" hidden="1">{#N/A,#N/A,FALSE,"2~8번"}</definedName>
    <definedName name="이정" hidden="1">{#N/A,#N/A,FALSE,"2~8번"}</definedName>
    <definedName name="이학주" localSheetId="12" hidden="1">{"'도면'!$G$62:$H$63","'도면'!$G$62:$H$63"}</definedName>
    <definedName name="이학주" hidden="1">{"'도면'!$G$62:$H$63","'도면'!$G$62:$H$63"}</definedName>
    <definedName name="이학주_1" localSheetId="12" hidden="1">{"'도면'!$G$62:$H$63","'도면'!$G$62:$H$63"}</definedName>
    <definedName name="이학주_1" hidden="1">{"'도면'!$G$62:$H$63","'도면'!$G$62:$H$63"}</definedName>
    <definedName name="이학주2" localSheetId="12" hidden="1">{"'도면'!$G$62:$H$63","'도면'!$G$62:$H$63"}</definedName>
    <definedName name="이학주2" hidden="1">{"'도면'!$G$62:$H$63","'도면'!$G$62:$H$63"}</definedName>
    <definedName name="이학주2_1" localSheetId="12" hidden="1">{"'도면'!$G$62:$H$63","'도면'!$G$62:$H$63"}</definedName>
    <definedName name="이학주2_1" hidden="1">{"'도면'!$G$62:$H$63","'도면'!$G$62:$H$63"}</definedName>
    <definedName name="이학주A" localSheetId="12" hidden="1">{"'도면'!$G$62:$H$63","'도면'!$G$62:$H$63"}</definedName>
    <definedName name="이학주A" hidden="1">{"'도면'!$G$62:$H$63","'도면'!$G$62:$H$63"}</definedName>
    <definedName name="이학주A_1" localSheetId="12" hidden="1">{"'도면'!$G$62:$H$63","'도면'!$G$62:$H$63"}</definedName>
    <definedName name="이학주A_1" hidden="1">{"'도면'!$G$62:$H$63","'도면'!$G$62:$H$63"}</definedName>
    <definedName name="인쇄용" localSheetId="12">[81]!인쇄용</definedName>
    <definedName name="인쇄용">[81]!인쇄용</definedName>
    <definedName name="일반부" localSheetId="12" hidden="1">{#N/A,#N/A,FALSE,"조골재"}</definedName>
    <definedName name="일반부" localSheetId="4" hidden="1">{#N/A,#N/A,FALSE,"조골재"}</definedName>
    <definedName name="일반부" hidden="1">{#N/A,#N/A,FALSE,"조골재"}</definedName>
    <definedName name="일위1" localSheetId="12">[100]일위대가!$A$1:$P$519</definedName>
    <definedName name="일위1">[101]일위대가!$A$1:$P$519</definedName>
    <definedName name="일위대가아산" localSheetId="12" hidden="1">{"'도면'!$G$62:$H$63","'도면'!$G$62:$H$63"}</definedName>
    <definedName name="일위대가아산" hidden="1">{"'도면'!$G$62:$H$63","'도면'!$G$62:$H$63"}</definedName>
    <definedName name="일위대가아산_1" localSheetId="12" hidden="1">{"'도면'!$G$62:$H$63","'도면'!$G$62:$H$63"}</definedName>
    <definedName name="일위대가아산_1" hidden="1">{"'도면'!$G$62:$H$63","'도면'!$G$62:$H$63"}</definedName>
    <definedName name="일위대가코드">[102]일위대가!$A:$A</definedName>
    <definedName name="일위대가표_1" localSheetId="12" hidden="1">{"'도면'!$G$62:$H$63","'도면'!$G$62:$H$63"}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12" hidden="1">#REF!</definedName>
    <definedName name="일위대가호표" localSheetId="4" hidden="1">#REF!</definedName>
    <definedName name="일위대가호표" hidden="1">#REF!</definedName>
    <definedName name="임ㄴ" localSheetId="12" hidden="1">{"'공사부문'!$A$6:$A$32"}</definedName>
    <definedName name="임ㄴ" localSheetId="4" hidden="1">{"'공사부문'!$A$6:$A$32"}</definedName>
    <definedName name="임ㄴ" hidden="1">{"'공사부문'!$A$6:$A$32"}</definedName>
    <definedName name="잉크" localSheetId="12">[79]예측단가간지!$D$20</definedName>
    <definedName name="잉크">[80]예측단가간지!$D$20</definedName>
    <definedName name="ㅈㄱ" localSheetId="12" hidden="1">{#N/A,#N/A,FALSE,"조골재"}</definedName>
    <definedName name="ㅈㄱ" localSheetId="4" hidden="1">{#N/A,#N/A,FALSE,"조골재"}</definedName>
    <definedName name="ㅈㄱ" hidden="1">{#N/A,#N/A,FALSE,"조골재"}</definedName>
    <definedName name="ㅈㄷㄱㄷㄱㄷ" localSheetId="12" hidden="1">{"'용역비'!$A$4:$C$8"}</definedName>
    <definedName name="ㅈㄷㄱㄷㄱㄷ" hidden="1">{"'용역비'!$A$4:$C$8"}</definedName>
    <definedName name="ㅈㄷㄱㄷㅈㄱㄷㅈ" localSheetId="12" hidden="1">{#N/A,#N/A,FALSE,"표지목차"}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localSheetId="12" hidden="1">{"'도면'!$G$62:$H$63","'도면'!$G$62:$H$63"}</definedName>
    <definedName name="자재1" hidden="1">{"'도면'!$G$62:$H$63","'도면'!$G$62:$H$63"}</definedName>
    <definedName name="자재1_1" localSheetId="12" hidden="1">{"'도면'!$G$62:$H$63","'도면'!$G$62:$H$63"}</definedName>
    <definedName name="자재1_1" hidden="1">{"'도면'!$G$62:$H$63","'도면'!$G$62:$H$63"}</definedName>
    <definedName name="자재구" localSheetId="12" hidden="1">{"'도면'!$G$62:$H$63","'도면'!$G$62:$H$63"}</definedName>
    <definedName name="자재구" hidden="1">{"'도면'!$G$62:$H$63","'도면'!$G$62:$H$63"}</definedName>
    <definedName name="자재구_1" localSheetId="12" hidden="1">{"'도면'!$G$62:$H$63","'도면'!$G$62:$H$63"}</definedName>
    <definedName name="자재구_1" hidden="1">{"'도면'!$G$62:$H$63","'도면'!$G$62:$H$63"}</definedName>
    <definedName name="자재구매" localSheetId="12" hidden="1">{"'도면'!$G$62:$H$63","'도면'!$G$62:$H$63"}</definedName>
    <definedName name="자재구매" hidden="1">{"'도면'!$G$62:$H$63","'도면'!$G$62:$H$63"}</definedName>
    <definedName name="자재구매_1" localSheetId="12" hidden="1">{"'도면'!$G$62:$H$63","'도면'!$G$62:$H$63"}</definedName>
    <definedName name="자재구매_1" hidden="1">{"'도면'!$G$62:$H$63","'도면'!$G$62:$H$63"}</definedName>
    <definedName name="자재구매3" localSheetId="12" hidden="1">{"'도면'!$G$62:$H$63","'도면'!$G$62:$H$63"}</definedName>
    <definedName name="자재구매3" hidden="1">{"'도면'!$G$62:$H$63","'도면'!$G$62:$H$63"}</definedName>
    <definedName name="자재구매3_1" localSheetId="12" hidden="1">{"'도면'!$G$62:$H$63","'도면'!$G$62:$H$63"}</definedName>
    <definedName name="자재구매3_1" hidden="1">{"'도면'!$G$62:$H$63","'도면'!$G$62:$H$63"}</definedName>
    <definedName name="자재총괄" localSheetId="12" hidden="1">{#N/A,#N/A,FALSE,"혼합골재"}</definedName>
    <definedName name="자재총괄" localSheetId="4" hidden="1">{#N/A,#N/A,FALSE,"혼합골재"}</definedName>
    <definedName name="자재총괄" hidden="1">{#N/A,#N/A,FALSE,"혼합골재"}</definedName>
    <definedName name="잡자재비" localSheetId="12">'[59]노무비(전기)뽑지마세요'!$C$48</definedName>
    <definedName name="잡자재비">'[60]노무비(전기)뽑지마세요'!$C$48</definedName>
    <definedName name="장" localSheetId="12" hidden="1">{"'도면'!$G$62:$H$63","'도면'!$G$62:$H$63"}</definedName>
    <definedName name="장" hidden="1">{"'도면'!$G$62:$H$63","'도면'!$G$62:$H$63"}</definedName>
    <definedName name="장_1" localSheetId="12" hidden="1">{"'도면'!$G$62:$H$63","'도면'!$G$62:$H$63"}</definedName>
    <definedName name="장_1" hidden="1">{"'도면'!$G$62:$H$63","'도면'!$G$62:$H$63"}</definedName>
    <definedName name="장나진" localSheetId="12" hidden="1">{"'7'!$B$15:$D$32"}</definedName>
    <definedName name="장나진" hidden="1">{"'7'!$B$15:$D$32"}</definedName>
    <definedName name="장비1" localSheetId="12">'[103](2)전력사용량-(작업구 #01 ~ #11)'!$H$53</definedName>
    <definedName name="장비1">'[104](2)전력사용량-(작업구 #01 ~ #11)'!$H$53</definedName>
    <definedName name="장비2" localSheetId="12">#REF!</definedName>
    <definedName name="장비2">#REF!</definedName>
    <definedName name="재경비근거" localSheetId="12" hidden="1">{"'신흥취수펌프 검토'!$M$2","'신흥취수펌프 검토'!$A$1:$AE$87"}</definedName>
    <definedName name="재경비근거" hidden="1">{"'신흥취수펌프 검토'!$M$2","'신흥취수펌프 검토'!$A$1:$AE$87"}</definedName>
    <definedName name="재경비근거_1" localSheetId="12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localSheetId="12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localSheetId="12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 localSheetId="12">'[57]인건비 '!$B$6</definedName>
    <definedName name="저케">'[58]인건비 '!$B$6</definedName>
    <definedName name="전기기사1급">64800</definedName>
    <definedName name="전기기사2급">62990</definedName>
    <definedName name="전선관부속품비" localSheetId="12">'[59]노무비(전기)뽑지마세요'!$C$47</definedName>
    <definedName name="전선관부속품비">'[60]노무비(전기)뽑지마세요'!$C$47</definedName>
    <definedName name="전압25층" localSheetId="12">장비견적서!전압25층</definedName>
    <definedName name="전압25층">[0]!전압25층</definedName>
    <definedName name="점멸기입력" localSheetId="12">장비견적서!점멸기입력</definedName>
    <definedName name="점멸기입력">[0]!점멸기입력</definedName>
    <definedName name="점멸기입력가로등" localSheetId="12">장비견적서!점멸기입력가로등</definedName>
    <definedName name="점멸기입력가로등">[0]!점멸기입력가로등</definedName>
    <definedName name="정보통신" localSheetId="12" hidden="1">{"'Firr(선)'!$AS$1:$AY$62","'Firr(사)'!$AS$1:$AY$62","'Firr(회)'!$AS$1:$AY$62","'Firr(선)'!$L$1:$V$62","'Firr(사)'!$L$1:$V$62","'Firr(회)'!$L$1:$V$62"}</definedName>
    <definedName name="정보통신" hidden="1">{"'Firr(선)'!$AS$1:$AY$62","'Firr(사)'!$AS$1:$AY$62","'Firr(회)'!$AS$1:$AY$62","'Firr(선)'!$L$1:$V$62","'Firr(사)'!$L$1:$V$62","'Firr(회)'!$L$1:$V$62"}</definedName>
    <definedName name="제경비" localSheetId="12">[105]산식3!$G$2</definedName>
    <definedName name="제경비">[106]산식3!$G$2</definedName>
    <definedName name="제조원가율">"database+전체!$A$4:$W$825"</definedName>
    <definedName name="조" localSheetId="12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명율표" localSheetId="12">[107]조명율표!$B$4:$F$495</definedName>
    <definedName name="조명율표">[108]조명율표!$B$4:$F$495</definedName>
    <definedName name="조효" localSheetId="12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_1" localSheetId="12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localSheetId="12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localSheetId="12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12" hidden="1">{#N/A,#N/A,FALSE,"운반시간"}</definedName>
    <definedName name="주간" localSheetId="4" hidden="1">{#N/A,#N/A,FALSE,"운반시간"}</definedName>
    <definedName name="주간" hidden="1">{#N/A,#N/A,FALSE,"운반시간"}</definedName>
    <definedName name="지입수량">[102]일위대가!$M:$M</definedName>
    <definedName name="진짜중기단가표" localSheetId="12" hidden="1">{"'도면'!$G$62:$H$63","'도면'!$G$62:$H$63"}</definedName>
    <definedName name="진짜중기단가표" hidden="1">{"'도면'!$G$62:$H$63","'도면'!$G$62:$H$63"}</definedName>
    <definedName name="진짜중기단가표_1" localSheetId="12" hidden="1">{"'도면'!$G$62:$H$63","'도면'!$G$62:$H$63"}</definedName>
    <definedName name="진짜중기단가표_1" hidden="1">{"'도면'!$G$62:$H$63","'도면'!$G$62:$H$63"}</definedName>
    <definedName name="ㅊ퓿ㅍ" localSheetId="12" hidden="1">{#N/A,#N/A,FALSE,"혼합골재"}</definedName>
    <definedName name="ㅊ퓿ㅍ" localSheetId="4" hidden="1">{#N/A,#N/A,FALSE,"혼합골재"}</definedName>
    <definedName name="ㅊ퓿ㅍ" hidden="1">{#N/A,#N/A,FALSE,"혼합골재"}</definedName>
    <definedName name="차이내역_2" localSheetId="12" hidden="1">{"'7'!$B$15:$D$32"}</definedName>
    <definedName name="차이내역_2" hidden="1">{"'7'!$B$15:$D$32"}</definedName>
    <definedName name="착암공" localSheetId="12">'[61]기계경비(시간당)'!$D$12</definedName>
    <definedName name="착암공">'[62]기계경비(시간당)'!$D$12</definedName>
    <definedName name="참고2" localSheetId="12" hidden="1">{"'도면'!$G$62:$H$63","'도면'!$G$62:$H$63"}</definedName>
    <definedName name="참고2" hidden="1">{"'도면'!$G$62:$H$63","'도면'!$G$62:$H$63"}</definedName>
    <definedName name="참고2_1" localSheetId="12" hidden="1">{"'도면'!$G$62:$H$63","'도면'!$G$62:$H$63"}</definedName>
    <definedName name="참고2_1" hidden="1">{"'도면'!$G$62:$H$63","'도면'!$G$62:$H$63"}</definedName>
    <definedName name="총_1" localSheetId="12" hidden="1">{"'도면'!$G$62:$H$63","'도면'!$G$62:$H$63"}</definedName>
    <definedName name="총_1" hidden="1">{"'도면'!$G$62:$H$63","'도면'!$G$62:$H$63"}</definedName>
    <definedName name="총공" localSheetId="12" hidden="1">{#N/A,#N/A,FALSE,"운반시간"}</definedName>
    <definedName name="총공" localSheetId="4" hidden="1">{#N/A,#N/A,FALSE,"운반시간"}</definedName>
    <definedName name="총공" hidden="1">{#N/A,#N/A,FALSE,"운반시간"}</definedName>
    <definedName name="총괄집계표" localSheetId="12" hidden="1">{"'도면'!$G$62:$H$63","'도면'!$G$62:$H$63"}</definedName>
    <definedName name="총괄집계표" hidden="1">{"'도면'!$G$62:$H$63","'도면'!$G$62:$H$63"}</definedName>
    <definedName name="총괄집계표_1" localSheetId="12" hidden="1">{"'도면'!$G$62:$H$63","'도면'!$G$62:$H$63"}</definedName>
    <definedName name="총괄집계표_1" hidden="1">{"'도면'!$G$62:$H$63","'도면'!$G$62:$H$63"}</definedName>
    <definedName name="측량고급기술자" localSheetId="12">'[95]1.인건비'!$C$15</definedName>
    <definedName name="측량고급기술자">'[96]1.인건비'!$C$15</definedName>
    <definedName name="측량중급기술자" localSheetId="12">'[95]1.인건비'!$C$16</definedName>
    <definedName name="측량중급기술자">'[96]1.인건비'!$C$16</definedName>
    <definedName name="측량초급기술자" localSheetId="12">'[95]1.인건비'!$C$17</definedName>
    <definedName name="측량초급기술자">'[96]1.인건비'!$C$17</definedName>
    <definedName name="ㅋㅇㅁㅇ" localSheetId="12" hidden="1">{"'공사부문'!$A$6:$A$32"}</definedName>
    <definedName name="ㅋㅇㅁㅇ" localSheetId="4" hidden="1">{"'공사부문'!$A$6:$A$32"}</definedName>
    <definedName name="ㅋㅇㅁㅇ" hidden="1">{"'공사부문'!$A$6:$A$32"}</definedName>
    <definedName name="ㅋㅋ" localSheetId="12" hidden="1">{#N/A,#N/A,FALSE,"조골재"}</definedName>
    <definedName name="ㅋㅋ" localSheetId="4" hidden="1">{"'7'!$B$15:$D$32"}</definedName>
    <definedName name="ㅋㅋ" hidden="1">{#N/A,#N/A,FALSE,"조골재"}</definedName>
    <definedName name="ㅋㅋㅋㅋ" localSheetId="12" hidden="1">{"'도면'!$G$62:$H$63","'도면'!$G$62:$H$63"}</definedName>
    <definedName name="ㅋㅋㅋㅋ" hidden="1">{"'도면'!$G$62:$H$63","'도면'!$G$62:$H$63"}</definedName>
    <definedName name="ㅋㅋㅋㅋ_1" localSheetId="12" hidden="1">{"'도면'!$G$62:$H$63","'도면'!$G$62:$H$63"}</definedName>
    <definedName name="ㅋㅋㅋㅋ_1" hidden="1">{"'도면'!$G$62:$H$63","'도면'!$G$62:$H$63"}</definedName>
    <definedName name="캇타간재" localSheetId="12">'[61]기계경비(시간당)'!$H$92</definedName>
    <definedName name="캇타간재">'[62]기계경비(시간당)'!$H$92</definedName>
    <definedName name="캇타노무" localSheetId="12">'[61]기계경비(시간당)'!$H$88</definedName>
    <definedName name="캇타노무">'[62]기계경비(시간당)'!$H$88</definedName>
    <definedName name="캇타손료" localSheetId="12">'[61]기계경비(시간당)'!$H$87</definedName>
    <definedName name="캇타손료">'[62]기계경비(시간당)'!$H$87</definedName>
    <definedName name="컨벤션" localSheetId="12" hidden="1">{"'7'!$B$15:$D$32"}</definedName>
    <definedName name="컨벤션" hidden="1">{"'7'!$B$15:$D$32"}</definedName>
    <definedName name="컴퓨터" localSheetId="12" hidden="1">{"'PC현황'!$A$1:$Z$29"}</definedName>
    <definedName name="컴퓨터" hidden="1">{"'PC현황'!$A$1:$Z$29"}</definedName>
    <definedName name="코어">'[56]샌딩 에폭시 도장'!$A$1:$L$25</definedName>
    <definedName name="코어드릴">'[56]일반문틀 설치'!$A$1:$L$25</definedName>
    <definedName name="코어천공">[56]스텐문틀설치!$A$1:$L$25</definedName>
    <definedName name="콘크리트2" localSheetId="2" hidden="1">#REF!</definedName>
    <definedName name="콘크리트2" localSheetId="3" hidden="1">#REF!</definedName>
    <definedName name="콘크리트2" localSheetId="12" hidden="1">#REF!</definedName>
    <definedName name="콘크리트2" localSheetId="4" hidden="1">#REF!</definedName>
    <definedName name="콘크리트2" hidden="1">#REF!</definedName>
    <definedName name="택" localSheetId="12">[63]단가!$C$85</definedName>
    <definedName name="택">[64]단가!$C$85</definedName>
    <definedName name="토목설계" localSheetId="12" hidden="1">{#N/A,#N/A,FALSE,"골재소요량";#N/A,#N/A,FALSE,"골재소요량"}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localSheetId="12" hidden="1">{"'도면'!$G$62:$H$63","'도면'!$G$62:$H$63"}</definedName>
    <definedName name="토목일위" hidden="1">{"'도면'!$G$62:$H$63","'도면'!$G$62:$H$63"}</definedName>
    <definedName name="토목일위_1" localSheetId="12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12" hidden="1">#REF!</definedName>
    <definedName name="파일" localSheetId="4" hidden="1">#REF!</definedName>
    <definedName name="파일" hidden="1">#REF!</definedName>
    <definedName name="페이지" localSheetId="12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페이지_1" localSheetId="12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 localSheetId="12">[63]단가!$C$79</definedName>
    <definedName name="포장절단">[64]단가!$C$79</definedName>
    <definedName name="포장파취" localSheetId="12">[63]단가!$C$81</definedName>
    <definedName name="포장파취">[64]단가!$C$81</definedName>
    <definedName name="표지" localSheetId="12" hidden="1">{"'제10장(표)'!$A$5:$L$10"}</definedName>
    <definedName name="표지" hidden="1">{"'제10장(표)'!$A$5:$L$10"}</definedName>
    <definedName name="표지11111" localSheetId="12" hidden="1">{"'신흥취수펌프 검토'!$M$2","'신흥취수펌프 검토'!$A$1:$AE$87"}</definedName>
    <definedName name="표지11111" hidden="1">{"'신흥취수펌프 검토'!$M$2","'신흥취수펌프 검토'!$A$1:$AE$87"}</definedName>
    <definedName name="표지11111_1" localSheetId="12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localSheetId="12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localSheetId="12" hidden="1">{"'신흥취수펌프 검토'!$M$2","'신흥취수펌프 검토'!$A$1:$AE$87"}</definedName>
    <definedName name="표지222_1" hidden="1">{"'신흥취수펌프 검토'!$M$2","'신흥취수펌프 검토'!$A$1:$AE$87"}</definedName>
    <definedName name="표지3" localSheetId="12" hidden="1">{"'관경확장'!$A$79:$M$98","'관경확장'!$A$54:$M$78"}</definedName>
    <definedName name="표지3" hidden="1">{"'관경확장'!$A$79:$M$98","'관경확장'!$A$54:$M$78"}</definedName>
    <definedName name="표층포설" localSheetId="12">[63]단가!$C$82</definedName>
    <definedName name="표층포설">[64]단가!$C$82</definedName>
    <definedName name="프라임" localSheetId="12">[63]단가!$C$84</definedName>
    <definedName name="프라임">[64]단가!$C$84</definedName>
    <definedName name="플로터용지2" localSheetId="12">'[95]2.재료비'!$D$44</definedName>
    <definedName name="플로터용지2">'[96]2.재료비'!$D$44</definedName>
    <definedName name="ㅎ5" localSheetId="12" hidden="1">{#N/A,#N/A,FALSE,"골재소요량";#N/A,#N/A,FALSE,"골재소요량"}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12" hidden="1">{#N/A,#N/A,FALSE,"부대1"}</definedName>
    <definedName name="ㅎㄹㅇㅀ" localSheetId="4" hidden="1">{#N/A,#N/A,FALSE,"부대1"}</definedName>
    <definedName name="ㅎㄹㅇㅀ" hidden="1">{#N/A,#N/A,FALSE,"부대1"}</definedName>
    <definedName name="ㅎ로ㅓ" localSheetId="12" hidden="1">{#N/A,#N/A,FALSE,"운반시간"}</definedName>
    <definedName name="ㅎ로ㅓ" localSheetId="4" hidden="1">{#N/A,#N/A,FALSE,"운반시간"}</definedName>
    <definedName name="ㅎ로ㅓ" hidden="1">{#N/A,#N/A,FALSE,"운반시간"}</definedName>
    <definedName name="ㅎㅇㅀㅇㅀㅇㅎ" localSheetId="12" hidden="1">{#N/A,#N/A,FALSE,"표지목차"}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12" hidden="1">{#N/A,#N/A,FALSE,"속도"}</definedName>
    <definedName name="ㅎㅇㅇㅀㅎㄹ" localSheetId="4" hidden="1">{#N/A,#N/A,FALSE,"속도"}</definedName>
    <definedName name="ㅎㅇㅇㅀㅎㄹ" hidden="1">{#N/A,#N/A,FALSE,"속도"}</definedName>
    <definedName name="ㅎㅎㅎ" localSheetId="12" hidden="1">{"'7'!$B$15:$D$32"}</definedName>
    <definedName name="ㅎㅎㅎ" hidden="1">{"'7'!$B$15:$D$32"}</definedName>
    <definedName name="호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12" hidden="1">{#N/A,#N/A,FALSE,"포장1";#N/A,#N/A,FALSE,"포장1"}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localSheetId="12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효석_1" localSheetId="12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localSheetId="12" hidden="1">{"'7'!$B$15:$D$32"}</definedName>
    <definedName name="효제" hidden="1">{"'7'!$B$15:$D$32"}</definedName>
    <definedName name="히ㅏㅓㅣㅏㅓㅚㅏ" localSheetId="12" hidden="1">{#N/A,#N/A,FALSE,"구조1"}</definedName>
    <definedName name="히ㅏㅓㅣㅏㅓㅚㅏ" localSheetId="4" hidden="1">{#N/A,#N/A,FALSE,"구조1"}</definedName>
    <definedName name="히ㅏㅓㅣㅏㅓㅚㅏ" hidden="1">{#N/A,#N/A,FALSE,"구조1"}</definedName>
    <definedName name="ㅏ" localSheetId="12" hidden="1">{"'도면'!$G$62:$H$63","'도면'!$G$62:$H$63"}</definedName>
    <definedName name="ㅏ" hidden="1">{"'도면'!$G$62:$H$63","'도면'!$G$62:$H$63"}</definedName>
    <definedName name="ㅏㅏㅏ" localSheetId="12" hidden="1">{"'7'!$B$15:$D$32"}</definedName>
    <definedName name="ㅏㅏㅏ" hidden="1">{"'7'!$B$15:$D$32"}</definedName>
    <definedName name="ㅏㅏㅏ_1" localSheetId="12" hidden="1">{"'도면'!$G$62:$H$63","'도면'!$G$62:$H$63"}</definedName>
    <definedName name="ㅏㅏㅏ_1" hidden="1">{"'도면'!$G$62:$H$63","'도면'!$G$62:$H$63"}</definedName>
    <definedName name="ㅏㅏㅏㅏ" localSheetId="12" hidden="1">{"'도면'!$G$62:$H$63","'도면'!$G$62:$H$63"}</definedName>
    <definedName name="ㅏㅏㅏㅏ" hidden="1">{"'도면'!$G$62:$H$63","'도면'!$G$62:$H$63"}</definedName>
    <definedName name="ㅏㅏㅏㅏ_1" localSheetId="12" hidden="1">{"'도면'!$G$62:$H$63","'도면'!$G$62:$H$63"}</definedName>
    <definedName name="ㅏㅏㅏㅏ_1" hidden="1">{"'도면'!$G$62:$H$63","'도면'!$G$62:$H$63"}</definedName>
    <definedName name="ㅏㅓㅣㅏㅓㅣ" localSheetId="12" hidden="1">{#N/A,#N/A,FALSE,"부대2"}</definedName>
    <definedName name="ㅏㅓㅣㅏㅓㅣ" localSheetId="4" hidden="1">{#N/A,#N/A,FALSE,"부대2"}</definedName>
    <definedName name="ㅏㅓㅣㅏㅓㅣ" hidden="1">{#N/A,#N/A,FALSE,"부대2"}</definedName>
    <definedName name="ㅐOOOO" localSheetId="12" hidden="1">{"'도면'!$G$62:$H$63","'도면'!$G$62:$H$63"}</definedName>
    <definedName name="ㅐOOOO" hidden="1">{"'도면'!$G$62:$H$63","'도면'!$G$62:$H$63"}</definedName>
    <definedName name="ㅐOOOO_1" localSheetId="12" hidden="1">{"'도면'!$G$62:$H$63","'도면'!$G$62:$H$63"}</definedName>
    <definedName name="ㅐOOOO_1" hidden="1">{"'도면'!$G$62:$H$63","'도면'!$G$62:$H$63"}</definedName>
    <definedName name="ㅑ" localSheetId="12" hidden="1">{#N/A,#N/A,FALSE,"조골재"}</definedName>
    <definedName name="ㅑ" localSheetId="4" hidden="1">{#N/A,#N/A,FALSE,"조골재"}</definedName>
    <definedName name="ㅑ" hidden="1">{#N/A,#N/A,FALSE,"조골재"}</definedName>
    <definedName name="ㅓ7" localSheetId="12" hidden="1">{#N/A,#N/A,FALSE,"단가표지"}</definedName>
    <definedName name="ㅓ7" localSheetId="4" hidden="1">{#N/A,#N/A,FALSE,"단가표지"}</definedName>
    <definedName name="ㅓ7" hidden="1">{#N/A,#N/A,FALSE,"단가표지"}</definedName>
    <definedName name="ㅓㄴㅇ러" localSheetId="12" hidden="1">{#N/A,#N/A,FALSE,"골재소요량";#N/A,#N/A,FALSE,"골재소요량"}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12" hidden="1">{#N/A,#N/A,FALSE,"혼합골재"}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12" hidden="1">{#N/A,#N/A,FALSE,"조골재"}</definedName>
    <definedName name="ㅓㅗㅅㄹ" localSheetId="4" hidden="1">{#N/A,#N/A,FALSE,"조골재"}</definedName>
    <definedName name="ㅓㅗㅅㄹ" hidden="1">{#N/A,#N/A,FALSE,"조골재"}</definedName>
    <definedName name="ㅔ" localSheetId="12" hidden="1">{"'도면'!$G$62:$H$63","'도면'!$G$62:$H$63"}</definedName>
    <definedName name="ㅔ" hidden="1">{"'도면'!$G$62:$H$63","'도면'!$G$62:$H$63"}</definedName>
    <definedName name="ㅔ_1" localSheetId="12" hidden="1">{"'도면'!$G$62:$H$63","'도면'!$G$62:$H$63"}</definedName>
    <definedName name="ㅔ_1" hidden="1">{"'도면'!$G$62:$H$63","'도면'!$G$62:$H$63"}</definedName>
    <definedName name="ㅔ3" localSheetId="12" hidden="1">{#N/A,#N/A,FALSE,"배수1"}</definedName>
    <definedName name="ㅔ3" localSheetId="4" hidden="1">{#N/A,#N/A,FALSE,"배수1"}</definedName>
    <definedName name="ㅔ3" hidden="1">{#N/A,#N/A,FALSE,"배수1"}</definedName>
    <definedName name="ㅔㅔㅔㅔㅔㅔ" localSheetId="12" hidden="1">{"'도면'!$G$62:$H$63","'도면'!$G$62:$H$63"}</definedName>
    <definedName name="ㅔㅔㅔㅔㅔㅔ" hidden="1">{"'도면'!$G$62:$H$63","'도면'!$G$62:$H$63"}</definedName>
    <definedName name="ㅔㅔㅔㅔㅔㅔ_1" localSheetId="12" hidden="1">{"'도면'!$G$62:$H$63","'도면'!$G$62:$H$63"}</definedName>
    <definedName name="ㅔㅔㅔㅔㅔㅔ_1" hidden="1">{"'도면'!$G$62:$H$63","'도면'!$G$62:$H$63"}</definedName>
    <definedName name="ㅗㄹ호" localSheetId="12" hidden="1">{#N/A,#N/A,FALSE,"운반시간"}</definedName>
    <definedName name="ㅗㄹ호" localSheetId="4" hidden="1">{#N/A,#N/A,FALSE,"운반시간"}</definedName>
    <definedName name="ㅗㄹ호" hidden="1">{#N/A,#N/A,FALSE,"운반시간"}</definedName>
    <definedName name="ㅗㅎㅅ" localSheetId="12" hidden="1">{"'공사부문'!$A$6:$A$32"}</definedName>
    <definedName name="ㅗㅎㅅ" localSheetId="4" hidden="1">{"'공사부문'!$A$6:$A$32"}</definedName>
    <definedName name="ㅗㅎㅅ" hidden="1">{"'공사부문'!$A$6:$A$32"}</definedName>
    <definedName name="ㅜ_1" localSheetId="12" hidden="1">{"'도면'!$G$62:$H$63","'도면'!$G$62:$H$63"}</definedName>
    <definedName name="ㅜ_1" hidden="1">{"'도면'!$G$62:$H$63","'도면'!$G$62:$H$63"}</definedName>
    <definedName name="ㅜㅜㅜㅜ" localSheetId="12" hidden="1">{"'도면'!$G$62:$H$63","'도면'!$G$62:$H$63"}</definedName>
    <definedName name="ㅜㅜㅜㅜ" hidden="1">{"'도면'!$G$62:$H$63","'도면'!$G$62:$H$63"}</definedName>
    <definedName name="ㅜㅜㅜㅜ_1" localSheetId="12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12" hidden="1">#REF!</definedName>
    <definedName name="ㅠ뮤ㅐ" localSheetId="4" hidden="1">#REF!</definedName>
    <definedName name="ㅠ뮤ㅐ" hidden="1">#REF!</definedName>
    <definedName name="ㅡㅁㅊ개14" localSheetId="12">[17]!Macro13</definedName>
    <definedName name="ㅡㅁㅊ개14">[17]!Macro13</definedName>
    <definedName name="ㅡㅡㅡㅡ" localSheetId="12" hidden="1">{"'7'!$B$15:$D$32"}</definedName>
    <definedName name="ㅡㅡㅡㅡ" hidden="1">{"'7'!$B$15:$D$32"}</definedName>
    <definedName name="ㅣㅎㄹㅇㅇ" localSheetId="12" hidden="1">{#N/A,#N/A,FALSE,"토공2"}</definedName>
    <definedName name="ㅣㅎㄹㅇㅇ" localSheetId="4" hidden="1">{#N/A,#N/A,FALSE,"토공2"}</definedName>
    <definedName name="ㅣㅎㄹㅇㅇ" hidden="1">{#N/A,#N/A,FALSE,"토공2"}</definedName>
    <definedName name="ㅣㅏㅓ" localSheetId="12" hidden="1">{#N/A,#N/A,FALSE,"운반시간"}</definedName>
    <definedName name="ㅣㅏㅓ" localSheetId="4" hidden="1">{#N/A,#N/A,FALSE,"운반시간"}</definedName>
    <definedName name="ㅣㅏㅓ" hidden="1">{#N/A,#N/A,FALSE,"운반시간"}</definedName>
    <definedName name="ㅣㅏㅓㅣㅏㅓㅣ" localSheetId="12" hidden="1">{#N/A,#N/A,FALSE,"속도"}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12" hidden="1">{#N/A,#N/A,FALSE,"혼합골재"}</definedName>
    <definedName name="ㅣㅑㅣㅣ" localSheetId="4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24" l="1"/>
  <c r="G103" i="24"/>
  <c r="G83" i="24"/>
  <c r="D83" i="24" s="1"/>
  <c r="G55" i="24"/>
  <c r="F182" i="23" s="1"/>
  <c r="G182" i="23" s="1"/>
  <c r="G183" i="23" s="1"/>
  <c r="G188" i="23" s="1"/>
  <c r="G19" i="22" s="1"/>
  <c r="H19" i="22" s="1"/>
  <c r="G28" i="24"/>
  <c r="F1370" i="23"/>
  <c r="G1370" i="23" s="1"/>
  <c r="G1371" i="23" s="1"/>
  <c r="G1376" i="23" s="1"/>
  <c r="G127" i="22" s="1"/>
  <c r="D104" i="24"/>
  <c r="F1062" i="23"/>
  <c r="G1062" i="23" s="1"/>
  <c r="G1063" i="23" s="1"/>
  <c r="G1068" i="23" s="1"/>
  <c r="G99" i="22" s="1"/>
  <c r="H99" i="22" s="1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4" i="24"/>
  <c r="D5" i="24"/>
  <c r="D6" i="24"/>
  <c r="D7" i="24"/>
  <c r="D8" i="24"/>
  <c r="D9" i="24"/>
  <c r="D10" i="24"/>
  <c r="D11" i="24"/>
  <c r="D12" i="24"/>
  <c r="D13" i="24"/>
  <c r="F479" i="23"/>
  <c r="G479" i="23" s="1"/>
  <c r="G480" i="23" s="1"/>
  <c r="G485" i="23" s="1"/>
  <c r="G46" i="22" s="1"/>
  <c r="F1084" i="23"/>
  <c r="G1084" i="23" s="1"/>
  <c r="G1085" i="23" s="1"/>
  <c r="G1090" i="23" s="1"/>
  <c r="G101" i="22" s="1"/>
  <c r="L186" i="17" s="1"/>
  <c r="K127" i="22"/>
  <c r="J127" i="22" s="1"/>
  <c r="K128" i="22"/>
  <c r="J128" i="22" s="1"/>
  <c r="K129" i="22"/>
  <c r="K130" i="22"/>
  <c r="K131" i="22"/>
  <c r="J131" i="22" s="1"/>
  <c r="K132" i="22"/>
  <c r="K133" i="22"/>
  <c r="K134" i="22"/>
  <c r="K135" i="22"/>
  <c r="J135" i="22" s="1"/>
  <c r="K136" i="22"/>
  <c r="J136" i="22" s="1"/>
  <c r="K137" i="22"/>
  <c r="K4" i="22"/>
  <c r="K5" i="22"/>
  <c r="K6" i="22"/>
  <c r="J6" i="22" s="1"/>
  <c r="K7" i="22"/>
  <c r="K8" i="22"/>
  <c r="J8" i="22" s="1"/>
  <c r="K9" i="22"/>
  <c r="J9" i="22" s="1"/>
  <c r="K10" i="22"/>
  <c r="K11" i="22"/>
  <c r="J11" i="22" s="1"/>
  <c r="K12" i="22"/>
  <c r="K13" i="22"/>
  <c r="J13" i="22" s="1"/>
  <c r="K14" i="22"/>
  <c r="J14" i="22" s="1"/>
  <c r="K15" i="22"/>
  <c r="J15" i="22" s="1"/>
  <c r="K16" i="22"/>
  <c r="K17" i="22"/>
  <c r="K18" i="22"/>
  <c r="K19" i="22"/>
  <c r="K20" i="22"/>
  <c r="K21" i="22"/>
  <c r="J21" i="22" s="1"/>
  <c r="K22" i="22"/>
  <c r="J22" i="22" s="1"/>
  <c r="K23" i="22"/>
  <c r="J23" i="22" s="1"/>
  <c r="K24" i="22"/>
  <c r="K25" i="22"/>
  <c r="J25" i="22" s="1"/>
  <c r="K26" i="22"/>
  <c r="J26" i="22" s="1"/>
  <c r="K27" i="22"/>
  <c r="J27" i="22" s="1"/>
  <c r="K28" i="22"/>
  <c r="K29" i="22"/>
  <c r="K30" i="22"/>
  <c r="J30" i="22" s="1"/>
  <c r="K31" i="22"/>
  <c r="K32" i="22"/>
  <c r="J32" i="22" s="1"/>
  <c r="K33" i="22"/>
  <c r="J33" i="22" s="1"/>
  <c r="K34" i="22"/>
  <c r="K35" i="22"/>
  <c r="J35" i="22" s="1"/>
  <c r="K36" i="22"/>
  <c r="K37" i="22"/>
  <c r="J37" i="22" s="1"/>
  <c r="K38" i="22"/>
  <c r="J38" i="22" s="1"/>
  <c r="K39" i="22"/>
  <c r="J39" i="22" s="1"/>
  <c r="K40" i="22"/>
  <c r="K41" i="22"/>
  <c r="K42" i="22"/>
  <c r="J42" i="22" s="1"/>
  <c r="K43" i="22"/>
  <c r="K44" i="22"/>
  <c r="J44" i="22" s="1"/>
  <c r="K45" i="22"/>
  <c r="J45" i="22" s="1"/>
  <c r="K46" i="22"/>
  <c r="K47" i="22"/>
  <c r="K48" i="22"/>
  <c r="K49" i="22"/>
  <c r="J49" i="22" s="1"/>
  <c r="K50" i="22"/>
  <c r="J50" i="22" s="1"/>
  <c r="K51" i="22"/>
  <c r="J51" i="22" s="1"/>
  <c r="K52" i="22"/>
  <c r="K53" i="22"/>
  <c r="K54" i="22"/>
  <c r="J54" i="22" s="1"/>
  <c r="K55" i="22"/>
  <c r="K56" i="22"/>
  <c r="J56" i="22" s="1"/>
  <c r="K57" i="22"/>
  <c r="J57" i="22" s="1"/>
  <c r="K58" i="22"/>
  <c r="K59" i="22"/>
  <c r="J59" i="22" s="1"/>
  <c r="K60" i="22"/>
  <c r="K61" i="22"/>
  <c r="J61" i="22" s="1"/>
  <c r="K62" i="22"/>
  <c r="J62" i="22" s="1"/>
  <c r="K63" i="22"/>
  <c r="J63" i="22" s="1"/>
  <c r="K64" i="22"/>
  <c r="K65" i="22"/>
  <c r="K66" i="22"/>
  <c r="J66" i="22" s="1"/>
  <c r="K67" i="22"/>
  <c r="K68" i="22"/>
  <c r="J68" i="22" s="1"/>
  <c r="K69" i="22"/>
  <c r="J69" i="22" s="1"/>
  <c r="K70" i="22"/>
  <c r="J70" i="22" s="1"/>
  <c r="K71" i="22"/>
  <c r="J71" i="22" s="1"/>
  <c r="K72" i="22"/>
  <c r="K73" i="22"/>
  <c r="J73" i="22" s="1"/>
  <c r="K74" i="22"/>
  <c r="J74" i="22" s="1"/>
  <c r="K75" i="22"/>
  <c r="J75" i="22" s="1"/>
  <c r="K76" i="22"/>
  <c r="K77" i="22"/>
  <c r="K78" i="22"/>
  <c r="K79" i="22"/>
  <c r="K80" i="22"/>
  <c r="J80" i="22" s="1"/>
  <c r="K81" i="22"/>
  <c r="K82" i="22"/>
  <c r="K83" i="22"/>
  <c r="J83" i="22" s="1"/>
  <c r="K84" i="22"/>
  <c r="K85" i="22"/>
  <c r="J85" i="22" s="1"/>
  <c r="K86" i="22"/>
  <c r="J86" i="22" s="1"/>
  <c r="K87" i="22"/>
  <c r="J87" i="22" s="1"/>
  <c r="K88" i="22"/>
  <c r="K89" i="22"/>
  <c r="K90" i="22"/>
  <c r="K91" i="22"/>
  <c r="K92" i="22"/>
  <c r="J92" i="22" s="1"/>
  <c r="K93" i="22"/>
  <c r="J93" i="22" s="1"/>
  <c r="K94" i="22"/>
  <c r="J94" i="22" s="1"/>
  <c r="K95" i="22"/>
  <c r="J95" i="22" s="1"/>
  <c r="K96" i="22"/>
  <c r="K97" i="22"/>
  <c r="J97" i="22" s="1"/>
  <c r="K98" i="22"/>
  <c r="J98" i="22" s="1"/>
  <c r="K99" i="22"/>
  <c r="J99" i="22" s="1"/>
  <c r="K100" i="22"/>
  <c r="K101" i="22"/>
  <c r="J101" i="22" s="1"/>
  <c r="K102" i="22"/>
  <c r="J102" i="22" s="1"/>
  <c r="K103" i="22"/>
  <c r="K104" i="22"/>
  <c r="K105" i="22"/>
  <c r="J105" i="22" s="1"/>
  <c r="K106" i="22"/>
  <c r="K107" i="22"/>
  <c r="K108" i="22"/>
  <c r="K109" i="22"/>
  <c r="J109" i="22" s="1"/>
  <c r="K110" i="22"/>
  <c r="J110" i="22" s="1"/>
  <c r="K111" i="22"/>
  <c r="J111" i="22" s="1"/>
  <c r="K112" i="22"/>
  <c r="K113" i="22"/>
  <c r="K114" i="22"/>
  <c r="K115" i="22"/>
  <c r="K116" i="22"/>
  <c r="K117" i="22"/>
  <c r="J117" i="22" s="1"/>
  <c r="K118" i="22"/>
  <c r="K119" i="22"/>
  <c r="J119" i="22" s="1"/>
  <c r="K120" i="22"/>
  <c r="K121" i="22"/>
  <c r="J121" i="22" s="1"/>
  <c r="K122" i="22"/>
  <c r="J122" i="22" s="1"/>
  <c r="K123" i="22"/>
  <c r="J123" i="22" s="1"/>
  <c r="K124" i="22"/>
  <c r="K125" i="22"/>
  <c r="K126" i="22"/>
  <c r="J126" i="22" s="1"/>
  <c r="J46" i="22"/>
  <c r="J58" i="22"/>
  <c r="J82" i="22"/>
  <c r="K3" i="22"/>
  <c r="J19" i="22"/>
  <c r="I181" i="23"/>
  <c r="I478" i="23"/>
  <c r="F1480" i="23"/>
  <c r="G1480" i="23" s="1"/>
  <c r="G1481" i="23" s="1"/>
  <c r="G1486" i="23" s="1"/>
  <c r="G137" i="22" s="1"/>
  <c r="H137" i="22" s="1"/>
  <c r="F1469" i="23"/>
  <c r="G1469" i="23" s="1"/>
  <c r="G1470" i="23" s="1"/>
  <c r="G1475" i="23" s="1"/>
  <c r="G136" i="22" s="1"/>
  <c r="H136" i="22" s="1"/>
  <c r="F1458" i="23"/>
  <c r="G1458" i="23" s="1"/>
  <c r="G1459" i="23" s="1"/>
  <c r="G1464" i="23" s="1"/>
  <c r="G135" i="22" s="1"/>
  <c r="H135" i="22" s="1"/>
  <c r="F1447" i="23"/>
  <c r="G1447" i="23" s="1"/>
  <c r="G1448" i="23" s="1"/>
  <c r="G1453" i="23" s="1"/>
  <c r="G134" i="22" s="1"/>
  <c r="H134" i="22" s="1"/>
  <c r="F1436" i="23"/>
  <c r="G1436" i="23" s="1"/>
  <c r="G1437" i="23" s="1"/>
  <c r="G1442" i="23" s="1"/>
  <c r="G133" i="22" s="1"/>
  <c r="H133" i="22" s="1"/>
  <c r="F1425" i="23"/>
  <c r="G1425" i="23" s="1"/>
  <c r="G1426" i="23" s="1"/>
  <c r="G1431" i="23" s="1"/>
  <c r="G132" i="22" s="1"/>
  <c r="H132" i="22" s="1"/>
  <c r="F1414" i="23"/>
  <c r="G1414" i="23" s="1"/>
  <c r="G1415" i="23" s="1"/>
  <c r="G1420" i="23" s="1"/>
  <c r="G131" i="22" s="1"/>
  <c r="H131" i="22" s="1"/>
  <c r="F1403" i="23"/>
  <c r="G1403" i="23" s="1"/>
  <c r="G1404" i="23" s="1"/>
  <c r="G1409" i="23" s="1"/>
  <c r="G130" i="22" s="1"/>
  <c r="H130" i="22" s="1"/>
  <c r="F1392" i="23"/>
  <c r="G1392" i="23" s="1"/>
  <c r="G1393" i="23" s="1"/>
  <c r="G1398" i="23" s="1"/>
  <c r="G129" i="22" s="1"/>
  <c r="H129" i="22" s="1"/>
  <c r="F1381" i="23"/>
  <c r="G1381" i="23" s="1"/>
  <c r="G1382" i="23" s="1"/>
  <c r="G1387" i="23" s="1"/>
  <c r="G128" i="22" s="1"/>
  <c r="H128" i="22" s="1"/>
  <c r="F1359" i="23"/>
  <c r="G1359" i="23" s="1"/>
  <c r="G1360" i="23" s="1"/>
  <c r="G1365" i="23" s="1"/>
  <c r="G126" i="22" s="1"/>
  <c r="H126" i="22" s="1"/>
  <c r="F1348" i="23"/>
  <c r="G1348" i="23" s="1"/>
  <c r="G1349" i="23" s="1"/>
  <c r="G1354" i="23" s="1"/>
  <c r="G125" i="22" s="1"/>
  <c r="H125" i="22" s="1"/>
  <c r="F1337" i="23"/>
  <c r="G1337" i="23" s="1"/>
  <c r="G1338" i="23" s="1"/>
  <c r="G1343" i="23" s="1"/>
  <c r="G124" i="22" s="1"/>
  <c r="H124" i="22" s="1"/>
  <c r="F1326" i="23"/>
  <c r="G1326" i="23" s="1"/>
  <c r="G1327" i="23" s="1"/>
  <c r="G1332" i="23" s="1"/>
  <c r="G123" i="22" s="1"/>
  <c r="H123" i="22" s="1"/>
  <c r="F1315" i="23"/>
  <c r="G1315" i="23" s="1"/>
  <c r="G1316" i="23" s="1"/>
  <c r="G1321" i="23" s="1"/>
  <c r="G122" i="22" s="1"/>
  <c r="H122" i="22" s="1"/>
  <c r="F1304" i="23"/>
  <c r="G1304" i="23" s="1"/>
  <c r="G1305" i="23" s="1"/>
  <c r="G1310" i="23" s="1"/>
  <c r="G121" i="22" s="1"/>
  <c r="H121" i="22" s="1"/>
  <c r="F1293" i="23"/>
  <c r="G1293" i="23" s="1"/>
  <c r="G1294" i="23" s="1"/>
  <c r="G1299" i="23" s="1"/>
  <c r="G120" i="22" s="1"/>
  <c r="H120" i="22" s="1"/>
  <c r="F1282" i="23"/>
  <c r="G1282" i="23" s="1"/>
  <c r="G1283" i="23" s="1"/>
  <c r="G1288" i="23" s="1"/>
  <c r="G119" i="22" s="1"/>
  <c r="H119" i="22" s="1"/>
  <c r="F1271" i="23"/>
  <c r="G1271" i="23" s="1"/>
  <c r="G1272" i="23" s="1"/>
  <c r="G1277" i="23" s="1"/>
  <c r="G118" i="22" s="1"/>
  <c r="H118" i="22" s="1"/>
  <c r="F1260" i="23"/>
  <c r="G1260" i="23" s="1"/>
  <c r="G1261" i="23" s="1"/>
  <c r="G1266" i="23" s="1"/>
  <c r="G117" i="22" s="1"/>
  <c r="H117" i="22" s="1"/>
  <c r="F1249" i="23"/>
  <c r="G1249" i="23" s="1"/>
  <c r="G1250" i="23" s="1"/>
  <c r="G1255" i="23" s="1"/>
  <c r="G116" i="22" s="1"/>
  <c r="H116" i="22" s="1"/>
  <c r="F1238" i="23"/>
  <c r="G1238" i="23" s="1"/>
  <c r="G1239" i="23" s="1"/>
  <c r="G1244" i="23" s="1"/>
  <c r="G115" i="22" s="1"/>
  <c r="H115" i="22" s="1"/>
  <c r="F1227" i="23"/>
  <c r="G1227" i="23" s="1"/>
  <c r="G1228" i="23" s="1"/>
  <c r="G1233" i="23" s="1"/>
  <c r="G114" i="22" s="1"/>
  <c r="H114" i="22" s="1"/>
  <c r="F1216" i="23"/>
  <c r="G1216" i="23" s="1"/>
  <c r="G1217" i="23" s="1"/>
  <c r="G1222" i="23" s="1"/>
  <c r="G113" i="22" s="1"/>
  <c r="H113" i="22" s="1"/>
  <c r="F1205" i="23"/>
  <c r="G1205" i="23" s="1"/>
  <c r="G1206" i="23" s="1"/>
  <c r="G1211" i="23" s="1"/>
  <c r="G112" i="22" s="1"/>
  <c r="H112" i="22" s="1"/>
  <c r="F1194" i="23"/>
  <c r="G1194" i="23" s="1"/>
  <c r="G1195" i="23" s="1"/>
  <c r="G1200" i="23" s="1"/>
  <c r="G111" i="22" s="1"/>
  <c r="H111" i="22" s="1"/>
  <c r="F1183" i="23"/>
  <c r="G1183" i="23" s="1"/>
  <c r="G1184" i="23" s="1"/>
  <c r="G1189" i="23" s="1"/>
  <c r="G110" i="22" s="1"/>
  <c r="H110" i="22" s="1"/>
  <c r="F1172" i="23"/>
  <c r="G1172" i="23" s="1"/>
  <c r="G1173" i="23" s="1"/>
  <c r="G1178" i="23" s="1"/>
  <c r="G109" i="22" s="1"/>
  <c r="H109" i="22" s="1"/>
  <c r="F1161" i="23"/>
  <c r="G1161" i="23" s="1"/>
  <c r="G1162" i="23" s="1"/>
  <c r="G1167" i="23" s="1"/>
  <c r="G108" i="22" s="1"/>
  <c r="H108" i="22" s="1"/>
  <c r="F1150" i="23"/>
  <c r="G1150" i="23" s="1"/>
  <c r="G1151" i="23" s="1"/>
  <c r="G1156" i="23" s="1"/>
  <c r="G107" i="22" s="1"/>
  <c r="H107" i="22" s="1"/>
  <c r="F1139" i="23"/>
  <c r="G1139" i="23" s="1"/>
  <c r="G1140" i="23" s="1"/>
  <c r="G1145" i="23" s="1"/>
  <c r="G106" i="22" s="1"/>
  <c r="H106" i="22" s="1"/>
  <c r="F1128" i="23"/>
  <c r="G1128" i="23" s="1"/>
  <c r="G1129" i="23" s="1"/>
  <c r="G1134" i="23" s="1"/>
  <c r="G105" i="22" s="1"/>
  <c r="H105" i="22" s="1"/>
  <c r="F1117" i="23"/>
  <c r="G1117" i="23" s="1"/>
  <c r="G1118" i="23" s="1"/>
  <c r="G1123" i="23" s="1"/>
  <c r="G104" i="22" s="1"/>
  <c r="H104" i="22" s="1"/>
  <c r="F1106" i="23"/>
  <c r="G1106" i="23" s="1"/>
  <c r="G1107" i="23" s="1"/>
  <c r="G1112" i="23" s="1"/>
  <c r="G103" i="22" s="1"/>
  <c r="H103" i="22" s="1"/>
  <c r="F1095" i="23"/>
  <c r="G1095" i="23" s="1"/>
  <c r="G1096" i="23" s="1"/>
  <c r="G1101" i="23" s="1"/>
  <c r="G102" i="22" s="1"/>
  <c r="H102" i="22" s="1"/>
  <c r="F1073" i="23"/>
  <c r="G1073" i="23" s="1"/>
  <c r="G1074" i="23" s="1"/>
  <c r="G1079" i="23" s="1"/>
  <c r="G100" i="22" s="1"/>
  <c r="H100" i="22" s="1"/>
  <c r="F1051" i="23"/>
  <c r="G1051" i="23" s="1"/>
  <c r="G1052" i="23" s="1"/>
  <c r="G1057" i="23" s="1"/>
  <c r="G98" i="22" s="1"/>
  <c r="H98" i="22" s="1"/>
  <c r="F1029" i="23"/>
  <c r="G1029" i="23" s="1"/>
  <c r="G1030" i="23" s="1"/>
  <c r="G1035" i="23" s="1"/>
  <c r="G96" i="22" s="1"/>
  <c r="H96" i="22" s="1"/>
  <c r="F1018" i="23"/>
  <c r="F1007" i="23"/>
  <c r="G1007" i="23" s="1"/>
  <c r="G1008" i="23" s="1"/>
  <c r="G1013" i="23" s="1"/>
  <c r="G94" i="22" s="1"/>
  <c r="H94" i="22" s="1"/>
  <c r="F996" i="23"/>
  <c r="G996" i="23" s="1"/>
  <c r="G997" i="23" s="1"/>
  <c r="G1002" i="23" s="1"/>
  <c r="G93" i="22" s="1"/>
  <c r="H93" i="22" s="1"/>
  <c r="F985" i="23"/>
  <c r="G985" i="23" s="1"/>
  <c r="G986" i="23" s="1"/>
  <c r="G991" i="23" s="1"/>
  <c r="G92" i="22" s="1"/>
  <c r="H92" i="22" s="1"/>
  <c r="F974" i="23"/>
  <c r="G974" i="23" s="1"/>
  <c r="G975" i="23" s="1"/>
  <c r="G980" i="23" s="1"/>
  <c r="G91" i="22" s="1"/>
  <c r="H91" i="22" s="1"/>
  <c r="F963" i="23"/>
  <c r="G963" i="23" s="1"/>
  <c r="G964" i="23" s="1"/>
  <c r="G969" i="23" s="1"/>
  <c r="G90" i="22" s="1"/>
  <c r="H90" i="22" s="1"/>
  <c r="F952" i="23"/>
  <c r="G952" i="23" s="1"/>
  <c r="G953" i="23" s="1"/>
  <c r="G958" i="23" s="1"/>
  <c r="G89" i="22" s="1"/>
  <c r="H89" i="22" s="1"/>
  <c r="F941" i="23"/>
  <c r="G941" i="23" s="1"/>
  <c r="G942" i="23" s="1"/>
  <c r="G947" i="23" s="1"/>
  <c r="G88" i="22" s="1"/>
  <c r="H88" i="22" s="1"/>
  <c r="F930" i="23"/>
  <c r="G930" i="23" s="1"/>
  <c r="G931" i="23" s="1"/>
  <c r="G936" i="23" s="1"/>
  <c r="G87" i="22" s="1"/>
  <c r="H87" i="22" s="1"/>
  <c r="F919" i="23"/>
  <c r="G919" i="23" s="1"/>
  <c r="G920" i="23" s="1"/>
  <c r="G925" i="23" s="1"/>
  <c r="G86" i="22" s="1"/>
  <c r="H86" i="22" s="1"/>
  <c r="F908" i="23"/>
  <c r="G908" i="23" s="1"/>
  <c r="G909" i="23" s="1"/>
  <c r="G914" i="23" s="1"/>
  <c r="G85" i="22" s="1"/>
  <c r="H85" i="22" s="1"/>
  <c r="F897" i="23"/>
  <c r="G897" i="23" s="1"/>
  <c r="G898" i="23" s="1"/>
  <c r="G903" i="23" s="1"/>
  <c r="G84" i="22" s="1"/>
  <c r="H84" i="22" s="1"/>
  <c r="F886" i="23"/>
  <c r="G886" i="23" s="1"/>
  <c r="G887" i="23" s="1"/>
  <c r="G892" i="23" s="1"/>
  <c r="G83" i="22" s="1"/>
  <c r="H83" i="22" s="1"/>
  <c r="F875" i="23"/>
  <c r="G875" i="23" s="1"/>
  <c r="G876" i="23" s="1"/>
  <c r="G881" i="23" s="1"/>
  <c r="G82" i="22" s="1"/>
  <c r="H82" i="22" s="1"/>
  <c r="F864" i="23"/>
  <c r="G864" i="23" s="1"/>
  <c r="G865" i="23" s="1"/>
  <c r="G870" i="23" s="1"/>
  <c r="G81" i="22" s="1"/>
  <c r="H81" i="22" s="1"/>
  <c r="F853" i="23"/>
  <c r="G853" i="23" s="1"/>
  <c r="G854" i="23" s="1"/>
  <c r="G859" i="23" s="1"/>
  <c r="G80" i="22" s="1"/>
  <c r="H80" i="22" s="1"/>
  <c r="F842" i="23"/>
  <c r="G842" i="23" s="1"/>
  <c r="G843" i="23" s="1"/>
  <c r="G848" i="23" s="1"/>
  <c r="G79" i="22" s="1"/>
  <c r="H79" i="22" s="1"/>
  <c r="F831" i="23"/>
  <c r="G831" i="23" s="1"/>
  <c r="G832" i="23" s="1"/>
  <c r="G837" i="23" s="1"/>
  <c r="G78" i="22" s="1"/>
  <c r="H78" i="22" s="1"/>
  <c r="F820" i="23"/>
  <c r="G820" i="23" s="1"/>
  <c r="G821" i="23" s="1"/>
  <c r="G826" i="23" s="1"/>
  <c r="G77" i="22" s="1"/>
  <c r="H77" i="22" s="1"/>
  <c r="F809" i="23"/>
  <c r="G809" i="23" s="1"/>
  <c r="G810" i="23" s="1"/>
  <c r="G815" i="23" s="1"/>
  <c r="G76" i="22" s="1"/>
  <c r="H76" i="22" s="1"/>
  <c r="F798" i="23"/>
  <c r="G798" i="23" s="1"/>
  <c r="G799" i="23" s="1"/>
  <c r="G804" i="23" s="1"/>
  <c r="G75" i="22" s="1"/>
  <c r="H75" i="22" s="1"/>
  <c r="F765" i="23"/>
  <c r="G765" i="23" s="1"/>
  <c r="G766" i="23" s="1"/>
  <c r="G771" i="23" s="1"/>
  <c r="G72" i="22" s="1"/>
  <c r="H72" i="22" s="1"/>
  <c r="F754" i="23"/>
  <c r="G754" i="23" s="1"/>
  <c r="G755" i="23" s="1"/>
  <c r="G760" i="23" s="1"/>
  <c r="G71" i="22" s="1"/>
  <c r="H71" i="22" s="1"/>
  <c r="F743" i="23"/>
  <c r="G743" i="23" s="1"/>
  <c r="G744" i="23" s="1"/>
  <c r="G749" i="23" s="1"/>
  <c r="G70" i="22" s="1"/>
  <c r="H70" i="22" s="1"/>
  <c r="F732" i="23"/>
  <c r="G732" i="23" s="1"/>
  <c r="G733" i="23" s="1"/>
  <c r="G738" i="23" s="1"/>
  <c r="G69" i="22" s="1"/>
  <c r="H69" i="22" s="1"/>
  <c r="F721" i="23"/>
  <c r="G721" i="23" s="1"/>
  <c r="G722" i="23" s="1"/>
  <c r="G727" i="23" s="1"/>
  <c r="G68" i="22" s="1"/>
  <c r="H68" i="22" s="1"/>
  <c r="F710" i="23"/>
  <c r="G710" i="23" s="1"/>
  <c r="G711" i="23" s="1"/>
  <c r="G716" i="23" s="1"/>
  <c r="G67" i="22" s="1"/>
  <c r="H67" i="22" s="1"/>
  <c r="F699" i="23"/>
  <c r="G699" i="23" s="1"/>
  <c r="G700" i="23" s="1"/>
  <c r="G705" i="23" s="1"/>
  <c r="G66" i="22" s="1"/>
  <c r="H66" i="22" s="1"/>
  <c r="F688" i="23"/>
  <c r="G688" i="23" s="1"/>
  <c r="G689" i="23" s="1"/>
  <c r="G694" i="23" s="1"/>
  <c r="G65" i="22" s="1"/>
  <c r="H65" i="22" s="1"/>
  <c r="F677" i="23"/>
  <c r="G677" i="23" s="1"/>
  <c r="G678" i="23" s="1"/>
  <c r="G683" i="23" s="1"/>
  <c r="G64" i="22" s="1"/>
  <c r="H64" i="22" s="1"/>
  <c r="F666" i="23"/>
  <c r="G666" i="23" s="1"/>
  <c r="G667" i="23" s="1"/>
  <c r="G672" i="23" s="1"/>
  <c r="G63" i="22" s="1"/>
  <c r="H63" i="22" s="1"/>
  <c r="F655" i="23"/>
  <c r="G655" i="23" s="1"/>
  <c r="G656" i="23" s="1"/>
  <c r="G661" i="23" s="1"/>
  <c r="G62" i="22" s="1"/>
  <c r="H62" i="22" s="1"/>
  <c r="F644" i="23"/>
  <c r="G644" i="23" s="1"/>
  <c r="G645" i="23" s="1"/>
  <c r="G650" i="23" s="1"/>
  <c r="G61" i="22" s="1"/>
  <c r="H61" i="22" s="1"/>
  <c r="F633" i="23"/>
  <c r="G633" i="23" s="1"/>
  <c r="G634" i="23" s="1"/>
  <c r="G639" i="23" s="1"/>
  <c r="G60" i="22" s="1"/>
  <c r="H60" i="22" s="1"/>
  <c r="F622" i="23"/>
  <c r="G622" i="23" s="1"/>
  <c r="G623" i="23" s="1"/>
  <c r="G628" i="23" s="1"/>
  <c r="G59" i="22" s="1"/>
  <c r="H59" i="22" s="1"/>
  <c r="F611" i="23"/>
  <c r="G611" i="23" s="1"/>
  <c r="G612" i="23" s="1"/>
  <c r="G617" i="23" s="1"/>
  <c r="G58" i="22" s="1"/>
  <c r="H58" i="22" s="1"/>
  <c r="F600" i="23"/>
  <c r="G600" i="23" s="1"/>
  <c r="G601" i="23" s="1"/>
  <c r="G606" i="23" s="1"/>
  <c r="G57" i="22" s="1"/>
  <c r="H57" i="22" s="1"/>
  <c r="F589" i="23"/>
  <c r="G589" i="23" s="1"/>
  <c r="G590" i="23" s="1"/>
  <c r="G595" i="23" s="1"/>
  <c r="G56" i="22" s="1"/>
  <c r="H56" i="22" s="1"/>
  <c r="F578" i="23"/>
  <c r="G578" i="23" s="1"/>
  <c r="G579" i="23" s="1"/>
  <c r="G584" i="23" s="1"/>
  <c r="G55" i="22" s="1"/>
  <c r="H55" i="22" s="1"/>
  <c r="F567" i="23"/>
  <c r="G567" i="23" s="1"/>
  <c r="G568" i="23" s="1"/>
  <c r="G573" i="23" s="1"/>
  <c r="G54" i="22" s="1"/>
  <c r="H54" i="22" s="1"/>
  <c r="F556" i="23"/>
  <c r="G556" i="23" s="1"/>
  <c r="G557" i="23" s="1"/>
  <c r="G562" i="23" s="1"/>
  <c r="G53" i="22" s="1"/>
  <c r="H53" i="22" s="1"/>
  <c r="F545" i="23"/>
  <c r="G545" i="23" s="1"/>
  <c r="G546" i="23" s="1"/>
  <c r="G551" i="23" s="1"/>
  <c r="G52" i="22" s="1"/>
  <c r="H52" i="22" s="1"/>
  <c r="F534" i="23"/>
  <c r="G534" i="23" s="1"/>
  <c r="G535" i="23" s="1"/>
  <c r="G540" i="23" s="1"/>
  <c r="G51" i="22" s="1"/>
  <c r="H51" i="22" s="1"/>
  <c r="F523" i="23"/>
  <c r="G523" i="23" s="1"/>
  <c r="G524" i="23" s="1"/>
  <c r="G529" i="23" s="1"/>
  <c r="G50" i="22" s="1"/>
  <c r="H50" i="22" s="1"/>
  <c r="F512" i="23"/>
  <c r="G512" i="23" s="1"/>
  <c r="G513" i="23" s="1"/>
  <c r="G518" i="23" s="1"/>
  <c r="G49" i="22" s="1"/>
  <c r="H49" i="22" s="1"/>
  <c r="F501" i="23"/>
  <c r="G501" i="23" s="1"/>
  <c r="G502" i="23" s="1"/>
  <c r="G507" i="23" s="1"/>
  <c r="G48" i="22" s="1"/>
  <c r="H48" i="22" s="1"/>
  <c r="F490" i="23"/>
  <c r="G490" i="23" s="1"/>
  <c r="G491" i="23" s="1"/>
  <c r="G496" i="23" s="1"/>
  <c r="G47" i="22" s="1"/>
  <c r="H47" i="22" s="1"/>
  <c r="F468" i="23"/>
  <c r="G468" i="23" s="1"/>
  <c r="G469" i="23" s="1"/>
  <c r="G474" i="23" s="1"/>
  <c r="G45" i="22" s="1"/>
  <c r="H45" i="22" s="1"/>
  <c r="F457" i="23"/>
  <c r="G457" i="23" s="1"/>
  <c r="G458" i="23" s="1"/>
  <c r="G463" i="23" s="1"/>
  <c r="G44" i="22" s="1"/>
  <c r="H44" i="22" s="1"/>
  <c r="F446" i="23"/>
  <c r="G446" i="23" s="1"/>
  <c r="G447" i="23" s="1"/>
  <c r="G452" i="23" s="1"/>
  <c r="G43" i="22" s="1"/>
  <c r="H43" i="22" s="1"/>
  <c r="F435" i="23"/>
  <c r="G435" i="23" s="1"/>
  <c r="G436" i="23" s="1"/>
  <c r="G441" i="23" s="1"/>
  <c r="G42" i="22" s="1"/>
  <c r="H42" i="22" s="1"/>
  <c r="F424" i="23"/>
  <c r="G424" i="23" s="1"/>
  <c r="G425" i="23" s="1"/>
  <c r="G430" i="23" s="1"/>
  <c r="G41" i="22" s="1"/>
  <c r="H41" i="22" s="1"/>
  <c r="F413" i="23"/>
  <c r="G413" i="23" s="1"/>
  <c r="G414" i="23" s="1"/>
  <c r="G419" i="23" s="1"/>
  <c r="G40" i="22" s="1"/>
  <c r="H40" i="22" s="1"/>
  <c r="F402" i="23"/>
  <c r="G402" i="23" s="1"/>
  <c r="G403" i="23" s="1"/>
  <c r="G408" i="23" s="1"/>
  <c r="G39" i="22" s="1"/>
  <c r="H39" i="22" s="1"/>
  <c r="F391" i="23"/>
  <c r="G391" i="23" s="1"/>
  <c r="G392" i="23" s="1"/>
  <c r="G397" i="23" s="1"/>
  <c r="G38" i="22" s="1"/>
  <c r="H38" i="22" s="1"/>
  <c r="F380" i="23"/>
  <c r="G380" i="23" s="1"/>
  <c r="G381" i="23" s="1"/>
  <c r="G386" i="23" s="1"/>
  <c r="G37" i="22" s="1"/>
  <c r="H37" i="22" s="1"/>
  <c r="F369" i="23"/>
  <c r="G369" i="23" s="1"/>
  <c r="G370" i="23" s="1"/>
  <c r="G375" i="23" s="1"/>
  <c r="G36" i="22" s="1"/>
  <c r="H36" i="22" s="1"/>
  <c r="F358" i="23"/>
  <c r="G358" i="23" s="1"/>
  <c r="G359" i="23" s="1"/>
  <c r="G364" i="23" s="1"/>
  <c r="G35" i="22" s="1"/>
  <c r="H35" i="22" s="1"/>
  <c r="F347" i="23"/>
  <c r="G347" i="23" s="1"/>
  <c r="G348" i="23" s="1"/>
  <c r="G353" i="23" s="1"/>
  <c r="G34" i="22" s="1"/>
  <c r="H34" i="22" s="1"/>
  <c r="F336" i="23"/>
  <c r="G336" i="23" s="1"/>
  <c r="G337" i="23" s="1"/>
  <c r="G342" i="23" s="1"/>
  <c r="G33" i="22" s="1"/>
  <c r="H33" i="22" s="1"/>
  <c r="F325" i="23"/>
  <c r="G325" i="23" s="1"/>
  <c r="G326" i="23" s="1"/>
  <c r="G331" i="23" s="1"/>
  <c r="G32" i="22" s="1"/>
  <c r="H32" i="22" s="1"/>
  <c r="F314" i="23"/>
  <c r="G314" i="23" s="1"/>
  <c r="G315" i="23" s="1"/>
  <c r="G320" i="23" s="1"/>
  <c r="G31" i="22" s="1"/>
  <c r="H31" i="22" s="1"/>
  <c r="F303" i="23"/>
  <c r="G303" i="23" s="1"/>
  <c r="G304" i="23" s="1"/>
  <c r="G309" i="23" s="1"/>
  <c r="G30" i="22" s="1"/>
  <c r="H30" i="22" s="1"/>
  <c r="F292" i="23"/>
  <c r="F281" i="23"/>
  <c r="G281" i="23" s="1"/>
  <c r="G282" i="23" s="1"/>
  <c r="G287" i="23" s="1"/>
  <c r="G28" i="22" s="1"/>
  <c r="H28" i="22" s="1"/>
  <c r="F270" i="23"/>
  <c r="G270" i="23" s="1"/>
  <c r="G271" i="23" s="1"/>
  <c r="G276" i="23" s="1"/>
  <c r="G27" i="22" s="1"/>
  <c r="H27" i="22" s="1"/>
  <c r="F259" i="23"/>
  <c r="G259" i="23" s="1"/>
  <c r="G260" i="23" s="1"/>
  <c r="G265" i="23" s="1"/>
  <c r="G26" i="22" s="1"/>
  <c r="H26" i="22" s="1"/>
  <c r="F248" i="23"/>
  <c r="G248" i="23" s="1"/>
  <c r="G249" i="23" s="1"/>
  <c r="G254" i="23" s="1"/>
  <c r="G25" i="22" s="1"/>
  <c r="H25" i="22" s="1"/>
  <c r="F237" i="23"/>
  <c r="G237" i="23" s="1"/>
  <c r="G238" i="23" s="1"/>
  <c r="G243" i="23" s="1"/>
  <c r="G24" i="22" s="1"/>
  <c r="H24" i="22" s="1"/>
  <c r="F226" i="23"/>
  <c r="G226" i="23" s="1"/>
  <c r="G227" i="23" s="1"/>
  <c r="G232" i="23" s="1"/>
  <c r="G23" i="22" s="1"/>
  <c r="H23" i="22" s="1"/>
  <c r="F215" i="23"/>
  <c r="G215" i="23" s="1"/>
  <c r="G216" i="23" s="1"/>
  <c r="G221" i="23" s="1"/>
  <c r="G22" i="22" s="1"/>
  <c r="H22" i="22" s="1"/>
  <c r="F204" i="23"/>
  <c r="G204" i="23" s="1"/>
  <c r="G205" i="23" s="1"/>
  <c r="G210" i="23" s="1"/>
  <c r="G21" i="22" s="1"/>
  <c r="H21" i="22" s="1"/>
  <c r="F193" i="23"/>
  <c r="G193" i="23" s="1"/>
  <c r="G194" i="23" s="1"/>
  <c r="G199" i="23" s="1"/>
  <c r="G20" i="22" s="1"/>
  <c r="H20" i="22" s="1"/>
  <c r="F171" i="23"/>
  <c r="G171" i="23" s="1"/>
  <c r="G172" i="23" s="1"/>
  <c r="G177" i="23" s="1"/>
  <c r="G18" i="22" s="1"/>
  <c r="H18" i="22" s="1"/>
  <c r="F160" i="23"/>
  <c r="G160" i="23" s="1"/>
  <c r="G161" i="23" s="1"/>
  <c r="G166" i="23" s="1"/>
  <c r="G17" i="22" s="1"/>
  <c r="H17" i="22" s="1"/>
  <c r="F149" i="23"/>
  <c r="F138" i="23"/>
  <c r="G138" i="23" s="1"/>
  <c r="G139" i="23" s="1"/>
  <c r="G144" i="23" s="1"/>
  <c r="G15" i="22" s="1"/>
  <c r="H15" i="22" s="1"/>
  <c r="F127" i="23"/>
  <c r="G127" i="23" s="1"/>
  <c r="G128" i="23" s="1"/>
  <c r="G133" i="23" s="1"/>
  <c r="G14" i="22" s="1"/>
  <c r="H14" i="22" s="1"/>
  <c r="F116" i="23"/>
  <c r="G116" i="23" s="1"/>
  <c r="G117" i="23" s="1"/>
  <c r="G122" i="23" s="1"/>
  <c r="G13" i="22" s="1"/>
  <c r="H13" i="22" s="1"/>
  <c r="F105" i="23"/>
  <c r="G105" i="23" s="1"/>
  <c r="G106" i="23" s="1"/>
  <c r="G111" i="23" s="1"/>
  <c r="G12" i="22" s="1"/>
  <c r="H12" i="22" s="1"/>
  <c r="F94" i="23"/>
  <c r="G94" i="23" s="1"/>
  <c r="G95" i="23" s="1"/>
  <c r="G100" i="23" s="1"/>
  <c r="G11" i="22" s="1"/>
  <c r="H11" i="22" s="1"/>
  <c r="F83" i="23"/>
  <c r="G83" i="23" s="1"/>
  <c r="G84" i="23" s="1"/>
  <c r="G89" i="23" s="1"/>
  <c r="G10" i="22" s="1"/>
  <c r="H10" i="22" s="1"/>
  <c r="F72" i="23"/>
  <c r="G72" i="23" s="1"/>
  <c r="G73" i="23" s="1"/>
  <c r="G78" i="23" s="1"/>
  <c r="G9" i="22" s="1"/>
  <c r="H9" i="22" s="1"/>
  <c r="F61" i="23"/>
  <c r="G61" i="23" s="1"/>
  <c r="G62" i="23" s="1"/>
  <c r="G67" i="23" s="1"/>
  <c r="G8" i="22" s="1"/>
  <c r="H8" i="22" s="1"/>
  <c r="F50" i="23"/>
  <c r="G50" i="23" s="1"/>
  <c r="G51" i="23" s="1"/>
  <c r="G56" i="23" s="1"/>
  <c r="G7" i="22" s="1"/>
  <c r="H7" i="22" s="1"/>
  <c r="F39" i="23"/>
  <c r="G39" i="23" s="1"/>
  <c r="G40" i="23" s="1"/>
  <c r="G45" i="23" s="1"/>
  <c r="G6" i="22" s="1"/>
  <c r="H6" i="22" s="1"/>
  <c r="F28" i="23"/>
  <c r="G28" i="23" s="1"/>
  <c r="G29" i="23" s="1"/>
  <c r="G34" i="23" s="1"/>
  <c r="G5" i="22" s="1"/>
  <c r="H5" i="22" s="1"/>
  <c r="F17" i="23"/>
  <c r="F6" i="23"/>
  <c r="G6" i="23" s="1"/>
  <c r="G7" i="23" s="1"/>
  <c r="G12" i="23" s="1"/>
  <c r="G3" i="22" s="1"/>
  <c r="H3" i="22" s="1"/>
  <c r="F776" i="23"/>
  <c r="G776" i="23" s="1"/>
  <c r="G777" i="23" s="1"/>
  <c r="G782" i="23" s="1"/>
  <c r="G73" i="22" s="1"/>
  <c r="H73" i="22" s="1"/>
  <c r="I786" i="23"/>
  <c r="F1040" i="23"/>
  <c r="G1040" i="23" s="1"/>
  <c r="G1041" i="23" s="1"/>
  <c r="G1046" i="23" s="1"/>
  <c r="G97" i="22" s="1"/>
  <c r="H97" i="22" s="1"/>
  <c r="I1369" i="23"/>
  <c r="I1083" i="23"/>
  <c r="AR32" i="20"/>
  <c r="AR31" i="20"/>
  <c r="AR30" i="20"/>
  <c r="AR29" i="20"/>
  <c r="H695" i="25"/>
  <c r="AR28" i="25"/>
  <c r="AR27" i="25"/>
  <c r="AR26" i="25"/>
  <c r="AR25" i="25"/>
  <c r="AR24" i="25"/>
  <c r="AR23" i="25"/>
  <c r="AR22" i="25"/>
  <c r="AA22" i="25"/>
  <c r="AR21" i="25"/>
  <c r="AA21" i="25"/>
  <c r="AR20" i="25"/>
  <c r="AA20" i="25"/>
  <c r="AR19" i="25"/>
  <c r="AA19" i="25"/>
  <c r="AR18" i="25"/>
  <c r="AA18" i="25"/>
  <c r="F4" i="11"/>
  <c r="F5" i="11"/>
  <c r="F6" i="11"/>
  <c r="F7" i="11"/>
  <c r="F8" i="11"/>
  <c r="F9" i="11"/>
  <c r="F10" i="11"/>
  <c r="F3" i="11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E3" i="11"/>
  <c r="D3" i="11"/>
  <c r="D3" i="24"/>
  <c r="I1479" i="23"/>
  <c r="I1468" i="23"/>
  <c r="I1457" i="23"/>
  <c r="I1446" i="23"/>
  <c r="I1435" i="23"/>
  <c r="I1424" i="23"/>
  <c r="I1413" i="23"/>
  <c r="I1402" i="23"/>
  <c r="I1391" i="23"/>
  <c r="I1380" i="23"/>
  <c r="I1358" i="23"/>
  <c r="I1347" i="23"/>
  <c r="I1336" i="23"/>
  <c r="I1325" i="23"/>
  <c r="I1314" i="23"/>
  <c r="I1303" i="23"/>
  <c r="I1292" i="23"/>
  <c r="I1281" i="23"/>
  <c r="I1270" i="23"/>
  <c r="I1259" i="23"/>
  <c r="I1248" i="23"/>
  <c r="I1237" i="23"/>
  <c r="I1226" i="23"/>
  <c r="I1215" i="23"/>
  <c r="I1204" i="23"/>
  <c r="I1193" i="23"/>
  <c r="I1182" i="23"/>
  <c r="I1171" i="23"/>
  <c r="I1160" i="23"/>
  <c r="I1149" i="23"/>
  <c r="I1138" i="23"/>
  <c r="I1127" i="23"/>
  <c r="I1116" i="23"/>
  <c r="I1105" i="23"/>
  <c r="I1094" i="23"/>
  <c r="I1072" i="23"/>
  <c r="I1061" i="23"/>
  <c r="I1050" i="23"/>
  <c r="I1039" i="23"/>
  <c r="I1028" i="23"/>
  <c r="G1018" i="23"/>
  <c r="G1019" i="23" s="1"/>
  <c r="G1024" i="23" s="1"/>
  <c r="G95" i="22" s="1"/>
  <c r="H95" i="22" s="1"/>
  <c r="I1017" i="23"/>
  <c r="I1006" i="23"/>
  <c r="I995" i="23"/>
  <c r="I984" i="23"/>
  <c r="I973" i="23"/>
  <c r="I962" i="23"/>
  <c r="I951" i="23"/>
  <c r="I940" i="23"/>
  <c r="I929" i="23"/>
  <c r="I918" i="23"/>
  <c r="I907" i="23"/>
  <c r="I896" i="23"/>
  <c r="I885" i="23"/>
  <c r="I874" i="23"/>
  <c r="I863" i="23"/>
  <c r="I852" i="23"/>
  <c r="I841" i="23"/>
  <c r="I830" i="23"/>
  <c r="I819" i="23"/>
  <c r="I808" i="23"/>
  <c r="I797" i="23"/>
  <c r="I775" i="23"/>
  <c r="I764" i="23"/>
  <c r="I753" i="23"/>
  <c r="I742" i="23"/>
  <c r="I731" i="23"/>
  <c r="I720" i="23"/>
  <c r="I709" i="23"/>
  <c r="I698" i="23"/>
  <c r="I687" i="23"/>
  <c r="I676" i="23"/>
  <c r="I665" i="23"/>
  <c r="I654" i="23"/>
  <c r="I643" i="23"/>
  <c r="I632" i="23"/>
  <c r="I621" i="23"/>
  <c r="I610" i="23"/>
  <c r="I599" i="23"/>
  <c r="I588" i="23"/>
  <c r="I577" i="23"/>
  <c r="I566" i="23"/>
  <c r="I555" i="23"/>
  <c r="I544" i="23"/>
  <c r="I533" i="23"/>
  <c r="I522" i="23"/>
  <c r="I511" i="23"/>
  <c r="I500" i="23"/>
  <c r="I489" i="23"/>
  <c r="I467" i="23"/>
  <c r="I456" i="23"/>
  <c r="I445" i="23"/>
  <c r="I434" i="23"/>
  <c r="I423" i="23"/>
  <c r="I412" i="23"/>
  <c r="I401" i="23"/>
  <c r="I390" i="23"/>
  <c r="I379" i="23"/>
  <c r="I368" i="23"/>
  <c r="I357" i="23"/>
  <c r="I346" i="23"/>
  <c r="I335" i="23"/>
  <c r="I324" i="23"/>
  <c r="I313" i="23"/>
  <c r="I302" i="23"/>
  <c r="G292" i="23"/>
  <c r="G293" i="23" s="1"/>
  <c r="G298" i="23" s="1"/>
  <c r="G29" i="22" s="1"/>
  <c r="H29" i="22" s="1"/>
  <c r="I291" i="23"/>
  <c r="I280" i="23"/>
  <c r="I269" i="23"/>
  <c r="I258" i="23"/>
  <c r="I247" i="23"/>
  <c r="I236" i="23"/>
  <c r="I225" i="23"/>
  <c r="I214" i="23"/>
  <c r="I203" i="23"/>
  <c r="I192" i="23"/>
  <c r="I170" i="23"/>
  <c r="I159" i="23"/>
  <c r="G149" i="23"/>
  <c r="G150" i="23" s="1"/>
  <c r="G155" i="23" s="1"/>
  <c r="G16" i="22" s="1"/>
  <c r="H16" i="22" s="1"/>
  <c r="I148" i="23"/>
  <c r="I137" i="23"/>
  <c r="I126" i="23"/>
  <c r="I115" i="23"/>
  <c r="I104" i="23"/>
  <c r="I93" i="23"/>
  <c r="I82" i="23"/>
  <c r="I71" i="23"/>
  <c r="I60" i="23"/>
  <c r="I49" i="23"/>
  <c r="I38" i="23"/>
  <c r="I27" i="23"/>
  <c r="G17" i="23"/>
  <c r="G18" i="23" s="1"/>
  <c r="G23" i="23" s="1"/>
  <c r="G4" i="22" s="1"/>
  <c r="H4" i="22" s="1"/>
  <c r="I16" i="23"/>
  <c r="I5" i="23"/>
  <c r="J137" i="22"/>
  <c r="J134" i="22"/>
  <c r="J133" i="22"/>
  <c r="J132" i="22"/>
  <c r="J130" i="22"/>
  <c r="J129" i="22"/>
  <c r="J125" i="22"/>
  <c r="J124" i="22"/>
  <c r="J120" i="22"/>
  <c r="J118" i="22"/>
  <c r="J116" i="22"/>
  <c r="J115" i="22"/>
  <c r="J114" i="22"/>
  <c r="J113" i="22"/>
  <c r="J112" i="22"/>
  <c r="J108" i="22"/>
  <c r="J107" i="22"/>
  <c r="J106" i="22"/>
  <c r="J104" i="22"/>
  <c r="J103" i="22"/>
  <c r="J100" i="22"/>
  <c r="J96" i="22"/>
  <c r="J91" i="22"/>
  <c r="J90" i="22"/>
  <c r="J89" i="22"/>
  <c r="J88" i="22"/>
  <c r="J84" i="22"/>
  <c r="J81" i="22"/>
  <c r="J79" i="22"/>
  <c r="J78" i="22"/>
  <c r="J77" i="22"/>
  <c r="J76" i="22"/>
  <c r="J72" i="22"/>
  <c r="J67" i="22"/>
  <c r="J65" i="22"/>
  <c r="J64" i="22"/>
  <c r="J60" i="22"/>
  <c r="J55" i="22"/>
  <c r="J53" i="22"/>
  <c r="J52" i="22"/>
  <c r="J48" i="22"/>
  <c r="J47" i="22"/>
  <c r="J43" i="22"/>
  <c r="J41" i="22"/>
  <c r="J40" i="22"/>
  <c r="J36" i="22"/>
  <c r="J34" i="22"/>
  <c r="J31" i="22"/>
  <c r="J29" i="22"/>
  <c r="J28" i="22"/>
  <c r="J24" i="22"/>
  <c r="J20" i="22"/>
  <c r="J18" i="22"/>
  <c r="J17" i="22"/>
  <c r="J16" i="22"/>
  <c r="J12" i="22"/>
  <c r="J10" i="22"/>
  <c r="J7" i="22"/>
  <c r="J5" i="22"/>
  <c r="J4" i="22"/>
  <c r="J3" i="22"/>
  <c r="D8" i="10"/>
  <c r="D7" i="10"/>
  <c r="D6" i="10"/>
  <c r="D5" i="10"/>
  <c r="F787" i="23" l="1"/>
  <c r="G787" i="23" s="1"/>
  <c r="G788" i="23" s="1"/>
  <c r="G793" i="23" s="1"/>
  <c r="G74" i="22" s="1"/>
  <c r="D103" i="24"/>
  <c r="L62" i="17"/>
  <c r="D55" i="24"/>
  <c r="D28" i="24"/>
  <c r="AA29" i="25"/>
  <c r="W14" i="25" s="1"/>
  <c r="I14" i="25" s="1"/>
  <c r="L66" i="17"/>
  <c r="L153" i="17"/>
  <c r="G8" i="11"/>
  <c r="G6" i="11"/>
  <c r="G3" i="11"/>
  <c r="G10" i="11"/>
  <c r="G9" i="11"/>
  <c r="G4" i="11"/>
  <c r="G7" i="11"/>
  <c r="G5" i="11"/>
  <c r="H74" i="22" l="1"/>
  <c r="H46" i="22"/>
  <c r="H127" i="22"/>
  <c r="L50" i="17"/>
  <c r="H101" i="22"/>
  <c r="G11" i="11"/>
  <c r="L241" i="17" s="1"/>
  <c r="L215" i="17"/>
  <c r="L140" i="17" l="1"/>
  <c r="L35" i="17"/>
  <c r="L133" i="17"/>
  <c r="L29" i="17"/>
  <c r="L57" i="17"/>
  <c r="L165" i="17"/>
  <c r="L228" i="17"/>
  <c r="L134" i="17"/>
  <c r="L97" i="17"/>
  <c r="L209" i="17"/>
  <c r="L116" i="17"/>
  <c r="L79" i="17"/>
  <c r="L197" i="17"/>
  <c r="L109" i="17"/>
  <c r="L181" i="17"/>
  <c r="G24" i="16"/>
  <c r="I24" i="16"/>
  <c r="A4" i="17"/>
  <c r="L34" i="17" l="1"/>
  <c r="L139" i="17"/>
  <c r="J206" i="17" l="1"/>
  <c r="J194" i="17"/>
  <c r="J178" i="17"/>
  <c r="J174" i="17"/>
  <c r="J162" i="17"/>
  <c r="J145" i="17"/>
  <c r="J130" i="17"/>
  <c r="J113" i="17"/>
  <c r="J232" i="17"/>
  <c r="J226" i="17"/>
  <c r="J213" i="17"/>
  <c r="J207" i="17"/>
  <c r="J195" i="17"/>
  <c r="J179" i="17"/>
  <c r="J163" i="17"/>
  <c r="J146" i="17"/>
  <c r="J131" i="17"/>
  <c r="J114" i="17"/>
  <c r="J107" i="17"/>
  <c r="J95" i="17"/>
  <c r="J77" i="17"/>
  <c r="J55" i="17"/>
  <c r="J27" i="17"/>
  <c r="J40" i="17"/>
  <c r="J14" i="17"/>
  <c r="G3" i="16" l="1"/>
  <c r="I3" i="16"/>
  <c r="G4" i="16"/>
  <c r="I4" i="16"/>
  <c r="I5" i="16"/>
  <c r="G7" i="16"/>
  <c r="I7" i="16"/>
  <c r="I10" i="16"/>
  <c r="G11" i="16"/>
  <c r="I11" i="16"/>
  <c r="G13" i="16"/>
  <c r="I13" i="16"/>
  <c r="G14" i="16"/>
  <c r="I14" i="16"/>
  <c r="G16" i="16"/>
  <c r="I16" i="16"/>
  <c r="G17" i="16"/>
  <c r="I17" i="16"/>
  <c r="I18" i="16"/>
  <c r="G20" i="16"/>
  <c r="I20" i="16"/>
  <c r="G21" i="16"/>
  <c r="I21" i="16"/>
  <c r="G28" i="16"/>
  <c r="I28" i="16"/>
  <c r="G30" i="16"/>
  <c r="I30" i="16"/>
  <c r="G31" i="16"/>
  <c r="I31" i="16"/>
  <c r="I32" i="16"/>
  <c r="G34" i="16"/>
  <c r="I34" i="16"/>
  <c r="G36" i="16"/>
  <c r="I36" i="16"/>
  <c r="G37" i="16"/>
  <c r="I37" i="16"/>
  <c r="G39" i="16"/>
  <c r="I39" i="16"/>
  <c r="I41" i="16"/>
  <c r="G42" i="16"/>
  <c r="I42" i="16"/>
  <c r="G43" i="16"/>
  <c r="I43" i="16"/>
  <c r="G44" i="16"/>
  <c r="I44" i="16"/>
  <c r="I45" i="16"/>
  <c r="H201" i="17" l="1"/>
  <c r="H169" i="17"/>
  <c r="H101" i="17"/>
  <c r="F101" i="17" s="1"/>
  <c r="G101" i="17" s="1"/>
  <c r="H83" i="17"/>
  <c r="F83" i="17" s="1"/>
  <c r="G83" i="17" s="1"/>
  <c r="F206" i="17"/>
  <c r="G206" i="17" s="1"/>
  <c r="K194" i="17"/>
  <c r="F178" i="17"/>
  <c r="G178" i="17" s="1"/>
  <c r="K174" i="17"/>
  <c r="K175" i="17" s="1"/>
  <c r="J155" i="17" s="1"/>
  <c r="G32" i="16" s="1"/>
  <c r="F162" i="17"/>
  <c r="G162" i="17" s="1"/>
  <c r="F145" i="17"/>
  <c r="G145" i="17" s="1"/>
  <c r="K130" i="17"/>
  <c r="J106" i="17"/>
  <c r="K106" i="17" s="1"/>
  <c r="J94" i="17"/>
  <c r="F94" i="17" s="1"/>
  <c r="G94" i="17" s="1"/>
  <c r="J76" i="17"/>
  <c r="K76" i="17" s="1"/>
  <c r="H141" i="17"/>
  <c r="I141" i="17" s="1"/>
  <c r="H36" i="17"/>
  <c r="F36" i="17" s="1"/>
  <c r="G36" i="17" s="1"/>
  <c r="J138" i="17"/>
  <c r="J33" i="17"/>
  <c r="F33" i="17" s="1"/>
  <c r="G33" i="17" s="1"/>
  <c r="H15" i="17"/>
  <c r="F15" i="17" s="1"/>
  <c r="G15" i="17" s="1"/>
  <c r="J249" i="17"/>
  <c r="F249" i="17" s="1"/>
  <c r="G249" i="17" s="1"/>
  <c r="G250" i="17" s="1"/>
  <c r="J233" i="17"/>
  <c r="F233" i="17" s="1"/>
  <c r="G233" i="17" s="1"/>
  <c r="J227" i="17"/>
  <c r="F227" i="17" s="1"/>
  <c r="G227" i="17" s="1"/>
  <c r="J214" i="17"/>
  <c r="F214" i="17" s="1"/>
  <c r="G214" i="17" s="1"/>
  <c r="J208" i="17"/>
  <c r="K208" i="17" s="1"/>
  <c r="J196" i="17"/>
  <c r="K196" i="17" s="1"/>
  <c r="J180" i="17"/>
  <c r="F180" i="17" s="1"/>
  <c r="G180" i="17" s="1"/>
  <c r="J164" i="17"/>
  <c r="F164" i="17" s="1"/>
  <c r="G164" i="17" s="1"/>
  <c r="J147" i="17"/>
  <c r="K147" i="17" s="1"/>
  <c r="J132" i="17"/>
  <c r="K132" i="17" s="1"/>
  <c r="J115" i="17"/>
  <c r="K115" i="17" s="1"/>
  <c r="J108" i="17"/>
  <c r="K108" i="17" s="1"/>
  <c r="J96" i="17"/>
  <c r="K96" i="17" s="1"/>
  <c r="J89" i="17"/>
  <c r="F89" i="17" s="1"/>
  <c r="G89" i="17" s="1"/>
  <c r="J78" i="17"/>
  <c r="F78" i="17" s="1"/>
  <c r="G78" i="17" s="1"/>
  <c r="J56" i="17"/>
  <c r="K56" i="17" s="1"/>
  <c r="J41" i="17"/>
  <c r="K41" i="17" s="1"/>
  <c r="J28" i="17"/>
  <c r="K28" i="17" s="1"/>
  <c r="J10" i="17"/>
  <c r="F10" i="17" s="1"/>
  <c r="G10" i="17" s="1"/>
  <c r="G11" i="17" s="1"/>
  <c r="K232" i="17"/>
  <c r="K213" i="17"/>
  <c r="K207" i="17"/>
  <c r="K195" i="17"/>
  <c r="F163" i="17"/>
  <c r="G163" i="17" s="1"/>
  <c r="K146" i="17"/>
  <c r="K131" i="17"/>
  <c r="K114" i="17"/>
  <c r="K107" i="17"/>
  <c r="F95" i="17"/>
  <c r="G95" i="17" s="1"/>
  <c r="K77" i="17"/>
  <c r="K55" i="17"/>
  <c r="K27" i="17"/>
  <c r="F40" i="17"/>
  <c r="G40" i="17" s="1"/>
  <c r="K14" i="17"/>
  <c r="J88" i="17"/>
  <c r="K88" i="17" s="1"/>
  <c r="J237" i="17"/>
  <c r="K237" i="17" s="1"/>
  <c r="K238" i="17" s="1"/>
  <c r="AR18" i="20"/>
  <c r="H23" i="17" s="1"/>
  <c r="AR19" i="20"/>
  <c r="AR20" i="20"/>
  <c r="H70" i="17" s="1"/>
  <c r="AR21" i="20"/>
  <c r="H71" i="17" s="1"/>
  <c r="AR22" i="20"/>
  <c r="H157" i="17" s="1"/>
  <c r="AR23" i="20"/>
  <c r="H189" i="17" s="1"/>
  <c r="I189" i="17" s="1"/>
  <c r="AR24" i="20"/>
  <c r="H222" i="17" s="1"/>
  <c r="AA25" i="20"/>
  <c r="AA24" i="20"/>
  <c r="AA23" i="20"/>
  <c r="AA22" i="20"/>
  <c r="AA21" i="20"/>
  <c r="AA20" i="20"/>
  <c r="AA19" i="20"/>
  <c r="AA18" i="20"/>
  <c r="M249" i="17"/>
  <c r="M250" i="17" s="1"/>
  <c r="M245" i="17"/>
  <c r="M241" i="17"/>
  <c r="M242" i="17" s="1"/>
  <c r="M237" i="17"/>
  <c r="M238" i="17" s="1"/>
  <c r="M233" i="17"/>
  <c r="M232" i="17"/>
  <c r="M227" i="17"/>
  <c r="M226" i="17"/>
  <c r="M222" i="17"/>
  <c r="M221" i="17"/>
  <c r="M220" i="17"/>
  <c r="J41" i="16" s="1"/>
  <c r="M214" i="17"/>
  <c r="M213" i="17"/>
  <c r="M208" i="17"/>
  <c r="M207" i="17"/>
  <c r="M206" i="17"/>
  <c r="M202" i="17"/>
  <c r="M201" i="17"/>
  <c r="M196" i="17"/>
  <c r="M195" i="17"/>
  <c r="M194" i="17"/>
  <c r="M190" i="17"/>
  <c r="M189" i="17"/>
  <c r="M187" i="17"/>
  <c r="J37" i="16" s="1"/>
  <c r="M186" i="17"/>
  <c r="J36" i="16" s="1"/>
  <c r="M180" i="17"/>
  <c r="M179" i="17"/>
  <c r="M178" i="17"/>
  <c r="M174" i="17"/>
  <c r="M175" i="17" s="1"/>
  <c r="M170" i="17"/>
  <c r="M169" i="17"/>
  <c r="M164" i="17"/>
  <c r="M163" i="17"/>
  <c r="M162" i="17"/>
  <c r="M158" i="17"/>
  <c r="M157" i="17"/>
  <c r="M155" i="17"/>
  <c r="J32" i="16" s="1"/>
  <c r="M154" i="17"/>
  <c r="J31" i="16" s="1"/>
  <c r="M153" i="17"/>
  <c r="J30" i="16" s="1"/>
  <c r="M148" i="17"/>
  <c r="M147" i="17"/>
  <c r="M146" i="17"/>
  <c r="M145" i="17"/>
  <c r="M141" i="17"/>
  <c r="M138" i="17"/>
  <c r="M132" i="17"/>
  <c r="M131" i="17"/>
  <c r="M130" i="17"/>
  <c r="M126" i="17"/>
  <c r="M125" i="17"/>
  <c r="M124" i="17"/>
  <c r="M123" i="17"/>
  <c r="M115" i="17"/>
  <c r="M114" i="17"/>
  <c r="M113" i="17"/>
  <c r="M108" i="17"/>
  <c r="M107" i="17"/>
  <c r="M106" i="17"/>
  <c r="M102" i="17"/>
  <c r="M101" i="17"/>
  <c r="M96" i="17"/>
  <c r="M95" i="17"/>
  <c r="M94" i="17"/>
  <c r="M90" i="17"/>
  <c r="M89" i="17"/>
  <c r="M88" i="17"/>
  <c r="M84" i="17"/>
  <c r="M83" i="17"/>
  <c r="M78" i="17"/>
  <c r="M77" i="17"/>
  <c r="M76" i="17"/>
  <c r="M72" i="17"/>
  <c r="M71" i="17"/>
  <c r="M70" i="17"/>
  <c r="M67" i="17"/>
  <c r="J21" i="16" s="1"/>
  <c r="M66" i="17"/>
  <c r="J20" i="16" s="1"/>
  <c r="M64" i="17"/>
  <c r="J18" i="16" s="1"/>
  <c r="M63" i="17"/>
  <c r="J17" i="16" s="1"/>
  <c r="M62" i="17"/>
  <c r="J16" i="16" s="1"/>
  <c r="M56" i="17"/>
  <c r="M55" i="17"/>
  <c r="M51" i="17"/>
  <c r="M50" i="17"/>
  <c r="J13" i="16" s="1"/>
  <c r="M45" i="17"/>
  <c r="M44" i="17"/>
  <c r="M43" i="17"/>
  <c r="M42" i="17"/>
  <c r="M41" i="17"/>
  <c r="M40" i="17"/>
  <c r="M36" i="17"/>
  <c r="M33" i="17"/>
  <c r="M28" i="17"/>
  <c r="M27" i="17"/>
  <c r="M23" i="17"/>
  <c r="M22" i="17"/>
  <c r="J10" i="16" s="1"/>
  <c r="M15" i="17"/>
  <c r="M14" i="17"/>
  <c r="M10" i="17"/>
  <c r="M11" i="17" s="1"/>
  <c r="M5" i="17"/>
  <c r="J5" i="16" s="1"/>
  <c r="K241" i="17"/>
  <c r="K242" i="17" s="1"/>
  <c r="K228" i="17"/>
  <c r="K226" i="17"/>
  <c r="K222" i="17"/>
  <c r="K221" i="17"/>
  <c r="K215" i="17"/>
  <c r="K209" i="17"/>
  <c r="K202" i="17"/>
  <c r="K201" i="17"/>
  <c r="K197" i="17"/>
  <c r="K190" i="17"/>
  <c r="K189" i="17"/>
  <c r="K187" i="17"/>
  <c r="H37" i="16" s="1"/>
  <c r="K186" i="17"/>
  <c r="H36" i="16" s="1"/>
  <c r="K181" i="17"/>
  <c r="K179" i="17"/>
  <c r="K170" i="17"/>
  <c r="K169" i="17"/>
  <c r="K165" i="17"/>
  <c r="K164" i="17"/>
  <c r="K163" i="17"/>
  <c r="K158" i="17"/>
  <c r="K157" i="17"/>
  <c r="K154" i="17"/>
  <c r="H31" i="16" s="1"/>
  <c r="K153" i="17"/>
  <c r="H30" i="16" s="1"/>
  <c r="K148" i="17"/>
  <c r="K145" i="17"/>
  <c r="K141" i="17"/>
  <c r="K140" i="17"/>
  <c r="K139" i="17"/>
  <c r="K138" i="17"/>
  <c r="K134" i="17"/>
  <c r="K133" i="17"/>
  <c r="K126" i="17"/>
  <c r="K125" i="17"/>
  <c r="K124" i="17"/>
  <c r="K123" i="17"/>
  <c r="K116" i="17"/>
  <c r="K113" i="17"/>
  <c r="K109" i="17"/>
  <c r="K102" i="17"/>
  <c r="K101" i="17"/>
  <c r="K97" i="17"/>
  <c r="K90" i="17"/>
  <c r="K84" i="17"/>
  <c r="K83" i="17"/>
  <c r="K79" i="17"/>
  <c r="K72" i="17"/>
  <c r="K71" i="17"/>
  <c r="K70" i="17"/>
  <c r="K67" i="17"/>
  <c r="H21" i="16" s="1"/>
  <c r="K66" i="17"/>
  <c r="H20" i="16" s="1"/>
  <c r="K63" i="17"/>
  <c r="H17" i="16" s="1"/>
  <c r="K62" i="17"/>
  <c r="H16" i="16" s="1"/>
  <c r="K57" i="17"/>
  <c r="K51" i="17"/>
  <c r="K50" i="17"/>
  <c r="H13" i="16" s="1"/>
  <c r="K45" i="17"/>
  <c r="K44" i="17"/>
  <c r="K43" i="17"/>
  <c r="K42" i="17"/>
  <c r="K40" i="17"/>
  <c r="K36" i="17"/>
  <c r="K35" i="17"/>
  <c r="K34" i="17"/>
  <c r="K29" i="17"/>
  <c r="K23" i="17"/>
  <c r="K16" i="17"/>
  <c r="K15" i="17"/>
  <c r="I249" i="17"/>
  <c r="I250" i="17" s="1"/>
  <c r="I245" i="17"/>
  <c r="I241" i="17"/>
  <c r="I242" i="17" s="1"/>
  <c r="I237" i="17"/>
  <c r="I238" i="17" s="1"/>
  <c r="I233" i="17"/>
  <c r="I232" i="17"/>
  <c r="I228" i="17"/>
  <c r="I227" i="17"/>
  <c r="I226" i="17"/>
  <c r="I220" i="17"/>
  <c r="F41" i="16" s="1"/>
  <c r="I219" i="17"/>
  <c r="F40" i="16" s="1"/>
  <c r="I215" i="17"/>
  <c r="I214" i="17"/>
  <c r="I213" i="17"/>
  <c r="I209" i="17"/>
  <c r="I208" i="17"/>
  <c r="I207" i="17"/>
  <c r="I206" i="17"/>
  <c r="I201" i="17"/>
  <c r="H202" i="17" s="1"/>
  <c r="I202" i="17" s="1"/>
  <c r="I197" i="17"/>
  <c r="I196" i="17"/>
  <c r="I195" i="17"/>
  <c r="I194" i="17"/>
  <c r="I188" i="17"/>
  <c r="F38" i="16" s="1"/>
  <c r="I186" i="17"/>
  <c r="F36" i="16" s="1"/>
  <c r="I185" i="17"/>
  <c r="F35" i="16" s="1"/>
  <c r="I181" i="17"/>
  <c r="I180" i="17"/>
  <c r="I179" i="17"/>
  <c r="I178" i="17"/>
  <c r="I174" i="17"/>
  <c r="I175" i="17" s="1"/>
  <c r="I169" i="17"/>
  <c r="H170" i="17" s="1"/>
  <c r="I170" i="17" s="1"/>
  <c r="I165" i="17"/>
  <c r="I164" i="17"/>
  <c r="I163" i="17"/>
  <c r="I162" i="17"/>
  <c r="I156" i="17"/>
  <c r="F33" i="16" s="1"/>
  <c r="I155" i="17"/>
  <c r="F32" i="16" s="1"/>
  <c r="I153" i="17"/>
  <c r="F30" i="16" s="1"/>
  <c r="I152" i="17"/>
  <c r="F29" i="16" s="1"/>
  <c r="I148" i="17"/>
  <c r="I147" i="17"/>
  <c r="I146" i="17"/>
  <c r="I145" i="17"/>
  <c r="I140" i="17"/>
  <c r="I139" i="17"/>
  <c r="I138" i="17"/>
  <c r="I134" i="17"/>
  <c r="I133" i="17"/>
  <c r="I132" i="17"/>
  <c r="I131" i="17"/>
  <c r="I130" i="17"/>
  <c r="I122" i="17"/>
  <c r="F27" i="16" s="1"/>
  <c r="I120" i="17"/>
  <c r="F25" i="16" s="1"/>
  <c r="I116" i="17"/>
  <c r="I115" i="17"/>
  <c r="I114" i="17"/>
  <c r="I113" i="17"/>
  <c r="I109" i="17"/>
  <c r="I108" i="17"/>
  <c r="I107" i="17"/>
  <c r="I106" i="17"/>
  <c r="I101" i="17"/>
  <c r="H102" i="17" s="1"/>
  <c r="F102" i="17" s="1"/>
  <c r="G102" i="17" s="1"/>
  <c r="I97" i="17"/>
  <c r="I96" i="17"/>
  <c r="I95" i="17"/>
  <c r="I94" i="17"/>
  <c r="I89" i="17"/>
  <c r="I88" i="17"/>
  <c r="I83" i="17"/>
  <c r="I79" i="17"/>
  <c r="I78" i="17"/>
  <c r="I77" i="17"/>
  <c r="I76" i="17"/>
  <c r="I69" i="17"/>
  <c r="F23" i="16" s="1"/>
  <c r="I68" i="17"/>
  <c r="F22" i="16" s="1"/>
  <c r="I66" i="17"/>
  <c r="F20" i="16" s="1"/>
  <c r="I65" i="17"/>
  <c r="F19" i="16" s="1"/>
  <c r="I62" i="17"/>
  <c r="F16" i="16" s="1"/>
  <c r="I61" i="17"/>
  <c r="F15" i="16" s="1"/>
  <c r="I57" i="17"/>
  <c r="I56" i="17"/>
  <c r="I55" i="17"/>
  <c r="I50" i="17"/>
  <c r="F13" i="16" s="1"/>
  <c r="I49" i="17"/>
  <c r="F12" i="16" s="1"/>
  <c r="I41" i="17"/>
  <c r="I40" i="17"/>
  <c r="I35" i="17"/>
  <c r="I34" i="17"/>
  <c r="I33" i="17"/>
  <c r="I29" i="17"/>
  <c r="I28" i="17"/>
  <c r="I27" i="17"/>
  <c r="I20" i="17"/>
  <c r="F8" i="16" s="1"/>
  <c r="I16" i="17"/>
  <c r="I15" i="17"/>
  <c r="I14" i="17"/>
  <c r="I10" i="17"/>
  <c r="I11" i="17" s="1"/>
  <c r="I5" i="17"/>
  <c r="F5" i="16" s="1"/>
  <c r="F241" i="17"/>
  <c r="G241" i="17" s="1"/>
  <c r="G242" i="17" s="1"/>
  <c r="F226" i="17"/>
  <c r="G226" i="17" s="1"/>
  <c r="F213" i="17"/>
  <c r="G213" i="17" s="1"/>
  <c r="F201" i="17"/>
  <c r="G201" i="17" s="1"/>
  <c r="F194" i="17"/>
  <c r="G194" i="17" s="1"/>
  <c r="F186" i="17"/>
  <c r="G186" i="17" s="1"/>
  <c r="F179" i="17"/>
  <c r="G179" i="17" s="1"/>
  <c r="F174" i="17"/>
  <c r="G174" i="17" s="1"/>
  <c r="G175" i="17" s="1"/>
  <c r="F169" i="17"/>
  <c r="G169" i="17" s="1"/>
  <c r="F153" i="17"/>
  <c r="G153" i="17" s="1"/>
  <c r="F148" i="17"/>
  <c r="G148" i="17" s="1"/>
  <c r="F138" i="17"/>
  <c r="G138" i="17" s="1"/>
  <c r="F130" i="17"/>
  <c r="G130" i="17" s="1"/>
  <c r="F114" i="17"/>
  <c r="G114" i="17" s="1"/>
  <c r="F113" i="17"/>
  <c r="G113" i="17" s="1"/>
  <c r="F107" i="17"/>
  <c r="G107" i="17" s="1"/>
  <c r="F66" i="17"/>
  <c r="G66" i="17" s="1"/>
  <c r="F62" i="17"/>
  <c r="G62" i="17" s="1"/>
  <c r="F50" i="17"/>
  <c r="G50" i="17" s="1"/>
  <c r="K214" i="17" l="1"/>
  <c r="K78" i="17"/>
  <c r="F208" i="17"/>
  <c r="G208" i="17" s="1"/>
  <c r="F196" i="17"/>
  <c r="G196" i="17" s="1"/>
  <c r="F88" i="17"/>
  <c r="G88" i="17" s="1"/>
  <c r="K180" i="17"/>
  <c r="F237" i="17"/>
  <c r="G237" i="17" s="1"/>
  <c r="G238" i="17" s="1"/>
  <c r="F108" i="17"/>
  <c r="G108" i="17" s="1"/>
  <c r="F115" i="17"/>
  <c r="G115" i="17" s="1"/>
  <c r="H158" i="17"/>
  <c r="H72" i="17"/>
  <c r="I72" i="17" s="1"/>
  <c r="H221" i="17"/>
  <c r="H51" i="17"/>
  <c r="H190" i="17"/>
  <c r="F14" i="17"/>
  <c r="G14" i="17" s="1"/>
  <c r="F132" i="17"/>
  <c r="G132" i="17" s="1"/>
  <c r="K178" i="17"/>
  <c r="F28" i="17"/>
  <c r="G28" i="17" s="1"/>
  <c r="E13" i="16"/>
  <c r="E16" i="16"/>
  <c r="F157" i="17"/>
  <c r="G157" i="17" s="1"/>
  <c r="I157" i="17"/>
  <c r="H16" i="1"/>
  <c r="I16" i="1" s="1"/>
  <c r="H42" i="16"/>
  <c r="F16" i="1"/>
  <c r="G16" i="1" s="1"/>
  <c r="F42" i="16"/>
  <c r="F56" i="17"/>
  <c r="G56" i="17" s="1"/>
  <c r="K227" i="17"/>
  <c r="K229" i="17" s="1"/>
  <c r="J219" i="17" s="1"/>
  <c r="G40" i="16" s="1"/>
  <c r="K233" i="17"/>
  <c r="K234" i="17" s="1"/>
  <c r="J220" i="17" s="1"/>
  <c r="G41" i="16" s="1"/>
  <c r="F141" i="17"/>
  <c r="G141" i="17" s="1"/>
  <c r="K10" i="17"/>
  <c r="K11" i="17" s="1"/>
  <c r="J5" i="17" s="1"/>
  <c r="G5" i="16" s="1"/>
  <c r="F207" i="17"/>
  <c r="G207" i="17" s="1"/>
  <c r="H17" i="1"/>
  <c r="H43" i="16"/>
  <c r="F17" i="1"/>
  <c r="F43" i="16"/>
  <c r="F146" i="17"/>
  <c r="G146" i="17" s="1"/>
  <c r="K89" i="17"/>
  <c r="K91" i="17" s="1"/>
  <c r="K249" i="17"/>
  <c r="K250" i="17" s="1"/>
  <c r="J245" i="17" s="1"/>
  <c r="G45" i="16" s="1"/>
  <c r="J16" i="1"/>
  <c r="K16" i="1" s="1"/>
  <c r="J42" i="16"/>
  <c r="E30" i="16"/>
  <c r="K94" i="17"/>
  <c r="K95" i="17"/>
  <c r="F27" i="17"/>
  <c r="G27" i="17" s="1"/>
  <c r="I246" i="17"/>
  <c r="F45" i="16"/>
  <c r="F76" i="17"/>
  <c r="G76" i="17" s="1"/>
  <c r="I36" i="17"/>
  <c r="I37" i="17" s="1"/>
  <c r="H21" i="17" s="1"/>
  <c r="F55" i="17"/>
  <c r="G55" i="17" s="1"/>
  <c r="J17" i="1"/>
  <c r="J43" i="16"/>
  <c r="M246" i="17"/>
  <c r="J45" i="16"/>
  <c r="K33" i="17"/>
  <c r="K37" i="17" s="1"/>
  <c r="J21" i="17" s="1"/>
  <c r="H84" i="17"/>
  <c r="F84" i="17" s="1"/>
  <c r="G84" i="17" s="1"/>
  <c r="G85" i="17" s="1"/>
  <c r="I23" i="17"/>
  <c r="F23" i="17"/>
  <c r="G23" i="17" s="1"/>
  <c r="F71" i="17"/>
  <c r="G71" i="17" s="1"/>
  <c r="I71" i="17"/>
  <c r="I70" i="17"/>
  <c r="F70" i="17"/>
  <c r="G70" i="17" s="1"/>
  <c r="I222" i="17"/>
  <c r="F222" i="17"/>
  <c r="G222" i="17" s="1"/>
  <c r="F189" i="17"/>
  <c r="G189" i="17" s="1"/>
  <c r="F202" i="17"/>
  <c r="G202" i="17" s="1"/>
  <c r="G203" i="17" s="1"/>
  <c r="F170" i="17"/>
  <c r="G170" i="17" s="1"/>
  <c r="G171" i="17" s="1"/>
  <c r="I102" i="17"/>
  <c r="I103" i="17" s="1"/>
  <c r="H67" i="17" s="1"/>
  <c r="K162" i="17"/>
  <c r="K166" i="17" s="1"/>
  <c r="J152" i="17" s="1"/>
  <c r="G29" i="16" s="1"/>
  <c r="K206" i="17"/>
  <c r="K210" i="17" s="1"/>
  <c r="J188" i="17" s="1"/>
  <c r="G38" i="16" s="1"/>
  <c r="F106" i="17"/>
  <c r="G106" i="17" s="1"/>
  <c r="F41" i="17"/>
  <c r="G41" i="17" s="1"/>
  <c r="F96" i="17"/>
  <c r="G96" i="17" s="1"/>
  <c r="F147" i="17"/>
  <c r="G147" i="17" s="1"/>
  <c r="F131" i="17"/>
  <c r="G131" i="17" s="1"/>
  <c r="F195" i="17"/>
  <c r="G195" i="17" s="1"/>
  <c r="F77" i="17"/>
  <c r="G77" i="17" s="1"/>
  <c r="F232" i="17"/>
  <c r="G232" i="17" s="1"/>
  <c r="G234" i="17" s="1"/>
  <c r="K85" i="17"/>
  <c r="K80" i="17"/>
  <c r="J61" i="17" s="1"/>
  <c r="M103" i="17"/>
  <c r="I203" i="17"/>
  <c r="H187" i="17" s="1"/>
  <c r="I187" i="17" s="1"/>
  <c r="F37" i="16" s="1"/>
  <c r="E37" i="16" s="1"/>
  <c r="K203" i="17"/>
  <c r="M85" i="17"/>
  <c r="K135" i="17"/>
  <c r="J120" i="17" s="1"/>
  <c r="I198" i="17"/>
  <c r="G103" i="17"/>
  <c r="M171" i="17"/>
  <c r="F155" i="17"/>
  <c r="G155" i="17" s="1"/>
  <c r="K155" i="17"/>
  <c r="H32" i="16" s="1"/>
  <c r="I166" i="17"/>
  <c r="K171" i="17"/>
  <c r="M203" i="17"/>
  <c r="K198" i="17"/>
  <c r="J185" i="17" s="1"/>
  <c r="G35" i="16" s="1"/>
  <c r="M46" i="17"/>
  <c r="I149" i="17"/>
  <c r="K58" i="17"/>
  <c r="J49" i="17" s="1"/>
  <c r="G12" i="16" s="1"/>
  <c r="I30" i="17"/>
  <c r="I58" i="17"/>
  <c r="I17" i="17"/>
  <c r="I98" i="17"/>
  <c r="I135" i="17"/>
  <c r="I234" i="17"/>
  <c r="K103" i="17"/>
  <c r="M91" i="17"/>
  <c r="I80" i="17"/>
  <c r="I210" i="17"/>
  <c r="I229" i="17"/>
  <c r="K30" i="17"/>
  <c r="J20" i="17" s="1"/>
  <c r="G8" i="16" s="1"/>
  <c r="K46" i="17"/>
  <c r="K110" i="17"/>
  <c r="K117" i="17"/>
  <c r="K142" i="17"/>
  <c r="J121" i="17" s="1"/>
  <c r="M149" i="17"/>
  <c r="L122" i="17" s="1"/>
  <c r="I110" i="17"/>
  <c r="I117" i="17"/>
  <c r="I142" i="17"/>
  <c r="H121" i="17" s="1"/>
  <c r="I171" i="17"/>
  <c r="H154" i="17" s="1"/>
  <c r="I182" i="17"/>
  <c r="I216" i="17"/>
  <c r="F14" i="1" s="1"/>
  <c r="K17" i="17"/>
  <c r="K149" i="17"/>
  <c r="J122" i="17" s="1"/>
  <c r="G27" i="16" s="1"/>
  <c r="K216" i="17"/>
  <c r="H14" i="1" s="1"/>
  <c r="M234" i="17"/>
  <c r="K182" i="17" l="1"/>
  <c r="J156" i="17" s="1"/>
  <c r="G33" i="16" s="1"/>
  <c r="K121" i="17"/>
  <c r="H26" i="16" s="1"/>
  <c r="G26" i="16"/>
  <c r="K120" i="17"/>
  <c r="H25" i="16" s="1"/>
  <c r="G25" i="16"/>
  <c r="M122" i="17"/>
  <c r="J27" i="16" s="1"/>
  <c r="I27" i="16"/>
  <c r="F72" i="17"/>
  <c r="G72" i="17" s="1"/>
  <c r="J22" i="17"/>
  <c r="G10" i="16" s="1"/>
  <c r="J69" i="17"/>
  <c r="G23" i="16" s="1"/>
  <c r="J68" i="17"/>
  <c r="G22" i="16" s="1"/>
  <c r="E42" i="16"/>
  <c r="K245" i="17"/>
  <c r="H45" i="16" s="1"/>
  <c r="E45" i="16" s="1"/>
  <c r="K5" i="17"/>
  <c r="H5" i="16" s="1"/>
  <c r="E5" i="16" s="1"/>
  <c r="F5" i="17"/>
  <c r="G5" i="17" s="1"/>
  <c r="K98" i="17"/>
  <c r="J65" i="17" s="1"/>
  <c r="K65" i="17" s="1"/>
  <c r="H19" i="16" s="1"/>
  <c r="G149" i="17"/>
  <c r="L16" i="1"/>
  <c r="M16" i="1" s="1"/>
  <c r="K21" i="17"/>
  <c r="H9" i="16" s="1"/>
  <c r="G9" i="16"/>
  <c r="F18" i="1"/>
  <c r="G18" i="1" s="1"/>
  <c r="F44" i="16"/>
  <c r="K61" i="17"/>
  <c r="H15" i="16" s="1"/>
  <c r="G15" i="16"/>
  <c r="F245" i="17"/>
  <c r="G245" i="17" s="1"/>
  <c r="G246" i="17" s="1"/>
  <c r="J18" i="1"/>
  <c r="K18" i="1" s="1"/>
  <c r="J44" i="16"/>
  <c r="I84" i="17"/>
  <c r="I85" i="17" s="1"/>
  <c r="H63" i="17" s="1"/>
  <c r="F63" i="17" s="1"/>
  <c r="G63" i="17" s="1"/>
  <c r="H6" i="17"/>
  <c r="I6" i="17" s="1"/>
  <c r="F6" i="16" s="1"/>
  <c r="G14" i="1"/>
  <c r="E43" i="16"/>
  <c r="F221" i="17"/>
  <c r="G221" i="17" s="1"/>
  <c r="I221" i="17"/>
  <c r="I223" i="17" s="1"/>
  <c r="F51" i="17"/>
  <c r="G51" i="17" s="1"/>
  <c r="I51" i="17"/>
  <c r="I52" i="17" s="1"/>
  <c r="F158" i="17"/>
  <c r="G158" i="17" s="1"/>
  <c r="I158" i="17"/>
  <c r="I190" i="17"/>
  <c r="I191" i="17" s="1"/>
  <c r="F190" i="17"/>
  <c r="G190" i="17" s="1"/>
  <c r="J64" i="17"/>
  <c r="H90" i="17"/>
  <c r="J6" i="17"/>
  <c r="L16" i="17"/>
  <c r="F187" i="17"/>
  <c r="G187" i="17" s="1"/>
  <c r="K122" i="17"/>
  <c r="F122" i="17"/>
  <c r="G122" i="17" s="1"/>
  <c r="K220" i="17"/>
  <c r="H41" i="16" s="1"/>
  <c r="E41" i="16" s="1"/>
  <c r="F220" i="17"/>
  <c r="G220" i="17" s="1"/>
  <c r="F67" i="17"/>
  <c r="G67" i="17" s="1"/>
  <c r="I67" i="17"/>
  <c r="F21" i="16" s="1"/>
  <c r="I154" i="17"/>
  <c r="F154" i="17"/>
  <c r="G154" i="17" s="1"/>
  <c r="I21" i="17"/>
  <c r="F9" i="16" s="1"/>
  <c r="K49" i="17"/>
  <c r="K152" i="17"/>
  <c r="H29" i="16" s="1"/>
  <c r="I121" i="17"/>
  <c r="F26" i="16" s="1"/>
  <c r="K219" i="17"/>
  <c r="H40" i="16" s="1"/>
  <c r="K188" i="17"/>
  <c r="H38" i="16" s="1"/>
  <c r="K20" i="17"/>
  <c r="K185" i="17"/>
  <c r="H35" i="16" s="1"/>
  <c r="K156" i="17" l="1"/>
  <c r="H33" i="16" s="1"/>
  <c r="K127" i="17"/>
  <c r="H27" i="16"/>
  <c r="E27" i="16" s="1"/>
  <c r="K69" i="17"/>
  <c r="H23" i="16" s="1"/>
  <c r="K22" i="17"/>
  <c r="H10" i="16" s="1"/>
  <c r="K68" i="17"/>
  <c r="H22" i="16" s="1"/>
  <c r="G19" i="16"/>
  <c r="K246" i="17"/>
  <c r="H18" i="1" s="1"/>
  <c r="I18" i="1" s="1"/>
  <c r="I63" i="17"/>
  <c r="F17" i="16" s="1"/>
  <c r="E17" i="16" s="1"/>
  <c r="F15" i="1"/>
  <c r="G15" i="1" s="1"/>
  <c r="F39" i="16"/>
  <c r="K6" i="17"/>
  <c r="K7" i="17" s="1"/>
  <c r="H7" i="1" s="1"/>
  <c r="G6" i="16"/>
  <c r="F9" i="1"/>
  <c r="G9" i="1" s="1"/>
  <c r="F11" i="16"/>
  <c r="F13" i="1"/>
  <c r="G13" i="1" s="1"/>
  <c r="F34" i="16"/>
  <c r="K52" i="17"/>
  <c r="H12" i="16"/>
  <c r="H8" i="16"/>
  <c r="I159" i="17"/>
  <c r="F31" i="16"/>
  <c r="K64" i="17"/>
  <c r="H18" i="16" s="1"/>
  <c r="G18" i="16"/>
  <c r="M133" i="17"/>
  <c r="F133" i="17"/>
  <c r="G133" i="17" s="1"/>
  <c r="F16" i="17"/>
  <c r="G16" i="17" s="1"/>
  <c r="G17" i="17" s="1"/>
  <c r="M16" i="17"/>
  <c r="M17" i="17" s="1"/>
  <c r="I90" i="17"/>
  <c r="I91" i="17" s="1"/>
  <c r="H64" i="17" s="1"/>
  <c r="F90" i="17"/>
  <c r="G90" i="17" s="1"/>
  <c r="G91" i="17" s="1"/>
  <c r="K223" i="17"/>
  <c r="K191" i="17"/>
  <c r="I7" i="17"/>
  <c r="I14" i="1"/>
  <c r="K159" i="17" l="1"/>
  <c r="H12" i="1" s="1"/>
  <c r="I12" i="1" s="1"/>
  <c r="H11" i="1"/>
  <c r="I11" i="1" s="1"/>
  <c r="H24" i="16"/>
  <c r="K24" i="17"/>
  <c r="H7" i="16" s="1"/>
  <c r="H44" i="16"/>
  <c r="E44" i="16" s="1"/>
  <c r="L18" i="1"/>
  <c r="M18" i="1" s="1"/>
  <c r="I7" i="1"/>
  <c r="H4" i="16"/>
  <c r="H13" i="1"/>
  <c r="I13" i="1" s="1"/>
  <c r="H34" i="16"/>
  <c r="H9" i="1"/>
  <c r="I9" i="1" s="1"/>
  <c r="H11" i="16"/>
  <c r="H15" i="1"/>
  <c r="I15" i="1" s="1"/>
  <c r="H39" i="16"/>
  <c r="F12" i="1"/>
  <c r="G12" i="1" s="1"/>
  <c r="F28" i="16"/>
  <c r="K73" i="17"/>
  <c r="H10" i="1" s="1"/>
  <c r="I17" i="1"/>
  <c r="H6" i="16"/>
  <c r="F7" i="1"/>
  <c r="G7" i="1" s="1"/>
  <c r="F4" i="16"/>
  <c r="L6" i="17"/>
  <c r="F64" i="17"/>
  <c r="G64" i="17" s="1"/>
  <c r="I64" i="17"/>
  <c r="G17" i="1"/>
  <c r="H28" i="16" l="1"/>
  <c r="H8" i="1"/>
  <c r="I8" i="1" s="1"/>
  <c r="M6" i="17"/>
  <c r="J6" i="16" s="1"/>
  <c r="I6" i="16"/>
  <c r="I10" i="1"/>
  <c r="H14" i="16"/>
  <c r="I73" i="17"/>
  <c r="F18" i="16"/>
  <c r="E18" i="16" s="1"/>
  <c r="F6" i="17"/>
  <c r="G6" i="17" s="1"/>
  <c r="G7" i="17" s="1"/>
  <c r="AR25" i="20"/>
  <c r="AR26" i="20"/>
  <c r="AR27" i="20"/>
  <c r="AR28" i="20"/>
  <c r="I6" i="1" l="1"/>
  <c r="U18" i="18" s="1"/>
  <c r="M7" i="17"/>
  <c r="F10" i="1"/>
  <c r="G10" i="1" s="1"/>
  <c r="F14" i="16"/>
  <c r="H124" i="17"/>
  <c r="H123" i="17"/>
  <c r="H126" i="17"/>
  <c r="H125" i="17"/>
  <c r="K17" i="1"/>
  <c r="L17" i="1"/>
  <c r="M17" i="1" s="1"/>
  <c r="J7" i="1" l="1"/>
  <c r="K7" i="1" s="1"/>
  <c r="H3" i="16"/>
  <c r="J4" i="16"/>
  <c r="E4" i="16" s="1"/>
  <c r="I126" i="17"/>
  <c r="F126" i="17"/>
  <c r="G126" i="17" s="1"/>
  <c r="F123" i="17"/>
  <c r="G123" i="17" s="1"/>
  <c r="I123" i="17"/>
  <c r="I124" i="17"/>
  <c r="F124" i="17"/>
  <c r="G124" i="17" s="1"/>
  <c r="I125" i="17"/>
  <c r="F125" i="17"/>
  <c r="G125" i="17" s="1"/>
  <c r="L7" i="1" l="1"/>
  <c r="M7" i="1" s="1"/>
  <c r="I127" i="17"/>
  <c r="F11" i="1" l="1"/>
  <c r="G11" i="1" s="1"/>
  <c r="F24" i="16"/>
  <c r="AA28" i="20" l="1"/>
  <c r="AA27" i="20"/>
  <c r="AA26" i="20"/>
  <c r="H699" i="20" l="1"/>
  <c r="AA33" i="20" l="1"/>
  <c r="W14" i="20" s="1"/>
  <c r="I14" i="20" s="1"/>
  <c r="H45" i="17" l="1"/>
  <c r="H42" i="17"/>
  <c r="H43" i="17"/>
  <c r="H44" i="17"/>
  <c r="I44" i="17" l="1"/>
  <c r="F44" i="17"/>
  <c r="G44" i="17" s="1"/>
  <c r="M134" i="17"/>
  <c r="M135" i="17" s="1"/>
  <c r="L120" i="17" s="1"/>
  <c r="I25" i="16" s="1"/>
  <c r="F134" i="17"/>
  <c r="G134" i="17" s="1"/>
  <c r="G135" i="17" s="1"/>
  <c r="M79" i="17"/>
  <c r="F79" i="17"/>
  <c r="G79" i="17" s="1"/>
  <c r="G80" i="17" s="1"/>
  <c r="F97" i="17"/>
  <c r="G97" i="17" s="1"/>
  <c r="G98" i="17" s="1"/>
  <c r="M97" i="17"/>
  <c r="M98" i="17" s="1"/>
  <c r="L65" i="17" s="1"/>
  <c r="I19" i="16" s="1"/>
  <c r="F109" i="17"/>
  <c r="G109" i="17" s="1"/>
  <c r="G110" i="17" s="1"/>
  <c r="M109" i="17"/>
  <c r="M110" i="17" s="1"/>
  <c r="F116" i="17"/>
  <c r="G116" i="17" s="1"/>
  <c r="G117" i="17" s="1"/>
  <c r="M116" i="17"/>
  <c r="M117" i="17" s="1"/>
  <c r="L69" i="17" s="1"/>
  <c r="I23" i="16" s="1"/>
  <c r="M139" i="17"/>
  <c r="F139" i="17"/>
  <c r="G139" i="17" s="1"/>
  <c r="M35" i="17"/>
  <c r="F35" i="17"/>
  <c r="G35" i="17" s="1"/>
  <c r="M165" i="17"/>
  <c r="M166" i="17" s="1"/>
  <c r="L152" i="17" s="1"/>
  <c r="I29" i="16" s="1"/>
  <c r="F165" i="17"/>
  <c r="G165" i="17" s="1"/>
  <c r="G166" i="17" s="1"/>
  <c r="M181" i="17"/>
  <c r="M182" i="17" s="1"/>
  <c r="L156" i="17" s="1"/>
  <c r="I33" i="16" s="1"/>
  <c r="F181" i="17"/>
  <c r="G181" i="17" s="1"/>
  <c r="G182" i="17" s="1"/>
  <c r="M197" i="17"/>
  <c r="M198" i="17" s="1"/>
  <c r="L185" i="17" s="1"/>
  <c r="I35" i="16" s="1"/>
  <c r="F197" i="17"/>
  <c r="G197" i="17" s="1"/>
  <c r="G198" i="17" s="1"/>
  <c r="F209" i="17"/>
  <c r="G209" i="17" s="1"/>
  <c r="G210" i="17" s="1"/>
  <c r="M209" i="17"/>
  <c r="M210" i="17" s="1"/>
  <c r="L188" i="17" s="1"/>
  <c r="I38" i="16" s="1"/>
  <c r="F215" i="17"/>
  <c r="G215" i="17" s="1"/>
  <c r="G216" i="17" s="1"/>
  <c r="M215" i="17"/>
  <c r="M216" i="17" s="1"/>
  <c r="J14" i="1" s="1"/>
  <c r="I42" i="17"/>
  <c r="F42" i="17"/>
  <c r="G42" i="17" s="1"/>
  <c r="M34" i="17"/>
  <c r="F34" i="17"/>
  <c r="G34" i="17" s="1"/>
  <c r="F228" i="17"/>
  <c r="G228" i="17" s="1"/>
  <c r="G229" i="17" s="1"/>
  <c r="M228" i="17"/>
  <c r="M229" i="17" s="1"/>
  <c r="L219" i="17" s="1"/>
  <c r="I40" i="16" s="1"/>
  <c r="M140" i="17"/>
  <c r="F140" i="17"/>
  <c r="G140" i="17" s="1"/>
  <c r="F43" i="17"/>
  <c r="G43" i="17" s="1"/>
  <c r="I43" i="17"/>
  <c r="F29" i="17"/>
  <c r="G29" i="17" s="1"/>
  <c r="G30" i="17" s="1"/>
  <c r="M29" i="17"/>
  <c r="M30" i="17" s="1"/>
  <c r="L20" i="17" s="1"/>
  <c r="I8" i="16" s="1"/>
  <c r="M57" i="17"/>
  <c r="F57" i="17"/>
  <c r="G57" i="17" s="1"/>
  <c r="G58" i="17" s="1"/>
  <c r="I45" i="17"/>
  <c r="F45" i="17"/>
  <c r="G45" i="17" s="1"/>
  <c r="L68" i="17" l="1"/>
  <c r="I22" i="16" s="1"/>
  <c r="G37" i="17"/>
  <c r="M37" i="17"/>
  <c r="L21" i="17" s="1"/>
  <c r="I9" i="16" s="1"/>
  <c r="E20" i="16"/>
  <c r="M58" i="17"/>
  <c r="L49" i="17" s="1"/>
  <c r="I12" i="16" s="1"/>
  <c r="M80" i="17"/>
  <c r="L61" i="17" s="1"/>
  <c r="I15" i="16" s="1"/>
  <c r="E31" i="16"/>
  <c r="K14" i="1"/>
  <c r="L14" i="1"/>
  <c r="M14" i="1" s="1"/>
  <c r="M188" i="17"/>
  <c r="J38" i="16" s="1"/>
  <c r="E38" i="16" s="1"/>
  <c r="F188" i="17"/>
  <c r="G188" i="17" s="1"/>
  <c r="G142" i="17"/>
  <c r="M69" i="17"/>
  <c r="J23" i="16" s="1"/>
  <c r="E23" i="16" s="1"/>
  <c r="F69" i="17"/>
  <c r="G69" i="17" s="1"/>
  <c r="M65" i="17"/>
  <c r="J19" i="16" s="1"/>
  <c r="E19" i="16" s="1"/>
  <c r="F65" i="17"/>
  <c r="G65" i="17" s="1"/>
  <c r="M185" i="17"/>
  <c r="J35" i="16" s="1"/>
  <c r="E35" i="16" s="1"/>
  <c r="F185" i="17"/>
  <c r="G185" i="17" s="1"/>
  <c r="M156" i="17"/>
  <c r="J33" i="16" s="1"/>
  <c r="E33" i="16" s="1"/>
  <c r="F156" i="17"/>
  <c r="G156" i="17" s="1"/>
  <c r="M152" i="17"/>
  <c r="J29" i="16" s="1"/>
  <c r="E29" i="16" s="1"/>
  <c r="F152" i="17"/>
  <c r="G152" i="17" s="1"/>
  <c r="M142" i="17"/>
  <c r="L121" i="17" s="1"/>
  <c r="I26" i="16" s="1"/>
  <c r="M120" i="17"/>
  <c r="J25" i="16" s="1"/>
  <c r="E25" i="16" s="1"/>
  <c r="F120" i="17"/>
  <c r="G120" i="17" s="1"/>
  <c r="M20" i="17"/>
  <c r="J8" i="16" s="1"/>
  <c r="E8" i="16" s="1"/>
  <c r="F20" i="17"/>
  <c r="G20" i="17" s="1"/>
  <c r="M219" i="17"/>
  <c r="F219" i="17"/>
  <c r="G219" i="17" s="1"/>
  <c r="G223" i="17" s="1"/>
  <c r="G46" i="17"/>
  <c r="I46" i="17"/>
  <c r="H22" i="17" s="1"/>
  <c r="E6" i="16"/>
  <c r="F49" i="17" l="1"/>
  <c r="G49" i="17" s="1"/>
  <c r="G52" i="17" s="1"/>
  <c r="F68" i="17"/>
  <c r="G68" i="17" s="1"/>
  <c r="M68" i="17"/>
  <c r="J22" i="16" s="1"/>
  <c r="E22" i="16" s="1"/>
  <c r="M21" i="17"/>
  <c r="J9" i="16" s="1"/>
  <c r="E9" i="16" s="1"/>
  <c r="F21" i="17"/>
  <c r="G21" i="17" s="1"/>
  <c r="F61" i="17"/>
  <c r="G61" i="17" s="1"/>
  <c r="M61" i="17"/>
  <c r="J15" i="16" s="1"/>
  <c r="E15" i="16" s="1"/>
  <c r="M49" i="17"/>
  <c r="M223" i="17"/>
  <c r="J40" i="16"/>
  <c r="E40" i="16" s="1"/>
  <c r="E36" i="16"/>
  <c r="E32" i="16"/>
  <c r="E21" i="16"/>
  <c r="G159" i="17"/>
  <c r="G191" i="17"/>
  <c r="F22" i="17"/>
  <c r="G22" i="17" s="1"/>
  <c r="I22" i="17"/>
  <c r="F10" i="16" s="1"/>
  <c r="E10" i="16" s="1"/>
  <c r="M121" i="17"/>
  <c r="F121" i="17"/>
  <c r="G121" i="17" s="1"/>
  <c r="G127" i="17" s="1"/>
  <c r="M159" i="17"/>
  <c r="M191" i="17"/>
  <c r="M127" i="17" l="1"/>
  <c r="J26" i="16"/>
  <c r="E26" i="16" s="1"/>
  <c r="G73" i="17"/>
  <c r="M24" i="17"/>
  <c r="J7" i="16" s="1"/>
  <c r="M73" i="17"/>
  <c r="G24" i="17"/>
  <c r="J12" i="1"/>
  <c r="L12" i="1" s="1"/>
  <c r="M12" i="1" s="1"/>
  <c r="J28" i="16"/>
  <c r="E28" i="16" s="1"/>
  <c r="J15" i="1"/>
  <c r="J39" i="16"/>
  <c r="E39" i="16" s="1"/>
  <c r="M52" i="17"/>
  <c r="J12" i="16"/>
  <c r="E12" i="16" s="1"/>
  <c r="J13" i="1"/>
  <c r="L13" i="1" s="1"/>
  <c r="M13" i="1" s="1"/>
  <c r="J34" i="16"/>
  <c r="E34" i="16" s="1"/>
  <c r="I24" i="17"/>
  <c r="F7" i="16" s="1"/>
  <c r="J11" i="1" l="1"/>
  <c r="J24" i="16"/>
  <c r="E24" i="16" s="1"/>
  <c r="J14" i="16"/>
  <c r="E14" i="16" s="1"/>
  <c r="J10" i="1"/>
  <c r="K10" i="1" s="1"/>
  <c r="E7" i="16"/>
  <c r="J8" i="1"/>
  <c r="K8" i="1" s="1"/>
  <c r="K12" i="1"/>
  <c r="K13" i="1"/>
  <c r="J9" i="1"/>
  <c r="J11" i="16"/>
  <c r="E11" i="16" s="1"/>
  <c r="K15" i="1"/>
  <c r="L15" i="1"/>
  <c r="M15" i="1" s="1"/>
  <c r="F8" i="1"/>
  <c r="K11" i="1" l="1"/>
  <c r="L11" i="1"/>
  <c r="M11" i="1" s="1"/>
  <c r="L10" i="1"/>
  <c r="M10" i="1" s="1"/>
  <c r="L9" i="1"/>
  <c r="M9" i="1" s="1"/>
  <c r="K9" i="1"/>
  <c r="G8" i="1"/>
  <c r="G6" i="1" s="1"/>
  <c r="P18" i="18" s="1"/>
  <c r="L8" i="1"/>
  <c r="M8" i="1" s="1"/>
  <c r="K6" i="1" l="1"/>
  <c r="J3" i="16" s="1"/>
  <c r="F3" i="16"/>
  <c r="M6" i="1" l="1"/>
  <c r="Z18" i="18"/>
  <c r="AE18" i="18" s="1"/>
  <c r="AJ18" i="18" s="1"/>
  <c r="E3" i="16"/>
  <c r="AJ32" i="18" l="1"/>
  <c r="AB14" i="18" l="1"/>
  <c r="I14" i="18" s="1"/>
  <c r="A9" i="17" l="1"/>
  <c r="N5" i="17" l="1"/>
  <c r="A13" i="17"/>
  <c r="A19" i="17" l="1"/>
  <c r="A26" i="17" s="1"/>
  <c r="N6" i="17"/>
  <c r="N20" i="17" l="1"/>
  <c r="A32" i="17"/>
  <c r="A39" i="17" l="1"/>
  <c r="N21" i="17"/>
  <c r="A48" i="17" l="1"/>
  <c r="A54" i="17" s="1"/>
  <c r="N22" i="17"/>
  <c r="A60" i="17" l="1"/>
  <c r="A75" i="17" s="1"/>
  <c r="N49" i="17"/>
  <c r="N61" i="17" l="1"/>
  <c r="A82" i="17"/>
  <c r="A87" i="17" l="1"/>
  <c r="N63" i="17"/>
  <c r="N64" i="17" l="1"/>
  <c r="A93" i="17"/>
  <c r="A100" i="17" l="1"/>
  <c r="N65" i="17"/>
  <c r="N67" i="17" l="1"/>
  <c r="A105" i="17"/>
  <c r="A112" i="17" l="1"/>
  <c r="N68" i="17"/>
  <c r="N69" i="17" l="1"/>
  <c r="A119" i="17"/>
  <c r="A129" i="17" s="1"/>
  <c r="N120" i="17" l="1"/>
  <c r="A137" i="17"/>
  <c r="A144" i="17" l="1"/>
  <c r="N121" i="17"/>
  <c r="A151" i="17" l="1"/>
  <c r="A161" i="17" s="1"/>
  <c r="N122" i="17"/>
  <c r="A168" i="17" l="1"/>
  <c r="N152" i="17"/>
  <c r="A173" i="17" l="1"/>
  <c r="N154" i="17"/>
  <c r="N155" i="17" l="1"/>
  <c r="A177" i="17"/>
  <c r="A184" i="17" l="1"/>
  <c r="A193" i="17" s="1"/>
  <c r="N156" i="17"/>
  <c r="A200" i="17" l="1"/>
  <c r="N185" i="17"/>
  <c r="N187" i="17" l="1"/>
  <c r="A205" i="17"/>
  <c r="A212" i="17" l="1"/>
  <c r="A218" i="17" s="1"/>
  <c r="A225" i="17" s="1"/>
  <c r="N188" i="17"/>
  <c r="N219" i="17" l="1"/>
  <c r="A231" i="17"/>
  <c r="N220" i="17" l="1"/>
  <c r="A236" i="17"/>
  <c r="A240" i="17" s="1"/>
  <c r="A244" i="17" s="1"/>
  <c r="A248" i="17" s="1"/>
  <c r="N245" i="17" l="1"/>
</calcChain>
</file>

<file path=xl/sharedStrings.xml><?xml version="1.0" encoding="utf-8"?>
<sst xmlns="http://schemas.openxmlformats.org/spreadsheetml/2006/main" count="5292" uniqueCount="1258">
  <si>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</si>
  <si>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</si>
  <si>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</si>
  <si>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</si>
  <si>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</si>
  <si>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</si>
  <si>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</si>
  <si>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</si>
  <si>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</si>
  <si>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</si>
  <si>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</si>
  <si>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</si>
  <si>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</si>
  <si>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</si>
  <si>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</si>
  <si>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</si>
  <si>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</si>
  <si>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</si>
  <si>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</si>
  <si>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</si>
  <si>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</si>
  <si>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</si>
  <si>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</si>
  <si>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</si>
  <si>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</si>
  <si>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</si>
  <si>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</si>
  <si>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</si>
  <si>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</si>
  <si>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</si>
  <si>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</si>
  <si>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</si>
  <si>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</si>
  <si>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</si>
  <si>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</si>
  <si>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</si>
  <si>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</si>
  <si>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</si>
  <si>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</si>
  <si>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</si>
  <si>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</si>
  <si>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</si>
  <si>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</si>
  <si>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</si>
  <si>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</si>
  <si>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</si>
  <si>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</si>
  <si>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</si>
  <si>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</si>
  <si>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</si>
  <si>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</si>
  <si>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</si>
  <si>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</si>
  <si>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</si>
  <si>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</si>
  <si>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</si>
  <si>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</si>
  <si>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</si>
  <si>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</si>
  <si>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</si>
  <si>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</si>
  <si>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</si>
  <si>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</si>
  <si>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</si>
  <si>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</si>
  <si>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</si>
  <si>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</si>
  <si>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</si>
  <si>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</si>
  <si>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</si>
  <si>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</si>
  <si>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</si>
  <si>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</si>
  <si>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</si>
  <si>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</si>
  <si>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</si>
  <si>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</si>
  <si>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</si>
  <si>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</si>
  <si>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</si>
  <si>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</si>
  <si>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</si>
  <si>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</si>
  <si>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</si>
  <si>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</si>
  <si>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</si>
  <si>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</si>
  <si>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</si>
  <si>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</si>
  <si>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</si>
  <si>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</si>
  <si>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</si>
  <si>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</si>
  <si>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</si>
  <si>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</si>
  <si>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</si>
  <si>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</si>
  <si>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</si>
  <si>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</si>
  <si>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</si>
  <si>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</si>
  <si>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</si>
  <si>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</si>
  <si>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</si>
  <si>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</si>
  <si>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</si>
  <si>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</si>
  <si>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</si>
  <si>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</si>
  <si>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</si>
  <si>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플러깅장비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</si>
  <si>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</si>
  <si>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</si>
  <si>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</si>
  <si>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</si>
  <si>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</si>
  <si>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</si>
  <si>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</si>
  <si>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</si>
  <si>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</si>
  <si>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</si>
  <si>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</si>
  <si>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</si>
  <si>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</si>
  <si>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</si>
  <si>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</si>
  <si>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</si>
  <si>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</si>
  <si>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</si>
  <si>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</si>
  <si>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</si>
  <si>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</si>
  <si>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</si>
  <si>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</si>
  <si>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</si>
  <si>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</si>
  <si>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</si>
  <si>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</si>
  <si>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</si>
  <si>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</si>
  <si>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</si>
  <si>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</si>
  <si>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</si>
  <si>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</si>
  <si>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</si>
  <si>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</si>
  <si>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</si>
  <si>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</si>
  <si>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</si>
  <si>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</si>
  <si>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</si>
  <si>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</si>
  <si>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</si>
  <si>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</si>
  <si>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</si>
  <si>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</si>
  <si>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</si>
  <si>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</si>
  <si>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</si>
  <si>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</si>
  <si>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</si>
  <si>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</si>
  <si>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</si>
  <si>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</si>
  <si>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</si>
  <si>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</si>
  <si>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</si>
  <si>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</si>
  <si>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</si>
  <si>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</si>
  <si>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</si>
  <si>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</si>
  <si>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</si>
  <si>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</si>
  <si>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</si>
  <si>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</si>
  <si>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</si>
  <si>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</si>
  <si>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</si>
  <si>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</si>
  <si>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</si>
  <si>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</si>
  <si>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</si>
  <si>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</si>
  <si>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</si>
  <si>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</si>
  <si>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</si>
  <si>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</si>
  <si>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</si>
  <si>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</si>
  <si>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</si>
  <si>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</si>
  <si>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</si>
  <si>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</si>
  <si>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</si>
  <si>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</si>
  <si>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</si>
  <si>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5 TON</t>
    <phoneticPr fontId="4" type="noConversion"/>
  </si>
  <si>
    <t>HR</t>
    <phoneticPr fontId="4" type="noConversion"/>
  </si>
  <si>
    <t>10 TON</t>
  </si>
  <si>
    <t>15 TON</t>
    <phoneticPr fontId="4" type="noConversion"/>
  </si>
  <si>
    <t>18 TON</t>
    <phoneticPr fontId="4" type="noConversion"/>
  </si>
  <si>
    <t>발전기</t>
  </si>
  <si>
    <t>50 KW</t>
  </si>
  <si>
    <t>용접기 (교류)</t>
  </si>
  <si>
    <t>200 AMP</t>
  </si>
  <si>
    <t>경유</t>
    <phoneticPr fontId="1" type="noConversion"/>
  </si>
  <si>
    <t>저유황 0.001%</t>
    <phoneticPr fontId="1" type="noConversion"/>
  </si>
  <si>
    <t>L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</si>
  <si>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</si>
  <si>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</si>
  <si>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</si>
  <si>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</si>
  <si>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</si>
  <si>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</si>
  <si>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</si>
  <si>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</si>
  <si>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</si>
  <si>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</si>
  <si>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</si>
  <si>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</si>
  <si>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</si>
  <si>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</si>
  <si>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</si>
  <si>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</si>
  <si>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</si>
  <si>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</si>
  <si>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</si>
  <si>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</si>
  <si>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</si>
  <si>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</si>
  <si>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</si>
  <si>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</si>
  <si>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</si>
  <si>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</si>
  <si>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</si>
  <si>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</si>
  <si>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</si>
  <si>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</si>
  <si>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</si>
  <si>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</si>
  <si>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</si>
  <si>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</si>
  <si>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</si>
  <si>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</si>
  <si>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</si>
  <si>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</si>
  <si>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</si>
  <si>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</si>
  <si>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</si>
  <si>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</si>
  <si>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</si>
  <si>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</si>
  <si>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</si>
  <si>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</si>
  <si>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</si>
  <si>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</si>
  <si>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</si>
  <si>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</si>
  <si>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</si>
  <si>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</si>
  <si>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</si>
  <si>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</si>
  <si>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</si>
  <si>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</si>
  <si>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</si>
  <si>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nr</t>
    <phoneticPr fontId="11" type="noConversion"/>
  </si>
  <si>
    <t>set</t>
    <phoneticPr fontId="11" type="noConversion"/>
  </si>
  <si>
    <t>무한궤도 크레인</t>
    <phoneticPr fontId="1" type="noConversion"/>
  </si>
  <si>
    <t>20 TON</t>
    <phoneticPr fontId="4" type="noConversion"/>
  </si>
  <si>
    <t>D1,200㎜</t>
    <phoneticPr fontId="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</si>
  <si>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</si>
  <si>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</si>
  <si>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</si>
  <si>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</si>
  <si>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</si>
  <si>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</si>
  <si>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</si>
  <si>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</si>
  <si>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</si>
  <si>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</si>
  <si>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</si>
  <si>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</si>
  <si>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</si>
  <si>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</si>
  <si>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</si>
  <si>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</si>
  <si>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</si>
  <si>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</si>
  <si>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</si>
  <si>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</si>
  <si>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</si>
  <si>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</si>
  <si>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D100㎜</t>
    <phoneticPr fontId="10" type="noConversion"/>
  </si>
  <si>
    <t>D100㎜</t>
    <phoneticPr fontId="10" type="noConversion"/>
  </si>
  <si>
    <t>매</t>
    <phoneticPr fontId="11" type="noConversion"/>
  </si>
  <si>
    <t>nr</t>
    <phoneticPr fontId="11" type="noConversion"/>
  </si>
  <si>
    <t>#180</t>
    <phoneticPr fontId="11" type="noConversion"/>
  </si>
  <si>
    <t>계</t>
    <phoneticPr fontId="11" type="noConversion"/>
  </si>
  <si>
    <t>표면정리</t>
    <phoneticPr fontId="11" type="noConversion"/>
  </si>
  <si>
    <t>hr</t>
    <phoneticPr fontId="11" type="noConversion"/>
  </si>
  <si>
    <t>인</t>
    <phoneticPr fontId="11" type="noConversion"/>
  </si>
  <si>
    <t>플랜지접합부속</t>
    <phoneticPr fontId="11" type="noConversion"/>
  </si>
  <si>
    <t>D1,200㎜</t>
    <phoneticPr fontId="10" type="noConversion"/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</si>
  <si>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</si>
  <si>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</si>
  <si>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</si>
  <si>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바탕처리(강관제)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</si>
  <si>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</si>
  <si>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</si>
  <si>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</si>
  <si>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</si>
  <si>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#180</t>
    <phoneticPr fontId="11" type="noConversion"/>
  </si>
  <si>
    <t>도장공 인력품의</t>
    <phoneticPr fontId="11" type="noConversion"/>
  </si>
  <si>
    <t>부단수 할정자관 부설 및 접합(강관제)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</si>
  <si>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</si>
  <si>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</si>
  <si>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</si>
  <si>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</si>
  <si>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</si>
  <si>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</si>
  <si>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hr</t>
    <phoneticPr fontId="11" type="noConversion"/>
  </si>
  <si>
    <t>kg</t>
    <phoneticPr fontId="11" type="noConversion"/>
  </si>
  <si>
    <t>부단수 할정자관 접합부 도장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</si>
  <si>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</si>
  <si>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</si>
  <si>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</si>
  <si>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</si>
  <si>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</si>
  <si>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</si>
  <si>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</si>
  <si>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</si>
  <si>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계</t>
    <phoneticPr fontId="11" type="noConversion"/>
  </si>
  <si>
    <t>샌드위치 밸브 부설 및 접합</t>
    <phoneticPr fontId="11" type="noConversion"/>
  </si>
  <si>
    <t>nr</t>
    <phoneticPr fontId="11" type="noConversion"/>
  </si>
  <si>
    <t>샌드위치 밸브 손료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</si>
  <si>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</si>
  <si>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</si>
  <si>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</si>
  <si>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</si>
  <si>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칩제거기 손료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</si>
  <si>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</si>
  <si>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</si>
  <si>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</si>
  <si>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</si>
  <si>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</si>
  <si>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</si>
  <si>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</si>
  <si>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</si>
  <si>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</si>
  <si>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칩제거기 운전경비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</si>
  <si>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</si>
  <si>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</si>
  <si>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</si>
  <si>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</si>
  <si>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</si>
  <si>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</si>
  <si>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</si>
  <si>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</si>
  <si>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</si>
  <si>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</si>
  <si>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</si>
  <si>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</si>
  <si>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</si>
  <si>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</si>
  <si>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</si>
  <si>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</si>
  <si>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</si>
  <si>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</si>
  <si>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</si>
  <si>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</si>
  <si>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</si>
  <si>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</si>
  <si>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</si>
  <si>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</si>
  <si>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</si>
  <si>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</si>
  <si>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</si>
  <si>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</si>
  <si>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회</t>
    <phoneticPr fontId="11" type="noConversion"/>
  </si>
  <si>
    <t>D850㎜</t>
    <phoneticPr fontId="1" type="noConversion"/>
  </si>
  <si>
    <t>차단관경, D1200mm</t>
  </si>
  <si>
    <t>차단관경, D1200mm</t>
    <phoneticPr fontId="1" type="noConversion"/>
  </si>
  <si>
    <t>천공관경, D850mm</t>
  </si>
  <si>
    <t>nr</t>
    <phoneticPr fontId="1" type="noConversion"/>
  </si>
  <si>
    <t>장비운반비</t>
    <phoneticPr fontId="1" type="noConversion"/>
  </si>
  <si>
    <t>무한궤도 크레인</t>
  </si>
  <si>
    <t>20 ton (0.57 ㎥)</t>
  </si>
  <si>
    <t>DH18-260519-01</t>
    <phoneticPr fontId="10" type="noConversion"/>
  </si>
  <si>
    <t>1. 토공, 가시설공, 피팅부 관보호공(H빔 보강)등 부단수 차단 외 공종에 대한 공통 공사비 제외
2. 가배관 별도
3. 흄관-강관 연결 내부 라바벤드 자재 및 시공 별도
4. 흄관-강관 연결대 제작 및 설치 별도
5. 흄관 절단 와이어 커팅 1개소 별도
6. 납품방법 : 현장설치도</t>
    <phoneticPr fontId="10" type="noConversion"/>
  </si>
  <si>
    <t>50 kw</t>
  </si>
  <si>
    <t>200 amP</t>
  </si>
  <si>
    <t>수자원적산지침 토목공사 8차/153P</t>
    <phoneticPr fontId="1" type="noConversion"/>
  </si>
  <si>
    <t>수자원적산지침 토목공사 8차/154P</t>
    <phoneticPr fontId="1" type="noConversion"/>
  </si>
  <si>
    <t>중기기초자료</t>
  </si>
  <si>
    <t>명    칭</t>
  </si>
  <si>
    <t>칩제거기</t>
  </si>
  <si>
    <t>D80x80mm</t>
  </si>
  <si>
    <t xml:space="preserve">천원  </t>
  </si>
  <si>
    <t>D100x100mm</t>
  </si>
  <si>
    <t>D150x150mm</t>
  </si>
  <si>
    <t>D200x200mm</t>
  </si>
  <si>
    <t>D250x250mm</t>
  </si>
  <si>
    <t>D300x300mm</t>
  </si>
  <si>
    <t>D350x350mm</t>
  </si>
  <si>
    <t>D400x400mm</t>
  </si>
  <si>
    <t>D450x400mm</t>
  </si>
  <si>
    <t>D500x400mm</t>
  </si>
  <si>
    <t>D600x400mm</t>
  </si>
  <si>
    <t>D700x600mm</t>
  </si>
  <si>
    <t>D800x600mm</t>
  </si>
  <si>
    <t>D900x600mm</t>
  </si>
  <si>
    <t>D1000x900mm</t>
  </si>
  <si>
    <t>D1100x900mm</t>
  </si>
  <si>
    <t>D1200x900mm</t>
  </si>
  <si>
    <t>D1350x900mm</t>
  </si>
  <si>
    <t>D1500x1200mm</t>
  </si>
  <si>
    <t>D1650x1200mm</t>
  </si>
  <si>
    <t>D1800x1200mm</t>
  </si>
  <si>
    <t>D2000x1650mm</t>
  </si>
  <si>
    <t>D2100x1650mm</t>
  </si>
  <si>
    <t>D2200x1650mm</t>
  </si>
  <si>
    <t>D2300x1650mm</t>
  </si>
  <si>
    <t>D2400mm</t>
  </si>
  <si>
    <t>부단수 천공기</t>
  </si>
  <si>
    <t>D2400x1650mm</t>
  </si>
  <si>
    <t>부단수 차단기</t>
  </si>
  <si>
    <t>D80mm</t>
  </si>
  <si>
    <t>D100mm</t>
  </si>
  <si>
    <t>D150mm</t>
  </si>
  <si>
    <t>D200mm</t>
  </si>
  <si>
    <t>D250mm</t>
  </si>
  <si>
    <t>D300mm</t>
  </si>
  <si>
    <t>D350mm</t>
  </si>
  <si>
    <t>D400mm</t>
  </si>
  <si>
    <t>D450mm</t>
  </si>
  <si>
    <t>D500mm</t>
  </si>
  <si>
    <t>D600mm</t>
  </si>
  <si>
    <t>D700mm</t>
  </si>
  <si>
    <t>D800mm</t>
  </si>
  <si>
    <t>D900mm</t>
  </si>
  <si>
    <t>D1000mm</t>
  </si>
  <si>
    <t>D1100mm</t>
  </si>
  <si>
    <t>D1200mm</t>
  </si>
  <si>
    <t>D1350mm</t>
  </si>
  <si>
    <t>D1500mm</t>
  </si>
  <si>
    <t>D1650mm</t>
  </si>
  <si>
    <t>D1800mm</t>
  </si>
  <si>
    <t>D2000mm</t>
  </si>
  <si>
    <t>D2100mm</t>
  </si>
  <si>
    <t>D2200mm</t>
  </si>
  <si>
    <t>D2300mm</t>
  </si>
  <si>
    <t>플러깅</t>
  </si>
  <si>
    <t>샌드위치 밸브</t>
  </si>
  <si>
    <t>울산공업용수도 노후관 개량사업(3차) 및 추가사업 시설공사 중 부단수 차단 공사</t>
    <phoneticPr fontId="10" type="noConversion"/>
  </si>
  <si>
    <t>26년도 상반기(대한건설협회 시중노임)</t>
    <phoneticPr fontId="1" type="noConversion"/>
  </si>
  <si>
    <t>단 위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</si>
  <si>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</si>
  <si>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</si>
  <si>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</si>
  <si>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인</t>
    <phoneticPr fontId="1" type="noConversion"/>
  </si>
  <si>
    <t>명    칭</t>
    <phoneticPr fontId="1" type="noConversion"/>
  </si>
  <si>
    <t>규    격</t>
    <phoneticPr fontId="1" type="noConversion"/>
  </si>
  <si>
    <t>단    가</t>
    <phoneticPr fontId="1" type="noConversion"/>
  </si>
  <si>
    <t>비 고</t>
    <phoneticPr fontId="1" type="noConversion"/>
  </si>
  <si>
    <t>기계 설비</t>
    <phoneticPr fontId="1" type="noConversion"/>
  </si>
  <si>
    <t>26년 한국엔지니어링협회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</si>
  <si>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</si>
  <si>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</si>
  <si>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</si>
  <si>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</si>
  <si>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</si>
  <si>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용접봉</t>
    <phoneticPr fontId="1" type="noConversion"/>
  </si>
  <si>
    <t>(고장력강용)(3.2㎜)</t>
    <phoneticPr fontId="1" type="noConversion"/>
  </si>
  <si>
    <t>EA</t>
    <phoneticPr fontId="4" type="noConversion"/>
  </si>
  <si>
    <t>(26년)물가자료 상/ 1387</t>
    <phoneticPr fontId="1" type="noConversion"/>
  </si>
  <si>
    <t>연마지</t>
    <phoneticPr fontId="1" type="noConversion"/>
  </si>
  <si>
    <t>#180</t>
    <phoneticPr fontId="1" type="noConversion"/>
  </si>
  <si>
    <t>EA</t>
    <phoneticPr fontId="4" type="noConversion"/>
  </si>
  <si>
    <t>(26년)물가자료 상 / 1412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</si>
  <si>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</si>
  <si>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</si>
  <si>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</si>
  <si>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(26년)물가자료 상 / 723</t>
    <phoneticPr fontId="1" type="noConversion"/>
  </si>
  <si>
    <t>매스틱</t>
    <phoneticPr fontId="1" type="noConversion"/>
  </si>
  <si>
    <t>3T x 40 x 1m</t>
    <phoneticPr fontId="1" type="noConversion"/>
  </si>
  <si>
    <t>(26년)물가자료 상 / 723</t>
    <phoneticPr fontId="1" type="noConversion"/>
  </si>
  <si>
    <t>안쪽층테이프</t>
    <phoneticPr fontId="1" type="noConversion"/>
  </si>
  <si>
    <t>0.508mm x 100mm x 1m</t>
    <phoneticPr fontId="1" type="noConversion"/>
  </si>
  <si>
    <t>(26년)물가자료 상 / 723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</si>
  <si>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</si>
  <si>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</si>
  <si>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</si>
  <si>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(26년)물가자료 상 / 723</t>
    <phoneticPr fontId="1" type="noConversion"/>
  </si>
  <si>
    <t>(26년)물가자료 하 / 32</t>
    <phoneticPr fontId="1" type="noConversion"/>
  </si>
  <si>
    <t>부단수 천공기 손료</t>
  </si>
  <si>
    <t>차단관경, D80x80mm</t>
  </si>
  <si>
    <t xml:space="preserve">hr    </t>
  </si>
  <si>
    <t>차단관경, D100x100mm</t>
  </si>
  <si>
    <t>차단관경, D150x150mm</t>
  </si>
  <si>
    <t>차단관경, D200x200mm</t>
  </si>
  <si>
    <t>차단관경, D250x250mm</t>
  </si>
  <si>
    <t>차단관경, D300x300mm</t>
  </si>
  <si>
    <t>차단관경, D350x350mm</t>
  </si>
  <si>
    <t>차단관경, D400x400mm</t>
  </si>
  <si>
    <t>차단관경, D450x400mm</t>
  </si>
  <si>
    <t>차단관경, D500x400mm</t>
  </si>
  <si>
    <t>차단관경, D600x400mm</t>
  </si>
  <si>
    <t>차단관경, D700x600mm</t>
  </si>
  <si>
    <t>차단관경, D800x600mm</t>
  </si>
  <si>
    <t>차단관경, D900x600mm</t>
  </si>
  <si>
    <t>차단관경, D1000x900mm</t>
  </si>
  <si>
    <t>차단관경, D1100x900mm</t>
  </si>
  <si>
    <t>차단관경, D1200x900mm</t>
  </si>
  <si>
    <t>차단관경, D1350x900mm</t>
  </si>
  <si>
    <t>차단관경, D1500x1200mm</t>
  </si>
  <si>
    <t>차단관경, D1650x1200mm</t>
  </si>
  <si>
    <t>차단관경, D1800x1200mm</t>
  </si>
  <si>
    <t>차단관경, D2000x1650mm</t>
  </si>
  <si>
    <t>차단관경, D2100x1650mm</t>
  </si>
  <si>
    <t>차단관경, D2200x1650mm</t>
  </si>
  <si>
    <t>차단관경, D2300x1650mm</t>
  </si>
  <si>
    <t>차단관경, D2400x1650mm</t>
  </si>
  <si>
    <t>칩제거기 손료</t>
  </si>
  <si>
    <t>차단관경, D80mm</t>
  </si>
  <si>
    <t>차단관경, D100mm</t>
  </si>
  <si>
    <t>차단관경, D150mm</t>
  </si>
  <si>
    <t>차단관경, D200mm</t>
  </si>
  <si>
    <t>차단관경, D250mm</t>
  </si>
  <si>
    <t>차단관경, D300mm</t>
  </si>
  <si>
    <t>차단관경, D350mm</t>
  </si>
  <si>
    <t>차단관경, D400mm</t>
  </si>
  <si>
    <t>차단관경, D450mm</t>
  </si>
  <si>
    <t>차단관경, D500mm</t>
  </si>
  <si>
    <t>차단관경, D600mm</t>
  </si>
  <si>
    <t>차단관경, D700mm</t>
  </si>
  <si>
    <t>차단관경, D800mm</t>
  </si>
  <si>
    <t>차단관경, D900mm</t>
  </si>
  <si>
    <t>차단관경, D1000mm</t>
  </si>
  <si>
    <t>차단관경, D1100mm</t>
  </si>
  <si>
    <t>차단관경, D1350mm</t>
  </si>
  <si>
    <t>차단관경, D1500mm</t>
  </si>
  <si>
    <t>차단관경, D1650mm</t>
  </si>
  <si>
    <t>차단관경, D1800mm</t>
  </si>
  <si>
    <t>차단관경, D2000mm</t>
  </si>
  <si>
    <t>차단관경, D2100mm</t>
  </si>
  <si>
    <t>차단관경, D2200mm</t>
  </si>
  <si>
    <t>차단관경, D2300mm</t>
  </si>
  <si>
    <t>차단관경, D2400mm</t>
  </si>
  <si>
    <t>중기사용료</t>
  </si>
  <si>
    <t>중 기 명</t>
  </si>
  <si>
    <t>부단수 천공기 손료   차단관경, D80x80mm</t>
  </si>
  <si>
    <t>중기가격</t>
  </si>
  <si>
    <t xml:space="preserve">11,520 천원  </t>
  </si>
  <si>
    <t>명        칭</t>
  </si>
  <si>
    <t>규        격</t>
  </si>
  <si>
    <t>단 가</t>
  </si>
  <si>
    <t>금 액</t>
  </si>
  <si>
    <t>소   계</t>
  </si>
  <si>
    <t>총   계</t>
  </si>
  <si>
    <t>부단수 천공기 손료   차단관경, D100x100mm</t>
  </si>
  <si>
    <t>부단수 천공기 손료   차단관경, D150x150mm</t>
  </si>
  <si>
    <t xml:space="preserve">48,000 천원  </t>
  </si>
  <si>
    <t>부단수 천공기 손료   차단관경, D200x200mm</t>
  </si>
  <si>
    <t>부단수 천공기 손료   차단관경, D250x250mm</t>
  </si>
  <si>
    <t>부단수 천공기 손료   차단관경, D300x300mm</t>
  </si>
  <si>
    <t>부단수 천공기 손료   차단관경, D350x350mm</t>
  </si>
  <si>
    <t>부단수 천공기 손료   차단관경, D400x400mm</t>
  </si>
  <si>
    <t xml:space="preserve">120,000 천원  </t>
  </si>
  <si>
    <t>부단수 천공기 손료   차단관경, D450x400mm</t>
    <phoneticPr fontId="1" type="noConversion"/>
  </si>
  <si>
    <t>부단수 천공기 손료   차단관경, D500x400mm</t>
  </si>
  <si>
    <t>부단수 천공기 손료   차단관경, D600x400mm</t>
  </si>
  <si>
    <t>부단수 천공기 손료   차단관경, D700x600mm</t>
  </si>
  <si>
    <t xml:space="preserve">192,000 천원  </t>
  </si>
  <si>
    <t>부단수 천공기 손료   차단관경, D800x600mm</t>
  </si>
  <si>
    <t>부단수 천공기 손료   차단관경, D900x600mm</t>
  </si>
  <si>
    <t>부단수 천공기 손료   차단관경, D1000x900mm</t>
  </si>
  <si>
    <t xml:space="preserve">246,000 천원  </t>
  </si>
  <si>
    <t>부단수 천공기 손료   차단관경, D1100x900mm</t>
  </si>
  <si>
    <t>부단수 천공기 손료   차단관경, D1200x900mm</t>
  </si>
  <si>
    <t>부단수 천공기 손료   차단관경, D1350x900mm</t>
  </si>
  <si>
    <t>부단수 천공기 손료   차단관경, D1500x1200mm</t>
  </si>
  <si>
    <t>부단수 천공기 손료   차단관경, D1650x1200mm</t>
  </si>
  <si>
    <t>부단수 천공기 손료   차단관경, D1800x1200mm</t>
  </si>
  <si>
    <t>부단수 천공기 손료   차단관경, D2000x1650mm</t>
  </si>
  <si>
    <t xml:space="preserve">276,000 천원  </t>
  </si>
  <si>
    <t>부단수 천공기 손료   차단관경, D2100x1650mm</t>
  </si>
  <si>
    <t>부단수 천공기 손료   차단관경, D2200x1650mm</t>
  </si>
  <si>
    <t>부단수 천공기 손료   차단관경, D2300x1650mm</t>
  </si>
  <si>
    <t>부단수 천공기 손료   차단관경, D2400x1650mm</t>
  </si>
  <si>
    <t>칩제거기 손료   차단관경, D80x80mm</t>
  </si>
  <si>
    <t xml:space="preserve">420 천원  </t>
  </si>
  <si>
    <t>칩제거기 손료   차단관경, D100x100mm</t>
  </si>
  <si>
    <t xml:space="preserve">900 천원  </t>
  </si>
  <si>
    <t>칩제거기 손료   차단관경, D150x150mm</t>
  </si>
  <si>
    <t xml:space="preserve">1,104 천원  </t>
  </si>
  <si>
    <t>칩제거기 손료   차단관경, D200x200mm</t>
  </si>
  <si>
    <t xml:space="preserve">1,140 천원  </t>
  </si>
  <si>
    <t>칩제거기 손료   차단관경, D250x250mm</t>
  </si>
  <si>
    <t xml:space="preserve">1,584 천원  </t>
  </si>
  <si>
    <t>칩제거기 손료   차단관경, D300x300mm</t>
  </si>
  <si>
    <t xml:space="preserve">1,800 천원  </t>
  </si>
  <si>
    <t>칩제거기 손료   차단관경, D350x350mm</t>
  </si>
  <si>
    <t xml:space="preserve">2,520 천원  </t>
  </si>
  <si>
    <t>칩제거기 손료   차단관경, D400x400mm</t>
  </si>
  <si>
    <t xml:space="preserve">3,000 천원  </t>
  </si>
  <si>
    <t>칩제거기 손료   차단관경, D450x400mm</t>
  </si>
  <si>
    <t>칩제거기 손료   차단관경, D500x400mm</t>
  </si>
  <si>
    <t>칩제거기 손료   차단관경, D600x400mm</t>
  </si>
  <si>
    <t>칩제거기 손료   차단관경, D700x600mm</t>
  </si>
  <si>
    <t xml:space="preserve">6,120 천원  </t>
  </si>
  <si>
    <t>칩제거기 손료   차단관경, D800x600mm</t>
  </si>
  <si>
    <t>칩제거기 손료   차단관경, D900x600mm</t>
  </si>
  <si>
    <t>칩제거기 손료   차단관경, D1000x900mm</t>
  </si>
  <si>
    <t xml:space="preserve">12,600 천원  </t>
  </si>
  <si>
    <t>칩제거기 손료   차단관경, D1100x900mm</t>
  </si>
  <si>
    <t>칩제거기 손료   차단관경, D1200x900mm</t>
  </si>
  <si>
    <t>칩제거기 손료   차단관경, D1350x900mm</t>
  </si>
  <si>
    <t>칩제거기 손료   차단관경, D1500x1200mm</t>
  </si>
  <si>
    <t xml:space="preserve">14,400 천원  </t>
  </si>
  <si>
    <t>칩제거기 손료   차단관경, D1650x1200mm</t>
  </si>
  <si>
    <t>칩제거기 손료   차단관경, D1800x1200mm</t>
  </si>
  <si>
    <t>칩제거기 손료   차단관경, D2000x1650mm</t>
  </si>
  <si>
    <t xml:space="preserve">24,504 천원  </t>
  </si>
  <si>
    <t>칩제거기 손료   차단관경, D2100x1650mm</t>
  </si>
  <si>
    <t>칩제거기 손료   차단관경, D2200x1650mm</t>
  </si>
  <si>
    <t>칩제거기 손료   차단관경, D2300x1650mm</t>
  </si>
  <si>
    <t>칩제거기 손료   차단관경, D2400x1650mm</t>
  </si>
  <si>
    <t>부단수차단기 손료   차단관경, D80mm</t>
  </si>
  <si>
    <t xml:space="preserve">24,010 천원  </t>
  </si>
  <si>
    <t>부단수차단기 손료   차단관경, D100mm</t>
  </si>
  <si>
    <t xml:space="preserve">29,500 천원  </t>
  </si>
  <si>
    <t>부단수차단기 손료   차단관경, D150mm</t>
  </si>
  <si>
    <t xml:space="preserve">30,000 천원  </t>
  </si>
  <si>
    <t>부단수차단기 손료   차단관경, D200mm</t>
  </si>
  <si>
    <t xml:space="preserve">34,000 천원  </t>
  </si>
  <si>
    <t>부단수차단기 손료   차단관경, D250mm</t>
  </si>
  <si>
    <t xml:space="preserve">42,000 천원  </t>
  </si>
  <si>
    <t>부단수차단기 손료   차단관경, D300mm</t>
  </si>
  <si>
    <t xml:space="preserve">45,600 천원  </t>
  </si>
  <si>
    <t>부단수차단기 손료   차단관경, D350mm</t>
  </si>
  <si>
    <t xml:space="preserve">50,500 천원  </t>
  </si>
  <si>
    <t>부단수차단기 손료   차단관경, D400mm</t>
  </si>
  <si>
    <t xml:space="preserve">61,000 천원  </t>
  </si>
  <si>
    <t>부단수차단기 손료   차단관경, D450mm</t>
  </si>
  <si>
    <t xml:space="preserve">63,500 천원  </t>
  </si>
  <si>
    <t>부단수차단기 손료   차단관경, D500mm</t>
  </si>
  <si>
    <t xml:space="preserve">67,500 천원  </t>
  </si>
  <si>
    <t>부단수차단기 손료   차단관경, D600mm</t>
  </si>
  <si>
    <t xml:space="preserve">74,500 천원  </t>
  </si>
  <si>
    <t>부단수차단기 손료   차단관경, D700mm</t>
  </si>
  <si>
    <t xml:space="preserve">87,500 천원  </t>
  </si>
  <si>
    <t>부단수차단기 손료   차단관경, D800mm</t>
  </si>
  <si>
    <t xml:space="preserve">96,400 천원  </t>
  </si>
  <si>
    <t>부단수차단기 손료   차단관경, D900mm</t>
  </si>
  <si>
    <t xml:space="preserve">104,400 천원  </t>
  </si>
  <si>
    <t>부단수차단기 손료   차단관경, D1000mm</t>
  </si>
  <si>
    <t xml:space="preserve">116,400 천원  </t>
  </si>
  <si>
    <t>부단수차단기 손료   차단관경, D1100mm</t>
  </si>
  <si>
    <t xml:space="preserve">121,300 천원  </t>
  </si>
  <si>
    <t>부단수차단기 손료   차단관경, D1200mm</t>
  </si>
  <si>
    <t xml:space="preserve">133,000 천원  </t>
  </si>
  <si>
    <t>부단수차단기 손료   차단관경, D1350mm</t>
  </si>
  <si>
    <t xml:space="preserve">145,000 천원  </t>
  </si>
  <si>
    <t>부단수차단기 손료   차단관경, D1500mm</t>
  </si>
  <si>
    <t xml:space="preserve">215,000 천원  </t>
  </si>
  <si>
    <t>부단수차단기 손료   차단관경, D1650mm</t>
  </si>
  <si>
    <t xml:space="preserve">296,600 천원  </t>
  </si>
  <si>
    <t>부단수차단기 손료   차단관경, D1800mm</t>
  </si>
  <si>
    <t xml:space="preserve">333,000 천원  </t>
  </si>
  <si>
    <t>부단수차단기 손료   차단관경, D2000mm</t>
  </si>
  <si>
    <t xml:space="preserve">390,000 천원  </t>
  </si>
  <si>
    <t>부단수차단기 손료   차단관경, D2100mm</t>
  </si>
  <si>
    <t xml:space="preserve">466,000 천원  </t>
  </si>
  <si>
    <t xml:space="preserve">488,000 천원  </t>
  </si>
  <si>
    <t>부단수차단기 손료   차단관경, D2200mm</t>
  </si>
  <si>
    <t>부단수차단기 손료   차단관경, D2300mm</t>
  </si>
  <si>
    <t xml:space="preserve">539,000 천원  </t>
  </si>
  <si>
    <t>부단수차단기 손료   차단관경, D2400mm</t>
  </si>
  <si>
    <t xml:space="preserve">570,000 천원  </t>
  </si>
  <si>
    <t>플러깅 손료   차단관경, D80mm</t>
  </si>
  <si>
    <t xml:space="preserve">3,800 천원  </t>
  </si>
  <si>
    <t>플러깅 손료   차단관경, D100mm</t>
  </si>
  <si>
    <t xml:space="preserve">4,000 천원  </t>
  </si>
  <si>
    <t>플러깅 손료   차단관경, D150mm</t>
  </si>
  <si>
    <t xml:space="preserve">4,500 천원  </t>
  </si>
  <si>
    <t>플러깅 손료   차단관경, D200mm</t>
  </si>
  <si>
    <t xml:space="preserve">5,000 천원  </t>
  </si>
  <si>
    <t>플러깅 손료   차단관경, D250mm</t>
  </si>
  <si>
    <t xml:space="preserve">5,600 천원  </t>
  </si>
  <si>
    <t>플러깅 손료   차단관경, D300mm</t>
  </si>
  <si>
    <t xml:space="preserve">6,300 천원  </t>
  </si>
  <si>
    <t>플러깅 손료   차단관경, D350mm</t>
  </si>
  <si>
    <t xml:space="preserve">6,900 천원  </t>
  </si>
  <si>
    <t>플러깅 손료   차단관경, D400mm</t>
  </si>
  <si>
    <t xml:space="preserve">8,200 천원  </t>
  </si>
  <si>
    <t>플러깅 손료   차단관경, D450mm</t>
  </si>
  <si>
    <t>플러깅 손료   차단관경, D500mm</t>
  </si>
  <si>
    <t>플러깅 손료   차단관경, D600mm</t>
  </si>
  <si>
    <t>플러깅 손료   차단관경, D700mm</t>
  </si>
  <si>
    <t xml:space="preserve">12,000 천원  </t>
  </si>
  <si>
    <t>플러깅 손료   차단관경, D800mm</t>
  </si>
  <si>
    <t>플러깅 손료   차단관경, D900mm</t>
  </si>
  <si>
    <t>플러깅 손료   차단관경, D1000mm</t>
  </si>
  <si>
    <t xml:space="preserve">16,000 천원  </t>
  </si>
  <si>
    <t>플러깅 손료   차단관경, D1100mm</t>
  </si>
  <si>
    <t>플러깅 손료   차단관경, D1200mm</t>
  </si>
  <si>
    <t>플러깅 손료   차단관경, D1350mm</t>
  </si>
  <si>
    <t>플러깅 손료   차단관경, D1500mm</t>
  </si>
  <si>
    <t xml:space="preserve">25,000 천원  </t>
  </si>
  <si>
    <t>플러깅 손료   차단관경, D1650mm</t>
  </si>
  <si>
    <t>플러깅 손료   차단관경, D1800mm</t>
  </si>
  <si>
    <t>플러깅 손료   차단관경, D2000mm</t>
  </si>
  <si>
    <t xml:space="preserve">38,000 천원  </t>
  </si>
  <si>
    <t>플러깅 손료   차단관경, D2100mm</t>
  </si>
  <si>
    <t>플러깅 손료   차단관경, D2200mm</t>
  </si>
  <si>
    <t>플러깅 손료   차단관경, D2300mm</t>
  </si>
  <si>
    <t>플러깅 손료   차단관경, D2400mm</t>
  </si>
  <si>
    <t>샌드위치 밸브   D80x80mm</t>
  </si>
  <si>
    <t xml:space="preserve">2,000 천원  </t>
  </si>
  <si>
    <t>샌드위치밸브</t>
  </si>
  <si>
    <t>샌드위치 밸브   D100x100mm</t>
  </si>
  <si>
    <t xml:space="preserve">2,800 천원  </t>
  </si>
  <si>
    <t>샌드위치 밸브   D150x150mm</t>
  </si>
  <si>
    <t xml:space="preserve">5,800 천원  </t>
  </si>
  <si>
    <t>샌드위치 밸브   D200x200mm</t>
  </si>
  <si>
    <t xml:space="preserve">8,500 천원  </t>
  </si>
  <si>
    <t>샌드위치 밸브   D250x250mm</t>
  </si>
  <si>
    <t xml:space="preserve">9,500 천원  </t>
  </si>
  <si>
    <t>샌드위치 밸브   D300x300mm</t>
  </si>
  <si>
    <t xml:space="preserve">11,000 천원  </t>
  </si>
  <si>
    <t>샌드위치 밸브   D350x350mm</t>
  </si>
  <si>
    <t xml:space="preserve">13,000 천원  </t>
  </si>
  <si>
    <t>샌드위치 밸브   D400x400mm</t>
  </si>
  <si>
    <t xml:space="preserve">18,000 천원  </t>
  </si>
  <si>
    <t>샌드위치 밸브   D450x400mm</t>
  </si>
  <si>
    <t>샌드위치 밸브   D500x400mm</t>
  </si>
  <si>
    <t>샌드위치 밸브   D600x400mm</t>
  </si>
  <si>
    <t>샌드위치 밸브   D700x600mm</t>
  </si>
  <si>
    <t xml:space="preserve">28,000 천원  </t>
  </si>
  <si>
    <t>샌드위치 밸브   D800x600mm</t>
  </si>
  <si>
    <t>샌드위치 밸브   D900x600mm</t>
  </si>
  <si>
    <t>샌드위치 밸브   D1000x900mm</t>
  </si>
  <si>
    <t xml:space="preserve">55,000 천원  </t>
  </si>
  <si>
    <t>샌드위치 밸브   D1100x900mm</t>
  </si>
  <si>
    <t>샌드위치 밸브   D1200x900mm</t>
  </si>
  <si>
    <t>샌드위치 밸브   D1350x900mm</t>
  </si>
  <si>
    <t>샌드위치 밸브   D1500x1200mm</t>
  </si>
  <si>
    <t xml:space="preserve">100,000 천원  </t>
  </si>
  <si>
    <t>샌드위치 밸브   D1650x1200mm</t>
  </si>
  <si>
    <t>샌드위치 밸브   D1800x1200mm</t>
  </si>
  <si>
    <t>샌드위치 밸브   D2000x1650mm</t>
  </si>
  <si>
    <t xml:space="preserve">130,000 천원  </t>
  </si>
  <si>
    <t>샌드위치 밸브   D2100x1650mm</t>
  </si>
  <si>
    <t>샌드위치 밸브   D2200x1650mm</t>
  </si>
  <si>
    <t>샌드위치 밸브   D2300x1650mm</t>
  </si>
  <si>
    <t>샌드위치 밸브   D2400x1650mm</t>
  </si>
  <si>
    <t>5 TON</t>
    <phoneticPr fontId="4" type="noConversion"/>
  </si>
  <si>
    <t>HR</t>
    <phoneticPr fontId="4" type="noConversion"/>
  </si>
  <si>
    <t>26년적산단가/765</t>
    <phoneticPr fontId="4" type="noConversion"/>
  </si>
  <si>
    <t>15 TON</t>
    <phoneticPr fontId="4" type="noConversion"/>
  </si>
  <si>
    <t>18 TON</t>
    <phoneticPr fontId="4" type="noConversion"/>
  </si>
  <si>
    <t>26년적산단가/762</t>
    <phoneticPr fontId="4" type="noConversion"/>
  </si>
  <si>
    <t>26년적산단가/793</t>
    <phoneticPr fontId="4" type="noConversion"/>
  </si>
  <si>
    <t>26년적산단가/794</t>
    <phoneticPr fontId="4" type="noConversion"/>
  </si>
  <si>
    <t>상수도관 천공기</t>
    <phoneticPr fontId="1" type="noConversion"/>
  </si>
  <si>
    <t>26년적산단가/790</t>
    <phoneticPr fontId="4" type="noConversion"/>
  </si>
  <si>
    <t>장비운반비</t>
    <phoneticPr fontId="1" type="noConversion"/>
  </si>
  <si>
    <t>nr</t>
    <phoneticPr fontId="1" type="noConversion"/>
  </si>
  <si>
    <t>장비운반비 산출근거</t>
    <phoneticPr fontId="1" type="noConversion"/>
  </si>
  <si>
    <t>수자원적산지침 토목공사 8차/153P</t>
    <phoneticPr fontId="1" type="noConversion"/>
  </si>
  <si>
    <t>㈜대호스토퍼 장비견적서</t>
    <phoneticPr fontId="1" type="noConversion"/>
  </si>
  <si>
    <t>수자원적산지침 토목공사 8차/154P</t>
    <phoneticPr fontId="1" type="noConversion"/>
  </si>
  <si>
    <t>K-water</t>
    <phoneticPr fontId="10" type="noConversion"/>
  </si>
  <si>
    <t>귀중</t>
    <phoneticPr fontId="10" type="noConversion"/>
  </si>
  <si>
    <t>12개월</t>
    <phoneticPr fontId="1" type="noConversion"/>
  </si>
  <si>
    <t>울산공업용수도 노후관 개량사업(3차) 및 추가사업 시설공사 중 부단수 차단 자재</t>
    <phoneticPr fontId="10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</si>
  <si>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</si>
  <si>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</si>
  <si>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</si>
  <si>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</si>
  <si>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140-81-34127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</si>
  <si>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</si>
  <si>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</si>
  <si>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</si>
  <si>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</si>
  <si>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</si>
  <si>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</si>
  <si>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소  재  지</t>
    <phoneticPr fontId="10" type="noConversion"/>
  </si>
  <si>
    <t>경기도 안산시 상록구 남산평길 126-4(팔곡일동)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</si>
  <si>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</si>
  <si>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</si>
  <si>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</si>
  <si>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</si>
  <si>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</si>
  <si>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</si>
  <si>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</si>
  <si>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</si>
  <si>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</si>
  <si>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</si>
  <si>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</si>
  <si>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</si>
  <si>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</si>
  <si>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</si>
  <si>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12개월</t>
    <phoneticPr fontId="1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</si>
  <si>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</si>
  <si>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</si>
  <si>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</si>
  <si>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울산공업용수도 노후관 개량사업(3차) 및 추가사업 시설공사 중 부단수 차단 장비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</si>
  <si>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</si>
  <si>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</si>
  <si>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</si>
  <si>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</si>
  <si>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</si>
  <si>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</si>
  <si>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</si>
  <si>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</si>
  <si>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</si>
  <si>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규       격</t>
    <phoneticPr fontId="10" type="noConversion"/>
  </si>
  <si>
    <t>단위</t>
    <phoneticPr fontId="10" type="noConversion"/>
  </si>
  <si>
    <t>수량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</si>
  <si>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</si>
  <si>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</si>
  <si>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</si>
  <si>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샌드위치 밸브</t>
    <phoneticPr fontId="10" type="noConversion"/>
  </si>
  <si>
    <t>D1,200*850㎜</t>
    <phoneticPr fontId="1" type="noConversion"/>
  </si>
  <si>
    <t>EA</t>
    <phoneticPr fontId="10" type="noConversion"/>
  </si>
  <si>
    <t>부단수천공기</t>
    <phoneticPr fontId="10" type="noConversion"/>
  </si>
  <si>
    <t>D1,200*850㎜</t>
    <phoneticPr fontId="1" type="noConversion"/>
  </si>
  <si>
    <t>EA</t>
    <phoneticPr fontId="10" type="noConversion"/>
  </si>
  <si>
    <t>칩제거기</t>
    <phoneticPr fontId="10" type="noConversion"/>
  </si>
  <si>
    <t>EA</t>
    <phoneticPr fontId="10" type="noConversion"/>
  </si>
  <si>
    <t>부단수차단기</t>
    <phoneticPr fontId="10" type="noConversion"/>
  </si>
  <si>
    <t>D1,200*850㎜</t>
    <phoneticPr fontId="1" type="noConversion"/>
  </si>
  <si>
    <t>플러깅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</si>
  <si>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</si>
  <si>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</si>
  <si>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</si>
  <si>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D1200mm(안산-울산)</t>
    <phoneticPr fontId="1" type="noConversion"/>
  </si>
  <si>
    <t>D1200mm(안산-울산)</t>
    <phoneticPr fontId="1" type="noConversion"/>
  </si>
  <si>
    <t>D1200x850mm</t>
    <phoneticPr fontId="1" type="noConversion"/>
  </si>
  <si>
    <t>D1200x850mm</t>
    <phoneticPr fontId="1" type="noConversion"/>
  </si>
  <si>
    <t>$A$3</t>
    <phoneticPr fontId="1" type="noConversion"/>
  </si>
  <si>
    <t>$A$47</t>
  </si>
  <si>
    <t>$A$58</t>
  </si>
  <si>
    <t>$A$69</t>
  </si>
  <si>
    <t>$A$80</t>
  </si>
  <si>
    <t>$A$91</t>
  </si>
  <si>
    <t>$A$102</t>
  </si>
  <si>
    <t>$A$113</t>
  </si>
  <si>
    <t>$A$124</t>
  </si>
  <si>
    <t>$A$135</t>
  </si>
  <si>
    <t>$A$146</t>
  </si>
  <si>
    <t>$A$157</t>
  </si>
  <si>
    <t>$A$168</t>
  </si>
  <si>
    <t>$A$179</t>
  </si>
  <si>
    <t>$A$190</t>
  </si>
  <si>
    <t>$A$201</t>
  </si>
  <si>
    <t>$A$212</t>
  </si>
  <si>
    <t>$A$223</t>
  </si>
  <si>
    <t>$A$234</t>
  </si>
  <si>
    <t>$A$245</t>
  </si>
  <si>
    <t>$A$267</t>
  </si>
  <si>
    <t>$A$278</t>
  </si>
  <si>
    <t>$A$289</t>
  </si>
  <si>
    <t>$A$300</t>
  </si>
  <si>
    <t>:$H$12</t>
  </si>
  <si>
    <t>$A$14</t>
    <phoneticPr fontId="1" type="noConversion"/>
  </si>
  <si>
    <t>:$H$23</t>
  </si>
  <si>
    <t>$A$25</t>
    <phoneticPr fontId="1" type="noConversion"/>
  </si>
  <si>
    <t>:$H$34</t>
  </si>
  <si>
    <t>$A$36</t>
  </si>
  <si>
    <t>$A$256</t>
  </si>
  <si>
    <t>$A$311</t>
  </si>
  <si>
    <t>$A$322</t>
  </si>
  <si>
    <t>$A$333</t>
  </si>
  <si>
    <t>$A$344</t>
  </si>
  <si>
    <t>$A$355</t>
  </si>
  <si>
    <t>$A$366</t>
  </si>
  <si>
    <t>$A$377</t>
  </si>
  <si>
    <t>$A$388</t>
  </si>
  <si>
    <t>$A$399</t>
  </si>
  <si>
    <t>$A$410</t>
  </si>
  <si>
    <t>$A$421</t>
  </si>
  <si>
    <t>$A$432</t>
  </si>
  <si>
    <t>$A$443</t>
  </si>
  <si>
    <t>$A$454</t>
  </si>
  <si>
    <t>$A$465</t>
  </si>
  <si>
    <t>$A$476</t>
  </si>
  <si>
    <t>$A$487</t>
  </si>
  <si>
    <t>$A$498</t>
  </si>
  <si>
    <t>$A$509</t>
  </si>
  <si>
    <t>$A$520</t>
  </si>
  <si>
    <t>$A$531</t>
  </si>
  <si>
    <t>$A$542</t>
  </si>
  <si>
    <t>$A$553</t>
  </si>
  <si>
    <t>$A$564</t>
  </si>
  <si>
    <t>$A$575</t>
  </si>
  <si>
    <t>$A$586</t>
  </si>
  <si>
    <t>$A$597</t>
  </si>
  <si>
    <t>$A$608</t>
  </si>
  <si>
    <t>$A$619</t>
  </si>
  <si>
    <t>$A$630</t>
  </si>
  <si>
    <t>$A$641</t>
  </si>
  <si>
    <t>$A$652</t>
  </si>
  <si>
    <t>$A$663</t>
  </si>
  <si>
    <t>$A$674</t>
  </si>
  <si>
    <t>$A$685</t>
  </si>
  <si>
    <t>$A$696</t>
  </si>
  <si>
    <t>$A$707</t>
  </si>
  <si>
    <t>$A$718</t>
  </si>
  <si>
    <t>$A$729</t>
  </si>
  <si>
    <t>$A$740</t>
  </si>
  <si>
    <t>$A$751</t>
  </si>
  <si>
    <t>$A$762</t>
  </si>
  <si>
    <t>$A$773</t>
  </si>
  <si>
    <t>$A$784</t>
  </si>
  <si>
    <t>$A$795</t>
  </si>
  <si>
    <t>$A$806</t>
  </si>
  <si>
    <t>$A$817</t>
  </si>
  <si>
    <t>$A$828</t>
  </si>
  <si>
    <t>$A$839</t>
  </si>
  <si>
    <t>$A$850</t>
  </si>
  <si>
    <t>$A$861</t>
  </si>
  <si>
    <t>$A$872</t>
  </si>
  <si>
    <t>$A$883</t>
  </si>
  <si>
    <t>$A$894</t>
  </si>
  <si>
    <t>$A$905</t>
  </si>
  <si>
    <t>$A$916</t>
  </si>
  <si>
    <t>$A$927</t>
  </si>
  <si>
    <t>$A$938</t>
  </si>
  <si>
    <t>$A$949</t>
  </si>
  <si>
    <t>$A$960</t>
  </si>
  <si>
    <t>$A$971</t>
  </si>
  <si>
    <t>$A$982</t>
  </si>
  <si>
    <t>$A$993</t>
  </si>
  <si>
    <t>$A$1004</t>
  </si>
  <si>
    <t>$A$1015</t>
  </si>
  <si>
    <t>$A$1026</t>
  </si>
  <si>
    <t>$A$1037</t>
  </si>
  <si>
    <t>$A$1048</t>
  </si>
  <si>
    <t>$A$1059</t>
  </si>
  <si>
    <t>$A$1070</t>
  </si>
  <si>
    <t>$A$1081</t>
  </si>
  <si>
    <t>$A$1092</t>
  </si>
  <si>
    <t>$A$1103</t>
  </si>
  <si>
    <t>$A$1114</t>
  </si>
  <si>
    <t>$A$1125</t>
  </si>
  <si>
    <t>$A$1136</t>
  </si>
  <si>
    <t>$A$1147</t>
  </si>
  <si>
    <t>$A$1158</t>
  </si>
  <si>
    <t>$A$1169</t>
  </si>
  <si>
    <t>$A$1180</t>
  </si>
  <si>
    <t>$A$1191</t>
  </si>
  <si>
    <t>$A$1202</t>
  </si>
  <si>
    <t>$A$1213</t>
  </si>
  <si>
    <t>$A$1224</t>
  </si>
  <si>
    <t>$A$1235</t>
  </si>
  <si>
    <t>$A$1246</t>
  </si>
  <si>
    <t>$A$1257</t>
  </si>
  <si>
    <t>$A$1268</t>
  </si>
  <si>
    <t>$A$1279</t>
  </si>
  <si>
    <t>$A$1290</t>
  </si>
  <si>
    <t>$A$1301</t>
  </si>
  <si>
    <t>$A$1312</t>
  </si>
  <si>
    <t>$A$1323</t>
  </si>
  <si>
    <t>$A$1334</t>
  </si>
  <si>
    <t>$A$1345</t>
  </si>
  <si>
    <t>$A$1356</t>
  </si>
  <si>
    <t>$A$1367</t>
  </si>
  <si>
    <t>$A$1378</t>
  </si>
  <si>
    <t>$A$1389</t>
  </si>
  <si>
    <t>$A$1400</t>
  </si>
  <si>
    <t>$A$1411</t>
  </si>
  <si>
    <t>$A$1422</t>
  </si>
  <si>
    <t xml:space="preserve">16,000 천원  </t>
    <phoneticPr fontId="1" type="noConversion"/>
  </si>
  <si>
    <t>플러깅 손료   차단관경, D1200x850mm</t>
    <phoneticPr fontId="1" type="noConversion"/>
  </si>
  <si>
    <t>샌드위치 밸브   D1200x850mm</t>
    <phoneticPr fontId="1" type="noConversion"/>
  </si>
  <si>
    <t>D850mm</t>
    <phoneticPr fontId="1" type="noConversion"/>
  </si>
  <si>
    <t>D1200x850mm</t>
  </si>
  <si>
    <t>D1200x850mm</t>
    <phoneticPr fontId="1" type="noConversion"/>
  </si>
  <si>
    <t>부단수차단기 손료   차단관경, D1200x850mm</t>
    <phoneticPr fontId="1" type="noConversion"/>
  </si>
  <si>
    <t>칩제거기 손료   차단관경, D1200x850mm</t>
    <phoneticPr fontId="1" type="noConversion"/>
  </si>
  <si>
    <t>부단수 천공기 손료   차단관경, D1200x850mm</t>
    <phoneticPr fontId="1" type="noConversion"/>
  </si>
  <si>
    <t>차단관경, D1200x850mm</t>
    <phoneticPr fontId="1" type="noConversion"/>
  </si>
  <si>
    <t>$A$1433</t>
  </si>
  <si>
    <t>$A$1444</t>
  </si>
  <si>
    <t>$A$1455</t>
  </si>
  <si>
    <t>$A$1466</t>
  </si>
  <si>
    <t>$A$1477</t>
  </si>
  <si>
    <t>:$H$45</t>
  </si>
  <si>
    <t>:$H$56</t>
  </si>
  <si>
    <t>:$H$67</t>
  </si>
  <si>
    <t>:$H$78</t>
  </si>
  <si>
    <t>:$H$89</t>
  </si>
  <si>
    <t>:$H$100</t>
  </si>
  <si>
    <t>:$H$111</t>
  </si>
  <si>
    <t>:$H$122</t>
  </si>
  <si>
    <t>:$H$133</t>
  </si>
  <si>
    <t>:$H$144</t>
  </si>
  <si>
    <t>:$H$155</t>
  </si>
  <si>
    <t>:$H$166</t>
  </si>
  <si>
    <t>:$H$177</t>
  </si>
  <si>
    <t>:$H$188</t>
  </si>
  <si>
    <t>:$H$199</t>
  </si>
  <si>
    <t>:$H$210</t>
  </si>
  <si>
    <t>:$H$221</t>
  </si>
  <si>
    <t>:$H$232</t>
  </si>
  <si>
    <t>:$H$243</t>
  </si>
  <si>
    <t>:$H$254</t>
  </si>
  <si>
    <t>:$H$265</t>
  </si>
  <si>
    <t>:$H$276</t>
  </si>
  <si>
    <t>:$H$287</t>
  </si>
  <si>
    <t>:$H$298</t>
  </si>
  <si>
    <t>:$H$309</t>
  </si>
  <si>
    <t>:$H$320</t>
  </si>
  <si>
    <t>:$H$331</t>
  </si>
  <si>
    <t>:$H$342</t>
  </si>
  <si>
    <t>:$H$353</t>
  </si>
  <si>
    <t>:$H$364</t>
  </si>
  <si>
    <t>:$H$375</t>
  </si>
  <si>
    <t>:$H$386</t>
  </si>
  <si>
    <t>:$H$397</t>
  </si>
  <si>
    <t>:$H$408</t>
  </si>
  <si>
    <t>:$H$419</t>
  </si>
  <si>
    <t>:$H$430</t>
  </si>
  <si>
    <t>:$H$441</t>
  </si>
  <si>
    <t>:$H$452</t>
  </si>
  <si>
    <t>:$H$463</t>
  </si>
  <si>
    <t>:$H$474</t>
  </si>
  <si>
    <t>:$H$485</t>
  </si>
  <si>
    <t>:$H$496</t>
  </si>
  <si>
    <t>:$H$507</t>
  </si>
  <si>
    <t>:$H$518</t>
  </si>
  <si>
    <t>:$H$529</t>
  </si>
  <si>
    <t>:$H$540</t>
  </si>
  <si>
    <t>:$H$551</t>
  </si>
  <si>
    <t>:$H$562</t>
  </si>
  <si>
    <t>:$H$573</t>
  </si>
  <si>
    <t>:$H$584</t>
  </si>
  <si>
    <t>:$H$595</t>
  </si>
  <si>
    <t>:$H$606</t>
  </si>
  <si>
    <t>:$H$617</t>
  </si>
  <si>
    <t>:$H$628</t>
  </si>
  <si>
    <t>:$H$639</t>
  </si>
  <si>
    <t>:$H$650</t>
  </si>
  <si>
    <t>:$H$661</t>
  </si>
  <si>
    <t>:$H$672</t>
  </si>
  <si>
    <t>:$H$683</t>
  </si>
  <si>
    <t>:$H$694</t>
  </si>
  <si>
    <t>:$H$705</t>
  </si>
  <si>
    <t>:$H$716</t>
  </si>
  <si>
    <t>:$H$727</t>
  </si>
  <si>
    <t>:$H$738</t>
  </si>
  <si>
    <t>:$H$749</t>
  </si>
  <si>
    <t>:$H$760</t>
  </si>
  <si>
    <t>:$H$771</t>
  </si>
  <si>
    <t>:$H$782</t>
  </si>
  <si>
    <t>:$H$793</t>
  </si>
  <si>
    <t>:$H$804</t>
  </si>
  <si>
    <t>:$H$815</t>
  </si>
  <si>
    <t>:$H$826</t>
  </si>
  <si>
    <t>:$H$837</t>
  </si>
  <si>
    <t>:$H$848</t>
  </si>
  <si>
    <t>:$H$859</t>
  </si>
  <si>
    <t>:$H$870</t>
  </si>
  <si>
    <t>:$H$881</t>
  </si>
  <si>
    <t>:$H$892</t>
  </si>
  <si>
    <t>:$H$903</t>
  </si>
  <si>
    <t>:$H$914</t>
  </si>
  <si>
    <t>:$H$925</t>
  </si>
  <si>
    <t>:$H$936</t>
  </si>
  <si>
    <t>:$H$947</t>
  </si>
  <si>
    <t>:$H$958</t>
  </si>
  <si>
    <t>:$H$969</t>
  </si>
  <si>
    <t>:$H$980</t>
  </si>
  <si>
    <t>:$H$991</t>
  </si>
  <si>
    <t>:$H$1002</t>
  </si>
  <si>
    <t>:$H$1013</t>
  </si>
  <si>
    <t>:$H$1024</t>
  </si>
  <si>
    <t>:$H$1035</t>
  </si>
  <si>
    <t>:$H$1046</t>
  </si>
  <si>
    <t>:$H$1057</t>
  </si>
  <si>
    <t>:$H$1068</t>
  </si>
  <si>
    <t>:$H$1079</t>
  </si>
  <si>
    <t>:$H$1090</t>
  </si>
  <si>
    <t>:$H$1101</t>
  </si>
  <si>
    <t>:$H$1112</t>
  </si>
  <si>
    <t>:$H$1123</t>
  </si>
  <si>
    <t>:$H$1134</t>
  </si>
  <si>
    <t>:$H$1145</t>
  </si>
  <si>
    <t>:$H$1156</t>
  </si>
  <si>
    <t>:$H$1167</t>
  </si>
  <si>
    <t>:$H$1178</t>
  </si>
  <si>
    <t>:$H$1189</t>
  </si>
  <si>
    <t>:$H$1200</t>
  </si>
  <si>
    <t>:$H$1211</t>
  </si>
  <si>
    <t>:$H$1222</t>
  </si>
  <si>
    <t>:$H$1233</t>
  </si>
  <si>
    <t>:$H$1244</t>
  </si>
  <si>
    <t>:$H$1255</t>
  </si>
  <si>
    <t>:$H$1266</t>
  </si>
  <si>
    <t>:$H$1277</t>
  </si>
  <si>
    <t>:$H$1288</t>
  </si>
  <si>
    <t>:$H$1299</t>
  </si>
  <si>
    <t>:$H$1310</t>
  </si>
  <si>
    <t>:$H$1321</t>
  </si>
  <si>
    <t>:$H$1332</t>
  </si>
  <si>
    <t>:$H$1343</t>
  </si>
  <si>
    <t>:$H$1354</t>
  </si>
  <si>
    <t>:$H$1365</t>
  </si>
  <si>
    <t>:$H$1376</t>
  </si>
  <si>
    <t>:$H$1387</t>
  </si>
  <si>
    <t>:$H$1398</t>
  </si>
  <si>
    <t>:$H$1409</t>
  </si>
  <si>
    <t>:$H$1420</t>
  </si>
  <si>
    <t>:$H$1431</t>
  </si>
  <si>
    <t>:$H$1442</t>
  </si>
  <si>
    <t>:$H$1453</t>
  </si>
  <si>
    <t>:$H$1464</t>
  </si>
  <si>
    <t>:$H$1475</t>
  </si>
  <si>
    <t>:$H$1486</t>
  </si>
  <si>
    <t>중기사용료목록!$G$3</t>
  </si>
  <si>
    <t>중기사용료목록!$G$4</t>
  </si>
  <si>
    <t>중기사용료목록!$G$5</t>
  </si>
  <si>
    <t>중기사용료목록!$G$6</t>
  </si>
  <si>
    <t>중기사용료목록!$G$7</t>
  </si>
  <si>
    <t>중기사용료목록!$G$8</t>
  </si>
  <si>
    <t>중기사용료목록!$G$9</t>
  </si>
  <si>
    <t>중기사용료목록!$G$10</t>
  </si>
  <si>
    <t>중기사용료목록!$G$11</t>
  </si>
  <si>
    <t>중기사용료목록!$G$12</t>
  </si>
  <si>
    <t>중기사용료목록!$G$13</t>
  </si>
  <si>
    <t>중기사용료목록!$G$14</t>
  </si>
  <si>
    <t>중기사용료목록!$G$15</t>
  </si>
  <si>
    <t>중기사용료목록!$G$16</t>
  </si>
  <si>
    <t>중기사용료목록!$G$17</t>
  </si>
  <si>
    <t>중기사용료목록!$G$18</t>
  </si>
  <si>
    <t>중기사용료목록!$G$19</t>
  </si>
  <si>
    <t>중기사용료목록!$G$20</t>
  </si>
  <si>
    <t>중기사용료목록!$G$21</t>
  </si>
  <si>
    <t>중기사용료목록!$G$22</t>
  </si>
  <si>
    <t>중기사용료목록!$G$23</t>
  </si>
  <si>
    <t>중기사용료목록!$G$24</t>
  </si>
  <si>
    <t>중기사용료목록!$G$25</t>
  </si>
  <si>
    <t>중기사용료목록!$G$26</t>
  </si>
  <si>
    <t>중기사용료목록!$G$27</t>
  </si>
  <si>
    <t>중기사용료목록!$G$28</t>
  </si>
  <si>
    <t>중기사용료목록!$G$29</t>
  </si>
  <si>
    <t>중기사용료목록!$G$30</t>
  </si>
  <si>
    <t>중기사용료목록!$G$31</t>
  </si>
  <si>
    <t>중기사용료목록!$G$32</t>
  </si>
  <si>
    <t>중기사용료목록!$G$33</t>
  </si>
  <si>
    <t>중기사용료목록!$G$34</t>
  </si>
  <si>
    <t>중기사용료목록!$G$35</t>
  </si>
  <si>
    <t>중기사용료목록!$G$36</t>
  </si>
  <si>
    <t>중기사용료목록!$G$37</t>
  </si>
  <si>
    <t>중기사용료목록!$G$38</t>
  </si>
  <si>
    <t>중기사용료목록!$G$39</t>
  </si>
  <si>
    <t>중기사용료목록!$G$40</t>
  </si>
  <si>
    <t>중기사용료목록!$G$41</t>
  </si>
  <si>
    <t>중기사용료목록!$G$42</t>
  </si>
  <si>
    <t>중기사용료목록!$G$43</t>
  </si>
  <si>
    <t>중기사용료목록!$G$44</t>
  </si>
  <si>
    <t>중기사용료목록!$G$45</t>
  </si>
  <si>
    <t>중기사용료목록!$G$46</t>
  </si>
  <si>
    <t>중기사용료목록!$G$47</t>
  </si>
  <si>
    <t>중기사용료목록!$G$48</t>
  </si>
  <si>
    <t>중기사용료목록!$G$49</t>
  </si>
  <si>
    <t>중기사용료목록!$G$50</t>
  </si>
  <si>
    <t>중기사용료목록!$G$51</t>
  </si>
  <si>
    <t>중기사용료목록!$G$52</t>
  </si>
  <si>
    <t>중기사용료목록!$G$53</t>
  </si>
  <si>
    <t>중기사용료목록!$G$54</t>
  </si>
  <si>
    <t>중기사용료목록!$G$55</t>
  </si>
  <si>
    <t>중기사용료목록!$G$56</t>
  </si>
  <si>
    <t>중기사용료목록!$G$57</t>
  </si>
  <si>
    <t>중기사용료목록!$G$58</t>
  </si>
  <si>
    <t>중기사용료목록!$G$59</t>
  </si>
  <si>
    <t>중기사용료목록!$G$60</t>
  </si>
  <si>
    <t>중기사용료목록!$G$61</t>
  </si>
  <si>
    <t>중기사용료목록!$G$62</t>
  </si>
  <si>
    <t>중기사용료목록!$G$63</t>
  </si>
  <si>
    <t>중기사용료목록!$G$64</t>
  </si>
  <si>
    <t>중기사용료목록!$G$65</t>
  </si>
  <si>
    <t>중기사용료목록!$G$66</t>
  </si>
  <si>
    <t>중기사용료목록!$G$67</t>
  </si>
  <si>
    <t>중기사용료목록!$G$68</t>
  </si>
  <si>
    <t>중기사용료목록!$G$69</t>
  </si>
  <si>
    <t>중기사용료목록!$G$70</t>
  </si>
  <si>
    <t>중기사용료목록!$G$71</t>
  </si>
  <si>
    <t>중기사용료목록!$G$72</t>
  </si>
  <si>
    <t>중기사용료목록!$G$75</t>
  </si>
  <si>
    <t>중기사용료목록!$G$76</t>
  </si>
  <si>
    <t>중기사용료목록!$G$77</t>
  </si>
  <si>
    <t>중기사용료목록!$G$78</t>
  </si>
  <si>
    <t>중기사용료목록!$G$79</t>
  </si>
  <si>
    <t>중기사용료목록!$G$80</t>
  </si>
  <si>
    <t>중기사용료목록!$G$81</t>
  </si>
  <si>
    <t>중기사용료목록!$G$82</t>
  </si>
  <si>
    <t>중기사용료목록!$G$83</t>
  </si>
  <si>
    <t>중기사용료목록!$G$84</t>
  </si>
  <si>
    <t>중기사용료목록!$G$85</t>
  </si>
  <si>
    <t>중기사용료목록!$G$86</t>
  </si>
  <si>
    <t>중기사용료목록!$G$87</t>
  </si>
  <si>
    <t>중기사용료목록!$G$88</t>
  </si>
  <si>
    <t>중기사용료목록!$G$89</t>
  </si>
  <si>
    <t>중기사용료목록!$G$90</t>
  </si>
  <si>
    <t>중기사용료목록!$G$91</t>
  </si>
  <si>
    <t>중기사용료목록!$G$92</t>
  </si>
  <si>
    <t>중기사용료목록!$G$93</t>
  </si>
  <si>
    <t>중기사용료목록!$G$94</t>
  </si>
  <si>
    <t>중기사용료목록!$G$95</t>
  </si>
  <si>
    <t>중기사용료목록!$G$96</t>
  </si>
  <si>
    <t>중기사용료목록!$G$98</t>
  </si>
  <si>
    <t>중기사용료목록!$G$99</t>
  </si>
  <si>
    <t>중기사용료목록!$G$100</t>
  </si>
  <si>
    <t>중기사용료목록!$G$101</t>
  </si>
  <si>
    <t>중기사용료목록!$G$102</t>
  </si>
  <si>
    <t>중기사용료목록!$G$103</t>
  </si>
  <si>
    <t>중기사용료목록!$G$104</t>
  </si>
  <si>
    <t>중기사용료목록!$G$105</t>
  </si>
  <si>
    <t>중기사용료목록!$G$106</t>
  </si>
  <si>
    <t>중기사용료목록!$G$107</t>
  </si>
  <si>
    <t>중기사용료목록!$G$108</t>
  </si>
  <si>
    <t>중기사용료목록!$G$109</t>
  </si>
  <si>
    <t>중기사용료목록!$G$110</t>
  </si>
  <si>
    <t>중기사용료목록!$G$111</t>
  </si>
  <si>
    <t>중기사용료목록!$G$112</t>
  </si>
  <si>
    <t>중기사용료목록!$G$113</t>
  </si>
  <si>
    <t>중기사용료목록!$G$114</t>
  </si>
  <si>
    <t>중기사용료목록!$G$115</t>
  </si>
  <si>
    <t>중기사용료목록!$G$116</t>
  </si>
  <si>
    <t>중기사용료목록!$G$117</t>
  </si>
  <si>
    <t>중기사용료목록!$G$118</t>
  </si>
  <si>
    <t>중기사용료목록!$G$119</t>
  </si>
  <si>
    <t>중기사용료목록!$G$120</t>
  </si>
  <si>
    <t>중기사용료목록!$G$121</t>
  </si>
  <si>
    <t>중기사용료목록!$G$122</t>
  </si>
  <si>
    <t>중기사용료목록!$G$123</t>
  </si>
  <si>
    <t>중기사용료목록!$G$124</t>
  </si>
  <si>
    <t>중기사용료목록!$G$125</t>
  </si>
  <si>
    <t>중기사용료목록!$G$126</t>
  </si>
  <si>
    <t>중기사용료목록!$G$127</t>
  </si>
  <si>
    <t>중기사용료목록!$G$128</t>
  </si>
  <si>
    <t>중기사용료목록!$G$129</t>
  </si>
  <si>
    <t>중기사용료목록!$G$130</t>
  </si>
  <si>
    <t>중기사용료목록!$G$131</t>
  </si>
  <si>
    <t>중기사용료목록!$G$132</t>
  </si>
  <si>
    <t>중기사용료목록!$G$133</t>
  </si>
  <si>
    <t>중기사용료목록!$G$134</t>
  </si>
  <si>
    <t>중기사용료목록!$G$135</t>
  </si>
  <si>
    <t>중기사용료목록!$G$136</t>
  </si>
  <si>
    <t>중기사용료목록!$G$137</t>
  </si>
  <si>
    <t>중기사용료목록!$G$73</t>
    <phoneticPr fontId="1" type="noConversion"/>
  </si>
  <si>
    <t>중기사용료목록!$G$74</t>
    <phoneticPr fontId="1" type="noConversion"/>
  </si>
  <si>
    <t>중기사용료목록!$G$97</t>
    <phoneticPr fontId="1" type="noConversion"/>
  </si>
  <si>
    <t>D850mm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</si>
</sst>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  <numFmt numFmtId="197" formatCode="#,###.0;\-#,###.0;&quot;&quot;;@"/>
  </numFmts>
  <fonts count="3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indexed="8"/>
      <name val="굴림"/>
      <family val="2"/>
      <charset val="129"/>
    </font>
    <font>
      <sz val="8"/>
      <color indexed="8"/>
      <name val="굴림체"/>
      <family val="3"/>
      <charset val="129"/>
    </font>
    <font>
      <sz val="9"/>
      <color theme="1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indexed="8"/>
      <name val="굴림"/>
      <family val="2"/>
      <charset val="129"/>
    </font>
    <font>
      <u/>
      <sz val="10"/>
      <color theme="1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9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  <xf numFmtId="0" fontId="28" fillId="0" borderId="0"/>
    <xf numFmtId="0" fontId="31" fillId="0" borderId="0" applyNumberFormat="0" applyFill="0" applyBorder="0" applyAlignment="0" applyProtection="0">
      <alignment vertical="center"/>
    </xf>
  </cellStyleXfs>
  <cellXfs count="35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176" fontId="20" fillId="0" borderId="1" xfId="9" applyNumberFormat="1" applyBorder="1" applyAlignment="1">
      <alignment horizontal="center"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2" fillId="2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8" fillId="6" borderId="1" xfId="6" applyFont="1" applyFill="1" applyBorder="1" applyAlignment="1">
      <alignment vertical="center" shrinkToFit="1"/>
    </xf>
    <xf numFmtId="41" fontId="2" fillId="2" borderId="1" xfId="1" applyFont="1" applyFill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176" fontId="28" fillId="0" borderId="76" xfId="10" applyNumberFormat="1" applyBorder="1" applyAlignment="1">
      <alignment vertical="center"/>
    </xf>
    <xf numFmtId="176" fontId="28" fillId="0" borderId="1" xfId="10" applyNumberFormat="1" applyBorder="1" applyAlignment="1">
      <alignment vertical="center"/>
    </xf>
    <xf numFmtId="0" fontId="28" fillId="0" borderId="0" xfId="10"/>
    <xf numFmtId="177" fontId="28" fillId="0" borderId="1" xfId="10" applyNumberFormat="1" applyBorder="1" applyAlignment="1">
      <alignment vertical="center"/>
    </xf>
    <xf numFmtId="176" fontId="20" fillId="0" borderId="77" xfId="9" applyNumberFormat="1" applyBorder="1" applyAlignment="1">
      <alignment vertical="center"/>
    </xf>
    <xf numFmtId="190" fontId="28" fillId="0" borderId="1" xfId="10" applyNumberFormat="1" applyBorder="1" applyAlignment="1">
      <alignment vertical="center"/>
    </xf>
    <xf numFmtId="197" fontId="28" fillId="0" borderId="1" xfId="10" applyNumberFormat="1" applyBorder="1" applyAlignment="1">
      <alignment vertical="center"/>
    </xf>
    <xf numFmtId="176" fontId="28" fillId="0" borderId="78" xfId="10" applyNumberFormat="1" applyBorder="1" applyAlignment="1">
      <alignment horizontal="center" vertical="center"/>
    </xf>
    <xf numFmtId="176" fontId="28" fillId="0" borderId="79" xfId="10" applyNumberFormat="1" applyBorder="1" applyAlignment="1">
      <alignment horizontal="center" vertical="center" wrapText="1"/>
    </xf>
    <xf numFmtId="176" fontId="28" fillId="0" borderId="77" xfId="10" applyNumberFormat="1" applyBorder="1" applyAlignment="1">
      <alignment vertical="center" wrapText="1"/>
    </xf>
    <xf numFmtId="197" fontId="28" fillId="0" borderId="80" xfId="10" applyNumberFormat="1" applyBorder="1" applyAlignment="1">
      <alignment vertical="center"/>
    </xf>
    <xf numFmtId="190" fontId="28" fillId="0" borderId="80" xfId="10" applyNumberFormat="1" applyBorder="1" applyAlignment="1">
      <alignment vertical="center"/>
    </xf>
    <xf numFmtId="177" fontId="28" fillId="0" borderId="80" xfId="10" applyNumberFormat="1" applyBorder="1" applyAlignment="1">
      <alignment vertical="center"/>
    </xf>
    <xf numFmtId="176" fontId="28" fillId="0" borderId="81" xfId="10" applyNumberFormat="1" applyBorder="1" applyAlignment="1">
      <alignment vertical="center" wrapText="1"/>
    </xf>
    <xf numFmtId="176" fontId="28" fillId="0" borderId="82" xfId="10" applyNumberFormat="1" applyBorder="1" applyAlignment="1">
      <alignment horizontal="center" vertical="center"/>
    </xf>
    <xf numFmtId="176" fontId="28" fillId="0" borderId="83" xfId="10" applyNumberFormat="1" applyBorder="1" applyAlignment="1">
      <alignment vertical="center"/>
    </xf>
    <xf numFmtId="176" fontId="28" fillId="0" borderId="80" xfId="10" applyNumberFormat="1" applyBorder="1" applyAlignment="1">
      <alignment vertical="center"/>
    </xf>
    <xf numFmtId="0" fontId="33" fillId="0" borderId="0" xfId="10" applyFont="1" applyAlignment="1">
      <alignment horizontal="center" vertical="center"/>
    </xf>
    <xf numFmtId="0" fontId="28" fillId="0" borderId="0" xfId="10" applyAlignment="1">
      <alignment vertical="center"/>
    </xf>
    <xf numFmtId="176" fontId="28" fillId="0" borderId="84" xfId="10" applyNumberFormat="1" applyBorder="1" applyAlignment="1">
      <alignment vertical="center"/>
    </xf>
    <xf numFmtId="176" fontId="28" fillId="7" borderId="32" xfId="10" applyNumberFormat="1" applyFill="1" applyBorder="1" applyAlignment="1">
      <alignment horizontal="center" vertical="center"/>
    </xf>
    <xf numFmtId="0" fontId="34" fillId="0" borderId="0" xfId="11" applyFont="1" applyAlignment="1">
      <alignment horizontal="center" vertical="center"/>
    </xf>
    <xf numFmtId="177" fontId="28" fillId="0" borderId="0" xfId="10" applyNumberFormat="1" applyAlignment="1">
      <alignment vertical="center"/>
    </xf>
    <xf numFmtId="197" fontId="28" fillId="0" borderId="0" xfId="10" applyNumberFormat="1" applyAlignment="1">
      <alignment vertical="center"/>
    </xf>
    <xf numFmtId="176" fontId="28" fillId="6" borderId="84" xfId="10" applyNumberFormat="1" applyFill="1" applyBorder="1" applyAlignment="1">
      <alignment vertical="center"/>
    </xf>
    <xf numFmtId="41" fontId="20" fillId="0" borderId="1" xfId="1" applyFont="1" applyFill="1" applyBorder="1" applyAlignment="1">
      <alignment vertical="center"/>
    </xf>
    <xf numFmtId="0" fontId="32" fillId="0" borderId="1" xfId="11" applyFont="1" applyFill="1" applyBorder="1" applyAlignment="1">
      <alignment horizontal="center" vertical="center"/>
    </xf>
    <xf numFmtId="176" fontId="30" fillId="0" borderId="1" xfId="0" applyNumberFormat="1" applyFont="1" applyBorder="1">
      <alignment vertical="center"/>
    </xf>
    <xf numFmtId="0" fontId="20" fillId="0" borderId="1" xfId="9" applyBorder="1"/>
    <xf numFmtId="190" fontId="20" fillId="0" borderId="1" xfId="9" applyNumberFormat="1" applyBorder="1" applyAlignment="1">
      <alignment vertical="center"/>
    </xf>
    <xf numFmtId="0" fontId="20" fillId="0" borderId="12" xfId="9" applyBorder="1"/>
    <xf numFmtId="0" fontId="20" fillId="0" borderId="0" xfId="9"/>
    <xf numFmtId="0" fontId="20" fillId="0" borderId="0" xfId="9" applyAlignment="1">
      <alignment vertical="center"/>
    </xf>
    <xf numFmtId="0" fontId="29" fillId="0" borderId="0" xfId="9" applyFont="1" applyAlignment="1">
      <alignment horizontal="center" vertical="center"/>
    </xf>
    <xf numFmtId="176" fontId="20" fillId="0" borderId="12" xfId="9" applyNumberFormat="1" applyBorder="1" applyAlignment="1">
      <alignment horizontal="center" vertical="center"/>
    </xf>
    <xf numFmtId="0" fontId="29" fillId="0" borderId="1" xfId="9" applyFont="1" applyBorder="1" applyAlignment="1">
      <alignment horizontal="center" vertical="center"/>
    </xf>
    <xf numFmtId="176" fontId="30" fillId="0" borderId="76" xfId="0" applyNumberFormat="1" applyFont="1" applyBorder="1">
      <alignment vertical="center"/>
    </xf>
    <xf numFmtId="176" fontId="20" fillId="0" borderId="12" xfId="9" applyNumberFormat="1" applyBorder="1" applyAlignment="1">
      <alignment vertical="center"/>
    </xf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195" fontId="15" fillId="0" borderId="44" xfId="1" applyNumberFormat="1" applyFont="1" applyFill="1" applyBorder="1" applyAlignment="1">
      <alignment horizontal="center" vertical="center" shrinkToFit="1"/>
    </xf>
    <xf numFmtId="195" fontId="15" fillId="0" borderId="17" xfId="1" applyNumberFormat="1" applyFont="1" applyFill="1" applyBorder="1" applyAlignment="1">
      <alignment horizontal="center" vertical="center" shrinkToFit="1"/>
    </xf>
    <xf numFmtId="195" fontId="15" fillId="0" borderId="45" xfId="1" applyNumberFormat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0" fontId="15" fillId="0" borderId="85" xfId="4" applyFont="1" applyBorder="1" applyAlignment="1">
      <alignment horizontal="center" vertical="center" shrinkToFit="1"/>
    </xf>
    <xf numFmtId="0" fontId="15" fillId="0" borderId="86" xfId="4" applyFont="1" applyBorder="1" applyAlignment="1">
      <alignment horizontal="center" vertical="center" shrinkToFit="1"/>
    </xf>
    <xf numFmtId="0" fontId="15" fillId="0" borderId="75" xfId="4" applyFont="1" applyBorder="1" applyAlignment="1">
      <alignment horizontal="center" vertical="center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  <xf numFmtId="189" fontId="15" fillId="0" borderId="86" xfId="4" applyNumberFormat="1" applyFont="1" applyBorder="1" applyAlignment="1">
      <alignment horizontal="center" vertical="center" shrinkToFit="1"/>
    </xf>
    <xf numFmtId="189" fontId="15" fillId="0" borderId="87" xfId="4" applyNumberFormat="1" applyFont="1" applyBorder="1" applyAlignment="1">
      <alignment horizontal="center" vertical="center" shrinkToFit="1"/>
    </xf>
  </cellXfs>
  <cellStyles count="12">
    <cellStyle name="백분율" xfId="2" builtinId="5"/>
    <cellStyle name="쉼표 [0]" xfId="1" builtinId="6"/>
    <cellStyle name="쉼표 [0] 2" xfId="6" xr:uid="{00000000-0005-0000-0000-000002000000}"/>
    <cellStyle name="쉼표 [0] 2 2" xfId="7" xr:uid="{00000000-0005-0000-0000-000003000000}"/>
    <cellStyle name="통화 [0] 2" xfId="5" xr:uid="{00000000-0005-0000-0000-000004000000}"/>
    <cellStyle name="표준" xfId="0" builtinId="0"/>
    <cellStyle name="표준 2" xfId="4" xr:uid="{00000000-0005-0000-0000-000006000000}"/>
    <cellStyle name="표준 2 2" xfId="8" xr:uid="{00000000-0005-0000-0000-000007000000}"/>
    <cellStyle name="표준 3" xfId="3" xr:uid="{00000000-0005-0000-0000-000008000000}"/>
    <cellStyle name="표준 4" xfId="9" xr:uid="{00000000-0005-0000-0000-000009000000}"/>
    <cellStyle name="표준 5" xfId="10" xr:uid="{00000000-0005-0000-0000-00000A000000}"/>
    <cellStyle name="하이퍼링크" xfId="1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117" Type="http://schemas.openxmlformats.org/officeDocument/2006/relationships/externalLink" Target="externalLinks/externalLink102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84" Type="http://schemas.openxmlformats.org/officeDocument/2006/relationships/externalLink" Target="externalLinks/externalLink69.xml"/><Relationship Id="rId89" Type="http://schemas.openxmlformats.org/officeDocument/2006/relationships/externalLink" Target="externalLinks/externalLink74.xml"/><Relationship Id="rId112" Type="http://schemas.openxmlformats.org/officeDocument/2006/relationships/externalLink" Target="externalLinks/externalLink97.xml"/><Relationship Id="rId16" Type="http://schemas.openxmlformats.org/officeDocument/2006/relationships/externalLink" Target="externalLinks/externalLink1.xml"/><Relationship Id="rId107" Type="http://schemas.openxmlformats.org/officeDocument/2006/relationships/externalLink" Target="externalLinks/externalLink9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74" Type="http://schemas.openxmlformats.org/officeDocument/2006/relationships/externalLink" Target="externalLinks/externalLink59.xml"/><Relationship Id="rId79" Type="http://schemas.openxmlformats.org/officeDocument/2006/relationships/externalLink" Target="externalLinks/externalLink64.xml"/><Relationship Id="rId102" Type="http://schemas.openxmlformats.org/officeDocument/2006/relationships/externalLink" Target="externalLinks/externalLink87.xml"/><Relationship Id="rId123" Type="http://schemas.openxmlformats.org/officeDocument/2006/relationships/externalLink" Target="externalLinks/externalLink10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5.xml"/><Relationship Id="rId95" Type="http://schemas.openxmlformats.org/officeDocument/2006/relationships/externalLink" Target="externalLinks/externalLink80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113" Type="http://schemas.openxmlformats.org/officeDocument/2006/relationships/externalLink" Target="externalLinks/externalLink98.xml"/><Relationship Id="rId118" Type="http://schemas.openxmlformats.org/officeDocument/2006/relationships/externalLink" Target="externalLinks/externalLink103.xml"/><Relationship Id="rId80" Type="http://schemas.openxmlformats.org/officeDocument/2006/relationships/externalLink" Target="externalLinks/externalLink65.xml"/><Relationship Id="rId85" Type="http://schemas.openxmlformats.org/officeDocument/2006/relationships/externalLink" Target="externalLinks/externalLink70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44.xml"/><Relationship Id="rId103" Type="http://schemas.openxmlformats.org/officeDocument/2006/relationships/externalLink" Target="externalLinks/externalLink88.xml"/><Relationship Id="rId108" Type="http://schemas.openxmlformats.org/officeDocument/2006/relationships/externalLink" Target="externalLinks/externalLink93.xml"/><Relationship Id="rId124" Type="http://schemas.openxmlformats.org/officeDocument/2006/relationships/theme" Target="theme/theme1.xml"/><Relationship Id="rId54" Type="http://schemas.openxmlformats.org/officeDocument/2006/relationships/externalLink" Target="externalLinks/externalLink39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91" Type="http://schemas.openxmlformats.org/officeDocument/2006/relationships/externalLink" Target="externalLinks/externalLink76.xml"/><Relationship Id="rId96" Type="http://schemas.openxmlformats.org/officeDocument/2006/relationships/externalLink" Target="externalLinks/externalLink8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34.xml"/><Relationship Id="rId114" Type="http://schemas.openxmlformats.org/officeDocument/2006/relationships/externalLink" Target="externalLinks/externalLink99.xml"/><Relationship Id="rId119" Type="http://schemas.openxmlformats.org/officeDocument/2006/relationships/externalLink" Target="externalLinks/externalLink104.xml"/><Relationship Id="rId44" Type="http://schemas.openxmlformats.org/officeDocument/2006/relationships/externalLink" Target="externalLinks/externalLink29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81" Type="http://schemas.openxmlformats.org/officeDocument/2006/relationships/externalLink" Target="externalLinks/externalLink66.xml"/><Relationship Id="rId86" Type="http://schemas.openxmlformats.org/officeDocument/2006/relationships/externalLink" Target="externalLinks/externalLink71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109" Type="http://schemas.openxmlformats.org/officeDocument/2006/relationships/externalLink" Target="externalLinks/externalLink94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97" Type="http://schemas.openxmlformats.org/officeDocument/2006/relationships/externalLink" Target="externalLinks/externalLink82.xml"/><Relationship Id="rId104" Type="http://schemas.openxmlformats.org/officeDocument/2006/relationships/externalLink" Target="externalLinks/externalLink89.xml"/><Relationship Id="rId120" Type="http://schemas.openxmlformats.org/officeDocument/2006/relationships/externalLink" Target="externalLinks/externalLink105.xml"/><Relationship Id="rId125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92" Type="http://schemas.openxmlformats.org/officeDocument/2006/relationships/externalLink" Target="externalLinks/externalLink7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9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66" Type="http://schemas.openxmlformats.org/officeDocument/2006/relationships/externalLink" Target="externalLinks/externalLink51.xml"/><Relationship Id="rId87" Type="http://schemas.openxmlformats.org/officeDocument/2006/relationships/externalLink" Target="externalLinks/externalLink72.xml"/><Relationship Id="rId110" Type="http://schemas.openxmlformats.org/officeDocument/2006/relationships/externalLink" Target="externalLinks/externalLink95.xml"/><Relationship Id="rId115" Type="http://schemas.openxmlformats.org/officeDocument/2006/relationships/externalLink" Target="externalLinks/externalLink100.xml"/><Relationship Id="rId61" Type="http://schemas.openxmlformats.org/officeDocument/2006/relationships/externalLink" Target="externalLinks/externalLink46.xml"/><Relationship Id="rId82" Type="http://schemas.openxmlformats.org/officeDocument/2006/relationships/externalLink" Target="externalLinks/externalLink67.xml"/><Relationship Id="rId19" Type="http://schemas.openxmlformats.org/officeDocument/2006/relationships/externalLink" Target="externalLinks/externalLink4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56" Type="http://schemas.openxmlformats.org/officeDocument/2006/relationships/externalLink" Target="externalLinks/externalLink41.xml"/><Relationship Id="rId77" Type="http://schemas.openxmlformats.org/officeDocument/2006/relationships/externalLink" Target="externalLinks/externalLink62.xml"/><Relationship Id="rId100" Type="http://schemas.openxmlformats.org/officeDocument/2006/relationships/externalLink" Target="externalLinks/externalLink85.xml"/><Relationship Id="rId105" Type="http://schemas.openxmlformats.org/officeDocument/2006/relationships/externalLink" Target="externalLinks/externalLink90.xml"/><Relationship Id="rId12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93" Type="http://schemas.openxmlformats.org/officeDocument/2006/relationships/externalLink" Target="externalLinks/externalLink78.xml"/><Relationship Id="rId98" Type="http://schemas.openxmlformats.org/officeDocument/2006/relationships/externalLink" Target="externalLinks/externalLink83.xml"/><Relationship Id="rId121" Type="http://schemas.openxmlformats.org/officeDocument/2006/relationships/externalLink" Target="externalLinks/externalLink106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31.xml"/><Relationship Id="rId67" Type="http://schemas.openxmlformats.org/officeDocument/2006/relationships/externalLink" Target="externalLinks/externalLink52.xml"/><Relationship Id="rId116" Type="http://schemas.openxmlformats.org/officeDocument/2006/relationships/externalLink" Target="externalLinks/externalLink101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62" Type="http://schemas.openxmlformats.org/officeDocument/2006/relationships/externalLink" Target="externalLinks/externalLink47.xml"/><Relationship Id="rId83" Type="http://schemas.openxmlformats.org/officeDocument/2006/relationships/externalLink" Target="externalLinks/externalLink68.xml"/><Relationship Id="rId88" Type="http://schemas.openxmlformats.org/officeDocument/2006/relationships/externalLink" Target="externalLinks/externalLink73.xml"/><Relationship Id="rId111" Type="http://schemas.openxmlformats.org/officeDocument/2006/relationships/externalLink" Target="externalLinks/externalLink96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21.xml"/><Relationship Id="rId57" Type="http://schemas.openxmlformats.org/officeDocument/2006/relationships/externalLink" Target="externalLinks/externalLink42.xml"/><Relationship Id="rId106" Type="http://schemas.openxmlformats.org/officeDocument/2006/relationships/externalLink" Target="externalLinks/externalLink91.xml"/><Relationship Id="rId12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37.xml"/><Relationship Id="rId73" Type="http://schemas.openxmlformats.org/officeDocument/2006/relationships/externalLink" Target="externalLinks/externalLink58.xml"/><Relationship Id="rId78" Type="http://schemas.openxmlformats.org/officeDocument/2006/relationships/externalLink" Target="externalLinks/externalLink63.xml"/><Relationship Id="rId94" Type="http://schemas.openxmlformats.org/officeDocument/2006/relationships/externalLink" Target="externalLinks/externalLink79.xml"/><Relationship Id="rId99" Type="http://schemas.openxmlformats.org/officeDocument/2006/relationships/externalLink" Target="externalLinks/externalLink84.xml"/><Relationship Id="rId101" Type="http://schemas.openxmlformats.org/officeDocument/2006/relationships/externalLink" Target="externalLinks/externalLink86.xml"/><Relationship Id="rId122" Type="http://schemas.openxmlformats.org/officeDocument/2006/relationships/externalLink" Target="externalLinks/externalLink10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967538</xdr:colOff>
      <xdr:row>48</xdr:row>
      <xdr:rowOff>173935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A4964A6-70A1-AE25-43DA-918FC3773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54647" cy="101130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TEAM-5/My%20Documents/dacom/&#50896;&#51452;~&#51228;&#52380;/&#50896;&#51452;&#52572;&#51333;/&#44277;&#53685;&#51088;&#47308;.xls" TargetMode="External"/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44277;&#53685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project2002/03&#53556;&#53412;/&#54617;&#51061;soc/01&#44228;&#49328;&#49436;/&#44228;&#49328;&#49436;.XLS" TargetMode="External"/><Relationship Id="rId1" Type="http://schemas.openxmlformats.org/officeDocument/2006/relationships/externalLinkPath" Target="/project2002/03&#53556;&#53412;/&#54617;&#51061;soc/01&#44228;&#49328;&#49436;/&#44228;&#49328;&#494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2\03&#53556;&#53412;\&#54617;&#51061;soc\01&#44228;&#49328;&#49436;\&#44228;&#49328;&#4943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Project/PROJECT2005/1.&#49345;&#49688;&#46020;/&#44053;&#48320;&#50668;&#44284;&#49688;/1.&#51204;&#44592;&#49444;&#44228;(10&#50900;24&#51068;)/&#52280;&#44256;&#51088;&#47308;/1CAL-PWR(&#50668;&#49328;stp)-REV3-IEC.xls" TargetMode="External"/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Ing/&#51064;&#52380;&#54617;&#51061;/&#44228;&#49328;&#49436;/&#51312;&#46020;&#44228;&#49328;&#49436;.xls" TargetMode="External"/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\&#51064;&#52380;&#54617;&#51061;\&#44228;&#49328;&#49436;\&#51312;&#46020;&#44228;&#49328;&#49436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ATA/SGH/NAMGWANG/REP-NG.XLS" TargetMode="External"/><Relationship Id="rId1" Type="http://schemas.openxmlformats.org/officeDocument/2006/relationships/externalLinkPath" Target="/DATA/SGH/NAMGWANG/REP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GH\NAMGWANG\REP-NG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ATA/0YEONGI/REPT-NG.XLS" TargetMode="External"/><Relationship Id="rId1" Type="http://schemas.openxmlformats.org/officeDocument/2006/relationships/externalLinkPath" Target="/DATA/0YEONGI/REPT-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0YEONGI\REPT-N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TEAM-5/9611/OUT/YES.XLS" TargetMode="External"/><Relationship Id="rId1" Type="http://schemas.openxmlformats.org/officeDocument/2006/relationships/externalLinkPath" Target="/TEAM-5/9611/OUT/YE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9611\OUT\YES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wg2000/&#49457;&#51068;/&#49884;&#45208;&#45769;&#49828;/PJT-97/R-SUWONJ/REP/P7-5-31/LX-CAL.XLS" TargetMode="External"/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JT-97\R-SUWONJ\REP\P7-5-31\LX-CAL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My%20Documents/DATA/&#50872;&#49328;/DATA/&#54861;&#49688;&#50696;&#44221;&#48372;/YONGF0.XLS" TargetMode="External"/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DATA\&#50872;&#49328;\DATA\&#54861;&#49688;&#50696;&#44221;&#48372;\YONGF0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44204;&#51201;&#52280;&#44256;&#52384;/&#54364;&#51456;&#54268;%20&#44160;&#53664;/2026&#45380;%20&#48512;&#45800;&#49688;&#52264;&#45800;(&#49345;&#48152;&#44592;)/260129_&#48512;&#47197;_K-water&#54364;&#51456;&#45800;&#44032;_&#45236;&#50669;&#49436;(1&#50900;).xlsx" TargetMode="External"/><Relationship Id="rId1" Type="http://schemas.openxmlformats.org/officeDocument/2006/relationships/externalLinkPath" Target="/0&#50689;&#50629;&#49324;&#54637;(&#44204;&#51201;&#49436;)/&#44204;&#51201;&#52280;&#44256;&#52384;/&#54364;&#51456;&#54268;%20&#44160;&#53664;/2026&#45380;%20&#48512;&#45800;&#49688;&#52264;&#45800;(&#49345;&#48152;&#44592;)/260129_&#48512;&#47197;_K-water&#54364;&#51456;&#45800;&#44032;_&#45236;&#50669;&#49436;(1&#50900;)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wg2000/&#49457;&#51068;/&#49884;&#45208;&#45769;&#49828;/P-Iso/Calc-St2/LX-JU.XLS" TargetMode="External"/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-Iso\Calc-St2\LX-JU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TEAM-5/My%20Documents/dacom/&#50896;&#51452;~&#51228;&#52380;/&#50896;&#51452;&#52572;&#51333;/&#50696;&#49328;&#45236;~1.XLS" TargetMode="External"/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50696;&#49328;&#45236;~1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4277;&#50976;&#48169;/3.0%20&#44288;&#44144;&#44277;&#49324;&#48708;/&#45800;&#44032;2000/&#44277;&#49324;&#48708;-&#53664;&#47448;&#48317;.xls" TargetMode="External"/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0976;&#48169;\3.0%20&#44288;&#44144;&#44277;&#49324;&#48708;\&#45800;&#44032;2000\&#44277;&#49324;&#48708;-&#53664;&#47448;&#48317;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8128;&#50577;&#54616;&#49688;&#52376;&#47532;&#49324;&#50629;/&#48128;&#50577;&#54616;&#49688;&#52376;&#47532;&#49884;&#49444;&#50857;&#50669;/WINDOWS/TEMP/HANDY/2004&#49444;&#44228;&#45800;&#44032;(&#52572;&#51333;)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  <sheetName val="배수문수량산출(3)"/>
      <sheetName val="당초"/>
      <sheetName val="조도계산서 (도서)"/>
      <sheetName val="고창방향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기초공"/>
      <sheetName val="기둥(원형)"/>
      <sheetName val="BID"/>
      <sheetName val="내역서"/>
      <sheetName val="단가조건"/>
      <sheetName val="Sheet3"/>
      <sheetName val="부대대비"/>
      <sheetName val="냉연집계"/>
      <sheetName val="입출재고현황 (2)"/>
      <sheetName val="TEL"/>
      <sheetName val="공사개요"/>
      <sheetName val="대비"/>
      <sheetName val="견적서"/>
      <sheetName val="물가"/>
      <sheetName val="공사비집계"/>
      <sheetName val="공사내역"/>
      <sheetName val="type-F"/>
      <sheetName val="98지급계획"/>
      <sheetName val="일위대가목차"/>
      <sheetName val="design criteria"/>
      <sheetName val="working load at the btm ft."/>
      <sheetName val="plan&amp;section of foundation"/>
      <sheetName val="member design"/>
      <sheetName val="첨부파일"/>
      <sheetName val="데이타"/>
      <sheetName val="DATA"/>
      <sheetName val="수량산출서"/>
      <sheetName val="Sheet1"/>
      <sheetName val="가격조사서"/>
      <sheetName val="설 계"/>
      <sheetName val="Macro1"/>
      <sheetName val="RAHMEN"/>
      <sheetName val="Total"/>
      <sheetName val="조명시설"/>
      <sheetName val="영업.일"/>
      <sheetName val="일위대가"/>
      <sheetName val="8공구투찰내역서"/>
      <sheetName val="Sheet2"/>
      <sheetName val="Customer Databas"/>
      <sheetName val="인사자료총집계"/>
      <sheetName val="hvac내역서(제어동)"/>
      <sheetName val="예산변경사항"/>
      <sheetName val="산출기준(파견전산실)"/>
      <sheetName val="본부소개"/>
      <sheetName val="코드표"/>
      <sheetName val="지급자재"/>
      <sheetName val="경비2내역"/>
      <sheetName val="DATE"/>
      <sheetName val="청천내"/>
      <sheetName val="2000.05"/>
      <sheetName val="단위중기"/>
      <sheetName val="2.대외공문"/>
      <sheetName val="BSD (2)"/>
      <sheetName val="BSD _2_"/>
      <sheetName val="M1"/>
      <sheetName val="실행철강하도"/>
      <sheetName val="BOQ건축"/>
      <sheetName val="토목주소"/>
      <sheetName val="프랜트면허"/>
      <sheetName val="품종별-이름"/>
      <sheetName val="설계조건"/>
      <sheetName val="단면검토"/>
      <sheetName val="soil bearing check"/>
      <sheetName val="기계내역"/>
      <sheetName val="단가조사"/>
      <sheetName val="담장산출"/>
      <sheetName val="1.설계조건"/>
      <sheetName val="6.OUTPUT"/>
      <sheetName val="전기일위대가"/>
      <sheetName val="말뚝지지력산정"/>
      <sheetName val="계약내역서"/>
      <sheetName val="출력표"/>
      <sheetName val="터파기및재료"/>
      <sheetName val="단면가정"/>
      <sheetName val="Proposal"/>
      <sheetName val="가정급수관"/>
      <sheetName val="11"/>
      <sheetName val="집계표"/>
      <sheetName val="설비내역서"/>
      <sheetName val="건축내역서"/>
      <sheetName val="전기내역서"/>
      <sheetName val="공사비예산서(토목분)"/>
      <sheetName val="Budget 2004(DW)"/>
      <sheetName val="첨"/>
      <sheetName val="9-1차이내역"/>
      <sheetName val="PROJECT BRIEF(EX.NEW)"/>
      <sheetName val="수량산출"/>
      <sheetName val="내역"/>
      <sheetName val="음료실행"/>
      <sheetName val="재무가정"/>
      <sheetName val="을"/>
      <sheetName val="말뚝물량"/>
      <sheetName val="협조전"/>
      <sheetName val="1.우편집중내역서"/>
      <sheetName val="정보매체A동"/>
      <sheetName val="설계명세서"/>
      <sheetName val="ITB COST"/>
      <sheetName val="1단계"/>
      <sheetName val="노임이"/>
      <sheetName val="보도경계블럭"/>
      <sheetName val="Sheet4"/>
      <sheetName val="예산M12A"/>
      <sheetName val="hvac(제어동)"/>
      <sheetName val="정부노임단가"/>
      <sheetName val="총괄"/>
      <sheetName val="EKOG10건축"/>
      <sheetName val="전체"/>
      <sheetName val="#REF"/>
      <sheetName val="표지"/>
      <sheetName val="EACT10"/>
      <sheetName val="노원열병합  건축공사기성내역서"/>
      <sheetName val="현장"/>
      <sheetName val="시멘트"/>
      <sheetName val="조명율표"/>
      <sheetName val="FRT_O"/>
      <sheetName val="FAB_I"/>
      <sheetName val="구미4단2"/>
      <sheetName val="보일러"/>
      <sheetName val="결과조달"/>
      <sheetName val="배수통관(좌)"/>
      <sheetName val="포장복구집계"/>
      <sheetName val="적용환율"/>
      <sheetName val="PUMP"/>
      <sheetName val="접속 SLAB,BRACKET 설계"/>
      <sheetName val="안정검토"/>
      <sheetName val="전기"/>
      <sheetName val="ABUT수량-A1"/>
      <sheetName val="1련박스"/>
      <sheetName val="견적조건"/>
      <sheetName val="기성내역서표지"/>
      <sheetName val="6호기"/>
      <sheetName val="12용지"/>
      <sheetName val="Main"/>
      <sheetName val="토적"/>
      <sheetName val="날개벽(좌,우=45도,75도)"/>
      <sheetName val="건축원가계산서"/>
      <sheetName val="날개벽"/>
      <sheetName val="통합"/>
      <sheetName val="간접재료비산출표-27-30"/>
      <sheetName val="Budget 2005(DW)"/>
      <sheetName val="내역서(총)"/>
      <sheetName val="Y-WORK"/>
      <sheetName val="사용성검토"/>
      <sheetName val="숙소"/>
      <sheetName val="CAPVC"/>
      <sheetName val="2000년1차"/>
      <sheetName val="간접경상비"/>
      <sheetName val="MOTOR"/>
      <sheetName val="일위목록"/>
      <sheetName val="공통가설"/>
      <sheetName val="TB-내역서"/>
      <sheetName val="교각1"/>
      <sheetName val="포장공"/>
      <sheetName val="토공"/>
      <sheetName val="기계"/>
      <sheetName val="토공(완충)"/>
      <sheetName val="UNIT"/>
      <sheetName val="6PILE  (돌출)"/>
      <sheetName val="깨기"/>
      <sheetName val="COVER"/>
      <sheetName val="대대터널 설계서"/>
      <sheetName val="I.설계조건"/>
      <sheetName val="연결임시"/>
      <sheetName val="2002상반기노임기준"/>
      <sheetName val="일위대가(계측기설치)"/>
      <sheetName val="부대내역"/>
      <sheetName val="토사(PE)"/>
      <sheetName val="단면치수"/>
      <sheetName val="CODE"/>
      <sheetName val="노임단가"/>
      <sheetName val="SIL98"/>
      <sheetName val="TEST1"/>
      <sheetName val="설계예산"/>
      <sheetName val="토공계산서(부체도로)"/>
      <sheetName val="토목내역"/>
      <sheetName val="CTEMCOST"/>
      <sheetName val="영업소실적"/>
      <sheetName val="eq_data"/>
      <sheetName val="가시설단위수량"/>
      <sheetName val="자재단가비교표"/>
      <sheetName val="보온자재단가표"/>
      <sheetName val="조경"/>
      <sheetName val="Front"/>
      <sheetName val="wall"/>
      <sheetName val="DESCRIPTION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건축내역"/>
      <sheetName val="J"/>
      <sheetName val="진행 DATA (2)"/>
      <sheetName val="MAT_N048"/>
      <sheetName val="소업1교"/>
      <sheetName val="골조시행"/>
      <sheetName val="세부내역"/>
      <sheetName val="대로근거"/>
      <sheetName val="중로근거"/>
      <sheetName val="현금"/>
      <sheetName val=" 견적서"/>
      <sheetName val="6-2차"/>
      <sheetName val="첨부1"/>
      <sheetName val="공틀공사"/>
      <sheetName val="공통(20-91)"/>
      <sheetName val="도"/>
      <sheetName val="재집"/>
      <sheetName val="직재"/>
      <sheetName val="퇴비산출근거"/>
      <sheetName val="99노임기준"/>
      <sheetName val="분석"/>
      <sheetName val="일위대가표"/>
      <sheetName val="BREAKDOWN(철거설치)"/>
      <sheetName val="분류작업"/>
      <sheetName val="1.설계기준"/>
      <sheetName val="설계"/>
      <sheetName val="내역표지"/>
      <sheetName val="교량전기"/>
      <sheetName val="FB25JN"/>
      <sheetName val="한강운반비"/>
      <sheetName val="옹벽"/>
      <sheetName val="5사남"/>
      <sheetName val="danga"/>
      <sheetName val="ilch"/>
      <sheetName val="내역(입찰)"/>
      <sheetName val="1-1"/>
      <sheetName val="전체도급"/>
      <sheetName val="AP1"/>
      <sheetName val="96수출"/>
      <sheetName val="FAB별"/>
      <sheetName val="경비_원본"/>
      <sheetName val="하도급기성_(2)"/>
      <sheetName val="하도급단가산출_(2)"/>
      <sheetName val="설_계"/>
      <sheetName val="입출재고현황_(2)"/>
      <sheetName val="design_criteria"/>
      <sheetName val="working_load_at_the_btm_ft_"/>
      <sheetName val="plan&amp;section_of_foundation"/>
      <sheetName val="member_design"/>
      <sheetName val="3차토목내역"/>
      <sheetName val="인건비"/>
      <sheetName val="갑지1"/>
      <sheetName val="갑지(추정)"/>
      <sheetName val="기초일위"/>
      <sheetName val="시설일위"/>
      <sheetName val="조명일위"/>
      <sheetName val="단면 (2)"/>
      <sheetName val="combi(wall)"/>
      <sheetName val="맨홀수량산출"/>
      <sheetName val="가감수량"/>
      <sheetName val="가로등기초"/>
      <sheetName val="재1"/>
      <sheetName val="소운반"/>
      <sheetName val="CAL"/>
      <sheetName val="공내역"/>
      <sheetName val="INPUT"/>
      <sheetName val="설비원가"/>
      <sheetName val="소비자가"/>
      <sheetName val="직노"/>
      <sheetName val="전신환매도율"/>
      <sheetName val="바닥판"/>
      <sheetName val="입력DATA"/>
      <sheetName val="1호맨홀토공"/>
      <sheetName val="변경내역대비표(2)"/>
      <sheetName val="1. 설계조건 2.단면가정 3. 하중계산"/>
      <sheetName val="DATA 입력란"/>
      <sheetName val="관리비"/>
      <sheetName val="일집"/>
      <sheetName val="일위"/>
      <sheetName val="환률"/>
      <sheetName val="안정계산"/>
      <sheetName val="FOB발"/>
      <sheetName val="품종코드"/>
      <sheetName val="기초자료"/>
      <sheetName val="견적집계표"/>
      <sheetName val="손익(10월)"/>
      <sheetName val="항목"/>
      <sheetName val="정렬"/>
      <sheetName val="투찰금액"/>
      <sheetName val="산출근거"/>
      <sheetName val="8.PILE  (돌출)"/>
      <sheetName val="입력값"/>
      <sheetName val="간선계산"/>
      <sheetName val="도대하도변경최종정산조경"/>
      <sheetName val="원가계산서구조조정"/>
      <sheetName val="J直材4"/>
      <sheetName val="입력"/>
      <sheetName val="주식"/>
      <sheetName val="Discount Group"/>
      <sheetName val="물량표"/>
      <sheetName val="WORK"/>
      <sheetName val="근고 블록 유형별 수량"/>
      <sheetName val="공종별 집계"/>
      <sheetName val="UR2-Calculation"/>
      <sheetName val="마산월령동골조물량변경"/>
      <sheetName val="당진생산팀"/>
      <sheetName val="대차대조표"/>
      <sheetName val="3본사"/>
      <sheetName val="조도계산서 (도서)"/>
      <sheetName val="예가표"/>
      <sheetName val="바.한일양산"/>
      <sheetName val="물가자료"/>
      <sheetName val="산출내역서집계표"/>
      <sheetName val="수목표준대가"/>
      <sheetName val="정읍농소"/>
      <sheetName val="내역서 "/>
      <sheetName val="설계내역서"/>
      <sheetName val="woo(mac)"/>
      <sheetName val="OD"/>
      <sheetName val="총괄표"/>
      <sheetName val="수량산출서 갑지"/>
      <sheetName val="A-4"/>
      <sheetName val="토목"/>
      <sheetName val="건축공사"/>
      <sheetName val="Macro(전선)"/>
      <sheetName val="요율"/>
      <sheetName val="소방"/>
      <sheetName val="산출"/>
      <sheetName val="개요"/>
      <sheetName val="진주방향"/>
      <sheetName val="통계연보"/>
      <sheetName val="Sheet5"/>
      <sheetName val="기본"/>
      <sheetName val="계약내력"/>
      <sheetName val="부재예실"/>
      <sheetName val="SUMMARY(S)"/>
      <sheetName val="Material Specification"/>
      <sheetName val="날개벽수량표"/>
      <sheetName val="금액내역서"/>
      <sheetName val="F4-F7"/>
      <sheetName val="실행내역"/>
      <sheetName val="6공구(당초)"/>
      <sheetName val="토적1"/>
      <sheetName val="인건비 "/>
      <sheetName val="실행"/>
      <sheetName val="1_설계조건"/>
      <sheetName val="6_OUTPUT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APT내역"/>
      <sheetName val="DATA1"/>
      <sheetName val="SLAB&quot;1&quot;"/>
      <sheetName val="COPING"/>
      <sheetName val="단가조사서"/>
      <sheetName val="유출부"/>
      <sheetName val="A"/>
      <sheetName val="단가표"/>
      <sheetName val="노무비단가"/>
      <sheetName val="갑지"/>
      <sheetName val="crude.SLAB RE-bar"/>
      <sheetName val="건축"/>
      <sheetName val="공문"/>
      <sheetName val="ERECTION"/>
      <sheetName val="POL설치공정"/>
      <sheetName val="공정양식"/>
      <sheetName val="내역서2안"/>
      <sheetName val="건축(충일분)"/>
      <sheetName val="노무단가"/>
      <sheetName val="3BL공동구 수량"/>
      <sheetName val="Sheet1 (2)"/>
      <sheetName val="삼성전기"/>
      <sheetName val="전기공사"/>
      <sheetName val="계산근거"/>
      <sheetName val="건축공사 집계표"/>
      <sheetName val="골조"/>
      <sheetName val="123"/>
      <sheetName val="자료"/>
      <sheetName val="대림경상68억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TABLE"/>
      <sheetName val="KMT물량"/>
      <sheetName val="일위대가표(DEEP)"/>
      <sheetName val="2F 회의실견적(5_14 일대)"/>
      <sheetName val="페이징 배관배선"/>
      <sheetName val="기기리스트"/>
      <sheetName val="SG"/>
      <sheetName val="부표총괄"/>
      <sheetName val="품셈1-17"/>
      <sheetName val="sheets"/>
      <sheetName val="오억미만"/>
      <sheetName val="간접비"/>
      <sheetName val="노임"/>
      <sheetName val="배수공 시멘트 및 골재량 산출"/>
      <sheetName val="NS"/>
      <sheetName val="1근거"/>
      <sheetName val="직접기초설계"/>
      <sheetName val="모델링"/>
      <sheetName val="자재단가"/>
      <sheetName val="내역(전체)"/>
      <sheetName val="방식총괄"/>
      <sheetName val="Ⅴ-2.공종별내역"/>
      <sheetName val="기본DATA"/>
      <sheetName val="ITEM"/>
      <sheetName val="000000"/>
      <sheetName val="전기BOX내역서"/>
      <sheetName val="투자양식"/>
      <sheetName val="원형1호맨홀토공수량"/>
      <sheetName val="수량명세서"/>
      <sheetName val="손익분석"/>
      <sheetName val="soil_bearing_check"/>
      <sheetName val="노원열병합__건축공사기성내역서"/>
      <sheetName val="실정보고내역서"/>
      <sheetName val="대전21토목내역서"/>
      <sheetName val="중기사용료"/>
      <sheetName val="본장"/>
      <sheetName val="VOR"/>
      <sheetName val="방송(체육관)"/>
      <sheetName val="당진1,2호기전선관설치및접지4차공사내역서-을지"/>
      <sheetName val="노임,재료비"/>
      <sheetName val="교통시설 표지판"/>
      <sheetName val="가로등내역서"/>
      <sheetName val="초기화면"/>
      <sheetName val="이름정의"/>
      <sheetName val="저판(버림100)"/>
      <sheetName val="원가계산서(건축)"/>
      <sheetName val="케이블및전선관규격표"/>
      <sheetName val="부대공자재집계표"/>
      <sheetName val="자재표"/>
      <sheetName val="횡날개수집"/>
      <sheetName val="#34 CIVL_Original"/>
      <sheetName val="TOEC"/>
      <sheetName val="INDIRECT"/>
      <sheetName val="calculation-1"/>
      <sheetName val="MCC제원"/>
      <sheetName val="c_balju"/>
      <sheetName val="상가지급현황"/>
      <sheetName val="유림골조"/>
      <sheetName val="4)유동표"/>
      <sheetName val="별표집계"/>
      <sheetName val="플랜트 설치"/>
      <sheetName val="수목데이타 "/>
      <sheetName val="Ext. Stone-P"/>
      <sheetName val="일위_파일"/>
      <sheetName val="여과지동"/>
      <sheetName val="3차준공"/>
      <sheetName val="45,46"/>
      <sheetName val="가공비"/>
      <sheetName val="준검 내역서"/>
      <sheetName val="하중계산"/>
      <sheetName val="증감대비"/>
      <sheetName val="기본입력표"/>
      <sheetName val="서울산업대(토)"/>
      <sheetName val="예산내역서"/>
      <sheetName val="설계예산서"/>
      <sheetName val="총계"/>
      <sheetName val="수문일1"/>
      <sheetName val="자단"/>
      <sheetName val="인공산출"/>
      <sheetName val="1.관로"/>
      <sheetName val="11.자재단가"/>
      <sheetName val="표  지"/>
      <sheetName val="좌측"/>
      <sheetName val="날개벽(시점좌측)"/>
      <sheetName val="CAT_5"/>
      <sheetName val="SLAB근거-1"/>
      <sheetName val="3.공통공사대비"/>
      <sheetName val="예산서"/>
      <sheetName val="AABS내역"/>
      <sheetName val="역T형"/>
      <sheetName val="하조서"/>
      <sheetName val="변화치수"/>
      <sheetName val="TYPE-A"/>
      <sheetName val="96까지"/>
      <sheetName val="97년"/>
      <sheetName val="98이후"/>
      <sheetName val="설산1.나"/>
      <sheetName val="본사S"/>
      <sheetName val="흄관기초"/>
      <sheetName val="GAEYO"/>
      <sheetName val="설계예시"/>
      <sheetName val="물량표S"/>
      <sheetName val="실행견적"/>
      <sheetName val="시설물"/>
      <sheetName val="총집계표"/>
      <sheetName val="교각계산"/>
      <sheetName val="REINF."/>
      <sheetName val="CHECK1"/>
      <sheetName val="토 적 표"/>
      <sheetName val="투찰"/>
      <sheetName val="참조"/>
      <sheetName val="P&amp;L01-02GR"/>
      <sheetName val="약품설비"/>
      <sheetName val="2000전체분"/>
      <sheetName val="적용기준"/>
      <sheetName val="빈"/>
      <sheetName val="기초목"/>
      <sheetName val="비용"/>
      <sheetName val="1월"/>
      <sheetName val="VXXXXXXX"/>
      <sheetName val="#3E1_GCR"/>
      <sheetName val="직접비"/>
      <sheetName val="dtxl"/>
      <sheetName val="자판실행"/>
      <sheetName val="신규일위대가"/>
      <sheetName val="3.하중산정4.지지력"/>
      <sheetName val="일위(설)"/>
      <sheetName val="일위대가목록"/>
      <sheetName val="견적내역서"/>
      <sheetName val="계수시트"/>
      <sheetName val="원가계산서"/>
      <sheetName val="설계서"/>
      <sheetName val="9811"/>
      <sheetName val="9509"/>
      <sheetName val="과거교육훈련비"/>
      <sheetName val="Breakdown"/>
      <sheetName val="변경비교-을"/>
      <sheetName val="일위대가표 (2)"/>
      <sheetName val="TAIHAN"/>
      <sheetName val="AILC004"/>
      <sheetName val="Sheet14"/>
      <sheetName val="Sheet13"/>
      <sheetName val="T13(P68~72,78)"/>
      <sheetName val="금액집계"/>
      <sheetName val="2000년 임금추정"/>
      <sheetName val="PO-BOQ"/>
      <sheetName val="신우"/>
      <sheetName val="설계개요"/>
      <sheetName val="토공정보"/>
      <sheetName val="기성내역서"/>
      <sheetName val="수량 산출서(당초)"/>
      <sheetName val="1"/>
      <sheetName val="unitpric"/>
      <sheetName val="지주목시비량산출서"/>
      <sheetName val="구분자"/>
      <sheetName val="36+45-113-18+19+20I"/>
      <sheetName val="측구터파기공수량집계"/>
      <sheetName val="구조물터파기수량집계"/>
      <sheetName val="외자배분"/>
      <sheetName val="건축집계표"/>
      <sheetName val="내역서(당초변경)"/>
      <sheetName val="구성비"/>
      <sheetName val="INPUT(덕도방향-시점)"/>
      <sheetName val="단가비교"/>
      <sheetName val="h-013211-2"/>
      <sheetName val="깨기집계"/>
      <sheetName val="3련 BOX"/>
      <sheetName val="냉천부속동"/>
      <sheetName val="98수문일위"/>
      <sheetName val="추가예산"/>
      <sheetName val="예정공정표(도급)"/>
      <sheetName val="unit 4"/>
      <sheetName val="내역을"/>
      <sheetName val="재료집계"/>
      <sheetName val="LinerWt"/>
      <sheetName val="일위대가(1)"/>
      <sheetName val="TYPE별집계"/>
      <sheetName val="과천MAIN"/>
      <sheetName val="guard(mac)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LOADS"/>
      <sheetName val="MM"/>
      <sheetName val="내역(2000년)"/>
      <sheetName val="단가"/>
      <sheetName val="회사기본자료"/>
      <sheetName val="2.하자처리현황(CS)"/>
      <sheetName val="총 원가계산"/>
      <sheetName val="CAUDIT"/>
      <sheetName val="품의"/>
      <sheetName val="CLAUSE"/>
      <sheetName val="횡배수관토공수량"/>
      <sheetName val="토공(우물통,기타) "/>
      <sheetName val="터널조도"/>
      <sheetName val="실행내역서 "/>
      <sheetName val="Pengalaman Per"/>
      <sheetName val="FIRE FIGHTING"/>
      <sheetName val="단중표"/>
      <sheetName val="목차"/>
      <sheetName val="업무분장"/>
      <sheetName val="보고서"/>
      <sheetName val="주관사업"/>
      <sheetName val="20관리비율"/>
      <sheetName val="전 기"/>
      <sheetName val="Sheet15"/>
      <sheetName val="보통예금"/>
      <sheetName val="국내총괄"/>
      <sheetName val="배수내역 (2)"/>
      <sheetName val="9GNG운반"/>
      <sheetName val="갑지(비계타입)"/>
      <sheetName val="기성2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원형맨홀수량"/>
      <sheetName val="준공조서갑지"/>
      <sheetName val="ins"/>
      <sheetName val="기초설계"/>
      <sheetName val="라멘"/>
      <sheetName val="라멘수량"/>
      <sheetName val="공조기휀"/>
      <sheetName val="물량"/>
      <sheetName val="960318-1"/>
      <sheetName val="산출내역서"/>
      <sheetName val="평가데이터"/>
      <sheetName val="전체현황"/>
      <sheetName val="2003.4.1."/>
      <sheetName val="토적계산"/>
      <sheetName val="신규품셈목차"/>
      <sheetName val="시중노임단가"/>
      <sheetName val="JUCKEYK"/>
      <sheetName val="외주비"/>
      <sheetName val="설비"/>
      <sheetName val="견적3"/>
      <sheetName val="토공사"/>
      <sheetName val="6.일위대가"/>
      <sheetName val="토량1-1"/>
      <sheetName val="도급정산"/>
      <sheetName val="경산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주소(한문)"/>
      <sheetName val="NEYOK"/>
      <sheetName val="설비2차"/>
      <sheetName val="중동공구"/>
      <sheetName val="2-3.V.D일위"/>
      <sheetName val="1차 내역서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  <sheetName val="원내역"/>
      <sheetName val="Co-ef"/>
      <sheetName val="매출DATA"/>
      <sheetName val="대외공문"/>
      <sheetName val="첨부.VA실적 (2)"/>
      <sheetName val="수h"/>
      <sheetName val="VM"/>
      <sheetName val="서울판관-공통부문"/>
      <sheetName val="판매가비교"/>
      <sheetName val="유효성"/>
      <sheetName val="ENE-CAL 1"/>
      <sheetName val="유통망계획"/>
      <sheetName val="내역서변경성원"/>
      <sheetName val="신기1-LINE별연장"/>
      <sheetName val="하도급기성_(2)2"/>
      <sheetName val="하도급단가산출_(2)2"/>
      <sheetName val="입출재고현황_(2)2"/>
      <sheetName val="설_계2"/>
      <sheetName val="design_criteria2"/>
      <sheetName val="working_load_at_the_btm_ft_2"/>
      <sheetName val="plan&amp;section_of_foundation2"/>
      <sheetName val="member_design2"/>
      <sheetName val="6PILE__(돌출)1"/>
      <sheetName val="_견적서1"/>
      <sheetName val="노원열병합__건축공사기성내역서1"/>
      <sheetName val="soil_bearing_check1"/>
      <sheetName val="I_설계조건1"/>
      <sheetName val="대대터널_설계서1"/>
      <sheetName val="Budget_2004(DW)1"/>
      <sheetName val="PROJECT_BRIEF(EX_NEW)1"/>
      <sheetName val="접속_SLAB,BRACKET_설계1"/>
      <sheetName val="VENDOR_LIST1"/>
      <sheetName val="수량산출서_갑지"/>
      <sheetName val="단면_(2)1"/>
      <sheetName val="견적가_검토1"/>
      <sheetName val="crude_SLAB_RE-bar1"/>
      <sheetName val="3BL공동구_수량"/>
      <sheetName val="설산1_나"/>
      <sheetName val="3_하중산정4_지지력"/>
      <sheetName val="배수공_시멘트_및_골재량_산출"/>
      <sheetName val="2F_회의실견적(5_14_일대)"/>
      <sheetName val="조도계산서_(도서)"/>
      <sheetName val="#34_CIVL_Original"/>
      <sheetName val="수량_산출서(당초)"/>
      <sheetName val="플랜트_설치"/>
      <sheetName val="페이징_배관배선"/>
      <sheetName val="3_공통공사대비"/>
      <sheetName val="일위대가표_(2)"/>
      <sheetName val="2000년_임금추정"/>
      <sheetName val="1_설계설명서"/>
      <sheetName val="REINF_"/>
      <sheetName val="토_적_표"/>
      <sheetName val="1_관로"/>
      <sheetName val="준검_내역서"/>
      <sheetName val="토공(우물통,기타)_"/>
      <sheetName val="교통시설_표지판"/>
      <sheetName val="전_기"/>
      <sheetName val="2003_4_1_"/>
      <sheetName val="Basic_Input"/>
      <sheetName val="Notes_1"/>
      <sheetName val="Bank_charge1"/>
      <sheetName val="3련_BOX"/>
      <sheetName val="2_단면가정"/>
      <sheetName val="4_말뚝설계"/>
      <sheetName val="11_자재단가"/>
      <sheetName val="표__지"/>
      <sheetName val="Galaxy_소비자가격표"/>
      <sheetName val="장외반출및폐기물_"/>
      <sheetName val="배수내역_(2)"/>
      <sheetName val="5호광장_(만점)"/>
      <sheetName val="인천국제_(만점)_(2)"/>
      <sheetName val="unit_4"/>
      <sheetName val="CRUDE_RE-bar"/>
      <sheetName val="단면_Ȩ栀"/>
      <sheetName val="하怅⇡"/>
      <sheetName val="FORM-0"/>
      <sheetName val="예산내역_x0000_"/>
      <sheetName val="단가조건(02년)"/>
      <sheetName val="BQ"/>
      <sheetName val="노무산출서"/>
      <sheetName val="설계명세서(종합)"/>
      <sheetName val="원가계산"/>
      <sheetName val="설계예산서(토목,전기)"/>
      <sheetName val="업무계획1"/>
      <sheetName val="Eq. Mobilization"/>
      <sheetName val="견적갑지"/>
      <sheetName val="을지 "/>
      <sheetName val="횡배수관"/>
      <sheetName val="자재목록"/>
      <sheetName val="당초"/>
      <sheetName val="DS-최종"/>
      <sheetName val="명일작업계획 (3)"/>
      <sheetName val="pile bearing capa &amp; arrenge"/>
      <sheetName val="design load"/>
      <sheetName val="stability check"/>
      <sheetName val="교수설계"/>
      <sheetName val="하項疀"/>
      <sheetName val="일위산출"/>
      <sheetName val="열린교실"/>
      <sheetName val="수금-자금수지"/>
      <sheetName val="2000년 임금_x0000__x0000_"/>
      <sheetName val="정산내역"/>
      <sheetName val="TYPE䢬㐵倀"/>
      <sheetName val="우수공"/>
      <sheetName val="COA-17"/>
      <sheetName val="C-18"/>
      <sheetName val="Pengalaman_Per"/>
      <sheetName val="FIRE_FIGHTING"/>
      <sheetName val="BEND_LOSS"/>
      <sheetName val="ENE-CAL_1"/>
      <sheetName val="Load_Total"/>
      <sheetName val="static_cal"/>
      <sheetName val="3_현장배치"/>
      <sheetName val="6_일위대가"/>
      <sheetName val="실행내역서_"/>
      <sheetName val="A3_공사비_검토"/>
      <sheetName val="C3_토목_옹벽"/>
      <sheetName val="3_건축(현장안)"/>
      <sheetName val="2_냉난방설비공사"/>
      <sheetName val="영업_일11"/>
      <sheetName val="P_M_별"/>
      <sheetName val="매출채권_및_담보비율_변동"/>
      <sheetName val="2_건축"/>
      <sheetName val="별표_"/>
      <sheetName val="완성차_미수금"/>
      <sheetName val="CR_CODE"/>
      <sheetName val="THEME_CODE"/>
      <sheetName val="목차_및_표지"/>
      <sheetName val="단가표_(2)"/>
      <sheetName val="콤보박스와_리스트박스의_연결"/>
      <sheetName val="단__가__대__비__표"/>
      <sheetName val="일__위__대__가__목__록"/>
      <sheetName val="96보완계획7_12"/>
      <sheetName val="7_자동제어공사"/>
      <sheetName val="DATA_입력부"/>
      <sheetName val="중기조종사_단위단가"/>
      <sheetName val="BOM-Form_A_1_III"/>
      <sheetName val="변압기_및_발전기_용량"/>
      <sheetName val="실행,원가_최종예상"/>
      <sheetName val="전선_및_전선관"/>
      <sheetName val="Regenerator__Concrete_Structure"/>
      <sheetName val="2_고용보험료산출근거"/>
      <sheetName val="EQT-ESTN"/>
      <sheetName val="기성내역_x0000_"/>
      <sheetName val="기성내역Æ"/>
      <sheetName val="총괄내역서 (2)"/>
      <sheetName val="수영4,5,6,7,8,9"/>
      <sheetName val="SORCE1"/>
      <sheetName val="3_x0000__x0000__x0005_"/>
      <sheetName val="기계경비일람"/>
      <sheetName val="가설배관"/>
      <sheetName val="평3"/>
      <sheetName val="단가조사-2"/>
      <sheetName val="시선유도표지집계표"/>
      <sheetName val="laroux"/>
      <sheetName val="발파암계약서"/>
      <sheetName val="도급액대비"/>
      <sheetName val="계약내역"/>
      <sheetName val="계약변경"/>
      <sheetName val="예산변경사항 (2)"/>
      <sheetName val="keyword"/>
      <sheetName val="관로토공"/>
      <sheetName val="데리네이타현황"/>
      <sheetName val="강교(Sub)"/>
      <sheetName val="일반토공견적"/>
      <sheetName val="예산대비"/>
      <sheetName val="_REF"/>
      <sheetName val="s"/>
      <sheetName val="입찰"/>
      <sheetName val="현경"/>
      <sheetName val="배관배선 단가조사"/>
      <sheetName val="일위대가집계"/>
      <sheetName val="factors"/>
      <sheetName val="FANDBS"/>
      <sheetName val="GRDATA"/>
      <sheetName val="SHAFTDBSE"/>
      <sheetName val="시화점실행"/>
      <sheetName val="MATRLDATA"/>
      <sheetName val="환율change"/>
      <sheetName val="금융비용"/>
      <sheetName val="4 LINE"/>
      <sheetName val="7 th"/>
      <sheetName val="FCU (2)"/>
      <sheetName val="중기사용료산출근거"/>
      <sheetName val="단가 및 재료비"/>
      <sheetName val="Quantity"/>
      <sheetName val="투입실적"/>
      <sheetName val="#REF!"/>
      <sheetName val="Re-bar"/>
      <sheetName val="Module1"/>
      <sheetName val="tuong"/>
      <sheetName val="내역_FILE"/>
      <sheetName val="주안3차A-A"/>
      <sheetName val="기본단가"/>
      <sheetName val="DHEQSUPT"/>
      <sheetName val="소방사항"/>
      <sheetName val="G.R300경비"/>
      <sheetName val="유림총괄"/>
      <sheetName val="진천방향"/>
      <sheetName val="제잡비"/>
      <sheetName val="중기경유지급대장"/>
      <sheetName val="BQ(실행)"/>
      <sheetName val="통합보할공정표"/>
      <sheetName val="건축내역서 (경제상무실)"/>
      <sheetName val="내역서적용"/>
      <sheetName val="시운전연료"/>
      <sheetName val="현장경상비"/>
      <sheetName val="가. 2006년 사업계획서"/>
      <sheetName val="집행현황"/>
      <sheetName val="MIJIBI"/>
      <sheetName val="기본자료"/>
      <sheetName val="(A)내역서"/>
      <sheetName val="편입용지조서"/>
      <sheetName val="부대tu"/>
      <sheetName val="inputdata"/>
      <sheetName val="관로공표지"/>
      <sheetName val="공사"/>
      <sheetName val="목포전화국"/>
      <sheetName val="토목(대안)"/>
      <sheetName val="대치판정"/>
      <sheetName val="Sheet6"/>
      <sheetName val="Salary(해외)"/>
      <sheetName val="영동(D)"/>
      <sheetName val="실행(1)"/>
      <sheetName val="XL4Poppy"/>
      <sheetName val="전기단가조사서"/>
      <sheetName val="면적"/>
      <sheetName val="배수공 주요자재 집계표"/>
      <sheetName val="구미4단2.XLS"/>
      <sheetName val="%EA%B5%AC%EB%AF%B84%EB%8B%A82.X"/>
      <sheetName val="ahs"/>
      <sheetName val="metode"/>
      <sheetName val="kimre scrubber"/>
      <sheetName val="확산동"/>
      <sheetName val="GRDBS"/>
      <sheetName val="예산 세부사항"/>
      <sheetName val="CC16-내역서"/>
      <sheetName val="제경비"/>
      <sheetName val="단가산출1"/>
      <sheetName val="단가산출2"/>
      <sheetName val="Const Staff"/>
      <sheetName val="FREU Engineering"/>
      <sheetName val="Startup Staff"/>
      <sheetName val="매입세"/>
      <sheetName val="만수배관단가"/>
      <sheetName val="FRP배관단가(만수)"/>
      <sheetName val="CONCRETE"/>
      <sheetName val="지구단위계획"/>
      <sheetName val="직공비"/>
      <sheetName val="EQUIPMENT -2"/>
      <sheetName val="EJ"/>
      <sheetName val="도급양식"/>
      <sheetName val="건설성적"/>
      <sheetName val="PumpSpec"/>
      <sheetName val="Tender Summary"/>
      <sheetName val="공사내역서(을)실행"/>
      <sheetName val="FORM_0"/>
      <sheetName val="부대시설"/>
      <sheetName val="조경일람"/>
      <sheetName val="가설건물"/>
      <sheetName val="저"/>
      <sheetName val="1F"/>
      <sheetName val="총체보활공정표"/>
      <sheetName val="점수계산1-2"/>
      <sheetName val="back-data"/>
      <sheetName val="인월수표"/>
      <sheetName val="Despacho (c.civil)"/>
      <sheetName val="DIAPHRAGM"/>
      <sheetName val="단가표 "/>
      <sheetName val="전체내역서"/>
      <sheetName val="1,2,3,4,5단위수량"/>
      <sheetName val="비목군단가비교표"/>
      <sheetName val="6월실적"/>
      <sheetName val="BUS제원1"/>
      <sheetName val="타공종이기"/>
      <sheetName val="본사 보고"/>
      <sheetName val="카렌스센터계량기설치공사"/>
      <sheetName val="덤프트럭계수"/>
      <sheetName val="설계서을"/>
      <sheetName val="BOX수량"/>
      <sheetName val="원료분석"/>
      <sheetName val="도급견적가"/>
      <sheetName val="4-10"/>
      <sheetName val="단가및재료비"/>
      <sheetName val="확약서"/>
      <sheetName val="b_balju_cho"/>
      <sheetName val="하부철근수량"/>
      <sheetName val="흥양2교토공집계표"/>
      <sheetName val="도봉2지구"/>
      <sheetName val="예총"/>
      <sheetName val="품셈표"/>
      <sheetName val="공사비명세서"/>
      <sheetName val="실행예산서"/>
      <sheetName val="남양주부대"/>
      <sheetName val="적용단가"/>
      <sheetName val="자동제어"/>
      <sheetName val="일용노임단가"/>
      <sheetName val="시험비단가"/>
      <sheetName val="제품표준규격"/>
      <sheetName val="사용자정의"/>
      <sheetName val="J형측구단위수량"/>
      <sheetName val="S1,3"/>
      <sheetName val="Baby일위대가"/>
      <sheetName val="주소록"/>
      <sheetName val="출력은 금물"/>
      <sheetName val="토목내역서 (도급단가)"/>
      <sheetName val="1공구계약서"/>
      <sheetName val="우수공,맨홀,집수정"/>
      <sheetName val="JA8-4"/>
      <sheetName val="공사비총괄표"/>
      <sheetName val="설-원가"/>
      <sheetName val="갱문및옹벽집계"/>
      <sheetName val="3.내역서"/>
      <sheetName val="sand토적"/>
      <sheetName val="수토공단위당"/>
      <sheetName val="밸브설치"/>
      <sheetName val="빌딩 안내"/>
      <sheetName val="주소"/>
      <sheetName val="전통건설"/>
      <sheetName val="b_balju-단가단가단가"/>
      <sheetName val="C1ㅇ"/>
      <sheetName val="자탐간선산출서"/>
      <sheetName val="TRE TABLE"/>
      <sheetName val="구조물검사요청서"/>
      <sheetName val="관리대장"/>
      <sheetName val="물량내역"/>
      <sheetName val="한일양산"/>
      <sheetName val="감시단가"/>
      <sheetName val="단위목록"/>
      <sheetName val="기계경비목록"/>
      <sheetName val="경영상태"/>
      <sheetName val="백암비스타내역"/>
      <sheetName val="방호시설검토"/>
      <sheetName val="BCK3672"/>
      <sheetName val="토공촕괄"/>
      <sheetName val="한수원"/>
      <sheetName val="단가(1)"/>
      <sheetName val="인건비단가"/>
      <sheetName val="내역서 (2)"/>
      <sheetName val="단가일람"/>
      <sheetName val="인상효1"/>
      <sheetName val="도기류"/>
      <sheetName val="입력폼"/>
      <sheetName val="관리,공감"/>
      <sheetName val="토공수량"/>
      <sheetName val="SULKEA"/>
      <sheetName val="삼보지질"/>
      <sheetName val="배수설비"/>
      <sheetName val="사업수지"/>
      <sheetName val="XREF"/>
      <sheetName val="inv(IT)"/>
      <sheetName val="관로내역원"/>
      <sheetName val="분전반"/>
      <sheetName val="상무2지구(공사) (8)"/>
      <sheetName val="삭제금지단가"/>
      <sheetName val="공사원가계산서"/>
      <sheetName val="4.주beam"/>
      <sheetName val="보안등"/>
      <sheetName val="b_balju"/>
      <sheetName val="4.2.1 마루높이 검토"/>
      <sheetName val="TOTAL3"/>
      <sheetName val="제2호단위수량"/>
      <sheetName val="총괄수지표"/>
      <sheetName val="RE9604"/>
      <sheetName val="SCHEDULE"/>
      <sheetName val="전동기"/>
      <sheetName val="자  재"/>
      <sheetName val="건축외주"/>
      <sheetName val="내역5"/>
      <sheetName val="잡비"/>
      <sheetName val="재료집계표"/>
      <sheetName val="전시관"/>
      <sheetName val="조직공사중"/>
      <sheetName val="참조M"/>
      <sheetName val="단면제원"/>
      <sheetName val="잡비계산"/>
      <sheetName val="현장관리"/>
      <sheetName val="강당집계표-하임"/>
      <sheetName val="매설지선굴착"/>
      <sheetName val="공량산출서"/>
      <sheetName val="내역서적용수량"/>
      <sheetName val="도급내역"/>
      <sheetName val="단위수량산출"/>
      <sheetName val="슬래브수량"/>
      <sheetName val="1000 DB구축 부표"/>
      <sheetName val="공종별"/>
      <sheetName val="기흥하도용"/>
      <sheetName val="4.자재비(총괄)"/>
      <sheetName val="문학간접"/>
      <sheetName val="견"/>
      <sheetName val="물가시세표"/>
      <sheetName val="입찰보고"/>
      <sheetName val="777"/>
      <sheetName val="예정(3)"/>
      <sheetName val="동원(3)"/>
      <sheetName val="설계흐름도"/>
      <sheetName val="수안보-MBR1"/>
      <sheetName val="도장수량(하1)"/>
      <sheetName val="주형"/>
      <sheetName val="Sheet17"/>
      <sheetName val="명세서"/>
      <sheetName val="덕전리"/>
      <sheetName val="구천"/>
      <sheetName val="사원등록"/>
      <sheetName val="호봉 (2)"/>
      <sheetName val="도로단위당"/>
      <sheetName val="주공기준"/>
      <sheetName val="소총괄표1"/>
      <sheetName val="출력X"/>
      <sheetName val="설비견적"/>
      <sheetName val="***********************00"/>
      <sheetName val="내역서단가산출용"/>
      <sheetName val="자금청구"/>
      <sheetName val="맨홀수량"/>
      <sheetName val="공통부대비"/>
      <sheetName val="98NS-N"/>
      <sheetName val="청주(철골발주의뢰서)"/>
      <sheetName val="분전함신설"/>
      <sheetName val="접지1종"/>
      <sheetName val="P1"/>
      <sheetName val="매매"/>
      <sheetName val="전신"/>
      <sheetName val="목재동바리"/>
      <sheetName val="매립"/>
      <sheetName val="s.v"/>
      <sheetName val="보할최종(준공)only"/>
      <sheetName val="산근"/>
      <sheetName val="설계명세"/>
      <sheetName val="해평견적"/>
      <sheetName val="손익차9월2"/>
      <sheetName val="암거"/>
      <sheetName val="내역서(ebs)"/>
      <sheetName val="계획고"/>
      <sheetName val="건공요율"/>
      <sheetName val="기본설계기준"/>
      <sheetName val="배수관공"/>
      <sheetName val="단양 00 아파트-세부내역"/>
      <sheetName val="사다리"/>
      <sheetName val="식재"/>
      <sheetName val="식재출력용"/>
      <sheetName val="유지관리"/>
      <sheetName val="집수A"/>
      <sheetName val="집수정(600-700)"/>
      <sheetName val="원가계산(2)"/>
      <sheetName val="원가계산서(남측)"/>
      <sheetName val="총물량"/>
      <sheetName val="설비단가표"/>
      <sheetName val="신축(단위)"/>
      <sheetName val="G_R300경비"/>
      <sheetName val="건축내역서_(경제상무실)"/>
      <sheetName val="가__2006년_사업계획서"/>
      <sheetName val="배관배선_단가조사"/>
      <sheetName val="죽원1교"/>
      <sheetName val="공통비(전체)"/>
      <sheetName val="변경내역을"/>
      <sheetName val="BJJIN"/>
      <sheetName val="내부수지예산"/>
      <sheetName val="가로등일위대가"/>
      <sheetName val="위치조서"/>
      <sheetName val="견적사양비교표"/>
      <sheetName val="대차(설명자료)"/>
      <sheetName val="7 (2)"/>
      <sheetName val="품목납기"/>
      <sheetName val="주차구획선수량"/>
      <sheetName val="골프장예산"/>
      <sheetName val="금호"/>
      <sheetName val="파이프류"/>
      <sheetName val="연부97-1"/>
      <sheetName val="월별손익"/>
      <sheetName val="화설내"/>
      <sheetName val="공무팀"/>
      <sheetName val="9902"/>
      <sheetName val="물량산출근거"/>
      <sheetName val="내역서(교량)전체"/>
      <sheetName val="총갑지"/>
      <sheetName val="제잡비계산"/>
      <sheetName val="사토(신천경유)"/>
      <sheetName val="철근량"/>
      <sheetName val="97년 추정"/>
      <sheetName val="합천내역"/>
      <sheetName val="스포회원매출"/>
      <sheetName val="TEMP2"/>
      <sheetName val="금주1교"/>
      <sheetName val="본사인상전"/>
      <sheetName val="7단가"/>
      <sheetName val=" "/>
      <sheetName val="국내"/>
      <sheetName val="토적표"/>
      <sheetName val="건축내역(진해석동)"/>
      <sheetName val="도급"/>
      <sheetName val="시산표"/>
      <sheetName val="건축공사집계"/>
      <sheetName val="차선도색-연장,수량(1)"/>
      <sheetName val="유류수불내역2-9"/>
      <sheetName val="다곡2교"/>
      <sheetName val="대장"/>
      <sheetName val="BASIC"/>
      <sheetName val="가중치"/>
      <sheetName val="일위대가-01"/>
      <sheetName val="공사분석"/>
      <sheetName val="22신설수량"/>
      <sheetName val="일용노임단가2001상"/>
      <sheetName val="참조자료"/>
      <sheetName val="사유서제출현황-2"/>
      <sheetName val="조달청적격심사"/>
      <sheetName val="가계부"/>
      <sheetName val="제품목록"/>
      <sheetName val="매입매출관리"/>
      <sheetName val="1.수인터널"/>
      <sheetName val="실행예산"/>
      <sheetName val="인테리어"/>
      <sheetName val="F1"/>
      <sheetName val="TABLE DB"/>
      <sheetName val="쌍용 data base"/>
      <sheetName val="난간벽단위"/>
      <sheetName val="원본"/>
      <sheetName val="(2)자금(신용)"/>
      <sheetName val="CRU"/>
      <sheetName val="보_x0000__x0000__x0005_"/>
      <sheetName val="2000전체횸"/>
      <sheetName val="Macro(전기)"/>
      <sheetName val="주_x0000_"/>
      <sheetName val="주萹"/>
      <sheetName val="기계경비"/>
      <sheetName val="단면 Ȩ"/>
      <sheetName val="기초물량상세"/>
      <sheetName val="dike도수로"/>
      <sheetName val="국공유지및사유지"/>
      <sheetName val="공주-교대(A1)"/>
      <sheetName val="일위대가표_x0000__x0000__x0005__x0000_"/>
      <sheetName val="대부예산서"/>
      <sheetName val="MORTAR생산및타설(1;3)"/>
      <sheetName val="내역서을지"/>
      <sheetName val="방배동내역(리라)"/>
      <sheetName val="부대공사총괄"/>
      <sheetName val="건축공사집계표"/>
      <sheetName val="방배동내역 (총괄)"/>
      <sheetName val="HW GROUP-수정"/>
      <sheetName val="견적집계"/>
      <sheetName val="e4-6-%"/>
      <sheetName val="총내역서"/>
      <sheetName val="이자율"/>
      <sheetName val="을-ATYPE"/>
      <sheetName val="교량하부공"/>
      <sheetName val="미장"/>
      <sheetName val="철골"/>
      <sheetName val="어음수표추가테스트"/>
      <sheetName val="견적내역"/>
      <sheetName val="간접비계산"/>
      <sheetName val="울산시산표"/>
      <sheetName val="울산자동제어"/>
      <sheetName val="도급b_balju"/>
      <sheetName val="빙축열"/>
      <sheetName val="양수장(기계)"/>
      <sheetName val="금액"/>
      <sheetName val="CIVIL"/>
      <sheetName val="8. 내진해석"/>
      <sheetName val="★도급내역"/>
      <sheetName val="현장별"/>
      <sheetName val="주beam"/>
      <sheetName val="NEWDRAW"/>
      <sheetName val="00000"/>
      <sheetName val="사급자재"/>
      <sheetName val="낙찰표"/>
      <sheetName val="현장관리비 산출내역"/>
      <sheetName val="인수공규격"/>
      <sheetName val="STAND20"/>
      <sheetName val="제조원가(확인)"/>
      <sheetName val="Coding"/>
      <sheetName val="Tree"/>
      <sheetName val="Reference"/>
      <sheetName val="공정율"/>
      <sheetName val="Æo°¡±aAØ"/>
      <sheetName val="US$ I (SEG.)"/>
      <sheetName val="받check"/>
      <sheetName val="표준건축비"/>
      <sheetName val="주소(한문_x0000_"/>
      <sheetName val="3.하중산怸ς੶⾿_x0000__x0000_"/>
      <sheetName val="3.하중산뼘ʃ੶⿙_x0000__x0000_"/>
      <sheetName val="3.하중산倀ˊ੶⿙_x0000__x0000_"/>
      <sheetName val="하도급기성_(2)3"/>
      <sheetName val="하도급단가산출_(2)3"/>
      <sheetName val="입출재고현황_(2)3"/>
      <sheetName val="I_설계조건2"/>
      <sheetName val="설_계3"/>
      <sheetName val="1_설계조건2"/>
      <sheetName val="6_OUTPUT2"/>
      <sheetName val="단면_(2)2"/>
      <sheetName val="design_criteria3"/>
      <sheetName val="working_load_at_the_btm_ft_3"/>
      <sheetName val="plan&amp;section_of_foundation3"/>
      <sheetName val="member_design3"/>
      <sheetName val="영업_일2"/>
      <sheetName val="Customer_Databas2"/>
      <sheetName val="노원열병합__건축공사기성내역서2"/>
      <sheetName val="BSD_(2)2"/>
      <sheetName val="6PILE__(돌출)2"/>
      <sheetName val="대대터널_설계서2"/>
      <sheetName val="1_우편집중내역서2"/>
      <sheetName val="ITB_COST2"/>
      <sheetName val="2000_052"/>
      <sheetName val="2_대외공문2"/>
      <sheetName val="BSD__2_2"/>
      <sheetName val="soil_bearing_check2"/>
      <sheetName val="접속_SLAB,BRACKET_설계2"/>
      <sheetName val="1_설계기준1"/>
      <sheetName val="_견적서2"/>
      <sheetName val="Budget_2004(DW)2"/>
      <sheetName val="PROJECT_BRIEF(EX_NEW)2"/>
      <sheetName val="VENDOR_LIST2"/>
      <sheetName val="수량산출서_갑지1"/>
      <sheetName val="내역서_1"/>
      <sheetName val="Discount_Group1"/>
      <sheetName val="REINF_1"/>
      <sheetName val="근고_블록_유형별_수량1"/>
      <sheetName val="공종별_집계1"/>
      <sheetName val="Budget_2005(DW)1"/>
      <sheetName val="인건비_1"/>
      <sheetName val="1__설계조건_2_단면가정_3__하중계산1"/>
      <sheetName val="DATA_입력란1"/>
      <sheetName val="crude_SLAB_RE-bar2"/>
      <sheetName val="8_PILE__(돌출)1"/>
      <sheetName val="Sheet1_(2)1"/>
      <sheetName val="Ⅴ-2_공종별내역1"/>
      <sheetName val="바_한일양산1"/>
      <sheetName val="견적가_검토2"/>
      <sheetName val="Ext__Stone-P1"/>
      <sheetName val="수목데이타_1"/>
      <sheetName val="3_공통공사대비1"/>
      <sheetName val="Material_Specification1"/>
      <sheetName val="조도계산서_(도서)1"/>
      <sheetName val="진행_DATA_(2)1"/>
      <sheetName val="3BL공동구_수량1"/>
      <sheetName val="플랜트_설치1"/>
      <sheetName val="unit_41"/>
      <sheetName val="배수공_시멘트_및_골재량_산출1"/>
      <sheetName val="건축공사_집계표1"/>
      <sheetName val="2_하자처리현황(CS)1"/>
      <sheetName val="총_원가계산1"/>
      <sheetName val="일위대가표_(2)1"/>
      <sheetName val="2003_4_1_1"/>
      <sheetName val="준검_내역서1"/>
      <sheetName val="2F_회의실견적(5_14_일대)1"/>
      <sheetName val="토공(우물통,기타)_1"/>
      <sheetName val="#34_CIVL_Original1"/>
      <sheetName val="토_적_표1"/>
      <sheetName val="페이징_배관배선1"/>
      <sheetName val="2000년_임금추정1"/>
      <sheetName val="수량_산출서(당초)1"/>
      <sheetName val="설산1_나1"/>
      <sheetName val="1_관로1"/>
      <sheetName val="교통시설_표지판1"/>
      <sheetName val="CRUDE_RE-bar1"/>
      <sheetName val="3_하중산정4_지지력1"/>
      <sheetName val="3련_BOX1"/>
      <sheetName val="Basic_Input1"/>
      <sheetName val="Notes_2"/>
      <sheetName val="Bank_charge2"/>
      <sheetName val="Pengalaman_Per1"/>
      <sheetName val="FIRE_FIGHTING1"/>
      <sheetName val="BEND_LOSS1"/>
      <sheetName val="1_설계설명서1"/>
      <sheetName val="Load_Total1"/>
      <sheetName val="11_자재단가1"/>
      <sheetName val="표__지1"/>
      <sheetName val="1차_내역서1"/>
      <sheetName val="A3_공사비_검토1"/>
      <sheetName val="C3_토목_옹벽1"/>
      <sheetName val="3_건축(현장안)1"/>
      <sheetName val="2_냉난방설비공사1"/>
      <sheetName val="실행내역서_1"/>
      <sheetName val="영업_일12"/>
      <sheetName val="P_M_별1"/>
      <sheetName val="매출채권_및_담보비율_변동1"/>
      <sheetName val="2_건축1"/>
      <sheetName val="Galaxy_소비자가격표1"/>
      <sheetName val="2_단면가정1"/>
      <sheetName val="4_말뚝설계1"/>
      <sheetName val="5호광장_(만점)1"/>
      <sheetName val="인천국제_(만점)_(2)1"/>
      <sheetName val="전_기1"/>
      <sheetName val="콤보박스와_리스트박스의_연결1"/>
      <sheetName val="2-3_V_D일위1"/>
      <sheetName val="별표_1"/>
      <sheetName val="완성차_미수금1"/>
      <sheetName val="CR_CODE1"/>
      <sheetName val="THEME_CODE1"/>
      <sheetName val="목차_및_표지1"/>
      <sheetName val="단가표_(2)1"/>
      <sheetName val="단__가__대__비__표1"/>
      <sheetName val="일__위__대__가__목__록1"/>
      <sheetName val="96보완계획7_121"/>
      <sheetName val="7_자동제어공사1"/>
      <sheetName val="DATA_입력부1"/>
      <sheetName val="중기조종사_단위단가1"/>
      <sheetName val="BOM-Form_A_1_III1"/>
      <sheetName val="변압기_및_발전기_용량1"/>
      <sheetName val="실행,원가_최종예상1"/>
      <sheetName val="전선_및_전선관1"/>
      <sheetName val="3_현장배치1"/>
      <sheetName val="배수내역_(2)1"/>
      <sheetName val="6_일위대가1"/>
      <sheetName val="static_cal1"/>
      <sheetName val="장외반출및폐기물_1"/>
      <sheetName val="사급분_설계내역서"/>
      <sheetName val="7_PILE__(돌출)"/>
      <sheetName val="반중력식옹벽3_5"/>
      <sheetName val="_자재물류센터_증축공사_중_철근콘크리트_공사_xlsx"/>
      <sheetName val="BOX규격및_설계조건입력"/>
      <sheetName val="상여_(2)"/>
      <sheetName val="She׃⽯_x0000__x0000_"/>
      <sheetName val="She嘉°_x0000__x0000_"/>
      <sheetName val="96작생능"/>
      <sheetName val="공종구간"/>
      <sheetName val="단가(전기)"/>
      <sheetName val="구간공종"/>
      <sheetName val="토건"/>
      <sheetName val="내   역"/>
      <sheetName val="사업부배부A"/>
      <sheetName val="유림콘도"/>
      <sheetName val="Cost Reduction"/>
      <sheetName val="6동"/>
      <sheetName val="sk(4)"/>
      <sheetName val="Macro(발전기)"/>
      <sheetName val="unitpri "/>
      <sheetName val="교육계획"/>
      <sheetName val="VIC"/>
      <sheetName val="입력창"/>
      <sheetName val="용량계산"/>
      <sheetName val="냉각탑자료"/>
      <sheetName val="CR Graph"/>
      <sheetName val="하수급견적대비"/>
      <sheetName val="매출"/>
      <sheetName val="2000제조1"/>
      <sheetName val="금광1터널"/>
      <sheetName val="중기"/>
      <sheetName val="실행내역 "/>
      <sheetName val="화산경계"/>
      <sheetName val="960_x0000_꧚ƭ_x0000__x0000_"/>
      <sheetName val="냉천부勅_x0010_"/>
      <sheetName val="법면수집"/>
      <sheetName val="석축설면"/>
      <sheetName val="법면단"/>
      <sheetName val="원-울"/>
      <sheetName val="내-울"/>
      <sheetName val="견적대비 견적서"/>
      <sheetName val="1-9 피뢰 및 접지공사"/>
      <sheetName val="케이블 규격"/>
      <sheetName val="VS P-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내역서"/>
      <sheetName val="일위대가목록"/>
      <sheetName val="일위대가_호표"/>
      <sheetName val="일위대가_산근"/>
      <sheetName val="일위대가_산근_1"/>
      <sheetName val="일위대가_산근_2"/>
      <sheetName val="일위대가_산근_3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노임</v>
          </cell>
        </row>
        <row r="2">
          <cell r="A2" t="str">
            <v>명    칭</v>
          </cell>
          <cell r="B2" t="str">
            <v>규    격</v>
          </cell>
          <cell r="C2" t="str">
            <v>단 위</v>
          </cell>
          <cell r="D2" t="str">
            <v>단    가</v>
          </cell>
          <cell r="E2" t="str">
            <v>비 고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  <sheetName val="업무보고"/>
      <sheetName val="그레이더"/>
      <sheetName val="간접"/>
      <sheetName val="차도부연장현황"/>
      <sheetName val="CON'C"/>
      <sheetName val="단가 "/>
      <sheetName val="일위총괄표"/>
      <sheetName val="경산"/>
      <sheetName val="자재비"/>
      <sheetName val="품셈TABLE"/>
      <sheetName val="SLAB&quot;1&quot;"/>
      <sheetName val="시중노임단가"/>
      <sheetName val="JUCKEYK"/>
      <sheetName val="06공관내"/>
      <sheetName val="참조-(1)"/>
      <sheetName val="PI"/>
      <sheetName val="96보완계획7.12"/>
      <sheetName val="입력"/>
      <sheetName val="COPING"/>
      <sheetName val="개별직종노임단가(2005.1)"/>
      <sheetName val="산출근거#2-3"/>
      <sheetName val="BM"/>
      <sheetName val="토공총괄표"/>
      <sheetName val="철거산출근거"/>
      <sheetName val="을지"/>
      <sheetName val="날개벽수량표"/>
      <sheetName val="저"/>
      <sheetName val="Sheet1 _2_"/>
      <sheetName val="1차네트공정"/>
      <sheetName val="본체"/>
      <sheetName val="견적서양식"/>
      <sheetName val="CIP BD"/>
      <sheetName val="타공종이기"/>
      <sheetName val="포장총괄집계표"/>
      <sheetName val="토공산근"/>
      <sheetName val="매매"/>
      <sheetName val="지장물조서"/>
      <sheetName val="Sheet5"/>
      <sheetName val="인건비"/>
      <sheetName val="203"/>
      <sheetName val="물건조서"/>
      <sheetName val="이름표"/>
      <sheetName val="명부"/>
      <sheetName val="배수장토목공사비"/>
      <sheetName val="97노임단가"/>
      <sheetName val="2호맨홀공제수량"/>
      <sheetName val="8.PILE  (돌출)"/>
      <sheetName val="b_balju"/>
      <sheetName val="기준"/>
      <sheetName val="남대문빌딩"/>
      <sheetName val="수량인공"/>
      <sheetName val="목차"/>
      <sheetName val="개소별수량산출"/>
      <sheetName val="4.시스템냉난방용량"/>
      <sheetName val="표층포설및다짐"/>
      <sheetName val="FOOTING단면력"/>
      <sheetName val="기자재비"/>
      <sheetName val="3"/>
      <sheetName val="하도계약변경 (2)"/>
      <sheetName val="토공"/>
      <sheetName val="작업시작"/>
      <sheetName val="수량산출집계(항목별)(11)"/>
      <sheetName val="신규식재수량"/>
      <sheetName val="기성내역서"/>
      <sheetName val="토공유동표"/>
      <sheetName val="실행내역 "/>
      <sheetName val="고창터널(고창방향)"/>
      <sheetName val="주차구획선수량"/>
      <sheetName val="소방"/>
      <sheetName val="36+45-113-18+19+20I"/>
      <sheetName val="직노"/>
      <sheetName val="건축도면 진행자료"/>
      <sheetName val="일반자료"/>
      <sheetName val="Macro3"/>
      <sheetName val="안내문"/>
      <sheetName val="민감도분석"/>
      <sheetName val="3련 BOX"/>
      <sheetName val="보도경계블럭"/>
      <sheetName val="96정변2"/>
      <sheetName val="부대tu"/>
      <sheetName val="Macro1"/>
    </sheetNames>
    <sheetDataSet>
      <sheetData sheetId="0">
        <row r="1">
          <cell r="A1" t="str">
            <v>*규격별 식재품</v>
          </cell>
        </row>
      </sheetData>
      <sheetData sheetId="1">
        <row r="1">
          <cell r="A1" t="str">
            <v>*규격별 식재품</v>
          </cell>
        </row>
      </sheetData>
      <sheetData sheetId="2"/>
      <sheetData sheetId="3"/>
      <sheetData sheetId="4"/>
      <sheetData sheetId="5">
        <row r="1">
          <cell r="A1" t="str">
            <v>*규격별 식재품</v>
          </cell>
        </row>
      </sheetData>
      <sheetData sheetId="6"/>
      <sheetData sheetId="7"/>
      <sheetData sheetId="8"/>
      <sheetData sheetId="9">
        <row r="1">
          <cell r="A1" t="str">
            <v>*규격별 식재품</v>
          </cell>
        </row>
      </sheetData>
      <sheetData sheetId="10">
        <row r="1">
          <cell r="A1" t="str">
            <v>*규격별 식재품</v>
          </cell>
        </row>
      </sheetData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opLeftCell="H1" zoomScaleNormal="100" zoomScaleSheetLayoutView="70" workbookViewId="0">
      <selection activeCell="S16" sqref="S16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146" t="s">
        <v>13</v>
      </c>
      <c r="B3" s="146" t="s">
        <v>1</v>
      </c>
      <c r="C3" s="146" t="s">
        <v>2</v>
      </c>
      <c r="D3" s="146" t="s">
        <v>3</v>
      </c>
      <c r="E3" s="146" t="s">
        <v>4</v>
      </c>
      <c r="F3" s="146" t="s">
        <v>5</v>
      </c>
      <c r="G3" s="146"/>
      <c r="H3" s="146"/>
      <c r="I3" s="146"/>
      <c r="J3" s="146"/>
      <c r="K3" s="146"/>
      <c r="L3" s="146"/>
      <c r="M3" s="146"/>
      <c r="N3" s="146" t="s">
        <v>14</v>
      </c>
      <c r="O3" s="146" t="s">
        <v>15</v>
      </c>
    </row>
    <row r="4" spans="1:23">
      <c r="A4" s="146"/>
      <c r="B4" s="146"/>
      <c r="C4" s="146"/>
      <c r="D4" s="146"/>
      <c r="E4" s="146"/>
      <c r="F4" s="146" t="s">
        <v>6</v>
      </c>
      <c r="G4" s="146"/>
      <c r="H4" s="146" t="s">
        <v>7</v>
      </c>
      <c r="I4" s="146"/>
      <c r="J4" s="146" t="s">
        <v>8</v>
      </c>
      <c r="K4" s="146"/>
      <c r="L4" s="146" t="s">
        <v>9</v>
      </c>
      <c r="M4" s="146"/>
      <c r="N4" s="146"/>
      <c r="O4" s="146"/>
    </row>
    <row r="5" spans="1:23">
      <c r="A5" s="146"/>
      <c r="B5" s="146"/>
      <c r="C5" s="146"/>
      <c r="D5" s="146"/>
      <c r="E5" s="146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147"/>
      <c r="O5" s="147"/>
    </row>
    <row r="6" spans="1:23">
      <c r="A6" s="58"/>
      <c r="B6" s="81" t="s">
        <v>135</v>
      </c>
      <c r="C6" s="91">
        <v>1200</v>
      </c>
      <c r="D6" s="59"/>
      <c r="E6" s="60"/>
      <c r="F6" s="61"/>
      <c r="G6" s="57">
        <f>INT(SUM(G7:G18))</f>
        <v>62922300</v>
      </c>
      <c r="H6" s="57"/>
      <c r="I6" s="57">
        <f>INT(SUM(I7:I18))</f>
        <v>14105559</v>
      </c>
      <c r="J6" s="57"/>
      <c r="K6" s="57">
        <f>INT(SUM(K7:K18))</f>
        <v>18607133</v>
      </c>
      <c r="L6" s="57"/>
      <c r="M6" s="57">
        <f>G6+I6+K6</f>
        <v>95634992</v>
      </c>
      <c r="N6" s="58"/>
      <c r="O6" s="58"/>
    </row>
    <row r="7" spans="1:23">
      <c r="A7" s="3">
        <v>1</v>
      </c>
      <c r="B7" s="82" t="s">
        <v>47</v>
      </c>
      <c r="C7" s="88">
        <v>1200</v>
      </c>
      <c r="D7" s="16">
        <v>1</v>
      </c>
      <c r="E7" s="17" t="s">
        <v>266</v>
      </c>
      <c r="F7" s="29">
        <f>일위대가호표!I7</f>
        <v>656</v>
      </c>
      <c r="G7" s="35">
        <f t="shared" ref="G7:G18" si="0">F7*D7</f>
        <v>656</v>
      </c>
      <c r="H7" s="29">
        <f>일위대가호표!K7</f>
        <v>163517</v>
      </c>
      <c r="I7" s="35">
        <f t="shared" ref="I7:I18" si="1">H7*D7</f>
        <v>163517</v>
      </c>
      <c r="J7" s="29">
        <f>일위대가호표!M7</f>
        <v>915</v>
      </c>
      <c r="K7" s="35">
        <f t="shared" ref="K7:K18" si="2">J7*D7</f>
        <v>915</v>
      </c>
      <c r="L7" s="35">
        <f t="shared" ref="L7:L18" si="3">F7+H7+J7</f>
        <v>165088</v>
      </c>
      <c r="M7" s="35">
        <f t="shared" ref="M7:M18" si="4">L7*D7</f>
        <v>165088</v>
      </c>
      <c r="N7" s="1"/>
      <c r="O7" s="4" t="s">
        <v>48</v>
      </c>
      <c r="P7" s="87"/>
      <c r="Q7" s="87"/>
      <c r="R7" s="87"/>
      <c r="S7" s="87"/>
      <c r="T7" s="87"/>
      <c r="U7" s="87"/>
      <c r="V7" s="87"/>
      <c r="W7" s="87"/>
    </row>
    <row r="8" spans="1:23">
      <c r="A8" s="3">
        <v>2</v>
      </c>
      <c r="B8" s="83" t="s">
        <v>49</v>
      </c>
      <c r="C8" s="88">
        <v>1200</v>
      </c>
      <c r="D8" s="16">
        <v>1</v>
      </c>
      <c r="E8" s="17" t="s">
        <v>266</v>
      </c>
      <c r="F8" s="29">
        <f>일위대가호표!I24</f>
        <v>31146687</v>
      </c>
      <c r="G8" s="35">
        <f t="shared" si="0"/>
        <v>31146687</v>
      </c>
      <c r="H8" s="29">
        <f>일위대가호표!K24</f>
        <v>3875021</v>
      </c>
      <c r="I8" s="35">
        <f t="shared" si="1"/>
        <v>3875021</v>
      </c>
      <c r="J8" s="29">
        <f>일위대가호표!M24</f>
        <v>855278</v>
      </c>
      <c r="K8" s="35">
        <f t="shared" si="2"/>
        <v>855278</v>
      </c>
      <c r="L8" s="35">
        <f t="shared" si="3"/>
        <v>35876986</v>
      </c>
      <c r="M8" s="35">
        <f t="shared" si="4"/>
        <v>35876986</v>
      </c>
      <c r="N8" s="1"/>
      <c r="O8" s="4" t="s">
        <v>48</v>
      </c>
      <c r="P8" s="87"/>
      <c r="Q8" s="87"/>
      <c r="R8" s="87"/>
      <c r="S8" s="87"/>
      <c r="T8" s="87"/>
      <c r="U8" s="87"/>
      <c r="V8" s="87"/>
      <c r="W8" s="87"/>
    </row>
    <row r="9" spans="1:23">
      <c r="A9" s="3">
        <v>3</v>
      </c>
      <c r="B9" s="83" t="s">
        <v>50</v>
      </c>
      <c r="C9" s="89">
        <v>850</v>
      </c>
      <c r="D9" s="16">
        <v>1</v>
      </c>
      <c r="E9" s="17" t="s">
        <v>266</v>
      </c>
      <c r="F9" s="29">
        <f>일위대가호표!I52</f>
        <v>550910</v>
      </c>
      <c r="G9" s="35">
        <f t="shared" si="0"/>
        <v>550910</v>
      </c>
      <c r="H9" s="29">
        <f>일위대가호표!K52</f>
        <v>498114</v>
      </c>
      <c r="I9" s="35">
        <f t="shared" si="1"/>
        <v>498114</v>
      </c>
      <c r="J9" s="29">
        <f>일위대가호표!M52</f>
        <v>1169510</v>
      </c>
      <c r="K9" s="35">
        <f t="shared" si="2"/>
        <v>1169510</v>
      </c>
      <c r="L9" s="35">
        <f t="shared" si="3"/>
        <v>2218534</v>
      </c>
      <c r="M9" s="35">
        <f t="shared" si="4"/>
        <v>2218534</v>
      </c>
      <c r="N9" s="1"/>
      <c r="O9" s="4" t="s">
        <v>48</v>
      </c>
      <c r="P9" s="87"/>
      <c r="Q9" s="87"/>
      <c r="R9" s="87"/>
      <c r="S9" s="87"/>
      <c r="T9" s="87"/>
      <c r="U9" s="87"/>
      <c r="V9" s="87"/>
      <c r="W9" s="87"/>
    </row>
    <row r="10" spans="1:23">
      <c r="A10" s="3">
        <v>4</v>
      </c>
      <c r="B10" s="83" t="s">
        <v>51</v>
      </c>
      <c r="C10" s="89">
        <v>850</v>
      </c>
      <c r="D10" s="16">
        <v>1</v>
      </c>
      <c r="E10" s="17" t="s">
        <v>266</v>
      </c>
      <c r="F10" s="29">
        <f>일위대가호표!I73</f>
        <v>16802955</v>
      </c>
      <c r="G10" s="35">
        <f t="shared" si="0"/>
        <v>16802955</v>
      </c>
      <c r="H10" s="29">
        <f>일위대가호표!K73</f>
        <v>2344095</v>
      </c>
      <c r="I10" s="35">
        <f t="shared" si="1"/>
        <v>2344095</v>
      </c>
      <c r="J10" s="29">
        <f>일위대가호표!M73</f>
        <v>5764530</v>
      </c>
      <c r="K10" s="35">
        <f t="shared" si="2"/>
        <v>5764530</v>
      </c>
      <c r="L10" s="35">
        <f t="shared" si="3"/>
        <v>24911580</v>
      </c>
      <c r="M10" s="35">
        <f t="shared" si="4"/>
        <v>24911580</v>
      </c>
      <c r="N10" s="1"/>
      <c r="O10" s="4" t="s">
        <v>48</v>
      </c>
      <c r="P10" s="87"/>
      <c r="Q10" s="87"/>
      <c r="R10" s="87"/>
      <c r="S10" s="87"/>
      <c r="T10" s="87"/>
      <c r="U10" s="87"/>
      <c r="V10" s="87"/>
      <c r="W10" s="87"/>
    </row>
    <row r="11" spans="1:23">
      <c r="A11" s="3">
        <v>5</v>
      </c>
      <c r="B11" s="83" t="s">
        <v>53</v>
      </c>
      <c r="C11" s="90">
        <v>100</v>
      </c>
      <c r="D11" s="16">
        <v>1</v>
      </c>
      <c r="E11" s="17" t="s">
        <v>266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84487</v>
      </c>
      <c r="K11" s="35">
        <f t="shared" si="2"/>
        <v>84487</v>
      </c>
      <c r="L11" s="35">
        <f t="shared" si="3"/>
        <v>800902</v>
      </c>
      <c r="M11" s="35">
        <f t="shared" si="4"/>
        <v>800902</v>
      </c>
      <c r="N11" s="1"/>
      <c r="O11" s="1" t="s">
        <v>48</v>
      </c>
      <c r="P11" s="87"/>
      <c r="Q11" s="87"/>
      <c r="R11" s="87"/>
      <c r="S11" s="87"/>
      <c r="T11" s="87"/>
      <c r="U11" s="87"/>
      <c r="V11" s="87"/>
      <c r="W11" s="87"/>
    </row>
    <row r="12" spans="1:23">
      <c r="A12" s="3">
        <v>6</v>
      </c>
      <c r="B12" s="83" t="s">
        <v>54</v>
      </c>
      <c r="C12" s="88">
        <v>1200</v>
      </c>
      <c r="D12" s="16">
        <v>1</v>
      </c>
      <c r="E12" s="17" t="s">
        <v>266</v>
      </c>
      <c r="F12" s="29">
        <f>일위대가호표!I159</f>
        <v>6662986</v>
      </c>
      <c r="G12" s="35">
        <f t="shared" si="0"/>
        <v>6662986</v>
      </c>
      <c r="H12" s="29">
        <f>일위대가호표!K159</f>
        <v>4535894</v>
      </c>
      <c r="I12" s="35">
        <f t="shared" si="1"/>
        <v>4535894</v>
      </c>
      <c r="J12" s="29">
        <f>일위대가호표!M159</f>
        <v>3976473</v>
      </c>
      <c r="K12" s="35">
        <f t="shared" si="2"/>
        <v>3976473</v>
      </c>
      <c r="L12" s="35">
        <f t="shared" si="3"/>
        <v>15175353</v>
      </c>
      <c r="M12" s="35">
        <f t="shared" si="4"/>
        <v>15175353</v>
      </c>
      <c r="N12" s="1"/>
      <c r="O12" s="1" t="s">
        <v>52</v>
      </c>
      <c r="P12" s="87"/>
      <c r="Q12" s="87"/>
      <c r="R12" s="87"/>
      <c r="S12" s="87"/>
      <c r="T12" s="87"/>
      <c r="U12" s="87"/>
      <c r="V12" s="87"/>
      <c r="W12" s="87"/>
    </row>
    <row r="13" spans="1:23">
      <c r="A13" s="3">
        <v>7</v>
      </c>
      <c r="B13" s="83" t="s">
        <v>55</v>
      </c>
      <c r="C13" s="89">
        <v>850</v>
      </c>
      <c r="D13" s="16">
        <v>1</v>
      </c>
      <c r="E13" s="17" t="s">
        <v>266</v>
      </c>
      <c r="F13" s="29">
        <f>일위대가호표!I191</f>
        <v>5733850</v>
      </c>
      <c r="G13" s="35">
        <f t="shared" si="0"/>
        <v>5733850</v>
      </c>
      <c r="H13" s="29">
        <f>일위대가호표!K191</f>
        <v>1057108</v>
      </c>
      <c r="I13" s="35">
        <f t="shared" si="1"/>
        <v>1057108</v>
      </c>
      <c r="J13" s="29">
        <f>일위대가호표!M191</f>
        <v>733626</v>
      </c>
      <c r="K13" s="35">
        <f t="shared" si="2"/>
        <v>733626</v>
      </c>
      <c r="L13" s="35">
        <f t="shared" si="3"/>
        <v>7524584</v>
      </c>
      <c r="M13" s="35">
        <f t="shared" si="4"/>
        <v>7524584</v>
      </c>
      <c r="N13" s="1"/>
      <c r="O13" s="1" t="s">
        <v>48</v>
      </c>
      <c r="P13" s="87"/>
      <c r="Q13" s="87"/>
      <c r="R13" s="87"/>
      <c r="S13" s="87"/>
      <c r="T13" s="87"/>
      <c r="U13" s="87"/>
      <c r="V13" s="87"/>
      <c r="W13" s="87"/>
    </row>
    <row r="14" spans="1:23">
      <c r="A14" s="3">
        <v>8</v>
      </c>
      <c r="B14" s="83" t="s">
        <v>56</v>
      </c>
      <c r="C14" s="89">
        <v>850</v>
      </c>
      <c r="D14" s="16">
        <v>1</v>
      </c>
      <c r="E14" s="17" t="s">
        <v>266</v>
      </c>
      <c r="F14" s="29">
        <f>일위대가호표!I216</f>
        <v>0</v>
      </c>
      <c r="G14" s="35">
        <f t="shared" si="0"/>
        <v>0</v>
      </c>
      <c r="H14" s="29">
        <f>일위대가호표!K216</f>
        <v>200296</v>
      </c>
      <c r="I14" s="35">
        <f t="shared" si="1"/>
        <v>200296</v>
      </c>
      <c r="J14" s="29">
        <f>일위대가호표!M216</f>
        <v>69460</v>
      </c>
      <c r="K14" s="35">
        <f t="shared" si="2"/>
        <v>69460</v>
      </c>
      <c r="L14" s="35">
        <f t="shared" si="3"/>
        <v>269756</v>
      </c>
      <c r="M14" s="35">
        <f t="shared" si="4"/>
        <v>269756</v>
      </c>
      <c r="N14" s="1"/>
      <c r="O14" s="1" t="s">
        <v>48</v>
      </c>
      <c r="P14" s="87"/>
      <c r="Q14" s="87"/>
      <c r="R14" s="87"/>
      <c r="S14" s="87"/>
      <c r="T14" s="87"/>
      <c r="U14" s="87"/>
      <c r="V14" s="87"/>
      <c r="W14" s="87"/>
    </row>
    <row r="15" spans="1:23">
      <c r="A15" s="3">
        <v>9</v>
      </c>
      <c r="B15" s="83" t="s">
        <v>57</v>
      </c>
      <c r="C15" s="89">
        <v>850</v>
      </c>
      <c r="D15" s="16">
        <v>1</v>
      </c>
      <c r="E15" s="17" t="s">
        <v>266</v>
      </c>
      <c r="F15" s="29">
        <f>일위대가호표!I223</f>
        <v>1543570</v>
      </c>
      <c r="G15" s="35">
        <f t="shared" si="0"/>
        <v>1543570</v>
      </c>
      <c r="H15" s="29">
        <f>일위대가호표!K223</f>
        <v>253358</v>
      </c>
      <c r="I15" s="35">
        <f t="shared" si="1"/>
        <v>253358</v>
      </c>
      <c r="J15" s="29">
        <f>일위대가호표!M223</f>
        <v>22854</v>
      </c>
      <c r="K15" s="35">
        <f t="shared" si="2"/>
        <v>22854</v>
      </c>
      <c r="L15" s="35">
        <f t="shared" si="3"/>
        <v>1819782</v>
      </c>
      <c r="M15" s="35">
        <f t="shared" si="4"/>
        <v>1819782</v>
      </c>
      <c r="N15" s="1"/>
      <c r="O15" s="1" t="s">
        <v>48</v>
      </c>
      <c r="P15" s="87"/>
      <c r="Q15" s="87"/>
      <c r="R15" s="87"/>
      <c r="S15" s="87"/>
      <c r="T15" s="87"/>
      <c r="U15" s="87"/>
      <c r="V15" s="87"/>
      <c r="W15" s="87"/>
    </row>
    <row r="16" spans="1:23">
      <c r="A16" s="3">
        <v>10</v>
      </c>
      <c r="B16" s="83" t="s">
        <v>58</v>
      </c>
      <c r="C16" s="88">
        <v>1200</v>
      </c>
      <c r="D16" s="16">
        <v>1</v>
      </c>
      <c r="E16" s="17" t="s">
        <v>266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87"/>
      <c r="Q16" s="87"/>
      <c r="R16" s="87"/>
      <c r="S16" s="87"/>
      <c r="T16" s="87"/>
      <c r="U16" s="87"/>
      <c r="V16" s="87"/>
      <c r="W16" s="87"/>
    </row>
    <row r="17" spans="1:23">
      <c r="A17" s="3">
        <v>11</v>
      </c>
      <c r="B17" s="83" t="s">
        <v>59</v>
      </c>
      <c r="C17" s="88">
        <v>1200</v>
      </c>
      <c r="D17" s="16">
        <v>1</v>
      </c>
      <c r="E17" s="17" t="s">
        <v>267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5930000</v>
      </c>
      <c r="K17" s="35">
        <f t="shared" si="2"/>
        <v>5930000</v>
      </c>
      <c r="L17" s="35">
        <f t="shared" si="3"/>
        <v>5930000</v>
      </c>
      <c r="M17" s="35">
        <f t="shared" si="4"/>
        <v>5930000</v>
      </c>
      <c r="N17" s="1"/>
      <c r="O17" s="1" t="s">
        <v>48</v>
      </c>
      <c r="P17" s="87"/>
      <c r="Q17" s="87"/>
      <c r="R17" s="87"/>
      <c r="S17" s="87"/>
      <c r="T17" s="87"/>
      <c r="U17" s="87"/>
      <c r="V17" s="87"/>
      <c r="W17" s="87"/>
    </row>
    <row r="18" spans="1:23">
      <c r="A18" s="3">
        <v>12</v>
      </c>
      <c r="B18" s="83" t="s">
        <v>60</v>
      </c>
      <c r="C18" s="89">
        <v>850</v>
      </c>
      <c r="D18" s="16">
        <v>1</v>
      </c>
      <c r="E18" s="17" t="s">
        <v>266</v>
      </c>
      <c r="F18" s="29">
        <f>일위대가호표!I246</f>
        <v>0</v>
      </c>
      <c r="G18" s="35">
        <f t="shared" si="0"/>
        <v>0</v>
      </c>
      <c r="H18" s="29">
        <f>일위대가호표!K246</f>
        <v>607048</v>
      </c>
      <c r="I18" s="35">
        <f t="shared" si="1"/>
        <v>607048</v>
      </c>
      <c r="J18" s="29">
        <f>일위대가호표!M246</f>
        <v>0</v>
      </c>
      <c r="K18" s="35">
        <f t="shared" si="2"/>
        <v>0</v>
      </c>
      <c r="L18" s="35">
        <f t="shared" si="3"/>
        <v>607048</v>
      </c>
      <c r="M18" s="35">
        <f t="shared" si="4"/>
        <v>607048</v>
      </c>
      <c r="N18" s="1"/>
      <c r="O18" s="1" t="s">
        <v>48</v>
      </c>
      <c r="P18" s="87"/>
      <c r="Q18" s="87"/>
      <c r="R18" s="87"/>
      <c r="S18" s="87"/>
      <c r="T18" s="87"/>
      <c r="U18" s="87"/>
      <c r="V18" s="87"/>
      <c r="W18" s="87"/>
    </row>
    <row r="19" spans="1:23">
      <c r="A19" s="3"/>
      <c r="B19" s="83"/>
      <c r="C19" s="88"/>
      <c r="D19" s="16"/>
      <c r="E19" s="17"/>
      <c r="F19" s="29"/>
      <c r="G19" s="35"/>
      <c r="H19" s="29"/>
      <c r="I19" s="35"/>
      <c r="J19" s="29"/>
      <c r="K19" s="35"/>
      <c r="L19" s="35"/>
      <c r="M19" s="35"/>
      <c r="N19" s="1"/>
      <c r="O19" s="1"/>
      <c r="P19" s="87"/>
      <c r="Q19" s="87"/>
      <c r="R19" s="87"/>
      <c r="S19" s="87"/>
      <c r="T19" s="87"/>
      <c r="U19" s="87"/>
      <c r="V19" s="87"/>
      <c r="W19" s="87"/>
    </row>
    <row r="20" spans="1:23">
      <c r="A20" s="3"/>
      <c r="B20" s="83"/>
      <c r="C20" s="88"/>
      <c r="D20" s="16"/>
      <c r="E20" s="17"/>
      <c r="F20" s="29"/>
      <c r="G20" s="35"/>
      <c r="H20" s="29"/>
      <c r="I20" s="35"/>
      <c r="J20" s="29"/>
      <c r="K20" s="35"/>
      <c r="L20" s="35"/>
      <c r="M20" s="35"/>
      <c r="N20" s="1"/>
      <c r="O20" s="1"/>
      <c r="P20" s="87"/>
      <c r="Q20" s="87"/>
      <c r="R20" s="87"/>
      <c r="S20" s="87"/>
      <c r="T20" s="87"/>
      <c r="U20" s="87"/>
      <c r="V20" s="87"/>
      <c r="W20" s="87"/>
    </row>
    <row r="21" spans="1:23">
      <c r="A21" s="3"/>
      <c r="B21" s="83"/>
      <c r="C21" s="89"/>
      <c r="D21" s="16"/>
      <c r="E21" s="17"/>
      <c r="F21" s="29"/>
      <c r="G21" s="35"/>
      <c r="H21" s="29"/>
      <c r="I21" s="35"/>
      <c r="J21" s="29"/>
      <c r="K21" s="35"/>
      <c r="L21" s="35"/>
      <c r="M21" s="35"/>
      <c r="N21" s="1"/>
      <c r="O21" s="1"/>
      <c r="P21" s="87"/>
      <c r="Q21" s="87"/>
      <c r="R21" s="87"/>
      <c r="S21" s="87"/>
      <c r="T21" s="87"/>
      <c r="U21" s="87"/>
      <c r="V21" s="87"/>
      <c r="W21" s="87"/>
    </row>
    <row r="22" spans="1:23">
      <c r="A22" s="148" t="s">
        <v>265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50"/>
    </row>
    <row r="23" spans="1:23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3"/>
    </row>
    <row r="24" spans="1:2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3"/>
    </row>
    <row r="25" spans="1:2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6"/>
    </row>
    <row r="26" spans="1:23" ht="42" customHeight="1">
      <c r="A26" s="144" t="s">
        <v>271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</row>
  </sheetData>
  <mergeCells count="14">
    <mergeCell ref="A26:O26"/>
    <mergeCell ref="A3:A5"/>
    <mergeCell ref="O3:O5"/>
    <mergeCell ref="N3:N5"/>
    <mergeCell ref="A22:O25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L38"/>
  <sheetViews>
    <sheetView showGridLines="0" view="pageBreakPreview" topLeftCell="A10" zoomScaleNormal="100" zoomScaleSheetLayoutView="100" workbookViewId="0">
      <selection activeCell="AJ31" sqref="AJ31:AN31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165" t="s">
        <v>136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</row>
    <row r="3" spans="2:58" ht="20.100000000000001" customHeight="1"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</row>
    <row r="4" spans="2:58" ht="20.100000000000001" customHeight="1" thickBot="1"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BF4" s="39"/>
    </row>
    <row r="5" spans="2:58" ht="20.100000000000001" customHeight="1">
      <c r="B5" s="166" t="s">
        <v>137</v>
      </c>
      <c r="C5" s="167"/>
      <c r="D5" s="167"/>
      <c r="E5" s="167"/>
      <c r="F5" s="168"/>
      <c r="G5" s="169" t="s">
        <v>388</v>
      </c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1"/>
      <c r="U5" s="172" t="s">
        <v>138</v>
      </c>
      <c r="V5" s="173"/>
      <c r="W5" s="178" t="s">
        <v>139</v>
      </c>
      <c r="X5" s="179"/>
      <c r="Y5" s="180"/>
      <c r="Z5" s="181" t="s">
        <v>61</v>
      </c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3"/>
    </row>
    <row r="6" spans="2:58" ht="20.100000000000001" customHeight="1">
      <c r="B6" s="184" t="s">
        <v>140</v>
      </c>
      <c r="C6" s="185"/>
      <c r="D6" s="185"/>
      <c r="E6" s="185"/>
      <c r="F6" s="186"/>
      <c r="G6" s="190" t="s">
        <v>181</v>
      </c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91"/>
      <c r="U6" s="174"/>
      <c r="V6" s="175"/>
      <c r="W6" s="194" t="s">
        <v>141</v>
      </c>
      <c r="X6" s="195"/>
      <c r="Y6" s="196"/>
      <c r="Z6" s="197" t="s">
        <v>62</v>
      </c>
      <c r="AA6" s="198"/>
      <c r="AB6" s="198"/>
      <c r="AC6" s="198"/>
      <c r="AD6" s="198"/>
      <c r="AE6" s="198"/>
      <c r="AF6" s="199"/>
      <c r="AG6" s="194" t="s">
        <v>63</v>
      </c>
      <c r="AH6" s="195"/>
      <c r="AI6" s="196"/>
      <c r="AJ6" s="197" t="s">
        <v>142</v>
      </c>
      <c r="AK6" s="198"/>
      <c r="AL6" s="198"/>
      <c r="AM6" s="198"/>
      <c r="AN6" s="198"/>
      <c r="AO6" s="198"/>
      <c r="AP6" s="40" t="s">
        <v>143</v>
      </c>
    </row>
    <row r="7" spans="2:58" ht="20.100000000000001" customHeight="1">
      <c r="B7" s="187"/>
      <c r="C7" s="188"/>
      <c r="D7" s="188"/>
      <c r="E7" s="188"/>
      <c r="F7" s="189"/>
      <c r="G7" s="192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93"/>
      <c r="U7" s="174"/>
      <c r="V7" s="175"/>
      <c r="W7" s="194" t="s">
        <v>144</v>
      </c>
      <c r="X7" s="195"/>
      <c r="Y7" s="196"/>
      <c r="Z7" s="197" t="s">
        <v>185</v>
      </c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200"/>
    </row>
    <row r="8" spans="2:58" ht="20.100000000000001" customHeight="1">
      <c r="B8" s="201" t="s">
        <v>145</v>
      </c>
      <c r="C8" s="198"/>
      <c r="D8" s="198"/>
      <c r="E8" s="198"/>
      <c r="F8" s="202"/>
      <c r="G8" s="206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 t="s">
        <v>146</v>
      </c>
      <c r="T8" s="208"/>
      <c r="U8" s="174"/>
      <c r="V8" s="175"/>
      <c r="W8" s="194" t="s">
        <v>147</v>
      </c>
      <c r="X8" s="195"/>
      <c r="Y8" s="196"/>
      <c r="Z8" s="197" t="s">
        <v>148</v>
      </c>
      <c r="AA8" s="198"/>
      <c r="AB8" s="198"/>
      <c r="AC8" s="198"/>
      <c r="AD8" s="198"/>
      <c r="AE8" s="198"/>
      <c r="AF8" s="199"/>
      <c r="AG8" s="194" t="s">
        <v>149</v>
      </c>
      <c r="AH8" s="195"/>
      <c r="AI8" s="196"/>
      <c r="AJ8" s="197" t="s">
        <v>150</v>
      </c>
      <c r="AK8" s="198"/>
      <c r="AL8" s="198"/>
      <c r="AM8" s="198"/>
      <c r="AN8" s="198"/>
      <c r="AO8" s="198"/>
      <c r="AP8" s="200"/>
    </row>
    <row r="9" spans="2:58" ht="20.100000000000001" customHeight="1">
      <c r="B9" s="201" t="s">
        <v>64</v>
      </c>
      <c r="C9" s="198"/>
      <c r="D9" s="198"/>
      <c r="E9" s="198"/>
      <c r="F9" s="202"/>
      <c r="G9" s="203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5"/>
      <c r="U9" s="174"/>
      <c r="V9" s="175"/>
      <c r="W9" s="194" t="s">
        <v>151</v>
      </c>
      <c r="X9" s="195"/>
      <c r="Y9" s="196"/>
      <c r="Z9" s="197" t="s">
        <v>152</v>
      </c>
      <c r="AA9" s="198"/>
      <c r="AB9" s="198"/>
      <c r="AC9" s="198"/>
      <c r="AD9" s="198"/>
      <c r="AE9" s="198"/>
      <c r="AF9" s="199"/>
      <c r="AG9" s="194" t="s">
        <v>153</v>
      </c>
      <c r="AH9" s="195"/>
      <c r="AI9" s="196"/>
      <c r="AJ9" s="197" t="s">
        <v>154</v>
      </c>
      <c r="AK9" s="198"/>
      <c r="AL9" s="198"/>
      <c r="AM9" s="198"/>
      <c r="AN9" s="198"/>
      <c r="AO9" s="198"/>
      <c r="AP9" s="200"/>
    </row>
    <row r="10" spans="2:58" ht="20.100000000000001" customHeight="1">
      <c r="B10" s="201" t="s">
        <v>155</v>
      </c>
      <c r="C10" s="198"/>
      <c r="D10" s="198"/>
      <c r="E10" s="198"/>
      <c r="F10" s="202"/>
      <c r="G10" s="203">
        <v>46161</v>
      </c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5"/>
      <c r="U10" s="174"/>
      <c r="V10" s="175"/>
      <c r="W10" s="194" t="s">
        <v>156</v>
      </c>
      <c r="X10" s="195"/>
      <c r="Y10" s="196"/>
      <c r="Z10" s="230" t="s">
        <v>157</v>
      </c>
      <c r="AA10" s="231"/>
      <c r="AB10" s="231"/>
      <c r="AC10" s="231"/>
      <c r="AD10" s="231"/>
      <c r="AE10" s="231"/>
      <c r="AF10" s="232"/>
      <c r="AG10" s="194" t="s">
        <v>158</v>
      </c>
      <c r="AH10" s="195"/>
      <c r="AI10" s="196"/>
      <c r="AJ10" s="230" t="s">
        <v>159</v>
      </c>
      <c r="AK10" s="231"/>
      <c r="AL10" s="231"/>
      <c r="AM10" s="231"/>
      <c r="AN10" s="231"/>
      <c r="AO10" s="231"/>
      <c r="AP10" s="233"/>
    </row>
    <row r="11" spans="2:58" ht="20.100000000000001" customHeight="1">
      <c r="B11" s="211" t="s">
        <v>160</v>
      </c>
      <c r="C11" s="212"/>
      <c r="D11" s="212"/>
      <c r="E11" s="212"/>
      <c r="F11" s="213"/>
      <c r="G11" s="203" t="s">
        <v>182</v>
      </c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5"/>
      <c r="U11" s="176"/>
      <c r="V11" s="177"/>
      <c r="W11" s="214" t="s">
        <v>161</v>
      </c>
      <c r="X11" s="215"/>
      <c r="Y11" s="216"/>
      <c r="Z11" s="217" t="s">
        <v>162</v>
      </c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9"/>
    </row>
    <row r="12" spans="2:58" ht="15" customHeight="1">
      <c r="B12" s="220" t="s">
        <v>163</v>
      </c>
      <c r="C12" s="221"/>
      <c r="D12" s="221"/>
      <c r="E12" s="221"/>
      <c r="F12" s="221"/>
      <c r="G12" s="224" t="s">
        <v>454</v>
      </c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6"/>
    </row>
    <row r="13" spans="2:58" ht="15" customHeight="1">
      <c r="B13" s="222"/>
      <c r="C13" s="223"/>
      <c r="D13" s="223"/>
      <c r="E13" s="223"/>
      <c r="F13" s="223"/>
      <c r="G13" s="227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9"/>
    </row>
    <row r="14" spans="2:58" ht="15" customHeight="1">
      <c r="B14" s="220" t="s">
        <v>164</v>
      </c>
      <c r="C14" s="221"/>
      <c r="D14" s="221"/>
      <c r="E14" s="221"/>
      <c r="F14" s="245"/>
      <c r="G14" s="249" t="s">
        <v>165</v>
      </c>
      <c r="H14" s="249"/>
      <c r="I14" s="250">
        <f>AB14</f>
        <v>95634992</v>
      </c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2" t="s">
        <v>166</v>
      </c>
      <c r="Z14" s="252"/>
      <c r="AA14" s="254" t="s">
        <v>167</v>
      </c>
      <c r="AB14" s="255">
        <f>AJ32</f>
        <v>95634992</v>
      </c>
      <c r="AC14" s="255"/>
      <c r="AD14" s="255"/>
      <c r="AE14" s="255"/>
      <c r="AF14" s="255"/>
      <c r="AG14" s="255"/>
      <c r="AH14" s="255"/>
      <c r="AI14" s="255"/>
      <c r="AJ14" s="255"/>
      <c r="AK14" s="255"/>
      <c r="AL14" s="234" t="s">
        <v>168</v>
      </c>
      <c r="AM14" s="235" t="s">
        <v>184</v>
      </c>
      <c r="AN14" s="235"/>
      <c r="AO14" s="235"/>
      <c r="AP14" s="236"/>
    </row>
    <row r="15" spans="2:58" ht="15" customHeight="1" thickBot="1">
      <c r="B15" s="246"/>
      <c r="C15" s="247"/>
      <c r="D15" s="247"/>
      <c r="E15" s="247"/>
      <c r="F15" s="248"/>
      <c r="G15" s="249"/>
      <c r="H15" s="249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3"/>
      <c r="Z15" s="253"/>
      <c r="AA15" s="254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34"/>
      <c r="AM15" s="237"/>
      <c r="AN15" s="237"/>
      <c r="AO15" s="237"/>
      <c r="AP15" s="238"/>
    </row>
    <row r="16" spans="2:58" ht="20.100000000000001" customHeight="1" thickBot="1">
      <c r="B16" s="239" t="s">
        <v>169</v>
      </c>
      <c r="C16" s="240"/>
      <c r="D16" s="240"/>
      <c r="E16" s="240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  <c r="AJ16" s="240"/>
      <c r="AK16" s="240"/>
      <c r="AL16" s="240"/>
      <c r="AM16" s="240"/>
      <c r="AN16" s="240"/>
      <c r="AO16" s="240"/>
      <c r="AP16" s="241"/>
    </row>
    <row r="17" spans="2:47" ht="39.950000000000003" customHeight="1">
      <c r="B17" s="242" t="s">
        <v>170</v>
      </c>
      <c r="C17" s="243"/>
      <c r="D17" s="243"/>
      <c r="E17" s="243"/>
      <c r="F17" s="243"/>
      <c r="G17" s="243" t="s">
        <v>171</v>
      </c>
      <c r="H17" s="243"/>
      <c r="I17" s="243"/>
      <c r="J17" s="243"/>
      <c r="K17" s="243"/>
      <c r="L17" s="244" t="s">
        <v>172</v>
      </c>
      <c r="M17" s="243"/>
      <c r="N17" s="244" t="s">
        <v>65</v>
      </c>
      <c r="O17" s="243"/>
      <c r="P17" s="243" t="s">
        <v>173</v>
      </c>
      <c r="Q17" s="243"/>
      <c r="R17" s="243"/>
      <c r="S17" s="243"/>
      <c r="T17" s="243"/>
      <c r="U17" s="243" t="s">
        <v>174</v>
      </c>
      <c r="V17" s="243"/>
      <c r="W17" s="243"/>
      <c r="X17" s="243"/>
      <c r="Y17" s="243"/>
      <c r="Z17" s="243" t="s">
        <v>175</v>
      </c>
      <c r="AA17" s="243"/>
      <c r="AB17" s="243"/>
      <c r="AC17" s="243"/>
      <c r="AD17" s="243"/>
      <c r="AE17" s="243" t="s">
        <v>176</v>
      </c>
      <c r="AF17" s="243"/>
      <c r="AG17" s="243"/>
      <c r="AH17" s="243"/>
      <c r="AI17" s="243"/>
      <c r="AJ17" s="209" t="s">
        <v>177</v>
      </c>
      <c r="AK17" s="209"/>
      <c r="AL17" s="209"/>
      <c r="AM17" s="209"/>
      <c r="AN17" s="209"/>
      <c r="AO17" s="209" t="s">
        <v>66</v>
      </c>
      <c r="AP17" s="210"/>
      <c r="AQ17" s="41"/>
    </row>
    <row r="18" spans="2:47" ht="24" customHeight="1">
      <c r="B18" s="201" t="s">
        <v>67</v>
      </c>
      <c r="C18" s="198"/>
      <c r="D18" s="198"/>
      <c r="E18" s="198"/>
      <c r="F18" s="199"/>
      <c r="G18" s="197" t="s">
        <v>303</v>
      </c>
      <c r="H18" s="198"/>
      <c r="I18" s="198"/>
      <c r="J18" s="198"/>
      <c r="K18" s="199"/>
      <c r="L18" s="197" t="s">
        <v>178</v>
      </c>
      <c r="M18" s="199"/>
      <c r="N18" s="197">
        <v>1</v>
      </c>
      <c r="O18" s="199"/>
      <c r="P18" s="157">
        <f>내역서!G6</f>
        <v>62922300</v>
      </c>
      <c r="Q18" s="158"/>
      <c r="R18" s="158"/>
      <c r="S18" s="158"/>
      <c r="T18" s="159"/>
      <c r="U18" s="157">
        <f>내역서!I6</f>
        <v>14105559</v>
      </c>
      <c r="V18" s="158"/>
      <c r="W18" s="158"/>
      <c r="X18" s="158"/>
      <c r="Y18" s="159"/>
      <c r="Z18" s="157">
        <f>내역서!K6</f>
        <v>18607133</v>
      </c>
      <c r="AA18" s="158"/>
      <c r="AB18" s="158"/>
      <c r="AC18" s="158"/>
      <c r="AD18" s="159"/>
      <c r="AE18" s="157">
        <f t="shared" ref="AE18" si="0">P18+U18+Z18</f>
        <v>95634992</v>
      </c>
      <c r="AF18" s="158"/>
      <c r="AG18" s="158"/>
      <c r="AH18" s="158"/>
      <c r="AI18" s="159"/>
      <c r="AJ18" s="157">
        <f t="shared" ref="AJ18" si="1">AE18*N18</f>
        <v>95634992</v>
      </c>
      <c r="AK18" s="158"/>
      <c r="AL18" s="158"/>
      <c r="AM18" s="158"/>
      <c r="AN18" s="159"/>
      <c r="AO18" s="163"/>
      <c r="AP18" s="164"/>
    </row>
    <row r="19" spans="2:47" ht="24" customHeight="1">
      <c r="B19" s="201"/>
      <c r="C19" s="198"/>
      <c r="D19" s="198"/>
      <c r="E19" s="198"/>
      <c r="F19" s="199"/>
      <c r="G19" s="197"/>
      <c r="H19" s="198"/>
      <c r="I19" s="198"/>
      <c r="J19" s="198"/>
      <c r="K19" s="199"/>
      <c r="L19" s="197"/>
      <c r="M19" s="199"/>
      <c r="N19" s="197"/>
      <c r="O19" s="199"/>
      <c r="P19" s="157"/>
      <c r="Q19" s="158"/>
      <c r="R19" s="158"/>
      <c r="S19" s="158"/>
      <c r="T19" s="159"/>
      <c r="U19" s="157"/>
      <c r="V19" s="158"/>
      <c r="W19" s="158"/>
      <c r="X19" s="158"/>
      <c r="Y19" s="159"/>
      <c r="Z19" s="157"/>
      <c r="AA19" s="158"/>
      <c r="AB19" s="158"/>
      <c r="AC19" s="158"/>
      <c r="AD19" s="159"/>
      <c r="AE19" s="157"/>
      <c r="AF19" s="158"/>
      <c r="AG19" s="158"/>
      <c r="AH19" s="158"/>
      <c r="AI19" s="159"/>
      <c r="AJ19" s="157"/>
      <c r="AK19" s="158"/>
      <c r="AL19" s="158"/>
      <c r="AM19" s="158"/>
      <c r="AN19" s="159"/>
      <c r="AO19" s="163"/>
      <c r="AP19" s="164"/>
    </row>
    <row r="20" spans="2:47" ht="24" customHeight="1">
      <c r="B20" s="201"/>
      <c r="C20" s="198"/>
      <c r="D20" s="198"/>
      <c r="E20" s="198"/>
      <c r="F20" s="199"/>
      <c r="G20" s="197"/>
      <c r="H20" s="198"/>
      <c r="I20" s="198"/>
      <c r="J20" s="198"/>
      <c r="K20" s="199"/>
      <c r="L20" s="197"/>
      <c r="M20" s="199"/>
      <c r="N20" s="197"/>
      <c r="O20" s="199"/>
      <c r="P20" s="157"/>
      <c r="Q20" s="158"/>
      <c r="R20" s="158"/>
      <c r="S20" s="158"/>
      <c r="T20" s="159"/>
      <c r="U20" s="157"/>
      <c r="V20" s="158"/>
      <c r="W20" s="158"/>
      <c r="X20" s="158"/>
      <c r="Y20" s="159"/>
      <c r="Z20" s="157"/>
      <c r="AA20" s="158"/>
      <c r="AB20" s="158"/>
      <c r="AC20" s="158"/>
      <c r="AD20" s="159"/>
      <c r="AE20" s="257"/>
      <c r="AF20" s="258"/>
      <c r="AG20" s="258"/>
      <c r="AH20" s="258"/>
      <c r="AI20" s="259"/>
      <c r="AJ20" s="157"/>
      <c r="AK20" s="158"/>
      <c r="AL20" s="158"/>
      <c r="AM20" s="158"/>
      <c r="AN20" s="159"/>
      <c r="AO20" s="163"/>
      <c r="AP20" s="164"/>
    </row>
    <row r="21" spans="2:47" ht="24" customHeight="1">
      <c r="B21" s="201"/>
      <c r="C21" s="198"/>
      <c r="D21" s="198"/>
      <c r="E21" s="198"/>
      <c r="F21" s="199"/>
      <c r="G21" s="197"/>
      <c r="H21" s="198"/>
      <c r="I21" s="198"/>
      <c r="J21" s="198"/>
      <c r="K21" s="199"/>
      <c r="L21" s="197"/>
      <c r="M21" s="199"/>
      <c r="N21" s="197"/>
      <c r="O21" s="199"/>
      <c r="P21" s="157"/>
      <c r="Q21" s="158"/>
      <c r="R21" s="158"/>
      <c r="S21" s="158"/>
      <c r="T21" s="159"/>
      <c r="U21" s="260"/>
      <c r="V21" s="261"/>
      <c r="W21" s="261"/>
      <c r="X21" s="261"/>
      <c r="Y21" s="262"/>
      <c r="Z21" s="157"/>
      <c r="AA21" s="158"/>
      <c r="AB21" s="158"/>
      <c r="AC21" s="158"/>
      <c r="AD21" s="159"/>
      <c r="AE21" s="257"/>
      <c r="AF21" s="258"/>
      <c r="AG21" s="258"/>
      <c r="AH21" s="258"/>
      <c r="AI21" s="259"/>
      <c r="AJ21" s="157"/>
      <c r="AK21" s="158"/>
      <c r="AL21" s="158"/>
      <c r="AM21" s="158"/>
      <c r="AN21" s="159"/>
      <c r="AO21" s="163"/>
      <c r="AP21" s="164"/>
    </row>
    <row r="22" spans="2:47" ht="24" customHeight="1">
      <c r="B22" s="201"/>
      <c r="C22" s="198"/>
      <c r="D22" s="198"/>
      <c r="E22" s="198"/>
      <c r="F22" s="199"/>
      <c r="G22" s="197"/>
      <c r="H22" s="198"/>
      <c r="I22" s="198"/>
      <c r="J22" s="198"/>
      <c r="K22" s="199"/>
      <c r="L22" s="197"/>
      <c r="M22" s="199"/>
      <c r="N22" s="197"/>
      <c r="O22" s="199"/>
      <c r="P22" s="157"/>
      <c r="Q22" s="158"/>
      <c r="R22" s="158"/>
      <c r="S22" s="158"/>
      <c r="T22" s="159"/>
      <c r="U22" s="157"/>
      <c r="V22" s="158"/>
      <c r="W22" s="158"/>
      <c r="X22" s="158"/>
      <c r="Y22" s="159"/>
      <c r="Z22" s="157"/>
      <c r="AA22" s="158"/>
      <c r="AB22" s="158"/>
      <c r="AC22" s="158"/>
      <c r="AD22" s="159"/>
      <c r="AE22" s="257"/>
      <c r="AF22" s="258"/>
      <c r="AG22" s="258"/>
      <c r="AH22" s="258"/>
      <c r="AI22" s="259"/>
      <c r="AJ22" s="157"/>
      <c r="AK22" s="158"/>
      <c r="AL22" s="158"/>
      <c r="AM22" s="158"/>
      <c r="AN22" s="159"/>
      <c r="AO22" s="163"/>
      <c r="AP22" s="164"/>
    </row>
    <row r="23" spans="2:47" ht="24" customHeight="1">
      <c r="B23" s="201"/>
      <c r="C23" s="198"/>
      <c r="D23" s="198"/>
      <c r="E23" s="198"/>
      <c r="F23" s="199"/>
      <c r="G23" s="197"/>
      <c r="H23" s="198"/>
      <c r="I23" s="198"/>
      <c r="J23" s="198"/>
      <c r="K23" s="199"/>
      <c r="L23" s="197"/>
      <c r="M23" s="199"/>
      <c r="N23" s="197"/>
      <c r="O23" s="199"/>
      <c r="P23" s="157"/>
      <c r="Q23" s="158"/>
      <c r="R23" s="158"/>
      <c r="S23" s="158"/>
      <c r="T23" s="159"/>
      <c r="U23" s="157"/>
      <c r="V23" s="158"/>
      <c r="W23" s="158"/>
      <c r="X23" s="158"/>
      <c r="Y23" s="159"/>
      <c r="Z23" s="157"/>
      <c r="AA23" s="158"/>
      <c r="AB23" s="158"/>
      <c r="AC23" s="158"/>
      <c r="AD23" s="159"/>
      <c r="AE23" s="266"/>
      <c r="AF23" s="267"/>
      <c r="AG23" s="267"/>
      <c r="AH23" s="267"/>
      <c r="AI23" s="268"/>
      <c r="AJ23" s="157"/>
      <c r="AK23" s="158"/>
      <c r="AL23" s="158"/>
      <c r="AM23" s="158"/>
      <c r="AN23" s="159"/>
      <c r="AO23" s="163"/>
      <c r="AP23" s="164"/>
    </row>
    <row r="24" spans="2:47" ht="24" customHeight="1">
      <c r="B24" s="201"/>
      <c r="C24" s="198"/>
      <c r="D24" s="198"/>
      <c r="E24" s="198"/>
      <c r="F24" s="199"/>
      <c r="G24" s="197"/>
      <c r="H24" s="198"/>
      <c r="I24" s="198"/>
      <c r="J24" s="198"/>
      <c r="K24" s="199"/>
      <c r="L24" s="197"/>
      <c r="M24" s="199"/>
      <c r="N24" s="197"/>
      <c r="O24" s="199"/>
      <c r="P24" s="157"/>
      <c r="Q24" s="158"/>
      <c r="R24" s="158"/>
      <c r="S24" s="158"/>
      <c r="T24" s="159"/>
      <c r="U24" s="157"/>
      <c r="V24" s="158"/>
      <c r="W24" s="158"/>
      <c r="X24" s="158"/>
      <c r="Y24" s="159"/>
      <c r="Z24" s="157"/>
      <c r="AA24" s="158"/>
      <c r="AB24" s="158"/>
      <c r="AC24" s="158"/>
      <c r="AD24" s="159"/>
      <c r="AE24" s="160"/>
      <c r="AF24" s="161"/>
      <c r="AG24" s="161"/>
      <c r="AH24" s="161"/>
      <c r="AI24" s="162"/>
      <c r="AJ24" s="157"/>
      <c r="AK24" s="158"/>
      <c r="AL24" s="158"/>
      <c r="AM24" s="158"/>
      <c r="AN24" s="159"/>
      <c r="AO24" s="163"/>
      <c r="AP24" s="164"/>
    </row>
    <row r="25" spans="2:47" ht="24" customHeight="1">
      <c r="B25" s="201"/>
      <c r="C25" s="198"/>
      <c r="D25" s="198"/>
      <c r="E25" s="198"/>
      <c r="F25" s="199"/>
      <c r="G25" s="197"/>
      <c r="H25" s="198"/>
      <c r="I25" s="198"/>
      <c r="J25" s="198"/>
      <c r="K25" s="199"/>
      <c r="L25" s="197"/>
      <c r="M25" s="199"/>
      <c r="N25" s="197"/>
      <c r="O25" s="199"/>
      <c r="P25" s="157"/>
      <c r="Q25" s="158"/>
      <c r="R25" s="158"/>
      <c r="S25" s="158"/>
      <c r="T25" s="159"/>
      <c r="U25" s="157"/>
      <c r="V25" s="158"/>
      <c r="W25" s="158"/>
      <c r="X25" s="158"/>
      <c r="Y25" s="159"/>
      <c r="Z25" s="157"/>
      <c r="AA25" s="158"/>
      <c r="AB25" s="158"/>
      <c r="AC25" s="158"/>
      <c r="AD25" s="159"/>
      <c r="AE25" s="263"/>
      <c r="AF25" s="264"/>
      <c r="AG25" s="264"/>
      <c r="AH25" s="264"/>
      <c r="AI25" s="265"/>
      <c r="AJ25" s="157"/>
      <c r="AK25" s="158"/>
      <c r="AL25" s="158"/>
      <c r="AM25" s="158"/>
      <c r="AN25" s="159"/>
      <c r="AO25" s="163"/>
      <c r="AP25" s="164"/>
    </row>
    <row r="26" spans="2:47" ht="24" customHeight="1">
      <c r="B26" s="201"/>
      <c r="C26" s="198"/>
      <c r="D26" s="198"/>
      <c r="E26" s="198"/>
      <c r="F26" s="199"/>
      <c r="G26" s="197"/>
      <c r="H26" s="198"/>
      <c r="I26" s="198"/>
      <c r="J26" s="198"/>
      <c r="K26" s="199"/>
      <c r="L26" s="197"/>
      <c r="M26" s="199"/>
      <c r="N26" s="197"/>
      <c r="O26" s="199"/>
      <c r="P26" s="157"/>
      <c r="Q26" s="158"/>
      <c r="R26" s="158"/>
      <c r="S26" s="158"/>
      <c r="T26" s="159"/>
      <c r="U26" s="157"/>
      <c r="V26" s="158"/>
      <c r="W26" s="158"/>
      <c r="X26" s="158"/>
      <c r="Y26" s="159"/>
      <c r="Z26" s="157"/>
      <c r="AA26" s="158"/>
      <c r="AB26" s="158"/>
      <c r="AC26" s="158"/>
      <c r="AD26" s="159"/>
      <c r="AE26" s="160"/>
      <c r="AF26" s="161"/>
      <c r="AG26" s="161"/>
      <c r="AH26" s="161"/>
      <c r="AI26" s="162"/>
      <c r="AJ26" s="157"/>
      <c r="AK26" s="158"/>
      <c r="AL26" s="158"/>
      <c r="AM26" s="158"/>
      <c r="AN26" s="159"/>
      <c r="AO26" s="163"/>
      <c r="AP26" s="164"/>
    </row>
    <row r="27" spans="2:47" ht="24" customHeight="1">
      <c r="B27" s="201"/>
      <c r="C27" s="198"/>
      <c r="D27" s="198"/>
      <c r="E27" s="198"/>
      <c r="F27" s="199"/>
      <c r="G27" s="197"/>
      <c r="H27" s="198"/>
      <c r="I27" s="198"/>
      <c r="J27" s="198"/>
      <c r="K27" s="199"/>
      <c r="L27" s="197"/>
      <c r="M27" s="199"/>
      <c r="N27" s="197"/>
      <c r="O27" s="199"/>
      <c r="P27" s="157"/>
      <c r="Q27" s="158"/>
      <c r="R27" s="158"/>
      <c r="S27" s="158"/>
      <c r="T27" s="159"/>
      <c r="U27" s="157"/>
      <c r="V27" s="158"/>
      <c r="W27" s="158"/>
      <c r="X27" s="158"/>
      <c r="Y27" s="159"/>
      <c r="Z27" s="157"/>
      <c r="AA27" s="158"/>
      <c r="AB27" s="158"/>
      <c r="AC27" s="158"/>
      <c r="AD27" s="159"/>
      <c r="AE27" s="269"/>
      <c r="AF27" s="270"/>
      <c r="AG27" s="270"/>
      <c r="AH27" s="270"/>
      <c r="AI27" s="271"/>
      <c r="AJ27" s="157"/>
      <c r="AK27" s="158"/>
      <c r="AL27" s="158"/>
      <c r="AM27" s="158"/>
      <c r="AN27" s="159"/>
      <c r="AO27" s="163"/>
      <c r="AP27" s="164"/>
    </row>
    <row r="28" spans="2:47" ht="24" customHeight="1">
      <c r="B28" s="201"/>
      <c r="C28" s="198"/>
      <c r="D28" s="198"/>
      <c r="E28" s="198"/>
      <c r="F28" s="199"/>
      <c r="G28" s="197"/>
      <c r="H28" s="198"/>
      <c r="I28" s="198"/>
      <c r="J28" s="198"/>
      <c r="K28" s="199"/>
      <c r="L28" s="197"/>
      <c r="M28" s="199"/>
      <c r="N28" s="197"/>
      <c r="O28" s="199"/>
      <c r="P28" s="157"/>
      <c r="Q28" s="158"/>
      <c r="R28" s="158"/>
      <c r="S28" s="158"/>
      <c r="T28" s="159"/>
      <c r="U28" s="157"/>
      <c r="V28" s="158"/>
      <c r="W28" s="158"/>
      <c r="X28" s="158"/>
      <c r="Y28" s="159"/>
      <c r="Z28" s="157"/>
      <c r="AA28" s="158"/>
      <c r="AB28" s="158"/>
      <c r="AC28" s="158"/>
      <c r="AD28" s="159"/>
      <c r="AE28" s="157"/>
      <c r="AF28" s="158"/>
      <c r="AG28" s="158"/>
      <c r="AH28" s="158"/>
      <c r="AI28" s="159"/>
      <c r="AJ28" s="157"/>
      <c r="AK28" s="158"/>
      <c r="AL28" s="158"/>
      <c r="AM28" s="158"/>
      <c r="AN28" s="159"/>
      <c r="AO28" s="163"/>
      <c r="AP28" s="164"/>
      <c r="AU28" s="14"/>
    </row>
    <row r="29" spans="2:47" ht="24" customHeight="1">
      <c r="B29" s="201"/>
      <c r="C29" s="198"/>
      <c r="D29" s="198"/>
      <c r="E29" s="198"/>
      <c r="F29" s="199"/>
      <c r="G29" s="197"/>
      <c r="H29" s="198"/>
      <c r="I29" s="198"/>
      <c r="J29" s="198"/>
      <c r="K29" s="199"/>
      <c r="L29" s="197"/>
      <c r="M29" s="199"/>
      <c r="N29" s="197"/>
      <c r="O29" s="199"/>
      <c r="P29" s="157"/>
      <c r="Q29" s="158"/>
      <c r="R29" s="158"/>
      <c r="S29" s="158"/>
      <c r="T29" s="159"/>
      <c r="U29" s="157"/>
      <c r="V29" s="158"/>
      <c r="W29" s="158"/>
      <c r="X29" s="158"/>
      <c r="Y29" s="159"/>
      <c r="Z29" s="157"/>
      <c r="AA29" s="158"/>
      <c r="AB29" s="158"/>
      <c r="AC29" s="158"/>
      <c r="AD29" s="159"/>
      <c r="AE29" s="272"/>
      <c r="AF29" s="273"/>
      <c r="AG29" s="273"/>
      <c r="AH29" s="273"/>
      <c r="AI29" s="274"/>
      <c r="AJ29" s="157"/>
      <c r="AK29" s="158"/>
      <c r="AL29" s="158"/>
      <c r="AM29" s="158"/>
      <c r="AN29" s="159"/>
      <c r="AO29" s="163"/>
      <c r="AP29" s="164"/>
    </row>
    <row r="30" spans="2:47" ht="24" customHeight="1">
      <c r="B30" s="201"/>
      <c r="C30" s="198"/>
      <c r="D30" s="198"/>
      <c r="E30" s="198"/>
      <c r="F30" s="199"/>
      <c r="G30" s="197"/>
      <c r="H30" s="198"/>
      <c r="I30" s="198"/>
      <c r="J30" s="198"/>
      <c r="K30" s="199"/>
      <c r="L30" s="197"/>
      <c r="M30" s="199"/>
      <c r="N30" s="197"/>
      <c r="O30" s="199"/>
      <c r="P30" s="157"/>
      <c r="Q30" s="158"/>
      <c r="R30" s="158"/>
      <c r="S30" s="158"/>
      <c r="T30" s="159"/>
      <c r="U30" s="157"/>
      <c r="V30" s="158"/>
      <c r="W30" s="158"/>
      <c r="X30" s="158"/>
      <c r="Y30" s="159"/>
      <c r="Z30" s="157"/>
      <c r="AA30" s="158"/>
      <c r="AB30" s="158"/>
      <c r="AC30" s="158"/>
      <c r="AD30" s="159"/>
      <c r="AE30" s="157"/>
      <c r="AF30" s="158"/>
      <c r="AG30" s="158"/>
      <c r="AH30" s="158"/>
      <c r="AI30" s="159"/>
      <c r="AJ30" s="157"/>
      <c r="AK30" s="158"/>
      <c r="AL30" s="158"/>
      <c r="AM30" s="158"/>
      <c r="AN30" s="159"/>
      <c r="AO30" s="163"/>
      <c r="AP30" s="164"/>
    </row>
    <row r="31" spans="2:47" ht="24" customHeight="1" thickBot="1">
      <c r="B31" s="293" t="s">
        <v>183</v>
      </c>
      <c r="C31" s="294"/>
      <c r="D31" s="294"/>
      <c r="E31" s="294"/>
      <c r="F31" s="294"/>
      <c r="G31" s="294"/>
      <c r="H31" s="294"/>
      <c r="I31" s="294"/>
      <c r="J31" s="294"/>
      <c r="K31" s="295"/>
      <c r="L31" s="197"/>
      <c r="M31" s="199"/>
      <c r="N31" s="197"/>
      <c r="O31" s="199"/>
      <c r="P31" s="157"/>
      <c r="Q31" s="158"/>
      <c r="R31" s="158"/>
      <c r="S31" s="158"/>
      <c r="T31" s="159"/>
      <c r="U31" s="157"/>
      <c r="V31" s="158"/>
      <c r="W31" s="158"/>
      <c r="X31" s="158"/>
      <c r="Y31" s="159"/>
      <c r="Z31" s="157"/>
      <c r="AA31" s="158"/>
      <c r="AB31" s="158"/>
      <c r="AC31" s="158"/>
      <c r="AD31" s="159"/>
      <c r="AE31" s="157"/>
      <c r="AF31" s="158"/>
      <c r="AG31" s="158"/>
      <c r="AH31" s="158"/>
      <c r="AI31" s="159"/>
      <c r="AJ31" s="157"/>
      <c r="AK31" s="158"/>
      <c r="AL31" s="158"/>
      <c r="AM31" s="158"/>
      <c r="AN31" s="159"/>
      <c r="AO31" s="163"/>
      <c r="AP31" s="164"/>
    </row>
    <row r="32" spans="2:47" ht="24" customHeight="1" thickBot="1">
      <c r="B32" s="275" t="s">
        <v>179</v>
      </c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76"/>
      <c r="AG32" s="276"/>
      <c r="AH32" s="276"/>
      <c r="AI32" s="277"/>
      <c r="AJ32" s="278">
        <f>SUM(AJ18:AN31)</f>
        <v>95634992</v>
      </c>
      <c r="AK32" s="278"/>
      <c r="AL32" s="278"/>
      <c r="AM32" s="278"/>
      <c r="AN32" s="278"/>
      <c r="AO32" s="278"/>
      <c r="AP32" s="279"/>
    </row>
    <row r="33" spans="2:64" ht="20.100000000000001" customHeight="1">
      <c r="B33" s="280" t="s">
        <v>180</v>
      </c>
      <c r="C33" s="173"/>
      <c r="D33" s="284" t="s">
        <v>389</v>
      </c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  <c r="AF33" s="285"/>
      <c r="AG33" s="285"/>
      <c r="AH33" s="285"/>
      <c r="AI33" s="285"/>
      <c r="AJ33" s="285"/>
      <c r="AK33" s="285"/>
      <c r="AL33" s="285"/>
      <c r="AM33" s="285"/>
      <c r="AN33" s="285"/>
      <c r="AO33" s="285"/>
      <c r="AP33" s="286"/>
    </row>
    <row r="34" spans="2:64" ht="20.100000000000001" customHeight="1">
      <c r="B34" s="281"/>
      <c r="C34" s="175"/>
      <c r="D34" s="287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  <c r="AA34" s="288"/>
      <c r="AB34" s="288"/>
      <c r="AC34" s="288"/>
      <c r="AD34" s="288"/>
      <c r="AE34" s="288"/>
      <c r="AF34" s="288"/>
      <c r="AG34" s="288"/>
      <c r="AH34" s="288"/>
      <c r="AI34" s="288"/>
      <c r="AJ34" s="288"/>
      <c r="AK34" s="288"/>
      <c r="AL34" s="288"/>
      <c r="AM34" s="288"/>
      <c r="AN34" s="288"/>
      <c r="AO34" s="288"/>
      <c r="AP34" s="289"/>
      <c r="BL34" s="14"/>
    </row>
    <row r="35" spans="2:64" ht="20.100000000000001" customHeight="1">
      <c r="B35" s="281"/>
      <c r="C35" s="175"/>
      <c r="D35" s="287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8"/>
      <c r="AP35" s="289"/>
    </row>
    <row r="36" spans="2:64" ht="20.100000000000001" customHeight="1">
      <c r="B36" s="281"/>
      <c r="C36" s="175"/>
      <c r="D36" s="287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88"/>
      <c r="AB36" s="288"/>
      <c r="AC36" s="288"/>
      <c r="AD36" s="288"/>
      <c r="AE36" s="288"/>
      <c r="AF36" s="288"/>
      <c r="AG36" s="288"/>
      <c r="AH36" s="288"/>
      <c r="AI36" s="288"/>
      <c r="AJ36" s="288"/>
      <c r="AK36" s="288"/>
      <c r="AL36" s="288"/>
      <c r="AM36" s="288"/>
      <c r="AN36" s="288"/>
      <c r="AO36" s="288"/>
      <c r="AP36" s="289"/>
    </row>
    <row r="37" spans="2:64" ht="20.100000000000001" customHeight="1">
      <c r="B37" s="281"/>
      <c r="C37" s="175"/>
      <c r="D37" s="287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88"/>
      <c r="AB37" s="288"/>
      <c r="AC37" s="288"/>
      <c r="AD37" s="288"/>
      <c r="AE37" s="288"/>
      <c r="AF37" s="288"/>
      <c r="AG37" s="288"/>
      <c r="AH37" s="288"/>
      <c r="AI37" s="288"/>
      <c r="AJ37" s="288"/>
      <c r="AK37" s="288"/>
      <c r="AL37" s="288"/>
      <c r="AM37" s="288"/>
      <c r="AN37" s="288"/>
      <c r="AO37" s="288"/>
      <c r="AP37" s="289"/>
    </row>
    <row r="38" spans="2:64" ht="20.100000000000001" customHeight="1" thickBot="1">
      <c r="B38" s="282"/>
      <c r="C38" s="283"/>
      <c r="D38" s="290"/>
      <c r="E38" s="291"/>
      <c r="F38" s="291"/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2"/>
    </row>
  </sheetData>
  <sheetProtection selectLockedCells="1" selectUnlockedCells="1"/>
  <mergeCells count="201"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AO23:AP23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B24:F24"/>
    <mergeCell ref="G24:K24"/>
    <mergeCell ref="L24:M24"/>
    <mergeCell ref="N24:O24"/>
    <mergeCell ref="AO21:AP21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2:AP22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18:AP18"/>
    <mergeCell ref="AO19:AP19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20:AP20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AJ6:AO6"/>
    <mergeCell ref="W7:Y7"/>
    <mergeCell ref="Z7:AP7"/>
    <mergeCell ref="B8:F8"/>
    <mergeCell ref="G8:R8"/>
    <mergeCell ref="S8:T8"/>
    <mergeCell ref="W8:Y8"/>
    <mergeCell ref="Z8:AF8"/>
    <mergeCell ref="AG8:AI8"/>
    <mergeCell ref="P24:T24"/>
    <mergeCell ref="U24:Y24"/>
    <mergeCell ref="Z24:AD24"/>
    <mergeCell ref="AE24:AI24"/>
    <mergeCell ref="AJ24:AN24"/>
    <mergeCell ref="AO24:AP24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workbookViewId="0">
      <selection activeCell="F24" sqref="F24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124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125</v>
      </c>
      <c r="B2" s="12" t="s">
        <v>24</v>
      </c>
      <c r="C2" s="12" t="s">
        <v>32</v>
      </c>
      <c r="D2" s="12" t="s">
        <v>126</v>
      </c>
      <c r="E2" s="43" t="s">
        <v>127</v>
      </c>
      <c r="F2" s="36" t="s">
        <v>6</v>
      </c>
      <c r="G2" s="36"/>
      <c r="H2" s="36" t="s">
        <v>128</v>
      </c>
      <c r="I2" s="36"/>
      <c r="J2" s="36" t="s">
        <v>129</v>
      </c>
      <c r="K2" s="12" t="s">
        <v>130</v>
      </c>
    </row>
    <row r="3" spans="1:11">
      <c r="A3" s="97">
        <v>1</v>
      </c>
      <c r="B3" s="92" t="s">
        <v>283</v>
      </c>
      <c r="C3" s="93" t="s">
        <v>382</v>
      </c>
      <c r="D3" s="94"/>
      <c r="E3" s="95">
        <f t="shared" ref="E3:E45" si="0">F3+H3+J3</f>
        <v>95634992</v>
      </c>
      <c r="F3" s="95">
        <f>내역서!G6</f>
        <v>62922300</v>
      </c>
      <c r="G3" s="95">
        <f>내역서!H6</f>
        <v>0</v>
      </c>
      <c r="H3" s="95">
        <f>내역서!I6</f>
        <v>14105559</v>
      </c>
      <c r="I3" s="95">
        <f>내역서!J6</f>
        <v>0</v>
      </c>
      <c r="J3" s="95">
        <f>내역서!K6</f>
        <v>18607133</v>
      </c>
      <c r="K3" s="96"/>
    </row>
    <row r="4" spans="1:11">
      <c r="A4" s="97">
        <v>2</v>
      </c>
      <c r="B4" s="7" t="s">
        <v>284</v>
      </c>
      <c r="C4" s="7" t="s">
        <v>381</v>
      </c>
      <c r="D4" s="3" t="s">
        <v>16</v>
      </c>
      <c r="E4" s="35">
        <f t="shared" si="0"/>
        <v>165088</v>
      </c>
      <c r="F4" s="37">
        <f>일위대가호표!I7</f>
        <v>656</v>
      </c>
      <c r="G4" s="37">
        <f>일위대가호표!J7</f>
        <v>0</v>
      </c>
      <c r="H4" s="37">
        <f>일위대가호표!K7</f>
        <v>163517</v>
      </c>
      <c r="I4" s="37">
        <f>일위대가호표!L7</f>
        <v>0</v>
      </c>
      <c r="J4" s="37">
        <f>일위대가호표!M7</f>
        <v>915</v>
      </c>
      <c r="K4" s="1"/>
    </row>
    <row r="5" spans="1:11">
      <c r="A5" s="97">
        <v>3</v>
      </c>
      <c r="B5" s="7" t="s">
        <v>285</v>
      </c>
      <c r="C5" s="7" t="s">
        <v>381</v>
      </c>
      <c r="D5" s="3" t="s">
        <v>16</v>
      </c>
      <c r="E5" s="35">
        <f t="shared" si="0"/>
        <v>133008</v>
      </c>
      <c r="F5" s="37">
        <f>일위대가호표!I5</f>
        <v>0</v>
      </c>
      <c r="G5" s="37">
        <f>일위대가호표!J5</f>
        <v>133008</v>
      </c>
      <c r="H5" s="37">
        <f>일위대가호표!K5</f>
        <v>133008</v>
      </c>
      <c r="I5" s="37">
        <f>일위대가호표!L5</f>
        <v>0</v>
      </c>
      <c r="J5" s="37">
        <f>일위대가호표!M5</f>
        <v>0</v>
      </c>
      <c r="K5" s="1"/>
    </row>
    <row r="6" spans="1:11">
      <c r="A6" s="97">
        <v>4</v>
      </c>
      <c r="B6" s="7" t="s">
        <v>286</v>
      </c>
      <c r="C6" s="7" t="s">
        <v>381</v>
      </c>
      <c r="D6" s="3" t="s">
        <v>16</v>
      </c>
      <c r="E6" s="35">
        <f t="shared" si="0"/>
        <v>32080</v>
      </c>
      <c r="F6" s="37">
        <f>일위대가호표!I6</f>
        <v>656</v>
      </c>
      <c r="G6" s="37">
        <f>일위대가호표!J6</f>
        <v>30509</v>
      </c>
      <c r="H6" s="37">
        <f>일위대가호표!K6</f>
        <v>30509</v>
      </c>
      <c r="I6" s="37">
        <f>일위대가호표!L6</f>
        <v>915</v>
      </c>
      <c r="J6" s="37">
        <f>일위대가호표!M6</f>
        <v>915</v>
      </c>
      <c r="K6" s="1"/>
    </row>
    <row r="7" spans="1:11">
      <c r="A7" s="97">
        <v>5</v>
      </c>
      <c r="B7" s="7" t="s">
        <v>287</v>
      </c>
      <c r="C7" s="7" t="s">
        <v>381</v>
      </c>
      <c r="D7" s="3" t="s">
        <v>16</v>
      </c>
      <c r="E7" s="35">
        <f t="shared" si="0"/>
        <v>35876986</v>
      </c>
      <c r="F7" s="37">
        <f>일위대가호표!I24</f>
        <v>31146687</v>
      </c>
      <c r="G7" s="37">
        <f>일위대가호표!J24</f>
        <v>0</v>
      </c>
      <c r="H7" s="37">
        <f>일위대가호표!K24</f>
        <v>3875021</v>
      </c>
      <c r="I7" s="37">
        <f>일위대가호표!L24</f>
        <v>0</v>
      </c>
      <c r="J7" s="37">
        <f>일위대가호표!M24</f>
        <v>855278</v>
      </c>
      <c r="K7" s="1"/>
    </row>
    <row r="8" spans="1:11">
      <c r="A8" s="97">
        <v>6</v>
      </c>
      <c r="B8" s="7" t="s">
        <v>288</v>
      </c>
      <c r="C8" s="7" t="s">
        <v>381</v>
      </c>
      <c r="D8" s="3" t="s">
        <v>16</v>
      </c>
      <c r="E8" s="35">
        <f t="shared" si="0"/>
        <v>1260597</v>
      </c>
      <c r="F8" s="37">
        <f>일위대가호표!I20</f>
        <v>0</v>
      </c>
      <c r="G8" s="37">
        <f>일위대가호표!J20</f>
        <v>1128623</v>
      </c>
      <c r="H8" s="37">
        <f>일위대가호표!K20</f>
        <v>1128623</v>
      </c>
      <c r="I8" s="37">
        <f>일위대가호표!L20</f>
        <v>131974</v>
      </c>
      <c r="J8" s="37">
        <f>일위대가호표!M20</f>
        <v>131974</v>
      </c>
      <c r="K8" s="1"/>
    </row>
    <row r="9" spans="1:11">
      <c r="A9" s="97">
        <v>7</v>
      </c>
      <c r="B9" s="7" t="s">
        <v>289</v>
      </c>
      <c r="C9" s="7" t="s">
        <v>381</v>
      </c>
      <c r="D9" s="3" t="s">
        <v>16</v>
      </c>
      <c r="E9" s="35">
        <f t="shared" si="0"/>
        <v>3275006</v>
      </c>
      <c r="F9" s="37">
        <f>일위대가호표!I21</f>
        <v>93639</v>
      </c>
      <c r="G9" s="37">
        <f>일위대가호표!J21</f>
        <v>2458063</v>
      </c>
      <c r="H9" s="37">
        <f>일위대가호표!K21</f>
        <v>2458063</v>
      </c>
      <c r="I9" s="37">
        <f>일위대가호표!L21</f>
        <v>723304</v>
      </c>
      <c r="J9" s="37">
        <f>일위대가호표!M21</f>
        <v>723304</v>
      </c>
      <c r="K9" s="1"/>
    </row>
    <row r="10" spans="1:11">
      <c r="A10" s="97">
        <v>8</v>
      </c>
      <c r="B10" s="7" t="s">
        <v>273</v>
      </c>
      <c r="C10" s="7" t="s">
        <v>381</v>
      </c>
      <c r="D10" s="3" t="s">
        <v>16</v>
      </c>
      <c r="E10" s="35">
        <f t="shared" si="0"/>
        <v>341383</v>
      </c>
      <c r="F10" s="37">
        <f>일위대가호표!I22</f>
        <v>53048</v>
      </c>
      <c r="G10" s="37">
        <f>일위대가호표!J22</f>
        <v>288335</v>
      </c>
      <c r="H10" s="37">
        <f>일위대가호표!K22</f>
        <v>288335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97">
        <v>9</v>
      </c>
      <c r="B11" s="7" t="s">
        <v>274</v>
      </c>
      <c r="C11" s="7" t="s">
        <v>383</v>
      </c>
      <c r="D11" s="3" t="s">
        <v>16</v>
      </c>
      <c r="E11" s="35">
        <f t="shared" si="0"/>
        <v>2218534</v>
      </c>
      <c r="F11" s="37">
        <f>일위대가호표!I52</f>
        <v>550910</v>
      </c>
      <c r="G11" s="37">
        <f>일위대가호표!J52</f>
        <v>0</v>
      </c>
      <c r="H11" s="37">
        <f>일위대가호표!K52</f>
        <v>498114</v>
      </c>
      <c r="I11" s="37">
        <f>일위대가호표!L52</f>
        <v>0</v>
      </c>
      <c r="J11" s="37">
        <f>일위대가호표!M52</f>
        <v>1169510</v>
      </c>
      <c r="K11" s="1"/>
    </row>
    <row r="12" spans="1:11">
      <c r="A12" s="97">
        <v>10</v>
      </c>
      <c r="B12" s="7" t="s">
        <v>275</v>
      </c>
      <c r="C12" s="7" t="s">
        <v>383</v>
      </c>
      <c r="D12" s="3" t="s">
        <v>16</v>
      </c>
      <c r="E12" s="35">
        <f t="shared" si="0"/>
        <v>670772</v>
      </c>
      <c r="F12" s="37">
        <f>일위대가호표!I49</f>
        <v>0</v>
      </c>
      <c r="G12" s="37">
        <f>일위대가호표!J49</f>
        <v>498114</v>
      </c>
      <c r="H12" s="37">
        <f>일위대가호표!K49</f>
        <v>498114</v>
      </c>
      <c r="I12" s="37">
        <f>일위대가호표!L49</f>
        <v>172658</v>
      </c>
      <c r="J12" s="37">
        <f>일위대가호표!M49</f>
        <v>172658</v>
      </c>
      <c r="K12" s="1"/>
    </row>
    <row r="13" spans="1:11">
      <c r="A13" s="97">
        <v>11</v>
      </c>
      <c r="B13" s="7" t="s">
        <v>276</v>
      </c>
      <c r="C13" s="7" t="s">
        <v>383</v>
      </c>
      <c r="D13" s="3" t="s">
        <v>16</v>
      </c>
      <c r="E13" s="35">
        <f t="shared" si="0"/>
        <v>996852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15768</v>
      </c>
      <c r="J13" s="37">
        <f>일위대가호표!M50</f>
        <v>996852</v>
      </c>
      <c r="K13" s="1"/>
    </row>
    <row r="14" spans="1:11">
      <c r="A14" s="97">
        <v>12</v>
      </c>
      <c r="B14" s="7" t="s">
        <v>277</v>
      </c>
      <c r="C14" s="7" t="s">
        <v>383</v>
      </c>
      <c r="D14" s="3" t="s">
        <v>16</v>
      </c>
      <c r="E14" s="35">
        <f t="shared" si="0"/>
        <v>24911580</v>
      </c>
      <c r="F14" s="37">
        <f>일위대가호표!I73</f>
        <v>16802955</v>
      </c>
      <c r="G14" s="37">
        <f>일위대가호표!J73</f>
        <v>0</v>
      </c>
      <c r="H14" s="37">
        <f>일위대가호표!K73</f>
        <v>2344095</v>
      </c>
      <c r="I14" s="37">
        <f>일위대가호표!L73</f>
        <v>0</v>
      </c>
      <c r="J14" s="37">
        <f>일위대가호표!M73</f>
        <v>5764530</v>
      </c>
      <c r="K14" s="1"/>
    </row>
    <row r="15" spans="1:11">
      <c r="A15" s="97">
        <v>13</v>
      </c>
      <c r="B15" s="7" t="s">
        <v>278</v>
      </c>
      <c r="C15" s="7" t="s">
        <v>383</v>
      </c>
      <c r="D15" s="3" t="s">
        <v>16</v>
      </c>
      <c r="E15" s="35">
        <f t="shared" si="0"/>
        <v>1829290</v>
      </c>
      <c r="F15" s="37">
        <f>일위대가호표!I61</f>
        <v>0</v>
      </c>
      <c r="G15" s="37">
        <f>일위대가호표!J61</f>
        <v>1237172</v>
      </c>
      <c r="H15" s="37">
        <f>일위대가호표!K61</f>
        <v>1237172</v>
      </c>
      <c r="I15" s="37">
        <f>일위대가호표!L61</f>
        <v>592118</v>
      </c>
      <c r="J15" s="37">
        <f>일위대가호표!M61</f>
        <v>592118</v>
      </c>
      <c r="K15" s="1"/>
    </row>
    <row r="16" spans="1:11">
      <c r="A16" s="97">
        <v>14</v>
      </c>
      <c r="B16" s="7" t="s">
        <v>279</v>
      </c>
      <c r="C16" s="7" t="s">
        <v>381</v>
      </c>
      <c r="D16" s="3" t="s">
        <v>16</v>
      </c>
      <c r="E16" s="35">
        <f t="shared" si="0"/>
        <v>4458780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>
        <f>일위대가호표!L62</f>
        <v>70528</v>
      </c>
      <c r="J16" s="37">
        <f>일위대가호표!M62</f>
        <v>4458780</v>
      </c>
      <c r="K16" s="1"/>
    </row>
    <row r="17" spans="1:11">
      <c r="A17" s="97">
        <v>15</v>
      </c>
      <c r="B17" s="7" t="s">
        <v>280</v>
      </c>
      <c r="C17" s="7" t="s">
        <v>383</v>
      </c>
      <c r="D17" s="3" t="s">
        <v>16</v>
      </c>
      <c r="E17" s="35">
        <f t="shared" si="0"/>
        <v>57202</v>
      </c>
      <c r="F17" s="37">
        <f>일위대가호표!I63</f>
        <v>57202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97">
        <v>16</v>
      </c>
      <c r="B18" s="7" t="s">
        <v>281</v>
      </c>
      <c r="C18" s="7" t="s">
        <v>381</v>
      </c>
      <c r="D18" s="3" t="s">
        <v>16</v>
      </c>
      <c r="E18" s="35">
        <f t="shared" si="0"/>
        <v>95237</v>
      </c>
      <c r="F18" s="37">
        <f>일위대가호표!I64</f>
        <v>2773</v>
      </c>
      <c r="G18" s="37">
        <f>일위대가호표!J64</f>
        <v>92464</v>
      </c>
      <c r="H18" s="37">
        <f>일위대가호표!K64</f>
        <v>92464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97">
        <v>17</v>
      </c>
      <c r="B19" s="7" t="s">
        <v>90</v>
      </c>
      <c r="C19" s="7" t="s">
        <v>383</v>
      </c>
      <c r="D19" s="3" t="s">
        <v>16</v>
      </c>
      <c r="E19" s="35">
        <f t="shared" si="0"/>
        <v>549831</v>
      </c>
      <c r="F19" s="37">
        <f>일위대가호표!I65</f>
        <v>0</v>
      </c>
      <c r="G19" s="37">
        <f>일위대가호표!J65</f>
        <v>372377</v>
      </c>
      <c r="H19" s="37">
        <f>일위대가호표!K65</f>
        <v>372377</v>
      </c>
      <c r="I19" s="37">
        <f>일위대가호표!L65</f>
        <v>177454</v>
      </c>
      <c r="J19" s="37">
        <f>일위대가호표!M65</f>
        <v>177454</v>
      </c>
      <c r="K19" s="1"/>
    </row>
    <row r="20" spans="1:11">
      <c r="A20" s="97">
        <v>18</v>
      </c>
      <c r="B20" s="7" t="s">
        <v>282</v>
      </c>
      <c r="C20" s="7" t="s">
        <v>381</v>
      </c>
      <c r="D20" s="3" t="s">
        <v>16</v>
      </c>
      <c r="E20" s="35">
        <f t="shared" si="0"/>
        <v>228350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>
        <f>일위대가호표!L66</f>
        <v>3612</v>
      </c>
      <c r="J20" s="37">
        <f>일위대가호표!M66</f>
        <v>228350</v>
      </c>
      <c r="K20" s="1"/>
    </row>
    <row r="21" spans="1:11">
      <c r="A21" s="97">
        <v>19</v>
      </c>
      <c r="B21" s="7" t="s">
        <v>91</v>
      </c>
      <c r="C21" s="7" t="s">
        <v>383</v>
      </c>
      <c r="D21" s="3" t="s">
        <v>16</v>
      </c>
      <c r="E21" s="35">
        <f t="shared" si="0"/>
        <v>17160</v>
      </c>
      <c r="F21" s="37">
        <f>일위대가호표!I67</f>
        <v>17160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97">
        <v>20</v>
      </c>
      <c r="B22" s="7" t="s">
        <v>92</v>
      </c>
      <c r="C22" s="7" t="s">
        <v>383</v>
      </c>
      <c r="D22" s="3" t="s">
        <v>16</v>
      </c>
      <c r="E22" s="35">
        <f t="shared" si="0"/>
        <v>732250</v>
      </c>
      <c r="F22" s="37">
        <f>일위대가호표!I68</f>
        <v>0</v>
      </c>
      <c r="G22" s="37">
        <f>일위대가호표!J68</f>
        <v>495041</v>
      </c>
      <c r="H22" s="37">
        <f>일위대가호표!K68</f>
        <v>495041</v>
      </c>
      <c r="I22" s="37">
        <f>일위대가호표!L68</f>
        <v>237209</v>
      </c>
      <c r="J22" s="37">
        <f>일위대가호표!M68</f>
        <v>237209</v>
      </c>
      <c r="K22" s="1"/>
    </row>
    <row r="23" spans="1:11">
      <c r="A23" s="97">
        <v>21</v>
      </c>
      <c r="B23" s="7" t="s">
        <v>93</v>
      </c>
      <c r="C23" s="7" t="s">
        <v>383</v>
      </c>
      <c r="D23" s="3" t="s">
        <v>16</v>
      </c>
      <c r="E23" s="35">
        <f t="shared" si="0"/>
        <v>217660</v>
      </c>
      <c r="F23" s="37">
        <f>일위대가호표!I69</f>
        <v>0</v>
      </c>
      <c r="G23" s="37">
        <f>일위대가호표!J69</f>
        <v>147041</v>
      </c>
      <c r="H23" s="37">
        <f>일위대가호표!K69</f>
        <v>147041</v>
      </c>
      <c r="I23" s="37">
        <f>일위대가호표!L69</f>
        <v>70619</v>
      </c>
      <c r="J23" s="37">
        <f>일위대가호표!M69</f>
        <v>70619</v>
      </c>
      <c r="K23" s="1"/>
    </row>
    <row r="24" spans="1:11">
      <c r="A24" s="97">
        <v>22</v>
      </c>
      <c r="B24" s="7" t="s">
        <v>304</v>
      </c>
      <c r="C24" s="7" t="s">
        <v>306</v>
      </c>
      <c r="D24" s="3" t="s">
        <v>16</v>
      </c>
      <c r="E24" s="35">
        <f t="shared" si="0"/>
        <v>800902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84487</v>
      </c>
      <c r="K24" s="1"/>
    </row>
    <row r="25" spans="1:11">
      <c r="A25" s="97">
        <v>23</v>
      </c>
      <c r="B25" s="15" t="s">
        <v>305</v>
      </c>
      <c r="C25" s="7" t="s">
        <v>306</v>
      </c>
      <c r="D25" s="3" t="s">
        <v>16</v>
      </c>
      <c r="E25" s="35">
        <f t="shared" si="0"/>
        <v>210523</v>
      </c>
      <c r="F25" s="37">
        <f>일위대가호표!I120</f>
        <v>0</v>
      </c>
      <c r="G25" s="37">
        <f>일위대가호표!J120</f>
        <v>135281</v>
      </c>
      <c r="H25" s="37">
        <f>일위대가호표!K120</f>
        <v>135281</v>
      </c>
      <c r="I25" s="37">
        <f>일위대가호표!L120</f>
        <v>75242</v>
      </c>
      <c r="J25" s="37">
        <f>일위대가호표!M120</f>
        <v>75242</v>
      </c>
      <c r="K25" s="1"/>
    </row>
    <row r="26" spans="1:11">
      <c r="A26" s="97">
        <v>24</v>
      </c>
      <c r="B26" s="15" t="s">
        <v>103</v>
      </c>
      <c r="C26" s="7" t="s">
        <v>306</v>
      </c>
      <c r="D26" s="3" t="s">
        <v>16</v>
      </c>
      <c r="E26" s="35">
        <f t="shared" si="0"/>
        <v>35678</v>
      </c>
      <c r="F26" s="37">
        <f>일위대가호표!I121</f>
        <v>686</v>
      </c>
      <c r="G26" s="37">
        <f>일위대가호표!J121</f>
        <v>31078</v>
      </c>
      <c r="H26" s="37">
        <f>일위대가호표!K121</f>
        <v>31078</v>
      </c>
      <c r="I26" s="37">
        <f>일위대가호표!L121</f>
        <v>3914</v>
      </c>
      <c r="J26" s="37">
        <f>일위대가호표!M121</f>
        <v>3914</v>
      </c>
      <c r="K26" s="1"/>
    </row>
    <row r="27" spans="1:11">
      <c r="A27" s="97">
        <v>25</v>
      </c>
      <c r="B27" s="15" t="s">
        <v>104</v>
      </c>
      <c r="C27" s="7" t="s">
        <v>306</v>
      </c>
      <c r="D27" s="3" t="s">
        <v>16</v>
      </c>
      <c r="E27" s="35">
        <f t="shared" si="0"/>
        <v>74701</v>
      </c>
      <c r="F27" s="37">
        <f>일위대가호표!I122</f>
        <v>0</v>
      </c>
      <c r="G27" s="37">
        <f>일위대가호표!J122</f>
        <v>69370</v>
      </c>
      <c r="H27" s="37">
        <f>일위대가호표!K122</f>
        <v>69370</v>
      </c>
      <c r="I27" s="37">
        <f>일위대가호표!L122</f>
        <v>5331</v>
      </c>
      <c r="J27" s="37">
        <f>일위대가호표!M122</f>
        <v>5331</v>
      </c>
      <c r="K27" s="1"/>
    </row>
    <row r="28" spans="1:11">
      <c r="A28" s="97">
        <v>26</v>
      </c>
      <c r="B28" s="7" t="s">
        <v>272</v>
      </c>
      <c r="C28" s="7" t="s">
        <v>381</v>
      </c>
      <c r="D28" s="3" t="s">
        <v>16</v>
      </c>
      <c r="E28" s="35">
        <f t="shared" si="0"/>
        <v>15175353</v>
      </c>
      <c r="F28" s="37">
        <f>일위대가호표!I159</f>
        <v>6662986</v>
      </c>
      <c r="G28" s="37">
        <f>일위대가호표!J159</f>
        <v>0</v>
      </c>
      <c r="H28" s="37">
        <f>일위대가호표!K159</f>
        <v>4535894</v>
      </c>
      <c r="I28" s="37">
        <f>일위대가호표!L159</f>
        <v>0</v>
      </c>
      <c r="J28" s="37">
        <f>일위대가호표!M159</f>
        <v>3976473</v>
      </c>
      <c r="K28" s="1"/>
    </row>
    <row r="29" spans="1:11">
      <c r="A29" s="97">
        <v>27</v>
      </c>
      <c r="B29" s="7" t="s">
        <v>111</v>
      </c>
      <c r="C29" s="7" t="s">
        <v>381</v>
      </c>
      <c r="D29" s="3" t="s">
        <v>16</v>
      </c>
      <c r="E29" s="35">
        <f t="shared" si="0"/>
        <v>3711356</v>
      </c>
      <c r="F29" s="37">
        <f>일위대가호표!I152</f>
        <v>0</v>
      </c>
      <c r="G29" s="37">
        <f>일위대가호표!J152</f>
        <v>2593046</v>
      </c>
      <c r="H29" s="37">
        <f>일위대가호표!K152</f>
        <v>2593046</v>
      </c>
      <c r="I29" s="37">
        <f>일위대가호표!L152</f>
        <v>1118310</v>
      </c>
      <c r="J29" s="37">
        <f>일위대가호표!M152</f>
        <v>1118310</v>
      </c>
      <c r="K29" s="1"/>
    </row>
    <row r="30" spans="1:11">
      <c r="A30" s="97">
        <v>28</v>
      </c>
      <c r="B30" s="7" t="s">
        <v>209</v>
      </c>
      <c r="C30" s="7" t="s">
        <v>381</v>
      </c>
      <c r="D30" s="3" t="s">
        <v>16</v>
      </c>
      <c r="E30" s="35">
        <f t="shared" si="0"/>
        <v>2410641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>
        <f>일위대가호표!L153</f>
        <v>38131</v>
      </c>
      <c r="J30" s="37">
        <f>일위대가호표!M153</f>
        <v>2410641</v>
      </c>
      <c r="K30" s="1"/>
    </row>
    <row r="31" spans="1:11">
      <c r="A31" s="97">
        <v>29</v>
      </c>
      <c r="B31" s="7" t="s">
        <v>112</v>
      </c>
      <c r="C31" s="7" t="s">
        <v>381</v>
      </c>
      <c r="D31" s="3" t="s">
        <v>16</v>
      </c>
      <c r="E31" s="35">
        <f t="shared" si="0"/>
        <v>112076</v>
      </c>
      <c r="F31" s="37">
        <f>일위대가호표!I154</f>
        <v>112076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97">
        <v>30</v>
      </c>
      <c r="B32" s="7" t="s">
        <v>113</v>
      </c>
      <c r="C32" s="7" t="s">
        <v>381</v>
      </c>
      <c r="D32" s="3" t="s">
        <v>16</v>
      </c>
      <c r="E32" s="35">
        <f t="shared" si="0"/>
        <v>903888</v>
      </c>
      <c r="F32" s="37">
        <f>일위대가호표!I155</f>
        <v>0</v>
      </c>
      <c r="G32" s="37">
        <f>일위대가호표!J155</f>
        <v>43498</v>
      </c>
      <c r="H32" s="37">
        <f>일위대가호표!K155</f>
        <v>903888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97">
        <v>31</v>
      </c>
      <c r="B33" s="7" t="s">
        <v>114</v>
      </c>
      <c r="C33" s="7" t="s">
        <v>381</v>
      </c>
      <c r="D33" s="3" t="s">
        <v>16</v>
      </c>
      <c r="E33" s="35">
        <f t="shared" si="0"/>
        <v>1486482</v>
      </c>
      <c r="F33" s="37">
        <f>일위대가호표!I156</f>
        <v>0</v>
      </c>
      <c r="G33" s="37">
        <f>일위대가호표!J156</f>
        <v>1038960</v>
      </c>
      <c r="H33" s="37">
        <f>일위대가호표!K156</f>
        <v>1038960</v>
      </c>
      <c r="I33" s="37">
        <f>일위대가호표!L156</f>
        <v>447522</v>
      </c>
      <c r="J33" s="37">
        <f>일위대가호표!M156</f>
        <v>447522</v>
      </c>
      <c r="K33" s="1"/>
    </row>
    <row r="34" spans="1:11">
      <c r="A34" s="97">
        <v>32</v>
      </c>
      <c r="B34" s="7" t="s">
        <v>290</v>
      </c>
      <c r="C34" s="7" t="s">
        <v>383</v>
      </c>
      <c r="D34" s="3" t="s">
        <v>16</v>
      </c>
      <c r="E34" s="35">
        <f t="shared" si="0"/>
        <v>7524584</v>
      </c>
      <c r="F34" s="37">
        <f>일위대가호표!I191</f>
        <v>5733850</v>
      </c>
      <c r="G34" s="37">
        <f>일위대가호표!J191</f>
        <v>0</v>
      </c>
      <c r="H34" s="37">
        <f>일위대가호표!K191</f>
        <v>1057108</v>
      </c>
      <c r="I34" s="37">
        <f>일위대가호표!L191</f>
        <v>0</v>
      </c>
      <c r="J34" s="37">
        <f>일위대가호표!M191</f>
        <v>733626</v>
      </c>
      <c r="K34" s="1"/>
    </row>
    <row r="35" spans="1:11">
      <c r="A35" s="97">
        <v>33</v>
      </c>
      <c r="B35" s="7" t="s">
        <v>116</v>
      </c>
      <c r="C35" s="7" t="s">
        <v>383</v>
      </c>
      <c r="D35" s="3" t="s">
        <v>16</v>
      </c>
      <c r="E35" s="35">
        <f t="shared" si="0"/>
        <v>1071216</v>
      </c>
      <c r="F35" s="37">
        <f>일위대가호표!I185</f>
        <v>0</v>
      </c>
      <c r="G35" s="37">
        <f>일위대가호표!J185</f>
        <v>754333</v>
      </c>
      <c r="H35" s="37">
        <f>일위대가호표!K185</f>
        <v>754333</v>
      </c>
      <c r="I35" s="37">
        <f>일위대가호표!L185</f>
        <v>316883</v>
      </c>
      <c r="J35" s="37">
        <f>일위대가호표!M185</f>
        <v>316883</v>
      </c>
      <c r="K35" s="1"/>
    </row>
    <row r="36" spans="1:11">
      <c r="A36" s="97">
        <v>34</v>
      </c>
      <c r="B36" s="7" t="s">
        <v>210</v>
      </c>
      <c r="C36" s="7" t="s">
        <v>381</v>
      </c>
      <c r="D36" s="3" t="s">
        <v>16</v>
      </c>
      <c r="E36" s="35">
        <f t="shared" si="0"/>
        <v>289990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>
        <f>일위대가호표!L186</f>
        <v>4587</v>
      </c>
      <c r="J36" s="37">
        <f>일위대가호표!M186</f>
        <v>289990</v>
      </c>
      <c r="K36" s="1"/>
    </row>
    <row r="37" spans="1:11">
      <c r="A37" s="97">
        <v>35</v>
      </c>
      <c r="B37" s="7" t="s">
        <v>117</v>
      </c>
      <c r="C37" s="7" t="s">
        <v>383</v>
      </c>
      <c r="D37" s="3" t="s">
        <v>16</v>
      </c>
      <c r="E37" s="35">
        <f t="shared" si="0"/>
        <v>32940</v>
      </c>
      <c r="F37" s="37">
        <f>일위대가호표!I187</f>
        <v>32940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97">
        <v>36</v>
      </c>
      <c r="B38" s="7" t="s">
        <v>118</v>
      </c>
      <c r="C38" s="7" t="s">
        <v>383</v>
      </c>
      <c r="D38" s="3" t="s">
        <v>16</v>
      </c>
      <c r="E38" s="35">
        <f t="shared" si="0"/>
        <v>429528</v>
      </c>
      <c r="F38" s="37">
        <f>일위대가호표!I188</f>
        <v>0</v>
      </c>
      <c r="G38" s="37">
        <f>일위대가호표!J188</f>
        <v>302775</v>
      </c>
      <c r="H38" s="37">
        <f>일위대가호표!K188</f>
        <v>302775</v>
      </c>
      <c r="I38" s="37">
        <f>일위대가호표!L188</f>
        <v>126753</v>
      </c>
      <c r="J38" s="37">
        <f>일위대가호표!M188</f>
        <v>126753</v>
      </c>
      <c r="K38" s="1"/>
    </row>
    <row r="39" spans="1:11">
      <c r="A39" s="97">
        <v>37</v>
      </c>
      <c r="B39" s="7" t="s">
        <v>291</v>
      </c>
      <c r="C39" s="7" t="s">
        <v>383</v>
      </c>
      <c r="D39" s="3" t="s">
        <v>16</v>
      </c>
      <c r="E39" s="35">
        <f t="shared" si="0"/>
        <v>1819782</v>
      </c>
      <c r="F39" s="37">
        <f>일위대가호표!I223</f>
        <v>1543570</v>
      </c>
      <c r="G39" s="37">
        <f>일위대가호표!J223</f>
        <v>0</v>
      </c>
      <c r="H39" s="37">
        <f>일위대가호표!K223</f>
        <v>253358</v>
      </c>
      <c r="I39" s="37">
        <f>일위대가호표!L223</f>
        <v>0</v>
      </c>
      <c r="J39" s="37">
        <f>일위대가호표!M223</f>
        <v>22854</v>
      </c>
      <c r="K39" s="1"/>
    </row>
    <row r="40" spans="1:11">
      <c r="A40" s="97">
        <v>38</v>
      </c>
      <c r="B40" s="7" t="s">
        <v>120</v>
      </c>
      <c r="C40" s="7" t="s">
        <v>383</v>
      </c>
      <c r="D40" s="3" t="s">
        <v>16</v>
      </c>
      <c r="E40" s="35">
        <f t="shared" si="0"/>
        <v>168187</v>
      </c>
      <c r="F40" s="37">
        <f>일위대가호표!I219</f>
        <v>0</v>
      </c>
      <c r="G40" s="37">
        <f>일위대가호표!J219</f>
        <v>145333</v>
      </c>
      <c r="H40" s="37">
        <f>일위대가호표!K219</f>
        <v>145333</v>
      </c>
      <c r="I40" s="37">
        <f>일위대가호표!L219</f>
        <v>22854</v>
      </c>
      <c r="J40" s="37">
        <f>일위대가호표!M219</f>
        <v>22854</v>
      </c>
      <c r="K40" s="1"/>
    </row>
    <row r="41" spans="1:11">
      <c r="A41" s="97">
        <v>39</v>
      </c>
      <c r="B41" s="7" t="s">
        <v>121</v>
      </c>
      <c r="C41" s="7" t="s">
        <v>383</v>
      </c>
      <c r="D41" s="3" t="s">
        <v>16</v>
      </c>
      <c r="E41" s="35">
        <f t="shared" si="0"/>
        <v>108025</v>
      </c>
      <c r="F41" s="37">
        <f>일위대가호표!I220</f>
        <v>0</v>
      </c>
      <c r="G41" s="37">
        <f>일위대가호표!J220</f>
        <v>108025</v>
      </c>
      <c r="H41" s="37">
        <f>일위대가호표!K220</f>
        <v>108025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97">
        <v>40</v>
      </c>
      <c r="B42" s="7" t="s">
        <v>58</v>
      </c>
      <c r="C42" s="7" t="s">
        <v>381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97">
        <v>41</v>
      </c>
      <c r="B43" s="7" t="s">
        <v>59</v>
      </c>
      <c r="C43" s="7" t="s">
        <v>381</v>
      </c>
      <c r="D43" s="3" t="s">
        <v>16</v>
      </c>
      <c r="E43" s="35">
        <f t="shared" si="0"/>
        <v>5930000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5930000</v>
      </c>
      <c r="K43" s="1"/>
    </row>
    <row r="44" spans="1:11">
      <c r="A44" s="97">
        <v>42</v>
      </c>
      <c r="B44" s="7" t="s">
        <v>60</v>
      </c>
      <c r="C44" s="7" t="s">
        <v>383</v>
      </c>
      <c r="D44" s="3" t="s">
        <v>16</v>
      </c>
      <c r="E44" s="35">
        <f t="shared" si="0"/>
        <v>607048</v>
      </c>
      <c r="F44" s="37">
        <f>일위대가호표!I246</f>
        <v>0</v>
      </c>
      <c r="G44" s="37">
        <f>일위대가호표!J246</f>
        <v>0</v>
      </c>
      <c r="H44" s="37">
        <f>일위대가호표!K246</f>
        <v>607048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97">
        <v>43</v>
      </c>
      <c r="B45" s="7" t="s">
        <v>211</v>
      </c>
      <c r="C45" s="7" t="s">
        <v>383</v>
      </c>
      <c r="D45" s="3" t="s">
        <v>16</v>
      </c>
      <c r="E45" s="35">
        <f t="shared" si="0"/>
        <v>607048</v>
      </c>
      <c r="F45" s="37">
        <f>일위대가호표!I245</f>
        <v>0</v>
      </c>
      <c r="G45" s="37">
        <f>일위대가호표!J245</f>
        <v>75881</v>
      </c>
      <c r="H45" s="37">
        <f>일위대가호표!K245</f>
        <v>607048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97"/>
      <c r="B46" s="7"/>
      <c r="C46" s="7"/>
      <c r="D46" s="3"/>
      <c r="E46" s="35"/>
      <c r="F46" s="37"/>
      <c r="G46" s="37"/>
      <c r="H46" s="37"/>
      <c r="I46" s="37"/>
      <c r="J46" s="37"/>
      <c r="K46" s="1"/>
    </row>
    <row r="47" spans="1:11">
      <c r="A47" s="97"/>
      <c r="B47" s="7"/>
      <c r="C47" s="7"/>
      <c r="D47" s="3"/>
      <c r="E47" s="35"/>
      <c r="F47" s="37"/>
      <c r="G47" s="37"/>
      <c r="H47" s="37"/>
      <c r="I47" s="37"/>
      <c r="J47" s="37"/>
      <c r="K47" s="1"/>
    </row>
    <row r="48" spans="1:11">
      <c r="A48" s="97"/>
      <c r="B48" s="7"/>
      <c r="C48" s="7"/>
      <c r="D48" s="3"/>
      <c r="E48" s="35"/>
      <c r="F48" s="37"/>
      <c r="G48" s="37"/>
      <c r="H48" s="37"/>
      <c r="I48" s="37"/>
      <c r="J48" s="37"/>
      <c r="K48" s="1"/>
    </row>
    <row r="49" spans="1:11">
      <c r="A49" s="97"/>
      <c r="B49" s="7"/>
      <c r="C49" s="7"/>
      <c r="D49" s="3"/>
      <c r="E49" s="35"/>
      <c r="F49" s="37"/>
      <c r="G49" s="37"/>
      <c r="H49" s="37"/>
      <c r="I49" s="37"/>
      <c r="J49" s="37"/>
      <c r="K49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1"/>
  <sheetViews>
    <sheetView view="pageBreakPreview" zoomScale="70" zoomScaleNormal="85" zoomScaleSheetLayoutView="70" zoomScalePageLayoutView="40" workbookViewId="0">
      <pane xSplit="2" ySplit="3" topLeftCell="C16" activePane="bottomRight" state="frozen"/>
      <selection activeCell="G27" sqref="G27"/>
      <selection pane="topRight" activeCell="G27" sqref="G27"/>
      <selection pane="bottomLeft" activeCell="G27" sqref="G27"/>
      <selection pane="bottomRight" activeCell="F45" sqref="F45"/>
    </sheetView>
  </sheetViews>
  <sheetFormatPr defaultRowHeight="16.5"/>
  <cols>
    <col min="1" max="1" width="14.75" style="98" customWidth="1"/>
    <col min="2" max="2" width="43.875" bestFit="1" customWidth="1"/>
    <col min="3" max="3" width="22.75" bestFit="1" customWidth="1"/>
    <col min="6" max="13" width="15.625" customWidth="1"/>
    <col min="14" max="14" width="14.75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299" t="s">
        <v>46</v>
      </c>
      <c r="B2" s="147" t="s">
        <v>24</v>
      </c>
      <c r="C2" s="147" t="s">
        <v>32</v>
      </c>
      <c r="D2" s="147" t="s">
        <v>3</v>
      </c>
      <c r="E2" s="147" t="s">
        <v>4</v>
      </c>
      <c r="F2" s="296" t="s">
        <v>27</v>
      </c>
      <c r="G2" s="297"/>
      <c r="H2" s="296" t="s">
        <v>28</v>
      </c>
      <c r="I2" s="297"/>
      <c r="J2" s="296" t="s">
        <v>29</v>
      </c>
      <c r="K2" s="297"/>
      <c r="L2" s="296" t="s">
        <v>30</v>
      </c>
      <c r="M2" s="297"/>
      <c r="N2" s="147" t="s">
        <v>31</v>
      </c>
    </row>
    <row r="3" spans="1:14">
      <c r="A3" s="300"/>
      <c r="B3" s="298"/>
      <c r="C3" s="298"/>
      <c r="D3" s="298"/>
      <c r="E3" s="298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298"/>
    </row>
    <row r="4" spans="1:14" ht="16.5" customHeight="1">
      <c r="A4" s="99">
        <f>1</f>
        <v>1</v>
      </c>
      <c r="B4" s="62" t="s">
        <v>307</v>
      </c>
      <c r="C4" s="63">
        <v>1200</v>
      </c>
      <c r="D4" s="64">
        <v>1</v>
      </c>
      <c r="E4" s="13" t="s">
        <v>16</v>
      </c>
      <c r="F4" s="22"/>
      <c r="G4" s="22"/>
      <c r="H4" s="80"/>
      <c r="I4" s="80"/>
      <c r="J4" s="80"/>
      <c r="K4" s="80"/>
      <c r="L4" s="80"/>
      <c r="M4" s="80"/>
      <c r="N4" s="53" t="s">
        <v>17</v>
      </c>
    </row>
    <row r="5" spans="1:14" ht="16.5" customHeight="1">
      <c r="A5" s="54"/>
      <c r="B5" s="15" t="s">
        <v>68</v>
      </c>
      <c r="C5" s="65"/>
      <c r="D5" s="16">
        <v>1</v>
      </c>
      <c r="E5" s="17" t="s">
        <v>296</v>
      </c>
      <c r="F5" s="24">
        <f t="shared" ref="F5:F6" si="0">H5+J5+L5</f>
        <v>133008</v>
      </c>
      <c r="G5" s="24">
        <f t="shared" ref="G5:G6" si="1">F5*D5</f>
        <v>133008</v>
      </c>
      <c r="H5" s="29">
        <v>0</v>
      </c>
      <c r="I5" s="84">
        <f>TRUNC(H5*$D5,0)</f>
        <v>0</v>
      </c>
      <c r="J5" s="29">
        <f>K11</f>
        <v>133008</v>
      </c>
      <c r="K5" s="84">
        <f>TRUNC(J5*$D5,0)</f>
        <v>133008</v>
      </c>
      <c r="L5" s="29">
        <v>0</v>
      </c>
      <c r="M5" s="84">
        <f>TRUNC(L5*$D5,0)</f>
        <v>0</v>
      </c>
      <c r="N5" s="49">
        <f>A9</f>
        <v>2</v>
      </c>
    </row>
    <row r="6" spans="1:14" ht="16.5" customHeight="1">
      <c r="A6" s="54"/>
      <c r="B6" s="15" t="s">
        <v>69</v>
      </c>
      <c r="C6" s="66" t="s">
        <v>297</v>
      </c>
      <c r="D6" s="16">
        <v>1</v>
      </c>
      <c r="E6" s="17" t="s">
        <v>308</v>
      </c>
      <c r="F6" s="24">
        <f t="shared" si="0"/>
        <v>32080</v>
      </c>
      <c r="G6" s="24">
        <f t="shared" si="1"/>
        <v>32080</v>
      </c>
      <c r="H6" s="29">
        <f>I17</f>
        <v>656</v>
      </c>
      <c r="I6" s="84">
        <f>TRUNC(H6*$D6,0)</f>
        <v>656</v>
      </c>
      <c r="J6" s="29">
        <f>K17</f>
        <v>30509</v>
      </c>
      <c r="K6" s="84">
        <f>TRUNC(J6*$D6,0)</f>
        <v>30509</v>
      </c>
      <c r="L6" s="29">
        <f>M17</f>
        <v>915</v>
      </c>
      <c r="M6" s="84">
        <f>TRUNC(L6*$D6,0)</f>
        <v>915</v>
      </c>
      <c r="N6" s="49">
        <f>A13</f>
        <v>3</v>
      </c>
    </row>
    <row r="7" spans="1:14" ht="16.5" customHeight="1">
      <c r="A7" s="55"/>
      <c r="B7" s="18" t="s">
        <v>309</v>
      </c>
      <c r="C7" s="19"/>
      <c r="D7" s="20"/>
      <c r="E7" s="20"/>
      <c r="F7" s="25"/>
      <c r="G7" s="25">
        <f>SUM(G5:G6)</f>
        <v>165088</v>
      </c>
      <c r="H7" s="30"/>
      <c r="I7" s="85">
        <f>SUM(I5:I6)</f>
        <v>656</v>
      </c>
      <c r="J7" s="30"/>
      <c r="K7" s="85">
        <f>SUM(K5:K6)</f>
        <v>163517</v>
      </c>
      <c r="L7" s="30"/>
      <c r="M7" s="85">
        <f>SUM(M5:M6)</f>
        <v>915</v>
      </c>
      <c r="N7" s="50"/>
    </row>
    <row r="8" spans="1:14" ht="16.5" customHeight="1">
      <c r="A8" s="56"/>
      <c r="B8" s="67"/>
      <c r="C8" s="67"/>
      <c r="D8" s="68"/>
      <c r="E8" s="68"/>
      <c r="F8" s="26"/>
      <c r="G8" s="26"/>
      <c r="H8" s="31"/>
      <c r="I8" s="86"/>
      <c r="J8" s="31"/>
      <c r="K8" s="86"/>
      <c r="L8" s="31"/>
      <c r="M8" s="86"/>
      <c r="N8" s="51"/>
    </row>
    <row r="9" spans="1:14" ht="16.5" customHeight="1">
      <c r="A9" s="99">
        <f>A4+1</f>
        <v>2</v>
      </c>
      <c r="B9" s="69" t="s">
        <v>310</v>
      </c>
      <c r="C9" s="63">
        <v>1200</v>
      </c>
      <c r="D9" s="64">
        <v>1</v>
      </c>
      <c r="E9" s="13" t="s">
        <v>16</v>
      </c>
      <c r="F9" s="22"/>
      <c r="G9" s="22"/>
      <c r="H9" s="80"/>
      <c r="I9" s="80"/>
      <c r="J9" s="80"/>
      <c r="K9" s="80"/>
      <c r="L9" s="80"/>
      <c r="M9" s="80"/>
      <c r="N9" s="52" t="s">
        <v>17</v>
      </c>
    </row>
    <row r="10" spans="1:14" ht="16.5" customHeight="1">
      <c r="A10" s="54"/>
      <c r="B10" s="70" t="s">
        <v>70</v>
      </c>
      <c r="C10" s="65"/>
      <c r="D10" s="16">
        <v>0.77300000000000002</v>
      </c>
      <c r="E10" s="17" t="s">
        <v>301</v>
      </c>
      <c r="F10" s="24">
        <f t="shared" ref="F10" si="2">H10+J10+L10</f>
        <v>172068</v>
      </c>
      <c r="G10" s="24">
        <f t="shared" ref="G10" si="3">F10*D10</f>
        <v>133008.56400000001</v>
      </c>
      <c r="H10" s="29"/>
      <c r="I10" s="84">
        <f>TRUNC(H10*$D10,0)</f>
        <v>0</v>
      </c>
      <c r="J10" s="29">
        <f>노임!$D$4</f>
        <v>172068</v>
      </c>
      <c r="K10" s="84">
        <f>TRUNC(J10*$D10,0)</f>
        <v>133008</v>
      </c>
      <c r="L10" s="29"/>
      <c r="M10" s="84">
        <f>TRUNC(L10*$D10,0)</f>
        <v>0</v>
      </c>
      <c r="N10" s="49"/>
    </row>
    <row r="11" spans="1:14" ht="16.5" customHeight="1">
      <c r="A11" s="55"/>
      <c r="B11" s="18" t="s">
        <v>309</v>
      </c>
      <c r="C11" s="19"/>
      <c r="D11" s="20"/>
      <c r="E11" s="20"/>
      <c r="F11" s="25"/>
      <c r="G11" s="25">
        <f>SUM(G10)</f>
        <v>133008.56400000001</v>
      </c>
      <c r="H11" s="30"/>
      <c r="I11" s="85">
        <f>SUM(I10:I10)</f>
        <v>0</v>
      </c>
      <c r="J11" s="30"/>
      <c r="K11" s="85">
        <f>SUM(K10:K10)</f>
        <v>133008</v>
      </c>
      <c r="L11" s="30"/>
      <c r="M11" s="85">
        <f>SUM(M10:M10)</f>
        <v>0</v>
      </c>
      <c r="N11" s="50"/>
    </row>
    <row r="12" spans="1:14" ht="16.5" customHeight="1">
      <c r="A12" s="56"/>
      <c r="B12" s="67"/>
      <c r="C12" s="67"/>
      <c r="D12" s="68"/>
      <c r="E12" s="68"/>
      <c r="F12" s="26"/>
      <c r="G12" s="26"/>
      <c r="H12" s="31"/>
      <c r="I12" s="86"/>
      <c r="J12" s="31"/>
      <c r="K12" s="86"/>
      <c r="L12" s="31"/>
      <c r="M12" s="86"/>
      <c r="N12" s="51"/>
    </row>
    <row r="13" spans="1:14" ht="16.5" customHeight="1">
      <c r="A13" s="99">
        <f>A9+1</f>
        <v>3</v>
      </c>
      <c r="B13" s="69" t="s">
        <v>299</v>
      </c>
      <c r="C13" s="63">
        <v>1200</v>
      </c>
      <c r="D13" s="64">
        <v>1</v>
      </c>
      <c r="E13" s="13" t="s">
        <v>16</v>
      </c>
      <c r="F13" s="22"/>
      <c r="G13" s="22"/>
      <c r="H13" s="80"/>
      <c r="I13" s="80"/>
      <c r="J13" s="80"/>
      <c r="K13" s="80"/>
      <c r="L13" s="80"/>
      <c r="M13" s="80"/>
      <c r="N13" s="52" t="s">
        <v>17</v>
      </c>
    </row>
    <row r="14" spans="1:14" ht="16.5" customHeight="1">
      <c r="A14" s="54"/>
      <c r="B14" s="70" t="s">
        <v>71</v>
      </c>
      <c r="C14" s="65"/>
      <c r="D14" s="16">
        <v>0.11600000000000001</v>
      </c>
      <c r="E14" s="17" t="s">
        <v>311</v>
      </c>
      <c r="F14" s="24">
        <f t="shared" ref="F14:F16" si="4">H14+J14+L14</f>
        <v>263017</v>
      </c>
      <c r="G14" s="24">
        <f t="shared" ref="G14:G16" si="5">F14*D14</f>
        <v>30509.972000000002</v>
      </c>
      <c r="H14" s="29"/>
      <c r="I14" s="84">
        <f t="shared" ref="I14:I15" si="6">TRUNC(H14*$D14,0)</f>
        <v>0</v>
      </c>
      <c r="J14" s="29">
        <f>노임!$D$6</f>
        <v>263017</v>
      </c>
      <c r="K14" s="84">
        <f t="shared" ref="K14:K15" si="7">TRUNC(J14*$D14,0)</f>
        <v>30509</v>
      </c>
      <c r="L14" s="29"/>
      <c r="M14" s="84">
        <f t="shared" ref="M14:M15" si="8">TRUNC(L14*$D14,0)</f>
        <v>0</v>
      </c>
      <c r="N14" s="49"/>
    </row>
    <row r="15" spans="1:14" ht="16.5" customHeight="1">
      <c r="A15" s="54"/>
      <c r="B15" s="70" t="s">
        <v>72</v>
      </c>
      <c r="C15" s="66" t="s">
        <v>312</v>
      </c>
      <c r="D15" s="16">
        <v>1.93</v>
      </c>
      <c r="E15" s="17" t="s">
        <v>295</v>
      </c>
      <c r="F15" s="24">
        <f t="shared" si="4"/>
        <v>340</v>
      </c>
      <c r="G15" s="24">
        <f t="shared" si="5"/>
        <v>656.19999999999993</v>
      </c>
      <c r="H15" s="29">
        <f>자재!$D$4</f>
        <v>340</v>
      </c>
      <c r="I15" s="84">
        <f t="shared" si="6"/>
        <v>656</v>
      </c>
      <c r="J15" s="29"/>
      <c r="K15" s="84">
        <f t="shared" si="7"/>
        <v>0</v>
      </c>
      <c r="L15" s="29"/>
      <c r="M15" s="84">
        <f t="shared" si="8"/>
        <v>0</v>
      </c>
      <c r="N15" s="49"/>
    </row>
    <row r="16" spans="1:14" ht="16.5" customHeight="1">
      <c r="A16" s="54"/>
      <c r="B16" s="70" t="s">
        <v>73</v>
      </c>
      <c r="C16" s="66" t="s">
        <v>313</v>
      </c>
      <c r="D16" s="21">
        <v>0.03</v>
      </c>
      <c r="E16" s="17"/>
      <c r="F16" s="24">
        <f t="shared" si="4"/>
        <v>30509</v>
      </c>
      <c r="G16" s="24">
        <f t="shared" si="5"/>
        <v>915.27</v>
      </c>
      <c r="H16" s="29"/>
      <c r="I16" s="84">
        <f t="shared" ref="I16" si="9">TRUNC(H16*$E16,0)</f>
        <v>0</v>
      </c>
      <c r="J16" s="29"/>
      <c r="K16" s="84">
        <f t="shared" ref="K16" si="10">TRUNC(J16*$E16,0)</f>
        <v>0</v>
      </c>
      <c r="L16" s="29">
        <f>K17</f>
        <v>30509</v>
      </c>
      <c r="M16" s="84">
        <f>TRUNC(L16*$D16,0)</f>
        <v>915</v>
      </c>
      <c r="N16" s="49"/>
    </row>
    <row r="17" spans="1:14" ht="16.5" customHeight="1">
      <c r="A17" s="55"/>
      <c r="B17" s="18" t="s">
        <v>309</v>
      </c>
      <c r="C17" s="19"/>
      <c r="D17" s="20"/>
      <c r="E17" s="20"/>
      <c r="F17" s="25"/>
      <c r="G17" s="25">
        <f>SUM(G14:G16)</f>
        <v>32081.442000000003</v>
      </c>
      <c r="H17" s="30"/>
      <c r="I17" s="85">
        <f>SUM(I14:I16)</f>
        <v>656</v>
      </c>
      <c r="J17" s="30"/>
      <c r="K17" s="85">
        <f>SUM(K14:K16)</f>
        <v>30509</v>
      </c>
      <c r="L17" s="30"/>
      <c r="M17" s="85">
        <f>SUM(M14:M16)</f>
        <v>915</v>
      </c>
      <c r="N17" s="50"/>
    </row>
    <row r="18" spans="1:14" ht="16.5" customHeight="1">
      <c r="A18" s="56"/>
      <c r="B18" s="67"/>
      <c r="C18" s="67"/>
      <c r="D18" s="68"/>
      <c r="E18" s="68"/>
      <c r="F18" s="26"/>
      <c r="G18" s="26"/>
      <c r="H18" s="31"/>
      <c r="I18" s="86"/>
      <c r="J18" s="31"/>
      <c r="K18" s="86"/>
      <c r="L18" s="31"/>
      <c r="M18" s="86"/>
      <c r="N18" s="51"/>
    </row>
    <row r="19" spans="1:14" ht="16.5" customHeight="1">
      <c r="A19" s="99">
        <f>A13+1</f>
        <v>4</v>
      </c>
      <c r="B19" s="69" t="s">
        <v>314</v>
      </c>
      <c r="C19" s="63">
        <v>1200</v>
      </c>
      <c r="D19" s="64">
        <v>1</v>
      </c>
      <c r="E19" s="13" t="s">
        <v>16</v>
      </c>
      <c r="F19" s="22"/>
      <c r="G19" s="22"/>
      <c r="H19" s="80"/>
      <c r="I19" s="80"/>
      <c r="J19" s="80"/>
      <c r="K19" s="80"/>
      <c r="L19" s="80"/>
      <c r="M19" s="80"/>
      <c r="N19" s="52" t="s">
        <v>17</v>
      </c>
    </row>
    <row r="20" spans="1:14" ht="16.5" customHeight="1">
      <c r="A20" s="54"/>
      <c r="B20" s="15" t="s">
        <v>74</v>
      </c>
      <c r="C20" s="71">
        <v>1200</v>
      </c>
      <c r="D20" s="16">
        <v>1</v>
      </c>
      <c r="E20" s="17" t="s">
        <v>308</v>
      </c>
      <c r="F20" s="24">
        <f t="shared" ref="F20:F23" si="11">H20+J20+L20</f>
        <v>1260597</v>
      </c>
      <c r="G20" s="24">
        <f t="shared" ref="G20:G23" si="12">F20*D20</f>
        <v>1260597</v>
      </c>
      <c r="H20" s="29">
        <v>0</v>
      </c>
      <c r="I20" s="84">
        <f t="shared" ref="I20:I23" si="13">TRUNC(H20*$D20,0)</f>
        <v>0</v>
      </c>
      <c r="J20" s="29">
        <f>K30</f>
        <v>1128623</v>
      </c>
      <c r="K20" s="84">
        <f t="shared" ref="K20:K23" si="14">TRUNC(J20*$D20,0)</f>
        <v>1128623</v>
      </c>
      <c r="L20" s="29">
        <f>M30</f>
        <v>131974</v>
      </c>
      <c r="M20" s="84">
        <f t="shared" ref="M20:M23" si="15">TRUNC(L20*$D20,0)</f>
        <v>131974</v>
      </c>
      <c r="N20" s="49">
        <f>A26</f>
        <v>5</v>
      </c>
    </row>
    <row r="21" spans="1:14" ht="16.5" customHeight="1">
      <c r="A21" s="54"/>
      <c r="B21" s="15" t="s">
        <v>75</v>
      </c>
      <c r="C21" s="71">
        <v>1200</v>
      </c>
      <c r="D21" s="16">
        <v>1</v>
      </c>
      <c r="E21" s="17" t="s">
        <v>308</v>
      </c>
      <c r="F21" s="24">
        <f t="shared" si="11"/>
        <v>3275006</v>
      </c>
      <c r="G21" s="24">
        <f t="shared" si="12"/>
        <v>3275006</v>
      </c>
      <c r="H21" s="29">
        <f>I37</f>
        <v>93639</v>
      </c>
      <c r="I21" s="84">
        <f t="shared" si="13"/>
        <v>93639</v>
      </c>
      <c r="J21" s="29">
        <f>K37</f>
        <v>2458063</v>
      </c>
      <c r="K21" s="84">
        <f t="shared" si="14"/>
        <v>2458063</v>
      </c>
      <c r="L21" s="29">
        <f>M37</f>
        <v>723304</v>
      </c>
      <c r="M21" s="84">
        <f t="shared" si="15"/>
        <v>723304</v>
      </c>
      <c r="N21" s="49">
        <f>A32</f>
        <v>6</v>
      </c>
    </row>
    <row r="22" spans="1:14" ht="16.5" customHeight="1">
      <c r="A22" s="54"/>
      <c r="B22" s="72" t="s">
        <v>76</v>
      </c>
      <c r="C22" s="71">
        <v>1200</v>
      </c>
      <c r="D22" s="16">
        <v>1</v>
      </c>
      <c r="E22" s="17" t="s">
        <v>296</v>
      </c>
      <c r="F22" s="24">
        <f t="shared" si="11"/>
        <v>341383</v>
      </c>
      <c r="G22" s="24">
        <f t="shared" si="12"/>
        <v>341383</v>
      </c>
      <c r="H22" s="29">
        <f>I46</f>
        <v>53048</v>
      </c>
      <c r="I22" s="84">
        <f t="shared" si="13"/>
        <v>53048</v>
      </c>
      <c r="J22" s="29">
        <f>K46</f>
        <v>288335</v>
      </c>
      <c r="K22" s="84">
        <f t="shared" si="14"/>
        <v>288335</v>
      </c>
      <c r="L22" s="29">
        <v>0</v>
      </c>
      <c r="M22" s="84">
        <f t="shared" si="15"/>
        <v>0</v>
      </c>
      <c r="N22" s="49">
        <f>A39</f>
        <v>7</v>
      </c>
    </row>
    <row r="23" spans="1:14" ht="16.5" customHeight="1">
      <c r="A23" s="54"/>
      <c r="B23" s="70" t="s">
        <v>315</v>
      </c>
      <c r="C23" s="71">
        <v>1200</v>
      </c>
      <c r="D23" s="16">
        <v>1</v>
      </c>
      <c r="E23" s="17" t="s">
        <v>308</v>
      </c>
      <c r="F23" s="24">
        <f t="shared" si="11"/>
        <v>31000000</v>
      </c>
      <c r="G23" s="24">
        <f t="shared" si="12"/>
        <v>31000000</v>
      </c>
      <c r="H23" s="29">
        <f>자재견적서!AR18</f>
        <v>31000000</v>
      </c>
      <c r="I23" s="84">
        <f t="shared" si="13"/>
        <v>31000000</v>
      </c>
      <c r="J23" s="29"/>
      <c r="K23" s="84">
        <f t="shared" si="14"/>
        <v>0</v>
      </c>
      <c r="L23" s="29"/>
      <c r="M23" s="84">
        <f t="shared" si="15"/>
        <v>0</v>
      </c>
      <c r="N23" s="49"/>
    </row>
    <row r="24" spans="1:14" ht="16.5" customHeight="1">
      <c r="A24" s="55"/>
      <c r="B24" s="18" t="s">
        <v>309</v>
      </c>
      <c r="C24" s="19"/>
      <c r="D24" s="20"/>
      <c r="E24" s="20"/>
      <c r="F24" s="25"/>
      <c r="G24" s="25">
        <f>SUM(G20:G23)</f>
        <v>35876986</v>
      </c>
      <c r="H24" s="30"/>
      <c r="I24" s="85">
        <f>SUM(I20:I23)</f>
        <v>31146687</v>
      </c>
      <c r="J24" s="30"/>
      <c r="K24" s="85">
        <f>SUM(K20:K23)</f>
        <v>3875021</v>
      </c>
      <c r="L24" s="30"/>
      <c r="M24" s="85">
        <f>SUM(M20:M23)</f>
        <v>855278</v>
      </c>
      <c r="N24" s="50"/>
    </row>
    <row r="25" spans="1:14" ht="16.5" customHeight="1">
      <c r="A25" s="56"/>
      <c r="B25" s="67"/>
      <c r="C25" s="67"/>
      <c r="D25" s="68"/>
      <c r="E25" s="68"/>
      <c r="F25" s="26"/>
      <c r="G25" s="26"/>
      <c r="H25" s="31"/>
      <c r="I25" s="86"/>
      <c r="J25" s="31"/>
      <c r="K25" s="86"/>
      <c r="L25" s="31"/>
      <c r="M25" s="86"/>
      <c r="N25" s="51"/>
    </row>
    <row r="26" spans="1:14" ht="16.5" customHeight="1">
      <c r="A26" s="99">
        <f>A19+1</f>
        <v>5</v>
      </c>
      <c r="B26" s="69" t="s">
        <v>316</v>
      </c>
      <c r="C26" s="63">
        <v>1200</v>
      </c>
      <c r="D26" s="64">
        <v>1</v>
      </c>
      <c r="E26" s="13" t="s">
        <v>16</v>
      </c>
      <c r="F26" s="22"/>
      <c r="G26" s="22"/>
      <c r="H26" s="80"/>
      <c r="I26" s="80"/>
      <c r="J26" s="80"/>
      <c r="K26" s="80"/>
      <c r="L26" s="80"/>
      <c r="M26" s="80"/>
      <c r="N26" s="52" t="s">
        <v>17</v>
      </c>
    </row>
    <row r="27" spans="1:14" ht="16.5" customHeight="1">
      <c r="A27" s="54"/>
      <c r="B27" s="70" t="s">
        <v>77</v>
      </c>
      <c r="C27" s="66"/>
      <c r="D27" s="16">
        <v>2.85</v>
      </c>
      <c r="E27" s="17" t="s">
        <v>317</v>
      </c>
      <c r="F27" s="24">
        <f t="shared" ref="F27:F29" si="16">H27+J27+L27</f>
        <v>262580</v>
      </c>
      <c r="G27" s="24">
        <f t="shared" ref="G27:G29" si="17">F27*D27</f>
        <v>748353</v>
      </c>
      <c r="H27" s="29"/>
      <c r="I27" s="84">
        <f t="shared" ref="I27:I29" si="18">TRUNC(H27*$D27,0)</f>
        <v>0</v>
      </c>
      <c r="J27" s="29">
        <f>노임!$D$8</f>
        <v>262580</v>
      </c>
      <c r="K27" s="84">
        <f t="shared" ref="K27:K29" si="19">TRUNC(J27*$D27,0)</f>
        <v>748353</v>
      </c>
      <c r="L27" s="29"/>
      <c r="M27" s="84">
        <f t="shared" ref="M27:M29" si="20">TRUNC(L27*$D27,0)</f>
        <v>0</v>
      </c>
      <c r="N27" s="49"/>
    </row>
    <row r="28" spans="1:14" ht="16.5" customHeight="1">
      <c r="A28" s="54"/>
      <c r="B28" s="70" t="s">
        <v>70</v>
      </c>
      <c r="C28" s="66"/>
      <c r="D28" s="16">
        <v>2.21</v>
      </c>
      <c r="E28" s="17" t="s">
        <v>301</v>
      </c>
      <c r="F28" s="24">
        <f t="shared" si="16"/>
        <v>172068</v>
      </c>
      <c r="G28" s="24">
        <f t="shared" si="17"/>
        <v>380270.27999999997</v>
      </c>
      <c r="H28" s="29"/>
      <c r="I28" s="84">
        <f t="shared" si="18"/>
        <v>0</v>
      </c>
      <c r="J28" s="29">
        <f>노임!$D$4</f>
        <v>172068</v>
      </c>
      <c r="K28" s="84">
        <f t="shared" si="19"/>
        <v>380270</v>
      </c>
      <c r="L28" s="29"/>
      <c r="M28" s="84">
        <f t="shared" si="20"/>
        <v>0</v>
      </c>
      <c r="N28" s="49"/>
    </row>
    <row r="29" spans="1:14" ht="16.5" customHeight="1">
      <c r="A29" s="54"/>
      <c r="B29" s="70" t="s">
        <v>318</v>
      </c>
      <c r="C29" s="73">
        <v>15</v>
      </c>
      <c r="D29" s="16">
        <v>1.33</v>
      </c>
      <c r="E29" s="17" t="s">
        <v>319</v>
      </c>
      <c r="F29" s="24">
        <f t="shared" si="16"/>
        <v>99229</v>
      </c>
      <c r="G29" s="24">
        <f t="shared" si="17"/>
        <v>131974.57</v>
      </c>
      <c r="H29" s="29"/>
      <c r="I29" s="84">
        <f t="shared" si="18"/>
        <v>0</v>
      </c>
      <c r="J29" s="29"/>
      <c r="K29" s="84">
        <f t="shared" si="19"/>
        <v>0</v>
      </c>
      <c r="L29" s="29">
        <f>경비!$G$5</f>
        <v>99229</v>
      </c>
      <c r="M29" s="84">
        <f t="shared" si="20"/>
        <v>131974</v>
      </c>
      <c r="N29" s="49"/>
    </row>
    <row r="30" spans="1:14" ht="16.5" customHeight="1">
      <c r="A30" s="55"/>
      <c r="B30" s="18" t="s">
        <v>309</v>
      </c>
      <c r="C30" s="19"/>
      <c r="D30" s="20"/>
      <c r="E30" s="20"/>
      <c r="F30" s="25"/>
      <c r="G30" s="25">
        <f>SUM(G27:G29)</f>
        <v>1260597.8500000001</v>
      </c>
      <c r="H30" s="30"/>
      <c r="I30" s="85">
        <f>SUM(I27:I29)</f>
        <v>0</v>
      </c>
      <c r="J30" s="30"/>
      <c r="K30" s="85">
        <f>SUM(K27:K29)</f>
        <v>1128623</v>
      </c>
      <c r="L30" s="30"/>
      <c r="M30" s="85">
        <f>SUM(M27:M29)</f>
        <v>131974</v>
      </c>
      <c r="N30" s="50"/>
    </row>
    <row r="31" spans="1:14" ht="16.5" customHeight="1">
      <c r="A31" s="56"/>
      <c r="B31" s="67"/>
      <c r="C31" s="67"/>
      <c r="D31" s="68"/>
      <c r="E31" s="68"/>
      <c r="F31" s="26"/>
      <c r="G31" s="26"/>
      <c r="H31" s="31"/>
      <c r="I31" s="86"/>
      <c r="J31" s="31"/>
      <c r="K31" s="86"/>
      <c r="L31" s="31"/>
      <c r="M31" s="86"/>
      <c r="N31" s="51"/>
    </row>
    <row r="32" spans="1:14" ht="16.5" customHeight="1">
      <c r="A32" s="99">
        <f>A26+1</f>
        <v>6</v>
      </c>
      <c r="B32" s="69" t="s">
        <v>320</v>
      </c>
      <c r="C32" s="63">
        <v>1200</v>
      </c>
      <c r="D32" s="64">
        <v>1</v>
      </c>
      <c r="E32" s="13" t="s">
        <v>16</v>
      </c>
      <c r="F32" s="22"/>
      <c r="G32" s="22"/>
      <c r="H32" s="80"/>
      <c r="I32" s="80"/>
      <c r="J32" s="80"/>
      <c r="K32" s="80"/>
      <c r="L32" s="80"/>
      <c r="M32" s="80"/>
      <c r="N32" s="52" t="s">
        <v>17</v>
      </c>
    </row>
    <row r="33" spans="1:14" ht="16.5" customHeight="1">
      <c r="A33" s="54"/>
      <c r="B33" s="70" t="s">
        <v>78</v>
      </c>
      <c r="C33" s="66"/>
      <c r="D33" s="16">
        <v>8.6999999999999993</v>
      </c>
      <c r="E33" s="17" t="s">
        <v>311</v>
      </c>
      <c r="F33" s="24">
        <f t="shared" ref="F33:F36" si="21">H33+J33+L33</f>
        <v>282536</v>
      </c>
      <c r="G33" s="24">
        <f t="shared" ref="G33:G36" si="22">F33*D33</f>
        <v>2458063.1999999997</v>
      </c>
      <c r="H33" s="29"/>
      <c r="I33" s="84">
        <f t="shared" ref="I33:I36" si="23">TRUNC(H33*$D33,0)</f>
        <v>0</v>
      </c>
      <c r="J33" s="29">
        <f>노임!$D$5</f>
        <v>282536</v>
      </c>
      <c r="K33" s="84">
        <f t="shared" ref="K33:K36" si="24">TRUNC(J33*$D33,0)</f>
        <v>2458063</v>
      </c>
      <c r="L33" s="29"/>
      <c r="M33" s="84">
        <f t="shared" ref="M33:M36" si="25">TRUNC(L33*$D33,0)</f>
        <v>0</v>
      </c>
      <c r="N33" s="49"/>
    </row>
    <row r="34" spans="1:14" ht="16.5" customHeight="1">
      <c r="A34" s="54"/>
      <c r="B34" s="70" t="s">
        <v>79</v>
      </c>
      <c r="C34" s="66"/>
      <c r="D34" s="16">
        <v>12.93</v>
      </c>
      <c r="E34" s="17" t="s">
        <v>319</v>
      </c>
      <c r="F34" s="24">
        <f t="shared" si="21"/>
        <v>55756</v>
      </c>
      <c r="G34" s="24">
        <f t="shared" si="22"/>
        <v>720925.08</v>
      </c>
      <c r="H34" s="29"/>
      <c r="I34" s="84">
        <f t="shared" si="23"/>
        <v>0</v>
      </c>
      <c r="J34" s="29"/>
      <c r="K34" s="84">
        <f t="shared" si="24"/>
        <v>0</v>
      </c>
      <c r="L34" s="29">
        <f>경비!$G$8</f>
        <v>55756</v>
      </c>
      <c r="M34" s="84">
        <f t="shared" si="25"/>
        <v>720925</v>
      </c>
      <c r="N34" s="49"/>
    </row>
    <row r="35" spans="1:14" ht="16.5" customHeight="1">
      <c r="A35" s="54"/>
      <c r="B35" s="70" t="s">
        <v>80</v>
      </c>
      <c r="C35" s="73"/>
      <c r="D35" s="16">
        <v>25.86</v>
      </c>
      <c r="E35" s="17" t="s">
        <v>321</v>
      </c>
      <c r="F35" s="24">
        <f t="shared" si="21"/>
        <v>92</v>
      </c>
      <c r="G35" s="24">
        <f t="shared" si="22"/>
        <v>2379.12</v>
      </c>
      <c r="H35" s="29"/>
      <c r="I35" s="84">
        <f t="shared" si="23"/>
        <v>0</v>
      </c>
      <c r="J35" s="29"/>
      <c r="K35" s="84">
        <f t="shared" si="24"/>
        <v>0</v>
      </c>
      <c r="L35" s="29">
        <f>경비!$G$9</f>
        <v>92</v>
      </c>
      <c r="M35" s="84">
        <f t="shared" si="25"/>
        <v>2379</v>
      </c>
      <c r="N35" s="49"/>
    </row>
    <row r="36" spans="1:14" ht="16.5" customHeight="1">
      <c r="A36" s="54"/>
      <c r="B36" s="70" t="s">
        <v>81</v>
      </c>
      <c r="C36" s="73"/>
      <c r="D36" s="16">
        <v>19.11</v>
      </c>
      <c r="E36" s="17" t="s">
        <v>322</v>
      </c>
      <c r="F36" s="24">
        <f t="shared" si="21"/>
        <v>4900</v>
      </c>
      <c r="G36" s="24">
        <f t="shared" si="22"/>
        <v>93639</v>
      </c>
      <c r="H36" s="29">
        <f>자재!$D$3</f>
        <v>4900</v>
      </c>
      <c r="I36" s="84">
        <f t="shared" si="23"/>
        <v>93639</v>
      </c>
      <c r="J36" s="29"/>
      <c r="K36" s="84">
        <f t="shared" si="24"/>
        <v>0</v>
      </c>
      <c r="L36" s="29"/>
      <c r="M36" s="84">
        <f t="shared" si="25"/>
        <v>0</v>
      </c>
      <c r="N36" s="49"/>
    </row>
    <row r="37" spans="1:14" ht="16.5" customHeight="1">
      <c r="A37" s="55"/>
      <c r="B37" s="18" t="s">
        <v>298</v>
      </c>
      <c r="C37" s="19"/>
      <c r="D37" s="20"/>
      <c r="E37" s="20"/>
      <c r="F37" s="25"/>
      <c r="G37" s="25">
        <f>SUM(G33:G36)</f>
        <v>3275006.4</v>
      </c>
      <c r="H37" s="30"/>
      <c r="I37" s="85">
        <f>SUM(I33:I36)</f>
        <v>93639</v>
      </c>
      <c r="J37" s="30"/>
      <c r="K37" s="85">
        <f>SUM(K33:K36)</f>
        <v>2458063</v>
      </c>
      <c r="L37" s="30"/>
      <c r="M37" s="85">
        <f>SUM(M33:M36)</f>
        <v>723304</v>
      </c>
      <c r="N37" s="50"/>
    </row>
    <row r="38" spans="1:14" ht="16.5" customHeight="1">
      <c r="A38" s="56"/>
      <c r="B38" s="67"/>
      <c r="C38" s="67"/>
      <c r="D38" s="68"/>
      <c r="E38" s="68"/>
      <c r="F38" s="26"/>
      <c r="G38" s="26"/>
      <c r="H38" s="31"/>
      <c r="I38" s="86"/>
      <c r="J38" s="31"/>
      <c r="K38" s="86"/>
      <c r="L38" s="31"/>
      <c r="M38" s="86"/>
      <c r="N38" s="51"/>
    </row>
    <row r="39" spans="1:14" ht="16.5" customHeight="1">
      <c r="A39" s="99">
        <f>A32+1</f>
        <v>7</v>
      </c>
      <c r="B39" s="69" t="s">
        <v>323</v>
      </c>
      <c r="C39" s="63">
        <v>1200</v>
      </c>
      <c r="D39" s="64">
        <v>1</v>
      </c>
      <c r="E39" s="13" t="s">
        <v>16</v>
      </c>
      <c r="F39" s="22"/>
      <c r="G39" s="22"/>
      <c r="H39" s="80"/>
      <c r="I39" s="80"/>
      <c r="J39" s="80"/>
      <c r="K39" s="80"/>
      <c r="L39" s="80"/>
      <c r="M39" s="80"/>
      <c r="N39" s="52" t="s">
        <v>17</v>
      </c>
    </row>
    <row r="40" spans="1:14" ht="16.5" customHeight="1">
      <c r="A40" s="54"/>
      <c r="B40" s="70" t="s">
        <v>71</v>
      </c>
      <c r="C40" s="66"/>
      <c r="D40" s="16">
        <v>0.9</v>
      </c>
      <c r="E40" s="17" t="s">
        <v>311</v>
      </c>
      <c r="F40" s="24">
        <f t="shared" ref="F40:F45" si="26">H40+J40+L40</f>
        <v>263017</v>
      </c>
      <c r="G40" s="24">
        <f t="shared" ref="G40:G45" si="27">F40*D40</f>
        <v>236715.30000000002</v>
      </c>
      <c r="H40" s="29"/>
      <c r="I40" s="84">
        <f t="shared" ref="I40:I45" si="28">TRUNC(H40*$D40,0)</f>
        <v>0</v>
      </c>
      <c r="J40" s="29">
        <f>노임!$D$6</f>
        <v>263017</v>
      </c>
      <c r="K40" s="84">
        <f t="shared" ref="K40:K45" si="29">TRUNC(J40*$D40,0)</f>
        <v>236715</v>
      </c>
      <c r="L40" s="29"/>
      <c r="M40" s="84">
        <f t="shared" ref="M40:M45" si="30">TRUNC(L40*$D40,0)</f>
        <v>0</v>
      </c>
      <c r="N40" s="49"/>
    </row>
    <row r="41" spans="1:14" ht="16.5" customHeight="1">
      <c r="A41" s="54"/>
      <c r="B41" s="70" t="s">
        <v>70</v>
      </c>
      <c r="C41" s="66"/>
      <c r="D41" s="16">
        <v>0.3</v>
      </c>
      <c r="E41" s="17" t="s">
        <v>311</v>
      </c>
      <c r="F41" s="24">
        <f t="shared" si="26"/>
        <v>172068</v>
      </c>
      <c r="G41" s="24">
        <f t="shared" si="27"/>
        <v>51620.4</v>
      </c>
      <c r="H41" s="29"/>
      <c r="I41" s="84">
        <f t="shared" si="28"/>
        <v>0</v>
      </c>
      <c r="J41" s="29">
        <f>노임!$D$4</f>
        <v>172068</v>
      </c>
      <c r="K41" s="84">
        <f t="shared" si="29"/>
        <v>51620</v>
      </c>
      <c r="L41" s="29"/>
      <c r="M41" s="84">
        <f t="shared" si="30"/>
        <v>0</v>
      </c>
      <c r="N41" s="49"/>
    </row>
    <row r="42" spans="1:14" ht="16.5" customHeight="1">
      <c r="A42" s="54"/>
      <c r="B42" s="70" t="s">
        <v>82</v>
      </c>
      <c r="C42" s="73" t="s">
        <v>324</v>
      </c>
      <c r="D42" s="16">
        <v>0.84</v>
      </c>
      <c r="E42" s="17" t="s">
        <v>325</v>
      </c>
      <c r="F42" s="24">
        <f t="shared" si="26"/>
        <v>20746.666666666668</v>
      </c>
      <c r="G42" s="24">
        <f t="shared" si="27"/>
        <v>17427.2</v>
      </c>
      <c r="H42" s="29">
        <f>자재!$D$5</f>
        <v>20746.666666666668</v>
      </c>
      <c r="I42" s="84">
        <f t="shared" si="28"/>
        <v>17427</v>
      </c>
      <c r="J42" s="29"/>
      <c r="K42" s="84">
        <f t="shared" si="29"/>
        <v>0</v>
      </c>
      <c r="L42" s="29"/>
      <c r="M42" s="84">
        <f t="shared" si="30"/>
        <v>0</v>
      </c>
      <c r="N42" s="49"/>
    </row>
    <row r="43" spans="1:14" ht="16.5" customHeight="1">
      <c r="A43" s="54"/>
      <c r="B43" s="70" t="s">
        <v>83</v>
      </c>
      <c r="C43" s="73" t="s">
        <v>326</v>
      </c>
      <c r="D43" s="16">
        <v>8.42</v>
      </c>
      <c r="E43" s="17" t="s">
        <v>327</v>
      </c>
      <c r="F43" s="24">
        <f t="shared" si="26"/>
        <v>2800</v>
      </c>
      <c r="G43" s="24">
        <f t="shared" si="27"/>
        <v>23576</v>
      </c>
      <c r="H43" s="29">
        <f>자재!$D$6</f>
        <v>2800</v>
      </c>
      <c r="I43" s="84">
        <f t="shared" si="28"/>
        <v>23576</v>
      </c>
      <c r="J43" s="29"/>
      <c r="K43" s="84">
        <f t="shared" si="29"/>
        <v>0</v>
      </c>
      <c r="L43" s="29"/>
      <c r="M43" s="84">
        <f t="shared" si="30"/>
        <v>0</v>
      </c>
      <c r="N43" s="49"/>
    </row>
    <row r="44" spans="1:14" ht="16.5" customHeight="1">
      <c r="A44" s="54"/>
      <c r="B44" s="70" t="s">
        <v>84</v>
      </c>
      <c r="C44" s="73" t="s">
        <v>328</v>
      </c>
      <c r="D44" s="16">
        <v>7.96</v>
      </c>
      <c r="E44" s="17" t="s">
        <v>329</v>
      </c>
      <c r="F44" s="24">
        <f t="shared" si="26"/>
        <v>773.33333333333337</v>
      </c>
      <c r="G44" s="24">
        <f t="shared" si="27"/>
        <v>6155.7333333333336</v>
      </c>
      <c r="H44" s="29">
        <f>자재!$D$7</f>
        <v>773.33333333333337</v>
      </c>
      <c r="I44" s="84">
        <f t="shared" si="28"/>
        <v>6155</v>
      </c>
      <c r="J44" s="29"/>
      <c r="K44" s="84">
        <f t="shared" si="29"/>
        <v>0</v>
      </c>
      <c r="L44" s="29"/>
      <c r="M44" s="84">
        <f t="shared" si="30"/>
        <v>0</v>
      </c>
      <c r="N44" s="49"/>
    </row>
    <row r="45" spans="1:14" ht="16.5" customHeight="1">
      <c r="A45" s="54"/>
      <c r="B45" s="70" t="s">
        <v>85</v>
      </c>
      <c r="C45" s="74" t="s">
        <v>330</v>
      </c>
      <c r="D45" s="16">
        <v>7.96</v>
      </c>
      <c r="E45" s="17" t="s">
        <v>331</v>
      </c>
      <c r="F45" s="24">
        <f t="shared" si="26"/>
        <v>740</v>
      </c>
      <c r="G45" s="24">
        <f t="shared" si="27"/>
        <v>5890.4</v>
      </c>
      <c r="H45" s="29">
        <f>자재!$D$8</f>
        <v>740</v>
      </c>
      <c r="I45" s="84">
        <f t="shared" si="28"/>
        <v>5890</v>
      </c>
      <c r="J45" s="29"/>
      <c r="K45" s="84">
        <f t="shared" si="29"/>
        <v>0</v>
      </c>
      <c r="L45" s="29"/>
      <c r="M45" s="84">
        <f t="shared" si="30"/>
        <v>0</v>
      </c>
      <c r="N45" s="49"/>
    </row>
    <row r="46" spans="1:14" ht="16.5" customHeight="1">
      <c r="A46" s="55"/>
      <c r="B46" s="18" t="s">
        <v>332</v>
      </c>
      <c r="C46" s="19"/>
      <c r="D46" s="20"/>
      <c r="E46" s="20"/>
      <c r="F46" s="25"/>
      <c r="G46" s="25">
        <f>SUM(G40:G45)</f>
        <v>341385.03333333338</v>
      </c>
      <c r="H46" s="30"/>
      <c r="I46" s="85">
        <f>SUM(I40:I45)</f>
        <v>53048</v>
      </c>
      <c r="J46" s="30"/>
      <c r="K46" s="85">
        <f>SUM(K40:K45)</f>
        <v>288335</v>
      </c>
      <c r="L46" s="30"/>
      <c r="M46" s="85">
        <f>SUM(M40:M41)</f>
        <v>0</v>
      </c>
      <c r="N46" s="50"/>
    </row>
    <row r="47" spans="1:14" ht="16.5" customHeight="1">
      <c r="A47" s="56"/>
      <c r="B47" s="67"/>
      <c r="C47" s="67"/>
      <c r="D47" s="68"/>
      <c r="E47" s="68"/>
      <c r="F47" s="26"/>
      <c r="G47" s="26"/>
      <c r="H47" s="31"/>
      <c r="I47" s="86"/>
      <c r="J47" s="31"/>
      <c r="K47" s="86"/>
      <c r="L47" s="31"/>
      <c r="M47" s="86"/>
      <c r="N47" s="51"/>
    </row>
    <row r="48" spans="1:14" ht="16.5" customHeight="1">
      <c r="A48" s="99">
        <f>A39+1</f>
        <v>8</v>
      </c>
      <c r="B48" s="69" t="s">
        <v>333</v>
      </c>
      <c r="C48" s="75">
        <v>850</v>
      </c>
      <c r="D48" s="64">
        <v>1</v>
      </c>
      <c r="E48" s="13" t="s">
        <v>16</v>
      </c>
      <c r="F48" s="22"/>
      <c r="G48" s="22"/>
      <c r="H48" s="80"/>
      <c r="I48" s="80"/>
      <c r="J48" s="80"/>
      <c r="K48" s="80"/>
      <c r="L48" s="80"/>
      <c r="M48" s="80"/>
      <c r="N48" s="52" t="s">
        <v>17</v>
      </c>
    </row>
    <row r="49" spans="1:14" ht="16.5" customHeight="1">
      <c r="A49" s="54"/>
      <c r="B49" s="15" t="s">
        <v>86</v>
      </c>
      <c r="C49" s="76">
        <v>850</v>
      </c>
      <c r="D49" s="16">
        <v>1</v>
      </c>
      <c r="E49" s="17" t="s">
        <v>334</v>
      </c>
      <c r="F49" s="24">
        <f t="shared" ref="F49:F51" si="31">H49+J49+L49</f>
        <v>670772</v>
      </c>
      <c r="G49" s="24">
        <f t="shared" ref="G49:G51" si="32">F49*D49</f>
        <v>670772</v>
      </c>
      <c r="H49" s="29">
        <v>0</v>
      </c>
      <c r="I49" s="84">
        <f t="shared" ref="I49:I51" si="33">TRUNC(H49*$D49,0)</f>
        <v>0</v>
      </c>
      <c r="J49" s="29">
        <f>K58</f>
        <v>498114</v>
      </c>
      <c r="K49" s="84">
        <f t="shared" ref="K49:K51" si="34">TRUNC(J49*$D49,0)</f>
        <v>498114</v>
      </c>
      <c r="L49" s="29">
        <f>M58</f>
        <v>172658</v>
      </c>
      <c r="M49" s="84">
        <f t="shared" ref="M49:M51" si="35">TRUNC(L49*$D49,0)</f>
        <v>172658</v>
      </c>
      <c r="N49" s="49">
        <f>A54</f>
        <v>9</v>
      </c>
    </row>
    <row r="50" spans="1:14" ht="16.5" customHeight="1">
      <c r="A50" s="54"/>
      <c r="B50" s="15" t="s">
        <v>335</v>
      </c>
      <c r="C50" s="77">
        <v>1200</v>
      </c>
      <c r="D50" s="16">
        <v>63.22</v>
      </c>
      <c r="E50" s="17" t="s">
        <v>321</v>
      </c>
      <c r="F50" s="24">
        <f t="shared" si="31"/>
        <v>15768</v>
      </c>
      <c r="G50" s="24">
        <f t="shared" si="32"/>
        <v>996852.96</v>
      </c>
      <c r="H50" s="29"/>
      <c r="I50" s="84">
        <f t="shared" si="33"/>
        <v>0</v>
      </c>
      <c r="J50" s="29"/>
      <c r="K50" s="84">
        <f t="shared" si="34"/>
        <v>0</v>
      </c>
      <c r="L50" s="29">
        <f>중기사용료목록!$G$127</f>
        <v>15768</v>
      </c>
      <c r="M50" s="84">
        <f t="shared" si="35"/>
        <v>996852</v>
      </c>
      <c r="N50" s="49"/>
    </row>
    <row r="51" spans="1:14" ht="16.5" customHeight="1">
      <c r="A51" s="54"/>
      <c r="B51" s="70" t="s">
        <v>302</v>
      </c>
      <c r="C51" s="76">
        <v>850</v>
      </c>
      <c r="D51" s="16">
        <v>1</v>
      </c>
      <c r="E51" s="17" t="s">
        <v>334</v>
      </c>
      <c r="F51" s="24">
        <f t="shared" si="31"/>
        <v>550910</v>
      </c>
      <c r="G51" s="24">
        <f t="shared" si="32"/>
        <v>550910</v>
      </c>
      <c r="H51" s="29">
        <f>자재견적서!$AR$19</f>
        <v>550910</v>
      </c>
      <c r="I51" s="84">
        <f t="shared" si="33"/>
        <v>550910</v>
      </c>
      <c r="J51" s="29"/>
      <c r="K51" s="84">
        <f t="shared" si="34"/>
        <v>0</v>
      </c>
      <c r="L51" s="29"/>
      <c r="M51" s="84">
        <f t="shared" si="35"/>
        <v>0</v>
      </c>
      <c r="N51" s="49"/>
    </row>
    <row r="52" spans="1:14" ht="16.5" customHeight="1">
      <c r="A52" s="55"/>
      <c r="B52" s="18" t="s">
        <v>332</v>
      </c>
      <c r="C52" s="19"/>
      <c r="D52" s="20"/>
      <c r="E52" s="20"/>
      <c r="F52" s="25"/>
      <c r="G52" s="25">
        <f>SUM(G49:G51)</f>
        <v>2218534.96</v>
      </c>
      <c r="H52" s="30"/>
      <c r="I52" s="85">
        <f>SUM(I49:I51)</f>
        <v>550910</v>
      </c>
      <c r="J52" s="30"/>
      <c r="K52" s="85">
        <f>SUM(K49:K51)</f>
        <v>498114</v>
      </c>
      <c r="L52" s="30"/>
      <c r="M52" s="85">
        <f>SUM(M49:M51)</f>
        <v>1169510</v>
      </c>
      <c r="N52" s="50"/>
    </row>
    <row r="53" spans="1:14" ht="16.5" customHeight="1">
      <c r="A53" s="56"/>
      <c r="B53" s="67"/>
      <c r="C53" s="67"/>
      <c r="D53" s="68"/>
      <c r="E53" s="68"/>
      <c r="F53" s="26"/>
      <c r="G53" s="26"/>
      <c r="H53" s="31"/>
      <c r="I53" s="86"/>
      <c r="J53" s="31"/>
      <c r="K53" s="86"/>
      <c r="L53" s="31"/>
      <c r="M53" s="86"/>
      <c r="N53" s="51"/>
    </row>
    <row r="54" spans="1:14" ht="16.5" customHeight="1">
      <c r="A54" s="99">
        <f>A48+1</f>
        <v>9</v>
      </c>
      <c r="B54" s="69" t="s">
        <v>336</v>
      </c>
      <c r="C54" s="75">
        <v>850</v>
      </c>
      <c r="D54" s="64">
        <v>1</v>
      </c>
      <c r="E54" s="13" t="s">
        <v>16</v>
      </c>
      <c r="F54" s="22"/>
      <c r="G54" s="22"/>
      <c r="H54" s="80"/>
      <c r="I54" s="80"/>
      <c r="J54" s="80"/>
      <c r="K54" s="80"/>
      <c r="L54" s="80"/>
      <c r="M54" s="80"/>
      <c r="N54" s="52" t="s">
        <v>17</v>
      </c>
    </row>
    <row r="55" spans="1:14" ht="16.5" customHeight="1">
      <c r="A55" s="54"/>
      <c r="B55" s="70" t="s">
        <v>77</v>
      </c>
      <c r="C55" s="66"/>
      <c r="D55" s="16">
        <v>1.34</v>
      </c>
      <c r="E55" s="17" t="s">
        <v>311</v>
      </c>
      <c r="F55" s="24">
        <f t="shared" ref="F55:F57" si="36">H55+J55+L55</f>
        <v>262580</v>
      </c>
      <c r="G55" s="24">
        <f t="shared" ref="G55:G57" si="37">F55*D55</f>
        <v>351857.2</v>
      </c>
      <c r="H55" s="29"/>
      <c r="I55" s="84">
        <f t="shared" ref="I55:I57" si="38">TRUNC(H55*$D55,0)</f>
        <v>0</v>
      </c>
      <c r="J55" s="29">
        <f>노임!$D$8</f>
        <v>262580</v>
      </c>
      <c r="K55" s="84">
        <f t="shared" ref="K55:K57" si="39">TRUNC(J55*$D55,0)</f>
        <v>351857</v>
      </c>
      <c r="L55" s="29"/>
      <c r="M55" s="84">
        <f t="shared" ref="M55:M57" si="40">TRUNC(L55*$D55,0)</f>
        <v>0</v>
      </c>
      <c r="N55" s="49"/>
    </row>
    <row r="56" spans="1:14" ht="16.5" customHeight="1">
      <c r="A56" s="54"/>
      <c r="B56" s="70" t="s">
        <v>70</v>
      </c>
      <c r="C56" s="66"/>
      <c r="D56" s="16">
        <v>0.85</v>
      </c>
      <c r="E56" s="17" t="s">
        <v>311</v>
      </c>
      <c r="F56" s="24">
        <f t="shared" si="36"/>
        <v>172068</v>
      </c>
      <c r="G56" s="24">
        <f t="shared" si="37"/>
        <v>146257.79999999999</v>
      </c>
      <c r="H56" s="29"/>
      <c r="I56" s="84">
        <f t="shared" si="38"/>
        <v>0</v>
      </c>
      <c r="J56" s="29">
        <f>노임!$D$4</f>
        <v>172068</v>
      </c>
      <c r="K56" s="84">
        <f t="shared" si="39"/>
        <v>146257</v>
      </c>
      <c r="L56" s="29"/>
      <c r="M56" s="84">
        <f t="shared" si="40"/>
        <v>0</v>
      </c>
      <c r="N56" s="49"/>
    </row>
    <row r="57" spans="1:14" ht="16.5" customHeight="1">
      <c r="A57" s="54"/>
      <c r="B57" s="70" t="s">
        <v>337</v>
      </c>
      <c r="C57" s="73">
        <v>15</v>
      </c>
      <c r="D57" s="16">
        <v>1.74</v>
      </c>
      <c r="E57" s="17" t="s">
        <v>321</v>
      </c>
      <c r="F57" s="24">
        <f t="shared" si="36"/>
        <v>99229</v>
      </c>
      <c r="G57" s="24">
        <f t="shared" si="37"/>
        <v>172658.46</v>
      </c>
      <c r="H57" s="29"/>
      <c r="I57" s="84">
        <f t="shared" si="38"/>
        <v>0</v>
      </c>
      <c r="J57" s="29"/>
      <c r="K57" s="84">
        <f t="shared" si="39"/>
        <v>0</v>
      </c>
      <c r="L57" s="29">
        <f>경비!$G$5</f>
        <v>99229</v>
      </c>
      <c r="M57" s="84">
        <f t="shared" si="40"/>
        <v>172658</v>
      </c>
      <c r="N57" s="49"/>
    </row>
    <row r="58" spans="1:14" ht="16.5" customHeight="1">
      <c r="A58" s="55"/>
      <c r="B58" s="18" t="s">
        <v>332</v>
      </c>
      <c r="C58" s="19"/>
      <c r="D58" s="20"/>
      <c r="E58" s="20"/>
      <c r="F58" s="25"/>
      <c r="G58" s="25">
        <f>SUM(G55:G57)</f>
        <v>670773.46</v>
      </c>
      <c r="H58" s="30"/>
      <c r="I58" s="85">
        <f>SUM(I55:I57)</f>
        <v>0</v>
      </c>
      <c r="J58" s="30"/>
      <c r="K58" s="85">
        <f>SUM(K55:K57)</f>
        <v>498114</v>
      </c>
      <c r="L58" s="30"/>
      <c r="M58" s="85">
        <f>SUM(M55:M57)</f>
        <v>172658</v>
      </c>
      <c r="N58" s="50"/>
    </row>
    <row r="59" spans="1:14" ht="16.5" customHeight="1">
      <c r="A59" s="56"/>
      <c r="B59" s="67"/>
      <c r="C59" s="67"/>
      <c r="D59" s="68"/>
      <c r="E59" s="68"/>
      <c r="F59" s="26"/>
      <c r="G59" s="26"/>
      <c r="H59" s="31"/>
      <c r="I59" s="86"/>
      <c r="J59" s="31"/>
      <c r="K59" s="86"/>
      <c r="L59" s="31"/>
      <c r="M59" s="86"/>
      <c r="N59" s="51"/>
    </row>
    <row r="60" spans="1:14" ht="16.5" customHeight="1">
      <c r="A60" s="99">
        <f>A54+1</f>
        <v>10</v>
      </c>
      <c r="B60" s="69" t="s">
        <v>338</v>
      </c>
      <c r="C60" s="75">
        <v>850</v>
      </c>
      <c r="D60" s="64">
        <v>1</v>
      </c>
      <c r="E60" s="13" t="s">
        <v>16</v>
      </c>
      <c r="F60" s="22"/>
      <c r="G60" s="22"/>
      <c r="H60" s="80"/>
      <c r="I60" s="80"/>
      <c r="J60" s="80"/>
      <c r="K60" s="80"/>
      <c r="L60" s="80"/>
      <c r="M60" s="80"/>
      <c r="N60" s="52" t="s">
        <v>17</v>
      </c>
    </row>
    <row r="61" spans="1:14" ht="16.5" customHeight="1">
      <c r="A61" s="54"/>
      <c r="B61" s="15" t="s">
        <v>87</v>
      </c>
      <c r="C61" s="76">
        <v>850</v>
      </c>
      <c r="D61" s="16">
        <v>1</v>
      </c>
      <c r="E61" s="17" t="s">
        <v>334</v>
      </c>
      <c r="F61" s="24">
        <f t="shared" ref="F61:F72" si="41">H61+J61+L61</f>
        <v>1829290</v>
      </c>
      <c r="G61" s="24">
        <f t="shared" ref="G61:G72" si="42">F61*D61</f>
        <v>1829290</v>
      </c>
      <c r="H61" s="29">
        <v>0</v>
      </c>
      <c r="I61" s="84">
        <f t="shared" ref="I61:I72" si="43">TRUNC(H61*$D61,0)</f>
        <v>0</v>
      </c>
      <c r="J61" s="29">
        <f>K80</f>
        <v>1237172</v>
      </c>
      <c r="K61" s="84">
        <f t="shared" ref="K61:K72" si="44">TRUNC(J61*$D61,0)</f>
        <v>1237172</v>
      </c>
      <c r="L61" s="29">
        <f>M80</f>
        <v>592118</v>
      </c>
      <c r="M61" s="84">
        <f t="shared" ref="M61:M72" si="45">TRUNC(L61*$D61,0)</f>
        <v>592118</v>
      </c>
      <c r="N61" s="49">
        <f>A75</f>
        <v>11</v>
      </c>
    </row>
    <row r="62" spans="1:14" ht="16.5" customHeight="1">
      <c r="A62" s="54"/>
      <c r="B62" s="15" t="s">
        <v>339</v>
      </c>
      <c r="C62" s="77">
        <v>1200</v>
      </c>
      <c r="D62" s="16">
        <v>63.22</v>
      </c>
      <c r="E62" s="17" t="s">
        <v>321</v>
      </c>
      <c r="F62" s="24">
        <f t="shared" si="41"/>
        <v>70528</v>
      </c>
      <c r="G62" s="24">
        <f t="shared" si="42"/>
        <v>4458780.16</v>
      </c>
      <c r="H62" s="29"/>
      <c r="I62" s="84">
        <f t="shared" si="43"/>
        <v>0</v>
      </c>
      <c r="J62" s="29"/>
      <c r="K62" s="84">
        <f t="shared" si="44"/>
        <v>0</v>
      </c>
      <c r="L62" s="29">
        <f>중기사용료목록!$G$19</f>
        <v>70528</v>
      </c>
      <c r="M62" s="84">
        <f t="shared" si="45"/>
        <v>4458780</v>
      </c>
      <c r="N62" s="49"/>
    </row>
    <row r="63" spans="1:14" ht="16.5" customHeight="1">
      <c r="A63" s="54"/>
      <c r="B63" s="15" t="s">
        <v>88</v>
      </c>
      <c r="C63" s="76">
        <v>850</v>
      </c>
      <c r="D63" s="16">
        <v>2.9</v>
      </c>
      <c r="E63" s="17" t="s">
        <v>321</v>
      </c>
      <c r="F63" s="24">
        <f t="shared" si="41"/>
        <v>19725</v>
      </c>
      <c r="G63" s="24">
        <f t="shared" si="42"/>
        <v>57202.5</v>
      </c>
      <c r="H63" s="29">
        <f>I85</f>
        <v>19725</v>
      </c>
      <c r="I63" s="84">
        <f t="shared" si="43"/>
        <v>57202</v>
      </c>
      <c r="J63" s="29">
        <v>0</v>
      </c>
      <c r="K63" s="84">
        <f t="shared" si="44"/>
        <v>0</v>
      </c>
      <c r="L63" s="29">
        <v>0</v>
      </c>
      <c r="M63" s="84">
        <f t="shared" si="45"/>
        <v>0</v>
      </c>
      <c r="N63" s="49">
        <f>A82</f>
        <v>12</v>
      </c>
    </row>
    <row r="64" spans="1:14" ht="16.5" customHeight="1">
      <c r="A64" s="54"/>
      <c r="B64" s="15" t="s">
        <v>89</v>
      </c>
      <c r="C64" s="77">
        <v>1200</v>
      </c>
      <c r="D64" s="16">
        <v>1</v>
      </c>
      <c r="E64" s="17" t="s">
        <v>334</v>
      </c>
      <c r="F64" s="24">
        <f t="shared" si="41"/>
        <v>95237</v>
      </c>
      <c r="G64" s="24">
        <f t="shared" si="42"/>
        <v>95237</v>
      </c>
      <c r="H64" s="29">
        <f>I91</f>
        <v>2773</v>
      </c>
      <c r="I64" s="84">
        <f t="shared" si="43"/>
        <v>2773</v>
      </c>
      <c r="J64" s="29">
        <f>K91</f>
        <v>92464</v>
      </c>
      <c r="K64" s="84">
        <f t="shared" si="44"/>
        <v>92464</v>
      </c>
      <c r="L64" s="29">
        <v>0</v>
      </c>
      <c r="M64" s="84">
        <f t="shared" si="45"/>
        <v>0</v>
      </c>
      <c r="N64" s="49">
        <f>A87</f>
        <v>13</v>
      </c>
    </row>
    <row r="65" spans="1:14" ht="16.5" customHeight="1">
      <c r="A65" s="54"/>
      <c r="B65" s="15" t="s">
        <v>90</v>
      </c>
      <c r="C65" s="76">
        <v>850</v>
      </c>
      <c r="D65" s="16">
        <v>1</v>
      </c>
      <c r="E65" s="17" t="s">
        <v>334</v>
      </c>
      <c r="F65" s="24">
        <f t="shared" si="41"/>
        <v>549831</v>
      </c>
      <c r="G65" s="24">
        <f t="shared" si="42"/>
        <v>549831</v>
      </c>
      <c r="H65" s="29">
        <v>0</v>
      </c>
      <c r="I65" s="84">
        <f t="shared" si="43"/>
        <v>0</v>
      </c>
      <c r="J65" s="29">
        <f>K98</f>
        <v>372377</v>
      </c>
      <c r="K65" s="84">
        <f t="shared" si="44"/>
        <v>372377</v>
      </c>
      <c r="L65" s="29">
        <f>M98</f>
        <v>177454</v>
      </c>
      <c r="M65" s="84">
        <f t="shared" si="45"/>
        <v>177454</v>
      </c>
      <c r="N65" s="49">
        <f>A93</f>
        <v>14</v>
      </c>
    </row>
    <row r="66" spans="1:14" ht="16.5" customHeight="1">
      <c r="A66" s="54"/>
      <c r="B66" s="15" t="s">
        <v>340</v>
      </c>
      <c r="C66" s="77">
        <v>1200</v>
      </c>
      <c r="D66" s="16">
        <v>63.22</v>
      </c>
      <c r="E66" s="17" t="s">
        <v>321</v>
      </c>
      <c r="F66" s="24">
        <f t="shared" si="41"/>
        <v>3612</v>
      </c>
      <c r="G66" s="24">
        <f t="shared" si="42"/>
        <v>228350.63999999998</v>
      </c>
      <c r="H66" s="29"/>
      <c r="I66" s="84">
        <f t="shared" si="43"/>
        <v>0</v>
      </c>
      <c r="J66" s="29"/>
      <c r="K66" s="84">
        <f t="shared" si="44"/>
        <v>0</v>
      </c>
      <c r="L66" s="29">
        <f>중기사용료목록!$G$46</f>
        <v>3612</v>
      </c>
      <c r="M66" s="84">
        <f t="shared" si="45"/>
        <v>228350</v>
      </c>
      <c r="N66" s="49"/>
    </row>
    <row r="67" spans="1:14" ht="16.5" customHeight="1">
      <c r="A67" s="54"/>
      <c r="B67" s="15" t="s">
        <v>91</v>
      </c>
      <c r="C67" s="76">
        <v>850</v>
      </c>
      <c r="D67" s="16">
        <v>0.87</v>
      </c>
      <c r="E67" s="17" t="s">
        <v>321</v>
      </c>
      <c r="F67" s="24">
        <f t="shared" si="41"/>
        <v>19725</v>
      </c>
      <c r="G67" s="24">
        <f t="shared" si="42"/>
        <v>17160.75</v>
      </c>
      <c r="H67" s="29">
        <f>I103</f>
        <v>19725</v>
      </c>
      <c r="I67" s="84">
        <f t="shared" si="43"/>
        <v>17160</v>
      </c>
      <c r="J67" s="29">
        <v>0</v>
      </c>
      <c r="K67" s="84">
        <f t="shared" si="44"/>
        <v>0</v>
      </c>
      <c r="L67" s="29">
        <v>0</v>
      </c>
      <c r="M67" s="84">
        <f t="shared" si="45"/>
        <v>0</v>
      </c>
      <c r="N67" s="49">
        <f>A100</f>
        <v>15</v>
      </c>
    </row>
    <row r="68" spans="1:14" ht="16.5" customHeight="1">
      <c r="A68" s="54"/>
      <c r="B68" s="15" t="s">
        <v>92</v>
      </c>
      <c r="C68" s="76">
        <v>850</v>
      </c>
      <c r="D68" s="16">
        <v>1</v>
      </c>
      <c r="E68" s="17" t="s">
        <v>334</v>
      </c>
      <c r="F68" s="24">
        <f t="shared" si="41"/>
        <v>732250</v>
      </c>
      <c r="G68" s="24">
        <f t="shared" si="42"/>
        <v>732250</v>
      </c>
      <c r="H68" s="29">
        <v>0</v>
      </c>
      <c r="I68" s="84">
        <f t="shared" si="43"/>
        <v>0</v>
      </c>
      <c r="J68" s="29">
        <f>K110</f>
        <v>495041</v>
      </c>
      <c r="K68" s="84">
        <f t="shared" si="44"/>
        <v>495041</v>
      </c>
      <c r="L68" s="29">
        <f>M110</f>
        <v>237209</v>
      </c>
      <c r="M68" s="84">
        <f t="shared" si="45"/>
        <v>237209</v>
      </c>
      <c r="N68" s="49">
        <f>A105</f>
        <v>16</v>
      </c>
    </row>
    <row r="69" spans="1:14" ht="16.5" customHeight="1">
      <c r="A69" s="54"/>
      <c r="B69" s="15" t="s">
        <v>93</v>
      </c>
      <c r="C69" s="76">
        <v>850</v>
      </c>
      <c r="D69" s="16">
        <v>1</v>
      </c>
      <c r="E69" s="17" t="s">
        <v>334</v>
      </c>
      <c r="F69" s="24">
        <f t="shared" si="41"/>
        <v>217660</v>
      </c>
      <c r="G69" s="24">
        <f t="shared" si="42"/>
        <v>217660</v>
      </c>
      <c r="H69" s="29">
        <v>0</v>
      </c>
      <c r="I69" s="84">
        <f t="shared" si="43"/>
        <v>0</v>
      </c>
      <c r="J69" s="29">
        <f>K117</f>
        <v>147041</v>
      </c>
      <c r="K69" s="84">
        <f t="shared" si="44"/>
        <v>147041</v>
      </c>
      <c r="L69" s="29">
        <f>M117</f>
        <v>70619</v>
      </c>
      <c r="M69" s="84">
        <f t="shared" si="45"/>
        <v>70619</v>
      </c>
      <c r="N69" s="49">
        <f>A112</f>
        <v>17</v>
      </c>
    </row>
    <row r="70" spans="1:14" ht="16.5" customHeight="1">
      <c r="A70" s="54"/>
      <c r="B70" s="70" t="s">
        <v>94</v>
      </c>
      <c r="C70" s="76">
        <v>850</v>
      </c>
      <c r="D70" s="16">
        <v>1</v>
      </c>
      <c r="E70" s="17" t="s">
        <v>334</v>
      </c>
      <c r="F70" s="24">
        <f t="shared" si="41"/>
        <v>15000000</v>
      </c>
      <c r="G70" s="24">
        <f t="shared" si="42"/>
        <v>15000000</v>
      </c>
      <c r="H70" s="29">
        <f>자재견적서!AR20</f>
        <v>15000000</v>
      </c>
      <c r="I70" s="84">
        <f t="shared" si="43"/>
        <v>15000000</v>
      </c>
      <c r="J70" s="29"/>
      <c r="K70" s="84">
        <f t="shared" si="44"/>
        <v>0</v>
      </c>
      <c r="L70" s="29"/>
      <c r="M70" s="84">
        <f t="shared" si="45"/>
        <v>0</v>
      </c>
      <c r="N70" s="49"/>
    </row>
    <row r="71" spans="1:14" ht="16.5" customHeight="1">
      <c r="A71" s="54"/>
      <c r="B71" s="70" t="s">
        <v>95</v>
      </c>
      <c r="C71" s="76">
        <v>850</v>
      </c>
      <c r="D71" s="16">
        <v>1</v>
      </c>
      <c r="E71" s="17" t="s">
        <v>296</v>
      </c>
      <c r="F71" s="24">
        <f t="shared" si="41"/>
        <v>624000</v>
      </c>
      <c r="G71" s="24">
        <f t="shared" si="42"/>
        <v>624000</v>
      </c>
      <c r="H71" s="29">
        <f>자재견적서!AR21</f>
        <v>624000</v>
      </c>
      <c r="I71" s="84">
        <f t="shared" si="43"/>
        <v>624000</v>
      </c>
      <c r="J71" s="29"/>
      <c r="K71" s="84">
        <f t="shared" si="44"/>
        <v>0</v>
      </c>
      <c r="L71" s="29"/>
      <c r="M71" s="84">
        <f t="shared" si="45"/>
        <v>0</v>
      </c>
      <c r="N71" s="49"/>
    </row>
    <row r="72" spans="1:14" ht="16.5" customHeight="1">
      <c r="A72" s="54"/>
      <c r="B72" s="70" t="s">
        <v>96</v>
      </c>
      <c r="C72" s="76">
        <v>850</v>
      </c>
      <c r="D72" s="16">
        <v>2</v>
      </c>
      <c r="E72" s="17" t="s">
        <v>334</v>
      </c>
      <c r="F72" s="24">
        <f t="shared" si="41"/>
        <v>550910</v>
      </c>
      <c r="G72" s="24">
        <f t="shared" si="42"/>
        <v>1101820</v>
      </c>
      <c r="H72" s="29">
        <f>자재견적서!$AR$19</f>
        <v>550910</v>
      </c>
      <c r="I72" s="84">
        <f t="shared" si="43"/>
        <v>1101820</v>
      </c>
      <c r="J72" s="29"/>
      <c r="K72" s="84">
        <f t="shared" si="44"/>
        <v>0</v>
      </c>
      <c r="L72" s="29"/>
      <c r="M72" s="84">
        <f t="shared" si="45"/>
        <v>0</v>
      </c>
      <c r="N72" s="49"/>
    </row>
    <row r="73" spans="1:14" ht="16.5" customHeight="1">
      <c r="A73" s="55"/>
      <c r="B73" s="18" t="s">
        <v>332</v>
      </c>
      <c r="C73" s="19"/>
      <c r="D73" s="20"/>
      <c r="E73" s="20"/>
      <c r="F73" s="25"/>
      <c r="G73" s="25">
        <f>SUM(G61:G72)</f>
        <v>24911582.050000001</v>
      </c>
      <c r="H73" s="30"/>
      <c r="I73" s="85">
        <f>SUM(I61:I72)</f>
        <v>16802955</v>
      </c>
      <c r="J73" s="30"/>
      <c r="K73" s="85">
        <f>SUM(K61:K72)</f>
        <v>2344095</v>
      </c>
      <c r="L73" s="30"/>
      <c r="M73" s="85">
        <f>SUM(M61:M72)</f>
        <v>5764530</v>
      </c>
      <c r="N73" s="50"/>
    </row>
    <row r="74" spans="1:14" ht="16.5" customHeight="1">
      <c r="A74" s="56"/>
      <c r="B74" s="67"/>
      <c r="C74" s="67"/>
      <c r="D74" s="68"/>
      <c r="E74" s="68"/>
      <c r="F74" s="26"/>
      <c r="G74" s="26"/>
      <c r="H74" s="31"/>
      <c r="I74" s="86"/>
      <c r="J74" s="31"/>
      <c r="K74" s="86"/>
      <c r="L74" s="31"/>
      <c r="M74" s="86"/>
      <c r="N74" s="51"/>
    </row>
    <row r="75" spans="1:14" ht="16.5" customHeight="1">
      <c r="A75" s="99">
        <f>A60+1</f>
        <v>11</v>
      </c>
      <c r="B75" s="69" t="s">
        <v>341</v>
      </c>
      <c r="C75" s="75">
        <v>850</v>
      </c>
      <c r="D75" s="64">
        <v>1</v>
      </c>
      <c r="E75" s="13" t="s">
        <v>16</v>
      </c>
      <c r="F75" s="22"/>
      <c r="G75" s="22"/>
      <c r="H75" s="80"/>
      <c r="I75" s="80"/>
      <c r="J75" s="80"/>
      <c r="K75" s="80"/>
      <c r="L75" s="80"/>
      <c r="M75" s="80"/>
      <c r="N75" s="52" t="s">
        <v>17</v>
      </c>
    </row>
    <row r="76" spans="1:14" ht="16.5" customHeight="1">
      <c r="A76" s="54"/>
      <c r="B76" s="70" t="s">
        <v>97</v>
      </c>
      <c r="C76" s="66"/>
      <c r="D76" s="16">
        <v>0.36</v>
      </c>
      <c r="E76" s="17" t="s">
        <v>317</v>
      </c>
      <c r="F76" s="24">
        <f t="shared" ref="F76:F79" si="46">H76+J76+L76</f>
        <v>173995</v>
      </c>
      <c r="G76" s="24">
        <f t="shared" ref="G76:G79" si="47">F76*D76</f>
        <v>62638.2</v>
      </c>
      <c r="H76" s="29"/>
      <c r="I76" s="84">
        <f t="shared" ref="I76:I79" si="48">TRUNC(H76*$D76,0)</f>
        <v>0</v>
      </c>
      <c r="J76" s="29">
        <f>노임!$D$7</f>
        <v>173995</v>
      </c>
      <c r="K76" s="84">
        <f t="shared" ref="K76:K79" si="49">TRUNC(J76*$D76,0)</f>
        <v>62638</v>
      </c>
      <c r="L76" s="29"/>
      <c r="M76" s="84">
        <f t="shared" ref="M76:M79" si="50">TRUNC(L76*$D76,0)</f>
        <v>0</v>
      </c>
      <c r="N76" s="49"/>
    </row>
    <row r="77" spans="1:14" ht="16.5" customHeight="1">
      <c r="A77" s="54"/>
      <c r="B77" s="70" t="s">
        <v>77</v>
      </c>
      <c r="C77" s="66"/>
      <c r="D77" s="16">
        <v>2.92</v>
      </c>
      <c r="E77" s="17" t="s">
        <v>311</v>
      </c>
      <c r="F77" s="24">
        <f t="shared" si="46"/>
        <v>262580</v>
      </c>
      <c r="G77" s="24">
        <f t="shared" si="47"/>
        <v>766733.6</v>
      </c>
      <c r="H77" s="29"/>
      <c r="I77" s="84">
        <f t="shared" si="48"/>
        <v>0</v>
      </c>
      <c r="J77" s="29">
        <f>노임!$D$8</f>
        <v>262580</v>
      </c>
      <c r="K77" s="84">
        <f t="shared" si="49"/>
        <v>766733</v>
      </c>
      <c r="L77" s="29"/>
      <c r="M77" s="84">
        <f t="shared" si="50"/>
        <v>0</v>
      </c>
      <c r="N77" s="49"/>
    </row>
    <row r="78" spans="1:14" ht="16.5" customHeight="1">
      <c r="A78" s="54"/>
      <c r="B78" s="70" t="s">
        <v>70</v>
      </c>
      <c r="C78" s="66"/>
      <c r="D78" s="16">
        <v>2.37</v>
      </c>
      <c r="E78" s="17" t="s">
        <v>311</v>
      </c>
      <c r="F78" s="24">
        <f t="shared" si="46"/>
        <v>172068</v>
      </c>
      <c r="G78" s="24">
        <f t="shared" si="47"/>
        <v>407801.16000000003</v>
      </c>
      <c r="H78" s="29"/>
      <c r="I78" s="84">
        <f t="shared" si="48"/>
        <v>0</v>
      </c>
      <c r="J78" s="29">
        <f>노임!$D$4</f>
        <v>172068</v>
      </c>
      <c r="K78" s="84">
        <f t="shared" si="49"/>
        <v>407801</v>
      </c>
      <c r="L78" s="29"/>
      <c r="M78" s="84">
        <f t="shared" si="50"/>
        <v>0</v>
      </c>
      <c r="N78" s="49"/>
    </row>
    <row r="79" spans="1:14" ht="16.5" customHeight="1">
      <c r="A79" s="54"/>
      <c r="B79" s="70" t="s">
        <v>337</v>
      </c>
      <c r="C79" s="73">
        <v>10</v>
      </c>
      <c r="D79" s="16">
        <v>6.54</v>
      </c>
      <c r="E79" s="17" t="s">
        <v>319</v>
      </c>
      <c r="F79" s="24">
        <f t="shared" si="46"/>
        <v>90538</v>
      </c>
      <c r="G79" s="24">
        <f t="shared" si="47"/>
        <v>592118.52</v>
      </c>
      <c r="H79" s="29"/>
      <c r="I79" s="84">
        <f t="shared" si="48"/>
        <v>0</v>
      </c>
      <c r="J79" s="29"/>
      <c r="K79" s="84">
        <f t="shared" si="49"/>
        <v>0</v>
      </c>
      <c r="L79" s="29">
        <f>경비!$G$4</f>
        <v>90538</v>
      </c>
      <c r="M79" s="84">
        <f t="shared" si="50"/>
        <v>592118</v>
      </c>
      <c r="N79" s="49"/>
    </row>
    <row r="80" spans="1:14" ht="16.5" customHeight="1">
      <c r="A80" s="55"/>
      <c r="B80" s="18" t="s">
        <v>332</v>
      </c>
      <c r="C80" s="19"/>
      <c r="D80" s="20"/>
      <c r="E80" s="20"/>
      <c r="F80" s="25"/>
      <c r="G80" s="25">
        <f>SUM(G76:G79)</f>
        <v>1829291.48</v>
      </c>
      <c r="H80" s="30"/>
      <c r="I80" s="85">
        <f>SUM(I76:I79)</f>
        <v>0</v>
      </c>
      <c r="J80" s="30"/>
      <c r="K80" s="85">
        <f>SUM(K76:K79)</f>
        <v>1237172</v>
      </c>
      <c r="L80" s="30"/>
      <c r="M80" s="85">
        <f>SUM(M76:M79)</f>
        <v>592118</v>
      </c>
      <c r="N80" s="50"/>
    </row>
    <row r="81" spans="1:14" ht="16.5" customHeight="1">
      <c r="A81" s="56"/>
      <c r="B81" s="67"/>
      <c r="C81" s="67"/>
      <c r="D81" s="68"/>
      <c r="E81" s="68"/>
      <c r="F81" s="26"/>
      <c r="G81" s="26"/>
      <c r="H81" s="31"/>
      <c r="I81" s="86"/>
      <c r="J81" s="31"/>
      <c r="K81" s="86"/>
      <c r="L81" s="31"/>
      <c r="M81" s="86"/>
      <c r="N81" s="51"/>
    </row>
    <row r="82" spans="1:14" ht="16.5" customHeight="1">
      <c r="A82" s="99">
        <f>A75+1</f>
        <v>12</v>
      </c>
      <c r="B82" s="69" t="s">
        <v>342</v>
      </c>
      <c r="C82" s="75">
        <v>850</v>
      </c>
      <c r="D82" s="64">
        <v>1</v>
      </c>
      <c r="E82" s="13" t="s">
        <v>321</v>
      </c>
      <c r="F82" s="22"/>
      <c r="G82" s="22"/>
      <c r="H82" s="80"/>
      <c r="I82" s="80"/>
      <c r="J82" s="80"/>
      <c r="K82" s="80"/>
      <c r="L82" s="80"/>
      <c r="M82" s="80"/>
      <c r="N82" s="52" t="s">
        <v>17</v>
      </c>
    </row>
    <row r="83" spans="1:14" ht="16.5" customHeight="1">
      <c r="A83" s="54"/>
      <c r="B83" s="70" t="s">
        <v>98</v>
      </c>
      <c r="C83" s="76" t="s">
        <v>343</v>
      </c>
      <c r="D83" s="16">
        <v>10.3</v>
      </c>
      <c r="E83" s="17" t="s">
        <v>344</v>
      </c>
      <c r="F83" s="24">
        <f t="shared" ref="F83:F84" si="51">H83+J83+L83</f>
        <v>1596</v>
      </c>
      <c r="G83" s="24">
        <f t="shared" ref="G83:G84" si="52">F83*D83</f>
        <v>16438.800000000003</v>
      </c>
      <c r="H83" s="29">
        <f>자재!$D$9</f>
        <v>1596</v>
      </c>
      <c r="I83" s="84">
        <f t="shared" ref="I83:I84" si="53">TRUNC(H83*$D83,0)</f>
        <v>16438</v>
      </c>
      <c r="J83" s="29"/>
      <c r="K83" s="84">
        <f t="shared" ref="K83:K84" si="54">TRUNC(J83*$D83,0)</f>
        <v>0</v>
      </c>
      <c r="L83" s="29"/>
      <c r="M83" s="84">
        <f t="shared" ref="M83:M84" si="55">TRUNC(L83*$D83,0)</f>
        <v>0</v>
      </c>
      <c r="N83" s="49"/>
    </row>
    <row r="84" spans="1:14" ht="16.5" customHeight="1">
      <c r="A84" s="54"/>
      <c r="B84" s="70" t="s">
        <v>99</v>
      </c>
      <c r="C84" s="66" t="s">
        <v>345</v>
      </c>
      <c r="D84" s="21">
        <v>0.2</v>
      </c>
      <c r="E84" s="17"/>
      <c r="F84" s="24">
        <f t="shared" si="51"/>
        <v>16438</v>
      </c>
      <c r="G84" s="24">
        <f t="shared" si="52"/>
        <v>3287.6000000000004</v>
      </c>
      <c r="H84" s="29">
        <f>I83</f>
        <v>16438</v>
      </c>
      <c r="I84" s="84">
        <f t="shared" si="53"/>
        <v>3287</v>
      </c>
      <c r="J84" s="29"/>
      <c r="K84" s="84">
        <f t="shared" si="54"/>
        <v>0</v>
      </c>
      <c r="L84" s="29"/>
      <c r="M84" s="84">
        <f t="shared" si="55"/>
        <v>0</v>
      </c>
      <c r="N84" s="49"/>
    </row>
    <row r="85" spans="1:14" ht="16.5" customHeight="1">
      <c r="A85" s="55"/>
      <c r="B85" s="18" t="s">
        <v>332</v>
      </c>
      <c r="C85" s="19"/>
      <c r="D85" s="20"/>
      <c r="E85" s="20"/>
      <c r="F85" s="25"/>
      <c r="G85" s="25">
        <f>SUM(G83:G84)</f>
        <v>19726.400000000001</v>
      </c>
      <c r="H85" s="30"/>
      <c r="I85" s="85">
        <f>SUM(I83:I84)</f>
        <v>19725</v>
      </c>
      <c r="J85" s="30"/>
      <c r="K85" s="85">
        <f>SUM(K83:K84)</f>
        <v>0</v>
      </c>
      <c r="L85" s="30"/>
      <c r="M85" s="85">
        <f>SUM(M83:M84)</f>
        <v>0</v>
      </c>
      <c r="N85" s="50"/>
    </row>
    <row r="86" spans="1:14" ht="16.5" customHeight="1">
      <c r="A86" s="56"/>
      <c r="B86" s="67"/>
      <c r="C86" s="67"/>
      <c r="D86" s="68"/>
      <c r="E86" s="68"/>
      <c r="F86" s="26"/>
      <c r="G86" s="26"/>
      <c r="H86" s="31"/>
      <c r="I86" s="86"/>
      <c r="J86" s="31"/>
      <c r="K86" s="86"/>
      <c r="L86" s="31"/>
      <c r="M86" s="86"/>
      <c r="N86" s="51"/>
    </row>
    <row r="87" spans="1:14" ht="16.5" customHeight="1">
      <c r="A87" s="99">
        <f>A82+1</f>
        <v>13</v>
      </c>
      <c r="B87" s="69" t="s">
        <v>346</v>
      </c>
      <c r="C87" s="63">
        <v>1200</v>
      </c>
      <c r="D87" s="64">
        <v>1</v>
      </c>
      <c r="E87" s="13" t="s">
        <v>321</v>
      </c>
      <c r="F87" s="22"/>
      <c r="G87" s="22"/>
      <c r="H87" s="80"/>
      <c r="I87" s="80"/>
      <c r="J87" s="80"/>
      <c r="K87" s="80"/>
      <c r="L87" s="80"/>
      <c r="M87" s="80"/>
      <c r="N87" s="52" t="s">
        <v>17</v>
      </c>
    </row>
    <row r="88" spans="1:14" ht="16.5" customHeight="1">
      <c r="A88" s="54"/>
      <c r="B88" s="70" t="s">
        <v>100</v>
      </c>
      <c r="C88" s="76"/>
      <c r="D88" s="16">
        <v>0.25</v>
      </c>
      <c r="E88" s="17" t="s">
        <v>311</v>
      </c>
      <c r="F88" s="24">
        <f t="shared" ref="F88:F90" si="56">H88+J88+L88</f>
        <v>197788</v>
      </c>
      <c r="G88" s="24">
        <f t="shared" ref="G88:G90" si="57">F88*D88</f>
        <v>49447</v>
      </c>
      <c r="H88" s="29"/>
      <c r="I88" s="84">
        <f t="shared" ref="I88:I90" si="58">TRUNC(H88*$D88,0)</f>
        <v>0</v>
      </c>
      <c r="J88" s="29">
        <f>노임!$D$13</f>
        <v>197788</v>
      </c>
      <c r="K88" s="84">
        <f t="shared" ref="K88:K90" si="59">TRUNC(J88*$D88,0)</f>
        <v>49447</v>
      </c>
      <c r="L88" s="29"/>
      <c r="M88" s="84">
        <f t="shared" ref="M88:M90" si="60">TRUNC(L88*$D88,0)</f>
        <v>0</v>
      </c>
      <c r="N88" s="49"/>
    </row>
    <row r="89" spans="1:14" ht="16.5" customHeight="1">
      <c r="A89" s="54"/>
      <c r="B89" s="70" t="s">
        <v>70</v>
      </c>
      <c r="C89" s="66"/>
      <c r="D89" s="16">
        <v>0.25</v>
      </c>
      <c r="E89" s="17" t="s">
        <v>311</v>
      </c>
      <c r="F89" s="24">
        <f t="shared" si="56"/>
        <v>172068</v>
      </c>
      <c r="G89" s="24">
        <f t="shared" si="57"/>
        <v>43017</v>
      </c>
      <c r="H89" s="29"/>
      <c r="I89" s="84">
        <f t="shared" si="58"/>
        <v>0</v>
      </c>
      <c r="J89" s="29">
        <f>노임!$D$4</f>
        <v>172068</v>
      </c>
      <c r="K89" s="84">
        <f t="shared" si="59"/>
        <v>43017</v>
      </c>
      <c r="L89" s="29"/>
      <c r="M89" s="84">
        <f t="shared" si="60"/>
        <v>0</v>
      </c>
      <c r="N89" s="49"/>
    </row>
    <row r="90" spans="1:14" ht="16.5" customHeight="1">
      <c r="A90" s="54"/>
      <c r="B90" s="70" t="s">
        <v>347</v>
      </c>
      <c r="C90" s="66" t="s">
        <v>348</v>
      </c>
      <c r="D90" s="21">
        <v>0.03</v>
      </c>
      <c r="E90" s="17"/>
      <c r="F90" s="24">
        <f t="shared" si="56"/>
        <v>92464</v>
      </c>
      <c r="G90" s="24">
        <f t="shared" si="57"/>
        <v>2773.92</v>
      </c>
      <c r="H90" s="29">
        <f>K91</f>
        <v>92464</v>
      </c>
      <c r="I90" s="84">
        <f t="shared" si="58"/>
        <v>2773</v>
      </c>
      <c r="J90" s="29"/>
      <c r="K90" s="84">
        <f t="shared" si="59"/>
        <v>0</v>
      </c>
      <c r="L90" s="29"/>
      <c r="M90" s="84">
        <f t="shared" si="60"/>
        <v>0</v>
      </c>
      <c r="N90" s="49"/>
    </row>
    <row r="91" spans="1:14" ht="16.5" customHeight="1">
      <c r="A91" s="55"/>
      <c r="B91" s="18" t="s">
        <v>332</v>
      </c>
      <c r="C91" s="19"/>
      <c r="D91" s="20"/>
      <c r="E91" s="20"/>
      <c r="F91" s="25"/>
      <c r="G91" s="25">
        <f>SUM(G88:G90)</f>
        <v>95237.92</v>
      </c>
      <c r="H91" s="30"/>
      <c r="I91" s="85">
        <f>SUM(I88:I90)</f>
        <v>2773</v>
      </c>
      <c r="J91" s="30"/>
      <c r="K91" s="85">
        <f>SUM(K88:K90)</f>
        <v>92464</v>
      </c>
      <c r="L91" s="30"/>
      <c r="M91" s="85">
        <f>SUM(M88:M90)</f>
        <v>0</v>
      </c>
      <c r="N91" s="50"/>
    </row>
    <row r="92" spans="1:14" ht="16.5" customHeight="1">
      <c r="A92" s="56"/>
      <c r="B92" s="67"/>
      <c r="C92" s="67"/>
      <c r="D92" s="68"/>
      <c r="E92" s="68"/>
      <c r="F92" s="26"/>
      <c r="G92" s="26"/>
      <c r="H92" s="31"/>
      <c r="I92" s="86"/>
      <c r="J92" s="31"/>
      <c r="K92" s="86"/>
      <c r="L92" s="31"/>
      <c r="M92" s="86"/>
      <c r="N92" s="51"/>
    </row>
    <row r="93" spans="1:14" ht="16.5" customHeight="1">
      <c r="A93" s="99">
        <f>A87+1</f>
        <v>14</v>
      </c>
      <c r="B93" s="69" t="s">
        <v>349</v>
      </c>
      <c r="C93" s="75">
        <v>850</v>
      </c>
      <c r="D93" s="64">
        <v>1</v>
      </c>
      <c r="E93" s="13" t="s">
        <v>16</v>
      </c>
      <c r="F93" s="22"/>
      <c r="G93" s="22"/>
      <c r="H93" s="80"/>
      <c r="I93" s="80"/>
      <c r="J93" s="80"/>
      <c r="K93" s="80"/>
      <c r="L93" s="80"/>
      <c r="M93" s="80"/>
      <c r="N93" s="52" t="s">
        <v>17</v>
      </c>
    </row>
    <row r="94" spans="1:14" ht="16.5" customHeight="1">
      <c r="A94" s="54"/>
      <c r="B94" s="70" t="s">
        <v>97</v>
      </c>
      <c r="C94" s="66"/>
      <c r="D94" s="16">
        <v>0.11</v>
      </c>
      <c r="E94" s="17" t="s">
        <v>311</v>
      </c>
      <c r="F94" s="24">
        <f t="shared" ref="F94:F97" si="61">H94+J94+L94</f>
        <v>173995</v>
      </c>
      <c r="G94" s="24">
        <f t="shared" ref="G94:G97" si="62">F94*D94</f>
        <v>19139.45</v>
      </c>
      <c r="H94" s="29"/>
      <c r="I94" s="84">
        <f t="shared" ref="I94:I97" si="63">TRUNC(H94*$D94,0)</f>
        <v>0</v>
      </c>
      <c r="J94" s="29">
        <f>노임!$D$7</f>
        <v>173995</v>
      </c>
      <c r="K94" s="84">
        <f t="shared" ref="K94:K97" si="64">TRUNC(J94*$D94,0)</f>
        <v>19139</v>
      </c>
      <c r="L94" s="29"/>
      <c r="M94" s="84">
        <f t="shared" ref="M94:M97" si="65">TRUNC(L94*$D94,0)</f>
        <v>0</v>
      </c>
      <c r="N94" s="49"/>
    </row>
    <row r="95" spans="1:14" ht="16.5" customHeight="1">
      <c r="A95" s="54"/>
      <c r="B95" s="70" t="s">
        <v>77</v>
      </c>
      <c r="C95" s="66"/>
      <c r="D95" s="16">
        <v>0.88</v>
      </c>
      <c r="E95" s="17" t="s">
        <v>311</v>
      </c>
      <c r="F95" s="24">
        <f t="shared" si="61"/>
        <v>262580</v>
      </c>
      <c r="G95" s="24">
        <f t="shared" si="62"/>
        <v>231070.4</v>
      </c>
      <c r="H95" s="29"/>
      <c r="I95" s="84">
        <f t="shared" si="63"/>
        <v>0</v>
      </c>
      <c r="J95" s="29">
        <f>노임!$D$8</f>
        <v>262580</v>
      </c>
      <c r="K95" s="84">
        <f t="shared" si="64"/>
        <v>231070</v>
      </c>
      <c r="L95" s="29"/>
      <c r="M95" s="84">
        <f t="shared" si="65"/>
        <v>0</v>
      </c>
      <c r="N95" s="49"/>
    </row>
    <row r="96" spans="1:14" ht="16.5" customHeight="1">
      <c r="A96" s="54"/>
      <c r="B96" s="70" t="s">
        <v>70</v>
      </c>
      <c r="C96" s="66"/>
      <c r="D96" s="16">
        <v>0.71</v>
      </c>
      <c r="E96" s="17" t="s">
        <v>311</v>
      </c>
      <c r="F96" s="24">
        <f t="shared" si="61"/>
        <v>172068</v>
      </c>
      <c r="G96" s="24">
        <f t="shared" si="62"/>
        <v>122168.28</v>
      </c>
      <c r="H96" s="29"/>
      <c r="I96" s="84">
        <f t="shared" si="63"/>
        <v>0</v>
      </c>
      <c r="J96" s="29">
        <f>노임!$D$4</f>
        <v>172068</v>
      </c>
      <c r="K96" s="84">
        <f t="shared" si="64"/>
        <v>122168</v>
      </c>
      <c r="L96" s="29"/>
      <c r="M96" s="84">
        <f t="shared" si="65"/>
        <v>0</v>
      </c>
      <c r="N96" s="49"/>
    </row>
    <row r="97" spans="1:14" ht="16.5" customHeight="1">
      <c r="A97" s="54"/>
      <c r="B97" s="70" t="s">
        <v>101</v>
      </c>
      <c r="C97" s="73">
        <v>10</v>
      </c>
      <c r="D97" s="16">
        <v>1.96</v>
      </c>
      <c r="E97" s="17" t="s">
        <v>321</v>
      </c>
      <c r="F97" s="24">
        <f t="shared" si="61"/>
        <v>90538</v>
      </c>
      <c r="G97" s="24">
        <f t="shared" si="62"/>
        <v>177454.48</v>
      </c>
      <c r="H97" s="29"/>
      <c r="I97" s="84">
        <f t="shared" si="63"/>
        <v>0</v>
      </c>
      <c r="J97" s="29"/>
      <c r="K97" s="84">
        <f t="shared" si="64"/>
        <v>0</v>
      </c>
      <c r="L97" s="29">
        <f>경비!$G$4</f>
        <v>90538</v>
      </c>
      <c r="M97" s="84">
        <f t="shared" si="65"/>
        <v>177454</v>
      </c>
      <c r="N97" s="49"/>
    </row>
    <row r="98" spans="1:14" ht="16.5" customHeight="1">
      <c r="A98" s="55"/>
      <c r="B98" s="18" t="s">
        <v>332</v>
      </c>
      <c r="C98" s="19"/>
      <c r="D98" s="20"/>
      <c r="E98" s="20"/>
      <c r="F98" s="25"/>
      <c r="G98" s="25">
        <f>SUM(G94:G97)</f>
        <v>549832.61</v>
      </c>
      <c r="H98" s="30"/>
      <c r="I98" s="85">
        <f>SUM(I94:I97)</f>
        <v>0</v>
      </c>
      <c r="J98" s="30"/>
      <c r="K98" s="85">
        <f>SUM(K94:K97)</f>
        <v>372377</v>
      </c>
      <c r="L98" s="30"/>
      <c r="M98" s="85">
        <f>SUM(M94:M97)</f>
        <v>177454</v>
      </c>
      <c r="N98" s="50"/>
    </row>
    <row r="99" spans="1:14" ht="16.5" customHeight="1">
      <c r="A99" s="56"/>
      <c r="B99" s="67"/>
      <c r="C99" s="67"/>
      <c r="D99" s="68"/>
      <c r="E99" s="68"/>
      <c r="F99" s="26"/>
      <c r="G99" s="26"/>
      <c r="H99" s="31"/>
      <c r="I99" s="86"/>
      <c r="J99" s="31"/>
      <c r="K99" s="86"/>
      <c r="L99" s="31"/>
      <c r="M99" s="86"/>
      <c r="N99" s="51"/>
    </row>
    <row r="100" spans="1:14" ht="16.5" customHeight="1">
      <c r="A100" s="99">
        <f>A93+1</f>
        <v>15</v>
      </c>
      <c r="B100" s="69" t="s">
        <v>350</v>
      </c>
      <c r="C100" s="75">
        <v>850</v>
      </c>
      <c r="D100" s="64">
        <v>1</v>
      </c>
      <c r="E100" s="13" t="s">
        <v>321</v>
      </c>
      <c r="F100" s="22"/>
      <c r="G100" s="22"/>
      <c r="H100" s="80"/>
      <c r="I100" s="80"/>
      <c r="J100" s="80"/>
      <c r="K100" s="80"/>
      <c r="L100" s="80"/>
      <c r="M100" s="80"/>
      <c r="N100" s="52" t="s">
        <v>17</v>
      </c>
    </row>
    <row r="101" spans="1:14" ht="16.5" customHeight="1">
      <c r="A101" s="54"/>
      <c r="B101" s="70" t="s">
        <v>98</v>
      </c>
      <c r="C101" s="76" t="s">
        <v>343</v>
      </c>
      <c r="D101" s="16">
        <v>10.3</v>
      </c>
      <c r="E101" s="17" t="s">
        <v>344</v>
      </c>
      <c r="F101" s="24">
        <f t="shared" ref="F101:F102" si="66">H101+J101+L101</f>
        <v>1596</v>
      </c>
      <c r="G101" s="24">
        <f t="shared" ref="G101:G102" si="67">F101*D101</f>
        <v>16438.800000000003</v>
      </c>
      <c r="H101" s="29">
        <f>자재!$D$9</f>
        <v>1596</v>
      </c>
      <c r="I101" s="84">
        <f t="shared" ref="I101:I102" si="68">TRUNC(H101*$D101,0)</f>
        <v>16438</v>
      </c>
      <c r="J101" s="29"/>
      <c r="K101" s="84">
        <f t="shared" ref="K101:K102" si="69">TRUNC(J101*$D101,0)</f>
        <v>0</v>
      </c>
      <c r="L101" s="29"/>
      <c r="M101" s="84">
        <f t="shared" ref="M101:M102" si="70">TRUNC(L101*$D101,0)</f>
        <v>0</v>
      </c>
      <c r="N101" s="49"/>
    </row>
    <row r="102" spans="1:14" ht="16.5" customHeight="1">
      <c r="A102" s="54"/>
      <c r="B102" s="70" t="s">
        <v>99</v>
      </c>
      <c r="C102" s="66" t="s">
        <v>345</v>
      </c>
      <c r="D102" s="21">
        <v>0.2</v>
      </c>
      <c r="E102" s="17"/>
      <c r="F102" s="24">
        <f t="shared" si="66"/>
        <v>16438</v>
      </c>
      <c r="G102" s="24">
        <f t="shared" si="67"/>
        <v>3287.6000000000004</v>
      </c>
      <c r="H102" s="29">
        <f>I101</f>
        <v>16438</v>
      </c>
      <c r="I102" s="84">
        <f t="shared" si="68"/>
        <v>3287</v>
      </c>
      <c r="J102" s="29"/>
      <c r="K102" s="84">
        <f t="shared" si="69"/>
        <v>0</v>
      </c>
      <c r="L102" s="29"/>
      <c r="M102" s="84">
        <f t="shared" si="70"/>
        <v>0</v>
      </c>
      <c r="N102" s="49"/>
    </row>
    <row r="103" spans="1:14" ht="16.5" customHeight="1">
      <c r="A103" s="55"/>
      <c r="B103" s="18" t="s">
        <v>332</v>
      </c>
      <c r="C103" s="19"/>
      <c r="D103" s="20"/>
      <c r="E103" s="20"/>
      <c r="F103" s="25"/>
      <c r="G103" s="25">
        <f>SUM(G101:G102)</f>
        <v>19726.400000000001</v>
      </c>
      <c r="H103" s="30"/>
      <c r="I103" s="85">
        <f>SUM(I101:I102)</f>
        <v>19725</v>
      </c>
      <c r="J103" s="30"/>
      <c r="K103" s="85">
        <f>SUM(K101:K102)</f>
        <v>0</v>
      </c>
      <c r="L103" s="30"/>
      <c r="M103" s="85">
        <f>SUM(M101:M102)</f>
        <v>0</v>
      </c>
      <c r="N103" s="50"/>
    </row>
    <row r="104" spans="1:14" ht="16.5" customHeight="1">
      <c r="A104" s="56"/>
      <c r="B104" s="67"/>
      <c r="C104" s="67"/>
      <c r="D104" s="68"/>
      <c r="E104" s="68"/>
      <c r="F104" s="26"/>
      <c r="G104" s="26"/>
      <c r="H104" s="31"/>
      <c r="I104" s="86"/>
      <c r="J104" s="31"/>
      <c r="K104" s="86"/>
      <c r="L104" s="31"/>
      <c r="M104" s="86"/>
      <c r="N104" s="51"/>
    </row>
    <row r="105" spans="1:14" ht="16.5" customHeight="1">
      <c r="A105" s="99">
        <f>A100+1</f>
        <v>16</v>
      </c>
      <c r="B105" s="69" t="s">
        <v>351</v>
      </c>
      <c r="C105" s="75">
        <v>850</v>
      </c>
      <c r="D105" s="64">
        <v>1</v>
      </c>
      <c r="E105" s="13" t="s">
        <v>16</v>
      </c>
      <c r="F105" s="22"/>
      <c r="G105" s="22"/>
      <c r="H105" s="80"/>
      <c r="I105" s="80"/>
      <c r="J105" s="80"/>
      <c r="K105" s="80"/>
      <c r="L105" s="80"/>
      <c r="M105" s="80"/>
      <c r="N105" s="52" t="s">
        <v>17</v>
      </c>
    </row>
    <row r="106" spans="1:14" ht="16.5" customHeight="1">
      <c r="A106" s="54"/>
      <c r="B106" s="70" t="s">
        <v>97</v>
      </c>
      <c r="C106" s="66"/>
      <c r="D106" s="16">
        <v>0.14000000000000001</v>
      </c>
      <c r="E106" s="17" t="s">
        <v>311</v>
      </c>
      <c r="F106" s="24">
        <f t="shared" ref="F106:F109" si="71">H106+J106+L106</f>
        <v>173995</v>
      </c>
      <c r="G106" s="24">
        <f t="shared" ref="G106:G109" si="72">F106*D106</f>
        <v>24359.300000000003</v>
      </c>
      <c r="H106" s="29"/>
      <c r="I106" s="84">
        <f t="shared" ref="I106:I109" si="73">TRUNC(H106*$D106,0)</f>
        <v>0</v>
      </c>
      <c r="J106" s="29">
        <f>노임!$D$7</f>
        <v>173995</v>
      </c>
      <c r="K106" s="84">
        <f t="shared" ref="K106:K109" si="74">TRUNC(J106*$D106,0)</f>
        <v>24359</v>
      </c>
      <c r="L106" s="29"/>
      <c r="M106" s="84">
        <f t="shared" ref="M106:M109" si="75">TRUNC(L106*$D106,0)</f>
        <v>0</v>
      </c>
      <c r="N106" s="49"/>
    </row>
    <row r="107" spans="1:14" ht="16.5" customHeight="1">
      <c r="A107" s="54"/>
      <c r="B107" s="70" t="s">
        <v>77</v>
      </c>
      <c r="C107" s="66"/>
      <c r="D107" s="16">
        <v>1.17</v>
      </c>
      <c r="E107" s="17" t="s">
        <v>311</v>
      </c>
      <c r="F107" s="24">
        <f t="shared" si="71"/>
        <v>262580</v>
      </c>
      <c r="G107" s="24">
        <f t="shared" si="72"/>
        <v>307218.59999999998</v>
      </c>
      <c r="H107" s="29"/>
      <c r="I107" s="84">
        <f t="shared" si="73"/>
        <v>0</v>
      </c>
      <c r="J107" s="29">
        <f>노임!$D$8</f>
        <v>262580</v>
      </c>
      <c r="K107" s="84">
        <f t="shared" si="74"/>
        <v>307218</v>
      </c>
      <c r="L107" s="29"/>
      <c r="M107" s="84">
        <f t="shared" si="75"/>
        <v>0</v>
      </c>
      <c r="N107" s="49"/>
    </row>
    <row r="108" spans="1:14" ht="16.5" customHeight="1">
      <c r="A108" s="54"/>
      <c r="B108" s="70" t="s">
        <v>70</v>
      </c>
      <c r="C108" s="66"/>
      <c r="D108" s="16">
        <v>0.95</v>
      </c>
      <c r="E108" s="17" t="s">
        <v>311</v>
      </c>
      <c r="F108" s="24">
        <f t="shared" si="71"/>
        <v>172068</v>
      </c>
      <c r="G108" s="24">
        <f t="shared" si="72"/>
        <v>163464.6</v>
      </c>
      <c r="H108" s="29"/>
      <c r="I108" s="84">
        <f t="shared" si="73"/>
        <v>0</v>
      </c>
      <c r="J108" s="29">
        <f>노임!$D$4</f>
        <v>172068</v>
      </c>
      <c r="K108" s="84">
        <f t="shared" si="74"/>
        <v>163464</v>
      </c>
      <c r="L108" s="29"/>
      <c r="M108" s="84">
        <f t="shared" si="75"/>
        <v>0</v>
      </c>
      <c r="N108" s="49"/>
    </row>
    <row r="109" spans="1:14" ht="16.5" customHeight="1">
      <c r="A109" s="54"/>
      <c r="B109" s="70" t="s">
        <v>337</v>
      </c>
      <c r="C109" s="73">
        <v>10</v>
      </c>
      <c r="D109" s="16">
        <v>2.62</v>
      </c>
      <c r="E109" s="17" t="s">
        <v>321</v>
      </c>
      <c r="F109" s="24">
        <f t="shared" si="71"/>
        <v>90538</v>
      </c>
      <c r="G109" s="24">
        <f t="shared" si="72"/>
        <v>237209.56</v>
      </c>
      <c r="H109" s="29"/>
      <c r="I109" s="84">
        <f t="shared" si="73"/>
        <v>0</v>
      </c>
      <c r="J109" s="29"/>
      <c r="K109" s="84">
        <f t="shared" si="74"/>
        <v>0</v>
      </c>
      <c r="L109" s="29">
        <f>경비!$G$4</f>
        <v>90538</v>
      </c>
      <c r="M109" s="84">
        <f t="shared" si="75"/>
        <v>237209</v>
      </c>
      <c r="N109" s="49"/>
    </row>
    <row r="110" spans="1:14" ht="16.5" customHeight="1">
      <c r="A110" s="55"/>
      <c r="B110" s="18" t="s">
        <v>332</v>
      </c>
      <c r="C110" s="19"/>
      <c r="D110" s="20"/>
      <c r="E110" s="20"/>
      <c r="F110" s="25"/>
      <c r="G110" s="25">
        <f>SUM(G106:G109)</f>
        <v>732252.06</v>
      </c>
      <c r="H110" s="30"/>
      <c r="I110" s="85">
        <f>SUM(I106:I109)</f>
        <v>0</v>
      </c>
      <c r="J110" s="30"/>
      <c r="K110" s="85">
        <f>SUM(K106:K109)</f>
        <v>495041</v>
      </c>
      <c r="L110" s="30"/>
      <c r="M110" s="85">
        <f>SUM(M106:M109)</f>
        <v>237209</v>
      </c>
      <c r="N110" s="50"/>
    </row>
    <row r="111" spans="1:14" ht="16.5" customHeight="1">
      <c r="A111" s="56"/>
      <c r="B111" s="67"/>
      <c r="C111" s="67"/>
      <c r="D111" s="68"/>
      <c r="E111" s="68"/>
      <c r="F111" s="26"/>
      <c r="G111" s="26"/>
      <c r="H111" s="31"/>
      <c r="I111" s="86"/>
      <c r="J111" s="31"/>
      <c r="K111" s="86"/>
      <c r="L111" s="31"/>
      <c r="M111" s="86"/>
      <c r="N111" s="51"/>
    </row>
    <row r="112" spans="1:14" ht="16.5" customHeight="1">
      <c r="A112" s="99">
        <f>A105+1</f>
        <v>17</v>
      </c>
      <c r="B112" s="69" t="s">
        <v>352</v>
      </c>
      <c r="C112" s="75">
        <v>850</v>
      </c>
      <c r="D112" s="64">
        <v>1</v>
      </c>
      <c r="E112" s="13" t="s">
        <v>16</v>
      </c>
      <c r="F112" s="22"/>
      <c r="G112" s="22"/>
      <c r="H112" s="80"/>
      <c r="I112" s="80"/>
      <c r="J112" s="80"/>
      <c r="K112" s="80"/>
      <c r="L112" s="80"/>
      <c r="M112" s="80"/>
      <c r="N112" s="52" t="s">
        <v>17</v>
      </c>
    </row>
    <row r="113" spans="1:14" ht="16.5" customHeight="1">
      <c r="A113" s="54"/>
      <c r="B113" s="70" t="s">
        <v>97</v>
      </c>
      <c r="C113" s="66"/>
      <c r="D113" s="16">
        <v>0.04</v>
      </c>
      <c r="E113" s="17" t="s">
        <v>311</v>
      </c>
      <c r="F113" s="24">
        <f t="shared" ref="F113:F116" si="76">H113+J113+L113</f>
        <v>173995</v>
      </c>
      <c r="G113" s="24">
        <f t="shared" ref="G113:G116" si="77">F113*D113</f>
        <v>6959.8</v>
      </c>
      <c r="H113" s="29"/>
      <c r="I113" s="84">
        <f t="shared" ref="I113:I116" si="78">TRUNC(H113*$D113,0)</f>
        <v>0</v>
      </c>
      <c r="J113" s="29">
        <f>노임!$D$7</f>
        <v>173995</v>
      </c>
      <c r="K113" s="84">
        <f t="shared" ref="K113:K116" si="79">TRUNC(J113*$D113,0)</f>
        <v>6959</v>
      </c>
      <c r="L113" s="29"/>
      <c r="M113" s="84">
        <f t="shared" ref="M113:M116" si="80">TRUNC(L113*$D113,0)</f>
        <v>0</v>
      </c>
      <c r="N113" s="49"/>
    </row>
    <row r="114" spans="1:14" ht="16.5" customHeight="1">
      <c r="A114" s="54"/>
      <c r="B114" s="70" t="s">
        <v>77</v>
      </c>
      <c r="C114" s="66"/>
      <c r="D114" s="16">
        <v>0.35</v>
      </c>
      <c r="E114" s="17" t="s">
        <v>317</v>
      </c>
      <c r="F114" s="24">
        <f t="shared" si="76"/>
        <v>262580</v>
      </c>
      <c r="G114" s="24">
        <f t="shared" si="77"/>
        <v>91903</v>
      </c>
      <c r="H114" s="29"/>
      <c r="I114" s="84">
        <f t="shared" si="78"/>
        <v>0</v>
      </c>
      <c r="J114" s="29">
        <f>노임!$D$8</f>
        <v>262580</v>
      </c>
      <c r="K114" s="84">
        <f t="shared" si="79"/>
        <v>91903</v>
      </c>
      <c r="L114" s="29"/>
      <c r="M114" s="84">
        <f t="shared" si="80"/>
        <v>0</v>
      </c>
      <c r="N114" s="49"/>
    </row>
    <row r="115" spans="1:14" ht="16.5" customHeight="1">
      <c r="A115" s="54"/>
      <c r="B115" s="70" t="s">
        <v>70</v>
      </c>
      <c r="C115" s="66"/>
      <c r="D115" s="16">
        <v>0.28000000000000003</v>
      </c>
      <c r="E115" s="17" t="s">
        <v>311</v>
      </c>
      <c r="F115" s="24">
        <f t="shared" si="76"/>
        <v>172068</v>
      </c>
      <c r="G115" s="24">
        <f t="shared" si="77"/>
        <v>48179.040000000008</v>
      </c>
      <c r="H115" s="29"/>
      <c r="I115" s="84">
        <f t="shared" si="78"/>
        <v>0</v>
      </c>
      <c r="J115" s="29">
        <f>노임!$D$4</f>
        <v>172068</v>
      </c>
      <c r="K115" s="84">
        <f t="shared" si="79"/>
        <v>48179</v>
      </c>
      <c r="L115" s="29"/>
      <c r="M115" s="84">
        <f t="shared" si="80"/>
        <v>0</v>
      </c>
      <c r="N115" s="49"/>
    </row>
    <row r="116" spans="1:14" ht="16.5" customHeight="1">
      <c r="A116" s="54"/>
      <c r="B116" s="70" t="s">
        <v>101</v>
      </c>
      <c r="C116" s="73">
        <v>10</v>
      </c>
      <c r="D116" s="16">
        <v>0.78</v>
      </c>
      <c r="E116" s="17" t="s">
        <v>321</v>
      </c>
      <c r="F116" s="24">
        <f t="shared" si="76"/>
        <v>90538</v>
      </c>
      <c r="G116" s="24">
        <f t="shared" si="77"/>
        <v>70619.64</v>
      </c>
      <c r="H116" s="29"/>
      <c r="I116" s="84">
        <f t="shared" si="78"/>
        <v>0</v>
      </c>
      <c r="J116" s="29"/>
      <c r="K116" s="84">
        <f t="shared" si="79"/>
        <v>0</v>
      </c>
      <c r="L116" s="29">
        <f>경비!$G$4</f>
        <v>90538</v>
      </c>
      <c r="M116" s="84">
        <f t="shared" si="80"/>
        <v>70619</v>
      </c>
      <c r="N116" s="49"/>
    </row>
    <row r="117" spans="1:14" ht="16.5" customHeight="1">
      <c r="A117" s="55"/>
      <c r="B117" s="18" t="s">
        <v>332</v>
      </c>
      <c r="C117" s="19"/>
      <c r="D117" s="20"/>
      <c r="E117" s="20"/>
      <c r="F117" s="25"/>
      <c r="G117" s="25">
        <f>SUM(G113:G116)</f>
        <v>217661.48000000004</v>
      </c>
      <c r="H117" s="30"/>
      <c r="I117" s="85">
        <f>SUM(I113:I116)</f>
        <v>0</v>
      </c>
      <c r="J117" s="30"/>
      <c r="K117" s="85">
        <f>SUM(K113:K116)</f>
        <v>147041</v>
      </c>
      <c r="L117" s="30"/>
      <c r="M117" s="85">
        <f>SUM(M113:M116)</f>
        <v>70619</v>
      </c>
      <c r="N117" s="50"/>
    </row>
    <row r="118" spans="1:14" ht="16.5" customHeight="1">
      <c r="A118" s="56"/>
      <c r="B118" s="67"/>
      <c r="C118" s="67"/>
      <c r="D118" s="68"/>
      <c r="E118" s="68"/>
      <c r="F118" s="26"/>
      <c r="G118" s="26"/>
      <c r="H118" s="31"/>
      <c r="I118" s="86"/>
      <c r="J118" s="31"/>
      <c r="K118" s="86"/>
      <c r="L118" s="31"/>
      <c r="M118" s="86"/>
      <c r="N118" s="51"/>
    </row>
    <row r="119" spans="1:14" ht="16.5" customHeight="1">
      <c r="A119" s="99">
        <f>A112+1</f>
        <v>18</v>
      </c>
      <c r="B119" s="69" t="s">
        <v>353</v>
      </c>
      <c r="C119" s="78">
        <v>100</v>
      </c>
      <c r="D119" s="64">
        <v>1</v>
      </c>
      <c r="E119" s="13" t="s">
        <v>16</v>
      </c>
      <c r="F119" s="22"/>
      <c r="G119" s="22"/>
      <c r="H119" s="80"/>
      <c r="I119" s="80"/>
      <c r="J119" s="80"/>
      <c r="K119" s="80"/>
      <c r="L119" s="80"/>
      <c r="M119" s="80"/>
      <c r="N119" s="52" t="s">
        <v>17</v>
      </c>
    </row>
    <row r="120" spans="1:14" ht="16.5" customHeight="1">
      <c r="A120" s="54"/>
      <c r="B120" s="15" t="s">
        <v>102</v>
      </c>
      <c r="C120" s="79">
        <v>100</v>
      </c>
      <c r="D120" s="16">
        <v>1</v>
      </c>
      <c r="E120" s="17" t="s">
        <v>334</v>
      </c>
      <c r="F120" s="24">
        <f t="shared" ref="F120:F126" si="81">H120+J120+L120</f>
        <v>210523</v>
      </c>
      <c r="G120" s="24">
        <f t="shared" ref="G120:G126" si="82">F120*D120</f>
        <v>210523</v>
      </c>
      <c r="H120" s="29">
        <v>0</v>
      </c>
      <c r="I120" s="84">
        <f t="shared" ref="I120:I126" si="83">TRUNC(H120*$D120,0)</f>
        <v>0</v>
      </c>
      <c r="J120" s="29">
        <f>K135</f>
        <v>135281</v>
      </c>
      <c r="K120" s="84">
        <f t="shared" ref="K120:K126" si="84">TRUNC(J120*$D120,0)</f>
        <v>135281</v>
      </c>
      <c r="L120" s="29">
        <f>M135</f>
        <v>75242</v>
      </c>
      <c r="M120" s="84">
        <f t="shared" ref="M120:M126" si="85">TRUNC(L120*$D120,0)</f>
        <v>75242</v>
      </c>
      <c r="N120" s="49">
        <f>A129</f>
        <v>19</v>
      </c>
    </row>
    <row r="121" spans="1:14" ht="16.5" customHeight="1">
      <c r="A121" s="54"/>
      <c r="B121" s="15" t="s">
        <v>103</v>
      </c>
      <c r="C121" s="79">
        <v>100</v>
      </c>
      <c r="D121" s="16">
        <v>1</v>
      </c>
      <c r="E121" s="17" t="s">
        <v>334</v>
      </c>
      <c r="F121" s="24">
        <f t="shared" si="81"/>
        <v>35678</v>
      </c>
      <c r="G121" s="24">
        <f t="shared" si="82"/>
        <v>35678</v>
      </c>
      <c r="H121" s="29">
        <f>I142</f>
        <v>686</v>
      </c>
      <c r="I121" s="84">
        <f t="shared" si="83"/>
        <v>686</v>
      </c>
      <c r="J121" s="29">
        <f>K142</f>
        <v>31078</v>
      </c>
      <c r="K121" s="84">
        <f t="shared" si="84"/>
        <v>31078</v>
      </c>
      <c r="L121" s="29">
        <f>M142</f>
        <v>3914</v>
      </c>
      <c r="M121" s="84">
        <f t="shared" si="85"/>
        <v>3914</v>
      </c>
      <c r="N121" s="49">
        <f>A137</f>
        <v>20</v>
      </c>
    </row>
    <row r="122" spans="1:14" ht="16.5" customHeight="1">
      <c r="A122" s="54"/>
      <c r="B122" s="15" t="s">
        <v>104</v>
      </c>
      <c r="C122" s="79">
        <v>100</v>
      </c>
      <c r="D122" s="16">
        <v>1</v>
      </c>
      <c r="E122" s="17" t="s">
        <v>334</v>
      </c>
      <c r="F122" s="24">
        <f t="shared" si="81"/>
        <v>74701</v>
      </c>
      <c r="G122" s="24">
        <f t="shared" si="82"/>
        <v>74701</v>
      </c>
      <c r="H122" s="29">
        <v>0</v>
      </c>
      <c r="I122" s="84">
        <f t="shared" si="83"/>
        <v>0</v>
      </c>
      <c r="J122" s="29">
        <f>K149</f>
        <v>69370</v>
      </c>
      <c r="K122" s="84">
        <f t="shared" si="84"/>
        <v>69370</v>
      </c>
      <c r="L122" s="29">
        <f>M149</f>
        <v>5331</v>
      </c>
      <c r="M122" s="84">
        <f t="shared" si="85"/>
        <v>5331</v>
      </c>
      <c r="N122" s="49">
        <f>A144</f>
        <v>21</v>
      </c>
    </row>
    <row r="123" spans="1:14" ht="16.5" customHeight="1">
      <c r="A123" s="54"/>
      <c r="B123" s="70" t="s">
        <v>105</v>
      </c>
      <c r="C123" s="79">
        <v>100</v>
      </c>
      <c r="D123" s="16">
        <v>1</v>
      </c>
      <c r="E123" s="17" t="s">
        <v>334</v>
      </c>
      <c r="F123" s="24">
        <f t="shared" si="81"/>
        <v>150000</v>
      </c>
      <c r="G123" s="24">
        <f t="shared" si="82"/>
        <v>150000</v>
      </c>
      <c r="H123" s="29">
        <f>자재견적서!$AR$25</f>
        <v>150000</v>
      </c>
      <c r="I123" s="84">
        <f t="shared" si="83"/>
        <v>150000</v>
      </c>
      <c r="J123" s="29"/>
      <c r="K123" s="84">
        <f t="shared" si="84"/>
        <v>0</v>
      </c>
      <c r="L123" s="29"/>
      <c r="M123" s="84">
        <f t="shared" si="85"/>
        <v>0</v>
      </c>
      <c r="N123" s="49"/>
    </row>
    <row r="124" spans="1:14" ht="16.5" customHeight="1">
      <c r="A124" s="54"/>
      <c r="B124" s="70" t="s">
        <v>106</v>
      </c>
      <c r="C124" s="79">
        <v>100</v>
      </c>
      <c r="D124" s="16">
        <v>1</v>
      </c>
      <c r="E124" s="17" t="s">
        <v>334</v>
      </c>
      <c r="F124" s="24">
        <f t="shared" si="81"/>
        <v>250000</v>
      </c>
      <c r="G124" s="24">
        <f t="shared" si="82"/>
        <v>250000</v>
      </c>
      <c r="H124" s="29">
        <f>자재견적서!$AR$26</f>
        <v>250000</v>
      </c>
      <c r="I124" s="84">
        <f t="shared" si="83"/>
        <v>250000</v>
      </c>
      <c r="J124" s="29"/>
      <c r="K124" s="84">
        <f t="shared" si="84"/>
        <v>0</v>
      </c>
      <c r="L124" s="29"/>
      <c r="M124" s="84">
        <f t="shared" si="85"/>
        <v>0</v>
      </c>
      <c r="N124" s="49"/>
    </row>
    <row r="125" spans="1:14" ht="16.5" customHeight="1">
      <c r="A125" s="54"/>
      <c r="B125" s="70" t="s">
        <v>107</v>
      </c>
      <c r="C125" s="79">
        <v>100</v>
      </c>
      <c r="D125" s="16">
        <v>1</v>
      </c>
      <c r="E125" s="17" t="s">
        <v>334</v>
      </c>
      <c r="F125" s="24">
        <f t="shared" si="81"/>
        <v>50000</v>
      </c>
      <c r="G125" s="24">
        <f t="shared" si="82"/>
        <v>50000</v>
      </c>
      <c r="H125" s="29">
        <f>자재견적서!$AR$27</f>
        <v>50000</v>
      </c>
      <c r="I125" s="84">
        <f t="shared" si="83"/>
        <v>50000</v>
      </c>
      <c r="J125" s="29"/>
      <c r="K125" s="84">
        <f t="shared" si="84"/>
        <v>0</v>
      </c>
      <c r="L125" s="29"/>
      <c r="M125" s="84">
        <f t="shared" si="85"/>
        <v>0</v>
      </c>
      <c r="N125" s="49"/>
    </row>
    <row r="126" spans="1:14" ht="16.5" customHeight="1">
      <c r="A126" s="54"/>
      <c r="B126" s="70" t="s">
        <v>108</v>
      </c>
      <c r="C126" s="79">
        <v>100</v>
      </c>
      <c r="D126" s="16">
        <v>1</v>
      </c>
      <c r="E126" s="17" t="s">
        <v>334</v>
      </c>
      <c r="F126" s="24">
        <f t="shared" si="81"/>
        <v>30000</v>
      </c>
      <c r="G126" s="24">
        <f t="shared" si="82"/>
        <v>30000</v>
      </c>
      <c r="H126" s="29">
        <f>자재견적서!$AR$28</f>
        <v>30000</v>
      </c>
      <c r="I126" s="84">
        <f t="shared" si="83"/>
        <v>30000</v>
      </c>
      <c r="J126" s="29"/>
      <c r="K126" s="84">
        <f t="shared" si="84"/>
        <v>0</v>
      </c>
      <c r="L126" s="29"/>
      <c r="M126" s="84">
        <f t="shared" si="85"/>
        <v>0</v>
      </c>
      <c r="N126" s="49"/>
    </row>
    <row r="127" spans="1:14" ht="16.5" customHeight="1">
      <c r="A127" s="55"/>
      <c r="B127" s="18" t="s">
        <v>332</v>
      </c>
      <c r="C127" s="19"/>
      <c r="D127" s="20"/>
      <c r="E127" s="20"/>
      <c r="F127" s="25"/>
      <c r="G127" s="25">
        <f>SUM(G120:G126)</f>
        <v>800902</v>
      </c>
      <c r="H127" s="30"/>
      <c r="I127" s="85">
        <f>SUM(I120:I126)</f>
        <v>480686</v>
      </c>
      <c r="J127" s="30"/>
      <c r="K127" s="85">
        <f>SUM(K120:K126)</f>
        <v>235729</v>
      </c>
      <c r="L127" s="30"/>
      <c r="M127" s="85">
        <f>SUM(M120:M126)</f>
        <v>84487</v>
      </c>
      <c r="N127" s="50"/>
    </row>
    <row r="128" spans="1:14" ht="16.5" customHeight="1">
      <c r="A128" s="56"/>
      <c r="B128" s="67"/>
      <c r="C128" s="67"/>
      <c r="D128" s="68"/>
      <c r="E128" s="68"/>
      <c r="F128" s="26"/>
      <c r="G128" s="26"/>
      <c r="H128" s="31"/>
      <c r="I128" s="86"/>
      <c r="J128" s="31"/>
      <c r="K128" s="86"/>
      <c r="L128" s="31"/>
      <c r="M128" s="86"/>
      <c r="N128" s="51"/>
    </row>
    <row r="129" spans="1:14" ht="16.5" customHeight="1">
      <c r="A129" s="99">
        <f>A119+1</f>
        <v>19</v>
      </c>
      <c r="B129" s="69" t="s">
        <v>354</v>
      </c>
      <c r="C129" s="78">
        <v>100</v>
      </c>
      <c r="D129" s="64">
        <v>1</v>
      </c>
      <c r="E129" s="13" t="s">
        <v>16</v>
      </c>
      <c r="F129" s="22"/>
      <c r="G129" s="22"/>
      <c r="H129" s="80"/>
      <c r="I129" s="80"/>
      <c r="J129" s="80"/>
      <c r="K129" s="80"/>
      <c r="L129" s="80"/>
      <c r="M129" s="80"/>
      <c r="N129" s="52" t="s">
        <v>17</v>
      </c>
    </row>
    <row r="130" spans="1:14" ht="16.5" customHeight="1">
      <c r="A130" s="54"/>
      <c r="B130" s="70" t="s">
        <v>97</v>
      </c>
      <c r="C130" s="66"/>
      <c r="D130" s="16">
        <v>0.09</v>
      </c>
      <c r="E130" s="17" t="s">
        <v>311</v>
      </c>
      <c r="F130" s="24">
        <f t="shared" ref="F130:F134" si="86">H130+J130+L130</f>
        <v>173995</v>
      </c>
      <c r="G130" s="24">
        <f t="shared" ref="G130:G134" si="87">F130*D130</f>
        <v>15659.55</v>
      </c>
      <c r="H130" s="29"/>
      <c r="I130" s="84">
        <f t="shared" ref="I130:I134" si="88">TRUNC(H130*$D130,0)</f>
        <v>0</v>
      </c>
      <c r="J130" s="29">
        <f>노임!$D$7</f>
        <v>173995</v>
      </c>
      <c r="K130" s="84">
        <f t="shared" ref="K130:K134" si="89">TRUNC(J130*$D130,0)</f>
        <v>15659</v>
      </c>
      <c r="L130" s="29"/>
      <c r="M130" s="84">
        <f t="shared" ref="M130:M134" si="90">TRUNC(L130*$D130,0)</f>
        <v>0</v>
      </c>
      <c r="N130" s="49"/>
    </row>
    <row r="131" spans="1:14" ht="16.5" customHeight="1">
      <c r="A131" s="54"/>
      <c r="B131" s="70" t="s">
        <v>77</v>
      </c>
      <c r="C131" s="66"/>
      <c r="D131" s="16">
        <v>0.2</v>
      </c>
      <c r="E131" s="17" t="s">
        <v>311</v>
      </c>
      <c r="F131" s="24">
        <f t="shared" si="86"/>
        <v>262580</v>
      </c>
      <c r="G131" s="24">
        <f t="shared" si="87"/>
        <v>52516</v>
      </c>
      <c r="H131" s="29"/>
      <c r="I131" s="84">
        <f t="shared" si="88"/>
        <v>0</v>
      </c>
      <c r="J131" s="29">
        <f>노임!$D$8</f>
        <v>262580</v>
      </c>
      <c r="K131" s="84">
        <f t="shared" si="89"/>
        <v>52516</v>
      </c>
      <c r="L131" s="29"/>
      <c r="M131" s="84">
        <f t="shared" si="90"/>
        <v>0</v>
      </c>
      <c r="N131" s="49"/>
    </row>
    <row r="132" spans="1:14" ht="16.5" customHeight="1">
      <c r="A132" s="54"/>
      <c r="B132" s="70" t="s">
        <v>70</v>
      </c>
      <c r="C132" s="66"/>
      <c r="D132" s="16">
        <v>0.39</v>
      </c>
      <c r="E132" s="17" t="s">
        <v>317</v>
      </c>
      <c r="F132" s="24">
        <f t="shared" si="86"/>
        <v>172068</v>
      </c>
      <c r="G132" s="24">
        <f t="shared" si="87"/>
        <v>67106.52</v>
      </c>
      <c r="H132" s="29"/>
      <c r="I132" s="84">
        <f t="shared" si="88"/>
        <v>0</v>
      </c>
      <c r="J132" s="29">
        <f>노임!$D$4</f>
        <v>172068</v>
      </c>
      <c r="K132" s="84">
        <f t="shared" si="89"/>
        <v>67106</v>
      </c>
      <c r="L132" s="29"/>
      <c r="M132" s="84">
        <f t="shared" si="90"/>
        <v>0</v>
      </c>
      <c r="N132" s="49"/>
    </row>
    <row r="133" spans="1:14" ht="16.5" customHeight="1">
      <c r="A133" s="54"/>
      <c r="B133" s="70" t="s">
        <v>109</v>
      </c>
      <c r="C133" s="73"/>
      <c r="D133" s="16">
        <v>0.75</v>
      </c>
      <c r="E133" s="17" t="s">
        <v>321</v>
      </c>
      <c r="F133" s="24">
        <f t="shared" si="86"/>
        <v>597</v>
      </c>
      <c r="G133" s="24">
        <f t="shared" si="87"/>
        <v>447.75</v>
      </c>
      <c r="H133" s="29"/>
      <c r="I133" s="84">
        <f t="shared" si="88"/>
        <v>0</v>
      </c>
      <c r="J133" s="29"/>
      <c r="K133" s="84">
        <f t="shared" si="89"/>
        <v>0</v>
      </c>
      <c r="L133" s="29">
        <f>경비!$G$10</f>
        <v>597</v>
      </c>
      <c r="M133" s="84">
        <f t="shared" si="90"/>
        <v>447</v>
      </c>
      <c r="N133" s="49"/>
    </row>
    <row r="134" spans="1:14" ht="16.5" customHeight="1">
      <c r="A134" s="54"/>
      <c r="B134" s="70" t="s">
        <v>101</v>
      </c>
      <c r="C134" s="73">
        <v>5</v>
      </c>
      <c r="D134" s="16">
        <v>1.08</v>
      </c>
      <c r="E134" s="17" t="s">
        <v>321</v>
      </c>
      <c r="F134" s="24">
        <f t="shared" si="86"/>
        <v>69255</v>
      </c>
      <c r="G134" s="24">
        <f t="shared" si="87"/>
        <v>74795.400000000009</v>
      </c>
      <c r="H134" s="29"/>
      <c r="I134" s="84">
        <f t="shared" si="88"/>
        <v>0</v>
      </c>
      <c r="J134" s="29"/>
      <c r="K134" s="84">
        <f t="shared" si="89"/>
        <v>0</v>
      </c>
      <c r="L134" s="29">
        <f>경비!$G$3</f>
        <v>69255</v>
      </c>
      <c r="M134" s="84">
        <f t="shared" si="90"/>
        <v>74795</v>
      </c>
      <c r="N134" s="49"/>
    </row>
    <row r="135" spans="1:14" ht="16.5" customHeight="1">
      <c r="A135" s="55"/>
      <c r="B135" s="18" t="s">
        <v>332</v>
      </c>
      <c r="C135" s="19"/>
      <c r="D135" s="20"/>
      <c r="E135" s="20"/>
      <c r="F135" s="25"/>
      <c r="G135" s="25">
        <f>SUM(G130:G134)</f>
        <v>210525.22000000003</v>
      </c>
      <c r="H135" s="30"/>
      <c r="I135" s="85">
        <f>SUM(I130:I134)</f>
        <v>0</v>
      </c>
      <c r="J135" s="30"/>
      <c r="K135" s="85">
        <f>SUM(K130:K134)</f>
        <v>135281</v>
      </c>
      <c r="L135" s="30"/>
      <c r="M135" s="85">
        <f>SUM(M130:M134)</f>
        <v>75242</v>
      </c>
      <c r="N135" s="50"/>
    </row>
    <row r="136" spans="1:14" ht="16.5" customHeight="1">
      <c r="A136" s="56"/>
      <c r="B136" s="67"/>
      <c r="C136" s="67"/>
      <c r="D136" s="68"/>
      <c r="E136" s="68"/>
      <c r="F136" s="26"/>
      <c r="G136" s="26"/>
      <c r="H136" s="31"/>
      <c r="I136" s="86"/>
      <c r="J136" s="31"/>
      <c r="K136" s="86"/>
      <c r="L136" s="31"/>
      <c r="M136" s="86"/>
      <c r="N136" s="51"/>
    </row>
    <row r="137" spans="1:14" ht="16.5" customHeight="1">
      <c r="A137" s="99">
        <f>A129+1</f>
        <v>20</v>
      </c>
      <c r="B137" s="69" t="s">
        <v>355</v>
      </c>
      <c r="C137" s="78">
        <v>100</v>
      </c>
      <c r="D137" s="64">
        <v>1</v>
      </c>
      <c r="E137" s="13" t="s">
        <v>16</v>
      </c>
      <c r="F137" s="22"/>
      <c r="G137" s="22"/>
      <c r="H137" s="80"/>
      <c r="I137" s="80"/>
      <c r="J137" s="80"/>
      <c r="K137" s="80"/>
      <c r="L137" s="80"/>
      <c r="M137" s="80"/>
      <c r="N137" s="52" t="s">
        <v>17</v>
      </c>
    </row>
    <row r="138" spans="1:14" ht="16.5" customHeight="1">
      <c r="A138" s="54"/>
      <c r="B138" s="70" t="s">
        <v>78</v>
      </c>
      <c r="C138" s="66"/>
      <c r="D138" s="16">
        <v>0.11</v>
      </c>
      <c r="E138" s="17" t="s">
        <v>311</v>
      </c>
      <c r="F138" s="24">
        <f t="shared" ref="F138:F141" si="91">H138+J138+L138</f>
        <v>282536</v>
      </c>
      <c r="G138" s="24">
        <f t="shared" ref="G138:G141" si="92">F138*D138</f>
        <v>31078.959999999999</v>
      </c>
      <c r="H138" s="29"/>
      <c r="I138" s="84">
        <f t="shared" ref="I138:I141" si="93">TRUNC(H138*$D138,0)</f>
        <v>0</v>
      </c>
      <c r="J138" s="29">
        <f>노임!$D$5</f>
        <v>282536</v>
      </c>
      <c r="K138" s="84">
        <f t="shared" ref="K138:K141" si="94">TRUNC(J138*$D138,0)</f>
        <v>31078</v>
      </c>
      <c r="L138" s="29"/>
      <c r="M138" s="84">
        <f t="shared" ref="M138:M141" si="95">TRUNC(L138*$D138,0)</f>
        <v>0</v>
      </c>
      <c r="N138" s="49"/>
    </row>
    <row r="139" spans="1:14" ht="16.5" customHeight="1">
      <c r="A139" s="54"/>
      <c r="B139" s="70" t="s">
        <v>79</v>
      </c>
      <c r="C139" s="66"/>
      <c r="D139" s="16">
        <v>7.0000000000000007E-2</v>
      </c>
      <c r="E139" s="17" t="s">
        <v>321</v>
      </c>
      <c r="F139" s="24">
        <f t="shared" si="91"/>
        <v>55756</v>
      </c>
      <c r="G139" s="24">
        <f t="shared" si="92"/>
        <v>3902.9200000000005</v>
      </c>
      <c r="H139" s="29"/>
      <c r="I139" s="84">
        <f t="shared" si="93"/>
        <v>0</v>
      </c>
      <c r="J139" s="29"/>
      <c r="K139" s="84">
        <f t="shared" si="94"/>
        <v>0</v>
      </c>
      <c r="L139" s="29">
        <f>경비!$G$8</f>
        <v>55756</v>
      </c>
      <c r="M139" s="84">
        <f t="shared" si="95"/>
        <v>3902</v>
      </c>
      <c r="N139" s="49"/>
    </row>
    <row r="140" spans="1:14" ht="16.5" customHeight="1">
      <c r="A140" s="54"/>
      <c r="B140" s="70" t="s">
        <v>80</v>
      </c>
      <c r="C140" s="73"/>
      <c r="D140" s="16">
        <v>0.14000000000000001</v>
      </c>
      <c r="E140" s="17" t="s">
        <v>321</v>
      </c>
      <c r="F140" s="24">
        <f t="shared" si="91"/>
        <v>92</v>
      </c>
      <c r="G140" s="24">
        <f t="shared" si="92"/>
        <v>12.88</v>
      </c>
      <c r="H140" s="29"/>
      <c r="I140" s="84">
        <f t="shared" si="93"/>
        <v>0</v>
      </c>
      <c r="J140" s="29"/>
      <c r="K140" s="84">
        <f t="shared" si="94"/>
        <v>0</v>
      </c>
      <c r="L140" s="29">
        <f>경비!$G$9</f>
        <v>92</v>
      </c>
      <c r="M140" s="84">
        <f t="shared" si="95"/>
        <v>12</v>
      </c>
      <c r="N140" s="49"/>
    </row>
    <row r="141" spans="1:14" ht="16.5" customHeight="1">
      <c r="A141" s="54"/>
      <c r="B141" s="70" t="s">
        <v>81</v>
      </c>
      <c r="C141" s="73"/>
      <c r="D141" s="16">
        <v>0.14000000000000001</v>
      </c>
      <c r="E141" s="17" t="s">
        <v>325</v>
      </c>
      <c r="F141" s="24">
        <f t="shared" si="91"/>
        <v>4900</v>
      </c>
      <c r="G141" s="24">
        <f t="shared" si="92"/>
        <v>686.00000000000011</v>
      </c>
      <c r="H141" s="29">
        <f>자재!$D$3</f>
        <v>4900</v>
      </c>
      <c r="I141" s="84">
        <f t="shared" si="93"/>
        <v>686</v>
      </c>
      <c r="J141" s="29"/>
      <c r="K141" s="84">
        <f t="shared" si="94"/>
        <v>0</v>
      </c>
      <c r="L141" s="29"/>
      <c r="M141" s="84">
        <f t="shared" si="95"/>
        <v>0</v>
      </c>
      <c r="N141" s="49"/>
    </row>
    <row r="142" spans="1:14" ht="16.5" customHeight="1">
      <c r="A142" s="55"/>
      <c r="B142" s="18" t="s">
        <v>332</v>
      </c>
      <c r="C142" s="19"/>
      <c r="D142" s="20"/>
      <c r="E142" s="20"/>
      <c r="F142" s="25"/>
      <c r="G142" s="25">
        <f>SUM(G138:G141)</f>
        <v>35680.759999999995</v>
      </c>
      <c r="H142" s="30"/>
      <c r="I142" s="85">
        <f>SUM(I138:I141)</f>
        <v>686</v>
      </c>
      <c r="J142" s="30"/>
      <c r="K142" s="85">
        <f>SUM(K138:K141)</f>
        <v>31078</v>
      </c>
      <c r="L142" s="30"/>
      <c r="M142" s="85">
        <f>SUM(M138:M141)</f>
        <v>3914</v>
      </c>
      <c r="N142" s="50"/>
    </row>
    <row r="143" spans="1:14" ht="16.5" customHeight="1">
      <c r="A143" s="56"/>
      <c r="B143" s="67"/>
      <c r="C143" s="67"/>
      <c r="D143" s="68"/>
      <c r="E143" s="68"/>
      <c r="F143" s="26"/>
      <c r="G143" s="26"/>
      <c r="H143" s="31"/>
      <c r="I143" s="86"/>
      <c r="J143" s="31"/>
      <c r="K143" s="86"/>
      <c r="L143" s="31"/>
      <c r="M143" s="86"/>
      <c r="N143" s="51"/>
    </row>
    <row r="144" spans="1:14" ht="16.5" customHeight="1">
      <c r="A144" s="99">
        <f>A137+1</f>
        <v>21</v>
      </c>
      <c r="B144" s="69" t="s">
        <v>356</v>
      </c>
      <c r="C144" s="78">
        <v>100</v>
      </c>
      <c r="D144" s="64">
        <v>1</v>
      </c>
      <c r="E144" s="13" t="s">
        <v>16</v>
      </c>
      <c r="F144" s="22"/>
      <c r="G144" s="22"/>
      <c r="H144" s="80"/>
      <c r="I144" s="80"/>
      <c r="J144" s="80"/>
      <c r="K144" s="80"/>
      <c r="L144" s="80"/>
      <c r="M144" s="80"/>
      <c r="N144" s="52" t="s">
        <v>17</v>
      </c>
    </row>
    <row r="145" spans="1:14" ht="16.5" customHeight="1">
      <c r="A145" s="54"/>
      <c r="B145" s="70" t="s">
        <v>97</v>
      </c>
      <c r="C145" s="66"/>
      <c r="D145" s="16">
        <v>0.05</v>
      </c>
      <c r="E145" s="17" t="s">
        <v>311</v>
      </c>
      <c r="F145" s="24">
        <f t="shared" ref="F145:F148" si="96">H145+J145+L145</f>
        <v>173995</v>
      </c>
      <c r="G145" s="24">
        <f t="shared" ref="G145:G148" si="97">F145*D145</f>
        <v>8699.75</v>
      </c>
      <c r="H145" s="29"/>
      <c r="I145" s="84">
        <f t="shared" ref="I145:I148" si="98">TRUNC(H145*$D145,0)</f>
        <v>0</v>
      </c>
      <c r="J145" s="29">
        <f>노임!$D$7</f>
        <v>173995</v>
      </c>
      <c r="K145" s="84">
        <f t="shared" ref="K145:K148" si="99">TRUNC(J145*$D145,0)</f>
        <v>8699</v>
      </c>
      <c r="L145" s="29"/>
      <c r="M145" s="84">
        <f t="shared" ref="M145:M148" si="100">TRUNC(L145*$D145,0)</f>
        <v>0</v>
      </c>
      <c r="N145" s="49"/>
    </row>
    <row r="146" spans="1:14" ht="16.5" customHeight="1">
      <c r="A146" s="54"/>
      <c r="B146" s="70" t="s">
        <v>77</v>
      </c>
      <c r="C146" s="66"/>
      <c r="D146" s="16">
        <v>0.1</v>
      </c>
      <c r="E146" s="17" t="s">
        <v>317</v>
      </c>
      <c r="F146" s="24">
        <f t="shared" si="96"/>
        <v>262580</v>
      </c>
      <c r="G146" s="24">
        <f t="shared" si="97"/>
        <v>26258</v>
      </c>
      <c r="H146" s="29"/>
      <c r="I146" s="84">
        <f t="shared" si="98"/>
        <v>0</v>
      </c>
      <c r="J146" s="29">
        <f>노임!$D$8</f>
        <v>262580</v>
      </c>
      <c r="K146" s="84">
        <f t="shared" si="99"/>
        <v>26258</v>
      </c>
      <c r="L146" s="29"/>
      <c r="M146" s="84">
        <f t="shared" si="100"/>
        <v>0</v>
      </c>
      <c r="N146" s="49"/>
    </row>
    <row r="147" spans="1:14" ht="16.5" customHeight="1">
      <c r="A147" s="54"/>
      <c r="B147" s="70" t="s">
        <v>70</v>
      </c>
      <c r="C147" s="66"/>
      <c r="D147" s="16">
        <v>0.2</v>
      </c>
      <c r="E147" s="17" t="s">
        <v>317</v>
      </c>
      <c r="F147" s="24">
        <f t="shared" si="96"/>
        <v>172068</v>
      </c>
      <c r="G147" s="24">
        <f t="shared" si="97"/>
        <v>34413.599999999999</v>
      </c>
      <c r="H147" s="29"/>
      <c r="I147" s="84">
        <f t="shared" si="98"/>
        <v>0</v>
      </c>
      <c r="J147" s="29">
        <f>노임!$D$4</f>
        <v>172068</v>
      </c>
      <c r="K147" s="84">
        <f t="shared" si="99"/>
        <v>34413</v>
      </c>
      <c r="L147" s="29"/>
      <c r="M147" s="84">
        <f t="shared" si="100"/>
        <v>0</v>
      </c>
      <c r="N147" s="49"/>
    </row>
    <row r="148" spans="1:14" ht="16.5" customHeight="1">
      <c r="A148" s="54"/>
      <c r="B148" s="70" t="s">
        <v>110</v>
      </c>
      <c r="C148" s="79">
        <v>100</v>
      </c>
      <c r="D148" s="16">
        <v>0.38</v>
      </c>
      <c r="E148" s="17" t="s">
        <v>300</v>
      </c>
      <c r="F148" s="24">
        <f t="shared" si="96"/>
        <v>14030</v>
      </c>
      <c r="G148" s="24">
        <f t="shared" si="97"/>
        <v>5331.4</v>
      </c>
      <c r="H148" s="29"/>
      <c r="I148" s="84">
        <f t="shared" si="98"/>
        <v>0</v>
      </c>
      <c r="J148" s="29"/>
      <c r="K148" s="84">
        <f t="shared" si="99"/>
        <v>0</v>
      </c>
      <c r="L148" s="29">
        <v>14030</v>
      </c>
      <c r="M148" s="84">
        <f t="shared" si="100"/>
        <v>5331</v>
      </c>
      <c r="N148" s="49"/>
    </row>
    <row r="149" spans="1:14" ht="16.5" customHeight="1">
      <c r="A149" s="55"/>
      <c r="B149" s="18" t="s">
        <v>332</v>
      </c>
      <c r="C149" s="19"/>
      <c r="D149" s="20"/>
      <c r="E149" s="20"/>
      <c r="F149" s="25"/>
      <c r="G149" s="25">
        <f>SUM(G145:G148)</f>
        <v>74702.75</v>
      </c>
      <c r="H149" s="30"/>
      <c r="I149" s="85">
        <f>SUM(I145:I148)</f>
        <v>0</v>
      </c>
      <c r="J149" s="30"/>
      <c r="K149" s="85">
        <f>SUM(K145:K148)</f>
        <v>69370</v>
      </c>
      <c r="L149" s="30"/>
      <c r="M149" s="85">
        <f>SUM(M145:M148)</f>
        <v>5331</v>
      </c>
      <c r="N149" s="50"/>
    </row>
    <row r="150" spans="1:14" ht="16.5" customHeight="1">
      <c r="A150" s="56"/>
      <c r="B150" s="67"/>
      <c r="C150" s="67"/>
      <c r="D150" s="68"/>
      <c r="E150" s="68"/>
      <c r="F150" s="26"/>
      <c r="G150" s="26"/>
      <c r="H150" s="31"/>
      <c r="I150" s="86"/>
      <c r="J150" s="31"/>
      <c r="K150" s="86"/>
      <c r="L150" s="31"/>
      <c r="M150" s="86"/>
      <c r="N150" s="51"/>
    </row>
    <row r="151" spans="1:14" ht="16.5" customHeight="1">
      <c r="A151" s="99">
        <f>A144+1</f>
        <v>22</v>
      </c>
      <c r="B151" s="69" t="s">
        <v>357</v>
      </c>
      <c r="C151" s="63">
        <v>1200</v>
      </c>
      <c r="D151" s="64">
        <v>1</v>
      </c>
      <c r="E151" s="13" t="s">
        <v>16</v>
      </c>
      <c r="F151" s="22"/>
      <c r="G151" s="22"/>
      <c r="H151" s="80"/>
      <c r="I151" s="80"/>
      <c r="J151" s="80"/>
      <c r="K151" s="80"/>
      <c r="L151" s="80"/>
      <c r="M151" s="80"/>
      <c r="N151" s="52" t="s">
        <v>17</v>
      </c>
    </row>
    <row r="152" spans="1:14" ht="16.5" customHeight="1">
      <c r="A152" s="54"/>
      <c r="B152" s="15" t="s">
        <v>111</v>
      </c>
      <c r="C152" s="77">
        <v>1200</v>
      </c>
      <c r="D152" s="16">
        <v>1</v>
      </c>
      <c r="E152" s="17" t="s">
        <v>334</v>
      </c>
      <c r="F152" s="24">
        <f t="shared" ref="F152:F158" si="101">H152+J152+L152</f>
        <v>3711356</v>
      </c>
      <c r="G152" s="24">
        <f t="shared" ref="G152:G158" si="102">F152*D152</f>
        <v>3711356</v>
      </c>
      <c r="H152" s="29">
        <v>0</v>
      </c>
      <c r="I152" s="84">
        <f t="shared" ref="I152:I158" si="103">TRUNC(H152*$D152,0)</f>
        <v>0</v>
      </c>
      <c r="J152" s="29">
        <f>K166</f>
        <v>2593046</v>
      </c>
      <c r="K152" s="84">
        <f t="shared" ref="K152:K158" si="104">TRUNC(J152*$D152,0)</f>
        <v>2593046</v>
      </c>
      <c r="L152" s="29">
        <f>M166</f>
        <v>1118310</v>
      </c>
      <c r="M152" s="84">
        <f t="shared" ref="M152:M158" si="105">TRUNC(L152*$D152,0)</f>
        <v>1118310</v>
      </c>
      <c r="N152" s="49">
        <f>A161</f>
        <v>23</v>
      </c>
    </row>
    <row r="153" spans="1:14" ht="16.5" customHeight="1">
      <c r="A153" s="54"/>
      <c r="B153" s="15" t="s">
        <v>358</v>
      </c>
      <c r="C153" s="77">
        <v>1200</v>
      </c>
      <c r="D153" s="16">
        <v>63.22</v>
      </c>
      <c r="E153" s="17" t="s">
        <v>321</v>
      </c>
      <c r="F153" s="24">
        <f t="shared" si="101"/>
        <v>38131</v>
      </c>
      <c r="G153" s="24">
        <f t="shared" si="102"/>
        <v>2410641.8199999998</v>
      </c>
      <c r="H153" s="29"/>
      <c r="I153" s="84">
        <f t="shared" si="103"/>
        <v>0</v>
      </c>
      <c r="J153" s="29"/>
      <c r="K153" s="84">
        <f t="shared" si="104"/>
        <v>0</v>
      </c>
      <c r="L153" s="29">
        <f>중기사용료목록!$G$74</f>
        <v>38131</v>
      </c>
      <c r="M153" s="84">
        <f t="shared" si="105"/>
        <v>2410641</v>
      </c>
      <c r="N153" s="49"/>
    </row>
    <row r="154" spans="1:14" ht="16.5" customHeight="1">
      <c r="A154" s="54"/>
      <c r="B154" s="15" t="s">
        <v>112</v>
      </c>
      <c r="C154" s="77">
        <v>1200</v>
      </c>
      <c r="D154" s="16">
        <v>5.32</v>
      </c>
      <c r="E154" s="17" t="s">
        <v>321</v>
      </c>
      <c r="F154" s="24">
        <f t="shared" si="101"/>
        <v>21067</v>
      </c>
      <c r="G154" s="24">
        <f t="shared" si="102"/>
        <v>112076.44</v>
      </c>
      <c r="H154" s="29">
        <f>I171</f>
        <v>21067</v>
      </c>
      <c r="I154" s="84">
        <f t="shared" si="103"/>
        <v>112076</v>
      </c>
      <c r="J154" s="29">
        <v>0</v>
      </c>
      <c r="K154" s="84">
        <f t="shared" si="104"/>
        <v>0</v>
      </c>
      <c r="L154" s="29">
        <v>0</v>
      </c>
      <c r="M154" s="84">
        <f t="shared" si="105"/>
        <v>0</v>
      </c>
      <c r="N154" s="49">
        <f>A168</f>
        <v>24</v>
      </c>
    </row>
    <row r="155" spans="1:14" ht="16.5" customHeight="1">
      <c r="A155" s="54"/>
      <c r="B155" s="15" t="s">
        <v>113</v>
      </c>
      <c r="C155" s="77">
        <v>1200</v>
      </c>
      <c r="D155" s="16">
        <v>20.78</v>
      </c>
      <c r="E155" s="17" t="s">
        <v>321</v>
      </c>
      <c r="F155" s="24">
        <f t="shared" si="101"/>
        <v>43498</v>
      </c>
      <c r="G155" s="24">
        <f t="shared" si="102"/>
        <v>903888.44000000006</v>
      </c>
      <c r="H155" s="29">
        <v>0</v>
      </c>
      <c r="I155" s="84">
        <f t="shared" si="103"/>
        <v>0</v>
      </c>
      <c r="J155" s="29">
        <f>K175</f>
        <v>43498</v>
      </c>
      <c r="K155" s="84">
        <f t="shared" si="104"/>
        <v>903888</v>
      </c>
      <c r="L155" s="29">
        <v>0</v>
      </c>
      <c r="M155" s="84">
        <f t="shared" si="105"/>
        <v>0</v>
      </c>
      <c r="N155" s="49">
        <f>A173</f>
        <v>25</v>
      </c>
    </row>
    <row r="156" spans="1:14" ht="16.5" customHeight="1">
      <c r="A156" s="54"/>
      <c r="B156" s="15" t="s">
        <v>114</v>
      </c>
      <c r="C156" s="77">
        <v>1200</v>
      </c>
      <c r="D156" s="16">
        <v>1</v>
      </c>
      <c r="E156" s="17" t="s">
        <v>334</v>
      </c>
      <c r="F156" s="24">
        <f t="shared" si="101"/>
        <v>1486482</v>
      </c>
      <c r="G156" s="24">
        <f t="shared" si="102"/>
        <v>1486482</v>
      </c>
      <c r="H156" s="29">
        <v>0</v>
      </c>
      <c r="I156" s="84">
        <f t="shared" si="103"/>
        <v>0</v>
      </c>
      <c r="J156" s="29">
        <f>K182</f>
        <v>1038960</v>
      </c>
      <c r="K156" s="84">
        <f t="shared" si="104"/>
        <v>1038960</v>
      </c>
      <c r="L156" s="29">
        <f>M182</f>
        <v>447522</v>
      </c>
      <c r="M156" s="84">
        <f t="shared" si="105"/>
        <v>447522</v>
      </c>
      <c r="N156" s="49">
        <f>A177</f>
        <v>26</v>
      </c>
    </row>
    <row r="157" spans="1:14" ht="16.5" customHeight="1">
      <c r="A157" s="54"/>
      <c r="B157" s="70" t="s">
        <v>115</v>
      </c>
      <c r="C157" s="77">
        <v>1200</v>
      </c>
      <c r="D157" s="16">
        <v>1</v>
      </c>
      <c r="E157" s="17" t="s">
        <v>334</v>
      </c>
      <c r="F157" s="24">
        <f t="shared" si="101"/>
        <v>6000000</v>
      </c>
      <c r="G157" s="24">
        <f t="shared" si="102"/>
        <v>6000000</v>
      </c>
      <c r="H157" s="29">
        <f>자재견적서!AR22</f>
        <v>6000000</v>
      </c>
      <c r="I157" s="84">
        <f t="shared" si="103"/>
        <v>6000000</v>
      </c>
      <c r="J157" s="29"/>
      <c r="K157" s="84">
        <f t="shared" si="104"/>
        <v>0</v>
      </c>
      <c r="L157" s="29"/>
      <c r="M157" s="84">
        <f t="shared" si="105"/>
        <v>0</v>
      </c>
      <c r="N157" s="49"/>
    </row>
    <row r="158" spans="1:14" ht="16.5" customHeight="1">
      <c r="A158" s="54"/>
      <c r="B158" s="70" t="s">
        <v>96</v>
      </c>
      <c r="C158" s="76">
        <v>850</v>
      </c>
      <c r="D158" s="16">
        <v>1</v>
      </c>
      <c r="E158" s="17" t="s">
        <v>334</v>
      </c>
      <c r="F158" s="24">
        <f t="shared" si="101"/>
        <v>550910</v>
      </c>
      <c r="G158" s="24">
        <f t="shared" si="102"/>
        <v>550910</v>
      </c>
      <c r="H158" s="29">
        <f>자재견적서!$AR$19</f>
        <v>550910</v>
      </c>
      <c r="I158" s="84">
        <f t="shared" si="103"/>
        <v>550910</v>
      </c>
      <c r="J158" s="29"/>
      <c r="K158" s="84">
        <f t="shared" si="104"/>
        <v>0</v>
      </c>
      <c r="L158" s="29"/>
      <c r="M158" s="84">
        <f t="shared" si="105"/>
        <v>0</v>
      </c>
      <c r="N158" s="49"/>
    </row>
    <row r="159" spans="1:14" ht="16.5" customHeight="1">
      <c r="A159" s="55"/>
      <c r="B159" s="18" t="s">
        <v>309</v>
      </c>
      <c r="C159" s="19"/>
      <c r="D159" s="20"/>
      <c r="E159" s="20"/>
      <c r="F159" s="25"/>
      <c r="G159" s="25">
        <f>SUM(G152:G158)</f>
        <v>15175354.700000001</v>
      </c>
      <c r="H159" s="30"/>
      <c r="I159" s="85">
        <f>SUM(I152:I158)</f>
        <v>6662986</v>
      </c>
      <c r="J159" s="30"/>
      <c r="K159" s="85">
        <f>SUM(K152:K158)</f>
        <v>4535894</v>
      </c>
      <c r="L159" s="30"/>
      <c r="M159" s="85">
        <f>SUM(M152:M158)</f>
        <v>3976473</v>
      </c>
      <c r="N159" s="50"/>
    </row>
    <row r="160" spans="1:14" ht="16.5" customHeight="1">
      <c r="A160" s="56"/>
      <c r="B160" s="67"/>
      <c r="C160" s="67"/>
      <c r="D160" s="68"/>
      <c r="E160" s="68"/>
      <c r="F160" s="26"/>
      <c r="G160" s="26"/>
      <c r="H160" s="31"/>
      <c r="I160" s="86"/>
      <c r="J160" s="31"/>
      <c r="K160" s="86"/>
      <c r="L160" s="31"/>
      <c r="M160" s="86"/>
      <c r="N160" s="51"/>
    </row>
    <row r="161" spans="1:14" ht="16.5" customHeight="1">
      <c r="A161" s="99">
        <f>A151+1</f>
        <v>23</v>
      </c>
      <c r="B161" s="69" t="s">
        <v>359</v>
      </c>
      <c r="C161" s="63">
        <v>1200</v>
      </c>
      <c r="D161" s="64">
        <v>1</v>
      </c>
      <c r="E161" s="13" t="s">
        <v>16</v>
      </c>
      <c r="F161" s="22"/>
      <c r="G161" s="22"/>
      <c r="H161" s="80"/>
      <c r="I161" s="80"/>
      <c r="J161" s="80"/>
      <c r="K161" s="80"/>
      <c r="L161" s="80"/>
      <c r="M161" s="80"/>
      <c r="N161" s="52" t="s">
        <v>17</v>
      </c>
    </row>
    <row r="162" spans="1:14" ht="16.5" customHeight="1">
      <c r="A162" s="54"/>
      <c r="B162" s="70" t="s">
        <v>97</v>
      </c>
      <c r="C162" s="66"/>
      <c r="D162" s="16">
        <v>0.67</v>
      </c>
      <c r="E162" s="17" t="s">
        <v>311</v>
      </c>
      <c r="F162" s="24">
        <f t="shared" ref="F162:F165" si="106">H162+J162+L162</f>
        <v>173995</v>
      </c>
      <c r="G162" s="24">
        <f t="shared" ref="G162:G165" si="107">F162*D162</f>
        <v>116576.65000000001</v>
      </c>
      <c r="H162" s="29"/>
      <c r="I162" s="84">
        <f t="shared" ref="I162:I165" si="108">TRUNC(H162*$D162,0)</f>
        <v>0</v>
      </c>
      <c r="J162" s="29">
        <f>노임!$D$7</f>
        <v>173995</v>
      </c>
      <c r="K162" s="84">
        <f t="shared" ref="K162:K165" si="109">TRUNC(J162*$D162,0)</f>
        <v>116576</v>
      </c>
      <c r="L162" s="29"/>
      <c r="M162" s="84">
        <f t="shared" ref="M162:M165" si="110">TRUNC(L162*$D162,0)</f>
        <v>0</v>
      </c>
      <c r="N162" s="49"/>
    </row>
    <row r="163" spans="1:14" ht="16.5" customHeight="1">
      <c r="A163" s="54"/>
      <c r="B163" s="70" t="s">
        <v>77</v>
      </c>
      <c r="C163" s="66"/>
      <c r="D163" s="16">
        <v>6.24</v>
      </c>
      <c r="E163" s="17" t="s">
        <v>311</v>
      </c>
      <c r="F163" s="24">
        <f t="shared" si="106"/>
        <v>262580</v>
      </c>
      <c r="G163" s="24">
        <f t="shared" si="107"/>
        <v>1638499.2</v>
      </c>
      <c r="H163" s="29"/>
      <c r="I163" s="84">
        <f t="shared" si="108"/>
        <v>0</v>
      </c>
      <c r="J163" s="29">
        <f>노임!$D$8</f>
        <v>262580</v>
      </c>
      <c r="K163" s="84">
        <f t="shared" si="109"/>
        <v>1638499</v>
      </c>
      <c r="L163" s="29"/>
      <c r="M163" s="84">
        <f t="shared" si="110"/>
        <v>0</v>
      </c>
      <c r="N163" s="49"/>
    </row>
    <row r="164" spans="1:14" ht="16.5" customHeight="1">
      <c r="A164" s="54"/>
      <c r="B164" s="70" t="s">
        <v>70</v>
      </c>
      <c r="C164" s="66"/>
      <c r="D164" s="16">
        <v>4.87</v>
      </c>
      <c r="E164" s="17" t="s">
        <v>311</v>
      </c>
      <c r="F164" s="24">
        <f t="shared" si="106"/>
        <v>172068</v>
      </c>
      <c r="G164" s="24">
        <f t="shared" si="107"/>
        <v>837971.16</v>
      </c>
      <c r="H164" s="29"/>
      <c r="I164" s="84">
        <f t="shared" si="108"/>
        <v>0</v>
      </c>
      <c r="J164" s="29">
        <f>노임!$D$4</f>
        <v>172068</v>
      </c>
      <c r="K164" s="84">
        <f t="shared" si="109"/>
        <v>837971</v>
      </c>
      <c r="L164" s="29"/>
      <c r="M164" s="84">
        <f t="shared" si="110"/>
        <v>0</v>
      </c>
      <c r="N164" s="49"/>
    </row>
    <row r="165" spans="1:14" ht="16.5" customHeight="1">
      <c r="A165" s="54"/>
      <c r="B165" s="70" t="s">
        <v>337</v>
      </c>
      <c r="C165" s="73">
        <v>15</v>
      </c>
      <c r="D165" s="16">
        <v>11.27</v>
      </c>
      <c r="E165" s="17" t="s">
        <v>321</v>
      </c>
      <c r="F165" s="24">
        <f t="shared" si="106"/>
        <v>99229</v>
      </c>
      <c r="G165" s="24">
        <f t="shared" si="107"/>
        <v>1118310.8299999998</v>
      </c>
      <c r="H165" s="29"/>
      <c r="I165" s="84">
        <f t="shared" si="108"/>
        <v>0</v>
      </c>
      <c r="J165" s="29"/>
      <c r="K165" s="84">
        <f t="shared" si="109"/>
        <v>0</v>
      </c>
      <c r="L165" s="29">
        <f>경비!$G$5</f>
        <v>99229</v>
      </c>
      <c r="M165" s="84">
        <f t="shared" si="110"/>
        <v>1118310</v>
      </c>
      <c r="N165" s="49"/>
    </row>
    <row r="166" spans="1:14" ht="16.5" customHeight="1">
      <c r="A166" s="55"/>
      <c r="B166" s="18" t="s">
        <v>332</v>
      </c>
      <c r="C166" s="19"/>
      <c r="D166" s="20"/>
      <c r="E166" s="20"/>
      <c r="F166" s="25"/>
      <c r="G166" s="25">
        <f>SUM(G162:G165)</f>
        <v>3711357.84</v>
      </c>
      <c r="H166" s="30"/>
      <c r="I166" s="85">
        <f>SUM(I162:I165)</f>
        <v>0</v>
      </c>
      <c r="J166" s="30"/>
      <c r="K166" s="85">
        <f>SUM(K162:K165)</f>
        <v>2593046</v>
      </c>
      <c r="L166" s="30"/>
      <c r="M166" s="85">
        <f>SUM(M162:M165)</f>
        <v>1118310</v>
      </c>
      <c r="N166" s="50"/>
    </row>
    <row r="167" spans="1:14" ht="16.5" customHeight="1">
      <c r="A167" s="56"/>
      <c r="B167" s="67"/>
      <c r="C167" s="67"/>
      <c r="D167" s="68"/>
      <c r="E167" s="68"/>
      <c r="F167" s="26"/>
      <c r="G167" s="26"/>
      <c r="H167" s="31"/>
      <c r="I167" s="86"/>
      <c r="J167" s="31"/>
      <c r="K167" s="86"/>
      <c r="L167" s="31"/>
      <c r="M167" s="86"/>
      <c r="N167" s="51"/>
    </row>
    <row r="168" spans="1:14" ht="16.5" customHeight="1">
      <c r="A168" s="99">
        <f>A161+1</f>
        <v>24</v>
      </c>
      <c r="B168" s="69" t="s">
        <v>360</v>
      </c>
      <c r="C168" s="63">
        <v>1200</v>
      </c>
      <c r="D168" s="64">
        <v>1</v>
      </c>
      <c r="E168" s="13" t="s">
        <v>321</v>
      </c>
      <c r="F168" s="22"/>
      <c r="G168" s="22"/>
      <c r="H168" s="80"/>
      <c r="I168" s="80"/>
      <c r="J168" s="80"/>
      <c r="K168" s="80"/>
      <c r="L168" s="80"/>
      <c r="M168" s="80"/>
      <c r="N168" s="52" t="s">
        <v>17</v>
      </c>
    </row>
    <row r="169" spans="1:14" ht="16.5" customHeight="1">
      <c r="A169" s="54"/>
      <c r="B169" s="70" t="s">
        <v>98</v>
      </c>
      <c r="C169" s="76" t="s">
        <v>343</v>
      </c>
      <c r="D169" s="16">
        <v>11</v>
      </c>
      <c r="E169" s="17" t="s">
        <v>344</v>
      </c>
      <c r="F169" s="24">
        <f t="shared" ref="F169:F170" si="111">H169+J169+L169</f>
        <v>1596</v>
      </c>
      <c r="G169" s="24">
        <f t="shared" ref="G169:G170" si="112">F169*D169</f>
        <v>17556</v>
      </c>
      <c r="H169" s="29">
        <f>자재!$D$9</f>
        <v>1596</v>
      </c>
      <c r="I169" s="84">
        <f t="shared" ref="I169:I170" si="113">TRUNC(H169*$D169,0)</f>
        <v>17556</v>
      </c>
      <c r="J169" s="29"/>
      <c r="K169" s="84">
        <f t="shared" ref="K169:K170" si="114">TRUNC(J169*$D169,0)</f>
        <v>0</v>
      </c>
      <c r="L169" s="29"/>
      <c r="M169" s="84">
        <f t="shared" ref="M169:M170" si="115">TRUNC(L169*$D169,0)</f>
        <v>0</v>
      </c>
      <c r="N169" s="49"/>
    </row>
    <row r="170" spans="1:14" ht="16.5" customHeight="1">
      <c r="A170" s="54"/>
      <c r="B170" s="70" t="s">
        <v>99</v>
      </c>
      <c r="C170" s="66" t="s">
        <v>345</v>
      </c>
      <c r="D170" s="21">
        <v>0.2</v>
      </c>
      <c r="E170" s="17"/>
      <c r="F170" s="24">
        <f t="shared" si="111"/>
        <v>17556</v>
      </c>
      <c r="G170" s="24">
        <f t="shared" si="112"/>
        <v>3511.2000000000003</v>
      </c>
      <c r="H170" s="29">
        <f>I169</f>
        <v>17556</v>
      </c>
      <c r="I170" s="84">
        <f t="shared" si="113"/>
        <v>3511</v>
      </c>
      <c r="J170" s="29"/>
      <c r="K170" s="84">
        <f t="shared" si="114"/>
        <v>0</v>
      </c>
      <c r="L170" s="29"/>
      <c r="M170" s="84">
        <f t="shared" si="115"/>
        <v>0</v>
      </c>
      <c r="N170" s="49"/>
    </row>
    <row r="171" spans="1:14" ht="16.5" customHeight="1">
      <c r="A171" s="55"/>
      <c r="B171" s="18" t="s">
        <v>332</v>
      </c>
      <c r="C171" s="19"/>
      <c r="D171" s="20"/>
      <c r="E171" s="20"/>
      <c r="F171" s="25"/>
      <c r="G171" s="25">
        <f>SUM(G169:G170)</f>
        <v>21067.200000000001</v>
      </c>
      <c r="H171" s="30"/>
      <c r="I171" s="85">
        <f>SUM(I169:I170)</f>
        <v>21067</v>
      </c>
      <c r="J171" s="30"/>
      <c r="K171" s="85">
        <f>SUM(K169:K170)</f>
        <v>0</v>
      </c>
      <c r="L171" s="30"/>
      <c r="M171" s="85">
        <f>SUM(M169:M170)</f>
        <v>0</v>
      </c>
      <c r="N171" s="50"/>
    </row>
    <row r="172" spans="1:14" ht="16.5" customHeight="1">
      <c r="A172" s="56"/>
      <c r="B172" s="67"/>
      <c r="C172" s="67"/>
      <c r="D172" s="68"/>
      <c r="E172" s="68"/>
      <c r="F172" s="26"/>
      <c r="G172" s="26"/>
      <c r="H172" s="31"/>
      <c r="I172" s="86"/>
      <c r="J172" s="31"/>
      <c r="K172" s="86"/>
      <c r="L172" s="31"/>
      <c r="M172" s="86"/>
      <c r="N172" s="51"/>
    </row>
    <row r="173" spans="1:14" ht="16.5" customHeight="1">
      <c r="A173" s="99">
        <f>A168+1</f>
        <v>25</v>
      </c>
      <c r="B173" s="69" t="s">
        <v>361</v>
      </c>
      <c r="C173" s="63">
        <v>1200</v>
      </c>
      <c r="D173" s="64">
        <v>1</v>
      </c>
      <c r="E173" s="13" t="s">
        <v>321</v>
      </c>
      <c r="F173" s="22"/>
      <c r="G173" s="22"/>
      <c r="H173" s="80"/>
      <c r="I173" s="80"/>
      <c r="J173" s="80"/>
      <c r="K173" s="80"/>
      <c r="L173" s="80"/>
      <c r="M173" s="80"/>
      <c r="N173" s="52" t="s">
        <v>17</v>
      </c>
    </row>
    <row r="174" spans="1:14" ht="16.5" customHeight="1">
      <c r="A174" s="54"/>
      <c r="B174" s="70" t="s">
        <v>97</v>
      </c>
      <c r="C174" s="66"/>
      <c r="D174" s="16">
        <v>0.25</v>
      </c>
      <c r="E174" s="17" t="s">
        <v>311</v>
      </c>
      <c r="F174" s="24">
        <f t="shared" ref="F174" si="116">H174+J174+L174</f>
        <v>173995</v>
      </c>
      <c r="G174" s="24">
        <f t="shared" ref="G174" si="117">F174*D174</f>
        <v>43498.75</v>
      </c>
      <c r="H174" s="29"/>
      <c r="I174" s="84">
        <f t="shared" ref="I174" si="118">TRUNC(H174*$D174,0)</f>
        <v>0</v>
      </c>
      <c r="J174" s="29">
        <f>노임!$D$7</f>
        <v>173995</v>
      </c>
      <c r="K174" s="84">
        <f t="shared" ref="K174" si="119">TRUNC(J174*$D174,0)</f>
        <v>43498</v>
      </c>
      <c r="L174" s="29"/>
      <c r="M174" s="84">
        <f t="shared" ref="M174" si="120">TRUNC(L174*$D174,0)</f>
        <v>0</v>
      </c>
      <c r="N174" s="49"/>
    </row>
    <row r="175" spans="1:14" ht="16.5" customHeight="1">
      <c r="A175" s="55"/>
      <c r="B175" s="18" t="s">
        <v>332</v>
      </c>
      <c r="C175" s="19"/>
      <c r="D175" s="20"/>
      <c r="E175" s="20"/>
      <c r="F175" s="25"/>
      <c r="G175" s="25">
        <f>SUM(G174)</f>
        <v>43498.75</v>
      </c>
      <c r="H175" s="30"/>
      <c r="I175" s="85">
        <f>SUM(I174:I174)</f>
        <v>0</v>
      </c>
      <c r="J175" s="30"/>
      <c r="K175" s="85">
        <f>SUM(K174:K174)</f>
        <v>43498</v>
      </c>
      <c r="L175" s="30"/>
      <c r="M175" s="85">
        <f>SUM(M174:M174)</f>
        <v>0</v>
      </c>
      <c r="N175" s="50"/>
    </row>
    <row r="176" spans="1:14" ht="16.5" customHeight="1">
      <c r="A176" s="56"/>
      <c r="B176" s="67"/>
      <c r="C176" s="67"/>
      <c r="D176" s="68"/>
      <c r="E176" s="68"/>
      <c r="F176" s="26"/>
      <c r="G176" s="26"/>
      <c r="H176" s="31"/>
      <c r="I176" s="86"/>
      <c r="J176" s="31"/>
      <c r="K176" s="86"/>
      <c r="L176" s="31"/>
      <c r="M176" s="86"/>
      <c r="N176" s="51"/>
    </row>
    <row r="177" spans="1:14" ht="16.5" customHeight="1">
      <c r="A177" s="99">
        <f>A173+1</f>
        <v>26</v>
      </c>
      <c r="B177" s="69" t="s">
        <v>362</v>
      </c>
      <c r="C177" s="63">
        <v>1200</v>
      </c>
      <c r="D177" s="64">
        <v>1</v>
      </c>
      <c r="E177" s="13" t="s">
        <v>16</v>
      </c>
      <c r="F177" s="22"/>
      <c r="G177" s="22"/>
      <c r="H177" s="80"/>
      <c r="I177" s="80"/>
      <c r="J177" s="80"/>
      <c r="K177" s="80"/>
      <c r="L177" s="80"/>
      <c r="M177" s="80"/>
      <c r="N177" s="52" t="s">
        <v>17</v>
      </c>
    </row>
    <row r="178" spans="1:14" ht="16.5" customHeight="1">
      <c r="A178" s="54"/>
      <c r="B178" s="70" t="s">
        <v>97</v>
      </c>
      <c r="C178" s="66"/>
      <c r="D178" s="16">
        <v>0.27</v>
      </c>
      <c r="E178" s="17" t="s">
        <v>301</v>
      </c>
      <c r="F178" s="24">
        <f t="shared" ref="F178:F181" si="121">H178+J178+L178</f>
        <v>173995</v>
      </c>
      <c r="G178" s="24">
        <f t="shared" ref="G178:G181" si="122">F178*D178</f>
        <v>46978.65</v>
      </c>
      <c r="H178" s="29"/>
      <c r="I178" s="84">
        <f t="shared" ref="I178:I181" si="123">TRUNC(H178*$D178,0)</f>
        <v>0</v>
      </c>
      <c r="J178" s="29">
        <f>노임!$D$7</f>
        <v>173995</v>
      </c>
      <c r="K178" s="84">
        <f t="shared" ref="K178:K181" si="124">TRUNC(J178*$D178,0)</f>
        <v>46978</v>
      </c>
      <c r="L178" s="29"/>
      <c r="M178" s="84">
        <f t="shared" ref="M178:M181" si="125">TRUNC(L178*$D178,0)</f>
        <v>0</v>
      </c>
      <c r="N178" s="49"/>
    </row>
    <row r="179" spans="1:14" ht="16.5" customHeight="1">
      <c r="A179" s="54"/>
      <c r="B179" s="70" t="s">
        <v>77</v>
      </c>
      <c r="C179" s="66"/>
      <c r="D179" s="16">
        <v>2.5</v>
      </c>
      <c r="E179" s="17" t="s">
        <v>311</v>
      </c>
      <c r="F179" s="24">
        <f t="shared" si="121"/>
        <v>262580</v>
      </c>
      <c r="G179" s="24">
        <f t="shared" si="122"/>
        <v>656450</v>
      </c>
      <c r="H179" s="29"/>
      <c r="I179" s="84">
        <f t="shared" si="123"/>
        <v>0</v>
      </c>
      <c r="J179" s="29">
        <f>노임!$D$8</f>
        <v>262580</v>
      </c>
      <c r="K179" s="84">
        <f t="shared" si="124"/>
        <v>656450</v>
      </c>
      <c r="L179" s="29"/>
      <c r="M179" s="84">
        <f t="shared" si="125"/>
        <v>0</v>
      </c>
      <c r="N179" s="49"/>
    </row>
    <row r="180" spans="1:14" ht="16.5" customHeight="1">
      <c r="A180" s="54"/>
      <c r="B180" s="70" t="s">
        <v>70</v>
      </c>
      <c r="C180" s="66"/>
      <c r="D180" s="16">
        <v>1.95</v>
      </c>
      <c r="E180" s="17" t="s">
        <v>311</v>
      </c>
      <c r="F180" s="24">
        <f t="shared" si="121"/>
        <v>172068</v>
      </c>
      <c r="G180" s="24">
        <f t="shared" si="122"/>
        <v>335532.59999999998</v>
      </c>
      <c r="H180" s="29"/>
      <c r="I180" s="84">
        <f t="shared" si="123"/>
        <v>0</v>
      </c>
      <c r="J180" s="29">
        <f>노임!$D$4</f>
        <v>172068</v>
      </c>
      <c r="K180" s="84">
        <f t="shared" si="124"/>
        <v>335532</v>
      </c>
      <c r="L180" s="29"/>
      <c r="M180" s="84">
        <f t="shared" si="125"/>
        <v>0</v>
      </c>
      <c r="N180" s="49"/>
    </row>
    <row r="181" spans="1:14" ht="16.5" customHeight="1">
      <c r="A181" s="54"/>
      <c r="B181" s="70" t="s">
        <v>337</v>
      </c>
      <c r="C181" s="73">
        <v>15</v>
      </c>
      <c r="D181" s="16">
        <v>4.51</v>
      </c>
      <c r="E181" s="17" t="s">
        <v>300</v>
      </c>
      <c r="F181" s="24">
        <f t="shared" si="121"/>
        <v>99229</v>
      </c>
      <c r="G181" s="24">
        <f t="shared" si="122"/>
        <v>447522.79</v>
      </c>
      <c r="H181" s="29"/>
      <c r="I181" s="84">
        <f t="shared" si="123"/>
        <v>0</v>
      </c>
      <c r="J181" s="29"/>
      <c r="K181" s="84">
        <f t="shared" si="124"/>
        <v>0</v>
      </c>
      <c r="L181" s="29">
        <f>경비!$G$5</f>
        <v>99229</v>
      </c>
      <c r="M181" s="84">
        <f t="shared" si="125"/>
        <v>447522</v>
      </c>
      <c r="N181" s="49"/>
    </row>
    <row r="182" spans="1:14" ht="16.5" customHeight="1">
      <c r="A182" s="55"/>
      <c r="B182" s="18" t="s">
        <v>309</v>
      </c>
      <c r="C182" s="19"/>
      <c r="D182" s="20"/>
      <c r="E182" s="20"/>
      <c r="F182" s="25"/>
      <c r="G182" s="25">
        <f>SUM(G178:G181)</f>
        <v>1486484.04</v>
      </c>
      <c r="H182" s="30"/>
      <c r="I182" s="85">
        <f>SUM(I178:I181)</f>
        <v>0</v>
      </c>
      <c r="J182" s="30"/>
      <c r="K182" s="85">
        <f>SUM(K178:K181)</f>
        <v>1038960</v>
      </c>
      <c r="L182" s="30"/>
      <c r="M182" s="85">
        <f>SUM(M178:M181)</f>
        <v>447522</v>
      </c>
      <c r="N182" s="50"/>
    </row>
    <row r="183" spans="1:14" ht="16.5" customHeight="1">
      <c r="A183" s="56"/>
      <c r="B183" s="67"/>
      <c r="C183" s="67"/>
      <c r="D183" s="68"/>
      <c r="E183" s="68"/>
      <c r="F183" s="26"/>
      <c r="G183" s="26"/>
      <c r="H183" s="31"/>
      <c r="I183" s="86"/>
      <c r="J183" s="31"/>
      <c r="K183" s="86"/>
      <c r="L183" s="31"/>
      <c r="M183" s="86"/>
      <c r="N183" s="51"/>
    </row>
    <row r="184" spans="1:14" ht="16.5" customHeight="1">
      <c r="A184" s="99">
        <f>A177+1</f>
        <v>27</v>
      </c>
      <c r="B184" s="69" t="s">
        <v>363</v>
      </c>
      <c r="C184" s="75">
        <v>850</v>
      </c>
      <c r="D184" s="64">
        <v>1</v>
      </c>
      <c r="E184" s="13" t="s">
        <v>16</v>
      </c>
      <c r="F184" s="22"/>
      <c r="G184" s="22"/>
      <c r="H184" s="80"/>
      <c r="I184" s="80"/>
      <c r="J184" s="80"/>
      <c r="K184" s="80"/>
      <c r="L184" s="80"/>
      <c r="M184" s="80"/>
      <c r="N184" s="52" t="s">
        <v>17</v>
      </c>
    </row>
    <row r="185" spans="1:14" ht="16.5" customHeight="1">
      <c r="A185" s="54"/>
      <c r="B185" s="15" t="s">
        <v>116</v>
      </c>
      <c r="C185" s="76">
        <v>850</v>
      </c>
      <c r="D185" s="16">
        <v>1</v>
      </c>
      <c r="E185" s="17" t="s">
        <v>334</v>
      </c>
      <c r="F185" s="24">
        <f t="shared" ref="F185:F190" si="126">H185+J185+L185</f>
        <v>1071216</v>
      </c>
      <c r="G185" s="24">
        <f t="shared" ref="G185:G190" si="127">F185*D185</f>
        <v>1071216</v>
      </c>
      <c r="H185" s="29">
        <v>0</v>
      </c>
      <c r="I185" s="84">
        <f t="shared" ref="I185:I190" si="128">TRUNC(H185*$D185,0)</f>
        <v>0</v>
      </c>
      <c r="J185" s="29">
        <f>K198</f>
        <v>754333</v>
      </c>
      <c r="K185" s="84">
        <f t="shared" ref="K185:K190" si="129">TRUNC(J185*$D185,0)</f>
        <v>754333</v>
      </c>
      <c r="L185" s="29">
        <f>M198</f>
        <v>316883</v>
      </c>
      <c r="M185" s="84">
        <f t="shared" ref="M185:M190" si="130">TRUNC(L185*$D185,0)</f>
        <v>316883</v>
      </c>
      <c r="N185" s="49">
        <f>A193</f>
        <v>28</v>
      </c>
    </row>
    <row r="186" spans="1:14" ht="16.5" customHeight="1">
      <c r="A186" s="54"/>
      <c r="B186" s="15" t="s">
        <v>364</v>
      </c>
      <c r="C186" s="77">
        <v>1200</v>
      </c>
      <c r="D186" s="16">
        <v>63.22</v>
      </c>
      <c r="E186" s="17" t="s">
        <v>321</v>
      </c>
      <c r="F186" s="24">
        <f t="shared" si="126"/>
        <v>4587</v>
      </c>
      <c r="G186" s="24">
        <f t="shared" si="127"/>
        <v>289990.14</v>
      </c>
      <c r="H186" s="29"/>
      <c r="I186" s="84">
        <f t="shared" si="128"/>
        <v>0</v>
      </c>
      <c r="J186" s="29"/>
      <c r="K186" s="84">
        <f t="shared" si="129"/>
        <v>0</v>
      </c>
      <c r="L186" s="29">
        <f>중기사용료목록!$G$101</f>
        <v>4587</v>
      </c>
      <c r="M186" s="84">
        <f t="shared" si="130"/>
        <v>289990</v>
      </c>
      <c r="N186" s="49"/>
    </row>
    <row r="187" spans="1:14" ht="16.5" customHeight="1">
      <c r="A187" s="54"/>
      <c r="B187" s="15" t="s">
        <v>117</v>
      </c>
      <c r="C187" s="77">
        <v>850</v>
      </c>
      <c r="D187" s="16">
        <v>1.67</v>
      </c>
      <c r="E187" s="17" t="s">
        <v>321</v>
      </c>
      <c r="F187" s="24">
        <f t="shared" si="126"/>
        <v>19725</v>
      </c>
      <c r="G187" s="24">
        <f t="shared" si="127"/>
        <v>32940.75</v>
      </c>
      <c r="H187" s="29">
        <f>I203</f>
        <v>19725</v>
      </c>
      <c r="I187" s="84">
        <f t="shared" si="128"/>
        <v>32940</v>
      </c>
      <c r="J187" s="29">
        <v>0</v>
      </c>
      <c r="K187" s="84">
        <f t="shared" si="129"/>
        <v>0</v>
      </c>
      <c r="L187" s="29">
        <v>0</v>
      </c>
      <c r="M187" s="84">
        <f t="shared" si="130"/>
        <v>0</v>
      </c>
      <c r="N187" s="49">
        <f>A200</f>
        <v>29</v>
      </c>
    </row>
    <row r="188" spans="1:14" ht="16.5" customHeight="1">
      <c r="A188" s="54"/>
      <c r="B188" s="15" t="s">
        <v>118</v>
      </c>
      <c r="C188" s="77">
        <v>850</v>
      </c>
      <c r="D188" s="16">
        <v>1</v>
      </c>
      <c r="E188" s="17" t="s">
        <v>334</v>
      </c>
      <c r="F188" s="24">
        <f t="shared" si="126"/>
        <v>429528</v>
      </c>
      <c r="G188" s="24">
        <f t="shared" si="127"/>
        <v>429528</v>
      </c>
      <c r="H188" s="29">
        <v>0</v>
      </c>
      <c r="I188" s="84">
        <f t="shared" si="128"/>
        <v>0</v>
      </c>
      <c r="J188" s="29">
        <f>K210</f>
        <v>302775</v>
      </c>
      <c r="K188" s="84">
        <f t="shared" si="129"/>
        <v>302775</v>
      </c>
      <c r="L188" s="29">
        <f>M210</f>
        <v>126753</v>
      </c>
      <c r="M188" s="84">
        <f t="shared" si="130"/>
        <v>126753</v>
      </c>
      <c r="N188" s="49">
        <f>A205</f>
        <v>30</v>
      </c>
    </row>
    <row r="189" spans="1:14" ht="16.5" customHeight="1">
      <c r="A189" s="54"/>
      <c r="B189" s="70" t="s">
        <v>119</v>
      </c>
      <c r="C189" s="76">
        <v>850</v>
      </c>
      <c r="D189" s="16">
        <v>1</v>
      </c>
      <c r="E189" s="17" t="s">
        <v>334</v>
      </c>
      <c r="F189" s="24">
        <f t="shared" si="126"/>
        <v>5150000</v>
      </c>
      <c r="G189" s="24">
        <f t="shared" si="127"/>
        <v>5150000</v>
      </c>
      <c r="H189" s="29">
        <f>자재견적서!AR23</f>
        <v>5150000</v>
      </c>
      <c r="I189" s="84">
        <f t="shared" si="128"/>
        <v>5150000</v>
      </c>
      <c r="J189" s="29"/>
      <c r="K189" s="84">
        <f t="shared" si="129"/>
        <v>0</v>
      </c>
      <c r="L189" s="29"/>
      <c r="M189" s="84">
        <f t="shared" si="130"/>
        <v>0</v>
      </c>
      <c r="N189" s="49"/>
    </row>
    <row r="190" spans="1:14" ht="16.5" customHeight="1">
      <c r="A190" s="54"/>
      <c r="B190" s="70" t="s">
        <v>96</v>
      </c>
      <c r="C190" s="76">
        <v>850</v>
      </c>
      <c r="D190" s="16">
        <v>1</v>
      </c>
      <c r="E190" s="17" t="s">
        <v>334</v>
      </c>
      <c r="F190" s="24">
        <f t="shared" si="126"/>
        <v>550910</v>
      </c>
      <c r="G190" s="24">
        <f t="shared" si="127"/>
        <v>550910</v>
      </c>
      <c r="H190" s="29">
        <f>자재견적서!$AR$19</f>
        <v>550910</v>
      </c>
      <c r="I190" s="84">
        <f t="shared" si="128"/>
        <v>550910</v>
      </c>
      <c r="J190" s="29"/>
      <c r="K190" s="84">
        <f t="shared" si="129"/>
        <v>0</v>
      </c>
      <c r="L190" s="29"/>
      <c r="M190" s="84">
        <f t="shared" si="130"/>
        <v>0</v>
      </c>
      <c r="N190" s="49"/>
    </row>
    <row r="191" spans="1:14" ht="16.5" customHeight="1">
      <c r="A191" s="55"/>
      <c r="B191" s="18" t="s">
        <v>332</v>
      </c>
      <c r="C191" s="19"/>
      <c r="D191" s="20"/>
      <c r="E191" s="20"/>
      <c r="F191" s="25"/>
      <c r="G191" s="25">
        <f>SUM(G185:G190)</f>
        <v>7524584.8900000006</v>
      </c>
      <c r="H191" s="30"/>
      <c r="I191" s="85">
        <f>SUM(I185:I190)</f>
        <v>5733850</v>
      </c>
      <c r="J191" s="30"/>
      <c r="K191" s="85">
        <f>SUM(K185:K190)</f>
        <v>1057108</v>
      </c>
      <c r="L191" s="30"/>
      <c r="M191" s="85">
        <f>SUM(M185:M190)</f>
        <v>733626</v>
      </c>
      <c r="N191" s="50"/>
    </row>
    <row r="192" spans="1:14" ht="16.5" customHeight="1">
      <c r="A192" s="56"/>
      <c r="B192" s="67"/>
      <c r="C192" s="67"/>
      <c r="D192" s="68"/>
      <c r="E192" s="68"/>
      <c r="F192" s="26"/>
      <c r="G192" s="26"/>
      <c r="H192" s="31"/>
      <c r="I192" s="86"/>
      <c r="J192" s="31"/>
      <c r="K192" s="86"/>
      <c r="L192" s="31"/>
      <c r="M192" s="86"/>
      <c r="N192" s="51"/>
    </row>
    <row r="193" spans="1:14" ht="16.5" customHeight="1">
      <c r="A193" s="99">
        <f>A184+1</f>
        <v>28</v>
      </c>
      <c r="B193" s="69" t="s">
        <v>365</v>
      </c>
      <c r="C193" s="75">
        <v>850</v>
      </c>
      <c r="D193" s="64">
        <v>1</v>
      </c>
      <c r="E193" s="13" t="s">
        <v>16</v>
      </c>
      <c r="F193" s="22"/>
      <c r="G193" s="22"/>
      <c r="H193" s="80"/>
      <c r="I193" s="80"/>
      <c r="J193" s="80"/>
      <c r="K193" s="80"/>
      <c r="L193" s="80"/>
      <c r="M193" s="80"/>
      <c r="N193" s="52" t="s">
        <v>17</v>
      </c>
    </row>
    <row r="194" spans="1:14" ht="16.5" customHeight="1">
      <c r="A194" s="54"/>
      <c r="B194" s="70" t="s">
        <v>97</v>
      </c>
      <c r="C194" s="66"/>
      <c r="D194" s="16">
        <v>0.21</v>
      </c>
      <c r="E194" s="17" t="s">
        <v>311</v>
      </c>
      <c r="F194" s="24">
        <f t="shared" ref="F194:F197" si="131">H194+J194+L194</f>
        <v>173995</v>
      </c>
      <c r="G194" s="24">
        <f t="shared" ref="G194:G197" si="132">F194*D194</f>
        <v>36538.949999999997</v>
      </c>
      <c r="H194" s="29"/>
      <c r="I194" s="84">
        <f t="shared" ref="I194:I197" si="133">TRUNC(H194*$D194,0)</f>
        <v>0</v>
      </c>
      <c r="J194" s="29">
        <f>노임!$D$7</f>
        <v>173995</v>
      </c>
      <c r="K194" s="84">
        <f t="shared" ref="K194:K197" si="134">TRUNC(J194*$D194,0)</f>
        <v>36538</v>
      </c>
      <c r="L194" s="29"/>
      <c r="M194" s="84">
        <f t="shared" ref="M194:M197" si="135">TRUNC(L194*$D194,0)</f>
        <v>0</v>
      </c>
      <c r="N194" s="49"/>
    </row>
    <row r="195" spans="1:14" ht="16.5" customHeight="1">
      <c r="A195" s="54"/>
      <c r="B195" s="70" t="s">
        <v>77</v>
      </c>
      <c r="C195" s="66"/>
      <c r="D195" s="16">
        <v>1.79</v>
      </c>
      <c r="E195" s="17" t="s">
        <v>311</v>
      </c>
      <c r="F195" s="24">
        <f t="shared" si="131"/>
        <v>262580</v>
      </c>
      <c r="G195" s="24">
        <f t="shared" si="132"/>
        <v>470018.2</v>
      </c>
      <c r="H195" s="29"/>
      <c r="I195" s="84">
        <f t="shared" si="133"/>
        <v>0</v>
      </c>
      <c r="J195" s="29">
        <f>노임!$D$8</f>
        <v>262580</v>
      </c>
      <c r="K195" s="84">
        <f t="shared" si="134"/>
        <v>470018</v>
      </c>
      <c r="L195" s="29"/>
      <c r="M195" s="84">
        <f t="shared" si="135"/>
        <v>0</v>
      </c>
      <c r="N195" s="49"/>
    </row>
    <row r="196" spans="1:14" ht="16.5" customHeight="1">
      <c r="A196" s="54"/>
      <c r="B196" s="70" t="s">
        <v>70</v>
      </c>
      <c r="C196" s="66"/>
      <c r="D196" s="16">
        <v>1.44</v>
      </c>
      <c r="E196" s="17" t="s">
        <v>311</v>
      </c>
      <c r="F196" s="24">
        <f t="shared" si="131"/>
        <v>172068</v>
      </c>
      <c r="G196" s="24">
        <f t="shared" si="132"/>
        <v>247777.91999999998</v>
      </c>
      <c r="H196" s="29"/>
      <c r="I196" s="84">
        <f t="shared" si="133"/>
        <v>0</v>
      </c>
      <c r="J196" s="29">
        <f>노임!$D$4</f>
        <v>172068</v>
      </c>
      <c r="K196" s="84">
        <f t="shared" si="134"/>
        <v>247777</v>
      </c>
      <c r="L196" s="29"/>
      <c r="M196" s="84">
        <f t="shared" si="135"/>
        <v>0</v>
      </c>
      <c r="N196" s="49"/>
    </row>
    <row r="197" spans="1:14" ht="16.5" customHeight="1">
      <c r="A197" s="54"/>
      <c r="B197" s="70" t="s">
        <v>101</v>
      </c>
      <c r="C197" s="73">
        <v>10</v>
      </c>
      <c r="D197" s="16">
        <v>3.5</v>
      </c>
      <c r="E197" s="17" t="s">
        <v>321</v>
      </c>
      <c r="F197" s="24">
        <f t="shared" si="131"/>
        <v>90538</v>
      </c>
      <c r="G197" s="24">
        <f t="shared" si="132"/>
        <v>316883</v>
      </c>
      <c r="H197" s="29"/>
      <c r="I197" s="84">
        <f t="shared" si="133"/>
        <v>0</v>
      </c>
      <c r="J197" s="29"/>
      <c r="K197" s="84">
        <f t="shared" si="134"/>
        <v>0</v>
      </c>
      <c r="L197" s="29">
        <f>경비!$G$4</f>
        <v>90538</v>
      </c>
      <c r="M197" s="84">
        <f t="shared" si="135"/>
        <v>316883</v>
      </c>
      <c r="N197" s="49"/>
    </row>
    <row r="198" spans="1:14" ht="16.5" customHeight="1">
      <c r="A198" s="55"/>
      <c r="B198" s="18" t="s">
        <v>332</v>
      </c>
      <c r="C198" s="19"/>
      <c r="D198" s="20"/>
      <c r="E198" s="20"/>
      <c r="F198" s="25"/>
      <c r="G198" s="25">
        <f>SUM(G194:G197)</f>
        <v>1071218.07</v>
      </c>
      <c r="H198" s="30"/>
      <c r="I198" s="85">
        <f>SUM(I194:I197)</f>
        <v>0</v>
      </c>
      <c r="J198" s="30"/>
      <c r="K198" s="85">
        <f>SUM(K194:K197)</f>
        <v>754333</v>
      </c>
      <c r="L198" s="30"/>
      <c r="M198" s="85">
        <f>SUM(M194:M197)</f>
        <v>316883</v>
      </c>
      <c r="N198" s="50"/>
    </row>
    <row r="199" spans="1:14" ht="16.5" customHeight="1">
      <c r="A199" s="56"/>
      <c r="B199" s="67"/>
      <c r="C199" s="67"/>
      <c r="D199" s="68"/>
      <c r="E199" s="68"/>
      <c r="F199" s="26"/>
      <c r="G199" s="26"/>
      <c r="H199" s="31"/>
      <c r="I199" s="86"/>
      <c r="J199" s="31"/>
      <c r="K199" s="86"/>
      <c r="L199" s="31"/>
      <c r="M199" s="86"/>
      <c r="N199" s="51"/>
    </row>
    <row r="200" spans="1:14" ht="16.5" customHeight="1">
      <c r="A200" s="99">
        <f>A193+1</f>
        <v>29</v>
      </c>
      <c r="B200" s="69" t="s">
        <v>366</v>
      </c>
      <c r="C200" s="75">
        <v>850</v>
      </c>
      <c r="D200" s="64">
        <v>1</v>
      </c>
      <c r="E200" s="13" t="s">
        <v>321</v>
      </c>
      <c r="F200" s="22"/>
      <c r="G200" s="22"/>
      <c r="H200" s="80"/>
      <c r="I200" s="80"/>
      <c r="J200" s="80"/>
      <c r="K200" s="80"/>
      <c r="L200" s="80"/>
      <c r="M200" s="80"/>
      <c r="N200" s="52" t="s">
        <v>17</v>
      </c>
    </row>
    <row r="201" spans="1:14" ht="16.5" customHeight="1">
      <c r="A201" s="54"/>
      <c r="B201" s="70" t="s">
        <v>98</v>
      </c>
      <c r="C201" s="76" t="s">
        <v>343</v>
      </c>
      <c r="D201" s="16">
        <v>10.3</v>
      </c>
      <c r="E201" s="17" t="s">
        <v>344</v>
      </c>
      <c r="F201" s="24">
        <f t="shared" ref="F201:F202" si="136">H201+J201+L201</f>
        <v>1596</v>
      </c>
      <c r="G201" s="24">
        <f t="shared" ref="G201:G202" si="137">F201*D201</f>
        <v>16438.800000000003</v>
      </c>
      <c r="H201" s="29">
        <f>자재!$D$9</f>
        <v>1596</v>
      </c>
      <c r="I201" s="84">
        <f t="shared" ref="I201:I202" si="138">TRUNC(H201*$D201,0)</f>
        <v>16438</v>
      </c>
      <c r="J201" s="29"/>
      <c r="K201" s="84">
        <f t="shared" ref="K201:K202" si="139">TRUNC(J201*$D201,0)</f>
        <v>0</v>
      </c>
      <c r="L201" s="29"/>
      <c r="M201" s="84">
        <f t="shared" ref="M201:M202" si="140">TRUNC(L201*$D201,0)</f>
        <v>0</v>
      </c>
      <c r="N201" s="49"/>
    </row>
    <row r="202" spans="1:14" ht="16.5" customHeight="1">
      <c r="A202" s="54"/>
      <c r="B202" s="70" t="s">
        <v>99</v>
      </c>
      <c r="C202" s="66" t="s">
        <v>345</v>
      </c>
      <c r="D202" s="21">
        <v>0.2</v>
      </c>
      <c r="E202" s="17"/>
      <c r="F202" s="24">
        <f t="shared" si="136"/>
        <v>16438</v>
      </c>
      <c r="G202" s="24">
        <f t="shared" si="137"/>
        <v>3287.6000000000004</v>
      </c>
      <c r="H202" s="29">
        <f>I201</f>
        <v>16438</v>
      </c>
      <c r="I202" s="84">
        <f t="shared" si="138"/>
        <v>3287</v>
      </c>
      <c r="J202" s="29"/>
      <c r="K202" s="84">
        <f t="shared" si="139"/>
        <v>0</v>
      </c>
      <c r="L202" s="29"/>
      <c r="M202" s="84">
        <f t="shared" si="140"/>
        <v>0</v>
      </c>
      <c r="N202" s="49"/>
    </row>
    <row r="203" spans="1:14" ht="16.5" customHeight="1">
      <c r="A203" s="55"/>
      <c r="B203" s="18" t="s">
        <v>332</v>
      </c>
      <c r="C203" s="19"/>
      <c r="D203" s="20"/>
      <c r="E203" s="20"/>
      <c r="F203" s="25"/>
      <c r="G203" s="25">
        <f>SUM(G201:G202)</f>
        <v>19726.400000000001</v>
      </c>
      <c r="H203" s="30"/>
      <c r="I203" s="85">
        <f>SUM(I201:I202)</f>
        <v>19725</v>
      </c>
      <c r="J203" s="30"/>
      <c r="K203" s="85">
        <f>SUM(K201:K202)</f>
        <v>0</v>
      </c>
      <c r="L203" s="30"/>
      <c r="M203" s="85">
        <f>SUM(M201:M202)</f>
        <v>0</v>
      </c>
      <c r="N203" s="50"/>
    </row>
    <row r="204" spans="1:14" ht="16.5" customHeight="1">
      <c r="A204" s="56"/>
      <c r="B204" s="67"/>
      <c r="C204" s="67"/>
      <c r="D204" s="68"/>
      <c r="E204" s="68"/>
      <c r="F204" s="26"/>
      <c r="G204" s="26"/>
      <c r="H204" s="31"/>
      <c r="I204" s="86"/>
      <c r="J204" s="31"/>
      <c r="K204" s="86"/>
      <c r="L204" s="31"/>
      <c r="M204" s="86"/>
      <c r="N204" s="51"/>
    </row>
    <row r="205" spans="1:14" ht="16.5" customHeight="1">
      <c r="A205" s="99">
        <f>A200+1</f>
        <v>30</v>
      </c>
      <c r="B205" s="69" t="s">
        <v>367</v>
      </c>
      <c r="C205" s="75">
        <v>850</v>
      </c>
      <c r="D205" s="64">
        <v>1</v>
      </c>
      <c r="E205" s="13" t="s">
        <v>16</v>
      </c>
      <c r="F205" s="22"/>
      <c r="G205" s="22"/>
      <c r="H205" s="80"/>
      <c r="I205" s="80"/>
      <c r="J205" s="80"/>
      <c r="K205" s="80"/>
      <c r="L205" s="80"/>
      <c r="M205" s="80"/>
      <c r="N205" s="52" t="s">
        <v>17</v>
      </c>
    </row>
    <row r="206" spans="1:14" ht="16.5" customHeight="1">
      <c r="A206" s="54"/>
      <c r="B206" s="70" t="s">
        <v>97</v>
      </c>
      <c r="C206" s="66"/>
      <c r="D206" s="16">
        <v>0.08</v>
      </c>
      <c r="E206" s="17" t="s">
        <v>311</v>
      </c>
      <c r="F206" s="24">
        <f t="shared" ref="F206:F209" si="141">H206+J206+L206</f>
        <v>173995</v>
      </c>
      <c r="G206" s="24">
        <f t="shared" ref="G206:G209" si="142">F206*D206</f>
        <v>13919.6</v>
      </c>
      <c r="H206" s="29"/>
      <c r="I206" s="84">
        <f t="shared" ref="I206:I209" si="143">TRUNC(H206*$D206,0)</f>
        <v>0</v>
      </c>
      <c r="J206" s="29">
        <f>노임!$D$7</f>
        <v>173995</v>
      </c>
      <c r="K206" s="84">
        <f t="shared" ref="K206:K209" si="144">TRUNC(J206*$D206,0)</f>
        <v>13919</v>
      </c>
      <c r="L206" s="29"/>
      <c r="M206" s="84">
        <f t="shared" ref="M206:M209" si="145">TRUNC(L206*$D206,0)</f>
        <v>0</v>
      </c>
      <c r="N206" s="49"/>
    </row>
    <row r="207" spans="1:14" ht="16.5" customHeight="1">
      <c r="A207" s="54"/>
      <c r="B207" s="70" t="s">
        <v>77</v>
      </c>
      <c r="C207" s="66"/>
      <c r="D207" s="16">
        <v>0.72</v>
      </c>
      <c r="E207" s="17" t="s">
        <v>311</v>
      </c>
      <c r="F207" s="24">
        <f t="shared" si="141"/>
        <v>262580</v>
      </c>
      <c r="G207" s="24">
        <f t="shared" si="142"/>
        <v>189057.6</v>
      </c>
      <c r="H207" s="29"/>
      <c r="I207" s="84">
        <f t="shared" si="143"/>
        <v>0</v>
      </c>
      <c r="J207" s="29">
        <f>노임!$D$8</f>
        <v>262580</v>
      </c>
      <c r="K207" s="84">
        <f t="shared" si="144"/>
        <v>189057</v>
      </c>
      <c r="L207" s="29"/>
      <c r="M207" s="84">
        <f t="shared" si="145"/>
        <v>0</v>
      </c>
      <c r="N207" s="49"/>
    </row>
    <row r="208" spans="1:14" ht="16.5" customHeight="1">
      <c r="A208" s="54"/>
      <c r="B208" s="70" t="s">
        <v>70</v>
      </c>
      <c r="C208" s="66"/>
      <c r="D208" s="16">
        <v>0.57999999999999996</v>
      </c>
      <c r="E208" s="17" t="s">
        <v>311</v>
      </c>
      <c r="F208" s="24">
        <f t="shared" si="141"/>
        <v>172068</v>
      </c>
      <c r="G208" s="24">
        <f t="shared" si="142"/>
        <v>99799.439999999988</v>
      </c>
      <c r="H208" s="29"/>
      <c r="I208" s="84">
        <f t="shared" si="143"/>
        <v>0</v>
      </c>
      <c r="J208" s="29">
        <f>노임!$D$4</f>
        <v>172068</v>
      </c>
      <c r="K208" s="84">
        <f t="shared" si="144"/>
        <v>99799</v>
      </c>
      <c r="L208" s="29"/>
      <c r="M208" s="84">
        <f t="shared" si="145"/>
        <v>0</v>
      </c>
      <c r="N208" s="49"/>
    </row>
    <row r="209" spans="1:14" ht="16.5" customHeight="1">
      <c r="A209" s="54"/>
      <c r="B209" s="70" t="s">
        <v>101</v>
      </c>
      <c r="C209" s="73">
        <v>10</v>
      </c>
      <c r="D209" s="16">
        <v>1.4</v>
      </c>
      <c r="E209" s="17" t="s">
        <v>321</v>
      </c>
      <c r="F209" s="24">
        <f t="shared" si="141"/>
        <v>90538</v>
      </c>
      <c r="G209" s="24">
        <f t="shared" si="142"/>
        <v>126753.2</v>
      </c>
      <c r="H209" s="29"/>
      <c r="I209" s="84">
        <f t="shared" si="143"/>
        <v>0</v>
      </c>
      <c r="J209" s="29"/>
      <c r="K209" s="84">
        <f t="shared" si="144"/>
        <v>0</v>
      </c>
      <c r="L209" s="29">
        <f>경비!$G$4</f>
        <v>90538</v>
      </c>
      <c r="M209" s="84">
        <f t="shared" si="145"/>
        <v>126753</v>
      </c>
      <c r="N209" s="49"/>
    </row>
    <row r="210" spans="1:14" ht="16.5" customHeight="1">
      <c r="A210" s="55"/>
      <c r="B210" s="18" t="s">
        <v>332</v>
      </c>
      <c r="C210" s="19"/>
      <c r="D210" s="20"/>
      <c r="E210" s="20"/>
      <c r="F210" s="25"/>
      <c r="G210" s="25">
        <f>SUM(G206:G209)</f>
        <v>429529.84</v>
      </c>
      <c r="H210" s="30"/>
      <c r="I210" s="85">
        <f>SUM(I206:I209)</f>
        <v>0</v>
      </c>
      <c r="J210" s="30"/>
      <c r="K210" s="85">
        <f>SUM(K206:K209)</f>
        <v>302775</v>
      </c>
      <c r="L210" s="30"/>
      <c r="M210" s="85">
        <f>SUM(M206:M209)</f>
        <v>126753</v>
      </c>
      <c r="N210" s="50"/>
    </row>
    <row r="211" spans="1:14" ht="16.5" customHeight="1">
      <c r="A211" s="56"/>
      <c r="B211" s="67"/>
      <c r="C211" s="67"/>
      <c r="D211" s="68"/>
      <c r="E211" s="68"/>
      <c r="F211" s="26"/>
      <c r="G211" s="26"/>
      <c r="H211" s="31"/>
      <c r="I211" s="86"/>
      <c r="J211" s="31"/>
      <c r="K211" s="86"/>
      <c r="L211" s="31"/>
      <c r="M211" s="86"/>
      <c r="N211" s="51"/>
    </row>
    <row r="212" spans="1:14" ht="16.5" customHeight="1">
      <c r="A212" s="99">
        <f>A205+1</f>
        <v>31</v>
      </c>
      <c r="B212" s="69" t="s">
        <v>368</v>
      </c>
      <c r="C212" s="75">
        <v>850</v>
      </c>
      <c r="D212" s="64">
        <v>1</v>
      </c>
      <c r="E212" s="13" t="s">
        <v>16</v>
      </c>
      <c r="F212" s="22"/>
      <c r="G212" s="22"/>
      <c r="H212" s="80"/>
      <c r="I212" s="80"/>
      <c r="J212" s="80"/>
      <c r="K212" s="80"/>
      <c r="L212" s="80"/>
      <c r="M212" s="80"/>
      <c r="N212" s="52" t="s">
        <v>17</v>
      </c>
    </row>
    <row r="213" spans="1:14" ht="16.5" customHeight="1">
      <c r="A213" s="54"/>
      <c r="B213" s="70" t="s">
        <v>77</v>
      </c>
      <c r="C213" s="66"/>
      <c r="D213" s="16">
        <v>0.54</v>
      </c>
      <c r="E213" s="17" t="s">
        <v>311</v>
      </c>
      <c r="F213" s="24">
        <f t="shared" ref="F213:F215" si="146">H213+J213+L213</f>
        <v>262580</v>
      </c>
      <c r="G213" s="24">
        <f t="shared" ref="G213:G215" si="147">F213*D213</f>
        <v>141793.20000000001</v>
      </c>
      <c r="H213" s="29"/>
      <c r="I213" s="84">
        <f t="shared" ref="I213:I215" si="148">TRUNC(H213*$D213,0)</f>
        <v>0</v>
      </c>
      <c r="J213" s="29">
        <f>노임!$D$8</f>
        <v>262580</v>
      </c>
      <c r="K213" s="84">
        <f t="shared" ref="K213:K215" si="149">TRUNC(J213*$D213,0)</f>
        <v>141793</v>
      </c>
      <c r="L213" s="29"/>
      <c r="M213" s="84">
        <f t="shared" ref="M213:M215" si="150">TRUNC(L213*$D213,0)</f>
        <v>0</v>
      </c>
      <c r="N213" s="49"/>
    </row>
    <row r="214" spans="1:14" ht="16.5" customHeight="1">
      <c r="A214" s="54"/>
      <c r="B214" s="70" t="s">
        <v>70</v>
      </c>
      <c r="C214" s="66"/>
      <c r="D214" s="16">
        <v>0.34</v>
      </c>
      <c r="E214" s="17" t="s">
        <v>311</v>
      </c>
      <c r="F214" s="24">
        <f t="shared" si="146"/>
        <v>172068</v>
      </c>
      <c r="G214" s="24">
        <f t="shared" si="147"/>
        <v>58503.12</v>
      </c>
      <c r="H214" s="29"/>
      <c r="I214" s="84">
        <f t="shared" si="148"/>
        <v>0</v>
      </c>
      <c r="J214" s="29">
        <f>노임!$D$4</f>
        <v>172068</v>
      </c>
      <c r="K214" s="84">
        <f t="shared" si="149"/>
        <v>58503</v>
      </c>
      <c r="L214" s="29"/>
      <c r="M214" s="84">
        <f t="shared" si="150"/>
        <v>0</v>
      </c>
      <c r="N214" s="49"/>
    </row>
    <row r="215" spans="1:14" ht="16.5" customHeight="1">
      <c r="A215" s="54"/>
      <c r="B215" s="70" t="s">
        <v>101</v>
      </c>
      <c r="C215" s="73">
        <v>15</v>
      </c>
      <c r="D215" s="16">
        <v>0.7</v>
      </c>
      <c r="E215" s="17" t="s">
        <v>321</v>
      </c>
      <c r="F215" s="24">
        <f t="shared" si="146"/>
        <v>99229</v>
      </c>
      <c r="G215" s="24">
        <f t="shared" si="147"/>
        <v>69460.299999999988</v>
      </c>
      <c r="H215" s="29"/>
      <c r="I215" s="84">
        <f t="shared" si="148"/>
        <v>0</v>
      </c>
      <c r="J215" s="29"/>
      <c r="K215" s="84">
        <f t="shared" si="149"/>
        <v>0</v>
      </c>
      <c r="L215" s="29">
        <f>경비!$G$5</f>
        <v>99229</v>
      </c>
      <c r="M215" s="84">
        <f t="shared" si="150"/>
        <v>69460</v>
      </c>
      <c r="N215" s="49"/>
    </row>
    <row r="216" spans="1:14" ht="16.5" customHeight="1">
      <c r="A216" s="55"/>
      <c r="B216" s="18" t="s">
        <v>332</v>
      </c>
      <c r="C216" s="19"/>
      <c r="D216" s="20"/>
      <c r="E216" s="20"/>
      <c r="F216" s="25"/>
      <c r="G216" s="25">
        <f>SUM(G213:G215)</f>
        <v>269756.62</v>
      </c>
      <c r="H216" s="30"/>
      <c r="I216" s="85">
        <f>SUM(I213:I215)</f>
        <v>0</v>
      </c>
      <c r="J216" s="30"/>
      <c r="K216" s="85">
        <f>SUM(K213:K215)</f>
        <v>200296</v>
      </c>
      <c r="L216" s="30"/>
      <c r="M216" s="85">
        <f>SUM(M213:M215)</f>
        <v>69460</v>
      </c>
      <c r="N216" s="50"/>
    </row>
    <row r="217" spans="1:14" ht="16.5" customHeight="1">
      <c r="A217" s="56"/>
      <c r="B217" s="67"/>
      <c r="C217" s="67"/>
      <c r="D217" s="68"/>
      <c r="E217" s="68"/>
      <c r="F217" s="26"/>
      <c r="G217" s="26"/>
      <c r="H217" s="31"/>
      <c r="I217" s="86"/>
      <c r="J217" s="31"/>
      <c r="K217" s="86"/>
      <c r="L217" s="31"/>
      <c r="M217" s="86"/>
      <c r="N217" s="51"/>
    </row>
    <row r="218" spans="1:14" ht="16.5" customHeight="1">
      <c r="A218" s="99">
        <f>A212+1</f>
        <v>32</v>
      </c>
      <c r="B218" s="69" t="s">
        <v>369</v>
      </c>
      <c r="C218" s="75">
        <v>850</v>
      </c>
      <c r="D218" s="64">
        <v>1</v>
      </c>
      <c r="E218" s="13" t="s">
        <v>16</v>
      </c>
      <c r="F218" s="22"/>
      <c r="G218" s="22"/>
      <c r="H218" s="80"/>
      <c r="I218" s="80"/>
      <c r="J218" s="80"/>
      <c r="K218" s="80"/>
      <c r="L218" s="80"/>
      <c r="M218" s="80"/>
      <c r="N218" s="52" t="s">
        <v>17</v>
      </c>
    </row>
    <row r="219" spans="1:14" ht="16.5" customHeight="1">
      <c r="A219" s="54"/>
      <c r="B219" s="15" t="s">
        <v>120</v>
      </c>
      <c r="C219" s="76">
        <v>850</v>
      </c>
      <c r="D219" s="16">
        <v>1</v>
      </c>
      <c r="E219" s="17" t="s">
        <v>334</v>
      </c>
      <c r="F219" s="24">
        <f t="shared" ref="F219:F222" si="151">H219+J219+L219</f>
        <v>168187</v>
      </c>
      <c r="G219" s="24">
        <f t="shared" ref="G219:G222" si="152">F219*D219</f>
        <v>168187</v>
      </c>
      <c r="H219" s="29">
        <v>0</v>
      </c>
      <c r="I219" s="84">
        <f t="shared" ref="I219:I222" si="153">TRUNC(H219*$D219,0)</f>
        <v>0</v>
      </c>
      <c r="J219" s="29">
        <f>K229</f>
        <v>145333</v>
      </c>
      <c r="K219" s="84">
        <f t="shared" ref="K219:K222" si="154">TRUNC(J219*$D219,0)</f>
        <v>145333</v>
      </c>
      <c r="L219" s="29">
        <f>M229</f>
        <v>22854</v>
      </c>
      <c r="M219" s="84">
        <f t="shared" ref="M219:M222" si="155">TRUNC(L219*$D219,0)</f>
        <v>22854</v>
      </c>
      <c r="N219" s="49">
        <f>A225</f>
        <v>33</v>
      </c>
    </row>
    <row r="220" spans="1:14" ht="16.5" customHeight="1">
      <c r="A220" s="54"/>
      <c r="B220" s="15" t="s">
        <v>121</v>
      </c>
      <c r="C220" s="76">
        <v>850</v>
      </c>
      <c r="D220" s="16">
        <v>1</v>
      </c>
      <c r="E220" s="17" t="s">
        <v>334</v>
      </c>
      <c r="F220" s="24">
        <f t="shared" si="151"/>
        <v>108025</v>
      </c>
      <c r="G220" s="24">
        <f t="shared" si="152"/>
        <v>108025</v>
      </c>
      <c r="H220" s="29">
        <v>0</v>
      </c>
      <c r="I220" s="84">
        <f t="shared" si="153"/>
        <v>0</v>
      </c>
      <c r="J220" s="29">
        <f>K234</f>
        <v>108025</v>
      </c>
      <c r="K220" s="84">
        <f t="shared" si="154"/>
        <v>108025</v>
      </c>
      <c r="L220" s="29">
        <v>0</v>
      </c>
      <c r="M220" s="84">
        <f t="shared" si="155"/>
        <v>0</v>
      </c>
      <c r="N220" s="49">
        <f>A231</f>
        <v>34</v>
      </c>
    </row>
    <row r="221" spans="1:14" ht="16.5" customHeight="1">
      <c r="A221" s="54"/>
      <c r="B221" s="70" t="s">
        <v>96</v>
      </c>
      <c r="C221" s="76">
        <v>850</v>
      </c>
      <c r="D221" s="16">
        <v>1</v>
      </c>
      <c r="E221" s="17" t="s">
        <v>334</v>
      </c>
      <c r="F221" s="24">
        <f t="shared" si="151"/>
        <v>550910</v>
      </c>
      <c r="G221" s="24">
        <f t="shared" si="152"/>
        <v>550910</v>
      </c>
      <c r="H221" s="29">
        <f>자재견적서!$AR$19</f>
        <v>550910</v>
      </c>
      <c r="I221" s="84">
        <f t="shared" si="153"/>
        <v>550910</v>
      </c>
      <c r="J221" s="29"/>
      <c r="K221" s="84">
        <f t="shared" si="154"/>
        <v>0</v>
      </c>
      <c r="L221" s="29"/>
      <c r="M221" s="84">
        <f t="shared" si="155"/>
        <v>0</v>
      </c>
      <c r="N221" s="49"/>
    </row>
    <row r="222" spans="1:14" ht="16.5" customHeight="1">
      <c r="A222" s="54"/>
      <c r="B222" s="70" t="s">
        <v>122</v>
      </c>
      <c r="C222" s="76">
        <v>850</v>
      </c>
      <c r="D222" s="16">
        <v>1</v>
      </c>
      <c r="E222" s="17" t="s">
        <v>308</v>
      </c>
      <c r="F222" s="24">
        <f t="shared" si="151"/>
        <v>992660</v>
      </c>
      <c r="G222" s="24">
        <f t="shared" si="152"/>
        <v>992660</v>
      </c>
      <c r="H222" s="29">
        <f>자재견적서!AR24</f>
        <v>992660</v>
      </c>
      <c r="I222" s="84">
        <f t="shared" si="153"/>
        <v>992660</v>
      </c>
      <c r="J222" s="29"/>
      <c r="K222" s="84">
        <f t="shared" si="154"/>
        <v>0</v>
      </c>
      <c r="L222" s="29"/>
      <c r="M222" s="84">
        <f t="shared" si="155"/>
        <v>0</v>
      </c>
      <c r="N222" s="49"/>
    </row>
    <row r="223" spans="1:14" ht="16.5" customHeight="1">
      <c r="A223" s="55"/>
      <c r="B223" s="18" t="s">
        <v>332</v>
      </c>
      <c r="C223" s="19"/>
      <c r="D223" s="20"/>
      <c r="E223" s="20"/>
      <c r="F223" s="25"/>
      <c r="G223" s="25">
        <f>SUM(G219:G222)</f>
        <v>1819782</v>
      </c>
      <c r="H223" s="30"/>
      <c r="I223" s="85">
        <f>SUM(I219:I222)</f>
        <v>1543570</v>
      </c>
      <c r="J223" s="30"/>
      <c r="K223" s="85">
        <f>SUM(K219:K222)</f>
        <v>253358</v>
      </c>
      <c r="L223" s="30"/>
      <c r="M223" s="85">
        <f>SUM(M219:M222)</f>
        <v>22854</v>
      </c>
      <c r="N223" s="50"/>
    </row>
    <row r="224" spans="1:14" ht="16.5" customHeight="1">
      <c r="A224" s="56"/>
      <c r="B224" s="67"/>
      <c r="C224" s="67"/>
      <c r="D224" s="68"/>
      <c r="E224" s="68"/>
      <c r="F224" s="26"/>
      <c r="G224" s="26"/>
      <c r="H224" s="31"/>
      <c r="I224" s="86"/>
      <c r="J224" s="31"/>
      <c r="K224" s="86"/>
      <c r="L224" s="31"/>
      <c r="M224" s="86"/>
      <c r="N224" s="51"/>
    </row>
    <row r="225" spans="1:14" ht="16.5" customHeight="1">
      <c r="A225" s="99">
        <f>A218+1</f>
        <v>33</v>
      </c>
      <c r="B225" s="69" t="s">
        <v>370</v>
      </c>
      <c r="C225" s="75">
        <v>850</v>
      </c>
      <c r="D225" s="64">
        <v>1</v>
      </c>
      <c r="E225" s="13" t="s">
        <v>16</v>
      </c>
      <c r="F225" s="22"/>
      <c r="G225" s="22"/>
      <c r="H225" s="80"/>
      <c r="I225" s="80"/>
      <c r="J225" s="80"/>
      <c r="K225" s="80"/>
      <c r="L225" s="80"/>
      <c r="M225" s="80"/>
      <c r="N225" s="52" t="s">
        <v>17</v>
      </c>
    </row>
    <row r="226" spans="1:14" ht="16.5" customHeight="1">
      <c r="A226" s="54"/>
      <c r="B226" s="70" t="s">
        <v>77</v>
      </c>
      <c r="C226" s="66"/>
      <c r="D226" s="16">
        <v>0.37</v>
      </c>
      <c r="E226" s="17" t="s">
        <v>311</v>
      </c>
      <c r="F226" s="24">
        <f t="shared" ref="F226:F228" si="156">H226+J226+L226</f>
        <v>262580</v>
      </c>
      <c r="G226" s="24">
        <f t="shared" ref="G226:G228" si="157">F226*D226</f>
        <v>97154.6</v>
      </c>
      <c r="H226" s="29"/>
      <c r="I226" s="84">
        <f t="shared" ref="I226:I228" si="158">TRUNC(H226*$D226,0)</f>
        <v>0</v>
      </c>
      <c r="J226" s="29">
        <f>노임!$D$8</f>
        <v>262580</v>
      </c>
      <c r="K226" s="84">
        <f t="shared" ref="K226:K228" si="159">TRUNC(J226*$D226,0)</f>
        <v>97154</v>
      </c>
      <c r="L226" s="29"/>
      <c r="M226" s="84">
        <f t="shared" ref="M226:M228" si="160">TRUNC(L226*$D226,0)</f>
        <v>0</v>
      </c>
      <c r="N226" s="49"/>
    </row>
    <row r="227" spans="1:14" ht="16.5" customHeight="1">
      <c r="A227" s="54"/>
      <c r="B227" s="70" t="s">
        <v>70</v>
      </c>
      <c r="C227" s="66"/>
      <c r="D227" s="16">
        <v>0.28000000000000003</v>
      </c>
      <c r="E227" s="17" t="s">
        <v>311</v>
      </c>
      <c r="F227" s="24">
        <f t="shared" si="156"/>
        <v>172068</v>
      </c>
      <c r="G227" s="24">
        <f t="shared" si="157"/>
        <v>48179.040000000008</v>
      </c>
      <c r="H227" s="29"/>
      <c r="I227" s="84">
        <f t="shared" si="158"/>
        <v>0</v>
      </c>
      <c r="J227" s="29">
        <f>노임!$D$4</f>
        <v>172068</v>
      </c>
      <c r="K227" s="84">
        <f t="shared" si="159"/>
        <v>48179</v>
      </c>
      <c r="L227" s="29"/>
      <c r="M227" s="84">
        <f t="shared" si="160"/>
        <v>0</v>
      </c>
      <c r="N227" s="49"/>
    </row>
    <row r="228" spans="1:14" ht="16.5" customHeight="1">
      <c r="A228" s="54"/>
      <c r="B228" s="70" t="s">
        <v>101</v>
      </c>
      <c r="C228" s="73">
        <v>5</v>
      </c>
      <c r="D228" s="16">
        <v>0.33</v>
      </c>
      <c r="E228" s="17" t="s">
        <v>321</v>
      </c>
      <c r="F228" s="24">
        <f t="shared" si="156"/>
        <v>69255</v>
      </c>
      <c r="G228" s="24">
        <f t="shared" si="157"/>
        <v>22854.15</v>
      </c>
      <c r="H228" s="29"/>
      <c r="I228" s="84">
        <f t="shared" si="158"/>
        <v>0</v>
      </c>
      <c r="J228" s="29"/>
      <c r="K228" s="84">
        <f t="shared" si="159"/>
        <v>0</v>
      </c>
      <c r="L228" s="29">
        <f>경비!$G$3</f>
        <v>69255</v>
      </c>
      <c r="M228" s="84">
        <f t="shared" si="160"/>
        <v>22854</v>
      </c>
      <c r="N228" s="49"/>
    </row>
    <row r="229" spans="1:14" ht="16.5" customHeight="1">
      <c r="A229" s="55"/>
      <c r="B229" s="18" t="s">
        <v>332</v>
      </c>
      <c r="C229" s="19"/>
      <c r="D229" s="20"/>
      <c r="E229" s="20"/>
      <c r="F229" s="25"/>
      <c r="G229" s="25">
        <f>SUM(G226:G228)</f>
        <v>168187.79</v>
      </c>
      <c r="H229" s="30"/>
      <c r="I229" s="85">
        <f>SUM(I226:I228)</f>
        <v>0</v>
      </c>
      <c r="J229" s="30"/>
      <c r="K229" s="85">
        <f>SUM(K226:K228)</f>
        <v>145333</v>
      </c>
      <c r="L229" s="30"/>
      <c r="M229" s="85">
        <f>SUM(M226:M228)</f>
        <v>22854</v>
      </c>
      <c r="N229" s="50"/>
    </row>
    <row r="230" spans="1:14" ht="16.5" customHeight="1">
      <c r="A230" s="56"/>
      <c r="B230" s="67"/>
      <c r="C230" s="67"/>
      <c r="D230" s="68"/>
      <c r="E230" s="68"/>
      <c r="F230" s="26"/>
      <c r="G230" s="26"/>
      <c r="H230" s="31"/>
      <c r="I230" s="86"/>
      <c r="J230" s="31"/>
      <c r="K230" s="86"/>
      <c r="L230" s="31"/>
      <c r="M230" s="86"/>
      <c r="N230" s="51"/>
    </row>
    <row r="231" spans="1:14" ht="16.5" customHeight="1">
      <c r="A231" s="99">
        <f>A225+1</f>
        <v>34</v>
      </c>
      <c r="B231" s="69" t="s">
        <v>371</v>
      </c>
      <c r="C231" s="75">
        <v>850</v>
      </c>
      <c r="D231" s="64">
        <v>1</v>
      </c>
      <c r="E231" s="13" t="s">
        <v>16</v>
      </c>
      <c r="F231" s="22"/>
      <c r="G231" s="22"/>
      <c r="H231" s="80"/>
      <c r="I231" s="80"/>
      <c r="J231" s="80"/>
      <c r="K231" s="80"/>
      <c r="L231" s="80"/>
      <c r="M231" s="80"/>
      <c r="N231" s="52" t="s">
        <v>17</v>
      </c>
    </row>
    <row r="232" spans="1:14" ht="16.5" customHeight="1">
      <c r="A232" s="54"/>
      <c r="B232" s="70" t="s">
        <v>77</v>
      </c>
      <c r="C232" s="66"/>
      <c r="D232" s="16">
        <v>0.3</v>
      </c>
      <c r="E232" s="17" t="s">
        <v>311</v>
      </c>
      <c r="F232" s="24">
        <f t="shared" ref="F232:F233" si="161">H232+J232+L232</f>
        <v>262580</v>
      </c>
      <c r="G232" s="24">
        <f t="shared" ref="G232:G233" si="162">F232*D232</f>
        <v>78774</v>
      </c>
      <c r="H232" s="29"/>
      <c r="I232" s="84">
        <f t="shared" ref="I232:I233" si="163">TRUNC(H232*$D232,0)</f>
        <v>0</v>
      </c>
      <c r="J232" s="29">
        <f>노임!$D$8</f>
        <v>262580</v>
      </c>
      <c r="K232" s="84">
        <f t="shared" ref="K232:K233" si="164">TRUNC(J232*$D232,0)</f>
        <v>78774</v>
      </c>
      <c r="L232" s="29"/>
      <c r="M232" s="84">
        <f t="shared" ref="M232:M233" si="165">TRUNC(L232*$D232,0)</f>
        <v>0</v>
      </c>
      <c r="N232" s="49"/>
    </row>
    <row r="233" spans="1:14" ht="16.5" customHeight="1">
      <c r="A233" s="54"/>
      <c r="B233" s="70" t="s">
        <v>70</v>
      </c>
      <c r="C233" s="66"/>
      <c r="D233" s="16">
        <v>0.17</v>
      </c>
      <c r="E233" s="17" t="s">
        <v>311</v>
      </c>
      <c r="F233" s="24">
        <f t="shared" si="161"/>
        <v>172068</v>
      </c>
      <c r="G233" s="24">
        <f t="shared" si="162"/>
        <v>29251.56</v>
      </c>
      <c r="H233" s="29"/>
      <c r="I233" s="84">
        <f t="shared" si="163"/>
        <v>0</v>
      </c>
      <c r="J233" s="29">
        <f>노임!$D$4</f>
        <v>172068</v>
      </c>
      <c r="K233" s="84">
        <f t="shared" si="164"/>
        <v>29251</v>
      </c>
      <c r="L233" s="29"/>
      <c r="M233" s="84">
        <f t="shared" si="165"/>
        <v>0</v>
      </c>
      <c r="N233" s="49"/>
    </row>
    <row r="234" spans="1:14" ht="16.5" customHeight="1">
      <c r="A234" s="55"/>
      <c r="B234" s="18" t="s">
        <v>332</v>
      </c>
      <c r="C234" s="19"/>
      <c r="D234" s="20"/>
      <c r="E234" s="20"/>
      <c r="F234" s="25"/>
      <c r="G234" s="25">
        <f>SUM(G232:G233)</f>
        <v>108025.56</v>
      </c>
      <c r="H234" s="30"/>
      <c r="I234" s="85">
        <f>SUM(I232:I233)</f>
        <v>0</v>
      </c>
      <c r="J234" s="30"/>
      <c r="K234" s="85">
        <f>SUM(K232:K233)</f>
        <v>108025</v>
      </c>
      <c r="L234" s="30"/>
      <c r="M234" s="85">
        <f>SUM(M232:M233)</f>
        <v>0</v>
      </c>
      <c r="N234" s="50"/>
    </row>
    <row r="235" spans="1:14" ht="16.5" customHeight="1">
      <c r="A235" s="56"/>
      <c r="B235" s="67"/>
      <c r="C235" s="67"/>
      <c r="D235" s="68"/>
      <c r="E235" s="68"/>
      <c r="F235" s="26"/>
      <c r="G235" s="26"/>
      <c r="H235" s="31"/>
      <c r="I235" s="86"/>
      <c r="J235" s="31"/>
      <c r="K235" s="86"/>
      <c r="L235" s="31"/>
      <c r="M235" s="86"/>
      <c r="N235" s="51"/>
    </row>
    <row r="236" spans="1:14" ht="16.5" customHeight="1">
      <c r="A236" s="99">
        <f>A231+1</f>
        <v>35</v>
      </c>
      <c r="B236" s="69" t="s">
        <v>372</v>
      </c>
      <c r="C236" s="63">
        <v>1200</v>
      </c>
      <c r="D236" s="64">
        <v>1</v>
      </c>
      <c r="E236" s="13" t="s">
        <v>16</v>
      </c>
      <c r="F236" s="22"/>
      <c r="G236" s="22"/>
      <c r="H236" s="80"/>
      <c r="I236" s="80"/>
      <c r="J236" s="80"/>
      <c r="K236" s="80"/>
      <c r="L236" s="80"/>
      <c r="M236" s="80"/>
      <c r="N236" s="52" t="s">
        <v>17</v>
      </c>
    </row>
    <row r="237" spans="1:14" ht="16.5" customHeight="1">
      <c r="A237" s="54"/>
      <c r="B237" s="70" t="s">
        <v>123</v>
      </c>
      <c r="C237" s="66"/>
      <c r="D237" s="16">
        <v>1</v>
      </c>
      <c r="E237" s="17" t="s">
        <v>311</v>
      </c>
      <c r="F237" s="24">
        <f t="shared" ref="F237" si="166">H237+J237+L237</f>
        <v>335379</v>
      </c>
      <c r="G237" s="24">
        <f t="shared" ref="G237" si="167">F237*D237</f>
        <v>335379</v>
      </c>
      <c r="H237" s="29"/>
      <c r="I237" s="84">
        <f t="shared" ref="I237" si="168">TRUNC(H237*$D237,0)</f>
        <v>0</v>
      </c>
      <c r="J237" s="29">
        <f>노임!$D$12</f>
        <v>335379</v>
      </c>
      <c r="K237" s="84">
        <f t="shared" ref="K237" si="169">TRUNC(J237*$D237,0)</f>
        <v>335379</v>
      </c>
      <c r="L237" s="29"/>
      <c r="M237" s="84">
        <f t="shared" ref="M237" si="170">TRUNC(L237*$D237,0)</f>
        <v>0</v>
      </c>
      <c r="N237" s="49"/>
    </row>
    <row r="238" spans="1:14" ht="16.5" customHeight="1">
      <c r="A238" s="55"/>
      <c r="B238" s="18" t="s">
        <v>332</v>
      </c>
      <c r="C238" s="19"/>
      <c r="D238" s="20"/>
      <c r="E238" s="20"/>
      <c r="F238" s="25"/>
      <c r="G238" s="25">
        <f>SUM(G237)</f>
        <v>335379</v>
      </c>
      <c r="H238" s="30"/>
      <c r="I238" s="85">
        <f>SUM(I237:I237)</f>
        <v>0</v>
      </c>
      <c r="J238" s="30"/>
      <c r="K238" s="85">
        <f>SUM(K237:K237)</f>
        <v>335379</v>
      </c>
      <c r="L238" s="30"/>
      <c r="M238" s="85">
        <f>SUM(M237:M237)</f>
        <v>0</v>
      </c>
      <c r="N238" s="50"/>
    </row>
    <row r="239" spans="1:14" ht="16.5" customHeight="1">
      <c r="A239" s="56"/>
      <c r="B239" s="67"/>
      <c r="C239" s="67"/>
      <c r="D239" s="68"/>
      <c r="E239" s="68"/>
      <c r="F239" s="26"/>
      <c r="G239" s="26"/>
      <c r="H239" s="31"/>
      <c r="I239" s="86"/>
      <c r="J239" s="31"/>
      <c r="K239" s="86"/>
      <c r="L239" s="31"/>
      <c r="M239" s="86"/>
      <c r="N239" s="51"/>
    </row>
    <row r="240" spans="1:14" ht="16.5" customHeight="1">
      <c r="A240" s="99">
        <f>A236+1</f>
        <v>36</v>
      </c>
      <c r="B240" s="69" t="s">
        <v>373</v>
      </c>
      <c r="C240" s="63">
        <v>1200</v>
      </c>
      <c r="D240" s="64">
        <v>1</v>
      </c>
      <c r="E240" s="13" t="s">
        <v>16</v>
      </c>
      <c r="F240" s="22"/>
      <c r="G240" s="22"/>
      <c r="H240" s="80"/>
      <c r="I240" s="80"/>
      <c r="J240" s="80"/>
      <c r="K240" s="80"/>
      <c r="L240" s="80"/>
      <c r="M240" s="80"/>
      <c r="N240" s="52" t="s">
        <v>17</v>
      </c>
    </row>
    <row r="241" spans="1:14" ht="16.5" customHeight="1">
      <c r="A241" s="54"/>
      <c r="B241" s="70" t="s">
        <v>374</v>
      </c>
      <c r="C241" s="66"/>
      <c r="D241" s="16">
        <v>1</v>
      </c>
      <c r="E241" s="17" t="s">
        <v>375</v>
      </c>
      <c r="F241" s="24">
        <f t="shared" ref="F241" si="171">H241+J241+L241</f>
        <v>5930000</v>
      </c>
      <c r="G241" s="24">
        <f t="shared" ref="G241" si="172">F241*D241</f>
        <v>5930000</v>
      </c>
      <c r="H241" s="29"/>
      <c r="I241" s="84">
        <f t="shared" ref="I241" si="173">TRUNC(H241*$D241,0)</f>
        <v>0</v>
      </c>
      <c r="J241" s="29"/>
      <c r="K241" s="84">
        <f t="shared" ref="K241" si="174">TRUNC(J241*$D241,0)</f>
        <v>0</v>
      </c>
      <c r="L241" s="100">
        <f>경비!G11</f>
        <v>5930000</v>
      </c>
      <c r="M241" s="84">
        <f t="shared" ref="M241" si="175">TRUNC(L241*$D241,0)</f>
        <v>5930000</v>
      </c>
      <c r="N241" s="49"/>
    </row>
    <row r="242" spans="1:14" ht="16.5" customHeight="1">
      <c r="A242" s="55"/>
      <c r="B242" s="18" t="s">
        <v>309</v>
      </c>
      <c r="C242" s="19"/>
      <c r="D242" s="20"/>
      <c r="E242" s="20"/>
      <c r="F242" s="25"/>
      <c r="G242" s="25">
        <f>SUM(G241)</f>
        <v>5930000</v>
      </c>
      <c r="H242" s="30"/>
      <c r="I242" s="85">
        <f>SUM(I241:I241)</f>
        <v>0</v>
      </c>
      <c r="J242" s="30"/>
      <c r="K242" s="85">
        <f>SUM(K241:K241)</f>
        <v>0</v>
      </c>
      <c r="L242" s="30"/>
      <c r="M242" s="85">
        <f>SUM(M241:M241)</f>
        <v>5930000</v>
      </c>
      <c r="N242" s="50"/>
    </row>
    <row r="243" spans="1:14" ht="16.5" customHeight="1">
      <c r="A243" s="56"/>
      <c r="B243" s="67"/>
      <c r="C243" s="67"/>
      <c r="D243" s="68"/>
      <c r="E243" s="68"/>
      <c r="F243" s="26"/>
      <c r="G243" s="26"/>
      <c r="H243" s="31"/>
      <c r="I243" s="86"/>
      <c r="J243" s="31"/>
      <c r="K243" s="86"/>
      <c r="L243" s="31"/>
      <c r="M243" s="86"/>
      <c r="N243" s="51"/>
    </row>
    <row r="244" spans="1:14" ht="16.5" customHeight="1">
      <c r="A244" s="99">
        <f>A240+1</f>
        <v>37</v>
      </c>
      <c r="B244" s="69" t="s">
        <v>376</v>
      </c>
      <c r="C244" s="75">
        <v>850</v>
      </c>
      <c r="D244" s="64">
        <v>1</v>
      </c>
      <c r="E244" s="13" t="s">
        <v>16</v>
      </c>
      <c r="F244" s="22"/>
      <c r="G244" s="22"/>
      <c r="H244" s="80"/>
      <c r="I244" s="80"/>
      <c r="J244" s="80"/>
      <c r="K244" s="80"/>
      <c r="L244" s="80"/>
      <c r="M244" s="80"/>
      <c r="N244" s="52" t="s">
        <v>17</v>
      </c>
    </row>
    <row r="245" spans="1:14" ht="16.5" customHeight="1">
      <c r="A245" s="54"/>
      <c r="B245" s="70" t="s">
        <v>377</v>
      </c>
      <c r="C245" s="66" t="s">
        <v>70</v>
      </c>
      <c r="D245" s="16">
        <v>8</v>
      </c>
      <c r="E245" s="17" t="s">
        <v>378</v>
      </c>
      <c r="F245" s="24">
        <f t="shared" ref="F245" si="176">H245+J245+L245</f>
        <v>75881</v>
      </c>
      <c r="G245" s="24">
        <f t="shared" ref="G245" si="177">F245*D245</f>
        <v>607048</v>
      </c>
      <c r="H245" s="29">
        <v>0</v>
      </c>
      <c r="I245" s="84">
        <f t="shared" ref="I245" si="178">TRUNC(H245*$D245,0)</f>
        <v>0</v>
      </c>
      <c r="J245" s="29">
        <f>K250</f>
        <v>75881</v>
      </c>
      <c r="K245" s="84">
        <f t="shared" ref="K245" si="179">TRUNC(J245*$D245,0)</f>
        <v>607048</v>
      </c>
      <c r="L245" s="29">
        <v>0</v>
      </c>
      <c r="M245" s="84">
        <f t="shared" ref="M245" si="180">TRUNC(L245*$D245,0)</f>
        <v>0</v>
      </c>
      <c r="N245" s="49">
        <f>A248</f>
        <v>38</v>
      </c>
    </row>
    <row r="246" spans="1:14" ht="16.5" customHeight="1">
      <c r="A246" s="55"/>
      <c r="B246" s="18" t="s">
        <v>332</v>
      </c>
      <c r="C246" s="19"/>
      <c r="D246" s="20"/>
      <c r="E246" s="20"/>
      <c r="F246" s="25"/>
      <c r="G246" s="25">
        <f>SUM(G245)</f>
        <v>607048</v>
      </c>
      <c r="H246" s="30"/>
      <c r="I246" s="85">
        <f>SUM(I245:I245)</f>
        <v>0</v>
      </c>
      <c r="J246" s="30"/>
      <c r="K246" s="85">
        <f>SUM(K245:K245)</f>
        <v>607048</v>
      </c>
      <c r="L246" s="30"/>
      <c r="M246" s="85">
        <f>SUM(M245:M245)</f>
        <v>0</v>
      </c>
      <c r="N246" s="50"/>
    </row>
    <row r="247" spans="1:14" ht="16.5" customHeight="1">
      <c r="A247" s="56"/>
      <c r="B247" s="67"/>
      <c r="C247" s="67"/>
      <c r="D247" s="68"/>
      <c r="E247" s="68"/>
      <c r="F247" s="26"/>
      <c r="G247" s="26"/>
      <c r="H247" s="31"/>
      <c r="I247" s="86"/>
      <c r="J247" s="31"/>
      <c r="K247" s="86"/>
      <c r="L247" s="31"/>
      <c r="M247" s="86"/>
      <c r="N247" s="51"/>
    </row>
    <row r="248" spans="1:14" ht="16.5" customHeight="1">
      <c r="A248" s="99">
        <f>A244+1</f>
        <v>38</v>
      </c>
      <c r="B248" s="69" t="s">
        <v>377</v>
      </c>
      <c r="C248" s="75">
        <v>850</v>
      </c>
      <c r="D248" s="64">
        <v>1</v>
      </c>
      <c r="E248" s="13" t="s">
        <v>379</v>
      </c>
      <c r="F248" s="22"/>
      <c r="G248" s="22"/>
      <c r="H248" s="80"/>
      <c r="I248" s="80"/>
      <c r="J248" s="80"/>
      <c r="K248" s="80"/>
      <c r="L248" s="80"/>
      <c r="M248" s="80"/>
      <c r="N248" s="52" t="s">
        <v>17</v>
      </c>
    </row>
    <row r="249" spans="1:14" ht="16.5" customHeight="1">
      <c r="A249" s="54"/>
      <c r="B249" s="70" t="s">
        <v>70</v>
      </c>
      <c r="C249" s="66"/>
      <c r="D249" s="16">
        <v>0.441</v>
      </c>
      <c r="E249" s="17" t="s">
        <v>311</v>
      </c>
      <c r="F249" s="24">
        <f t="shared" ref="F249" si="181">H249+J249+L249</f>
        <v>172068</v>
      </c>
      <c r="G249" s="24">
        <f t="shared" ref="G249" si="182">F249*D249</f>
        <v>75881.987999999998</v>
      </c>
      <c r="H249" s="29"/>
      <c r="I249" s="84">
        <f t="shared" ref="I249" si="183">TRUNC(H249*$D249,0)</f>
        <v>0</v>
      </c>
      <c r="J249" s="29">
        <f>노임!$D$4</f>
        <v>172068</v>
      </c>
      <c r="K249" s="84">
        <f t="shared" ref="K249" si="184">TRUNC(J249*$D249,0)</f>
        <v>75881</v>
      </c>
      <c r="L249" s="29"/>
      <c r="M249" s="84">
        <f t="shared" ref="M249" si="185">TRUNC(L249*$D249,0)</f>
        <v>0</v>
      </c>
      <c r="N249" s="49"/>
    </row>
    <row r="250" spans="1:14" ht="16.5" customHeight="1">
      <c r="A250" s="55"/>
      <c r="B250" s="18" t="s">
        <v>332</v>
      </c>
      <c r="C250" s="19"/>
      <c r="D250" s="20"/>
      <c r="E250" s="20"/>
      <c r="F250" s="25"/>
      <c r="G250" s="25">
        <f>SUM(G249)</f>
        <v>75881.987999999998</v>
      </c>
      <c r="H250" s="30"/>
      <c r="I250" s="85">
        <f>SUM(I249:I249)</f>
        <v>0</v>
      </c>
      <c r="J250" s="30"/>
      <c r="K250" s="85">
        <f>SUM(K249:K249)</f>
        <v>75881</v>
      </c>
      <c r="L250" s="30"/>
      <c r="M250" s="85">
        <f>SUM(M249:M249)</f>
        <v>0</v>
      </c>
      <c r="N250" s="50"/>
    </row>
    <row r="251" spans="1:14" ht="16.5" customHeight="1">
      <c r="F251" s="25"/>
      <c r="G251" s="25"/>
      <c r="I251" s="23"/>
      <c r="K251" s="23"/>
      <c r="M251" s="23"/>
      <c r="N251" s="50"/>
    </row>
  </sheetData>
  <autoFilter ref="A2:E464" xr:uid="{00000000-0009-0000-0000-000003000000}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M137"/>
  <sheetViews>
    <sheetView tabSelected="1" workbookViewId="0">
      <pane ySplit="2" topLeftCell="A107" activePane="bottomLeft" state="frozen"/>
      <selection activeCell="C30" sqref="C30"/>
      <selection pane="bottomLeft" activeCell="T112" sqref="T112"/>
    </sheetView>
  </sheetViews>
  <sheetFormatPr defaultRowHeight="12.75" customHeight="1"/>
  <cols>
    <col min="1" max="2" width="26.875" style="137" customWidth="1"/>
    <col min="3" max="3" width="8.125" style="137" customWidth="1"/>
    <col min="4" max="4" width="6.625" style="137" customWidth="1"/>
    <col min="5" max="6" width="11.125" style="137" customWidth="1"/>
    <col min="7" max="7" width="9.875" style="138" customWidth="1"/>
    <col min="8" max="8" width="11.125" style="137" customWidth="1"/>
    <col min="9" max="9" width="19.375" style="137" customWidth="1"/>
    <col min="10" max="10" width="16.625" style="139" customWidth="1"/>
    <col min="11" max="11" width="24.625" style="137" hidden="1" customWidth="1"/>
    <col min="12" max="13" width="0" style="137" hidden="1" customWidth="1"/>
    <col min="14" max="16384" width="9" style="137"/>
  </cols>
  <sheetData>
    <row r="1" spans="1:13" ht="18" customHeight="1">
      <c r="A1" s="137" t="s">
        <v>186</v>
      </c>
    </row>
    <row r="2" spans="1:13" ht="18" customHeight="1">
      <c r="A2" s="46" t="s">
        <v>187</v>
      </c>
      <c r="B2" s="46" t="s">
        <v>188</v>
      </c>
      <c r="C2" s="46" t="s">
        <v>189</v>
      </c>
      <c r="D2" s="46" t="s">
        <v>190</v>
      </c>
      <c r="E2" s="46" t="s">
        <v>191</v>
      </c>
      <c r="F2" s="46" t="s">
        <v>192</v>
      </c>
      <c r="G2" s="46" t="s">
        <v>193</v>
      </c>
      <c r="H2" s="46" t="s">
        <v>194</v>
      </c>
      <c r="I2" s="140" t="s">
        <v>195</v>
      </c>
      <c r="J2" s="141"/>
    </row>
    <row r="3" spans="1:13" ht="18" customHeight="1">
      <c r="A3" s="142" t="s">
        <v>495</v>
      </c>
      <c r="B3" s="133" t="s">
        <v>496</v>
      </c>
      <c r="C3" s="133">
        <v>1</v>
      </c>
      <c r="D3" s="133" t="s">
        <v>497</v>
      </c>
      <c r="E3" s="135"/>
      <c r="F3" s="47">
        <v>0</v>
      </c>
      <c r="G3" s="131">
        <f>중기사용료!$G$12</f>
        <v>41739</v>
      </c>
      <c r="H3" s="135">
        <f t="shared" ref="H3:H66" si="0">E3+F3+G3</f>
        <v>41739</v>
      </c>
      <c r="I3" s="143"/>
      <c r="J3" s="132" t="str">
        <f>HYPERLINK(K3, "중기사용료 시트 확인")</f>
        <v>중기사용료 시트 확인</v>
      </c>
      <c r="K3" s="137" t="str">
        <f xml:space="preserve"> "#중기사용료!"&amp;L3&amp;M3</f>
        <v>#중기사용료!$A$3:$H$12</v>
      </c>
      <c r="L3" s="137" t="s">
        <v>842</v>
      </c>
      <c r="M3" s="137" t="s">
        <v>866</v>
      </c>
    </row>
    <row r="4" spans="1:13" ht="18" customHeight="1">
      <c r="A4" s="142" t="s">
        <v>495</v>
      </c>
      <c r="B4" s="133" t="s">
        <v>498</v>
      </c>
      <c r="C4" s="133">
        <v>1</v>
      </c>
      <c r="D4" s="133" t="s">
        <v>497</v>
      </c>
      <c r="E4" s="135"/>
      <c r="F4" s="47">
        <v>0</v>
      </c>
      <c r="G4" s="131">
        <f>중기사용료!$G$23</f>
        <v>40406</v>
      </c>
      <c r="H4" s="135">
        <f t="shared" si="0"/>
        <v>40406</v>
      </c>
      <c r="I4" s="143"/>
      <c r="J4" s="132" t="str">
        <f t="shared" ref="J4:J67" si="1">HYPERLINK(K4, "중기사용료 시트 확인")</f>
        <v>중기사용료 시트 확인</v>
      </c>
      <c r="K4" s="137" t="str">
        <f t="shared" ref="K4:K67" si="2" xml:space="preserve"> "#중기사용료!"&amp;L4&amp;M4</f>
        <v>#중기사용료!$A$14:$H$23</v>
      </c>
      <c r="L4" s="137" t="s">
        <v>867</v>
      </c>
      <c r="M4" s="137" t="s">
        <v>868</v>
      </c>
    </row>
    <row r="5" spans="1:13" ht="18" customHeight="1">
      <c r="A5" s="142" t="s">
        <v>495</v>
      </c>
      <c r="B5" s="133" t="s">
        <v>499</v>
      </c>
      <c r="C5" s="133">
        <v>1</v>
      </c>
      <c r="D5" s="133" t="s">
        <v>497</v>
      </c>
      <c r="E5" s="135"/>
      <c r="F5" s="47">
        <v>0</v>
      </c>
      <c r="G5" s="131">
        <f>중기사용료!$G$34</f>
        <v>152731</v>
      </c>
      <c r="H5" s="135">
        <f t="shared" si="0"/>
        <v>152731</v>
      </c>
      <c r="I5" s="143"/>
      <c r="J5" s="132" t="str">
        <f t="shared" si="1"/>
        <v>중기사용료 시트 확인</v>
      </c>
      <c r="K5" s="137" t="str">
        <f t="shared" si="2"/>
        <v>#중기사용료!$A$25:$H$34</v>
      </c>
      <c r="L5" s="137" t="s">
        <v>869</v>
      </c>
      <c r="M5" s="137" t="s">
        <v>870</v>
      </c>
    </row>
    <row r="6" spans="1:13" ht="18" customHeight="1">
      <c r="A6" s="142" t="s">
        <v>495</v>
      </c>
      <c r="B6" s="133" t="s">
        <v>500</v>
      </c>
      <c r="C6" s="133">
        <v>1</v>
      </c>
      <c r="D6" s="133" t="s">
        <v>497</v>
      </c>
      <c r="E6" s="135"/>
      <c r="F6" s="47">
        <v>0</v>
      </c>
      <c r="G6" s="131">
        <f>중기사용료!$G$45</f>
        <v>111969</v>
      </c>
      <c r="H6" s="135">
        <f t="shared" si="0"/>
        <v>111969</v>
      </c>
      <c r="I6" s="143"/>
      <c r="J6" s="132" t="str">
        <f t="shared" si="1"/>
        <v>중기사용료 시트 확인</v>
      </c>
      <c r="K6" s="137" t="str">
        <f t="shared" si="2"/>
        <v>#중기사용료!$A$36:$H$45</v>
      </c>
      <c r="L6" s="137" t="s">
        <v>871</v>
      </c>
      <c r="M6" s="137" t="s">
        <v>990</v>
      </c>
    </row>
    <row r="7" spans="1:13" ht="18" customHeight="1">
      <c r="A7" s="142" t="s">
        <v>495</v>
      </c>
      <c r="B7" s="133" t="s">
        <v>501</v>
      </c>
      <c r="C7" s="133">
        <v>1</v>
      </c>
      <c r="D7" s="133" t="s">
        <v>497</v>
      </c>
      <c r="E7" s="135"/>
      <c r="F7" s="47">
        <v>0</v>
      </c>
      <c r="G7" s="131">
        <f>중기사용료!$G$56</f>
        <v>105504</v>
      </c>
      <c r="H7" s="135">
        <f t="shared" si="0"/>
        <v>105504</v>
      </c>
      <c r="I7" s="143"/>
      <c r="J7" s="132" t="str">
        <f t="shared" si="1"/>
        <v>중기사용료 시트 확인</v>
      </c>
      <c r="K7" s="137" t="str">
        <f t="shared" si="2"/>
        <v>#중기사용료!$A$47:$H$56</v>
      </c>
      <c r="L7" s="137" t="s">
        <v>843</v>
      </c>
      <c r="M7" s="137" t="s">
        <v>991</v>
      </c>
    </row>
    <row r="8" spans="1:13" ht="18" customHeight="1">
      <c r="A8" s="142" t="s">
        <v>495</v>
      </c>
      <c r="B8" s="133" t="s">
        <v>502</v>
      </c>
      <c r="C8" s="133">
        <v>1</v>
      </c>
      <c r="D8" s="133" t="s">
        <v>497</v>
      </c>
      <c r="E8" s="135"/>
      <c r="F8" s="47">
        <v>0</v>
      </c>
      <c r="G8" s="131">
        <f>중기사용료!$G$67</f>
        <v>100084</v>
      </c>
      <c r="H8" s="135">
        <f t="shared" si="0"/>
        <v>100084</v>
      </c>
      <c r="I8" s="143"/>
      <c r="J8" s="132" t="str">
        <f t="shared" si="1"/>
        <v>중기사용료 시트 확인</v>
      </c>
      <c r="K8" s="137" t="str">
        <f t="shared" si="2"/>
        <v>#중기사용료!$A$58:$H$67</v>
      </c>
      <c r="L8" s="137" t="s">
        <v>844</v>
      </c>
      <c r="M8" s="137" t="s">
        <v>992</v>
      </c>
    </row>
    <row r="9" spans="1:13" ht="18" customHeight="1">
      <c r="A9" s="142" t="s">
        <v>495</v>
      </c>
      <c r="B9" s="133" t="s">
        <v>503</v>
      </c>
      <c r="C9" s="133">
        <v>1</v>
      </c>
      <c r="D9" s="133" t="s">
        <v>497</v>
      </c>
      <c r="E9" s="135"/>
      <c r="F9" s="47">
        <v>0</v>
      </c>
      <c r="G9" s="131">
        <f>중기사용료!$G$78</f>
        <v>84364</v>
      </c>
      <c r="H9" s="135">
        <f t="shared" si="0"/>
        <v>84364</v>
      </c>
      <c r="I9" s="143"/>
      <c r="J9" s="132" t="str">
        <f t="shared" si="1"/>
        <v>중기사용료 시트 확인</v>
      </c>
      <c r="K9" s="137" t="str">
        <f t="shared" si="2"/>
        <v>#중기사용료!$A$69:$H$78</v>
      </c>
      <c r="L9" s="137" t="s">
        <v>845</v>
      </c>
      <c r="M9" s="137" t="s">
        <v>993</v>
      </c>
    </row>
    <row r="10" spans="1:13" ht="18" customHeight="1">
      <c r="A10" s="142" t="s">
        <v>495</v>
      </c>
      <c r="B10" s="133" t="s">
        <v>504</v>
      </c>
      <c r="C10" s="133">
        <v>1</v>
      </c>
      <c r="D10" s="133" t="s">
        <v>497</v>
      </c>
      <c r="E10" s="135"/>
      <c r="F10" s="47">
        <v>0</v>
      </c>
      <c r="G10" s="131">
        <f>중기사용료!$G$89</f>
        <v>86124</v>
      </c>
      <c r="H10" s="135">
        <f t="shared" si="0"/>
        <v>86124</v>
      </c>
      <c r="I10" s="143"/>
      <c r="J10" s="132" t="str">
        <f t="shared" si="1"/>
        <v>중기사용료 시트 확인</v>
      </c>
      <c r="K10" s="137" t="str">
        <f t="shared" si="2"/>
        <v>#중기사용료!$A$80:$H$89</v>
      </c>
      <c r="L10" s="137" t="s">
        <v>846</v>
      </c>
      <c r="M10" s="137" t="s">
        <v>994</v>
      </c>
    </row>
    <row r="11" spans="1:13" ht="18" customHeight="1">
      <c r="A11" s="133" t="s">
        <v>495</v>
      </c>
      <c r="B11" s="133" t="s">
        <v>505</v>
      </c>
      <c r="C11" s="133">
        <v>1</v>
      </c>
      <c r="D11" s="133" t="s">
        <v>497</v>
      </c>
      <c r="E11" s="135"/>
      <c r="F11" s="47">
        <v>0</v>
      </c>
      <c r="G11" s="131">
        <f>중기사용료!$G$100</f>
        <v>84660</v>
      </c>
      <c r="H11" s="135">
        <f t="shared" si="0"/>
        <v>84660</v>
      </c>
      <c r="I11" s="143"/>
      <c r="J11" s="132" t="str">
        <f t="shared" si="1"/>
        <v>중기사용료 시트 확인</v>
      </c>
      <c r="K11" s="137" t="str">
        <f t="shared" si="2"/>
        <v>#중기사용료!$A$91:$H$100</v>
      </c>
      <c r="L11" s="137" t="s">
        <v>847</v>
      </c>
      <c r="M11" s="137" t="s">
        <v>995</v>
      </c>
    </row>
    <row r="12" spans="1:13" ht="18" customHeight="1">
      <c r="A12" s="133" t="s">
        <v>495</v>
      </c>
      <c r="B12" s="133" t="s">
        <v>506</v>
      </c>
      <c r="C12" s="133">
        <v>1</v>
      </c>
      <c r="D12" s="133" t="s">
        <v>497</v>
      </c>
      <c r="E12" s="134"/>
      <c r="F12" s="134"/>
      <c r="G12" s="131">
        <f>중기사용료!$G$111</f>
        <v>83304</v>
      </c>
      <c r="H12" s="135">
        <f t="shared" si="0"/>
        <v>83304</v>
      </c>
      <c r="I12" s="136"/>
      <c r="J12" s="132" t="str">
        <f t="shared" si="1"/>
        <v>중기사용료 시트 확인</v>
      </c>
      <c r="K12" s="137" t="str">
        <f t="shared" si="2"/>
        <v>#중기사용료!$A$102:$H$111</v>
      </c>
      <c r="L12" s="137" t="s">
        <v>848</v>
      </c>
      <c r="M12" s="137" t="s">
        <v>996</v>
      </c>
    </row>
    <row r="13" spans="1:13" ht="18" customHeight="1">
      <c r="A13" s="133" t="s">
        <v>495</v>
      </c>
      <c r="B13" s="133" t="s">
        <v>507</v>
      </c>
      <c r="C13" s="133">
        <v>1</v>
      </c>
      <c r="D13" s="133" t="s">
        <v>497</v>
      </c>
      <c r="E13" s="134"/>
      <c r="F13" s="134"/>
      <c r="G13" s="131">
        <f>중기사용료!$G$122</f>
        <v>80628</v>
      </c>
      <c r="H13" s="135">
        <f t="shared" si="0"/>
        <v>80628</v>
      </c>
      <c r="I13" s="136"/>
      <c r="J13" s="132" t="str">
        <f t="shared" si="1"/>
        <v>중기사용료 시트 확인</v>
      </c>
      <c r="K13" s="137" t="str">
        <f t="shared" si="2"/>
        <v>#중기사용료!$A$113:$H$122</v>
      </c>
      <c r="L13" s="137" t="s">
        <v>849</v>
      </c>
      <c r="M13" s="137" t="s">
        <v>997</v>
      </c>
    </row>
    <row r="14" spans="1:13" ht="18" customHeight="1">
      <c r="A14" s="133" t="s">
        <v>495</v>
      </c>
      <c r="B14" s="133" t="s">
        <v>508</v>
      </c>
      <c r="C14" s="133">
        <v>1</v>
      </c>
      <c r="D14" s="133" t="s">
        <v>497</v>
      </c>
      <c r="E14" s="134"/>
      <c r="F14" s="134"/>
      <c r="G14" s="131">
        <f>중기사용료!$G$133</f>
        <v>97785</v>
      </c>
      <c r="H14" s="135">
        <f t="shared" si="0"/>
        <v>97785</v>
      </c>
      <c r="I14" s="136"/>
      <c r="J14" s="132" t="str">
        <f t="shared" si="1"/>
        <v>중기사용료 시트 확인</v>
      </c>
      <c r="K14" s="137" t="str">
        <f t="shared" si="2"/>
        <v>#중기사용료!$A$124:$H$133</v>
      </c>
      <c r="L14" s="137" t="s">
        <v>850</v>
      </c>
      <c r="M14" s="137" t="s">
        <v>998</v>
      </c>
    </row>
    <row r="15" spans="1:13" ht="18" customHeight="1">
      <c r="A15" s="133" t="s">
        <v>495</v>
      </c>
      <c r="B15" s="133" t="s">
        <v>509</v>
      </c>
      <c r="C15" s="133">
        <v>1</v>
      </c>
      <c r="D15" s="133" t="s">
        <v>497</v>
      </c>
      <c r="E15" s="134"/>
      <c r="F15" s="134"/>
      <c r="G15" s="131">
        <f>중기사용료!$G$144</f>
        <v>94483</v>
      </c>
      <c r="H15" s="135">
        <f t="shared" si="0"/>
        <v>94483</v>
      </c>
      <c r="I15" s="136"/>
      <c r="J15" s="132" t="str">
        <f t="shared" si="1"/>
        <v>중기사용료 시트 확인</v>
      </c>
      <c r="K15" s="137" t="str">
        <f t="shared" si="2"/>
        <v>#중기사용료!$A$135:$H$144</v>
      </c>
      <c r="L15" s="137" t="s">
        <v>851</v>
      </c>
      <c r="M15" s="137" t="s">
        <v>999</v>
      </c>
    </row>
    <row r="16" spans="1:13" ht="18" customHeight="1">
      <c r="A16" s="133" t="s">
        <v>495</v>
      </c>
      <c r="B16" s="133" t="s">
        <v>510</v>
      </c>
      <c r="C16" s="133">
        <v>1</v>
      </c>
      <c r="D16" s="133" t="s">
        <v>497</v>
      </c>
      <c r="E16" s="134"/>
      <c r="F16" s="134"/>
      <c r="G16" s="131">
        <f>중기사용료!$G$155</f>
        <v>91123</v>
      </c>
      <c r="H16" s="135">
        <f t="shared" si="0"/>
        <v>91123</v>
      </c>
      <c r="I16" s="136"/>
      <c r="J16" s="132" t="str">
        <f t="shared" si="1"/>
        <v>중기사용료 시트 확인</v>
      </c>
      <c r="K16" s="137" t="str">
        <f t="shared" si="2"/>
        <v>#중기사용료!$A$146:$H$155</v>
      </c>
      <c r="L16" s="137" t="s">
        <v>852</v>
      </c>
      <c r="M16" s="137" t="s">
        <v>1000</v>
      </c>
    </row>
    <row r="17" spans="1:13" ht="18" customHeight="1">
      <c r="A17" s="133" t="s">
        <v>495</v>
      </c>
      <c r="B17" s="133" t="s">
        <v>511</v>
      </c>
      <c r="C17" s="133">
        <v>1</v>
      </c>
      <c r="D17" s="133" t="s">
        <v>497</v>
      </c>
      <c r="E17" s="134"/>
      <c r="F17" s="134"/>
      <c r="G17" s="131">
        <f>중기사용료!$G$166</f>
        <v>75054</v>
      </c>
      <c r="H17" s="135">
        <f t="shared" si="0"/>
        <v>75054</v>
      </c>
      <c r="I17" s="136"/>
      <c r="J17" s="132" t="str">
        <f t="shared" si="1"/>
        <v>중기사용료 시트 확인</v>
      </c>
      <c r="K17" s="137" t="str">
        <f t="shared" si="2"/>
        <v>#중기사용료!$A$157:$H$166</v>
      </c>
      <c r="L17" s="137" t="s">
        <v>853</v>
      </c>
      <c r="M17" s="137" t="s">
        <v>1001</v>
      </c>
    </row>
    <row r="18" spans="1:13" ht="18" customHeight="1">
      <c r="A18" s="133" t="s">
        <v>495</v>
      </c>
      <c r="B18" s="133" t="s">
        <v>512</v>
      </c>
      <c r="C18" s="133">
        <v>1</v>
      </c>
      <c r="D18" s="133" t="s">
        <v>497</v>
      </c>
      <c r="E18" s="134"/>
      <c r="F18" s="134"/>
      <c r="G18" s="131">
        <f>중기사용료!$G$177</f>
        <v>71241</v>
      </c>
      <c r="H18" s="135">
        <f t="shared" si="0"/>
        <v>71241</v>
      </c>
      <c r="I18" s="136"/>
      <c r="J18" s="132" t="str">
        <f t="shared" si="1"/>
        <v>중기사용료 시트 확인</v>
      </c>
      <c r="K18" s="137" t="str">
        <f t="shared" si="2"/>
        <v>#중기사용료!$A$168:$H$177</v>
      </c>
      <c r="L18" s="137" t="s">
        <v>854</v>
      </c>
      <c r="M18" s="137" t="s">
        <v>1002</v>
      </c>
    </row>
    <row r="19" spans="1:13" ht="18" customHeight="1">
      <c r="A19" s="133" t="s">
        <v>495</v>
      </c>
      <c r="B19" s="133" t="s">
        <v>984</v>
      </c>
      <c r="C19" s="133">
        <v>1</v>
      </c>
      <c r="D19" s="133" t="s">
        <v>497</v>
      </c>
      <c r="E19" s="134"/>
      <c r="F19" s="134"/>
      <c r="G19" s="131">
        <f>중기사용료!$G$188</f>
        <v>70528</v>
      </c>
      <c r="H19" s="135">
        <f t="shared" ref="H19" si="3">E19+F19+G19</f>
        <v>70528</v>
      </c>
      <c r="I19" s="136"/>
      <c r="J19" s="132" t="str">
        <f t="shared" ref="J19" si="4">HYPERLINK(K19, "중기사용료 시트 확인")</f>
        <v>중기사용료 시트 확인</v>
      </c>
      <c r="K19" s="137" t="str">
        <f t="shared" si="2"/>
        <v>#중기사용료!$A$179:$H$188</v>
      </c>
      <c r="L19" s="137" t="s">
        <v>855</v>
      </c>
      <c r="M19" s="137" t="s">
        <v>1003</v>
      </c>
    </row>
    <row r="20" spans="1:13" ht="18" customHeight="1">
      <c r="A20" s="133" t="s">
        <v>495</v>
      </c>
      <c r="B20" s="133" t="s">
        <v>513</v>
      </c>
      <c r="C20" s="133">
        <v>1</v>
      </c>
      <c r="D20" s="133" t="s">
        <v>497</v>
      </c>
      <c r="E20" s="134"/>
      <c r="F20" s="134"/>
      <c r="G20" s="131">
        <f>중기사용료!$G$199</f>
        <v>70528</v>
      </c>
      <c r="H20" s="135">
        <f t="shared" si="0"/>
        <v>70528</v>
      </c>
      <c r="I20" s="136"/>
      <c r="J20" s="132" t="str">
        <f t="shared" si="1"/>
        <v>중기사용료 시트 확인</v>
      </c>
      <c r="K20" s="137" t="str">
        <f t="shared" si="2"/>
        <v>#중기사용료!$A$190:$H$199</v>
      </c>
      <c r="L20" s="137" t="s">
        <v>856</v>
      </c>
      <c r="M20" s="137" t="s">
        <v>1004</v>
      </c>
    </row>
    <row r="21" spans="1:13" ht="18" customHeight="1">
      <c r="A21" s="133" t="s">
        <v>495</v>
      </c>
      <c r="B21" s="133" t="s">
        <v>514</v>
      </c>
      <c r="C21" s="133">
        <v>1</v>
      </c>
      <c r="D21" s="133" t="s">
        <v>497</v>
      </c>
      <c r="E21" s="134"/>
      <c r="F21" s="134"/>
      <c r="G21" s="131">
        <f>중기사용료!$G$210</f>
        <v>68191</v>
      </c>
      <c r="H21" s="135">
        <f t="shared" si="0"/>
        <v>68191</v>
      </c>
      <c r="I21" s="136"/>
      <c r="J21" s="132" t="str">
        <f t="shared" si="1"/>
        <v>중기사용료 시트 확인</v>
      </c>
      <c r="K21" s="137" t="str">
        <f t="shared" si="2"/>
        <v>#중기사용료!$A$201:$H$210</v>
      </c>
      <c r="L21" s="137" t="s">
        <v>857</v>
      </c>
      <c r="M21" s="137" t="s">
        <v>1005</v>
      </c>
    </row>
    <row r="22" spans="1:13" ht="18" customHeight="1">
      <c r="A22" s="133" t="s">
        <v>495</v>
      </c>
      <c r="B22" s="133" t="s">
        <v>515</v>
      </c>
      <c r="C22" s="133">
        <v>1</v>
      </c>
      <c r="D22" s="133" t="s">
        <v>497</v>
      </c>
      <c r="E22" s="134"/>
      <c r="F22" s="134"/>
      <c r="G22" s="131">
        <f>중기사용료!$G$221</f>
        <v>278152</v>
      </c>
      <c r="H22" s="135">
        <f t="shared" si="0"/>
        <v>278152</v>
      </c>
      <c r="I22" s="136"/>
      <c r="J22" s="132" t="str">
        <f t="shared" si="1"/>
        <v>중기사용료 시트 확인</v>
      </c>
      <c r="K22" s="137" t="str">
        <f t="shared" si="2"/>
        <v>#중기사용료!$A$212:$H$221</v>
      </c>
      <c r="L22" s="137" t="s">
        <v>858</v>
      </c>
      <c r="M22" s="137" t="s">
        <v>1006</v>
      </c>
    </row>
    <row r="23" spans="1:13" ht="18" customHeight="1">
      <c r="A23" s="133" t="s">
        <v>495</v>
      </c>
      <c r="B23" s="133" t="s">
        <v>516</v>
      </c>
      <c r="C23" s="133">
        <v>1</v>
      </c>
      <c r="D23" s="133" t="s">
        <v>497</v>
      </c>
      <c r="E23" s="134"/>
      <c r="F23" s="134"/>
      <c r="G23" s="131">
        <f>중기사용료!$G$232</f>
        <v>271657</v>
      </c>
      <c r="H23" s="135">
        <f t="shared" si="0"/>
        <v>271657</v>
      </c>
      <c r="I23" s="136"/>
      <c r="J23" s="132" t="str">
        <f t="shared" si="1"/>
        <v>중기사용료 시트 확인</v>
      </c>
      <c r="K23" s="137" t="str">
        <f t="shared" si="2"/>
        <v>#중기사용료!$A$223:$H$232</v>
      </c>
      <c r="L23" s="137" t="s">
        <v>859</v>
      </c>
      <c r="M23" s="137" t="s">
        <v>1007</v>
      </c>
    </row>
    <row r="24" spans="1:13" ht="18" customHeight="1">
      <c r="A24" s="133" t="s">
        <v>495</v>
      </c>
      <c r="B24" s="133" t="s">
        <v>517</v>
      </c>
      <c r="C24" s="133">
        <v>1</v>
      </c>
      <c r="D24" s="133" t="s">
        <v>497</v>
      </c>
      <c r="E24" s="134"/>
      <c r="F24" s="134"/>
      <c r="G24" s="131">
        <f>중기사용료!$G$243</f>
        <v>260489</v>
      </c>
      <c r="H24" s="135">
        <f t="shared" si="0"/>
        <v>260489</v>
      </c>
      <c r="I24" s="136"/>
      <c r="J24" s="132" t="str">
        <f t="shared" si="1"/>
        <v>중기사용료 시트 확인</v>
      </c>
      <c r="K24" s="137" t="str">
        <f t="shared" si="2"/>
        <v>#중기사용료!$A$234:$H$243</v>
      </c>
      <c r="L24" s="137" t="s">
        <v>860</v>
      </c>
      <c r="M24" s="137" t="s">
        <v>1008</v>
      </c>
    </row>
    <row r="25" spans="1:13" ht="18" customHeight="1">
      <c r="A25" s="133" t="s">
        <v>495</v>
      </c>
      <c r="B25" s="133" t="s">
        <v>518</v>
      </c>
      <c r="C25" s="133">
        <v>1</v>
      </c>
      <c r="D25" s="133" t="s">
        <v>497</v>
      </c>
      <c r="E25" s="134"/>
      <c r="F25" s="134"/>
      <c r="G25" s="131">
        <f>중기사용료!$G$254</f>
        <v>336664</v>
      </c>
      <c r="H25" s="135">
        <f t="shared" si="0"/>
        <v>336664</v>
      </c>
      <c r="I25" s="136"/>
      <c r="J25" s="132" t="str">
        <f t="shared" si="1"/>
        <v>중기사용료 시트 확인</v>
      </c>
      <c r="K25" s="137" t="str">
        <f t="shared" si="2"/>
        <v>#중기사용료!$A$245:$H$254</v>
      </c>
      <c r="L25" s="137" t="s">
        <v>861</v>
      </c>
      <c r="M25" s="137" t="s">
        <v>1009</v>
      </c>
    </row>
    <row r="26" spans="1:13" ht="18" customHeight="1">
      <c r="A26" s="133" t="s">
        <v>495</v>
      </c>
      <c r="B26" s="133" t="s">
        <v>519</v>
      </c>
      <c r="C26" s="133">
        <v>1</v>
      </c>
      <c r="D26" s="133" t="s">
        <v>497</v>
      </c>
      <c r="E26" s="134"/>
      <c r="F26" s="134"/>
      <c r="G26" s="131">
        <f>중기사용료!$G$265</f>
        <v>330427</v>
      </c>
      <c r="H26" s="135">
        <f t="shared" si="0"/>
        <v>330427</v>
      </c>
      <c r="I26" s="136"/>
      <c r="J26" s="132" t="str">
        <f t="shared" si="1"/>
        <v>중기사용료 시트 확인</v>
      </c>
      <c r="K26" s="137" t="str">
        <f t="shared" si="2"/>
        <v>#중기사용료!$A$256:$H$265</v>
      </c>
      <c r="L26" s="137" t="s">
        <v>872</v>
      </c>
      <c r="M26" s="137" t="s">
        <v>1010</v>
      </c>
    </row>
    <row r="27" spans="1:13" ht="18" customHeight="1">
      <c r="A27" s="133" t="s">
        <v>495</v>
      </c>
      <c r="B27" s="133" t="s">
        <v>520</v>
      </c>
      <c r="C27" s="133">
        <v>1</v>
      </c>
      <c r="D27" s="133" t="s">
        <v>497</v>
      </c>
      <c r="E27" s="134"/>
      <c r="F27" s="134"/>
      <c r="G27" s="131">
        <f>중기사용료!$G$276</f>
        <v>321981</v>
      </c>
      <c r="H27" s="135">
        <f t="shared" si="0"/>
        <v>321981</v>
      </c>
      <c r="I27" s="136"/>
      <c r="J27" s="132" t="str">
        <f t="shared" si="1"/>
        <v>중기사용료 시트 확인</v>
      </c>
      <c r="K27" s="137" t="str">
        <f t="shared" si="2"/>
        <v>#중기사용료!$A$267:$H$276</v>
      </c>
      <c r="L27" s="137" t="s">
        <v>862</v>
      </c>
      <c r="M27" s="137" t="s">
        <v>1011</v>
      </c>
    </row>
    <row r="28" spans="1:13" ht="18" customHeight="1">
      <c r="A28" s="133" t="s">
        <v>495</v>
      </c>
      <c r="B28" s="133" t="s">
        <v>521</v>
      </c>
      <c r="C28" s="133">
        <v>1</v>
      </c>
      <c r="D28" s="133" t="s">
        <v>497</v>
      </c>
      <c r="E28" s="134"/>
      <c r="F28" s="134"/>
      <c r="G28" s="131">
        <f>중기사용료!$G$287</f>
        <v>315606</v>
      </c>
      <c r="H28" s="135">
        <f t="shared" si="0"/>
        <v>315606</v>
      </c>
      <c r="I28" s="136"/>
      <c r="J28" s="132" t="str">
        <f t="shared" si="1"/>
        <v>중기사용료 시트 확인</v>
      </c>
      <c r="K28" s="137" t="str">
        <f t="shared" si="2"/>
        <v>#중기사용료!$A$278:$H$287</v>
      </c>
      <c r="L28" s="137" t="s">
        <v>863</v>
      </c>
      <c r="M28" s="137" t="s">
        <v>1012</v>
      </c>
    </row>
    <row r="29" spans="1:13" ht="18" customHeight="1">
      <c r="A29" s="133" t="s">
        <v>495</v>
      </c>
      <c r="B29" s="133" t="s">
        <v>522</v>
      </c>
      <c r="C29" s="133">
        <v>1</v>
      </c>
      <c r="D29" s="133" t="s">
        <v>497</v>
      </c>
      <c r="E29" s="134"/>
      <c r="F29" s="134"/>
      <c r="G29" s="131">
        <f>중기사용료!$G$298</f>
        <v>309451</v>
      </c>
      <c r="H29" s="135">
        <f t="shared" si="0"/>
        <v>309451</v>
      </c>
      <c r="I29" s="136"/>
      <c r="J29" s="132" t="str">
        <f t="shared" si="1"/>
        <v>중기사용료 시트 확인</v>
      </c>
      <c r="K29" s="137" t="str">
        <f t="shared" si="2"/>
        <v>#중기사용료!$A$289:$H$298</v>
      </c>
      <c r="L29" s="137" t="s">
        <v>864</v>
      </c>
      <c r="M29" s="137" t="s">
        <v>1013</v>
      </c>
    </row>
    <row r="30" spans="1:13" ht="18" customHeight="1">
      <c r="A30" s="133" t="s">
        <v>523</v>
      </c>
      <c r="B30" s="133" t="s">
        <v>496</v>
      </c>
      <c r="C30" s="133">
        <v>1</v>
      </c>
      <c r="D30" s="133" t="s">
        <v>497</v>
      </c>
      <c r="E30" s="134"/>
      <c r="F30" s="134"/>
      <c r="G30" s="131">
        <f>중기사용료!$G$309</f>
        <v>1521</v>
      </c>
      <c r="H30" s="135">
        <f t="shared" si="0"/>
        <v>1521</v>
      </c>
      <c r="I30" s="136"/>
      <c r="J30" s="132" t="str">
        <f t="shared" si="1"/>
        <v>중기사용료 시트 확인</v>
      </c>
      <c r="K30" s="137" t="str">
        <f t="shared" si="2"/>
        <v>#중기사용료!$A$300:$H$309</v>
      </c>
      <c r="L30" s="137" t="s">
        <v>865</v>
      </c>
      <c r="M30" s="137" t="s">
        <v>1014</v>
      </c>
    </row>
    <row r="31" spans="1:13" ht="18" customHeight="1">
      <c r="A31" s="133" t="s">
        <v>523</v>
      </c>
      <c r="B31" s="133" t="s">
        <v>498</v>
      </c>
      <c r="C31" s="133">
        <v>1</v>
      </c>
      <c r="D31" s="133" t="s">
        <v>497</v>
      </c>
      <c r="E31" s="134"/>
      <c r="F31" s="134"/>
      <c r="G31" s="131">
        <f>중기사용료!$G$320</f>
        <v>3156</v>
      </c>
      <c r="H31" s="135">
        <f t="shared" si="0"/>
        <v>3156</v>
      </c>
      <c r="I31" s="136"/>
      <c r="J31" s="132" t="str">
        <f t="shared" si="1"/>
        <v>중기사용료 시트 확인</v>
      </c>
      <c r="K31" s="137" t="str">
        <f t="shared" si="2"/>
        <v>#중기사용료!$A$311:$H$320</v>
      </c>
      <c r="L31" s="137" t="s">
        <v>873</v>
      </c>
      <c r="M31" s="137" t="s">
        <v>1015</v>
      </c>
    </row>
    <row r="32" spans="1:13" ht="18" customHeight="1">
      <c r="A32" s="133" t="s">
        <v>523</v>
      </c>
      <c r="B32" s="133" t="s">
        <v>499</v>
      </c>
      <c r="C32" s="133">
        <v>1</v>
      </c>
      <c r="D32" s="133" t="s">
        <v>497</v>
      </c>
      <c r="E32" s="134"/>
      <c r="F32" s="134"/>
      <c r="G32" s="131">
        <f>중기사용료!$G$331</f>
        <v>3512</v>
      </c>
      <c r="H32" s="135">
        <f t="shared" si="0"/>
        <v>3512</v>
      </c>
      <c r="I32" s="136"/>
      <c r="J32" s="132" t="str">
        <f t="shared" si="1"/>
        <v>중기사용료 시트 확인</v>
      </c>
      <c r="K32" s="137" t="str">
        <f t="shared" si="2"/>
        <v>#중기사용료!$A$322:$H$331</v>
      </c>
      <c r="L32" s="137" t="s">
        <v>874</v>
      </c>
      <c r="M32" s="137" t="s">
        <v>1016</v>
      </c>
    </row>
    <row r="33" spans="1:13" ht="18" customHeight="1">
      <c r="A33" s="133" t="s">
        <v>523</v>
      </c>
      <c r="B33" s="133" t="s">
        <v>500</v>
      </c>
      <c r="C33" s="133">
        <v>1</v>
      </c>
      <c r="D33" s="133" t="s">
        <v>497</v>
      </c>
      <c r="E33" s="134"/>
      <c r="F33" s="134">
        <v>0</v>
      </c>
      <c r="G33" s="131">
        <f>중기사용료!$G$342</f>
        <v>2659</v>
      </c>
      <c r="H33" s="135">
        <f t="shared" si="0"/>
        <v>2659</v>
      </c>
      <c r="I33" s="136"/>
      <c r="J33" s="132" t="str">
        <f t="shared" si="1"/>
        <v>중기사용료 시트 확인</v>
      </c>
      <c r="K33" s="137" t="str">
        <f t="shared" si="2"/>
        <v>#중기사용료!$A$333:$H$342</v>
      </c>
      <c r="L33" s="137" t="s">
        <v>875</v>
      </c>
      <c r="M33" s="137" t="s">
        <v>1017</v>
      </c>
    </row>
    <row r="34" spans="1:13" ht="18" customHeight="1">
      <c r="A34" s="133" t="s">
        <v>523</v>
      </c>
      <c r="B34" s="133" t="s">
        <v>501</v>
      </c>
      <c r="C34" s="133">
        <v>1</v>
      </c>
      <c r="D34" s="133" t="s">
        <v>497</v>
      </c>
      <c r="E34" s="134"/>
      <c r="F34" s="134">
        <v>0</v>
      </c>
      <c r="G34" s="131">
        <f>중기사용료!$G$353</f>
        <v>3481</v>
      </c>
      <c r="H34" s="135">
        <f t="shared" si="0"/>
        <v>3481</v>
      </c>
      <c r="I34" s="136"/>
      <c r="J34" s="132" t="str">
        <f t="shared" si="1"/>
        <v>중기사용료 시트 확인</v>
      </c>
      <c r="K34" s="137" t="str">
        <f t="shared" si="2"/>
        <v>#중기사용료!$A$344:$H$353</v>
      </c>
      <c r="L34" s="137" t="s">
        <v>876</v>
      </c>
      <c r="M34" s="137" t="s">
        <v>1018</v>
      </c>
    </row>
    <row r="35" spans="1:13" ht="18" customHeight="1">
      <c r="A35" s="133" t="s">
        <v>523</v>
      </c>
      <c r="B35" s="133" t="s">
        <v>502</v>
      </c>
      <c r="C35" s="133">
        <v>1</v>
      </c>
      <c r="D35" s="133" t="s">
        <v>497</v>
      </c>
      <c r="E35" s="134"/>
      <c r="F35" s="134">
        <v>0</v>
      </c>
      <c r="G35" s="131">
        <f>중기사용료!$G$364</f>
        <v>3753</v>
      </c>
      <c r="H35" s="135">
        <f t="shared" si="0"/>
        <v>3753</v>
      </c>
      <c r="I35" s="136"/>
      <c r="J35" s="132" t="str">
        <f t="shared" si="1"/>
        <v>중기사용료 시트 확인</v>
      </c>
      <c r="K35" s="137" t="str">
        <f t="shared" si="2"/>
        <v>#중기사용료!$A$355:$H$364</v>
      </c>
      <c r="L35" s="137" t="s">
        <v>877</v>
      </c>
      <c r="M35" s="137" t="s">
        <v>1019</v>
      </c>
    </row>
    <row r="36" spans="1:13" ht="18" customHeight="1">
      <c r="A36" s="133" t="s">
        <v>523</v>
      </c>
      <c r="B36" s="133" t="s">
        <v>503</v>
      </c>
      <c r="C36" s="133">
        <v>1</v>
      </c>
      <c r="D36" s="133" t="s">
        <v>497</v>
      </c>
      <c r="E36" s="134"/>
      <c r="F36" s="134">
        <v>0</v>
      </c>
      <c r="G36" s="131">
        <f>중기사용료!$G$375</f>
        <v>4429</v>
      </c>
      <c r="H36" s="135">
        <f t="shared" si="0"/>
        <v>4429</v>
      </c>
      <c r="I36" s="136"/>
      <c r="J36" s="132" t="str">
        <f t="shared" si="1"/>
        <v>중기사용료 시트 확인</v>
      </c>
      <c r="K36" s="137" t="str">
        <f t="shared" si="2"/>
        <v>#중기사용료!$A$366:$H$375</v>
      </c>
      <c r="L36" s="137" t="s">
        <v>878</v>
      </c>
      <c r="M36" s="137" t="s">
        <v>1020</v>
      </c>
    </row>
    <row r="37" spans="1:13" ht="18" customHeight="1">
      <c r="A37" s="133" t="s">
        <v>523</v>
      </c>
      <c r="B37" s="133" t="s">
        <v>504</v>
      </c>
      <c r="C37" s="133">
        <v>1</v>
      </c>
      <c r="D37" s="133" t="s">
        <v>497</v>
      </c>
      <c r="E37" s="134"/>
      <c r="F37" s="134">
        <v>0</v>
      </c>
      <c r="G37" s="131">
        <f>중기사용료!$G$386</f>
        <v>2153</v>
      </c>
      <c r="H37" s="135">
        <f t="shared" si="0"/>
        <v>2153</v>
      </c>
      <c r="I37" s="136"/>
      <c r="J37" s="132" t="str">
        <f t="shared" si="1"/>
        <v>중기사용료 시트 확인</v>
      </c>
      <c r="K37" s="137" t="str">
        <f t="shared" si="2"/>
        <v>#중기사용료!$A$377:$H$386</v>
      </c>
      <c r="L37" s="137" t="s">
        <v>879</v>
      </c>
      <c r="M37" s="137" t="s">
        <v>1021</v>
      </c>
    </row>
    <row r="38" spans="1:13" ht="18" customHeight="1">
      <c r="A38" s="133" t="s">
        <v>523</v>
      </c>
      <c r="B38" s="133" t="s">
        <v>505</v>
      </c>
      <c r="C38" s="133">
        <v>1</v>
      </c>
      <c r="D38" s="133" t="s">
        <v>497</v>
      </c>
      <c r="E38" s="134"/>
      <c r="F38" s="134">
        <v>0</v>
      </c>
      <c r="G38" s="131">
        <f>중기사용료!$G$397</f>
        <v>2116</v>
      </c>
      <c r="H38" s="135">
        <f t="shared" si="0"/>
        <v>2116</v>
      </c>
      <c r="I38" s="136"/>
      <c r="J38" s="132" t="str">
        <f t="shared" si="1"/>
        <v>중기사용료 시트 확인</v>
      </c>
      <c r="K38" s="137" t="str">
        <f t="shared" si="2"/>
        <v>#중기사용료!$A$388:$H$397</v>
      </c>
      <c r="L38" s="137" t="s">
        <v>880</v>
      </c>
      <c r="M38" s="137" t="s">
        <v>1022</v>
      </c>
    </row>
    <row r="39" spans="1:13" ht="18" customHeight="1">
      <c r="A39" s="133" t="s">
        <v>523</v>
      </c>
      <c r="B39" s="133" t="s">
        <v>506</v>
      </c>
      <c r="C39" s="133">
        <v>1</v>
      </c>
      <c r="D39" s="133" t="s">
        <v>497</v>
      </c>
      <c r="E39" s="134"/>
      <c r="F39" s="134">
        <v>0</v>
      </c>
      <c r="G39" s="131">
        <f>중기사용료!$G$408</f>
        <v>2082</v>
      </c>
      <c r="H39" s="135">
        <f t="shared" si="0"/>
        <v>2082</v>
      </c>
      <c r="I39" s="136"/>
      <c r="J39" s="132" t="str">
        <f t="shared" si="1"/>
        <v>중기사용료 시트 확인</v>
      </c>
      <c r="K39" s="137" t="str">
        <f t="shared" si="2"/>
        <v>#중기사용료!$A$399:$H$408</v>
      </c>
      <c r="L39" s="137" t="s">
        <v>881</v>
      </c>
      <c r="M39" s="137" t="s">
        <v>1023</v>
      </c>
    </row>
    <row r="40" spans="1:13" ht="18" customHeight="1">
      <c r="A40" s="133" t="s">
        <v>523</v>
      </c>
      <c r="B40" s="133" t="s">
        <v>507</v>
      </c>
      <c r="C40" s="133">
        <v>1</v>
      </c>
      <c r="D40" s="133" t="s">
        <v>497</v>
      </c>
      <c r="E40" s="134"/>
      <c r="F40" s="134">
        <v>0</v>
      </c>
      <c r="G40" s="131">
        <f>중기사용료!$G$419</f>
        <v>2015</v>
      </c>
      <c r="H40" s="135">
        <f t="shared" si="0"/>
        <v>2015</v>
      </c>
      <c r="I40" s="136"/>
      <c r="J40" s="132" t="str">
        <f t="shared" si="1"/>
        <v>중기사용료 시트 확인</v>
      </c>
      <c r="K40" s="137" t="str">
        <f t="shared" si="2"/>
        <v>#중기사용료!$A$410:$H$419</v>
      </c>
      <c r="L40" s="137" t="s">
        <v>882</v>
      </c>
      <c r="M40" s="137" t="s">
        <v>1024</v>
      </c>
    </row>
    <row r="41" spans="1:13" ht="18" customHeight="1">
      <c r="A41" s="133" t="s">
        <v>523</v>
      </c>
      <c r="B41" s="133" t="s">
        <v>508</v>
      </c>
      <c r="C41" s="133">
        <v>1</v>
      </c>
      <c r="D41" s="133" t="s">
        <v>497</v>
      </c>
      <c r="E41" s="134"/>
      <c r="F41" s="134">
        <v>0</v>
      </c>
      <c r="G41" s="131">
        <f>중기사용료!$G$430</f>
        <v>3116</v>
      </c>
      <c r="H41" s="135">
        <f t="shared" si="0"/>
        <v>3116</v>
      </c>
      <c r="I41" s="136"/>
      <c r="J41" s="132" t="str">
        <f t="shared" si="1"/>
        <v>중기사용료 시트 확인</v>
      </c>
      <c r="K41" s="137" t="str">
        <f t="shared" si="2"/>
        <v>#중기사용료!$A$421:$H$430</v>
      </c>
      <c r="L41" s="137" t="s">
        <v>883</v>
      </c>
      <c r="M41" s="137" t="s">
        <v>1025</v>
      </c>
    </row>
    <row r="42" spans="1:13" ht="18" customHeight="1">
      <c r="A42" s="133" t="s">
        <v>523</v>
      </c>
      <c r="B42" s="133" t="s">
        <v>509</v>
      </c>
      <c r="C42" s="133">
        <v>1</v>
      </c>
      <c r="D42" s="133" t="s">
        <v>497</v>
      </c>
      <c r="E42" s="134"/>
      <c r="F42" s="134">
        <v>0</v>
      </c>
      <c r="G42" s="131">
        <f>중기사용료!$G$441</f>
        <v>3011</v>
      </c>
      <c r="H42" s="135">
        <f t="shared" si="0"/>
        <v>3011</v>
      </c>
      <c r="I42" s="136"/>
      <c r="J42" s="132" t="str">
        <f t="shared" si="1"/>
        <v>중기사용료 시트 확인</v>
      </c>
      <c r="K42" s="137" t="str">
        <f t="shared" si="2"/>
        <v>#중기사용료!$A$432:$H$441</v>
      </c>
      <c r="L42" s="137" t="s">
        <v>884</v>
      </c>
      <c r="M42" s="137" t="s">
        <v>1026</v>
      </c>
    </row>
    <row r="43" spans="1:13" ht="18" customHeight="1">
      <c r="A43" s="133" t="s">
        <v>523</v>
      </c>
      <c r="B43" s="133" t="s">
        <v>510</v>
      </c>
      <c r="C43" s="133">
        <v>1</v>
      </c>
      <c r="D43" s="133" t="s">
        <v>497</v>
      </c>
      <c r="E43" s="134"/>
      <c r="F43" s="134">
        <v>0</v>
      </c>
      <c r="G43" s="131">
        <f>중기사용료!$G$452</f>
        <v>2904</v>
      </c>
      <c r="H43" s="135">
        <f t="shared" si="0"/>
        <v>2904</v>
      </c>
      <c r="I43" s="136"/>
      <c r="J43" s="132" t="str">
        <f t="shared" si="1"/>
        <v>중기사용료 시트 확인</v>
      </c>
      <c r="K43" s="137" t="str">
        <f t="shared" si="2"/>
        <v>#중기사용료!$A$443:$H$452</v>
      </c>
      <c r="L43" s="137" t="s">
        <v>885</v>
      </c>
      <c r="M43" s="137" t="s">
        <v>1027</v>
      </c>
    </row>
    <row r="44" spans="1:13" ht="18" customHeight="1">
      <c r="A44" s="133" t="s">
        <v>523</v>
      </c>
      <c r="B44" s="133" t="s">
        <v>511</v>
      </c>
      <c r="C44" s="133">
        <v>1</v>
      </c>
      <c r="D44" s="133" t="s">
        <v>497</v>
      </c>
      <c r="E44" s="134"/>
      <c r="F44" s="134">
        <v>0</v>
      </c>
      <c r="G44" s="131">
        <f>중기사용료!$G$463</f>
        <v>3844</v>
      </c>
      <c r="H44" s="135">
        <f t="shared" si="0"/>
        <v>3844</v>
      </c>
      <c r="I44" s="136"/>
      <c r="J44" s="132" t="str">
        <f t="shared" si="1"/>
        <v>중기사용료 시트 확인</v>
      </c>
      <c r="K44" s="137" t="str">
        <f t="shared" si="2"/>
        <v>#중기사용료!$A$454:$H$463</v>
      </c>
      <c r="L44" s="137" t="s">
        <v>886</v>
      </c>
      <c r="M44" s="137" t="s">
        <v>1028</v>
      </c>
    </row>
    <row r="45" spans="1:13" ht="18" customHeight="1">
      <c r="A45" s="133" t="s">
        <v>523</v>
      </c>
      <c r="B45" s="133" t="s">
        <v>512</v>
      </c>
      <c r="C45" s="133">
        <v>1</v>
      </c>
      <c r="D45" s="133" t="s">
        <v>497</v>
      </c>
      <c r="E45" s="134"/>
      <c r="F45" s="134">
        <v>0</v>
      </c>
      <c r="G45" s="131">
        <f>중기사용료!$G$474</f>
        <v>3648</v>
      </c>
      <c r="H45" s="135">
        <f t="shared" si="0"/>
        <v>3648</v>
      </c>
      <c r="I45" s="136"/>
      <c r="J45" s="132" t="str">
        <f t="shared" si="1"/>
        <v>중기사용료 시트 확인</v>
      </c>
      <c r="K45" s="137" t="str">
        <f t="shared" si="2"/>
        <v>#중기사용료!$A$465:$H$474</v>
      </c>
      <c r="L45" s="137" t="s">
        <v>887</v>
      </c>
      <c r="M45" s="137" t="s">
        <v>1029</v>
      </c>
    </row>
    <row r="46" spans="1:13" ht="18" customHeight="1">
      <c r="A46" s="133" t="s">
        <v>523</v>
      </c>
      <c r="B46" s="133" t="s">
        <v>984</v>
      </c>
      <c r="C46" s="133">
        <v>1</v>
      </c>
      <c r="D46" s="133" t="s">
        <v>497</v>
      </c>
      <c r="E46" s="134"/>
      <c r="F46" s="134">
        <v>0</v>
      </c>
      <c r="G46" s="131">
        <f>중기사용료!$G$485</f>
        <v>3612</v>
      </c>
      <c r="H46" s="135">
        <f t="shared" ref="H46" si="5">E46+F46+G46</f>
        <v>3612</v>
      </c>
      <c r="I46" s="136"/>
      <c r="J46" s="132" t="str">
        <f t="shared" ref="J46" si="6">HYPERLINK(K46, "중기사용료 시트 확인")</f>
        <v>중기사용료 시트 확인</v>
      </c>
      <c r="K46" s="137" t="str">
        <f t="shared" si="2"/>
        <v>#중기사용료!$A$476:$H$485</v>
      </c>
      <c r="L46" s="137" t="s">
        <v>888</v>
      </c>
      <c r="M46" s="137" t="s">
        <v>1030</v>
      </c>
    </row>
    <row r="47" spans="1:13" ht="18" customHeight="1">
      <c r="A47" s="133" t="s">
        <v>523</v>
      </c>
      <c r="B47" s="133" t="s">
        <v>513</v>
      </c>
      <c r="C47" s="133">
        <v>1</v>
      </c>
      <c r="D47" s="133" t="s">
        <v>497</v>
      </c>
      <c r="E47" s="134"/>
      <c r="F47" s="134">
        <v>0</v>
      </c>
      <c r="G47" s="131">
        <f>중기사용료!$G$496</f>
        <v>3612</v>
      </c>
      <c r="H47" s="135">
        <f t="shared" si="0"/>
        <v>3612</v>
      </c>
      <c r="I47" s="136"/>
      <c r="J47" s="132" t="str">
        <f t="shared" si="1"/>
        <v>중기사용료 시트 확인</v>
      </c>
      <c r="K47" s="137" t="str">
        <f t="shared" si="2"/>
        <v>#중기사용료!$A$487:$H$496</v>
      </c>
      <c r="L47" s="137" t="s">
        <v>889</v>
      </c>
      <c r="M47" s="137" t="s">
        <v>1031</v>
      </c>
    </row>
    <row r="48" spans="1:13" ht="18" customHeight="1">
      <c r="A48" s="133" t="s">
        <v>523</v>
      </c>
      <c r="B48" s="133" t="s">
        <v>514</v>
      </c>
      <c r="C48" s="133">
        <v>1</v>
      </c>
      <c r="D48" s="133" t="s">
        <v>497</v>
      </c>
      <c r="E48" s="134"/>
      <c r="F48" s="134">
        <v>0</v>
      </c>
      <c r="G48" s="131">
        <f>중기사용료!$G$507</f>
        <v>3492</v>
      </c>
      <c r="H48" s="135">
        <f t="shared" si="0"/>
        <v>3492</v>
      </c>
      <c r="I48" s="136"/>
      <c r="J48" s="132" t="str">
        <f t="shared" si="1"/>
        <v>중기사용료 시트 확인</v>
      </c>
      <c r="K48" s="137" t="str">
        <f t="shared" si="2"/>
        <v>#중기사용료!$A$498:$H$507</v>
      </c>
      <c r="L48" s="137" t="s">
        <v>890</v>
      </c>
      <c r="M48" s="137" t="s">
        <v>1032</v>
      </c>
    </row>
    <row r="49" spans="1:13" ht="18" customHeight="1">
      <c r="A49" s="133" t="s">
        <v>523</v>
      </c>
      <c r="B49" s="133" t="s">
        <v>515</v>
      </c>
      <c r="C49" s="133">
        <v>1</v>
      </c>
      <c r="D49" s="133" t="s">
        <v>497</v>
      </c>
      <c r="E49" s="134"/>
      <c r="F49" s="134">
        <v>0</v>
      </c>
      <c r="G49" s="131">
        <f>중기사용료!$G$518</f>
        <v>16282</v>
      </c>
      <c r="H49" s="135">
        <f t="shared" si="0"/>
        <v>16282</v>
      </c>
      <c r="I49" s="136"/>
      <c r="J49" s="132" t="str">
        <f t="shared" si="1"/>
        <v>중기사용료 시트 확인</v>
      </c>
      <c r="K49" s="137" t="str">
        <f t="shared" si="2"/>
        <v>#중기사용료!$A$509:$H$518</v>
      </c>
      <c r="L49" s="137" t="s">
        <v>891</v>
      </c>
      <c r="M49" s="137" t="s">
        <v>1033</v>
      </c>
    </row>
    <row r="50" spans="1:13" ht="18" customHeight="1">
      <c r="A50" s="133" t="s">
        <v>523</v>
      </c>
      <c r="B50" s="133" t="s">
        <v>516</v>
      </c>
      <c r="C50" s="133">
        <v>1</v>
      </c>
      <c r="D50" s="133" t="s">
        <v>497</v>
      </c>
      <c r="E50" s="134"/>
      <c r="F50" s="134">
        <v>0</v>
      </c>
      <c r="G50" s="131">
        <f>중기사용료!$G$529</f>
        <v>15901</v>
      </c>
      <c r="H50" s="135">
        <f t="shared" si="0"/>
        <v>15901</v>
      </c>
      <c r="I50" s="136"/>
      <c r="J50" s="132" t="str">
        <f t="shared" si="1"/>
        <v>중기사용료 시트 확인</v>
      </c>
      <c r="K50" s="137" t="str">
        <f t="shared" si="2"/>
        <v>#중기사용료!$A$520:$H$529</v>
      </c>
      <c r="L50" s="137" t="s">
        <v>892</v>
      </c>
      <c r="M50" s="137" t="s">
        <v>1034</v>
      </c>
    </row>
    <row r="51" spans="1:13" ht="18" customHeight="1">
      <c r="A51" s="133" t="s">
        <v>523</v>
      </c>
      <c r="B51" s="133" t="s">
        <v>517</v>
      </c>
      <c r="C51" s="133">
        <v>1</v>
      </c>
      <c r="D51" s="133" t="s">
        <v>497</v>
      </c>
      <c r="E51" s="134"/>
      <c r="F51" s="134">
        <v>0</v>
      </c>
      <c r="G51" s="131">
        <f>중기사용료!$G$540</f>
        <v>15248</v>
      </c>
      <c r="H51" s="135">
        <f t="shared" si="0"/>
        <v>15248</v>
      </c>
      <c r="I51" s="136"/>
      <c r="J51" s="132" t="str">
        <f t="shared" si="1"/>
        <v>중기사용료 시트 확인</v>
      </c>
      <c r="K51" s="137" t="str">
        <f t="shared" si="2"/>
        <v>#중기사용료!$A$531:$H$540</v>
      </c>
      <c r="L51" s="137" t="s">
        <v>893</v>
      </c>
      <c r="M51" s="137" t="s">
        <v>1035</v>
      </c>
    </row>
    <row r="52" spans="1:13" ht="18" customHeight="1">
      <c r="A52" s="133" t="s">
        <v>523</v>
      </c>
      <c r="B52" s="133" t="s">
        <v>518</v>
      </c>
      <c r="C52" s="133">
        <v>1</v>
      </c>
      <c r="D52" s="133" t="s">
        <v>497</v>
      </c>
      <c r="E52" s="134"/>
      <c r="F52" s="134">
        <v>0</v>
      </c>
      <c r="G52" s="131">
        <f>중기사용료!$G$551</f>
        <v>29889</v>
      </c>
      <c r="H52" s="135">
        <f t="shared" si="0"/>
        <v>29889</v>
      </c>
      <c r="I52" s="136"/>
      <c r="J52" s="132" t="str">
        <f t="shared" si="1"/>
        <v>중기사용료 시트 확인</v>
      </c>
      <c r="K52" s="137" t="str">
        <f t="shared" si="2"/>
        <v>#중기사용료!$A$542:$H$551</v>
      </c>
      <c r="L52" s="137" t="s">
        <v>894</v>
      </c>
      <c r="M52" s="137" t="s">
        <v>1036</v>
      </c>
    </row>
    <row r="53" spans="1:13" ht="18" customHeight="1">
      <c r="A53" s="133" t="s">
        <v>523</v>
      </c>
      <c r="B53" s="133" t="s">
        <v>519</v>
      </c>
      <c r="C53" s="133">
        <v>1</v>
      </c>
      <c r="D53" s="133" t="s">
        <v>497</v>
      </c>
      <c r="E53" s="134"/>
      <c r="F53" s="134">
        <v>0</v>
      </c>
      <c r="G53" s="131">
        <f>중기사용료!$G$562</f>
        <v>29336</v>
      </c>
      <c r="H53" s="135">
        <f t="shared" si="0"/>
        <v>29336</v>
      </c>
      <c r="I53" s="136"/>
      <c r="J53" s="132" t="str">
        <f t="shared" si="1"/>
        <v>중기사용료 시트 확인</v>
      </c>
      <c r="K53" s="137" t="str">
        <f t="shared" si="2"/>
        <v>#중기사용료!$A$553:$H$562</v>
      </c>
      <c r="L53" s="137" t="s">
        <v>895</v>
      </c>
      <c r="M53" s="137" t="s">
        <v>1037</v>
      </c>
    </row>
    <row r="54" spans="1:13" ht="18" customHeight="1">
      <c r="A54" s="133" t="s">
        <v>523</v>
      </c>
      <c r="B54" s="133" t="s">
        <v>520</v>
      </c>
      <c r="C54" s="133">
        <v>1</v>
      </c>
      <c r="D54" s="133" t="s">
        <v>497</v>
      </c>
      <c r="E54" s="134"/>
      <c r="F54" s="134">
        <v>0</v>
      </c>
      <c r="G54" s="131">
        <f>중기사용료!$G$573</f>
        <v>28586</v>
      </c>
      <c r="H54" s="135">
        <f t="shared" si="0"/>
        <v>28586</v>
      </c>
      <c r="I54" s="136"/>
      <c r="J54" s="132" t="str">
        <f t="shared" si="1"/>
        <v>중기사용료 시트 확인</v>
      </c>
      <c r="K54" s="137" t="str">
        <f t="shared" si="2"/>
        <v>#중기사용료!$A$564:$H$573</v>
      </c>
      <c r="L54" s="137" t="s">
        <v>896</v>
      </c>
      <c r="M54" s="137" t="s">
        <v>1038</v>
      </c>
    </row>
    <row r="55" spans="1:13" ht="18" customHeight="1">
      <c r="A55" s="133" t="s">
        <v>523</v>
      </c>
      <c r="B55" s="133" t="s">
        <v>521</v>
      </c>
      <c r="C55" s="133">
        <v>1</v>
      </c>
      <c r="D55" s="133" t="s">
        <v>497</v>
      </c>
      <c r="E55" s="134"/>
      <c r="F55" s="134">
        <v>0</v>
      </c>
      <c r="G55" s="131">
        <f>중기사용료!$G$584</f>
        <v>28020</v>
      </c>
      <c r="H55" s="135">
        <f t="shared" si="0"/>
        <v>28020</v>
      </c>
      <c r="I55" s="136"/>
      <c r="J55" s="132" t="str">
        <f t="shared" si="1"/>
        <v>중기사용료 시트 확인</v>
      </c>
      <c r="K55" s="137" t="str">
        <f t="shared" si="2"/>
        <v>#중기사용료!$A$575:$H$584</v>
      </c>
      <c r="L55" s="137" t="s">
        <v>897</v>
      </c>
      <c r="M55" s="137" t="s">
        <v>1039</v>
      </c>
    </row>
    <row r="56" spans="1:13" ht="18" customHeight="1">
      <c r="A56" s="133" t="s">
        <v>523</v>
      </c>
      <c r="B56" s="133" t="s">
        <v>522</v>
      </c>
      <c r="C56" s="133">
        <v>1</v>
      </c>
      <c r="D56" s="133" t="s">
        <v>497</v>
      </c>
      <c r="E56" s="134"/>
      <c r="F56" s="134">
        <v>0</v>
      </c>
      <c r="G56" s="131">
        <f>중기사용료!$G$595</f>
        <v>27473</v>
      </c>
      <c r="H56" s="135">
        <f t="shared" si="0"/>
        <v>27473</v>
      </c>
      <c r="I56" s="136"/>
      <c r="J56" s="132" t="str">
        <f t="shared" si="1"/>
        <v>중기사용료 시트 확인</v>
      </c>
      <c r="K56" s="137" t="str">
        <f t="shared" si="2"/>
        <v>#중기사용료!$A$586:$H$595</v>
      </c>
      <c r="L56" s="137" t="s">
        <v>898</v>
      </c>
      <c r="M56" s="137" t="s">
        <v>1040</v>
      </c>
    </row>
    <row r="57" spans="1:13" ht="18" customHeight="1">
      <c r="A57" s="133" t="s">
        <v>209</v>
      </c>
      <c r="B57" s="133" t="s">
        <v>524</v>
      </c>
      <c r="C57" s="133">
        <v>1</v>
      </c>
      <c r="D57" s="133" t="s">
        <v>497</v>
      </c>
      <c r="E57" s="134"/>
      <c r="F57" s="134">
        <v>0</v>
      </c>
      <c r="G57" s="131">
        <f>중기사용료!$G$606</f>
        <v>86993</v>
      </c>
      <c r="H57" s="135">
        <f t="shared" si="0"/>
        <v>86993</v>
      </c>
      <c r="I57" s="136"/>
      <c r="J57" s="132" t="str">
        <f t="shared" si="1"/>
        <v>중기사용료 시트 확인</v>
      </c>
      <c r="K57" s="137" t="str">
        <f t="shared" si="2"/>
        <v>#중기사용료!$A$597:$H$606</v>
      </c>
      <c r="L57" s="137" t="s">
        <v>899</v>
      </c>
      <c r="M57" s="137" t="s">
        <v>1041</v>
      </c>
    </row>
    <row r="58" spans="1:13" ht="18" customHeight="1">
      <c r="A58" s="133" t="s">
        <v>209</v>
      </c>
      <c r="B58" s="133" t="s">
        <v>525</v>
      </c>
      <c r="C58" s="133">
        <v>1</v>
      </c>
      <c r="D58" s="133" t="s">
        <v>497</v>
      </c>
      <c r="E58" s="134"/>
      <c r="F58" s="134">
        <v>0</v>
      </c>
      <c r="G58" s="131">
        <f>중기사용료!$G$617</f>
        <v>103471</v>
      </c>
      <c r="H58" s="135">
        <f t="shared" si="0"/>
        <v>103471</v>
      </c>
      <c r="I58" s="136"/>
      <c r="J58" s="132" t="str">
        <f t="shared" si="1"/>
        <v>중기사용료 시트 확인</v>
      </c>
      <c r="K58" s="137" t="str">
        <f t="shared" si="2"/>
        <v>#중기사용료!$A$608:$H$617</v>
      </c>
      <c r="L58" s="137" t="s">
        <v>900</v>
      </c>
      <c r="M58" s="137" t="s">
        <v>1042</v>
      </c>
    </row>
    <row r="59" spans="1:13" ht="18" customHeight="1">
      <c r="A59" s="133" t="s">
        <v>209</v>
      </c>
      <c r="B59" s="133" t="s">
        <v>526</v>
      </c>
      <c r="C59" s="133">
        <v>1</v>
      </c>
      <c r="D59" s="133" t="s">
        <v>497</v>
      </c>
      <c r="E59" s="134"/>
      <c r="F59" s="134">
        <v>0</v>
      </c>
      <c r="G59" s="131">
        <f>중기사용료!$G$628</f>
        <v>95457</v>
      </c>
      <c r="H59" s="135">
        <f t="shared" si="0"/>
        <v>95457</v>
      </c>
      <c r="I59" s="136"/>
      <c r="J59" s="132" t="str">
        <f t="shared" si="1"/>
        <v>중기사용료 시트 확인</v>
      </c>
      <c r="K59" s="137" t="str">
        <f t="shared" si="2"/>
        <v>#중기사용료!$A$619:$H$628</v>
      </c>
      <c r="L59" s="137" t="s">
        <v>901</v>
      </c>
      <c r="M59" s="137" t="s">
        <v>1043</v>
      </c>
    </row>
    <row r="60" spans="1:13" ht="18" customHeight="1">
      <c r="A60" s="133" t="s">
        <v>209</v>
      </c>
      <c r="B60" s="133" t="s">
        <v>527</v>
      </c>
      <c r="C60" s="133">
        <v>1</v>
      </c>
      <c r="D60" s="133" t="s">
        <v>497</v>
      </c>
      <c r="E60" s="134"/>
      <c r="F60" s="134">
        <v>0</v>
      </c>
      <c r="G60" s="131">
        <f>중기사용료!$G$639</f>
        <v>79311</v>
      </c>
      <c r="H60" s="135">
        <f t="shared" si="0"/>
        <v>79311</v>
      </c>
      <c r="I60" s="136"/>
      <c r="J60" s="132" t="str">
        <f t="shared" si="1"/>
        <v>중기사용료 시트 확인</v>
      </c>
      <c r="K60" s="137" t="str">
        <f t="shared" si="2"/>
        <v>#중기사용료!$A$630:$H$639</v>
      </c>
      <c r="L60" s="137" t="s">
        <v>902</v>
      </c>
      <c r="M60" s="137" t="s">
        <v>1044</v>
      </c>
    </row>
    <row r="61" spans="1:13" ht="18" customHeight="1">
      <c r="A61" s="133" t="s">
        <v>209</v>
      </c>
      <c r="B61" s="133" t="s">
        <v>528</v>
      </c>
      <c r="C61" s="133">
        <v>1</v>
      </c>
      <c r="D61" s="133" t="s">
        <v>497</v>
      </c>
      <c r="E61" s="134"/>
      <c r="F61" s="134">
        <v>0</v>
      </c>
      <c r="G61" s="131">
        <f>중기사용료!$G$650</f>
        <v>92316</v>
      </c>
      <c r="H61" s="135">
        <f t="shared" si="0"/>
        <v>92316</v>
      </c>
      <c r="I61" s="136"/>
      <c r="J61" s="132" t="str">
        <f t="shared" si="1"/>
        <v>중기사용료 시트 확인</v>
      </c>
      <c r="K61" s="137" t="str">
        <f t="shared" si="2"/>
        <v>#중기사용료!$A$641:$H$650</v>
      </c>
      <c r="L61" s="137" t="s">
        <v>903</v>
      </c>
      <c r="M61" s="137" t="s">
        <v>1045</v>
      </c>
    </row>
    <row r="62" spans="1:13" ht="18" customHeight="1">
      <c r="A62" s="133" t="s">
        <v>209</v>
      </c>
      <c r="B62" s="133" t="s">
        <v>529</v>
      </c>
      <c r="C62" s="133">
        <v>1</v>
      </c>
      <c r="D62" s="133" t="s">
        <v>497</v>
      </c>
      <c r="E62" s="134"/>
      <c r="F62" s="134">
        <v>0</v>
      </c>
      <c r="G62" s="131">
        <f>중기사용료!$G$661</f>
        <v>95080</v>
      </c>
      <c r="H62" s="135">
        <f t="shared" si="0"/>
        <v>95080</v>
      </c>
      <c r="I62" s="136"/>
      <c r="J62" s="132" t="str">
        <f t="shared" si="1"/>
        <v>중기사용료 시트 확인</v>
      </c>
      <c r="K62" s="137" t="str">
        <f t="shared" si="2"/>
        <v>#중기사용료!$A$652:$H$661</v>
      </c>
      <c r="L62" s="137" t="s">
        <v>904</v>
      </c>
      <c r="M62" s="137" t="s">
        <v>1046</v>
      </c>
    </row>
    <row r="63" spans="1:13" ht="18" customHeight="1">
      <c r="A63" s="133" t="s">
        <v>209</v>
      </c>
      <c r="B63" s="133" t="s">
        <v>530</v>
      </c>
      <c r="C63" s="133">
        <v>1</v>
      </c>
      <c r="D63" s="133" t="s">
        <v>497</v>
      </c>
      <c r="E63" s="134"/>
      <c r="F63" s="134">
        <v>0</v>
      </c>
      <c r="G63" s="131">
        <f>중기사용료!$G$672</f>
        <v>88758</v>
      </c>
      <c r="H63" s="135">
        <f t="shared" si="0"/>
        <v>88758</v>
      </c>
      <c r="I63" s="136"/>
      <c r="J63" s="132" t="str">
        <f t="shared" si="1"/>
        <v>중기사용료 시트 확인</v>
      </c>
      <c r="K63" s="137" t="str">
        <f t="shared" si="2"/>
        <v>#중기사용료!$A$663:$H$672</v>
      </c>
      <c r="L63" s="137" t="s">
        <v>905</v>
      </c>
      <c r="M63" s="137" t="s">
        <v>1047</v>
      </c>
    </row>
    <row r="64" spans="1:13" ht="18" customHeight="1">
      <c r="A64" s="133" t="s">
        <v>209</v>
      </c>
      <c r="B64" s="133" t="s">
        <v>531</v>
      </c>
      <c r="C64" s="133">
        <v>1</v>
      </c>
      <c r="D64" s="133" t="s">
        <v>497</v>
      </c>
      <c r="E64" s="134"/>
      <c r="F64" s="134">
        <v>0</v>
      </c>
      <c r="G64" s="131">
        <f>중기사용료!$G$683</f>
        <v>43779</v>
      </c>
      <c r="H64" s="135">
        <f t="shared" si="0"/>
        <v>43779</v>
      </c>
      <c r="I64" s="136"/>
      <c r="J64" s="132" t="str">
        <f t="shared" si="1"/>
        <v>중기사용료 시트 확인</v>
      </c>
      <c r="K64" s="137" t="str">
        <f t="shared" si="2"/>
        <v>#중기사용료!$A$674:$H$683</v>
      </c>
      <c r="L64" s="137" t="s">
        <v>906</v>
      </c>
      <c r="M64" s="137" t="s">
        <v>1048</v>
      </c>
    </row>
    <row r="65" spans="1:13" ht="18" customHeight="1">
      <c r="A65" s="133" t="s">
        <v>209</v>
      </c>
      <c r="B65" s="133" t="s">
        <v>532</v>
      </c>
      <c r="C65" s="133">
        <v>1</v>
      </c>
      <c r="D65" s="133" t="s">
        <v>497</v>
      </c>
      <c r="E65" s="134"/>
      <c r="F65" s="134">
        <v>0</v>
      </c>
      <c r="G65" s="131">
        <f>중기사용료!$G$694</f>
        <v>44799</v>
      </c>
      <c r="H65" s="135">
        <f t="shared" si="0"/>
        <v>44799</v>
      </c>
      <c r="I65" s="136"/>
      <c r="J65" s="132" t="str">
        <f t="shared" si="1"/>
        <v>중기사용료 시트 확인</v>
      </c>
      <c r="K65" s="137" t="str">
        <f t="shared" si="2"/>
        <v>#중기사용료!$A$685:$H$694</v>
      </c>
      <c r="L65" s="137" t="s">
        <v>907</v>
      </c>
      <c r="M65" s="137" t="s">
        <v>1049</v>
      </c>
    </row>
    <row r="66" spans="1:13" ht="18" customHeight="1">
      <c r="A66" s="133" t="s">
        <v>209</v>
      </c>
      <c r="B66" s="133" t="s">
        <v>533</v>
      </c>
      <c r="C66" s="133">
        <v>1</v>
      </c>
      <c r="D66" s="133" t="s">
        <v>497</v>
      </c>
      <c r="E66" s="134"/>
      <c r="F66" s="134">
        <v>0</v>
      </c>
      <c r="G66" s="131">
        <f>중기사용료!$G$705</f>
        <v>46858</v>
      </c>
      <c r="H66" s="135">
        <f t="shared" si="0"/>
        <v>46858</v>
      </c>
      <c r="I66" s="136"/>
      <c r="J66" s="132" t="str">
        <f t="shared" si="1"/>
        <v>중기사용료 시트 확인</v>
      </c>
      <c r="K66" s="137" t="str">
        <f t="shared" si="2"/>
        <v>#중기사용료!$A$696:$H$705</v>
      </c>
      <c r="L66" s="137" t="s">
        <v>908</v>
      </c>
      <c r="M66" s="137" t="s">
        <v>1050</v>
      </c>
    </row>
    <row r="67" spans="1:13" ht="18" customHeight="1">
      <c r="A67" s="133" t="s">
        <v>209</v>
      </c>
      <c r="B67" s="133" t="s">
        <v>534</v>
      </c>
      <c r="C67" s="133">
        <v>1</v>
      </c>
      <c r="D67" s="133" t="s">
        <v>497</v>
      </c>
      <c r="E67" s="134"/>
      <c r="F67" s="134">
        <v>0</v>
      </c>
      <c r="G67" s="131">
        <f>중기사용료!$G$716</f>
        <v>50056</v>
      </c>
      <c r="H67" s="135">
        <f t="shared" ref="H67:H131" si="7">E67+F67+G67</f>
        <v>50056</v>
      </c>
      <c r="I67" s="136"/>
      <c r="J67" s="132" t="str">
        <f t="shared" si="1"/>
        <v>중기사용료 시트 확인</v>
      </c>
      <c r="K67" s="137" t="str">
        <f t="shared" si="2"/>
        <v>#중기사용료!$A$707:$H$716</v>
      </c>
      <c r="L67" s="137" t="s">
        <v>909</v>
      </c>
      <c r="M67" s="137" t="s">
        <v>1051</v>
      </c>
    </row>
    <row r="68" spans="1:13" ht="18" customHeight="1">
      <c r="A68" s="133" t="s">
        <v>209</v>
      </c>
      <c r="B68" s="133" t="s">
        <v>535</v>
      </c>
      <c r="C68" s="133">
        <v>1</v>
      </c>
      <c r="D68" s="133" t="s">
        <v>497</v>
      </c>
      <c r="E68" s="134"/>
      <c r="F68" s="134">
        <v>0</v>
      </c>
      <c r="G68" s="131">
        <f>중기사용료!$G$727</f>
        <v>44563</v>
      </c>
      <c r="H68" s="135">
        <f t="shared" si="7"/>
        <v>44563</v>
      </c>
      <c r="I68" s="136"/>
      <c r="J68" s="132" t="str">
        <f t="shared" ref="J68:J132" si="8">HYPERLINK(K68, "중기사용료 시트 확인")</f>
        <v>중기사용료 시트 확인</v>
      </c>
      <c r="K68" s="137" t="str">
        <f t="shared" ref="K68:K126" si="9" xml:space="preserve"> "#중기사용료!"&amp;L68&amp;M68</f>
        <v>#중기사용료!$A$718:$H$727</v>
      </c>
      <c r="L68" s="137" t="s">
        <v>910</v>
      </c>
      <c r="M68" s="137" t="s">
        <v>1052</v>
      </c>
    </row>
    <row r="69" spans="1:13" ht="18" customHeight="1">
      <c r="A69" s="133" t="s">
        <v>209</v>
      </c>
      <c r="B69" s="133" t="s">
        <v>536</v>
      </c>
      <c r="C69" s="133">
        <v>1</v>
      </c>
      <c r="D69" s="133" t="s">
        <v>497</v>
      </c>
      <c r="E69" s="134"/>
      <c r="F69" s="134">
        <v>0</v>
      </c>
      <c r="G69" s="131">
        <f>중기사용료!$G$738</f>
        <v>47438</v>
      </c>
      <c r="H69" s="135">
        <f t="shared" si="7"/>
        <v>47438</v>
      </c>
      <c r="I69" s="136"/>
      <c r="J69" s="132" t="str">
        <f t="shared" si="8"/>
        <v>중기사용료 시트 확인</v>
      </c>
      <c r="K69" s="137" t="str">
        <f t="shared" si="9"/>
        <v>#중기사용료!$A$729:$H$738</v>
      </c>
      <c r="L69" s="137" t="s">
        <v>911</v>
      </c>
      <c r="M69" s="137" t="s">
        <v>1053</v>
      </c>
    </row>
    <row r="70" spans="1:13" ht="18" customHeight="1">
      <c r="A70" s="133" t="s">
        <v>209</v>
      </c>
      <c r="B70" s="133" t="s">
        <v>537</v>
      </c>
      <c r="C70" s="133">
        <v>1</v>
      </c>
      <c r="D70" s="133" t="s">
        <v>497</v>
      </c>
      <c r="E70" s="134"/>
      <c r="F70" s="134">
        <v>0</v>
      </c>
      <c r="G70" s="131">
        <f>중기사용료!$G$749</f>
        <v>49548</v>
      </c>
      <c r="H70" s="135">
        <f t="shared" si="7"/>
        <v>49548</v>
      </c>
      <c r="I70" s="136"/>
      <c r="J70" s="132" t="str">
        <f t="shared" si="8"/>
        <v>중기사용료 시트 확인</v>
      </c>
      <c r="K70" s="137" t="str">
        <f t="shared" si="9"/>
        <v>#중기사용료!$A$740:$H$749</v>
      </c>
      <c r="L70" s="137" t="s">
        <v>912</v>
      </c>
      <c r="M70" s="137" t="s">
        <v>1054</v>
      </c>
    </row>
    <row r="71" spans="1:13" ht="18" customHeight="1">
      <c r="A71" s="133" t="s">
        <v>209</v>
      </c>
      <c r="B71" s="133" t="s">
        <v>538</v>
      </c>
      <c r="C71" s="133">
        <v>1</v>
      </c>
      <c r="D71" s="133" t="s">
        <v>497</v>
      </c>
      <c r="E71" s="134"/>
      <c r="F71" s="134">
        <v>0</v>
      </c>
      <c r="G71" s="131">
        <f>중기사용료!$G$760</f>
        <v>35513</v>
      </c>
      <c r="H71" s="135">
        <f t="shared" si="7"/>
        <v>35513</v>
      </c>
      <c r="I71" s="136"/>
      <c r="J71" s="132" t="str">
        <f t="shared" si="8"/>
        <v>중기사용료 시트 확인</v>
      </c>
      <c r="K71" s="137" t="str">
        <f t="shared" si="9"/>
        <v>#중기사용료!$A$751:$H$760</v>
      </c>
      <c r="L71" s="137" t="s">
        <v>913</v>
      </c>
      <c r="M71" s="137" t="s">
        <v>1055</v>
      </c>
    </row>
    <row r="72" spans="1:13" ht="18" customHeight="1">
      <c r="A72" s="133" t="s">
        <v>209</v>
      </c>
      <c r="B72" s="133" t="s">
        <v>539</v>
      </c>
      <c r="C72" s="133">
        <v>1</v>
      </c>
      <c r="D72" s="133" t="s">
        <v>497</v>
      </c>
      <c r="E72" s="134"/>
      <c r="F72" s="134">
        <v>0</v>
      </c>
      <c r="G72" s="131">
        <f>중기사용료!$G$771</f>
        <v>35128</v>
      </c>
      <c r="H72" s="135">
        <f t="shared" si="7"/>
        <v>35128</v>
      </c>
      <c r="I72" s="136"/>
      <c r="J72" s="132" t="str">
        <f t="shared" si="8"/>
        <v>중기사용료 시트 확인</v>
      </c>
      <c r="K72" s="137" t="str">
        <f t="shared" si="9"/>
        <v>#중기사용료!$A$762:$H$771</v>
      </c>
      <c r="L72" s="137" t="s">
        <v>914</v>
      </c>
      <c r="M72" s="137" t="s">
        <v>1056</v>
      </c>
    </row>
    <row r="73" spans="1:13" ht="18" customHeight="1">
      <c r="A73" s="133" t="s">
        <v>209</v>
      </c>
      <c r="B73" s="133" t="s">
        <v>381</v>
      </c>
      <c r="C73" s="133">
        <v>1</v>
      </c>
      <c r="D73" s="133" t="s">
        <v>497</v>
      </c>
      <c r="E73" s="134"/>
      <c r="F73" s="134">
        <v>0</v>
      </c>
      <c r="G73" s="131">
        <f>중기사용료!$G$782</f>
        <v>38131</v>
      </c>
      <c r="H73" s="135">
        <f t="shared" si="7"/>
        <v>38131</v>
      </c>
      <c r="I73" s="136"/>
      <c r="J73" s="132" t="str">
        <f t="shared" si="8"/>
        <v>중기사용료 시트 확인</v>
      </c>
      <c r="K73" s="137" t="str">
        <f t="shared" si="9"/>
        <v>#중기사용료!$A$773:$H$782</v>
      </c>
      <c r="L73" s="137" t="s">
        <v>915</v>
      </c>
      <c r="M73" s="137" t="s">
        <v>1057</v>
      </c>
    </row>
    <row r="74" spans="1:13" ht="18" customHeight="1">
      <c r="A74" s="133" t="s">
        <v>209</v>
      </c>
      <c r="B74" s="133" t="s">
        <v>984</v>
      </c>
      <c r="C74" s="133">
        <v>1</v>
      </c>
      <c r="D74" s="133" t="s">
        <v>497</v>
      </c>
      <c r="E74" s="134"/>
      <c r="F74" s="134">
        <v>0</v>
      </c>
      <c r="G74" s="131">
        <f>중기사용료!$G$793</f>
        <v>38131</v>
      </c>
      <c r="H74" s="135">
        <f t="shared" ref="H74" si="10">E74+F74+G74</f>
        <v>38131</v>
      </c>
      <c r="I74" s="136"/>
      <c r="J74" s="132" t="str">
        <f t="shared" ref="J74" si="11">HYPERLINK(K74, "중기사용료 시트 확인")</f>
        <v>중기사용료 시트 확인</v>
      </c>
      <c r="K74" s="137" t="str">
        <f t="shared" si="9"/>
        <v>#중기사용료!$A$784:$H$793</v>
      </c>
      <c r="L74" s="137" t="s">
        <v>916</v>
      </c>
      <c r="M74" s="137" t="s">
        <v>1058</v>
      </c>
    </row>
    <row r="75" spans="1:13" ht="18" customHeight="1">
      <c r="A75" s="133" t="s">
        <v>209</v>
      </c>
      <c r="B75" s="133" t="s">
        <v>540</v>
      </c>
      <c r="C75" s="133">
        <v>1</v>
      </c>
      <c r="D75" s="133" t="s">
        <v>497</v>
      </c>
      <c r="E75" s="134"/>
      <c r="F75" s="134">
        <v>0</v>
      </c>
      <c r="G75" s="131">
        <f>중기사용료!$G$804</f>
        <v>40194</v>
      </c>
      <c r="H75" s="135">
        <f t="shared" si="7"/>
        <v>40194</v>
      </c>
      <c r="I75" s="136"/>
      <c r="J75" s="132" t="str">
        <f t="shared" si="8"/>
        <v>중기사용료 시트 확인</v>
      </c>
      <c r="K75" s="137" t="str">
        <f t="shared" si="9"/>
        <v>#중기사용료!$A$795:$H$804</v>
      </c>
      <c r="L75" s="137" t="s">
        <v>917</v>
      </c>
      <c r="M75" s="137" t="s">
        <v>1059</v>
      </c>
    </row>
    <row r="76" spans="1:13" ht="18" customHeight="1">
      <c r="A76" s="133" t="s">
        <v>209</v>
      </c>
      <c r="B76" s="133" t="s">
        <v>541</v>
      </c>
      <c r="C76" s="133">
        <v>1</v>
      </c>
      <c r="D76" s="133" t="s">
        <v>497</v>
      </c>
      <c r="E76" s="134"/>
      <c r="F76" s="134">
        <v>0</v>
      </c>
      <c r="G76" s="131">
        <f>중기사용료!$G$815</f>
        <v>243100</v>
      </c>
      <c r="H76" s="135">
        <f t="shared" si="7"/>
        <v>243100</v>
      </c>
      <c r="I76" s="136"/>
      <c r="J76" s="132" t="str">
        <f t="shared" si="8"/>
        <v>중기사용료 시트 확인</v>
      </c>
      <c r="K76" s="137" t="str">
        <f t="shared" si="9"/>
        <v>#중기사용료!$A$806:$H$815</v>
      </c>
      <c r="L76" s="137" t="s">
        <v>918</v>
      </c>
      <c r="M76" s="137" t="s">
        <v>1060</v>
      </c>
    </row>
    <row r="77" spans="1:13" ht="18" customHeight="1">
      <c r="A77" s="133" t="s">
        <v>209</v>
      </c>
      <c r="B77" s="133" t="s">
        <v>542</v>
      </c>
      <c r="C77" s="133">
        <v>1</v>
      </c>
      <c r="D77" s="133" t="s">
        <v>497</v>
      </c>
      <c r="E77" s="134"/>
      <c r="F77" s="134">
        <v>0</v>
      </c>
      <c r="G77" s="131">
        <f>중기사용료!$G$826</f>
        <v>327535</v>
      </c>
      <c r="H77" s="135">
        <f t="shared" si="7"/>
        <v>327535</v>
      </c>
      <c r="I77" s="136"/>
      <c r="J77" s="132" t="str">
        <f t="shared" si="8"/>
        <v>중기사용료 시트 확인</v>
      </c>
      <c r="K77" s="137" t="str">
        <f t="shared" si="9"/>
        <v>#중기사용료!$A$817:$H$826</v>
      </c>
      <c r="L77" s="137" t="s">
        <v>919</v>
      </c>
      <c r="M77" s="137" t="s">
        <v>1061</v>
      </c>
    </row>
    <row r="78" spans="1:13" ht="18" customHeight="1">
      <c r="A78" s="133" t="s">
        <v>209</v>
      </c>
      <c r="B78" s="133" t="s">
        <v>543</v>
      </c>
      <c r="C78" s="133">
        <v>1</v>
      </c>
      <c r="D78" s="133" t="s">
        <v>497</v>
      </c>
      <c r="E78" s="134"/>
      <c r="F78" s="134">
        <v>0</v>
      </c>
      <c r="G78" s="131">
        <f>중기사용료!$G$837</f>
        <v>352613</v>
      </c>
      <c r="H78" s="135">
        <f t="shared" si="7"/>
        <v>352613</v>
      </c>
      <c r="I78" s="136"/>
      <c r="J78" s="132" t="str">
        <f t="shared" si="8"/>
        <v>중기사용료 시트 확인</v>
      </c>
      <c r="K78" s="137" t="str">
        <f t="shared" si="9"/>
        <v>#중기사용료!$A$828:$H$837</v>
      </c>
      <c r="L78" s="137" t="s">
        <v>920</v>
      </c>
      <c r="M78" s="137" t="s">
        <v>1062</v>
      </c>
    </row>
    <row r="79" spans="1:13" ht="18" customHeight="1">
      <c r="A79" s="133" t="s">
        <v>209</v>
      </c>
      <c r="B79" s="133" t="s">
        <v>544</v>
      </c>
      <c r="C79" s="133">
        <v>1</v>
      </c>
      <c r="D79" s="133" t="s">
        <v>497</v>
      </c>
      <c r="E79" s="134"/>
      <c r="F79" s="134">
        <v>0</v>
      </c>
      <c r="G79" s="131">
        <f>중기사용료!$G$848</f>
        <v>475722</v>
      </c>
      <c r="H79" s="135">
        <f t="shared" si="7"/>
        <v>475722</v>
      </c>
      <c r="I79" s="136"/>
      <c r="J79" s="132" t="str">
        <f t="shared" si="8"/>
        <v>중기사용료 시트 확인</v>
      </c>
      <c r="K79" s="137" t="str">
        <f t="shared" si="9"/>
        <v>#중기사용료!$A$839:$H$848</v>
      </c>
      <c r="L79" s="137" t="s">
        <v>921</v>
      </c>
      <c r="M79" s="137" t="s">
        <v>1063</v>
      </c>
    </row>
    <row r="80" spans="1:13" ht="18" customHeight="1">
      <c r="A80" s="133" t="s">
        <v>209</v>
      </c>
      <c r="B80" s="133" t="s">
        <v>545</v>
      </c>
      <c r="C80" s="133">
        <v>1</v>
      </c>
      <c r="D80" s="133" t="s">
        <v>497</v>
      </c>
      <c r="E80" s="134"/>
      <c r="F80" s="134">
        <v>0</v>
      </c>
      <c r="G80" s="131">
        <f>중기사용료!$G$859</f>
        <v>557895</v>
      </c>
      <c r="H80" s="135">
        <f t="shared" si="7"/>
        <v>557895</v>
      </c>
      <c r="I80" s="136"/>
      <c r="J80" s="132" t="str">
        <f t="shared" si="8"/>
        <v>중기사용료 시트 확인</v>
      </c>
      <c r="K80" s="137" t="str">
        <f t="shared" si="9"/>
        <v>#중기사용료!$A$850:$H$859</v>
      </c>
      <c r="L80" s="137" t="s">
        <v>922</v>
      </c>
      <c r="M80" s="137" t="s">
        <v>1064</v>
      </c>
    </row>
    <row r="81" spans="1:13" ht="18" customHeight="1">
      <c r="A81" s="133" t="s">
        <v>209</v>
      </c>
      <c r="B81" s="133" t="s">
        <v>546</v>
      </c>
      <c r="C81" s="133">
        <v>1</v>
      </c>
      <c r="D81" s="133" t="s">
        <v>497</v>
      </c>
      <c r="E81" s="134"/>
      <c r="F81" s="134">
        <v>0</v>
      </c>
      <c r="G81" s="131">
        <f>중기사용료!$G$870</f>
        <v>569300</v>
      </c>
      <c r="H81" s="135">
        <f t="shared" si="7"/>
        <v>569300</v>
      </c>
      <c r="I81" s="136"/>
      <c r="J81" s="132" t="str">
        <f t="shared" si="8"/>
        <v>중기사용료 시트 확인</v>
      </c>
      <c r="K81" s="137" t="str">
        <f t="shared" si="9"/>
        <v>#중기사용료!$A$861:$H$870</v>
      </c>
      <c r="L81" s="137" t="s">
        <v>923</v>
      </c>
      <c r="M81" s="137" t="s">
        <v>1065</v>
      </c>
    </row>
    <row r="82" spans="1:13" ht="18" customHeight="1">
      <c r="A82" s="133" t="s">
        <v>209</v>
      </c>
      <c r="B82" s="133" t="s">
        <v>547</v>
      </c>
      <c r="C82" s="133">
        <v>1</v>
      </c>
      <c r="D82" s="133" t="s">
        <v>497</v>
      </c>
      <c r="E82" s="134"/>
      <c r="F82" s="134">
        <v>0</v>
      </c>
      <c r="G82" s="131">
        <f>중기사용료!$G$881</f>
        <v>616346</v>
      </c>
      <c r="H82" s="135">
        <f t="shared" si="7"/>
        <v>616346</v>
      </c>
      <c r="I82" s="136"/>
      <c r="J82" s="132" t="str">
        <f t="shared" si="8"/>
        <v>중기사용료 시트 확인</v>
      </c>
      <c r="K82" s="137" t="str">
        <f t="shared" si="9"/>
        <v>#중기사용료!$A$872:$H$881</v>
      </c>
      <c r="L82" s="137" t="s">
        <v>924</v>
      </c>
      <c r="M82" s="137" t="s">
        <v>1066</v>
      </c>
    </row>
    <row r="83" spans="1:13" ht="18" customHeight="1">
      <c r="A83" s="133" t="s">
        <v>209</v>
      </c>
      <c r="B83" s="133" t="s">
        <v>548</v>
      </c>
      <c r="C83" s="133">
        <v>1</v>
      </c>
      <c r="D83" s="133" t="s">
        <v>497</v>
      </c>
      <c r="E83" s="134"/>
      <c r="F83" s="134">
        <v>0</v>
      </c>
      <c r="G83" s="131">
        <f>중기사용료!$G$892</f>
        <v>639084</v>
      </c>
      <c r="H83" s="135">
        <f t="shared" si="7"/>
        <v>639084</v>
      </c>
      <c r="I83" s="136"/>
      <c r="J83" s="132" t="str">
        <f t="shared" si="8"/>
        <v>중기사용료 시트 확인</v>
      </c>
      <c r="K83" s="137" t="str">
        <f t="shared" si="9"/>
        <v>#중기사용료!$A$883:$H$892</v>
      </c>
      <c r="L83" s="137" t="s">
        <v>925</v>
      </c>
      <c r="M83" s="137" t="s">
        <v>1067</v>
      </c>
    </row>
    <row r="84" spans="1:13" ht="18" customHeight="1">
      <c r="A84" s="133" t="s">
        <v>210</v>
      </c>
      <c r="B84" s="133" t="s">
        <v>524</v>
      </c>
      <c r="C84" s="133">
        <v>1</v>
      </c>
      <c r="D84" s="133" t="s">
        <v>497</v>
      </c>
      <c r="E84" s="134"/>
      <c r="F84" s="134">
        <v>0</v>
      </c>
      <c r="G84" s="131">
        <f>중기사용료!$G$903</f>
        <v>13768</v>
      </c>
      <c r="H84" s="135">
        <f t="shared" si="7"/>
        <v>13768</v>
      </c>
      <c r="I84" s="136"/>
      <c r="J84" s="132" t="str">
        <f t="shared" si="8"/>
        <v>중기사용료 시트 확인</v>
      </c>
      <c r="K84" s="137" t="str">
        <f t="shared" si="9"/>
        <v>#중기사용료!$A$894:$H$903</v>
      </c>
      <c r="L84" s="137" t="s">
        <v>926</v>
      </c>
      <c r="M84" s="137" t="s">
        <v>1068</v>
      </c>
    </row>
    <row r="85" spans="1:13" ht="18" customHeight="1">
      <c r="A85" s="133" t="s">
        <v>210</v>
      </c>
      <c r="B85" s="133" t="s">
        <v>525</v>
      </c>
      <c r="C85" s="133">
        <v>1</v>
      </c>
      <c r="D85" s="133" t="s">
        <v>497</v>
      </c>
      <c r="E85" s="134"/>
      <c r="F85" s="134">
        <v>0</v>
      </c>
      <c r="G85" s="131">
        <f>중기사용료!$G$914</f>
        <v>14030</v>
      </c>
      <c r="H85" s="135">
        <f t="shared" si="7"/>
        <v>14030</v>
      </c>
      <c r="I85" s="136"/>
      <c r="J85" s="132" t="str">
        <f t="shared" si="8"/>
        <v>중기사용료 시트 확인</v>
      </c>
      <c r="K85" s="137" t="str">
        <f t="shared" si="9"/>
        <v>#중기사용료!$A$905:$H$914</v>
      </c>
      <c r="L85" s="137" t="s">
        <v>927</v>
      </c>
      <c r="M85" s="137" t="s">
        <v>1069</v>
      </c>
    </row>
    <row r="86" spans="1:13" ht="18" customHeight="1">
      <c r="A86" s="133" t="s">
        <v>210</v>
      </c>
      <c r="B86" s="133" t="s">
        <v>526</v>
      </c>
      <c r="C86" s="133">
        <v>1</v>
      </c>
      <c r="D86" s="133" t="s">
        <v>497</v>
      </c>
      <c r="E86" s="134"/>
      <c r="F86" s="134">
        <v>0</v>
      </c>
      <c r="G86" s="131">
        <f>중기사용료!$G$925</f>
        <v>14318</v>
      </c>
      <c r="H86" s="135">
        <f t="shared" si="7"/>
        <v>14318</v>
      </c>
      <c r="I86" s="136"/>
      <c r="J86" s="132" t="str">
        <f t="shared" si="8"/>
        <v>중기사용료 시트 확인</v>
      </c>
      <c r="K86" s="137" t="str">
        <f t="shared" si="9"/>
        <v>#중기사용료!$A$916:$H$925</v>
      </c>
      <c r="L86" s="137" t="s">
        <v>928</v>
      </c>
      <c r="M86" s="137" t="s">
        <v>1070</v>
      </c>
    </row>
    <row r="87" spans="1:13" ht="18" customHeight="1">
      <c r="A87" s="133" t="s">
        <v>210</v>
      </c>
      <c r="B87" s="133" t="s">
        <v>527</v>
      </c>
      <c r="C87" s="133">
        <v>1</v>
      </c>
      <c r="D87" s="133" t="s">
        <v>497</v>
      </c>
      <c r="E87" s="134"/>
      <c r="F87" s="134">
        <v>0</v>
      </c>
      <c r="G87" s="131">
        <f>중기사용료!$G$936</f>
        <v>11663</v>
      </c>
      <c r="H87" s="135">
        <f t="shared" si="7"/>
        <v>11663</v>
      </c>
      <c r="I87" s="136"/>
      <c r="J87" s="132" t="str">
        <f t="shared" si="8"/>
        <v>중기사용료 시트 확인</v>
      </c>
      <c r="K87" s="137" t="str">
        <f t="shared" si="9"/>
        <v>#중기사용료!$A$927:$H$936</v>
      </c>
      <c r="L87" s="137" t="s">
        <v>929</v>
      </c>
      <c r="M87" s="137" t="s">
        <v>1071</v>
      </c>
    </row>
    <row r="88" spans="1:13" ht="18" customHeight="1">
      <c r="A88" s="133" t="s">
        <v>210</v>
      </c>
      <c r="B88" s="133" t="s">
        <v>528</v>
      </c>
      <c r="C88" s="133">
        <v>1</v>
      </c>
      <c r="D88" s="133" t="s">
        <v>497</v>
      </c>
      <c r="E88" s="134"/>
      <c r="F88" s="134">
        <v>0</v>
      </c>
      <c r="G88" s="131">
        <f>중기사용료!$G$947</f>
        <v>12308</v>
      </c>
      <c r="H88" s="135">
        <f t="shared" si="7"/>
        <v>12308</v>
      </c>
      <c r="I88" s="136"/>
      <c r="J88" s="132" t="str">
        <f t="shared" si="8"/>
        <v>중기사용료 시트 확인</v>
      </c>
      <c r="K88" s="137" t="str">
        <f t="shared" si="9"/>
        <v>#중기사용료!$A$938:$H$947</v>
      </c>
      <c r="L88" s="137" t="s">
        <v>930</v>
      </c>
      <c r="M88" s="137" t="s">
        <v>1072</v>
      </c>
    </row>
    <row r="89" spans="1:13" ht="18" customHeight="1">
      <c r="A89" s="133" t="s">
        <v>210</v>
      </c>
      <c r="B89" s="133" t="s">
        <v>529</v>
      </c>
      <c r="C89" s="133">
        <v>1</v>
      </c>
      <c r="D89" s="133" t="s">
        <v>497</v>
      </c>
      <c r="E89" s="134"/>
      <c r="F89" s="134">
        <v>0</v>
      </c>
      <c r="G89" s="131">
        <f>중기사용료!$G$958</f>
        <v>13136</v>
      </c>
      <c r="H89" s="135">
        <f t="shared" si="7"/>
        <v>13136</v>
      </c>
      <c r="I89" s="136"/>
      <c r="J89" s="132" t="str">
        <f t="shared" si="8"/>
        <v>중기사용료 시트 확인</v>
      </c>
      <c r="K89" s="137" t="str">
        <f t="shared" si="9"/>
        <v>#중기사용료!$A$949:$H$958</v>
      </c>
      <c r="L89" s="137" t="s">
        <v>931</v>
      </c>
      <c r="M89" s="137" t="s">
        <v>1073</v>
      </c>
    </row>
    <row r="90" spans="1:13" ht="18" customHeight="1">
      <c r="A90" s="133" t="s">
        <v>210</v>
      </c>
      <c r="B90" s="133" t="s">
        <v>530</v>
      </c>
      <c r="C90" s="133">
        <v>1</v>
      </c>
      <c r="D90" s="133" t="s">
        <v>497</v>
      </c>
      <c r="E90" s="134"/>
      <c r="F90" s="134">
        <v>0</v>
      </c>
      <c r="G90" s="131">
        <f>중기사용료!$G$969</f>
        <v>12127</v>
      </c>
      <c r="H90" s="135">
        <f t="shared" si="7"/>
        <v>12127</v>
      </c>
      <c r="I90" s="136"/>
      <c r="J90" s="132" t="str">
        <f t="shared" si="8"/>
        <v>중기사용료 시트 확인</v>
      </c>
      <c r="K90" s="137" t="str">
        <f t="shared" si="9"/>
        <v>#중기사용료!$A$960:$H$969</v>
      </c>
      <c r="L90" s="137" t="s">
        <v>932</v>
      </c>
      <c r="M90" s="137" t="s">
        <v>1074</v>
      </c>
    </row>
    <row r="91" spans="1:13" ht="18" customHeight="1">
      <c r="A91" s="133" t="s">
        <v>210</v>
      </c>
      <c r="B91" s="133" t="s">
        <v>531</v>
      </c>
      <c r="C91" s="133">
        <v>1</v>
      </c>
      <c r="D91" s="133" t="s">
        <v>497</v>
      </c>
      <c r="E91" s="134"/>
      <c r="F91" s="134">
        <v>0</v>
      </c>
      <c r="G91" s="131">
        <f>중기사용료!$G$980</f>
        <v>5885</v>
      </c>
      <c r="H91" s="135">
        <f t="shared" si="7"/>
        <v>5885</v>
      </c>
      <c r="I91" s="136"/>
      <c r="J91" s="132" t="str">
        <f t="shared" si="8"/>
        <v>중기사용료 시트 확인</v>
      </c>
      <c r="K91" s="137" t="str">
        <f t="shared" si="9"/>
        <v>#중기사용료!$A$971:$H$980</v>
      </c>
      <c r="L91" s="137" t="s">
        <v>933</v>
      </c>
      <c r="M91" s="137" t="s">
        <v>1075</v>
      </c>
    </row>
    <row r="92" spans="1:13" ht="18" customHeight="1">
      <c r="A92" s="133" t="s">
        <v>210</v>
      </c>
      <c r="B92" s="133" t="s">
        <v>532</v>
      </c>
      <c r="C92" s="133">
        <v>1</v>
      </c>
      <c r="D92" s="133" t="s">
        <v>497</v>
      </c>
      <c r="E92" s="134"/>
      <c r="F92" s="134">
        <v>0</v>
      </c>
      <c r="G92" s="131">
        <f>중기사용료!$G$991</f>
        <v>5785</v>
      </c>
      <c r="H92" s="135">
        <f t="shared" si="7"/>
        <v>5785</v>
      </c>
      <c r="I92" s="136"/>
      <c r="J92" s="132" t="str">
        <f t="shared" si="8"/>
        <v>중기사용료 시트 확인</v>
      </c>
      <c r="K92" s="137" t="str">
        <f t="shared" si="9"/>
        <v>#중기사용료!$A$982:$H$991</v>
      </c>
      <c r="L92" s="137" t="s">
        <v>934</v>
      </c>
      <c r="M92" s="137" t="s">
        <v>1076</v>
      </c>
    </row>
    <row r="93" spans="1:13" ht="18" customHeight="1">
      <c r="A93" s="133" t="s">
        <v>210</v>
      </c>
      <c r="B93" s="133" t="s">
        <v>533</v>
      </c>
      <c r="C93" s="133">
        <v>1</v>
      </c>
      <c r="D93" s="133" t="s">
        <v>497</v>
      </c>
      <c r="E93" s="134"/>
      <c r="F93" s="134">
        <v>0</v>
      </c>
      <c r="G93" s="131">
        <f>중기사용료!$G$1002</f>
        <v>5692</v>
      </c>
      <c r="H93" s="135">
        <f t="shared" si="7"/>
        <v>5692</v>
      </c>
      <c r="I93" s="136"/>
      <c r="J93" s="132" t="str">
        <f t="shared" si="8"/>
        <v>중기사용료 시트 확인</v>
      </c>
      <c r="K93" s="137" t="str">
        <f t="shared" si="9"/>
        <v>#중기사용료!$A$993:$H$1002</v>
      </c>
      <c r="L93" s="137" t="s">
        <v>935</v>
      </c>
      <c r="M93" s="137" t="s">
        <v>1077</v>
      </c>
    </row>
    <row r="94" spans="1:13" ht="18" customHeight="1">
      <c r="A94" s="133" t="s">
        <v>210</v>
      </c>
      <c r="B94" s="133" t="s">
        <v>534</v>
      </c>
      <c r="C94" s="133">
        <v>1</v>
      </c>
      <c r="D94" s="133" t="s">
        <v>497</v>
      </c>
      <c r="E94" s="134"/>
      <c r="F94" s="134">
        <v>0</v>
      </c>
      <c r="G94" s="131">
        <f>중기사용료!$G$1013</f>
        <v>5509</v>
      </c>
      <c r="H94" s="135">
        <f t="shared" si="7"/>
        <v>5509</v>
      </c>
      <c r="I94" s="136"/>
      <c r="J94" s="132" t="str">
        <f t="shared" si="8"/>
        <v>중기사용료 시트 확인</v>
      </c>
      <c r="K94" s="137" t="str">
        <f t="shared" si="9"/>
        <v>#중기사용료!$A$1004:$H$1013</v>
      </c>
      <c r="L94" s="137" t="s">
        <v>936</v>
      </c>
      <c r="M94" s="137" t="s">
        <v>1078</v>
      </c>
    </row>
    <row r="95" spans="1:13" ht="18" customHeight="1">
      <c r="A95" s="133" t="s">
        <v>210</v>
      </c>
      <c r="B95" s="133" t="s">
        <v>535</v>
      </c>
      <c r="C95" s="133">
        <v>1</v>
      </c>
      <c r="D95" s="133" t="s">
        <v>497</v>
      </c>
      <c r="E95" s="134"/>
      <c r="F95" s="134">
        <v>0</v>
      </c>
      <c r="G95" s="131">
        <f>중기사용료!$G$1024</f>
        <v>6111</v>
      </c>
      <c r="H95" s="135">
        <f t="shared" si="7"/>
        <v>6111</v>
      </c>
      <c r="I95" s="136"/>
      <c r="J95" s="132" t="str">
        <f t="shared" si="8"/>
        <v>중기사용료 시트 확인</v>
      </c>
      <c r="K95" s="137" t="str">
        <f t="shared" si="9"/>
        <v>#중기사용료!$A$1015:$H$1024</v>
      </c>
      <c r="L95" s="137" t="s">
        <v>937</v>
      </c>
      <c r="M95" s="137" t="s">
        <v>1079</v>
      </c>
    </row>
    <row r="96" spans="1:13" ht="18" customHeight="1">
      <c r="A96" s="133" t="s">
        <v>210</v>
      </c>
      <c r="B96" s="133" t="s">
        <v>536</v>
      </c>
      <c r="C96" s="133">
        <v>1</v>
      </c>
      <c r="D96" s="133" t="s">
        <v>497</v>
      </c>
      <c r="E96" s="134"/>
      <c r="F96" s="134">
        <v>0</v>
      </c>
      <c r="G96" s="131">
        <f>중기사용료!$G$1035</f>
        <v>5905</v>
      </c>
      <c r="H96" s="135">
        <f t="shared" si="7"/>
        <v>5905</v>
      </c>
      <c r="I96" s="136"/>
      <c r="J96" s="132" t="str">
        <f t="shared" si="8"/>
        <v>중기사용료 시트 확인</v>
      </c>
      <c r="K96" s="137" t="str">
        <f t="shared" si="9"/>
        <v>#중기사용료!$A$1026:$H$1035</v>
      </c>
      <c r="L96" s="137" t="s">
        <v>938</v>
      </c>
      <c r="M96" s="137" t="s">
        <v>1080</v>
      </c>
    </row>
    <row r="97" spans="1:13" ht="18" customHeight="1">
      <c r="A97" s="133" t="s">
        <v>210</v>
      </c>
      <c r="B97" s="133" t="s">
        <v>537</v>
      </c>
      <c r="C97" s="133">
        <v>1</v>
      </c>
      <c r="D97" s="133" t="s">
        <v>497</v>
      </c>
      <c r="E97" s="134"/>
      <c r="F97" s="134">
        <v>0</v>
      </c>
      <c r="G97" s="131">
        <f>중기사용료!$G$1046</f>
        <v>5695</v>
      </c>
      <c r="H97" s="135">
        <f t="shared" si="7"/>
        <v>5695</v>
      </c>
      <c r="I97" s="136"/>
      <c r="J97" s="132" t="str">
        <f t="shared" si="8"/>
        <v>중기사용료 시트 확인</v>
      </c>
      <c r="K97" s="137" t="str">
        <f t="shared" si="9"/>
        <v>#중기사용료!$A$1037:$H$1046</v>
      </c>
      <c r="L97" s="137" t="s">
        <v>939</v>
      </c>
      <c r="M97" s="137" t="s">
        <v>1081</v>
      </c>
    </row>
    <row r="98" spans="1:13" ht="18" customHeight="1">
      <c r="A98" s="133" t="s">
        <v>210</v>
      </c>
      <c r="B98" s="133" t="s">
        <v>538</v>
      </c>
      <c r="C98" s="133">
        <v>1</v>
      </c>
      <c r="D98" s="133" t="s">
        <v>497</v>
      </c>
      <c r="E98" s="134"/>
      <c r="F98" s="134">
        <v>0</v>
      </c>
      <c r="G98" s="131">
        <f>중기사용료!$G$1057</f>
        <v>4881</v>
      </c>
      <c r="H98" s="135">
        <f t="shared" si="7"/>
        <v>4881</v>
      </c>
      <c r="I98" s="136"/>
      <c r="J98" s="132" t="str">
        <f t="shared" si="8"/>
        <v>중기사용료 시트 확인</v>
      </c>
      <c r="K98" s="137" t="str">
        <f t="shared" si="9"/>
        <v>#중기사용료!$A$1048:$H$1057</v>
      </c>
      <c r="L98" s="137" t="s">
        <v>940</v>
      </c>
      <c r="M98" s="137" t="s">
        <v>1082</v>
      </c>
    </row>
    <row r="99" spans="1:13" ht="18" customHeight="1">
      <c r="A99" s="133" t="s">
        <v>210</v>
      </c>
      <c r="B99" s="133" t="s">
        <v>539</v>
      </c>
      <c r="C99" s="133">
        <v>1</v>
      </c>
      <c r="D99" s="133" t="s">
        <v>497</v>
      </c>
      <c r="E99" s="134"/>
      <c r="F99" s="134">
        <v>0</v>
      </c>
      <c r="G99" s="131">
        <f>중기사용료!$G$1068</f>
        <v>4633</v>
      </c>
      <c r="H99" s="135">
        <f t="shared" si="7"/>
        <v>4633</v>
      </c>
      <c r="I99" s="136"/>
      <c r="J99" s="132" t="str">
        <f t="shared" si="8"/>
        <v>중기사용료 시트 확인</v>
      </c>
      <c r="K99" s="137" t="str">
        <f t="shared" si="9"/>
        <v>#중기사용료!$A$1059:$H$1068</v>
      </c>
      <c r="L99" s="137" t="s">
        <v>941</v>
      </c>
      <c r="M99" s="137" t="s">
        <v>1083</v>
      </c>
    </row>
    <row r="100" spans="1:13" ht="18" customHeight="1">
      <c r="A100" s="133" t="s">
        <v>210</v>
      </c>
      <c r="B100" s="133" t="s">
        <v>381</v>
      </c>
      <c r="C100" s="133">
        <v>1</v>
      </c>
      <c r="D100" s="133" t="s">
        <v>497</v>
      </c>
      <c r="E100" s="134"/>
      <c r="F100" s="134">
        <v>0</v>
      </c>
      <c r="G100" s="131">
        <f>중기사용료!$G$1079</f>
        <v>4587</v>
      </c>
      <c r="H100" s="135">
        <f t="shared" si="7"/>
        <v>4587</v>
      </c>
      <c r="I100" s="136"/>
      <c r="J100" s="132" t="str">
        <f t="shared" si="8"/>
        <v>중기사용료 시트 확인</v>
      </c>
      <c r="K100" s="137" t="str">
        <f t="shared" si="9"/>
        <v>#중기사용료!$A$1070:$H$1079</v>
      </c>
      <c r="L100" s="137" t="s">
        <v>942</v>
      </c>
      <c r="M100" s="137" t="s">
        <v>1084</v>
      </c>
    </row>
    <row r="101" spans="1:13" ht="18" customHeight="1">
      <c r="A101" s="133" t="s">
        <v>210</v>
      </c>
      <c r="B101" s="133" t="s">
        <v>984</v>
      </c>
      <c r="C101" s="133">
        <v>1</v>
      </c>
      <c r="D101" s="133" t="s">
        <v>497</v>
      </c>
      <c r="E101" s="134"/>
      <c r="F101" s="134">
        <v>0</v>
      </c>
      <c r="G101" s="131">
        <f>중기사용료!$G$1090</f>
        <v>4587</v>
      </c>
      <c r="H101" s="135">
        <f t="shared" ref="H101" si="12">E101+F101+G101</f>
        <v>4587</v>
      </c>
      <c r="I101" s="136"/>
      <c r="J101" s="132" t="str">
        <f t="shared" ref="J101" si="13">HYPERLINK(K101, "중기사용료 시트 확인")</f>
        <v>중기사용료 시트 확인</v>
      </c>
      <c r="K101" s="137" t="str">
        <f t="shared" si="9"/>
        <v>#중기사용료!$A$1081:$H$1090</v>
      </c>
      <c r="L101" s="137" t="s">
        <v>943</v>
      </c>
      <c r="M101" s="137" t="s">
        <v>1085</v>
      </c>
    </row>
    <row r="102" spans="1:13" ht="18" customHeight="1">
      <c r="A102" s="133" t="s">
        <v>210</v>
      </c>
      <c r="B102" s="133" t="s">
        <v>540</v>
      </c>
      <c r="C102" s="133">
        <v>1</v>
      </c>
      <c r="D102" s="133" t="s">
        <v>497</v>
      </c>
      <c r="E102" s="134"/>
      <c r="F102" s="134">
        <v>0</v>
      </c>
      <c r="G102" s="131">
        <f>중기사용료!$G$1101</f>
        <v>4435</v>
      </c>
      <c r="H102" s="135">
        <f t="shared" si="7"/>
        <v>4435</v>
      </c>
      <c r="I102" s="136"/>
      <c r="J102" s="132" t="str">
        <f t="shared" si="8"/>
        <v>중기사용료 시트 확인</v>
      </c>
      <c r="K102" s="137" t="str">
        <f t="shared" si="9"/>
        <v>#중기사용료!$A$1092:$H$1101</v>
      </c>
      <c r="L102" s="137" t="s">
        <v>944</v>
      </c>
      <c r="M102" s="137" t="s">
        <v>1086</v>
      </c>
    </row>
    <row r="103" spans="1:13" ht="18" customHeight="1">
      <c r="A103" s="133" t="s">
        <v>210</v>
      </c>
      <c r="B103" s="133" t="s">
        <v>541</v>
      </c>
      <c r="C103" s="133">
        <v>1</v>
      </c>
      <c r="D103" s="133" t="s">
        <v>497</v>
      </c>
      <c r="E103" s="134"/>
      <c r="F103" s="134">
        <v>0</v>
      </c>
      <c r="G103" s="131">
        <f>중기사용료!$G$1112</f>
        <v>28267</v>
      </c>
      <c r="H103" s="135">
        <f t="shared" si="7"/>
        <v>28267</v>
      </c>
      <c r="I103" s="136"/>
      <c r="J103" s="132" t="str">
        <f t="shared" si="8"/>
        <v>중기사용료 시트 확인</v>
      </c>
      <c r="K103" s="137" t="str">
        <f t="shared" si="9"/>
        <v>#중기사용료!$A$1103:$H$1112</v>
      </c>
      <c r="L103" s="137" t="s">
        <v>945</v>
      </c>
      <c r="M103" s="137" t="s">
        <v>1087</v>
      </c>
    </row>
    <row r="104" spans="1:13" ht="18" customHeight="1">
      <c r="A104" s="133" t="s">
        <v>210</v>
      </c>
      <c r="B104" s="133" t="s">
        <v>542</v>
      </c>
      <c r="C104" s="133">
        <v>1</v>
      </c>
      <c r="D104" s="133" t="s">
        <v>497</v>
      </c>
      <c r="E104" s="134"/>
      <c r="F104" s="134">
        <v>0</v>
      </c>
      <c r="G104" s="131">
        <f>중기사용료!$G$1123</f>
        <v>27607</v>
      </c>
      <c r="H104" s="135">
        <f t="shared" si="7"/>
        <v>27607</v>
      </c>
      <c r="I104" s="136"/>
      <c r="J104" s="132" t="str">
        <f t="shared" si="8"/>
        <v>중기사용료 시트 확인</v>
      </c>
      <c r="K104" s="137" t="str">
        <f t="shared" si="9"/>
        <v>#중기사용료!$A$1114:$H$1123</v>
      </c>
      <c r="L104" s="137" t="s">
        <v>946</v>
      </c>
      <c r="M104" s="137" t="s">
        <v>1088</v>
      </c>
    </row>
    <row r="105" spans="1:13" ht="18" customHeight="1">
      <c r="A105" s="133" t="s">
        <v>210</v>
      </c>
      <c r="B105" s="133" t="s">
        <v>543</v>
      </c>
      <c r="C105" s="133">
        <v>1</v>
      </c>
      <c r="D105" s="133" t="s">
        <v>497</v>
      </c>
      <c r="E105" s="134"/>
      <c r="F105" s="134">
        <v>0</v>
      </c>
      <c r="G105" s="131">
        <f>중기사용료!$G$1134</f>
        <v>26472</v>
      </c>
      <c r="H105" s="135">
        <f t="shared" si="7"/>
        <v>26472</v>
      </c>
      <c r="I105" s="136"/>
      <c r="J105" s="132" t="str">
        <f t="shared" si="8"/>
        <v>중기사용료 시트 확인</v>
      </c>
      <c r="K105" s="137" t="str">
        <f t="shared" si="9"/>
        <v>#중기사용료!$A$1125:$H$1134</v>
      </c>
      <c r="L105" s="137" t="s">
        <v>947</v>
      </c>
      <c r="M105" s="137" t="s">
        <v>1089</v>
      </c>
    </row>
    <row r="106" spans="1:13" ht="18" customHeight="1">
      <c r="A106" s="133" t="s">
        <v>210</v>
      </c>
      <c r="B106" s="133" t="s">
        <v>544</v>
      </c>
      <c r="C106" s="133">
        <v>1</v>
      </c>
      <c r="D106" s="133" t="s">
        <v>497</v>
      </c>
      <c r="E106" s="134"/>
      <c r="F106" s="134">
        <v>0</v>
      </c>
      <c r="G106" s="131">
        <f>중기사용료!$G$1145</f>
        <v>46352</v>
      </c>
      <c r="H106" s="135">
        <f t="shared" si="7"/>
        <v>46352</v>
      </c>
      <c r="I106" s="136"/>
      <c r="J106" s="132" t="str">
        <f t="shared" si="8"/>
        <v>중기사용료 시트 확인</v>
      </c>
      <c r="K106" s="137" t="str">
        <f t="shared" si="9"/>
        <v>#중기사용료!$A$1136:$H$1145</v>
      </c>
      <c r="L106" s="137" t="s">
        <v>948</v>
      </c>
      <c r="M106" s="137" t="s">
        <v>1090</v>
      </c>
    </row>
    <row r="107" spans="1:13" ht="18" customHeight="1">
      <c r="A107" s="133" t="s">
        <v>210</v>
      </c>
      <c r="B107" s="133" t="s">
        <v>545</v>
      </c>
      <c r="C107" s="133">
        <v>1</v>
      </c>
      <c r="D107" s="133" t="s">
        <v>497</v>
      </c>
      <c r="E107" s="134"/>
      <c r="F107" s="134">
        <v>0</v>
      </c>
      <c r="G107" s="131">
        <f>중기사용료!$G$1156</f>
        <v>45493</v>
      </c>
      <c r="H107" s="135">
        <f t="shared" si="7"/>
        <v>45493</v>
      </c>
      <c r="I107" s="136"/>
      <c r="J107" s="132" t="str">
        <f t="shared" si="8"/>
        <v>중기사용료 시트 확인</v>
      </c>
      <c r="K107" s="137" t="str">
        <f t="shared" si="9"/>
        <v>#중기사용료!$A$1147:$H$1156</v>
      </c>
      <c r="L107" s="137" t="s">
        <v>949</v>
      </c>
      <c r="M107" s="137" t="s">
        <v>1091</v>
      </c>
    </row>
    <row r="108" spans="1:13" ht="18" customHeight="1">
      <c r="A108" s="133" t="s">
        <v>210</v>
      </c>
      <c r="B108" s="133" t="s">
        <v>546</v>
      </c>
      <c r="C108" s="133">
        <v>1</v>
      </c>
      <c r="D108" s="133" t="s">
        <v>497</v>
      </c>
      <c r="E108" s="134"/>
      <c r="F108" s="134">
        <v>0</v>
      </c>
      <c r="G108" s="131">
        <f>중기사용료!$G$1167</f>
        <v>44330</v>
      </c>
      <c r="H108" s="135">
        <f t="shared" si="7"/>
        <v>44330</v>
      </c>
      <c r="I108" s="136"/>
      <c r="J108" s="132" t="str">
        <f t="shared" si="8"/>
        <v>중기사용료 시트 확인</v>
      </c>
      <c r="K108" s="137" t="str">
        <f t="shared" si="9"/>
        <v>#중기사용료!$A$1158:$H$1167</v>
      </c>
      <c r="L108" s="137" t="s">
        <v>950</v>
      </c>
      <c r="M108" s="137" t="s">
        <v>1092</v>
      </c>
    </row>
    <row r="109" spans="1:13" ht="18" customHeight="1">
      <c r="A109" s="133" t="s">
        <v>210</v>
      </c>
      <c r="B109" s="133" t="s">
        <v>547</v>
      </c>
      <c r="C109" s="133">
        <v>1</v>
      </c>
      <c r="D109" s="133" t="s">
        <v>497</v>
      </c>
      <c r="E109" s="134"/>
      <c r="F109" s="134">
        <v>0</v>
      </c>
      <c r="G109" s="131">
        <f>중기사용료!$G$1178</f>
        <v>43453</v>
      </c>
      <c r="H109" s="135">
        <f t="shared" si="7"/>
        <v>43453</v>
      </c>
      <c r="I109" s="136"/>
      <c r="J109" s="132" t="str">
        <f t="shared" si="8"/>
        <v>중기사용료 시트 확인</v>
      </c>
      <c r="K109" s="137" t="str">
        <f t="shared" si="9"/>
        <v>#중기사용료!$A$1169:$H$1178</v>
      </c>
      <c r="L109" s="137" t="s">
        <v>951</v>
      </c>
      <c r="M109" s="137" t="s">
        <v>1093</v>
      </c>
    </row>
    <row r="110" spans="1:13" ht="18" customHeight="1">
      <c r="A110" s="133" t="s">
        <v>210</v>
      </c>
      <c r="B110" s="133" t="s">
        <v>548</v>
      </c>
      <c r="C110" s="133">
        <v>1</v>
      </c>
      <c r="D110" s="133" t="s">
        <v>497</v>
      </c>
      <c r="E110" s="134"/>
      <c r="F110" s="134">
        <v>0</v>
      </c>
      <c r="G110" s="131">
        <f>중기사용료!$G$1189</f>
        <v>42605</v>
      </c>
      <c r="H110" s="135">
        <f t="shared" si="7"/>
        <v>42605</v>
      </c>
      <c r="I110" s="136"/>
      <c r="J110" s="132" t="str">
        <f t="shared" si="8"/>
        <v>중기사용료 시트 확인</v>
      </c>
      <c r="K110" s="137" t="str">
        <f t="shared" si="9"/>
        <v>#중기사용료!$A$1180:$H$1189</v>
      </c>
      <c r="L110" s="137" t="s">
        <v>952</v>
      </c>
      <c r="M110" s="137" t="s">
        <v>1094</v>
      </c>
    </row>
    <row r="111" spans="1:13" ht="18" customHeight="1">
      <c r="A111" s="133" t="s">
        <v>453</v>
      </c>
      <c r="B111" s="133" t="s">
        <v>397</v>
      </c>
      <c r="C111" s="133">
        <v>1</v>
      </c>
      <c r="D111" s="133" t="s">
        <v>497</v>
      </c>
      <c r="E111" s="134"/>
      <c r="F111" s="134">
        <v>0</v>
      </c>
      <c r="G111" s="131">
        <f>중기사용료!$G$1200</f>
        <v>7246</v>
      </c>
      <c r="H111" s="135">
        <f t="shared" si="7"/>
        <v>7246</v>
      </c>
      <c r="I111" s="136"/>
      <c r="J111" s="132" t="str">
        <f t="shared" si="8"/>
        <v>중기사용료 시트 확인</v>
      </c>
      <c r="K111" s="137" t="str">
        <f t="shared" si="9"/>
        <v>#중기사용료!$A$1191:$H$1200</v>
      </c>
      <c r="L111" s="137" t="s">
        <v>953</v>
      </c>
      <c r="M111" s="137" t="s">
        <v>1095</v>
      </c>
    </row>
    <row r="112" spans="1:13" ht="18" customHeight="1">
      <c r="A112" s="133" t="s">
        <v>453</v>
      </c>
      <c r="B112" s="133" t="s">
        <v>399</v>
      </c>
      <c r="C112" s="133">
        <v>1</v>
      </c>
      <c r="D112" s="133" t="s">
        <v>497</v>
      </c>
      <c r="E112" s="134"/>
      <c r="F112" s="134">
        <v>0</v>
      </c>
      <c r="G112" s="131">
        <f>중기사용료!$G$1211</f>
        <v>9821</v>
      </c>
      <c r="H112" s="135">
        <f t="shared" si="7"/>
        <v>9821</v>
      </c>
      <c r="I112" s="136"/>
      <c r="J112" s="132" t="str">
        <f t="shared" si="8"/>
        <v>중기사용료 시트 확인</v>
      </c>
      <c r="K112" s="137" t="str">
        <f t="shared" si="9"/>
        <v>#중기사용료!$A$1202:$H$1211</v>
      </c>
      <c r="L112" s="137" t="s">
        <v>954</v>
      </c>
      <c r="M112" s="137" t="s">
        <v>1096</v>
      </c>
    </row>
    <row r="113" spans="1:13" ht="18" customHeight="1">
      <c r="A113" s="133" t="s">
        <v>453</v>
      </c>
      <c r="B113" s="133" t="s">
        <v>400</v>
      </c>
      <c r="C113" s="133">
        <v>1</v>
      </c>
      <c r="D113" s="133" t="s">
        <v>497</v>
      </c>
      <c r="E113" s="134"/>
      <c r="F113" s="134">
        <v>0</v>
      </c>
      <c r="G113" s="131">
        <f>중기사용료!$G$1222</f>
        <v>18455</v>
      </c>
      <c r="H113" s="135">
        <f t="shared" si="7"/>
        <v>18455</v>
      </c>
      <c r="I113" s="136"/>
      <c r="J113" s="132" t="str">
        <f t="shared" si="8"/>
        <v>중기사용료 시트 확인</v>
      </c>
      <c r="K113" s="137" t="str">
        <f t="shared" si="9"/>
        <v>#중기사용료!$A$1213:$H$1222</v>
      </c>
      <c r="L113" s="137" t="s">
        <v>955</v>
      </c>
      <c r="M113" s="137" t="s">
        <v>1097</v>
      </c>
    </row>
    <row r="114" spans="1:13" ht="18" customHeight="1">
      <c r="A114" s="133" t="s">
        <v>453</v>
      </c>
      <c r="B114" s="133" t="s">
        <v>401</v>
      </c>
      <c r="C114" s="133">
        <v>1</v>
      </c>
      <c r="D114" s="133" t="s">
        <v>497</v>
      </c>
      <c r="E114" s="134"/>
      <c r="F114" s="134">
        <v>0</v>
      </c>
      <c r="G114" s="131">
        <f>중기사용료!$G$1233</f>
        <v>19827</v>
      </c>
      <c r="H114" s="135">
        <f t="shared" si="7"/>
        <v>19827</v>
      </c>
      <c r="I114" s="136"/>
      <c r="J114" s="132" t="str">
        <f t="shared" si="8"/>
        <v>중기사용료 시트 확인</v>
      </c>
      <c r="K114" s="137" t="str">
        <f t="shared" si="9"/>
        <v>#중기사용료!$A$1224:$H$1233</v>
      </c>
      <c r="L114" s="137" t="s">
        <v>956</v>
      </c>
      <c r="M114" s="137" t="s">
        <v>1098</v>
      </c>
    </row>
    <row r="115" spans="1:13" ht="18" customHeight="1">
      <c r="A115" s="133" t="s">
        <v>453</v>
      </c>
      <c r="B115" s="133" t="s">
        <v>402</v>
      </c>
      <c r="C115" s="133">
        <v>1</v>
      </c>
      <c r="D115" s="133" t="s">
        <v>497</v>
      </c>
      <c r="E115" s="134"/>
      <c r="F115" s="134">
        <v>0</v>
      </c>
      <c r="G115" s="131">
        <f>중기사용료!$G$1244</f>
        <v>20881</v>
      </c>
      <c r="H115" s="135">
        <f t="shared" si="7"/>
        <v>20881</v>
      </c>
      <c r="I115" s="136"/>
      <c r="J115" s="132" t="str">
        <f t="shared" si="8"/>
        <v>중기사용료 시트 확인</v>
      </c>
      <c r="K115" s="137" t="str">
        <f t="shared" si="9"/>
        <v>#중기사용료!$A$1235:$H$1244</v>
      </c>
      <c r="L115" s="137" t="s">
        <v>957</v>
      </c>
      <c r="M115" s="137" t="s">
        <v>1099</v>
      </c>
    </row>
    <row r="116" spans="1:13" ht="18" customHeight="1">
      <c r="A116" s="133" t="s">
        <v>453</v>
      </c>
      <c r="B116" s="133" t="s">
        <v>403</v>
      </c>
      <c r="C116" s="133">
        <v>1</v>
      </c>
      <c r="D116" s="133" t="s">
        <v>497</v>
      </c>
      <c r="E116" s="134"/>
      <c r="F116" s="134">
        <v>0</v>
      </c>
      <c r="G116" s="131">
        <f>중기사용료!$G$1255</f>
        <v>22936</v>
      </c>
      <c r="H116" s="135">
        <f t="shared" si="7"/>
        <v>22936</v>
      </c>
      <c r="I116" s="136"/>
      <c r="J116" s="132" t="str">
        <f t="shared" si="8"/>
        <v>중기사용료 시트 확인</v>
      </c>
      <c r="K116" s="137" t="str">
        <f t="shared" si="9"/>
        <v>#중기사용료!$A$1246:$H$1255</v>
      </c>
      <c r="L116" s="137" t="s">
        <v>958</v>
      </c>
      <c r="M116" s="137" t="s">
        <v>1100</v>
      </c>
    </row>
    <row r="117" spans="1:13" ht="18" customHeight="1">
      <c r="A117" s="133" t="s">
        <v>453</v>
      </c>
      <c r="B117" s="133" t="s">
        <v>404</v>
      </c>
      <c r="C117" s="133">
        <v>1</v>
      </c>
      <c r="D117" s="133" t="s">
        <v>497</v>
      </c>
      <c r="E117" s="134"/>
      <c r="F117" s="134">
        <v>0</v>
      </c>
      <c r="G117" s="131">
        <f>중기사용료!$G$1266</f>
        <v>22848</v>
      </c>
      <c r="H117" s="135">
        <f t="shared" si="7"/>
        <v>22848</v>
      </c>
      <c r="I117" s="136"/>
      <c r="J117" s="132" t="str">
        <f t="shared" si="8"/>
        <v>중기사용료 시트 확인</v>
      </c>
      <c r="K117" s="137" t="str">
        <f t="shared" si="9"/>
        <v>#중기사용료!$A$1257:$H$1266</v>
      </c>
      <c r="L117" s="137" t="s">
        <v>959</v>
      </c>
      <c r="M117" s="137" t="s">
        <v>1101</v>
      </c>
    </row>
    <row r="118" spans="1:13" ht="18" customHeight="1">
      <c r="A118" s="133" t="s">
        <v>453</v>
      </c>
      <c r="B118" s="133" t="s">
        <v>405</v>
      </c>
      <c r="C118" s="133">
        <v>1</v>
      </c>
      <c r="D118" s="133" t="s">
        <v>497</v>
      </c>
      <c r="E118" s="134"/>
      <c r="F118" s="134">
        <v>0</v>
      </c>
      <c r="G118" s="131">
        <f>중기사용료!$G$1277</f>
        <v>12918</v>
      </c>
      <c r="H118" s="135">
        <f t="shared" si="7"/>
        <v>12918</v>
      </c>
      <c r="I118" s="136"/>
      <c r="J118" s="132" t="str">
        <f t="shared" si="8"/>
        <v>중기사용료 시트 확인</v>
      </c>
      <c r="K118" s="137" t="str">
        <f t="shared" si="9"/>
        <v>#중기사용료!$A$1268:$H$1277</v>
      </c>
      <c r="L118" s="137" t="s">
        <v>960</v>
      </c>
      <c r="M118" s="137" t="s">
        <v>1102</v>
      </c>
    </row>
    <row r="119" spans="1:13" ht="18" customHeight="1">
      <c r="A119" s="133" t="s">
        <v>453</v>
      </c>
      <c r="B119" s="133" t="s">
        <v>406</v>
      </c>
      <c r="C119" s="133">
        <v>1</v>
      </c>
      <c r="D119" s="133" t="s">
        <v>497</v>
      </c>
      <c r="E119" s="134"/>
      <c r="F119" s="134">
        <v>0</v>
      </c>
      <c r="G119" s="131">
        <f>중기사용료!$G$1288</f>
        <v>12699</v>
      </c>
      <c r="H119" s="135">
        <f t="shared" si="7"/>
        <v>12699</v>
      </c>
      <c r="I119" s="136"/>
      <c r="J119" s="132" t="str">
        <f t="shared" si="8"/>
        <v>중기사용료 시트 확인</v>
      </c>
      <c r="K119" s="137" t="str">
        <f t="shared" si="9"/>
        <v>#중기사용료!$A$1279:$H$1288</v>
      </c>
      <c r="L119" s="137" t="s">
        <v>961</v>
      </c>
      <c r="M119" s="137" t="s">
        <v>1103</v>
      </c>
    </row>
    <row r="120" spans="1:13" ht="18" customHeight="1">
      <c r="A120" s="133" t="s">
        <v>453</v>
      </c>
      <c r="B120" s="133" t="s">
        <v>407</v>
      </c>
      <c r="C120" s="133">
        <v>1</v>
      </c>
      <c r="D120" s="133" t="s">
        <v>497</v>
      </c>
      <c r="E120" s="134"/>
      <c r="F120" s="134">
        <v>0</v>
      </c>
      <c r="G120" s="131">
        <f>중기사용료!$G$1299</f>
        <v>12495</v>
      </c>
      <c r="H120" s="135">
        <f t="shared" si="7"/>
        <v>12495</v>
      </c>
      <c r="I120" s="136"/>
      <c r="J120" s="132" t="str">
        <f t="shared" si="8"/>
        <v>중기사용료 시트 확인</v>
      </c>
      <c r="K120" s="137" t="str">
        <f t="shared" si="9"/>
        <v>#중기사용료!$A$1290:$H$1299</v>
      </c>
      <c r="L120" s="137" t="s">
        <v>962</v>
      </c>
      <c r="M120" s="137" t="s">
        <v>1104</v>
      </c>
    </row>
    <row r="121" spans="1:13" ht="18" customHeight="1">
      <c r="A121" s="133" t="s">
        <v>453</v>
      </c>
      <c r="B121" s="133" t="s">
        <v>408</v>
      </c>
      <c r="C121" s="133">
        <v>1</v>
      </c>
      <c r="D121" s="133" t="s">
        <v>497</v>
      </c>
      <c r="E121" s="134"/>
      <c r="F121" s="134">
        <v>0</v>
      </c>
      <c r="G121" s="131">
        <f>중기사용료!$G$1310</f>
        <v>12094</v>
      </c>
      <c r="H121" s="135">
        <f t="shared" si="7"/>
        <v>12094</v>
      </c>
      <c r="I121" s="136"/>
      <c r="J121" s="132" t="str">
        <f t="shared" si="8"/>
        <v>중기사용료 시트 확인</v>
      </c>
      <c r="K121" s="137" t="str">
        <f t="shared" si="9"/>
        <v>#중기사용료!$A$1301:$H$1310</v>
      </c>
      <c r="L121" s="137" t="s">
        <v>963</v>
      </c>
      <c r="M121" s="137" t="s">
        <v>1105</v>
      </c>
    </row>
    <row r="122" spans="1:13" ht="18" customHeight="1">
      <c r="A122" s="133" t="s">
        <v>453</v>
      </c>
      <c r="B122" s="133" t="s">
        <v>409</v>
      </c>
      <c r="C122" s="133">
        <v>1</v>
      </c>
      <c r="D122" s="133" t="s">
        <v>497</v>
      </c>
      <c r="E122" s="134"/>
      <c r="F122" s="134">
        <v>0</v>
      </c>
      <c r="G122" s="131">
        <f>중기사용료!$G$1321</f>
        <v>14260</v>
      </c>
      <c r="H122" s="135">
        <f t="shared" si="7"/>
        <v>14260</v>
      </c>
      <c r="I122" s="136"/>
      <c r="J122" s="132" t="str">
        <f t="shared" si="8"/>
        <v>중기사용료 시트 확인</v>
      </c>
      <c r="K122" s="137" t="str">
        <f t="shared" si="9"/>
        <v>#중기사용료!$A$1312:$H$1321</v>
      </c>
      <c r="L122" s="137" t="s">
        <v>964</v>
      </c>
      <c r="M122" s="137" t="s">
        <v>1106</v>
      </c>
    </row>
    <row r="123" spans="1:13" ht="18" customHeight="1">
      <c r="A123" s="133" t="s">
        <v>453</v>
      </c>
      <c r="B123" s="133" t="s">
        <v>410</v>
      </c>
      <c r="C123" s="133">
        <v>1</v>
      </c>
      <c r="D123" s="133" t="s">
        <v>497</v>
      </c>
      <c r="E123" s="134"/>
      <c r="F123" s="134">
        <v>0</v>
      </c>
      <c r="G123" s="131">
        <f>중기사용료!$G$1332</f>
        <v>13778</v>
      </c>
      <c r="H123" s="135">
        <f t="shared" si="7"/>
        <v>13778</v>
      </c>
      <c r="I123" s="136"/>
      <c r="J123" s="132" t="str">
        <f t="shared" si="8"/>
        <v>중기사용료 시트 확인</v>
      </c>
      <c r="K123" s="137" t="str">
        <f t="shared" si="9"/>
        <v>#중기사용료!$A$1323:$H$1332</v>
      </c>
      <c r="L123" s="137" t="s">
        <v>965</v>
      </c>
      <c r="M123" s="137" t="s">
        <v>1107</v>
      </c>
    </row>
    <row r="124" spans="1:13" ht="18" customHeight="1">
      <c r="A124" s="133" t="s">
        <v>453</v>
      </c>
      <c r="B124" s="133" t="s">
        <v>411</v>
      </c>
      <c r="C124" s="133">
        <v>1</v>
      </c>
      <c r="D124" s="133" t="s">
        <v>497</v>
      </c>
      <c r="E124" s="134"/>
      <c r="F124" s="134">
        <v>0</v>
      </c>
      <c r="G124" s="131">
        <f>중기사용료!$G$1343</f>
        <v>13288</v>
      </c>
      <c r="H124" s="135">
        <f t="shared" si="7"/>
        <v>13288</v>
      </c>
      <c r="I124" s="136"/>
      <c r="J124" s="132" t="str">
        <f t="shared" si="8"/>
        <v>중기사용료 시트 확인</v>
      </c>
      <c r="K124" s="137" t="str">
        <f t="shared" si="9"/>
        <v>#중기사용료!$A$1334:$H$1343</v>
      </c>
      <c r="L124" s="137" t="s">
        <v>966</v>
      </c>
      <c r="M124" s="137" t="s">
        <v>1108</v>
      </c>
    </row>
    <row r="125" spans="1:13" ht="18" customHeight="1">
      <c r="A125" s="133" t="s">
        <v>453</v>
      </c>
      <c r="B125" s="133" t="s">
        <v>412</v>
      </c>
      <c r="C125" s="133">
        <v>1</v>
      </c>
      <c r="D125" s="133" t="s">
        <v>497</v>
      </c>
      <c r="E125" s="134"/>
      <c r="F125" s="134">
        <v>0</v>
      </c>
      <c r="G125" s="131">
        <f>중기사용료!$G$1354</f>
        <v>16780</v>
      </c>
      <c r="H125" s="135">
        <f t="shared" si="7"/>
        <v>16780</v>
      </c>
      <c r="I125" s="136"/>
      <c r="J125" s="132" t="str">
        <f t="shared" si="8"/>
        <v>중기사용료 시트 확인</v>
      </c>
      <c r="K125" s="137" t="str">
        <f t="shared" si="9"/>
        <v>#중기사용료!$A$1345:$H$1354</v>
      </c>
      <c r="L125" s="137" t="s">
        <v>967</v>
      </c>
      <c r="M125" s="137" t="s">
        <v>1109</v>
      </c>
    </row>
    <row r="126" spans="1:13" ht="18" customHeight="1">
      <c r="A126" s="133" t="s">
        <v>453</v>
      </c>
      <c r="B126" s="133" t="s">
        <v>413</v>
      </c>
      <c r="C126" s="133">
        <v>1</v>
      </c>
      <c r="D126" s="133" t="s">
        <v>497</v>
      </c>
      <c r="E126" s="134"/>
      <c r="F126" s="134">
        <v>0</v>
      </c>
      <c r="G126" s="131">
        <f>중기사용료!$G$1365</f>
        <v>15928</v>
      </c>
      <c r="H126" s="135">
        <f t="shared" si="7"/>
        <v>15928</v>
      </c>
      <c r="I126" s="136"/>
      <c r="J126" s="132" t="str">
        <f t="shared" si="8"/>
        <v>중기사용료 시트 확인</v>
      </c>
      <c r="K126" s="137" t="str">
        <f t="shared" si="9"/>
        <v>#중기사용료!$A$1356:$H$1365</v>
      </c>
      <c r="L126" s="137" t="s">
        <v>968</v>
      </c>
      <c r="M126" s="137" t="s">
        <v>1110</v>
      </c>
    </row>
    <row r="127" spans="1:13" ht="18" customHeight="1">
      <c r="A127" s="133" t="s">
        <v>453</v>
      </c>
      <c r="B127" s="133" t="s">
        <v>980</v>
      </c>
      <c r="C127" s="133">
        <v>1</v>
      </c>
      <c r="D127" s="133" t="s">
        <v>497</v>
      </c>
      <c r="E127" s="134"/>
      <c r="F127" s="134">
        <v>0</v>
      </c>
      <c r="G127" s="131">
        <f>중기사용료!$G$1376</f>
        <v>15768</v>
      </c>
      <c r="H127" s="135">
        <f t="shared" ref="H127" si="14">E127+F127+G127</f>
        <v>15768</v>
      </c>
      <c r="I127" s="136"/>
      <c r="J127" s="132" t="str">
        <f t="shared" si="8"/>
        <v>중기사용료 시트 확인</v>
      </c>
      <c r="K127" s="137" t="str">
        <f xml:space="preserve"> "#중기사용료!"&amp;L127&amp;M127</f>
        <v>#중기사용료!$A$1367:$H$1376</v>
      </c>
      <c r="L127" s="137" t="s">
        <v>969</v>
      </c>
      <c r="M127" s="137" t="s">
        <v>1111</v>
      </c>
    </row>
    <row r="128" spans="1:13" ht="18" customHeight="1">
      <c r="A128" s="133" t="s">
        <v>453</v>
      </c>
      <c r="B128" s="133" t="s">
        <v>414</v>
      </c>
      <c r="C128" s="133">
        <v>1</v>
      </c>
      <c r="D128" s="133" t="s">
        <v>497</v>
      </c>
      <c r="E128" s="134"/>
      <c r="F128" s="134">
        <v>0</v>
      </c>
      <c r="G128" s="131">
        <f>중기사용료!$G$1387</f>
        <v>15768</v>
      </c>
      <c r="H128" s="135">
        <f t="shared" si="7"/>
        <v>15768</v>
      </c>
      <c r="I128" s="136"/>
      <c r="J128" s="132" t="str">
        <f t="shared" si="8"/>
        <v>중기사용료 시트 확인</v>
      </c>
      <c r="K128" s="137" t="str">
        <f t="shared" ref="K128:K137" si="15" xml:space="preserve"> "#중기사용료!"&amp;L128&amp;M128</f>
        <v>#중기사용료!$A$1378:$H$1387</v>
      </c>
      <c r="L128" s="137" t="s">
        <v>970</v>
      </c>
      <c r="M128" s="137" t="s">
        <v>1112</v>
      </c>
    </row>
    <row r="129" spans="1:13" ht="18" customHeight="1">
      <c r="A129" s="133" t="s">
        <v>453</v>
      </c>
      <c r="B129" s="133" t="s">
        <v>415</v>
      </c>
      <c r="C129" s="133">
        <v>1</v>
      </c>
      <c r="D129" s="133" t="s">
        <v>497</v>
      </c>
      <c r="E129" s="134"/>
      <c r="F129" s="134">
        <v>0</v>
      </c>
      <c r="G129" s="131">
        <f>중기사용료!$G$1398</f>
        <v>15246</v>
      </c>
      <c r="H129" s="135">
        <f t="shared" si="7"/>
        <v>15246</v>
      </c>
      <c r="I129" s="136"/>
      <c r="J129" s="132" t="str">
        <f t="shared" si="8"/>
        <v>중기사용료 시트 확인</v>
      </c>
      <c r="K129" s="137" t="str">
        <f t="shared" si="15"/>
        <v>#중기사용료!$A$1389:$H$1398</v>
      </c>
      <c r="L129" s="137" t="s">
        <v>971</v>
      </c>
      <c r="M129" s="137" t="s">
        <v>1113</v>
      </c>
    </row>
    <row r="130" spans="1:13" ht="18" customHeight="1">
      <c r="A130" s="133" t="s">
        <v>453</v>
      </c>
      <c r="B130" s="133" t="s">
        <v>416</v>
      </c>
      <c r="C130" s="133">
        <v>1</v>
      </c>
      <c r="D130" s="133" t="s">
        <v>497</v>
      </c>
      <c r="E130" s="134"/>
      <c r="F130" s="134">
        <v>0</v>
      </c>
      <c r="G130" s="131">
        <f>중기사용료!$G$1409</f>
        <v>113070</v>
      </c>
      <c r="H130" s="135">
        <f t="shared" si="7"/>
        <v>113070</v>
      </c>
      <c r="I130" s="136"/>
      <c r="J130" s="132" t="str">
        <f t="shared" si="8"/>
        <v>중기사용료 시트 확인</v>
      </c>
      <c r="K130" s="137" t="str">
        <f t="shared" si="15"/>
        <v>#중기사용료!$A$1400:$H$1409</v>
      </c>
      <c r="L130" s="137" t="s">
        <v>972</v>
      </c>
      <c r="M130" s="137" t="s">
        <v>1114</v>
      </c>
    </row>
    <row r="131" spans="1:13" ht="18" customHeight="1">
      <c r="A131" s="133" t="s">
        <v>453</v>
      </c>
      <c r="B131" s="133" t="s">
        <v>417</v>
      </c>
      <c r="C131" s="133">
        <v>1</v>
      </c>
      <c r="D131" s="133" t="s">
        <v>497</v>
      </c>
      <c r="E131" s="134"/>
      <c r="F131" s="134">
        <v>0</v>
      </c>
      <c r="G131" s="131">
        <f>중기사용료!$G$1420</f>
        <v>110430</v>
      </c>
      <c r="H131" s="135">
        <f t="shared" si="7"/>
        <v>110430</v>
      </c>
      <c r="I131" s="136"/>
      <c r="J131" s="132" t="str">
        <f t="shared" si="8"/>
        <v>중기사용료 시트 확인</v>
      </c>
      <c r="K131" s="137" t="str">
        <f t="shared" si="15"/>
        <v>#중기사용료!$A$1411:$H$1420</v>
      </c>
      <c r="L131" s="137" t="s">
        <v>973</v>
      </c>
      <c r="M131" s="137" t="s">
        <v>1115</v>
      </c>
    </row>
    <row r="132" spans="1:13" ht="18" customHeight="1">
      <c r="A132" s="133" t="s">
        <v>453</v>
      </c>
      <c r="B132" s="133" t="s">
        <v>418</v>
      </c>
      <c r="C132" s="133">
        <v>1</v>
      </c>
      <c r="D132" s="133" t="s">
        <v>497</v>
      </c>
      <c r="E132" s="134"/>
      <c r="F132" s="134">
        <v>0</v>
      </c>
      <c r="G132" s="131">
        <f>중기사용료!$G$1431</f>
        <v>105890</v>
      </c>
      <c r="H132" s="135">
        <f t="shared" ref="H132:H137" si="16">E132+F132+G132</f>
        <v>105890</v>
      </c>
      <c r="I132" s="136"/>
      <c r="J132" s="132" t="str">
        <f t="shared" si="8"/>
        <v>중기사용료 시트 확인</v>
      </c>
      <c r="K132" s="137" t="str">
        <f t="shared" si="15"/>
        <v>#중기사용료!$A$1422:$H$1431</v>
      </c>
      <c r="L132" s="137" t="s">
        <v>974</v>
      </c>
      <c r="M132" s="137" t="s">
        <v>1116</v>
      </c>
    </row>
    <row r="133" spans="1:13" ht="18" customHeight="1">
      <c r="A133" s="133" t="s">
        <v>453</v>
      </c>
      <c r="B133" s="133" t="s">
        <v>419</v>
      </c>
      <c r="C133" s="133">
        <v>1</v>
      </c>
      <c r="D133" s="133" t="s">
        <v>497</v>
      </c>
      <c r="E133" s="134"/>
      <c r="F133" s="134">
        <v>0</v>
      </c>
      <c r="G133" s="131">
        <f>중기사용료!$G$1442</f>
        <v>158574</v>
      </c>
      <c r="H133" s="135">
        <f t="shared" si="16"/>
        <v>158574</v>
      </c>
      <c r="I133" s="136"/>
      <c r="J133" s="132" t="str">
        <f t="shared" ref="J133:J137" si="17">HYPERLINK(K133, "중기사용료 시트 확인")</f>
        <v>중기사용료 시트 확인</v>
      </c>
      <c r="K133" s="137" t="str">
        <f t="shared" si="15"/>
        <v>#중기사용료!$A$1433:$H$1442</v>
      </c>
      <c r="L133" s="137" t="s">
        <v>985</v>
      </c>
      <c r="M133" s="137" t="s">
        <v>1117</v>
      </c>
    </row>
    <row r="134" spans="1:13" ht="18" customHeight="1">
      <c r="A134" s="133" t="s">
        <v>453</v>
      </c>
      <c r="B134" s="133" t="s">
        <v>420</v>
      </c>
      <c r="C134" s="133">
        <v>1</v>
      </c>
      <c r="D134" s="133" t="s">
        <v>497</v>
      </c>
      <c r="E134" s="134"/>
      <c r="F134" s="134">
        <v>0</v>
      </c>
      <c r="G134" s="131">
        <f>중기사용료!$G$1453</f>
        <v>155636</v>
      </c>
      <c r="H134" s="135">
        <f t="shared" si="16"/>
        <v>155636</v>
      </c>
      <c r="I134" s="136"/>
      <c r="J134" s="132" t="str">
        <f t="shared" si="17"/>
        <v>중기사용료 시트 확인</v>
      </c>
      <c r="K134" s="137" t="str">
        <f t="shared" si="15"/>
        <v>#중기사용료!$A$1444:$H$1453</v>
      </c>
      <c r="L134" s="137" t="s">
        <v>986</v>
      </c>
      <c r="M134" s="137" t="s">
        <v>1118</v>
      </c>
    </row>
    <row r="135" spans="1:13" ht="18" customHeight="1">
      <c r="A135" s="133" t="s">
        <v>453</v>
      </c>
      <c r="B135" s="133" t="s">
        <v>421</v>
      </c>
      <c r="C135" s="133">
        <v>1</v>
      </c>
      <c r="D135" s="133" t="s">
        <v>497</v>
      </c>
      <c r="E135" s="134"/>
      <c r="F135" s="134">
        <v>0</v>
      </c>
      <c r="G135" s="131">
        <f>중기사용료!$G$1464</f>
        <v>151658</v>
      </c>
      <c r="H135" s="135">
        <f t="shared" si="16"/>
        <v>151658</v>
      </c>
      <c r="I135" s="136"/>
      <c r="J135" s="132" t="str">
        <f t="shared" si="17"/>
        <v>중기사용료 시트 확인</v>
      </c>
      <c r="K135" s="137" t="str">
        <f t="shared" si="15"/>
        <v>#중기사용료!$A$1455:$H$1464</v>
      </c>
      <c r="L135" s="137" t="s">
        <v>987</v>
      </c>
      <c r="M135" s="137" t="s">
        <v>1119</v>
      </c>
    </row>
    <row r="136" spans="1:13" ht="18" customHeight="1">
      <c r="A136" s="133" t="s">
        <v>453</v>
      </c>
      <c r="B136" s="133" t="s">
        <v>422</v>
      </c>
      <c r="C136" s="133">
        <v>1</v>
      </c>
      <c r="D136" s="133" t="s">
        <v>497</v>
      </c>
      <c r="E136" s="134"/>
      <c r="F136" s="134">
        <v>0</v>
      </c>
      <c r="G136" s="131">
        <f>중기사용료!$G$1475</f>
        <v>148655</v>
      </c>
      <c r="H136" s="135">
        <f t="shared" si="16"/>
        <v>148655</v>
      </c>
      <c r="I136" s="136"/>
      <c r="J136" s="132" t="str">
        <f t="shared" si="17"/>
        <v>중기사용료 시트 확인</v>
      </c>
      <c r="K136" s="137" t="str">
        <f t="shared" si="15"/>
        <v>#중기사용료!$A$1466:$H$1475</v>
      </c>
      <c r="L136" s="137" t="s">
        <v>988</v>
      </c>
      <c r="M136" s="137" t="s">
        <v>1120</v>
      </c>
    </row>
    <row r="137" spans="1:13" ht="18" customHeight="1">
      <c r="A137" s="133" t="s">
        <v>453</v>
      </c>
      <c r="B137" s="133" t="s">
        <v>425</v>
      </c>
      <c r="C137" s="133">
        <v>1</v>
      </c>
      <c r="D137" s="133" t="s">
        <v>497</v>
      </c>
      <c r="E137" s="134"/>
      <c r="F137" s="134">
        <v>0</v>
      </c>
      <c r="G137" s="131">
        <f>중기사용료!$G$1486</f>
        <v>145756</v>
      </c>
      <c r="H137" s="135">
        <f t="shared" si="16"/>
        <v>145756</v>
      </c>
      <c r="I137" s="136"/>
      <c r="J137" s="132" t="str">
        <f t="shared" si="17"/>
        <v>중기사용료 시트 확인</v>
      </c>
      <c r="K137" s="137" t="str">
        <f t="shared" si="15"/>
        <v>#중기사용료!$A$1477:$H$1486</v>
      </c>
      <c r="L137" s="137" t="s">
        <v>989</v>
      </c>
      <c r="M137" s="137" t="s">
        <v>1121</v>
      </c>
    </row>
  </sheetData>
  <autoFilter ref="A2:I137" xr:uid="{00000000-0009-0000-0000-000004000000}"/>
  <phoneticPr fontId="1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J1487"/>
  <sheetViews>
    <sheetView topLeftCell="A1077" zoomScale="130" zoomScaleNormal="130" workbookViewId="0">
      <selection activeCell="F1084" sqref="F1084"/>
    </sheetView>
  </sheetViews>
  <sheetFormatPr defaultRowHeight="18.399999999999999" customHeight="1"/>
  <cols>
    <col min="1" max="1" width="7.5" style="108" customWidth="1"/>
    <col min="2" max="2" width="18.75" style="108" customWidth="1"/>
    <col min="3" max="3" width="15" style="108" customWidth="1"/>
    <col min="4" max="4" width="6" style="108" customWidth="1"/>
    <col min="5" max="5" width="4.5" style="108" customWidth="1"/>
    <col min="6" max="7" width="9.75" style="108" customWidth="1"/>
    <col min="8" max="8" width="7.5" style="108" customWidth="1"/>
    <col min="9" max="9" width="9" style="123"/>
    <col min="10" max="10" width="15.25" style="124" hidden="1" customWidth="1"/>
    <col min="11" max="16384" width="9" style="108"/>
  </cols>
  <sheetData>
    <row r="1" spans="1:10" ht="18.399999999999999" customHeight="1">
      <c r="A1" s="108" t="s">
        <v>549</v>
      </c>
    </row>
    <row r="2" spans="1:10" ht="18.399999999999999" customHeight="1" thickBot="1"/>
    <row r="3" spans="1:10" ht="18.399999999999999" customHeight="1" thickTop="1" thickBot="1">
      <c r="A3" s="125" t="s">
        <v>550</v>
      </c>
      <c r="B3" s="125" t="s">
        <v>551</v>
      </c>
      <c r="C3" s="125"/>
      <c r="D3" s="125"/>
      <c r="E3" s="125"/>
      <c r="F3" s="125"/>
      <c r="G3" s="125"/>
      <c r="H3" s="125"/>
    </row>
    <row r="4" spans="1:10" ht="18.399999999999999" customHeight="1" thickTop="1">
      <c r="A4" s="125" t="s">
        <v>552</v>
      </c>
      <c r="B4" s="125" t="s">
        <v>553</v>
      </c>
      <c r="C4" s="125"/>
      <c r="D4" s="125"/>
      <c r="E4" s="125"/>
      <c r="F4" s="125"/>
      <c r="G4" s="125"/>
      <c r="H4" s="125"/>
    </row>
    <row r="5" spans="1:10" ht="18.399999999999999" customHeight="1">
      <c r="A5" s="126" t="s">
        <v>554</v>
      </c>
      <c r="B5" s="126"/>
      <c r="C5" s="126" t="s">
        <v>555</v>
      </c>
      <c r="D5" s="126" t="s">
        <v>189</v>
      </c>
      <c r="E5" s="126" t="s">
        <v>190</v>
      </c>
      <c r="F5" s="126" t="s">
        <v>556</v>
      </c>
      <c r="G5" s="126" t="s">
        <v>557</v>
      </c>
      <c r="H5" s="126" t="s">
        <v>195</v>
      </c>
      <c r="I5" s="127" t="str">
        <f>HYPERLINK("#"&amp;J5, "이전으로")</f>
        <v>이전으로</v>
      </c>
      <c r="J5" s="124" t="s">
        <v>1122</v>
      </c>
    </row>
    <row r="6" spans="1:10" ht="18.399999999999999" customHeight="1">
      <c r="A6" s="124" t="s">
        <v>193</v>
      </c>
      <c r="B6" s="124" t="s">
        <v>424</v>
      </c>
      <c r="C6" s="124" t="s">
        <v>397</v>
      </c>
      <c r="D6" s="124">
        <v>3.6232000000000002</v>
      </c>
      <c r="E6" s="128" t="s">
        <v>398</v>
      </c>
      <c r="F6" s="128">
        <f>중기기초자료!$G$39</f>
        <v>11520</v>
      </c>
      <c r="G6" s="129">
        <f>TRUNC(F6*D6, 1)</f>
        <v>41739.199999999997</v>
      </c>
      <c r="H6" s="124" t="s">
        <v>17</v>
      </c>
    </row>
    <row r="7" spans="1:10" ht="18.399999999999999" customHeight="1">
      <c r="B7" s="124" t="s">
        <v>558</v>
      </c>
      <c r="G7" s="128">
        <f>TRUNC(G6, 0)</f>
        <v>41739</v>
      </c>
    </row>
    <row r="8" spans="1:10" ht="18.399999999999999" customHeight="1">
      <c r="A8" s="124" t="s">
        <v>191</v>
      </c>
    </row>
    <row r="9" spans="1:10" ht="18.399999999999999" customHeight="1">
      <c r="B9" s="124" t="s">
        <v>558</v>
      </c>
    </row>
    <row r="10" spans="1:10" ht="18.399999999999999" customHeight="1">
      <c r="A10" s="124" t="s">
        <v>192</v>
      </c>
    </row>
    <row r="11" spans="1:10" ht="18.399999999999999" customHeight="1">
      <c r="B11" s="124" t="s">
        <v>558</v>
      </c>
    </row>
    <row r="12" spans="1:10" ht="18.399999999999999" customHeight="1" thickBot="1">
      <c r="B12" s="124" t="s">
        <v>559</v>
      </c>
      <c r="G12" s="128">
        <f>TRUNC(G7+G9+G11, 0)</f>
        <v>41739</v>
      </c>
    </row>
    <row r="13" spans="1:10" ht="18.399999999999999" customHeight="1" thickTop="1" thickBot="1">
      <c r="A13" s="125"/>
      <c r="B13" s="125"/>
      <c r="C13" s="125"/>
      <c r="D13" s="125"/>
      <c r="E13" s="125"/>
      <c r="F13" s="125"/>
      <c r="G13" s="125"/>
      <c r="H13" s="125"/>
    </row>
    <row r="14" spans="1:10" ht="18.399999999999999" customHeight="1" thickTop="1" thickBot="1">
      <c r="A14" s="125" t="s">
        <v>550</v>
      </c>
      <c r="B14" s="125" t="s">
        <v>560</v>
      </c>
      <c r="C14" s="125"/>
      <c r="D14" s="125"/>
      <c r="E14" s="125"/>
      <c r="F14" s="125"/>
      <c r="G14" s="125"/>
      <c r="H14" s="125"/>
    </row>
    <row r="15" spans="1:10" ht="18.399999999999999" customHeight="1" thickTop="1">
      <c r="A15" s="125" t="s">
        <v>552</v>
      </c>
      <c r="B15" s="125" t="s">
        <v>553</v>
      </c>
      <c r="C15" s="125"/>
      <c r="D15" s="125"/>
      <c r="E15" s="125"/>
      <c r="F15" s="125"/>
      <c r="G15" s="125"/>
      <c r="H15" s="125"/>
    </row>
    <row r="16" spans="1:10" ht="18.399999999999999" customHeight="1">
      <c r="A16" s="126" t="s">
        <v>554</v>
      </c>
      <c r="B16" s="126"/>
      <c r="C16" s="126" t="s">
        <v>555</v>
      </c>
      <c r="D16" s="126" t="s">
        <v>189</v>
      </c>
      <c r="E16" s="126" t="s">
        <v>190</v>
      </c>
      <c r="F16" s="126" t="s">
        <v>556</v>
      </c>
      <c r="G16" s="126" t="s">
        <v>557</v>
      </c>
      <c r="H16" s="126" t="s">
        <v>195</v>
      </c>
      <c r="I16" s="127" t="str">
        <f>HYPERLINK("#"&amp;J16, "이전으로")</f>
        <v>이전으로</v>
      </c>
      <c r="J16" s="124" t="s">
        <v>1123</v>
      </c>
    </row>
    <row r="17" spans="1:10" ht="18.399999999999999" customHeight="1">
      <c r="A17" s="124" t="s">
        <v>193</v>
      </c>
      <c r="B17" s="124" t="s">
        <v>424</v>
      </c>
      <c r="C17" s="124" t="s">
        <v>399</v>
      </c>
      <c r="D17" s="124">
        <v>3.5074999999999998</v>
      </c>
      <c r="E17" s="128" t="s">
        <v>398</v>
      </c>
      <c r="F17" s="128">
        <f>중기기초자료!$G$40</f>
        <v>11520</v>
      </c>
      <c r="G17" s="129">
        <f>TRUNC(F17*D17, 1)</f>
        <v>40406.400000000001</v>
      </c>
      <c r="H17" s="124" t="s">
        <v>17</v>
      </c>
    </row>
    <row r="18" spans="1:10" ht="18.399999999999999" customHeight="1">
      <c r="B18" s="124" t="s">
        <v>558</v>
      </c>
      <c r="G18" s="128">
        <f>TRUNC(G17, 0)</f>
        <v>40406</v>
      </c>
    </row>
    <row r="19" spans="1:10" ht="18.399999999999999" customHeight="1">
      <c r="A19" s="124" t="s">
        <v>191</v>
      </c>
    </row>
    <row r="20" spans="1:10" ht="18.399999999999999" customHeight="1">
      <c r="B20" s="124" t="s">
        <v>558</v>
      </c>
    </row>
    <row r="21" spans="1:10" ht="18.399999999999999" customHeight="1">
      <c r="A21" s="124" t="s">
        <v>192</v>
      </c>
    </row>
    <row r="22" spans="1:10" ht="18.399999999999999" customHeight="1">
      <c r="B22" s="124" t="s">
        <v>558</v>
      </c>
    </row>
    <row r="23" spans="1:10" ht="18.399999999999999" customHeight="1" thickBot="1">
      <c r="B23" s="124" t="s">
        <v>559</v>
      </c>
      <c r="G23" s="128">
        <f>TRUNC(G18+G20+G22, 0)</f>
        <v>40406</v>
      </c>
    </row>
    <row r="24" spans="1:10" ht="18.399999999999999" customHeight="1" thickTop="1" thickBot="1">
      <c r="A24" s="125"/>
      <c r="B24" s="125"/>
      <c r="C24" s="125"/>
      <c r="D24" s="125"/>
      <c r="E24" s="125"/>
      <c r="F24" s="125"/>
      <c r="G24" s="125"/>
      <c r="H24" s="125"/>
    </row>
    <row r="25" spans="1:10" ht="18.399999999999999" customHeight="1" thickTop="1" thickBot="1">
      <c r="A25" s="125" t="s">
        <v>550</v>
      </c>
      <c r="B25" s="125" t="s">
        <v>561</v>
      </c>
      <c r="C25" s="125"/>
      <c r="D25" s="125"/>
      <c r="E25" s="125"/>
      <c r="F25" s="125"/>
      <c r="G25" s="125"/>
      <c r="H25" s="125"/>
    </row>
    <row r="26" spans="1:10" ht="18.399999999999999" customHeight="1" thickTop="1">
      <c r="A26" s="125" t="s">
        <v>552</v>
      </c>
      <c r="B26" s="125" t="s">
        <v>562</v>
      </c>
      <c r="C26" s="125"/>
      <c r="D26" s="125"/>
      <c r="E26" s="125"/>
      <c r="F26" s="125"/>
      <c r="G26" s="125"/>
      <c r="H26" s="125"/>
    </row>
    <row r="27" spans="1:10" ht="18.399999999999999" customHeight="1">
      <c r="A27" s="126" t="s">
        <v>554</v>
      </c>
      <c r="B27" s="126"/>
      <c r="C27" s="126" t="s">
        <v>555</v>
      </c>
      <c r="D27" s="126" t="s">
        <v>189</v>
      </c>
      <c r="E27" s="126" t="s">
        <v>190</v>
      </c>
      <c r="F27" s="126" t="s">
        <v>556</v>
      </c>
      <c r="G27" s="126" t="s">
        <v>557</v>
      </c>
      <c r="H27" s="126" t="s">
        <v>195</v>
      </c>
      <c r="I27" s="127" t="str">
        <f>HYPERLINK("#"&amp;J27, "이전으로")</f>
        <v>이전으로</v>
      </c>
      <c r="J27" s="124" t="s">
        <v>1124</v>
      </c>
    </row>
    <row r="28" spans="1:10" ht="18.399999999999999" customHeight="1">
      <c r="A28" s="124" t="s">
        <v>193</v>
      </c>
      <c r="B28" s="124" t="s">
        <v>424</v>
      </c>
      <c r="C28" s="124" t="s">
        <v>400</v>
      </c>
      <c r="D28" s="124">
        <v>3.1819000000000002</v>
      </c>
      <c r="E28" s="128" t="s">
        <v>398</v>
      </c>
      <c r="F28" s="128">
        <f>중기기초자료!$G$41</f>
        <v>48000</v>
      </c>
      <c r="G28" s="129">
        <f>TRUNC(F28*D28, 1)</f>
        <v>152731.20000000001</v>
      </c>
      <c r="H28" s="124" t="s">
        <v>17</v>
      </c>
    </row>
    <row r="29" spans="1:10" ht="18.399999999999999" customHeight="1">
      <c r="B29" s="124" t="s">
        <v>558</v>
      </c>
      <c r="G29" s="128">
        <f>TRUNC(G28, 0)</f>
        <v>152731</v>
      </c>
    </row>
    <row r="30" spans="1:10" ht="18.399999999999999" customHeight="1">
      <c r="A30" s="124" t="s">
        <v>191</v>
      </c>
    </row>
    <row r="31" spans="1:10" ht="18.399999999999999" customHeight="1">
      <c r="B31" s="124" t="s">
        <v>558</v>
      </c>
    </row>
    <row r="32" spans="1:10" ht="18.399999999999999" customHeight="1">
      <c r="A32" s="124" t="s">
        <v>192</v>
      </c>
    </row>
    <row r="33" spans="1:10" ht="18.399999999999999" customHeight="1">
      <c r="B33" s="124" t="s">
        <v>558</v>
      </c>
    </row>
    <row r="34" spans="1:10" ht="18.399999999999999" customHeight="1" thickBot="1">
      <c r="B34" s="124" t="s">
        <v>559</v>
      </c>
      <c r="G34" s="128">
        <f>TRUNC(G29+G31+G33, 0)</f>
        <v>152731</v>
      </c>
    </row>
    <row r="35" spans="1:10" ht="18.399999999999999" customHeight="1" thickTop="1" thickBot="1">
      <c r="A35" s="125"/>
      <c r="B35" s="125"/>
      <c r="C35" s="125"/>
      <c r="D35" s="125"/>
      <c r="E35" s="125"/>
      <c r="F35" s="125"/>
      <c r="G35" s="125"/>
      <c r="H35" s="125"/>
    </row>
    <row r="36" spans="1:10" ht="18.399999999999999" customHeight="1" thickTop="1" thickBot="1">
      <c r="A36" s="125" t="s">
        <v>550</v>
      </c>
      <c r="B36" s="125" t="s">
        <v>563</v>
      </c>
      <c r="C36" s="125"/>
      <c r="D36" s="125"/>
      <c r="E36" s="125"/>
      <c r="F36" s="125"/>
      <c r="G36" s="125"/>
      <c r="H36" s="125"/>
    </row>
    <row r="37" spans="1:10" ht="18.399999999999999" customHeight="1" thickTop="1">
      <c r="A37" s="125" t="s">
        <v>552</v>
      </c>
      <c r="B37" s="125" t="s">
        <v>562</v>
      </c>
      <c r="C37" s="125"/>
      <c r="D37" s="125"/>
      <c r="E37" s="125"/>
      <c r="F37" s="125"/>
      <c r="G37" s="125"/>
      <c r="H37" s="125"/>
    </row>
    <row r="38" spans="1:10" ht="18.399999999999999" customHeight="1">
      <c r="A38" s="126" t="s">
        <v>554</v>
      </c>
      <c r="B38" s="126"/>
      <c r="C38" s="126" t="s">
        <v>555</v>
      </c>
      <c r="D38" s="126" t="s">
        <v>189</v>
      </c>
      <c r="E38" s="126" t="s">
        <v>190</v>
      </c>
      <c r="F38" s="126" t="s">
        <v>556</v>
      </c>
      <c r="G38" s="126" t="s">
        <v>557</v>
      </c>
      <c r="H38" s="126" t="s">
        <v>195</v>
      </c>
      <c r="I38" s="127" t="str">
        <f>HYPERLINK("#"&amp;J38, "이전으로")</f>
        <v>이전으로</v>
      </c>
      <c r="J38" s="124" t="s">
        <v>1125</v>
      </c>
    </row>
    <row r="39" spans="1:10" ht="18.399999999999999" customHeight="1">
      <c r="A39" s="124" t="s">
        <v>193</v>
      </c>
      <c r="B39" s="124" t="s">
        <v>424</v>
      </c>
      <c r="C39" s="124" t="s">
        <v>401</v>
      </c>
      <c r="D39" s="124">
        <v>2.3327</v>
      </c>
      <c r="E39" s="128" t="s">
        <v>398</v>
      </c>
      <c r="F39" s="128">
        <f>중기기초자료!$G$42</f>
        <v>48000</v>
      </c>
      <c r="G39" s="129">
        <f>TRUNC(F39*D39, 1)</f>
        <v>111969.60000000001</v>
      </c>
      <c r="H39" s="124" t="s">
        <v>17</v>
      </c>
    </row>
    <row r="40" spans="1:10" ht="18.399999999999999" customHeight="1">
      <c r="B40" s="124" t="s">
        <v>558</v>
      </c>
      <c r="G40" s="128">
        <f>TRUNC(G39, 0)</f>
        <v>111969</v>
      </c>
    </row>
    <row r="41" spans="1:10" ht="18.399999999999999" customHeight="1">
      <c r="A41" s="124" t="s">
        <v>191</v>
      </c>
    </row>
    <row r="42" spans="1:10" ht="18.399999999999999" customHeight="1">
      <c r="B42" s="124" t="s">
        <v>558</v>
      </c>
    </row>
    <row r="43" spans="1:10" ht="18.399999999999999" customHeight="1">
      <c r="A43" s="124" t="s">
        <v>192</v>
      </c>
    </row>
    <row r="44" spans="1:10" ht="18.399999999999999" customHeight="1">
      <c r="B44" s="124" t="s">
        <v>558</v>
      </c>
    </row>
    <row r="45" spans="1:10" ht="18.399999999999999" customHeight="1" thickBot="1">
      <c r="B45" s="124" t="s">
        <v>559</v>
      </c>
      <c r="G45" s="128">
        <f>TRUNC(G40+G42+G44, 0)</f>
        <v>111969</v>
      </c>
    </row>
    <row r="46" spans="1:10" ht="18.399999999999999" customHeight="1" thickTop="1" thickBot="1">
      <c r="A46" s="125"/>
      <c r="B46" s="125"/>
      <c r="C46" s="125"/>
      <c r="D46" s="125"/>
      <c r="E46" s="125"/>
      <c r="F46" s="125"/>
      <c r="G46" s="125"/>
      <c r="H46" s="125"/>
    </row>
    <row r="47" spans="1:10" ht="18.399999999999999" customHeight="1" thickTop="1" thickBot="1">
      <c r="A47" s="125" t="s">
        <v>550</v>
      </c>
      <c r="B47" s="125" t="s">
        <v>564</v>
      </c>
      <c r="C47" s="125"/>
      <c r="D47" s="125"/>
      <c r="E47" s="125"/>
      <c r="F47" s="125"/>
      <c r="G47" s="125"/>
      <c r="H47" s="125"/>
    </row>
    <row r="48" spans="1:10" ht="18.399999999999999" customHeight="1" thickTop="1">
      <c r="A48" s="125" t="s">
        <v>552</v>
      </c>
      <c r="B48" s="125" t="s">
        <v>562</v>
      </c>
      <c r="C48" s="125"/>
      <c r="D48" s="125"/>
      <c r="E48" s="125"/>
      <c r="F48" s="125"/>
      <c r="G48" s="125"/>
      <c r="H48" s="125"/>
    </row>
    <row r="49" spans="1:10" ht="18.399999999999999" customHeight="1">
      <c r="A49" s="126" t="s">
        <v>554</v>
      </c>
      <c r="B49" s="126"/>
      <c r="C49" s="126" t="s">
        <v>555</v>
      </c>
      <c r="D49" s="126" t="s">
        <v>189</v>
      </c>
      <c r="E49" s="126" t="s">
        <v>190</v>
      </c>
      <c r="F49" s="126" t="s">
        <v>556</v>
      </c>
      <c r="G49" s="126" t="s">
        <v>557</v>
      </c>
      <c r="H49" s="126" t="s">
        <v>195</v>
      </c>
      <c r="I49" s="127" t="str">
        <f>HYPERLINK("#"&amp;J49, "이전으로")</f>
        <v>이전으로</v>
      </c>
      <c r="J49" s="124" t="s">
        <v>1126</v>
      </c>
    </row>
    <row r="50" spans="1:10" ht="18.399999999999999" customHeight="1">
      <c r="A50" s="124" t="s">
        <v>193</v>
      </c>
      <c r="B50" s="124" t="s">
        <v>424</v>
      </c>
      <c r="C50" s="124" t="s">
        <v>402</v>
      </c>
      <c r="D50" s="124">
        <v>2.198</v>
      </c>
      <c r="E50" s="128" t="s">
        <v>398</v>
      </c>
      <c r="F50" s="128">
        <f>중기기초자료!$G$43</f>
        <v>48000</v>
      </c>
      <c r="G50" s="129">
        <f>TRUNC(F50*D50, 1)</f>
        <v>105504</v>
      </c>
      <c r="H50" s="124" t="s">
        <v>17</v>
      </c>
    </row>
    <row r="51" spans="1:10" ht="18.399999999999999" customHeight="1">
      <c r="B51" s="124" t="s">
        <v>558</v>
      </c>
      <c r="G51" s="128">
        <f>TRUNC(G50, 0)</f>
        <v>105504</v>
      </c>
    </row>
    <row r="52" spans="1:10" ht="18.399999999999999" customHeight="1">
      <c r="A52" s="124" t="s">
        <v>191</v>
      </c>
    </row>
    <row r="53" spans="1:10" ht="18.399999999999999" customHeight="1">
      <c r="B53" s="124" t="s">
        <v>558</v>
      </c>
    </row>
    <row r="54" spans="1:10" ht="18.399999999999999" customHeight="1">
      <c r="A54" s="124" t="s">
        <v>192</v>
      </c>
    </row>
    <row r="55" spans="1:10" ht="18.399999999999999" customHeight="1">
      <c r="B55" s="124" t="s">
        <v>558</v>
      </c>
    </row>
    <row r="56" spans="1:10" ht="18.399999999999999" customHeight="1" thickBot="1">
      <c r="B56" s="124" t="s">
        <v>559</v>
      </c>
      <c r="G56" s="128">
        <f>TRUNC(G51+G53+G55, 0)</f>
        <v>105504</v>
      </c>
    </row>
    <row r="57" spans="1:10" ht="18.399999999999999" customHeight="1" thickTop="1" thickBot="1">
      <c r="A57" s="125"/>
      <c r="B57" s="125"/>
      <c r="C57" s="125"/>
      <c r="D57" s="125"/>
      <c r="E57" s="125"/>
      <c r="F57" s="125"/>
      <c r="G57" s="125"/>
      <c r="H57" s="125"/>
    </row>
    <row r="58" spans="1:10" ht="18.399999999999999" customHeight="1" thickTop="1" thickBot="1">
      <c r="A58" s="125" t="s">
        <v>550</v>
      </c>
      <c r="B58" s="125" t="s">
        <v>565</v>
      </c>
      <c r="C58" s="125"/>
      <c r="D58" s="125"/>
      <c r="E58" s="125"/>
      <c r="F58" s="125"/>
      <c r="G58" s="125"/>
      <c r="H58" s="125"/>
    </row>
    <row r="59" spans="1:10" ht="18.399999999999999" customHeight="1" thickTop="1">
      <c r="A59" s="125" t="s">
        <v>552</v>
      </c>
      <c r="B59" s="125" t="s">
        <v>562</v>
      </c>
      <c r="C59" s="125"/>
      <c r="D59" s="125"/>
      <c r="E59" s="125"/>
      <c r="F59" s="125"/>
      <c r="G59" s="125"/>
      <c r="H59" s="125"/>
    </row>
    <row r="60" spans="1:10" ht="18.399999999999999" customHeight="1">
      <c r="A60" s="126" t="s">
        <v>554</v>
      </c>
      <c r="B60" s="126"/>
      <c r="C60" s="126" t="s">
        <v>555</v>
      </c>
      <c r="D60" s="126" t="s">
        <v>189</v>
      </c>
      <c r="E60" s="126" t="s">
        <v>190</v>
      </c>
      <c r="F60" s="126" t="s">
        <v>556</v>
      </c>
      <c r="G60" s="126" t="s">
        <v>557</v>
      </c>
      <c r="H60" s="126" t="s">
        <v>195</v>
      </c>
      <c r="I60" s="127" t="str">
        <f>HYPERLINK("#"&amp;J60, "이전으로")</f>
        <v>이전으로</v>
      </c>
      <c r="J60" s="124" t="s">
        <v>1127</v>
      </c>
    </row>
    <row r="61" spans="1:10" ht="18.399999999999999" customHeight="1">
      <c r="A61" s="124" t="s">
        <v>193</v>
      </c>
      <c r="B61" s="124" t="s">
        <v>424</v>
      </c>
      <c r="C61" s="124" t="s">
        <v>403</v>
      </c>
      <c r="D61" s="124">
        <v>2.0851000000000002</v>
      </c>
      <c r="E61" s="128" t="s">
        <v>398</v>
      </c>
      <c r="F61" s="128">
        <f>중기기초자료!$G$44</f>
        <v>48000</v>
      </c>
      <c r="G61" s="129">
        <f>TRUNC(F61*D61, 1)</f>
        <v>100084.8</v>
      </c>
      <c r="H61" s="124" t="s">
        <v>17</v>
      </c>
    </row>
    <row r="62" spans="1:10" ht="18.399999999999999" customHeight="1">
      <c r="B62" s="124" t="s">
        <v>558</v>
      </c>
      <c r="G62" s="128">
        <f>TRUNC(G61, 0)</f>
        <v>100084</v>
      </c>
    </row>
    <row r="63" spans="1:10" ht="18.399999999999999" customHeight="1">
      <c r="A63" s="124" t="s">
        <v>191</v>
      </c>
    </row>
    <row r="64" spans="1:10" ht="18.399999999999999" customHeight="1">
      <c r="B64" s="124" t="s">
        <v>558</v>
      </c>
    </row>
    <row r="65" spans="1:10" ht="18.399999999999999" customHeight="1">
      <c r="A65" s="124" t="s">
        <v>192</v>
      </c>
    </row>
    <row r="66" spans="1:10" ht="18.399999999999999" customHeight="1">
      <c r="B66" s="124" t="s">
        <v>558</v>
      </c>
    </row>
    <row r="67" spans="1:10" ht="18.399999999999999" customHeight="1" thickBot="1">
      <c r="B67" s="124" t="s">
        <v>559</v>
      </c>
      <c r="G67" s="128">
        <f>TRUNC(G62+G64+G66, 0)</f>
        <v>100084</v>
      </c>
    </row>
    <row r="68" spans="1:10" ht="18.399999999999999" customHeight="1" thickTop="1" thickBot="1">
      <c r="A68" s="125"/>
      <c r="B68" s="125"/>
      <c r="C68" s="125"/>
      <c r="D68" s="125"/>
      <c r="E68" s="125"/>
      <c r="F68" s="125"/>
      <c r="G68" s="125"/>
      <c r="H68" s="125"/>
    </row>
    <row r="69" spans="1:10" ht="18.399999999999999" customHeight="1" thickTop="1" thickBot="1">
      <c r="A69" s="125" t="s">
        <v>550</v>
      </c>
      <c r="B69" s="125" t="s">
        <v>566</v>
      </c>
      <c r="C69" s="125"/>
      <c r="D69" s="125"/>
      <c r="E69" s="125"/>
      <c r="F69" s="125"/>
      <c r="G69" s="125"/>
      <c r="H69" s="125"/>
    </row>
    <row r="70" spans="1:10" ht="18.399999999999999" customHeight="1" thickTop="1">
      <c r="A70" s="125" t="s">
        <v>552</v>
      </c>
      <c r="B70" s="125" t="s">
        <v>562</v>
      </c>
      <c r="C70" s="125"/>
      <c r="D70" s="125"/>
      <c r="E70" s="125"/>
      <c r="F70" s="125"/>
      <c r="G70" s="125"/>
      <c r="H70" s="125"/>
    </row>
    <row r="71" spans="1:10" ht="18.399999999999999" customHeight="1">
      <c r="A71" s="126" t="s">
        <v>554</v>
      </c>
      <c r="B71" s="126"/>
      <c r="C71" s="126" t="s">
        <v>555</v>
      </c>
      <c r="D71" s="126" t="s">
        <v>189</v>
      </c>
      <c r="E71" s="126" t="s">
        <v>190</v>
      </c>
      <c r="F71" s="126" t="s">
        <v>556</v>
      </c>
      <c r="G71" s="126" t="s">
        <v>557</v>
      </c>
      <c r="H71" s="126" t="s">
        <v>195</v>
      </c>
      <c r="I71" s="127" t="str">
        <f>HYPERLINK("#"&amp;J71, "이전으로")</f>
        <v>이전으로</v>
      </c>
      <c r="J71" s="124" t="s">
        <v>1128</v>
      </c>
    </row>
    <row r="72" spans="1:10" ht="18.399999999999999" customHeight="1">
      <c r="A72" s="124" t="s">
        <v>193</v>
      </c>
      <c r="B72" s="124" t="s">
        <v>424</v>
      </c>
      <c r="C72" s="124" t="s">
        <v>404</v>
      </c>
      <c r="D72" s="124">
        <v>1.7576000000000001</v>
      </c>
      <c r="E72" s="128" t="s">
        <v>398</v>
      </c>
      <c r="F72" s="128">
        <f>중기기초자료!$G$45</f>
        <v>48000</v>
      </c>
      <c r="G72" s="129">
        <f>TRUNC(F72*D72, 1)</f>
        <v>84364.800000000003</v>
      </c>
      <c r="H72" s="124" t="s">
        <v>17</v>
      </c>
    </row>
    <row r="73" spans="1:10" ht="18.399999999999999" customHeight="1">
      <c r="B73" s="124" t="s">
        <v>558</v>
      </c>
      <c r="G73" s="128">
        <f>TRUNC(G72, 0)</f>
        <v>84364</v>
      </c>
    </row>
    <row r="74" spans="1:10" ht="18.399999999999999" customHeight="1">
      <c r="A74" s="124" t="s">
        <v>191</v>
      </c>
    </row>
    <row r="75" spans="1:10" ht="18.399999999999999" customHeight="1">
      <c r="B75" s="124" t="s">
        <v>558</v>
      </c>
    </row>
    <row r="76" spans="1:10" ht="18.399999999999999" customHeight="1">
      <c r="A76" s="124" t="s">
        <v>192</v>
      </c>
    </row>
    <row r="77" spans="1:10" ht="18.399999999999999" customHeight="1">
      <c r="B77" s="124" t="s">
        <v>558</v>
      </c>
    </row>
    <row r="78" spans="1:10" ht="18.399999999999999" customHeight="1" thickBot="1">
      <c r="B78" s="124" t="s">
        <v>559</v>
      </c>
      <c r="G78" s="128">
        <f>TRUNC(G73+G75+G77, 0)</f>
        <v>84364</v>
      </c>
    </row>
    <row r="79" spans="1:10" ht="18.399999999999999" customHeight="1" thickTop="1" thickBot="1">
      <c r="A79" s="125"/>
      <c r="B79" s="125"/>
      <c r="C79" s="125"/>
      <c r="D79" s="125"/>
      <c r="E79" s="125"/>
      <c r="F79" s="125"/>
      <c r="G79" s="125"/>
      <c r="H79" s="125"/>
    </row>
    <row r="80" spans="1:10" ht="18.399999999999999" customHeight="1" thickTop="1" thickBot="1">
      <c r="A80" s="125" t="s">
        <v>550</v>
      </c>
      <c r="B80" s="125" t="s">
        <v>567</v>
      </c>
      <c r="C80" s="125"/>
      <c r="D80" s="125"/>
      <c r="E80" s="125"/>
      <c r="F80" s="125"/>
      <c r="G80" s="125"/>
      <c r="H80" s="125"/>
    </row>
    <row r="81" spans="1:10" ht="18.399999999999999" customHeight="1" thickTop="1">
      <c r="A81" s="125" t="s">
        <v>552</v>
      </c>
      <c r="B81" s="125" t="s">
        <v>568</v>
      </c>
      <c r="C81" s="125"/>
      <c r="D81" s="125"/>
      <c r="E81" s="125"/>
      <c r="F81" s="125"/>
      <c r="G81" s="125"/>
      <c r="H81" s="125"/>
    </row>
    <row r="82" spans="1:10" ht="18.399999999999999" customHeight="1">
      <c r="A82" s="126" t="s">
        <v>554</v>
      </c>
      <c r="B82" s="126"/>
      <c r="C82" s="126" t="s">
        <v>555</v>
      </c>
      <c r="D82" s="126" t="s">
        <v>189</v>
      </c>
      <c r="E82" s="126" t="s">
        <v>190</v>
      </c>
      <c r="F82" s="126" t="s">
        <v>556</v>
      </c>
      <c r="G82" s="126" t="s">
        <v>557</v>
      </c>
      <c r="H82" s="126" t="s">
        <v>195</v>
      </c>
      <c r="I82" s="127" t="str">
        <f>HYPERLINK("#"&amp;J82, "이전으로")</f>
        <v>이전으로</v>
      </c>
      <c r="J82" s="124" t="s">
        <v>1129</v>
      </c>
    </row>
    <row r="83" spans="1:10" ht="18.399999999999999" customHeight="1">
      <c r="A83" s="124" t="s">
        <v>193</v>
      </c>
      <c r="B83" s="124" t="s">
        <v>424</v>
      </c>
      <c r="C83" s="124" t="s">
        <v>405</v>
      </c>
      <c r="D83" s="124">
        <v>0.7177</v>
      </c>
      <c r="E83" s="128" t="s">
        <v>398</v>
      </c>
      <c r="F83" s="128">
        <f>중기기초자료!$G$46</f>
        <v>120000</v>
      </c>
      <c r="G83" s="129">
        <f>TRUNC(F83*D83, 1)</f>
        <v>86124</v>
      </c>
      <c r="H83" s="124" t="s">
        <v>17</v>
      </c>
    </row>
    <row r="84" spans="1:10" ht="18.399999999999999" customHeight="1">
      <c r="B84" s="124" t="s">
        <v>558</v>
      </c>
      <c r="G84" s="128">
        <f>TRUNC(G83, 0)</f>
        <v>86124</v>
      </c>
    </row>
    <row r="85" spans="1:10" ht="18.399999999999999" customHeight="1">
      <c r="A85" s="124" t="s">
        <v>191</v>
      </c>
    </row>
    <row r="86" spans="1:10" ht="18.399999999999999" customHeight="1">
      <c r="B86" s="124" t="s">
        <v>558</v>
      </c>
    </row>
    <row r="87" spans="1:10" ht="18.399999999999999" customHeight="1">
      <c r="A87" s="124" t="s">
        <v>192</v>
      </c>
    </row>
    <row r="88" spans="1:10" ht="18.399999999999999" customHeight="1">
      <c r="B88" s="124" t="s">
        <v>558</v>
      </c>
    </row>
    <row r="89" spans="1:10" ht="18.399999999999999" customHeight="1" thickBot="1">
      <c r="B89" s="124" t="s">
        <v>559</v>
      </c>
      <c r="G89" s="128">
        <f>TRUNC(G84+G86+G88, 0)</f>
        <v>86124</v>
      </c>
    </row>
    <row r="90" spans="1:10" ht="18.399999999999999" customHeight="1" thickTop="1" thickBot="1">
      <c r="A90" s="125"/>
      <c r="B90" s="125"/>
      <c r="C90" s="125"/>
      <c r="D90" s="125"/>
      <c r="E90" s="125"/>
      <c r="F90" s="125"/>
      <c r="G90" s="125"/>
      <c r="H90" s="125"/>
    </row>
    <row r="91" spans="1:10" ht="18.399999999999999" customHeight="1" thickTop="1" thickBot="1">
      <c r="A91" s="125" t="s">
        <v>550</v>
      </c>
      <c r="B91" s="125" t="s">
        <v>569</v>
      </c>
      <c r="C91" s="125"/>
      <c r="D91" s="125"/>
      <c r="E91" s="125"/>
      <c r="F91" s="125"/>
      <c r="G91" s="125"/>
      <c r="H91" s="125"/>
    </row>
    <row r="92" spans="1:10" ht="18.399999999999999" customHeight="1" thickTop="1">
      <c r="A92" s="125" t="s">
        <v>552</v>
      </c>
      <c r="B92" s="125" t="s">
        <v>568</v>
      </c>
      <c r="C92" s="125"/>
      <c r="D92" s="125"/>
      <c r="E92" s="125"/>
      <c r="F92" s="125"/>
      <c r="G92" s="125"/>
      <c r="H92" s="125"/>
    </row>
    <row r="93" spans="1:10" ht="18.399999999999999" customHeight="1">
      <c r="A93" s="126" t="s">
        <v>554</v>
      </c>
      <c r="B93" s="126"/>
      <c r="C93" s="126" t="s">
        <v>555</v>
      </c>
      <c r="D93" s="126" t="s">
        <v>189</v>
      </c>
      <c r="E93" s="126" t="s">
        <v>190</v>
      </c>
      <c r="F93" s="126" t="s">
        <v>556</v>
      </c>
      <c r="G93" s="126" t="s">
        <v>557</v>
      </c>
      <c r="H93" s="126" t="s">
        <v>195</v>
      </c>
      <c r="I93" s="127" t="str">
        <f>HYPERLINK("#"&amp;J93, "이전으로")</f>
        <v>이전으로</v>
      </c>
      <c r="J93" s="124" t="s">
        <v>1130</v>
      </c>
    </row>
    <row r="94" spans="1:10" ht="18.399999999999999" customHeight="1">
      <c r="A94" s="124" t="s">
        <v>193</v>
      </c>
      <c r="B94" s="124" t="s">
        <v>424</v>
      </c>
      <c r="C94" s="124" t="s">
        <v>406</v>
      </c>
      <c r="D94" s="124">
        <v>0.70550000000000002</v>
      </c>
      <c r="E94" s="128" t="s">
        <v>398</v>
      </c>
      <c r="F94" s="128">
        <f>중기기초자료!$G$47</f>
        <v>120000</v>
      </c>
      <c r="G94" s="129">
        <f>TRUNC(F94*D94, 1)</f>
        <v>84660</v>
      </c>
      <c r="H94" s="124" t="s">
        <v>17</v>
      </c>
    </row>
    <row r="95" spans="1:10" ht="18.399999999999999" customHeight="1">
      <c r="B95" s="124" t="s">
        <v>558</v>
      </c>
      <c r="G95" s="128">
        <f>TRUNC(G94, 0)</f>
        <v>84660</v>
      </c>
    </row>
    <row r="96" spans="1:10" ht="18.399999999999999" customHeight="1">
      <c r="A96" s="124" t="s">
        <v>191</v>
      </c>
    </row>
    <row r="97" spans="1:10" ht="18.399999999999999" customHeight="1">
      <c r="B97" s="124" t="s">
        <v>558</v>
      </c>
    </row>
    <row r="98" spans="1:10" ht="18.399999999999999" customHeight="1">
      <c r="A98" s="124" t="s">
        <v>192</v>
      </c>
    </row>
    <row r="99" spans="1:10" ht="18.399999999999999" customHeight="1">
      <c r="B99" s="124" t="s">
        <v>558</v>
      </c>
    </row>
    <row r="100" spans="1:10" ht="18.399999999999999" customHeight="1" thickBot="1">
      <c r="B100" s="124" t="s">
        <v>559</v>
      </c>
      <c r="G100" s="128">
        <f>TRUNC(G95+G97+G99, 0)</f>
        <v>84660</v>
      </c>
    </row>
    <row r="101" spans="1:10" ht="18.399999999999999" customHeight="1" thickTop="1" thickBot="1">
      <c r="A101" s="125"/>
      <c r="B101" s="125"/>
      <c r="C101" s="125"/>
      <c r="D101" s="125"/>
      <c r="E101" s="125"/>
      <c r="F101" s="125"/>
      <c r="G101" s="125"/>
      <c r="H101" s="125"/>
    </row>
    <row r="102" spans="1:10" ht="18.399999999999999" customHeight="1" thickTop="1" thickBot="1">
      <c r="A102" s="125" t="s">
        <v>550</v>
      </c>
      <c r="B102" s="125" t="s">
        <v>570</v>
      </c>
      <c r="C102" s="125"/>
      <c r="D102" s="125"/>
      <c r="E102" s="125"/>
      <c r="F102" s="125"/>
      <c r="G102" s="125"/>
      <c r="H102" s="125"/>
    </row>
    <row r="103" spans="1:10" ht="18.399999999999999" customHeight="1" thickTop="1">
      <c r="A103" s="125" t="s">
        <v>552</v>
      </c>
      <c r="B103" s="125" t="s">
        <v>568</v>
      </c>
      <c r="C103" s="125"/>
      <c r="D103" s="125"/>
      <c r="E103" s="125"/>
      <c r="F103" s="125"/>
      <c r="G103" s="125"/>
      <c r="H103" s="125"/>
    </row>
    <row r="104" spans="1:10" ht="18.399999999999999" customHeight="1">
      <c r="A104" s="126" t="s">
        <v>554</v>
      </c>
      <c r="B104" s="126"/>
      <c r="C104" s="126" t="s">
        <v>555</v>
      </c>
      <c r="D104" s="126" t="s">
        <v>189</v>
      </c>
      <c r="E104" s="126" t="s">
        <v>190</v>
      </c>
      <c r="F104" s="126" t="s">
        <v>556</v>
      </c>
      <c r="G104" s="126" t="s">
        <v>557</v>
      </c>
      <c r="H104" s="126" t="s">
        <v>195</v>
      </c>
      <c r="I104" s="127" t="str">
        <f>HYPERLINK("#"&amp;J104, "이전으로")</f>
        <v>이전으로</v>
      </c>
      <c r="J104" s="124" t="s">
        <v>1131</v>
      </c>
    </row>
    <row r="105" spans="1:10" ht="18.399999999999999" customHeight="1">
      <c r="A105" s="124" t="s">
        <v>193</v>
      </c>
      <c r="B105" s="124" t="s">
        <v>424</v>
      </c>
      <c r="C105" s="124" t="s">
        <v>407</v>
      </c>
      <c r="D105" s="124">
        <v>0.69420000000000004</v>
      </c>
      <c r="E105" s="128" t="s">
        <v>398</v>
      </c>
      <c r="F105" s="128">
        <f>중기기초자료!$G$48</f>
        <v>120000</v>
      </c>
      <c r="G105" s="129">
        <f>TRUNC(F105*D105, 1)</f>
        <v>83304</v>
      </c>
      <c r="H105" s="124" t="s">
        <v>17</v>
      </c>
    </row>
    <row r="106" spans="1:10" ht="18.399999999999999" customHeight="1">
      <c r="B106" s="124" t="s">
        <v>558</v>
      </c>
      <c r="G106" s="128">
        <f>TRUNC(G105, 0)</f>
        <v>83304</v>
      </c>
    </row>
    <row r="107" spans="1:10" ht="18.399999999999999" customHeight="1">
      <c r="A107" s="124" t="s">
        <v>191</v>
      </c>
    </row>
    <row r="108" spans="1:10" ht="18.399999999999999" customHeight="1">
      <c r="B108" s="124" t="s">
        <v>558</v>
      </c>
    </row>
    <row r="109" spans="1:10" ht="18.399999999999999" customHeight="1">
      <c r="A109" s="124" t="s">
        <v>192</v>
      </c>
    </row>
    <row r="110" spans="1:10" ht="18.399999999999999" customHeight="1">
      <c r="B110" s="124" t="s">
        <v>558</v>
      </c>
    </row>
    <row r="111" spans="1:10" ht="18.399999999999999" customHeight="1" thickBot="1">
      <c r="B111" s="124" t="s">
        <v>559</v>
      </c>
      <c r="G111" s="128">
        <f>TRUNC(G106+G108+G110, 0)</f>
        <v>83304</v>
      </c>
    </row>
    <row r="112" spans="1:10" ht="18.399999999999999" customHeight="1" thickTop="1" thickBot="1">
      <c r="A112" s="125"/>
      <c r="B112" s="125"/>
      <c r="C112" s="125"/>
      <c r="D112" s="125"/>
      <c r="E112" s="125"/>
      <c r="F112" s="125"/>
      <c r="G112" s="125"/>
      <c r="H112" s="125"/>
    </row>
    <row r="113" spans="1:10" ht="18.399999999999999" customHeight="1" thickTop="1" thickBot="1">
      <c r="A113" s="125" t="s">
        <v>550</v>
      </c>
      <c r="B113" s="125" t="s">
        <v>571</v>
      </c>
      <c r="C113" s="125"/>
      <c r="D113" s="125"/>
      <c r="E113" s="125"/>
      <c r="F113" s="125"/>
      <c r="G113" s="125"/>
      <c r="H113" s="125"/>
    </row>
    <row r="114" spans="1:10" ht="18.399999999999999" customHeight="1" thickTop="1">
      <c r="A114" s="125" t="s">
        <v>552</v>
      </c>
      <c r="B114" s="125" t="s">
        <v>568</v>
      </c>
      <c r="C114" s="125"/>
      <c r="D114" s="125"/>
      <c r="E114" s="125"/>
      <c r="F114" s="125"/>
      <c r="G114" s="125"/>
      <c r="H114" s="125"/>
    </row>
    <row r="115" spans="1:10" ht="18.399999999999999" customHeight="1">
      <c r="A115" s="126" t="s">
        <v>554</v>
      </c>
      <c r="B115" s="126"/>
      <c r="C115" s="126" t="s">
        <v>555</v>
      </c>
      <c r="D115" s="126" t="s">
        <v>189</v>
      </c>
      <c r="E115" s="126" t="s">
        <v>190</v>
      </c>
      <c r="F115" s="126" t="s">
        <v>556</v>
      </c>
      <c r="G115" s="126" t="s">
        <v>557</v>
      </c>
      <c r="H115" s="126" t="s">
        <v>195</v>
      </c>
      <c r="I115" s="127" t="str">
        <f>HYPERLINK("#"&amp;J115, "이전으로")</f>
        <v>이전으로</v>
      </c>
      <c r="J115" s="124" t="s">
        <v>1132</v>
      </c>
    </row>
    <row r="116" spans="1:10" ht="18.399999999999999" customHeight="1">
      <c r="A116" s="124" t="s">
        <v>193</v>
      </c>
      <c r="B116" s="124" t="s">
        <v>424</v>
      </c>
      <c r="C116" s="124" t="s">
        <v>408</v>
      </c>
      <c r="D116" s="124">
        <v>0.67190000000000005</v>
      </c>
      <c r="E116" s="128" t="s">
        <v>398</v>
      </c>
      <c r="F116" s="128">
        <f>중기기초자료!$G$49</f>
        <v>120000</v>
      </c>
      <c r="G116" s="129">
        <f>TRUNC(F116*D116, 1)</f>
        <v>80628</v>
      </c>
      <c r="H116" s="124" t="s">
        <v>17</v>
      </c>
    </row>
    <row r="117" spans="1:10" ht="18.399999999999999" customHeight="1">
      <c r="B117" s="124" t="s">
        <v>558</v>
      </c>
      <c r="G117" s="128">
        <f>TRUNC(G116, 0)</f>
        <v>80628</v>
      </c>
    </row>
    <row r="118" spans="1:10" ht="18.399999999999999" customHeight="1">
      <c r="A118" s="124" t="s">
        <v>191</v>
      </c>
    </row>
    <row r="119" spans="1:10" ht="18.399999999999999" customHeight="1">
      <c r="B119" s="124" t="s">
        <v>558</v>
      </c>
    </row>
    <row r="120" spans="1:10" ht="18.399999999999999" customHeight="1">
      <c r="A120" s="124" t="s">
        <v>192</v>
      </c>
    </row>
    <row r="121" spans="1:10" ht="18.399999999999999" customHeight="1">
      <c r="B121" s="124" t="s">
        <v>558</v>
      </c>
    </row>
    <row r="122" spans="1:10" ht="18.399999999999999" customHeight="1" thickBot="1">
      <c r="B122" s="124" t="s">
        <v>559</v>
      </c>
      <c r="G122" s="128">
        <f>TRUNC(G117+G119+G121, 0)</f>
        <v>80628</v>
      </c>
    </row>
    <row r="123" spans="1:10" ht="18.399999999999999" customHeight="1" thickTop="1" thickBot="1">
      <c r="A123" s="125"/>
      <c r="B123" s="125"/>
      <c r="C123" s="125"/>
      <c r="D123" s="125"/>
      <c r="E123" s="125"/>
      <c r="F123" s="125"/>
      <c r="G123" s="125"/>
      <c r="H123" s="125"/>
    </row>
    <row r="124" spans="1:10" ht="18.399999999999999" customHeight="1" thickTop="1" thickBot="1">
      <c r="A124" s="125" t="s">
        <v>550</v>
      </c>
      <c r="B124" s="125" t="s">
        <v>572</v>
      </c>
      <c r="C124" s="125"/>
      <c r="D124" s="125"/>
      <c r="E124" s="125"/>
      <c r="F124" s="125"/>
      <c r="G124" s="125"/>
      <c r="H124" s="125"/>
    </row>
    <row r="125" spans="1:10" ht="18.399999999999999" customHeight="1" thickTop="1">
      <c r="A125" s="125" t="s">
        <v>552</v>
      </c>
      <c r="B125" s="125" t="s">
        <v>573</v>
      </c>
      <c r="C125" s="125"/>
      <c r="D125" s="125"/>
      <c r="E125" s="125"/>
      <c r="F125" s="125"/>
      <c r="G125" s="125"/>
      <c r="H125" s="125"/>
    </row>
    <row r="126" spans="1:10" ht="18.399999999999999" customHeight="1">
      <c r="A126" s="126" t="s">
        <v>554</v>
      </c>
      <c r="B126" s="126"/>
      <c r="C126" s="126" t="s">
        <v>555</v>
      </c>
      <c r="D126" s="126" t="s">
        <v>189</v>
      </c>
      <c r="E126" s="126" t="s">
        <v>190</v>
      </c>
      <c r="F126" s="126" t="s">
        <v>556</v>
      </c>
      <c r="G126" s="126" t="s">
        <v>557</v>
      </c>
      <c r="H126" s="126" t="s">
        <v>195</v>
      </c>
      <c r="I126" s="127" t="str">
        <f>HYPERLINK("#"&amp;J126, "이전으로")</f>
        <v>이전으로</v>
      </c>
      <c r="J126" s="124" t="s">
        <v>1133</v>
      </c>
    </row>
    <row r="127" spans="1:10" ht="18.399999999999999" customHeight="1">
      <c r="A127" s="124" t="s">
        <v>193</v>
      </c>
      <c r="B127" s="124" t="s">
        <v>424</v>
      </c>
      <c r="C127" s="124" t="s">
        <v>409</v>
      </c>
      <c r="D127" s="124">
        <v>0.50929999999999997</v>
      </c>
      <c r="E127" s="128" t="s">
        <v>398</v>
      </c>
      <c r="F127" s="128">
        <f>중기기초자료!$G$50</f>
        <v>192000</v>
      </c>
      <c r="G127" s="129">
        <f>TRUNC(F127*D127, 1)</f>
        <v>97785.600000000006</v>
      </c>
      <c r="H127" s="124" t="s">
        <v>17</v>
      </c>
    </row>
    <row r="128" spans="1:10" ht="18.399999999999999" customHeight="1">
      <c r="B128" s="124" t="s">
        <v>558</v>
      </c>
      <c r="G128" s="128">
        <f>TRUNC(G127, 0)</f>
        <v>97785</v>
      </c>
    </row>
    <row r="129" spans="1:10" ht="18.399999999999999" customHeight="1">
      <c r="A129" s="124" t="s">
        <v>191</v>
      </c>
    </row>
    <row r="130" spans="1:10" ht="18.399999999999999" customHeight="1">
      <c r="B130" s="124" t="s">
        <v>558</v>
      </c>
    </row>
    <row r="131" spans="1:10" ht="18.399999999999999" customHeight="1">
      <c r="A131" s="124" t="s">
        <v>192</v>
      </c>
    </row>
    <row r="132" spans="1:10" ht="18.399999999999999" customHeight="1">
      <c r="B132" s="124" t="s">
        <v>558</v>
      </c>
    </row>
    <row r="133" spans="1:10" ht="18.399999999999999" customHeight="1" thickBot="1">
      <c r="B133" s="124" t="s">
        <v>559</v>
      </c>
      <c r="G133" s="128">
        <f>TRUNC(G128+G130+G132, 0)</f>
        <v>97785</v>
      </c>
    </row>
    <row r="134" spans="1:10" ht="18.399999999999999" customHeight="1" thickTop="1" thickBot="1">
      <c r="A134" s="125"/>
      <c r="B134" s="125"/>
      <c r="C134" s="125"/>
      <c r="D134" s="125"/>
      <c r="E134" s="125"/>
      <c r="F134" s="125"/>
      <c r="G134" s="125"/>
      <c r="H134" s="125"/>
    </row>
    <row r="135" spans="1:10" ht="18.399999999999999" customHeight="1" thickTop="1" thickBot="1">
      <c r="A135" s="125" t="s">
        <v>550</v>
      </c>
      <c r="B135" s="125" t="s">
        <v>574</v>
      </c>
      <c r="C135" s="125"/>
      <c r="D135" s="125"/>
      <c r="E135" s="125"/>
      <c r="F135" s="125"/>
      <c r="G135" s="125"/>
      <c r="H135" s="125"/>
    </row>
    <row r="136" spans="1:10" ht="18.399999999999999" customHeight="1" thickTop="1">
      <c r="A136" s="125" t="s">
        <v>552</v>
      </c>
      <c r="B136" s="125" t="s">
        <v>573</v>
      </c>
      <c r="C136" s="125"/>
      <c r="D136" s="125"/>
      <c r="E136" s="125"/>
      <c r="F136" s="125"/>
      <c r="G136" s="125"/>
      <c r="H136" s="125"/>
    </row>
    <row r="137" spans="1:10" ht="18.399999999999999" customHeight="1">
      <c r="A137" s="126" t="s">
        <v>554</v>
      </c>
      <c r="B137" s="126"/>
      <c r="C137" s="126" t="s">
        <v>555</v>
      </c>
      <c r="D137" s="126" t="s">
        <v>189</v>
      </c>
      <c r="E137" s="126" t="s">
        <v>190</v>
      </c>
      <c r="F137" s="126" t="s">
        <v>556</v>
      </c>
      <c r="G137" s="126" t="s">
        <v>557</v>
      </c>
      <c r="H137" s="126" t="s">
        <v>195</v>
      </c>
      <c r="I137" s="127" t="str">
        <f>HYPERLINK("#"&amp;J137, "이전으로")</f>
        <v>이전으로</v>
      </c>
      <c r="J137" s="124" t="s">
        <v>1134</v>
      </c>
    </row>
    <row r="138" spans="1:10" ht="18.399999999999999" customHeight="1">
      <c r="A138" s="124" t="s">
        <v>193</v>
      </c>
      <c r="B138" s="124" t="s">
        <v>424</v>
      </c>
      <c r="C138" s="124" t="s">
        <v>410</v>
      </c>
      <c r="D138" s="124">
        <v>0.49209999999999998</v>
      </c>
      <c r="E138" s="128" t="s">
        <v>398</v>
      </c>
      <c r="F138" s="128">
        <f>중기기초자료!$G$51</f>
        <v>192000</v>
      </c>
      <c r="G138" s="129">
        <f>TRUNC(F138*D138, 1)</f>
        <v>94483.199999999997</v>
      </c>
      <c r="H138" s="124" t="s">
        <v>17</v>
      </c>
    </row>
    <row r="139" spans="1:10" ht="18.399999999999999" customHeight="1">
      <c r="B139" s="124" t="s">
        <v>558</v>
      </c>
      <c r="G139" s="128">
        <f>TRUNC(G138, 0)</f>
        <v>94483</v>
      </c>
    </row>
    <row r="140" spans="1:10" ht="18.399999999999999" customHeight="1">
      <c r="A140" s="124" t="s">
        <v>191</v>
      </c>
    </row>
    <row r="141" spans="1:10" ht="18.399999999999999" customHeight="1">
      <c r="B141" s="124" t="s">
        <v>558</v>
      </c>
    </row>
    <row r="142" spans="1:10" ht="18.399999999999999" customHeight="1">
      <c r="A142" s="124" t="s">
        <v>192</v>
      </c>
    </row>
    <row r="143" spans="1:10" ht="18.399999999999999" customHeight="1">
      <c r="B143" s="124" t="s">
        <v>558</v>
      </c>
    </row>
    <row r="144" spans="1:10" ht="18.399999999999999" customHeight="1" thickBot="1">
      <c r="B144" s="124" t="s">
        <v>559</v>
      </c>
      <c r="G144" s="128">
        <f>TRUNC(G139+G141+G143, 0)</f>
        <v>94483</v>
      </c>
    </row>
    <row r="145" spans="1:10" ht="18.399999999999999" customHeight="1" thickTop="1" thickBot="1">
      <c r="A145" s="125"/>
      <c r="B145" s="125"/>
      <c r="C145" s="125"/>
      <c r="D145" s="125"/>
      <c r="E145" s="125"/>
      <c r="F145" s="125"/>
      <c r="G145" s="125"/>
      <c r="H145" s="125"/>
    </row>
    <row r="146" spans="1:10" ht="18.399999999999999" customHeight="1" thickTop="1" thickBot="1">
      <c r="A146" s="125" t="s">
        <v>550</v>
      </c>
      <c r="B146" s="125" t="s">
        <v>575</v>
      </c>
      <c r="C146" s="125"/>
      <c r="D146" s="125"/>
      <c r="E146" s="125"/>
      <c r="F146" s="125"/>
      <c r="G146" s="125"/>
      <c r="H146" s="125"/>
    </row>
    <row r="147" spans="1:10" ht="18.399999999999999" customHeight="1" thickTop="1">
      <c r="A147" s="125" t="s">
        <v>552</v>
      </c>
      <c r="B147" s="125" t="s">
        <v>573</v>
      </c>
      <c r="C147" s="125"/>
      <c r="D147" s="125"/>
      <c r="E147" s="125"/>
      <c r="F147" s="125"/>
      <c r="G147" s="125"/>
      <c r="H147" s="125"/>
    </row>
    <row r="148" spans="1:10" ht="18.399999999999999" customHeight="1">
      <c r="A148" s="126" t="s">
        <v>554</v>
      </c>
      <c r="B148" s="126"/>
      <c r="C148" s="126" t="s">
        <v>555</v>
      </c>
      <c r="D148" s="126" t="s">
        <v>189</v>
      </c>
      <c r="E148" s="126" t="s">
        <v>190</v>
      </c>
      <c r="F148" s="126" t="s">
        <v>556</v>
      </c>
      <c r="G148" s="126" t="s">
        <v>557</v>
      </c>
      <c r="H148" s="126" t="s">
        <v>195</v>
      </c>
      <c r="I148" s="127" t="str">
        <f>HYPERLINK("#"&amp;J148, "이전으로")</f>
        <v>이전으로</v>
      </c>
      <c r="J148" s="124" t="s">
        <v>1135</v>
      </c>
    </row>
    <row r="149" spans="1:10" ht="18.399999999999999" customHeight="1">
      <c r="A149" s="124" t="s">
        <v>193</v>
      </c>
      <c r="B149" s="124" t="s">
        <v>424</v>
      </c>
      <c r="C149" s="124" t="s">
        <v>411</v>
      </c>
      <c r="D149" s="124">
        <v>0.47460000000000002</v>
      </c>
      <c r="E149" s="128" t="s">
        <v>398</v>
      </c>
      <c r="F149" s="128">
        <f>중기기초자료!$G$52</f>
        <v>192000</v>
      </c>
      <c r="G149" s="129">
        <f>TRUNC(F149*D149, 1)</f>
        <v>91123.199999999997</v>
      </c>
      <c r="H149" s="124" t="s">
        <v>17</v>
      </c>
    </row>
    <row r="150" spans="1:10" ht="18.399999999999999" customHeight="1">
      <c r="B150" s="124" t="s">
        <v>558</v>
      </c>
      <c r="G150" s="128">
        <f>TRUNC(G149, 0)</f>
        <v>91123</v>
      </c>
    </row>
    <row r="151" spans="1:10" ht="18.399999999999999" customHeight="1">
      <c r="A151" s="124" t="s">
        <v>191</v>
      </c>
    </row>
    <row r="152" spans="1:10" ht="18.399999999999999" customHeight="1">
      <c r="B152" s="124" t="s">
        <v>558</v>
      </c>
    </row>
    <row r="153" spans="1:10" ht="18.399999999999999" customHeight="1">
      <c r="A153" s="124" t="s">
        <v>192</v>
      </c>
    </row>
    <row r="154" spans="1:10" ht="18.399999999999999" customHeight="1">
      <c r="B154" s="124" t="s">
        <v>558</v>
      </c>
    </row>
    <row r="155" spans="1:10" ht="18.399999999999999" customHeight="1" thickBot="1">
      <c r="B155" s="124" t="s">
        <v>559</v>
      </c>
      <c r="G155" s="128">
        <f>TRUNC(G150+G152+G154, 0)</f>
        <v>91123</v>
      </c>
    </row>
    <row r="156" spans="1:10" ht="18.399999999999999" customHeight="1" thickTop="1" thickBot="1">
      <c r="A156" s="125"/>
      <c r="B156" s="125"/>
      <c r="C156" s="125"/>
      <c r="D156" s="125"/>
      <c r="E156" s="125"/>
      <c r="F156" s="125"/>
      <c r="G156" s="125"/>
      <c r="H156" s="125"/>
    </row>
    <row r="157" spans="1:10" ht="18.399999999999999" customHeight="1" thickTop="1" thickBot="1">
      <c r="A157" s="125" t="s">
        <v>550</v>
      </c>
      <c r="B157" s="125" t="s">
        <v>576</v>
      </c>
      <c r="C157" s="125"/>
      <c r="D157" s="125"/>
      <c r="E157" s="125"/>
      <c r="F157" s="125"/>
      <c r="G157" s="125"/>
      <c r="H157" s="125"/>
    </row>
    <row r="158" spans="1:10" ht="18.399999999999999" customHeight="1" thickTop="1">
      <c r="A158" s="125" t="s">
        <v>552</v>
      </c>
      <c r="B158" s="125" t="s">
        <v>577</v>
      </c>
      <c r="C158" s="125"/>
      <c r="D158" s="125"/>
      <c r="E158" s="125"/>
      <c r="F158" s="125"/>
      <c r="G158" s="125"/>
      <c r="H158" s="125"/>
    </row>
    <row r="159" spans="1:10" ht="18.399999999999999" customHeight="1">
      <c r="A159" s="126" t="s">
        <v>554</v>
      </c>
      <c r="B159" s="126"/>
      <c r="C159" s="126" t="s">
        <v>555</v>
      </c>
      <c r="D159" s="126" t="s">
        <v>189</v>
      </c>
      <c r="E159" s="126" t="s">
        <v>190</v>
      </c>
      <c r="F159" s="126" t="s">
        <v>556</v>
      </c>
      <c r="G159" s="126" t="s">
        <v>557</v>
      </c>
      <c r="H159" s="126" t="s">
        <v>195</v>
      </c>
      <c r="I159" s="127" t="str">
        <f>HYPERLINK("#"&amp;J159, "이전으로")</f>
        <v>이전으로</v>
      </c>
      <c r="J159" s="124" t="s">
        <v>1136</v>
      </c>
    </row>
    <row r="160" spans="1:10" ht="18.399999999999999" customHeight="1">
      <c r="A160" s="124" t="s">
        <v>193</v>
      </c>
      <c r="B160" s="124" t="s">
        <v>424</v>
      </c>
      <c r="C160" s="124" t="s">
        <v>412</v>
      </c>
      <c r="D160" s="124">
        <v>0.30509999999999998</v>
      </c>
      <c r="E160" s="128" t="s">
        <v>398</v>
      </c>
      <c r="F160" s="128">
        <f>중기기초자료!$G$53</f>
        <v>246000</v>
      </c>
      <c r="G160" s="129">
        <f>TRUNC(F160*D160, 1)</f>
        <v>75054.600000000006</v>
      </c>
      <c r="H160" s="124" t="s">
        <v>17</v>
      </c>
    </row>
    <row r="161" spans="1:10" ht="18.399999999999999" customHeight="1">
      <c r="B161" s="124" t="s">
        <v>558</v>
      </c>
      <c r="G161" s="128">
        <f>TRUNC(G160, 0)</f>
        <v>75054</v>
      </c>
    </row>
    <row r="162" spans="1:10" ht="18.399999999999999" customHeight="1">
      <c r="A162" s="124" t="s">
        <v>191</v>
      </c>
    </row>
    <row r="163" spans="1:10" ht="18.399999999999999" customHeight="1">
      <c r="B163" s="124" t="s">
        <v>558</v>
      </c>
    </row>
    <row r="164" spans="1:10" ht="18.399999999999999" customHeight="1">
      <c r="A164" s="124" t="s">
        <v>192</v>
      </c>
    </row>
    <row r="165" spans="1:10" ht="18.399999999999999" customHeight="1">
      <c r="B165" s="124" t="s">
        <v>558</v>
      </c>
    </row>
    <row r="166" spans="1:10" ht="18.399999999999999" customHeight="1" thickBot="1">
      <c r="B166" s="124" t="s">
        <v>559</v>
      </c>
      <c r="G166" s="128">
        <f>TRUNC(G161+G163+G165, 0)</f>
        <v>75054</v>
      </c>
    </row>
    <row r="167" spans="1:10" ht="18.399999999999999" customHeight="1" thickTop="1" thickBot="1">
      <c r="A167" s="125"/>
      <c r="B167" s="125"/>
      <c r="C167" s="125"/>
      <c r="D167" s="125"/>
      <c r="E167" s="125"/>
      <c r="F167" s="125"/>
      <c r="G167" s="125"/>
      <c r="H167" s="125"/>
    </row>
    <row r="168" spans="1:10" ht="18.399999999999999" customHeight="1" thickTop="1" thickBot="1">
      <c r="A168" s="125" t="s">
        <v>550</v>
      </c>
      <c r="B168" s="125" t="s">
        <v>578</v>
      </c>
      <c r="C168" s="125"/>
      <c r="D168" s="125"/>
      <c r="E168" s="125"/>
      <c r="F168" s="125"/>
      <c r="G168" s="125"/>
      <c r="H168" s="125"/>
    </row>
    <row r="169" spans="1:10" ht="18.399999999999999" customHeight="1" thickTop="1">
      <c r="A169" s="125" t="s">
        <v>552</v>
      </c>
      <c r="B169" s="125" t="s">
        <v>577</v>
      </c>
      <c r="C169" s="125"/>
      <c r="D169" s="125"/>
      <c r="E169" s="125"/>
      <c r="F169" s="125"/>
      <c r="G169" s="125"/>
      <c r="H169" s="125"/>
    </row>
    <row r="170" spans="1:10" ht="18.399999999999999" customHeight="1">
      <c r="A170" s="126" t="s">
        <v>554</v>
      </c>
      <c r="B170" s="126"/>
      <c r="C170" s="126" t="s">
        <v>555</v>
      </c>
      <c r="D170" s="126" t="s">
        <v>189</v>
      </c>
      <c r="E170" s="126" t="s">
        <v>190</v>
      </c>
      <c r="F170" s="126" t="s">
        <v>556</v>
      </c>
      <c r="G170" s="126" t="s">
        <v>557</v>
      </c>
      <c r="H170" s="126" t="s">
        <v>195</v>
      </c>
      <c r="I170" s="127" t="str">
        <f>HYPERLINK("#"&amp;J170, "이전으로")</f>
        <v>이전으로</v>
      </c>
      <c r="J170" s="124" t="s">
        <v>1137</v>
      </c>
    </row>
    <row r="171" spans="1:10" ht="18.399999999999999" customHeight="1">
      <c r="A171" s="124" t="s">
        <v>193</v>
      </c>
      <c r="B171" s="124" t="s">
        <v>424</v>
      </c>
      <c r="C171" s="124" t="s">
        <v>413</v>
      </c>
      <c r="D171" s="124">
        <v>0.28960000000000002</v>
      </c>
      <c r="E171" s="128" t="s">
        <v>398</v>
      </c>
      <c r="F171" s="128">
        <f>중기기초자료!$G$54</f>
        <v>246000</v>
      </c>
      <c r="G171" s="129">
        <f>TRUNC(F171*D171, 1)</f>
        <v>71241.600000000006</v>
      </c>
      <c r="H171" s="124" t="s">
        <v>17</v>
      </c>
    </row>
    <row r="172" spans="1:10" ht="18.399999999999999" customHeight="1">
      <c r="B172" s="124" t="s">
        <v>558</v>
      </c>
      <c r="G172" s="128">
        <f>TRUNC(G171, 0)</f>
        <v>71241</v>
      </c>
    </row>
    <row r="173" spans="1:10" ht="18.399999999999999" customHeight="1">
      <c r="A173" s="124" t="s">
        <v>191</v>
      </c>
    </row>
    <row r="174" spans="1:10" ht="18.399999999999999" customHeight="1">
      <c r="B174" s="124" t="s">
        <v>558</v>
      </c>
    </row>
    <row r="175" spans="1:10" ht="18.399999999999999" customHeight="1">
      <c r="A175" s="124" t="s">
        <v>192</v>
      </c>
    </row>
    <row r="176" spans="1:10" ht="18.399999999999999" customHeight="1">
      <c r="B176" s="124" t="s">
        <v>558</v>
      </c>
    </row>
    <row r="177" spans="1:10" ht="18.399999999999999" customHeight="1" thickBot="1">
      <c r="B177" s="124" t="s">
        <v>559</v>
      </c>
      <c r="G177" s="128">
        <f>TRUNC(G172+G174+G176, 0)</f>
        <v>71241</v>
      </c>
    </row>
    <row r="178" spans="1:10" ht="18.399999999999999" customHeight="1" thickTop="1" thickBot="1">
      <c r="A178" s="125"/>
      <c r="B178" s="125"/>
      <c r="C178" s="125"/>
      <c r="D178" s="125"/>
      <c r="E178" s="125"/>
      <c r="F178" s="125"/>
      <c r="G178" s="125"/>
      <c r="H178" s="125"/>
    </row>
    <row r="179" spans="1:10" ht="18.399999999999999" customHeight="1" thickTop="1" thickBot="1">
      <c r="A179" s="125" t="s">
        <v>550</v>
      </c>
      <c r="B179" s="125" t="s">
        <v>983</v>
      </c>
      <c r="C179" s="125"/>
      <c r="D179" s="125"/>
      <c r="E179" s="125"/>
      <c r="F179" s="125"/>
      <c r="G179" s="125"/>
      <c r="H179" s="125"/>
    </row>
    <row r="180" spans="1:10" ht="18.399999999999999" customHeight="1" thickTop="1">
      <c r="A180" s="125" t="s">
        <v>552</v>
      </c>
      <c r="B180" s="125" t="s">
        <v>577</v>
      </c>
      <c r="C180" s="125"/>
      <c r="D180" s="125"/>
      <c r="E180" s="125"/>
      <c r="F180" s="125"/>
      <c r="G180" s="125"/>
      <c r="H180" s="125"/>
    </row>
    <row r="181" spans="1:10" ht="18.399999999999999" customHeight="1">
      <c r="A181" s="126" t="s">
        <v>554</v>
      </c>
      <c r="B181" s="126"/>
      <c r="C181" s="126" t="s">
        <v>555</v>
      </c>
      <c r="D181" s="126" t="s">
        <v>189</v>
      </c>
      <c r="E181" s="126" t="s">
        <v>190</v>
      </c>
      <c r="F181" s="126" t="s">
        <v>556</v>
      </c>
      <c r="G181" s="126" t="s">
        <v>557</v>
      </c>
      <c r="H181" s="126" t="s">
        <v>195</v>
      </c>
      <c r="I181" s="127" t="str">
        <f>HYPERLINK("#"&amp;J181, "이전으로")</f>
        <v>이전으로</v>
      </c>
      <c r="J181" s="124" t="s">
        <v>1138</v>
      </c>
    </row>
    <row r="182" spans="1:10" ht="18.399999999999999" customHeight="1">
      <c r="A182" s="124" t="s">
        <v>193</v>
      </c>
      <c r="B182" s="124" t="s">
        <v>424</v>
      </c>
      <c r="C182" s="124" t="s">
        <v>979</v>
      </c>
      <c r="D182" s="124">
        <v>0.28670000000000001</v>
      </c>
      <c r="E182" s="128" t="s">
        <v>398</v>
      </c>
      <c r="F182" s="128">
        <f>중기기초자료!$G$55</f>
        <v>246000</v>
      </c>
      <c r="G182" s="129">
        <f>TRUNC(F182*D182, 1)</f>
        <v>70528.2</v>
      </c>
      <c r="H182" s="124" t="s">
        <v>17</v>
      </c>
    </row>
    <row r="183" spans="1:10" ht="18.399999999999999" customHeight="1">
      <c r="B183" s="124" t="s">
        <v>558</v>
      </c>
      <c r="G183" s="128">
        <f>TRUNC(G182, 0)</f>
        <v>70528</v>
      </c>
    </row>
    <row r="184" spans="1:10" ht="18.399999999999999" customHeight="1">
      <c r="A184" s="124" t="s">
        <v>191</v>
      </c>
    </row>
    <row r="185" spans="1:10" ht="18.399999999999999" customHeight="1">
      <c r="B185" s="124" t="s">
        <v>558</v>
      </c>
    </row>
    <row r="186" spans="1:10" ht="18.399999999999999" customHeight="1">
      <c r="A186" s="124" t="s">
        <v>192</v>
      </c>
    </row>
    <row r="187" spans="1:10" ht="18.399999999999999" customHeight="1">
      <c r="B187" s="124" t="s">
        <v>558</v>
      </c>
    </row>
    <row r="188" spans="1:10" ht="18.399999999999999" customHeight="1" thickBot="1">
      <c r="B188" s="124" t="s">
        <v>559</v>
      </c>
      <c r="G188" s="128">
        <f>TRUNC(G183+G185+G187, 0)</f>
        <v>70528</v>
      </c>
    </row>
    <row r="189" spans="1:10" ht="18.399999999999999" customHeight="1" thickTop="1" thickBot="1">
      <c r="A189" s="125"/>
      <c r="B189" s="125"/>
      <c r="C189" s="125"/>
      <c r="D189" s="125"/>
      <c r="E189" s="125"/>
      <c r="F189" s="125"/>
      <c r="G189" s="125"/>
      <c r="H189" s="125"/>
    </row>
    <row r="190" spans="1:10" ht="18.399999999999999" customHeight="1" thickTop="1" thickBot="1">
      <c r="A190" s="125" t="s">
        <v>550</v>
      </c>
      <c r="B190" s="125" t="s">
        <v>579</v>
      </c>
      <c r="C190" s="125"/>
      <c r="D190" s="125"/>
      <c r="E190" s="125"/>
      <c r="F190" s="125"/>
      <c r="G190" s="125"/>
      <c r="H190" s="125"/>
    </row>
    <row r="191" spans="1:10" ht="18.399999999999999" customHeight="1" thickTop="1">
      <c r="A191" s="125" t="s">
        <v>552</v>
      </c>
      <c r="B191" s="125" t="s">
        <v>577</v>
      </c>
      <c r="C191" s="125"/>
      <c r="D191" s="125"/>
      <c r="E191" s="125"/>
      <c r="F191" s="125"/>
      <c r="G191" s="125"/>
      <c r="H191" s="125"/>
    </row>
    <row r="192" spans="1:10" ht="18.399999999999999" customHeight="1">
      <c r="A192" s="126" t="s">
        <v>554</v>
      </c>
      <c r="B192" s="126"/>
      <c r="C192" s="126" t="s">
        <v>555</v>
      </c>
      <c r="D192" s="126" t="s">
        <v>189</v>
      </c>
      <c r="E192" s="126" t="s">
        <v>190</v>
      </c>
      <c r="F192" s="126" t="s">
        <v>556</v>
      </c>
      <c r="G192" s="126" t="s">
        <v>557</v>
      </c>
      <c r="H192" s="126" t="s">
        <v>195</v>
      </c>
      <c r="I192" s="127" t="str">
        <f>HYPERLINK("#"&amp;J192, "이전으로")</f>
        <v>이전으로</v>
      </c>
      <c r="J192" s="124" t="s">
        <v>1139</v>
      </c>
    </row>
    <row r="193" spans="1:10" ht="18.399999999999999" customHeight="1">
      <c r="A193" s="124" t="s">
        <v>193</v>
      </c>
      <c r="B193" s="124" t="s">
        <v>424</v>
      </c>
      <c r="C193" s="124" t="s">
        <v>414</v>
      </c>
      <c r="D193" s="124">
        <v>0.28670000000000001</v>
      </c>
      <c r="E193" s="128" t="s">
        <v>398</v>
      </c>
      <c r="F193" s="128">
        <f>중기기초자료!$G$56</f>
        <v>246000</v>
      </c>
      <c r="G193" s="129">
        <f>TRUNC(F193*D193, 1)</f>
        <v>70528.2</v>
      </c>
      <c r="H193" s="124" t="s">
        <v>17</v>
      </c>
    </row>
    <row r="194" spans="1:10" ht="18.399999999999999" customHeight="1">
      <c r="B194" s="124" t="s">
        <v>558</v>
      </c>
      <c r="G194" s="128">
        <f>TRUNC(G193, 0)</f>
        <v>70528</v>
      </c>
    </row>
    <row r="195" spans="1:10" ht="18.399999999999999" customHeight="1">
      <c r="A195" s="124" t="s">
        <v>191</v>
      </c>
    </row>
    <row r="196" spans="1:10" ht="18.399999999999999" customHeight="1">
      <c r="B196" s="124" t="s">
        <v>558</v>
      </c>
    </row>
    <row r="197" spans="1:10" ht="18.399999999999999" customHeight="1">
      <c r="A197" s="124" t="s">
        <v>192</v>
      </c>
    </row>
    <row r="198" spans="1:10" ht="18.399999999999999" customHeight="1">
      <c r="B198" s="124" t="s">
        <v>558</v>
      </c>
    </row>
    <row r="199" spans="1:10" ht="18.399999999999999" customHeight="1" thickBot="1">
      <c r="B199" s="124" t="s">
        <v>559</v>
      </c>
      <c r="G199" s="128">
        <f>TRUNC(G194+G196+G198, 0)</f>
        <v>70528</v>
      </c>
    </row>
    <row r="200" spans="1:10" ht="18.399999999999999" customHeight="1" thickTop="1" thickBot="1">
      <c r="A200" s="125"/>
      <c r="B200" s="125"/>
      <c r="C200" s="125"/>
      <c r="D200" s="125"/>
      <c r="E200" s="125"/>
      <c r="F200" s="125"/>
      <c r="G200" s="125"/>
      <c r="H200" s="125"/>
    </row>
    <row r="201" spans="1:10" ht="18.399999999999999" customHeight="1" thickTop="1" thickBot="1">
      <c r="A201" s="125" t="s">
        <v>550</v>
      </c>
      <c r="B201" s="125" t="s">
        <v>580</v>
      </c>
      <c r="C201" s="125"/>
      <c r="D201" s="125"/>
      <c r="E201" s="125"/>
      <c r="F201" s="125"/>
      <c r="G201" s="125"/>
      <c r="H201" s="125"/>
    </row>
    <row r="202" spans="1:10" ht="18.399999999999999" customHeight="1" thickTop="1">
      <c r="A202" s="125" t="s">
        <v>552</v>
      </c>
      <c r="B202" s="125" t="s">
        <v>577</v>
      </c>
      <c r="C202" s="125"/>
      <c r="D202" s="125"/>
      <c r="E202" s="125"/>
      <c r="F202" s="125"/>
      <c r="G202" s="125"/>
      <c r="H202" s="125"/>
    </row>
    <row r="203" spans="1:10" ht="18.399999999999999" customHeight="1">
      <c r="A203" s="126" t="s">
        <v>554</v>
      </c>
      <c r="B203" s="126"/>
      <c r="C203" s="126" t="s">
        <v>555</v>
      </c>
      <c r="D203" s="126" t="s">
        <v>189</v>
      </c>
      <c r="E203" s="126" t="s">
        <v>190</v>
      </c>
      <c r="F203" s="126" t="s">
        <v>556</v>
      </c>
      <c r="G203" s="126" t="s">
        <v>557</v>
      </c>
      <c r="H203" s="126" t="s">
        <v>195</v>
      </c>
      <c r="I203" s="127" t="str">
        <f>HYPERLINK("#"&amp;J203, "이전으로")</f>
        <v>이전으로</v>
      </c>
      <c r="J203" s="124" t="s">
        <v>1140</v>
      </c>
    </row>
    <row r="204" spans="1:10" ht="18.399999999999999" customHeight="1">
      <c r="A204" s="124" t="s">
        <v>193</v>
      </c>
      <c r="B204" s="124" t="s">
        <v>424</v>
      </c>
      <c r="C204" s="124" t="s">
        <v>415</v>
      </c>
      <c r="D204" s="124">
        <v>0.2772</v>
      </c>
      <c r="E204" s="128" t="s">
        <v>398</v>
      </c>
      <c r="F204" s="128">
        <f>중기기초자료!$G$57</f>
        <v>246000</v>
      </c>
      <c r="G204" s="129">
        <f>TRUNC(F204*D204, 1)</f>
        <v>68191.199999999997</v>
      </c>
      <c r="H204" s="124" t="s">
        <v>17</v>
      </c>
    </row>
    <row r="205" spans="1:10" ht="18.399999999999999" customHeight="1">
      <c r="B205" s="124" t="s">
        <v>558</v>
      </c>
      <c r="G205" s="128">
        <f>TRUNC(G204, 0)</f>
        <v>68191</v>
      </c>
    </row>
    <row r="206" spans="1:10" ht="18.399999999999999" customHeight="1">
      <c r="A206" s="124" t="s">
        <v>191</v>
      </c>
    </row>
    <row r="207" spans="1:10" ht="18.399999999999999" customHeight="1">
      <c r="B207" s="124" t="s">
        <v>558</v>
      </c>
    </row>
    <row r="208" spans="1:10" ht="18.399999999999999" customHeight="1">
      <c r="A208" s="124" t="s">
        <v>192</v>
      </c>
    </row>
    <row r="209" spans="1:10" ht="18.399999999999999" customHeight="1">
      <c r="B209" s="124" t="s">
        <v>558</v>
      </c>
    </row>
    <row r="210" spans="1:10" ht="18.399999999999999" customHeight="1" thickBot="1">
      <c r="B210" s="124" t="s">
        <v>559</v>
      </c>
      <c r="G210" s="128">
        <f>TRUNC(G205+G207+G209, 0)</f>
        <v>68191</v>
      </c>
    </row>
    <row r="211" spans="1:10" ht="18.399999999999999" customHeight="1" thickTop="1" thickBot="1">
      <c r="A211" s="125"/>
      <c r="B211" s="125"/>
      <c r="C211" s="125"/>
      <c r="D211" s="125"/>
      <c r="E211" s="125"/>
      <c r="F211" s="125"/>
      <c r="G211" s="125"/>
      <c r="H211" s="125"/>
    </row>
    <row r="212" spans="1:10" ht="18.399999999999999" customHeight="1" thickTop="1" thickBot="1">
      <c r="A212" s="125" t="s">
        <v>550</v>
      </c>
      <c r="B212" s="125" t="s">
        <v>581</v>
      </c>
      <c r="C212" s="125"/>
      <c r="D212" s="125"/>
      <c r="E212" s="125"/>
      <c r="F212" s="125"/>
      <c r="G212" s="125"/>
      <c r="H212" s="125"/>
    </row>
    <row r="213" spans="1:10" ht="18.399999999999999" customHeight="1" thickTop="1">
      <c r="A213" s="125" t="s">
        <v>552</v>
      </c>
      <c r="B213" s="125" t="s">
        <v>577</v>
      </c>
      <c r="C213" s="125"/>
      <c r="D213" s="125"/>
      <c r="E213" s="125"/>
      <c r="F213" s="125"/>
      <c r="G213" s="125"/>
      <c r="H213" s="125"/>
    </row>
    <row r="214" spans="1:10" ht="18.399999999999999" customHeight="1">
      <c r="A214" s="126" t="s">
        <v>554</v>
      </c>
      <c r="B214" s="126"/>
      <c r="C214" s="126" t="s">
        <v>555</v>
      </c>
      <c r="D214" s="126" t="s">
        <v>189</v>
      </c>
      <c r="E214" s="126" t="s">
        <v>190</v>
      </c>
      <c r="F214" s="126" t="s">
        <v>556</v>
      </c>
      <c r="G214" s="126" t="s">
        <v>557</v>
      </c>
      <c r="H214" s="126" t="s">
        <v>195</v>
      </c>
      <c r="I214" s="127" t="str">
        <f>HYPERLINK("#"&amp;J214, "이전으로")</f>
        <v>이전으로</v>
      </c>
      <c r="J214" s="124" t="s">
        <v>1141</v>
      </c>
    </row>
    <row r="215" spans="1:10" ht="18.399999999999999" customHeight="1">
      <c r="A215" s="124" t="s">
        <v>193</v>
      </c>
      <c r="B215" s="124" t="s">
        <v>424</v>
      </c>
      <c r="C215" s="124" t="s">
        <v>416</v>
      </c>
      <c r="D215" s="124">
        <v>1.1307</v>
      </c>
      <c r="E215" s="128" t="s">
        <v>398</v>
      </c>
      <c r="F215" s="128">
        <f>중기기초자료!$G$58</f>
        <v>246000</v>
      </c>
      <c r="G215" s="129">
        <f>TRUNC(F215*D215, 1)</f>
        <v>278152.2</v>
      </c>
      <c r="H215" s="124" t="s">
        <v>17</v>
      </c>
    </row>
    <row r="216" spans="1:10" ht="18.399999999999999" customHeight="1">
      <c r="B216" s="124" t="s">
        <v>558</v>
      </c>
      <c r="G216" s="128">
        <f>TRUNC(G215, 0)</f>
        <v>278152</v>
      </c>
    </row>
    <row r="217" spans="1:10" ht="18.399999999999999" customHeight="1">
      <c r="A217" s="124" t="s">
        <v>191</v>
      </c>
    </row>
    <row r="218" spans="1:10" ht="18.399999999999999" customHeight="1">
      <c r="B218" s="124" t="s">
        <v>558</v>
      </c>
    </row>
    <row r="219" spans="1:10" ht="18.399999999999999" customHeight="1">
      <c r="A219" s="124" t="s">
        <v>192</v>
      </c>
    </row>
    <row r="220" spans="1:10" ht="18.399999999999999" customHeight="1">
      <c r="B220" s="124" t="s">
        <v>558</v>
      </c>
    </row>
    <row r="221" spans="1:10" ht="18.399999999999999" customHeight="1" thickBot="1">
      <c r="B221" s="124" t="s">
        <v>559</v>
      </c>
      <c r="G221" s="128">
        <f>TRUNC(G216+G218+G220, 0)</f>
        <v>278152</v>
      </c>
    </row>
    <row r="222" spans="1:10" ht="18.399999999999999" customHeight="1" thickTop="1" thickBot="1">
      <c r="A222" s="125"/>
      <c r="B222" s="125"/>
      <c r="C222" s="125"/>
      <c r="D222" s="125"/>
      <c r="E222" s="125"/>
      <c r="F222" s="125"/>
      <c r="G222" s="125"/>
      <c r="H222" s="125"/>
    </row>
    <row r="223" spans="1:10" ht="18.399999999999999" customHeight="1" thickTop="1" thickBot="1">
      <c r="A223" s="125" t="s">
        <v>550</v>
      </c>
      <c r="B223" s="125" t="s">
        <v>582</v>
      </c>
      <c r="C223" s="125"/>
      <c r="D223" s="125"/>
      <c r="E223" s="125"/>
      <c r="F223" s="125"/>
      <c r="G223" s="125"/>
      <c r="H223" s="125"/>
    </row>
    <row r="224" spans="1:10" ht="18.399999999999999" customHeight="1" thickTop="1">
      <c r="A224" s="125" t="s">
        <v>552</v>
      </c>
      <c r="B224" s="125" t="s">
        <v>577</v>
      </c>
      <c r="C224" s="125"/>
      <c r="D224" s="125"/>
      <c r="E224" s="125"/>
      <c r="F224" s="125"/>
      <c r="G224" s="125"/>
      <c r="H224" s="125"/>
    </row>
    <row r="225" spans="1:10" ht="18.399999999999999" customHeight="1">
      <c r="A225" s="126" t="s">
        <v>554</v>
      </c>
      <c r="B225" s="126"/>
      <c r="C225" s="126" t="s">
        <v>555</v>
      </c>
      <c r="D225" s="126" t="s">
        <v>189</v>
      </c>
      <c r="E225" s="126" t="s">
        <v>190</v>
      </c>
      <c r="F225" s="126" t="s">
        <v>556</v>
      </c>
      <c r="G225" s="126" t="s">
        <v>557</v>
      </c>
      <c r="H225" s="126" t="s">
        <v>195</v>
      </c>
      <c r="I225" s="127" t="str">
        <f>HYPERLINK("#"&amp;J225, "이전으로")</f>
        <v>이전으로</v>
      </c>
      <c r="J225" s="124" t="s">
        <v>1142</v>
      </c>
    </row>
    <row r="226" spans="1:10" ht="18.399999999999999" customHeight="1">
      <c r="A226" s="124" t="s">
        <v>193</v>
      </c>
      <c r="B226" s="124" t="s">
        <v>424</v>
      </c>
      <c r="C226" s="124" t="s">
        <v>417</v>
      </c>
      <c r="D226" s="124">
        <v>1.1043000000000001</v>
      </c>
      <c r="E226" s="128" t="s">
        <v>398</v>
      </c>
      <c r="F226" s="128">
        <f>중기기초자료!$G$59</f>
        <v>246000</v>
      </c>
      <c r="G226" s="129">
        <f>TRUNC(F226*D226, 1)</f>
        <v>271657.8</v>
      </c>
      <c r="H226" s="124" t="s">
        <v>17</v>
      </c>
    </row>
    <row r="227" spans="1:10" ht="18.399999999999999" customHeight="1">
      <c r="B227" s="124" t="s">
        <v>558</v>
      </c>
      <c r="G227" s="128">
        <f>TRUNC(G226, 0)</f>
        <v>271657</v>
      </c>
    </row>
    <row r="228" spans="1:10" ht="18.399999999999999" customHeight="1">
      <c r="A228" s="124" t="s">
        <v>191</v>
      </c>
    </row>
    <row r="229" spans="1:10" ht="18.399999999999999" customHeight="1">
      <c r="B229" s="124" t="s">
        <v>558</v>
      </c>
    </row>
    <row r="230" spans="1:10" ht="18.399999999999999" customHeight="1">
      <c r="A230" s="124" t="s">
        <v>192</v>
      </c>
    </row>
    <row r="231" spans="1:10" ht="18.399999999999999" customHeight="1">
      <c r="B231" s="124" t="s">
        <v>558</v>
      </c>
    </row>
    <row r="232" spans="1:10" ht="18.399999999999999" customHeight="1" thickBot="1">
      <c r="B232" s="124" t="s">
        <v>559</v>
      </c>
      <c r="G232" s="128">
        <f>TRUNC(G227+G229+G231, 0)</f>
        <v>271657</v>
      </c>
    </row>
    <row r="233" spans="1:10" ht="18.399999999999999" customHeight="1" thickTop="1" thickBot="1">
      <c r="A233" s="125"/>
      <c r="B233" s="125"/>
      <c r="C233" s="125"/>
      <c r="D233" s="125"/>
      <c r="E233" s="125"/>
      <c r="F233" s="125"/>
      <c r="G233" s="125"/>
      <c r="H233" s="125"/>
    </row>
    <row r="234" spans="1:10" ht="18.399999999999999" customHeight="1" thickTop="1" thickBot="1">
      <c r="A234" s="125" t="s">
        <v>550</v>
      </c>
      <c r="B234" s="125" t="s">
        <v>583</v>
      </c>
      <c r="C234" s="125"/>
      <c r="D234" s="125"/>
      <c r="E234" s="125"/>
      <c r="F234" s="125"/>
      <c r="G234" s="125"/>
      <c r="H234" s="125"/>
    </row>
    <row r="235" spans="1:10" ht="18.399999999999999" customHeight="1" thickTop="1">
      <c r="A235" s="125" t="s">
        <v>552</v>
      </c>
      <c r="B235" s="125" t="s">
        <v>577</v>
      </c>
      <c r="C235" s="125"/>
      <c r="D235" s="125"/>
      <c r="E235" s="125"/>
      <c r="F235" s="125"/>
      <c r="G235" s="125"/>
      <c r="H235" s="125"/>
    </row>
    <row r="236" spans="1:10" ht="18.399999999999999" customHeight="1">
      <c r="A236" s="126" t="s">
        <v>554</v>
      </c>
      <c r="B236" s="126"/>
      <c r="C236" s="126" t="s">
        <v>555</v>
      </c>
      <c r="D236" s="126" t="s">
        <v>189</v>
      </c>
      <c r="E236" s="126" t="s">
        <v>190</v>
      </c>
      <c r="F236" s="126" t="s">
        <v>556</v>
      </c>
      <c r="G236" s="126" t="s">
        <v>557</v>
      </c>
      <c r="H236" s="126" t="s">
        <v>195</v>
      </c>
      <c r="I236" s="127" t="str">
        <f>HYPERLINK("#"&amp;J236, "이전으로")</f>
        <v>이전으로</v>
      </c>
      <c r="J236" s="124" t="s">
        <v>1143</v>
      </c>
    </row>
    <row r="237" spans="1:10" ht="18.399999999999999" customHeight="1">
      <c r="A237" s="124" t="s">
        <v>193</v>
      </c>
      <c r="B237" s="124" t="s">
        <v>424</v>
      </c>
      <c r="C237" s="124" t="s">
        <v>418</v>
      </c>
      <c r="D237" s="124">
        <v>1.0589</v>
      </c>
      <c r="E237" s="128" t="s">
        <v>398</v>
      </c>
      <c r="F237" s="128">
        <f>중기기초자료!$G$60</f>
        <v>246000</v>
      </c>
      <c r="G237" s="129">
        <f>TRUNC(F237*D237, 1)</f>
        <v>260489.4</v>
      </c>
      <c r="H237" s="124" t="s">
        <v>17</v>
      </c>
    </row>
    <row r="238" spans="1:10" ht="18.399999999999999" customHeight="1">
      <c r="B238" s="124" t="s">
        <v>558</v>
      </c>
      <c r="G238" s="128">
        <f>TRUNC(G237, 0)</f>
        <v>260489</v>
      </c>
    </row>
    <row r="239" spans="1:10" ht="18.399999999999999" customHeight="1">
      <c r="A239" s="124" t="s">
        <v>191</v>
      </c>
    </row>
    <row r="240" spans="1:10" ht="18.399999999999999" customHeight="1">
      <c r="B240" s="124" t="s">
        <v>558</v>
      </c>
    </row>
    <row r="241" spans="1:10" ht="18.399999999999999" customHeight="1">
      <c r="A241" s="124" t="s">
        <v>192</v>
      </c>
    </row>
    <row r="242" spans="1:10" ht="18.399999999999999" customHeight="1">
      <c r="B242" s="124" t="s">
        <v>558</v>
      </c>
    </row>
    <row r="243" spans="1:10" ht="18.399999999999999" customHeight="1" thickBot="1">
      <c r="B243" s="124" t="s">
        <v>559</v>
      </c>
      <c r="G243" s="128">
        <f>TRUNC(G238+G240+G242, 0)</f>
        <v>260489</v>
      </c>
    </row>
    <row r="244" spans="1:10" ht="18.399999999999999" customHeight="1" thickTop="1" thickBot="1">
      <c r="A244" s="125"/>
      <c r="B244" s="125"/>
      <c r="C244" s="125"/>
      <c r="D244" s="125"/>
      <c r="E244" s="125"/>
      <c r="F244" s="125"/>
      <c r="G244" s="125"/>
      <c r="H244" s="125"/>
    </row>
    <row r="245" spans="1:10" ht="18.399999999999999" customHeight="1" thickTop="1" thickBot="1">
      <c r="A245" s="125" t="s">
        <v>550</v>
      </c>
      <c r="B245" s="125" t="s">
        <v>584</v>
      </c>
      <c r="C245" s="125"/>
      <c r="D245" s="125"/>
      <c r="E245" s="125"/>
      <c r="F245" s="125"/>
      <c r="G245" s="125"/>
      <c r="H245" s="125"/>
    </row>
    <row r="246" spans="1:10" ht="18.399999999999999" customHeight="1" thickTop="1">
      <c r="A246" s="125" t="s">
        <v>552</v>
      </c>
      <c r="B246" s="125" t="s">
        <v>585</v>
      </c>
      <c r="C246" s="125"/>
      <c r="D246" s="125"/>
      <c r="E246" s="125"/>
      <c r="F246" s="125"/>
      <c r="G246" s="125"/>
      <c r="H246" s="125"/>
    </row>
    <row r="247" spans="1:10" ht="18.399999999999999" customHeight="1">
      <c r="A247" s="126" t="s">
        <v>554</v>
      </c>
      <c r="B247" s="126"/>
      <c r="C247" s="126" t="s">
        <v>555</v>
      </c>
      <c r="D247" s="126" t="s">
        <v>189</v>
      </c>
      <c r="E247" s="126" t="s">
        <v>190</v>
      </c>
      <c r="F247" s="126" t="s">
        <v>556</v>
      </c>
      <c r="G247" s="126" t="s">
        <v>557</v>
      </c>
      <c r="H247" s="126" t="s">
        <v>195</v>
      </c>
      <c r="I247" s="127" t="str">
        <f>HYPERLINK("#"&amp;J247, "이전으로")</f>
        <v>이전으로</v>
      </c>
      <c r="J247" s="124" t="s">
        <v>1144</v>
      </c>
    </row>
    <row r="248" spans="1:10" ht="18.399999999999999" customHeight="1">
      <c r="A248" s="124" t="s">
        <v>193</v>
      </c>
      <c r="B248" s="124" t="s">
        <v>424</v>
      </c>
      <c r="C248" s="124" t="s">
        <v>419</v>
      </c>
      <c r="D248" s="124">
        <v>1.2198</v>
      </c>
      <c r="E248" s="128" t="s">
        <v>398</v>
      </c>
      <c r="F248" s="128">
        <f>중기기초자료!$G$61</f>
        <v>276000</v>
      </c>
      <c r="G248" s="129">
        <f>TRUNC(F248*D248, 1)</f>
        <v>336664.8</v>
      </c>
      <c r="H248" s="124" t="s">
        <v>17</v>
      </c>
    </row>
    <row r="249" spans="1:10" ht="18.399999999999999" customHeight="1">
      <c r="B249" s="124" t="s">
        <v>558</v>
      </c>
      <c r="G249" s="128">
        <f>TRUNC(G248, 0)</f>
        <v>336664</v>
      </c>
    </row>
    <row r="250" spans="1:10" ht="18.399999999999999" customHeight="1">
      <c r="A250" s="124" t="s">
        <v>191</v>
      </c>
    </row>
    <row r="251" spans="1:10" ht="18.399999999999999" customHeight="1">
      <c r="B251" s="124" t="s">
        <v>558</v>
      </c>
    </row>
    <row r="252" spans="1:10" ht="18.399999999999999" customHeight="1">
      <c r="A252" s="124" t="s">
        <v>192</v>
      </c>
    </row>
    <row r="253" spans="1:10" ht="18.399999999999999" customHeight="1">
      <c r="B253" s="124" t="s">
        <v>558</v>
      </c>
    </row>
    <row r="254" spans="1:10" ht="18.399999999999999" customHeight="1" thickBot="1">
      <c r="B254" s="124" t="s">
        <v>559</v>
      </c>
      <c r="G254" s="128">
        <f>TRUNC(G249+G251+G253, 0)</f>
        <v>336664</v>
      </c>
    </row>
    <row r="255" spans="1:10" ht="18.399999999999999" customHeight="1" thickTop="1" thickBot="1">
      <c r="A255" s="125"/>
      <c r="B255" s="125"/>
      <c r="C255" s="125"/>
      <c r="D255" s="125"/>
      <c r="E255" s="125"/>
      <c r="F255" s="125"/>
      <c r="G255" s="125"/>
      <c r="H255" s="125"/>
    </row>
    <row r="256" spans="1:10" ht="18.399999999999999" customHeight="1" thickTop="1" thickBot="1">
      <c r="A256" s="125" t="s">
        <v>550</v>
      </c>
      <c r="B256" s="125" t="s">
        <v>586</v>
      </c>
      <c r="C256" s="125"/>
      <c r="D256" s="125"/>
      <c r="E256" s="125"/>
      <c r="F256" s="125"/>
      <c r="G256" s="125"/>
      <c r="H256" s="125"/>
    </row>
    <row r="257" spans="1:10" ht="18.399999999999999" customHeight="1" thickTop="1">
      <c r="A257" s="125" t="s">
        <v>552</v>
      </c>
      <c r="B257" s="125" t="s">
        <v>585</v>
      </c>
      <c r="C257" s="125"/>
      <c r="D257" s="125"/>
      <c r="E257" s="125"/>
      <c r="F257" s="125"/>
      <c r="G257" s="125"/>
      <c r="H257" s="125"/>
    </row>
    <row r="258" spans="1:10" ht="18.399999999999999" customHeight="1">
      <c r="A258" s="126" t="s">
        <v>554</v>
      </c>
      <c r="B258" s="126"/>
      <c r="C258" s="126" t="s">
        <v>555</v>
      </c>
      <c r="D258" s="126" t="s">
        <v>189</v>
      </c>
      <c r="E258" s="126" t="s">
        <v>190</v>
      </c>
      <c r="F258" s="126" t="s">
        <v>556</v>
      </c>
      <c r="G258" s="126" t="s">
        <v>557</v>
      </c>
      <c r="H258" s="126" t="s">
        <v>195</v>
      </c>
      <c r="I258" s="127" t="str">
        <f>HYPERLINK("#"&amp;J258, "이전으로")</f>
        <v>이전으로</v>
      </c>
      <c r="J258" s="124" t="s">
        <v>1145</v>
      </c>
    </row>
    <row r="259" spans="1:10" ht="18.399999999999999" customHeight="1">
      <c r="A259" s="124" t="s">
        <v>193</v>
      </c>
      <c r="B259" s="124" t="s">
        <v>424</v>
      </c>
      <c r="C259" s="124" t="s">
        <v>420</v>
      </c>
      <c r="D259" s="124">
        <v>1.1972</v>
      </c>
      <c r="E259" s="128" t="s">
        <v>398</v>
      </c>
      <c r="F259" s="128">
        <f>중기기초자료!$G$62</f>
        <v>276000</v>
      </c>
      <c r="G259" s="129">
        <f>TRUNC(F259*D259, 1)</f>
        <v>330427.2</v>
      </c>
      <c r="H259" s="124" t="s">
        <v>17</v>
      </c>
    </row>
    <row r="260" spans="1:10" ht="18.399999999999999" customHeight="1">
      <c r="B260" s="124" t="s">
        <v>558</v>
      </c>
      <c r="G260" s="128">
        <f>TRUNC(G259, 0)</f>
        <v>330427</v>
      </c>
    </row>
    <row r="261" spans="1:10" ht="18.399999999999999" customHeight="1">
      <c r="A261" s="124" t="s">
        <v>191</v>
      </c>
    </row>
    <row r="262" spans="1:10" ht="18.399999999999999" customHeight="1">
      <c r="B262" s="124" t="s">
        <v>558</v>
      </c>
    </row>
    <row r="263" spans="1:10" ht="18.399999999999999" customHeight="1">
      <c r="A263" s="124" t="s">
        <v>192</v>
      </c>
    </row>
    <row r="264" spans="1:10" ht="18.399999999999999" customHeight="1">
      <c r="B264" s="124" t="s">
        <v>558</v>
      </c>
    </row>
    <row r="265" spans="1:10" ht="18.399999999999999" customHeight="1" thickBot="1">
      <c r="B265" s="124" t="s">
        <v>559</v>
      </c>
      <c r="G265" s="128">
        <f>TRUNC(G260+G262+G264, 0)</f>
        <v>330427</v>
      </c>
    </row>
    <row r="266" spans="1:10" ht="18.399999999999999" customHeight="1" thickTop="1" thickBot="1">
      <c r="A266" s="125"/>
      <c r="B266" s="125"/>
      <c r="C266" s="125"/>
      <c r="D266" s="125"/>
      <c r="E266" s="125"/>
      <c r="F266" s="125"/>
      <c r="G266" s="125"/>
      <c r="H266" s="125"/>
    </row>
    <row r="267" spans="1:10" ht="18.399999999999999" customHeight="1" thickTop="1" thickBot="1">
      <c r="A267" s="125" t="s">
        <v>550</v>
      </c>
      <c r="B267" s="125" t="s">
        <v>587</v>
      </c>
      <c r="C267" s="125"/>
      <c r="D267" s="125"/>
      <c r="E267" s="125"/>
      <c r="F267" s="125"/>
      <c r="G267" s="125"/>
      <c r="H267" s="125"/>
    </row>
    <row r="268" spans="1:10" ht="18.399999999999999" customHeight="1" thickTop="1">
      <c r="A268" s="125" t="s">
        <v>552</v>
      </c>
      <c r="B268" s="125" t="s">
        <v>585</v>
      </c>
      <c r="C268" s="125"/>
      <c r="D268" s="125"/>
      <c r="E268" s="125"/>
      <c r="F268" s="125"/>
      <c r="G268" s="125"/>
      <c r="H268" s="125"/>
    </row>
    <row r="269" spans="1:10" ht="18.399999999999999" customHeight="1">
      <c r="A269" s="126" t="s">
        <v>554</v>
      </c>
      <c r="B269" s="126"/>
      <c r="C269" s="126" t="s">
        <v>555</v>
      </c>
      <c r="D269" s="126" t="s">
        <v>189</v>
      </c>
      <c r="E269" s="126" t="s">
        <v>190</v>
      </c>
      <c r="F269" s="126" t="s">
        <v>556</v>
      </c>
      <c r="G269" s="126" t="s">
        <v>557</v>
      </c>
      <c r="H269" s="126" t="s">
        <v>195</v>
      </c>
      <c r="I269" s="127" t="str">
        <f>HYPERLINK("#"&amp;J269, "이전으로")</f>
        <v>이전으로</v>
      </c>
      <c r="J269" s="124" t="s">
        <v>1146</v>
      </c>
    </row>
    <row r="270" spans="1:10" ht="18.399999999999999" customHeight="1">
      <c r="A270" s="124" t="s">
        <v>193</v>
      </c>
      <c r="B270" s="124" t="s">
        <v>424</v>
      </c>
      <c r="C270" s="124" t="s">
        <v>421</v>
      </c>
      <c r="D270" s="124">
        <v>1.1666000000000001</v>
      </c>
      <c r="E270" s="128" t="s">
        <v>398</v>
      </c>
      <c r="F270" s="128">
        <f>중기기초자료!$G$63</f>
        <v>276000</v>
      </c>
      <c r="G270" s="129">
        <f>TRUNC(F270*D270, 1)</f>
        <v>321981.59999999998</v>
      </c>
      <c r="H270" s="124" t="s">
        <v>17</v>
      </c>
    </row>
    <row r="271" spans="1:10" ht="18.399999999999999" customHeight="1">
      <c r="B271" s="124" t="s">
        <v>558</v>
      </c>
      <c r="E271" s="128" t="s">
        <v>398</v>
      </c>
      <c r="G271" s="128">
        <f>TRUNC(G270, 0)</f>
        <v>321981</v>
      </c>
    </row>
    <row r="272" spans="1:10" ht="18.399999999999999" customHeight="1">
      <c r="A272" s="124" t="s">
        <v>191</v>
      </c>
    </row>
    <row r="273" spans="1:10" ht="18.399999999999999" customHeight="1">
      <c r="B273" s="124" t="s">
        <v>558</v>
      </c>
    </row>
    <row r="274" spans="1:10" ht="18.399999999999999" customHeight="1">
      <c r="A274" s="124" t="s">
        <v>192</v>
      </c>
    </row>
    <row r="275" spans="1:10" ht="18.399999999999999" customHeight="1">
      <c r="B275" s="124" t="s">
        <v>558</v>
      </c>
    </row>
    <row r="276" spans="1:10" ht="18.399999999999999" customHeight="1" thickBot="1">
      <c r="B276" s="124" t="s">
        <v>559</v>
      </c>
      <c r="G276" s="128">
        <f>TRUNC(G271+G273+G275, 0)</f>
        <v>321981</v>
      </c>
    </row>
    <row r="277" spans="1:10" ht="18.399999999999999" customHeight="1" thickTop="1" thickBot="1">
      <c r="A277" s="125"/>
      <c r="B277" s="125"/>
      <c r="C277" s="125"/>
      <c r="D277" s="125"/>
      <c r="E277" s="125"/>
      <c r="F277" s="125"/>
      <c r="G277" s="125"/>
      <c r="H277" s="125"/>
    </row>
    <row r="278" spans="1:10" ht="18.399999999999999" customHeight="1" thickTop="1" thickBot="1">
      <c r="A278" s="125" t="s">
        <v>550</v>
      </c>
      <c r="B278" s="125" t="s">
        <v>588</v>
      </c>
      <c r="C278" s="125"/>
      <c r="D278" s="125"/>
      <c r="E278" s="125"/>
      <c r="F278" s="125"/>
      <c r="G278" s="125"/>
      <c r="H278" s="125"/>
    </row>
    <row r="279" spans="1:10" ht="18.399999999999999" customHeight="1" thickTop="1">
      <c r="A279" s="125" t="s">
        <v>552</v>
      </c>
      <c r="B279" s="125" t="s">
        <v>585</v>
      </c>
      <c r="C279" s="125"/>
      <c r="D279" s="125"/>
      <c r="E279" s="125"/>
      <c r="F279" s="125"/>
      <c r="G279" s="125"/>
      <c r="H279" s="125"/>
    </row>
    <row r="280" spans="1:10" ht="18.399999999999999" customHeight="1">
      <c r="A280" s="126" t="s">
        <v>554</v>
      </c>
      <c r="B280" s="126"/>
      <c r="C280" s="126" t="s">
        <v>555</v>
      </c>
      <c r="D280" s="126" t="s">
        <v>189</v>
      </c>
      <c r="E280" s="126" t="s">
        <v>190</v>
      </c>
      <c r="F280" s="126" t="s">
        <v>556</v>
      </c>
      <c r="G280" s="126" t="s">
        <v>557</v>
      </c>
      <c r="H280" s="126" t="s">
        <v>195</v>
      </c>
      <c r="I280" s="127" t="str">
        <f>HYPERLINK("#"&amp;J280, "이전으로")</f>
        <v>이전으로</v>
      </c>
      <c r="J280" s="124" t="s">
        <v>1147</v>
      </c>
    </row>
    <row r="281" spans="1:10" ht="18.399999999999999" customHeight="1">
      <c r="A281" s="124" t="s">
        <v>193</v>
      </c>
      <c r="B281" s="124" t="s">
        <v>424</v>
      </c>
      <c r="C281" s="124" t="s">
        <v>422</v>
      </c>
      <c r="D281" s="124">
        <v>1.1435</v>
      </c>
      <c r="E281" s="128" t="s">
        <v>398</v>
      </c>
      <c r="F281" s="128">
        <f>중기기초자료!$G$64</f>
        <v>276000</v>
      </c>
      <c r="G281" s="129">
        <f>TRUNC(F281*D281, 1)</f>
        <v>315606</v>
      </c>
      <c r="H281" s="124" t="s">
        <v>17</v>
      </c>
    </row>
    <row r="282" spans="1:10" ht="18.399999999999999" customHeight="1">
      <c r="B282" s="124" t="s">
        <v>558</v>
      </c>
      <c r="G282" s="128">
        <f>TRUNC(G281, 0)</f>
        <v>315606</v>
      </c>
    </row>
    <row r="283" spans="1:10" ht="18.399999999999999" customHeight="1">
      <c r="A283" s="124" t="s">
        <v>191</v>
      </c>
    </row>
    <row r="284" spans="1:10" ht="18.399999999999999" customHeight="1">
      <c r="B284" s="124" t="s">
        <v>558</v>
      </c>
    </row>
    <row r="285" spans="1:10" ht="18.399999999999999" customHeight="1">
      <c r="A285" s="124" t="s">
        <v>192</v>
      </c>
    </row>
    <row r="286" spans="1:10" ht="18.399999999999999" customHeight="1">
      <c r="B286" s="124" t="s">
        <v>558</v>
      </c>
    </row>
    <row r="287" spans="1:10" ht="18.399999999999999" customHeight="1" thickBot="1">
      <c r="B287" s="124" t="s">
        <v>559</v>
      </c>
      <c r="G287" s="128">
        <f>TRUNC(G282+G284+G286, 0)</f>
        <v>315606</v>
      </c>
    </row>
    <row r="288" spans="1:10" ht="18.399999999999999" customHeight="1" thickTop="1" thickBot="1">
      <c r="A288" s="125"/>
      <c r="B288" s="125"/>
      <c r="C288" s="125"/>
      <c r="D288" s="125"/>
      <c r="E288" s="125"/>
      <c r="F288" s="125"/>
      <c r="G288" s="125"/>
      <c r="H288" s="125"/>
    </row>
    <row r="289" spans="1:10" ht="18.399999999999999" customHeight="1" thickTop="1" thickBot="1">
      <c r="A289" s="125" t="s">
        <v>550</v>
      </c>
      <c r="B289" s="125" t="s">
        <v>589</v>
      </c>
      <c r="C289" s="125"/>
      <c r="D289" s="125"/>
      <c r="E289" s="125"/>
      <c r="F289" s="125"/>
      <c r="G289" s="125"/>
      <c r="H289" s="125"/>
    </row>
    <row r="290" spans="1:10" ht="18.399999999999999" customHeight="1" thickTop="1">
      <c r="A290" s="125" t="s">
        <v>552</v>
      </c>
      <c r="B290" s="125" t="s">
        <v>585</v>
      </c>
      <c r="C290" s="125"/>
      <c r="D290" s="125"/>
      <c r="E290" s="125"/>
      <c r="F290" s="125"/>
      <c r="G290" s="125"/>
      <c r="H290" s="125"/>
    </row>
    <row r="291" spans="1:10" ht="18.399999999999999" customHeight="1">
      <c r="A291" s="126" t="s">
        <v>554</v>
      </c>
      <c r="B291" s="126"/>
      <c r="C291" s="126" t="s">
        <v>555</v>
      </c>
      <c r="D291" s="126" t="s">
        <v>189</v>
      </c>
      <c r="E291" s="126" t="s">
        <v>190</v>
      </c>
      <c r="F291" s="126" t="s">
        <v>556</v>
      </c>
      <c r="G291" s="126" t="s">
        <v>557</v>
      </c>
      <c r="H291" s="126" t="s">
        <v>195</v>
      </c>
      <c r="I291" s="127" t="str">
        <f>HYPERLINK("#"&amp;J291, "이전으로")</f>
        <v>이전으로</v>
      </c>
      <c r="J291" s="124" t="s">
        <v>1148</v>
      </c>
    </row>
    <row r="292" spans="1:10" ht="18.399999999999999" customHeight="1">
      <c r="A292" s="124" t="s">
        <v>193</v>
      </c>
      <c r="B292" s="124" t="s">
        <v>424</v>
      </c>
      <c r="C292" s="124" t="s">
        <v>425</v>
      </c>
      <c r="D292" s="124">
        <v>1.1212</v>
      </c>
      <c r="E292" s="128" t="s">
        <v>398</v>
      </c>
      <c r="F292" s="128">
        <f>중기기초자료!$G$65</f>
        <v>276000</v>
      </c>
      <c r="G292" s="129">
        <f>TRUNC(F292*D292, 1)</f>
        <v>309451.2</v>
      </c>
      <c r="H292" s="124" t="s">
        <v>17</v>
      </c>
    </row>
    <row r="293" spans="1:10" ht="18.399999999999999" customHeight="1">
      <c r="B293" s="124" t="s">
        <v>558</v>
      </c>
      <c r="G293" s="128">
        <f>TRUNC(G292, 0)</f>
        <v>309451</v>
      </c>
    </row>
    <row r="294" spans="1:10" ht="18.399999999999999" customHeight="1">
      <c r="A294" s="124" t="s">
        <v>191</v>
      </c>
    </row>
    <row r="295" spans="1:10" ht="18.399999999999999" customHeight="1">
      <c r="B295" s="124" t="s">
        <v>558</v>
      </c>
    </row>
    <row r="296" spans="1:10" ht="18.399999999999999" customHeight="1">
      <c r="A296" s="124" t="s">
        <v>192</v>
      </c>
    </row>
    <row r="297" spans="1:10" ht="18.399999999999999" customHeight="1">
      <c r="B297" s="124" t="s">
        <v>558</v>
      </c>
    </row>
    <row r="298" spans="1:10" ht="18.399999999999999" customHeight="1" thickBot="1">
      <c r="B298" s="124" t="s">
        <v>559</v>
      </c>
      <c r="G298" s="128">
        <f>TRUNC(G293+G295+G297, 0)</f>
        <v>309451</v>
      </c>
    </row>
    <row r="299" spans="1:10" ht="18.399999999999999" customHeight="1" thickTop="1" thickBot="1">
      <c r="A299" s="125"/>
      <c r="B299" s="125"/>
      <c r="C299" s="125"/>
      <c r="D299" s="125"/>
      <c r="E299" s="125"/>
      <c r="F299" s="125"/>
      <c r="G299" s="125"/>
      <c r="H299" s="125"/>
    </row>
    <row r="300" spans="1:10" ht="18.399999999999999" customHeight="1" thickTop="1" thickBot="1">
      <c r="A300" s="125" t="s">
        <v>550</v>
      </c>
      <c r="B300" s="125" t="s">
        <v>590</v>
      </c>
      <c r="C300" s="125"/>
      <c r="D300" s="125"/>
      <c r="E300" s="125"/>
      <c r="F300" s="125"/>
      <c r="G300" s="125"/>
      <c r="H300" s="125"/>
    </row>
    <row r="301" spans="1:10" ht="18.399999999999999" customHeight="1" thickTop="1">
      <c r="A301" s="125" t="s">
        <v>552</v>
      </c>
      <c r="B301" s="125" t="s">
        <v>591</v>
      </c>
      <c r="C301" s="125"/>
      <c r="D301" s="125"/>
      <c r="E301" s="125"/>
      <c r="F301" s="125"/>
      <c r="G301" s="125"/>
      <c r="H301" s="125"/>
    </row>
    <row r="302" spans="1:10" ht="18.399999999999999" customHeight="1">
      <c r="A302" s="126" t="s">
        <v>554</v>
      </c>
      <c r="B302" s="126"/>
      <c r="C302" s="126" t="s">
        <v>555</v>
      </c>
      <c r="D302" s="126" t="s">
        <v>189</v>
      </c>
      <c r="E302" s="126" t="s">
        <v>190</v>
      </c>
      <c r="F302" s="126" t="s">
        <v>556</v>
      </c>
      <c r="G302" s="126" t="s">
        <v>557</v>
      </c>
      <c r="H302" s="126" t="s">
        <v>195</v>
      </c>
      <c r="I302" s="127" t="str">
        <f>HYPERLINK("#"&amp;J302, "이전으로")</f>
        <v>이전으로</v>
      </c>
      <c r="J302" s="124" t="s">
        <v>1149</v>
      </c>
    </row>
    <row r="303" spans="1:10" ht="18.399999999999999" customHeight="1">
      <c r="A303" s="124" t="s">
        <v>193</v>
      </c>
      <c r="B303" s="124" t="s">
        <v>396</v>
      </c>
      <c r="C303" s="124" t="s">
        <v>397</v>
      </c>
      <c r="D303" s="124">
        <v>3.6232000000000002</v>
      </c>
      <c r="E303" s="128" t="s">
        <v>398</v>
      </c>
      <c r="F303" s="128">
        <f>중기기초자료!$G$12</f>
        <v>420</v>
      </c>
      <c r="G303" s="129">
        <f>TRUNC(F303*D303, 1)</f>
        <v>1521.7</v>
      </c>
      <c r="H303" s="124" t="s">
        <v>17</v>
      </c>
    </row>
    <row r="304" spans="1:10" ht="18.399999999999999" customHeight="1">
      <c r="B304" s="124" t="s">
        <v>558</v>
      </c>
      <c r="G304" s="128">
        <f>TRUNC(G303, 0)</f>
        <v>1521</v>
      </c>
    </row>
    <row r="305" spans="1:10" ht="18.399999999999999" customHeight="1">
      <c r="A305" s="124" t="s">
        <v>191</v>
      </c>
    </row>
    <row r="306" spans="1:10" ht="18.399999999999999" customHeight="1">
      <c r="B306" s="124" t="s">
        <v>558</v>
      </c>
    </row>
    <row r="307" spans="1:10" ht="18.399999999999999" customHeight="1">
      <c r="A307" s="124" t="s">
        <v>192</v>
      </c>
    </row>
    <row r="308" spans="1:10" ht="18.399999999999999" customHeight="1">
      <c r="B308" s="124" t="s">
        <v>558</v>
      </c>
    </row>
    <row r="309" spans="1:10" ht="18.399999999999999" customHeight="1" thickBot="1">
      <c r="B309" s="124" t="s">
        <v>559</v>
      </c>
      <c r="G309" s="128">
        <f>TRUNC(G304+G306+G308, 0)</f>
        <v>1521</v>
      </c>
    </row>
    <row r="310" spans="1:10" ht="18.399999999999999" customHeight="1" thickTop="1" thickBot="1">
      <c r="A310" s="125"/>
      <c r="B310" s="125"/>
      <c r="C310" s="125"/>
      <c r="D310" s="125"/>
      <c r="E310" s="125"/>
      <c r="F310" s="125"/>
      <c r="G310" s="125"/>
      <c r="H310" s="125"/>
    </row>
    <row r="311" spans="1:10" ht="18.399999999999999" customHeight="1" thickTop="1" thickBot="1">
      <c r="A311" s="125" t="s">
        <v>550</v>
      </c>
      <c r="B311" s="125" t="s">
        <v>592</v>
      </c>
      <c r="C311" s="125"/>
      <c r="D311" s="125"/>
      <c r="E311" s="125"/>
      <c r="F311" s="125"/>
      <c r="G311" s="125"/>
      <c r="H311" s="125"/>
    </row>
    <row r="312" spans="1:10" ht="18.399999999999999" customHeight="1" thickTop="1">
      <c r="A312" s="125" t="s">
        <v>552</v>
      </c>
      <c r="B312" s="125" t="s">
        <v>593</v>
      </c>
      <c r="C312" s="125"/>
      <c r="D312" s="125"/>
      <c r="E312" s="125"/>
      <c r="F312" s="125"/>
      <c r="G312" s="125"/>
      <c r="H312" s="125"/>
    </row>
    <row r="313" spans="1:10" ht="18.399999999999999" customHeight="1">
      <c r="A313" s="126" t="s">
        <v>554</v>
      </c>
      <c r="B313" s="126"/>
      <c r="C313" s="126" t="s">
        <v>555</v>
      </c>
      <c r="D313" s="126" t="s">
        <v>189</v>
      </c>
      <c r="E313" s="126" t="s">
        <v>190</v>
      </c>
      <c r="F313" s="126" t="s">
        <v>556</v>
      </c>
      <c r="G313" s="126" t="s">
        <v>557</v>
      </c>
      <c r="H313" s="126" t="s">
        <v>195</v>
      </c>
      <c r="I313" s="127" t="str">
        <f>HYPERLINK("#"&amp;J313, "이전으로")</f>
        <v>이전으로</v>
      </c>
      <c r="J313" s="124" t="s">
        <v>1150</v>
      </c>
    </row>
    <row r="314" spans="1:10" ht="18.399999999999999" customHeight="1">
      <c r="A314" s="124" t="s">
        <v>193</v>
      </c>
      <c r="B314" s="124" t="s">
        <v>396</v>
      </c>
      <c r="C314" s="124" t="s">
        <v>399</v>
      </c>
      <c r="D314" s="124">
        <v>3.5074999999999998</v>
      </c>
      <c r="E314" s="128" t="s">
        <v>398</v>
      </c>
      <c r="F314" s="128">
        <f>중기기초자료!$G$13</f>
        <v>900</v>
      </c>
      <c r="G314" s="129">
        <f>TRUNC(F314*D314, 1)</f>
        <v>3156.7</v>
      </c>
      <c r="H314" s="124" t="s">
        <v>17</v>
      </c>
    </row>
    <row r="315" spans="1:10" ht="18.399999999999999" customHeight="1">
      <c r="B315" s="124" t="s">
        <v>558</v>
      </c>
      <c r="G315" s="128">
        <f>TRUNC(G314, 0)</f>
        <v>3156</v>
      </c>
    </row>
    <row r="316" spans="1:10" ht="18.399999999999999" customHeight="1">
      <c r="A316" s="124" t="s">
        <v>191</v>
      </c>
    </row>
    <row r="317" spans="1:10" ht="18.399999999999999" customHeight="1">
      <c r="B317" s="124" t="s">
        <v>558</v>
      </c>
    </row>
    <row r="318" spans="1:10" ht="18.399999999999999" customHeight="1">
      <c r="A318" s="124" t="s">
        <v>192</v>
      </c>
    </row>
    <row r="319" spans="1:10" ht="18.399999999999999" customHeight="1">
      <c r="B319" s="124" t="s">
        <v>558</v>
      </c>
    </row>
    <row r="320" spans="1:10" ht="18.399999999999999" customHeight="1" thickBot="1">
      <c r="B320" s="124" t="s">
        <v>559</v>
      </c>
      <c r="G320" s="128">
        <f>TRUNC(G315+G317+G319, 0)</f>
        <v>3156</v>
      </c>
    </row>
    <row r="321" spans="1:10" ht="18.399999999999999" customHeight="1" thickTop="1" thickBot="1">
      <c r="A321" s="125"/>
      <c r="B321" s="125"/>
      <c r="C321" s="125"/>
      <c r="D321" s="125"/>
      <c r="E321" s="125"/>
      <c r="F321" s="125"/>
      <c r="G321" s="125"/>
      <c r="H321" s="125"/>
    </row>
    <row r="322" spans="1:10" ht="18.399999999999999" customHeight="1" thickTop="1" thickBot="1">
      <c r="A322" s="125" t="s">
        <v>550</v>
      </c>
      <c r="B322" s="125" t="s">
        <v>594</v>
      </c>
      <c r="C322" s="125"/>
      <c r="D322" s="125"/>
      <c r="E322" s="125"/>
      <c r="F322" s="125"/>
      <c r="G322" s="125"/>
      <c r="H322" s="125"/>
    </row>
    <row r="323" spans="1:10" ht="18.399999999999999" customHeight="1" thickTop="1">
      <c r="A323" s="125" t="s">
        <v>552</v>
      </c>
      <c r="B323" s="125" t="s">
        <v>595</v>
      </c>
      <c r="C323" s="125"/>
      <c r="D323" s="125"/>
      <c r="E323" s="125"/>
      <c r="F323" s="125"/>
      <c r="G323" s="125"/>
      <c r="H323" s="125"/>
    </row>
    <row r="324" spans="1:10" ht="18.399999999999999" customHeight="1">
      <c r="A324" s="126" t="s">
        <v>554</v>
      </c>
      <c r="B324" s="126"/>
      <c r="C324" s="126" t="s">
        <v>555</v>
      </c>
      <c r="D324" s="126" t="s">
        <v>189</v>
      </c>
      <c r="E324" s="126" t="s">
        <v>190</v>
      </c>
      <c r="F324" s="126" t="s">
        <v>556</v>
      </c>
      <c r="G324" s="126" t="s">
        <v>557</v>
      </c>
      <c r="H324" s="126" t="s">
        <v>195</v>
      </c>
      <c r="I324" s="127" t="str">
        <f>HYPERLINK("#"&amp;J324, "이전으로")</f>
        <v>이전으로</v>
      </c>
      <c r="J324" s="124" t="s">
        <v>1151</v>
      </c>
    </row>
    <row r="325" spans="1:10" ht="18.399999999999999" customHeight="1">
      <c r="A325" s="124" t="s">
        <v>193</v>
      </c>
      <c r="B325" s="124" t="s">
        <v>396</v>
      </c>
      <c r="C325" s="124" t="s">
        <v>400</v>
      </c>
      <c r="D325" s="124">
        <v>3.1819000000000002</v>
      </c>
      <c r="E325" s="128" t="s">
        <v>398</v>
      </c>
      <c r="F325" s="128">
        <f>중기기초자료!$G$14</f>
        <v>1104</v>
      </c>
      <c r="G325" s="129">
        <f>TRUNC(F325*D325, 1)</f>
        <v>3512.8</v>
      </c>
      <c r="H325" s="124" t="s">
        <v>17</v>
      </c>
    </row>
    <row r="326" spans="1:10" ht="18.399999999999999" customHeight="1">
      <c r="B326" s="124" t="s">
        <v>558</v>
      </c>
      <c r="G326" s="128">
        <f>TRUNC(G325, 0)</f>
        <v>3512</v>
      </c>
    </row>
    <row r="327" spans="1:10" ht="18.399999999999999" customHeight="1">
      <c r="A327" s="124" t="s">
        <v>191</v>
      </c>
    </row>
    <row r="328" spans="1:10" ht="18.399999999999999" customHeight="1">
      <c r="B328" s="124" t="s">
        <v>558</v>
      </c>
    </row>
    <row r="329" spans="1:10" ht="18.399999999999999" customHeight="1">
      <c r="A329" s="124" t="s">
        <v>192</v>
      </c>
    </row>
    <row r="330" spans="1:10" ht="18.399999999999999" customHeight="1">
      <c r="B330" s="124" t="s">
        <v>558</v>
      </c>
    </row>
    <row r="331" spans="1:10" ht="18.399999999999999" customHeight="1" thickBot="1">
      <c r="B331" s="124" t="s">
        <v>559</v>
      </c>
      <c r="G331" s="128">
        <f>TRUNC(G326+G328+G330, 0)</f>
        <v>3512</v>
      </c>
    </row>
    <row r="332" spans="1:10" ht="18.399999999999999" customHeight="1" thickTop="1" thickBot="1">
      <c r="A332" s="125"/>
      <c r="B332" s="125"/>
      <c r="C332" s="125"/>
      <c r="D332" s="125"/>
      <c r="E332" s="125"/>
      <c r="F332" s="125"/>
      <c r="G332" s="125"/>
      <c r="H332" s="125"/>
    </row>
    <row r="333" spans="1:10" ht="18.399999999999999" customHeight="1" thickTop="1" thickBot="1">
      <c r="A333" s="125" t="s">
        <v>550</v>
      </c>
      <c r="B333" s="125" t="s">
        <v>596</v>
      </c>
      <c r="C333" s="125"/>
      <c r="D333" s="125"/>
      <c r="E333" s="125"/>
      <c r="F333" s="125"/>
      <c r="G333" s="125"/>
      <c r="H333" s="125"/>
    </row>
    <row r="334" spans="1:10" ht="18.399999999999999" customHeight="1" thickTop="1">
      <c r="A334" s="125" t="s">
        <v>552</v>
      </c>
      <c r="B334" s="125" t="s">
        <v>597</v>
      </c>
      <c r="C334" s="125"/>
      <c r="D334" s="125"/>
      <c r="E334" s="125"/>
      <c r="F334" s="125"/>
      <c r="G334" s="125"/>
      <c r="H334" s="125"/>
    </row>
    <row r="335" spans="1:10" ht="18.399999999999999" customHeight="1">
      <c r="A335" s="126" t="s">
        <v>554</v>
      </c>
      <c r="B335" s="126"/>
      <c r="C335" s="126" t="s">
        <v>555</v>
      </c>
      <c r="D335" s="126" t="s">
        <v>189</v>
      </c>
      <c r="E335" s="126" t="s">
        <v>190</v>
      </c>
      <c r="F335" s="126" t="s">
        <v>556</v>
      </c>
      <c r="G335" s="126" t="s">
        <v>557</v>
      </c>
      <c r="H335" s="126" t="s">
        <v>195</v>
      </c>
      <c r="I335" s="127" t="str">
        <f>HYPERLINK("#"&amp;J335, "이전으로")</f>
        <v>이전으로</v>
      </c>
      <c r="J335" s="124" t="s">
        <v>1152</v>
      </c>
    </row>
    <row r="336" spans="1:10" ht="18.399999999999999" customHeight="1">
      <c r="A336" s="124" t="s">
        <v>193</v>
      </c>
      <c r="B336" s="124" t="s">
        <v>396</v>
      </c>
      <c r="C336" s="124" t="s">
        <v>401</v>
      </c>
      <c r="D336" s="124">
        <v>2.3327</v>
      </c>
      <c r="E336" s="128" t="s">
        <v>398</v>
      </c>
      <c r="F336" s="128">
        <f>중기기초자료!$G$15</f>
        <v>1140</v>
      </c>
      <c r="G336" s="129">
        <f>TRUNC(F336*D336, 1)</f>
        <v>2659.2</v>
      </c>
      <c r="H336" s="124" t="s">
        <v>17</v>
      </c>
    </row>
    <row r="337" spans="1:10" ht="18.399999999999999" customHeight="1">
      <c r="B337" s="124" t="s">
        <v>558</v>
      </c>
      <c r="G337" s="128">
        <f>TRUNC(G336, 0)</f>
        <v>2659</v>
      </c>
    </row>
    <row r="338" spans="1:10" ht="18.399999999999999" customHeight="1">
      <c r="A338" s="124" t="s">
        <v>191</v>
      </c>
    </row>
    <row r="339" spans="1:10" ht="18.399999999999999" customHeight="1">
      <c r="B339" s="124" t="s">
        <v>558</v>
      </c>
    </row>
    <row r="340" spans="1:10" ht="18.399999999999999" customHeight="1">
      <c r="A340" s="124" t="s">
        <v>192</v>
      </c>
    </row>
    <row r="341" spans="1:10" ht="18.399999999999999" customHeight="1">
      <c r="B341" s="124" t="s">
        <v>558</v>
      </c>
    </row>
    <row r="342" spans="1:10" ht="18.399999999999999" customHeight="1" thickBot="1">
      <c r="B342" s="124" t="s">
        <v>559</v>
      </c>
      <c r="G342" s="128">
        <f>TRUNC(G337+G339+G341, 0)</f>
        <v>2659</v>
      </c>
    </row>
    <row r="343" spans="1:10" ht="18.399999999999999" customHeight="1" thickTop="1" thickBot="1">
      <c r="A343" s="125"/>
      <c r="B343" s="125"/>
      <c r="C343" s="125"/>
      <c r="D343" s="125"/>
      <c r="E343" s="125"/>
      <c r="F343" s="125"/>
      <c r="G343" s="125"/>
      <c r="H343" s="125"/>
    </row>
    <row r="344" spans="1:10" ht="18.399999999999999" customHeight="1" thickTop="1" thickBot="1">
      <c r="A344" s="125" t="s">
        <v>550</v>
      </c>
      <c r="B344" s="125" t="s">
        <v>598</v>
      </c>
      <c r="C344" s="125"/>
      <c r="D344" s="125"/>
      <c r="E344" s="125"/>
      <c r="F344" s="125"/>
      <c r="G344" s="125"/>
      <c r="H344" s="125"/>
    </row>
    <row r="345" spans="1:10" ht="18.399999999999999" customHeight="1" thickTop="1">
      <c r="A345" s="125" t="s">
        <v>552</v>
      </c>
      <c r="B345" s="125" t="s">
        <v>599</v>
      </c>
      <c r="C345" s="125"/>
      <c r="D345" s="125"/>
      <c r="E345" s="125"/>
      <c r="F345" s="125"/>
      <c r="G345" s="125"/>
      <c r="H345" s="125"/>
    </row>
    <row r="346" spans="1:10" ht="18.399999999999999" customHeight="1">
      <c r="A346" s="126" t="s">
        <v>554</v>
      </c>
      <c r="B346" s="126"/>
      <c r="C346" s="126" t="s">
        <v>555</v>
      </c>
      <c r="D346" s="126" t="s">
        <v>189</v>
      </c>
      <c r="E346" s="126" t="s">
        <v>190</v>
      </c>
      <c r="F346" s="126" t="s">
        <v>556</v>
      </c>
      <c r="G346" s="126" t="s">
        <v>557</v>
      </c>
      <c r="H346" s="126" t="s">
        <v>195</v>
      </c>
      <c r="I346" s="127" t="str">
        <f>HYPERLINK("#"&amp;J346, "이전으로")</f>
        <v>이전으로</v>
      </c>
      <c r="J346" s="124" t="s">
        <v>1153</v>
      </c>
    </row>
    <row r="347" spans="1:10" ht="18.399999999999999" customHeight="1">
      <c r="A347" s="124" t="s">
        <v>193</v>
      </c>
      <c r="B347" s="124" t="s">
        <v>396</v>
      </c>
      <c r="C347" s="124" t="s">
        <v>402</v>
      </c>
      <c r="D347" s="124">
        <v>2.198</v>
      </c>
      <c r="E347" s="128" t="s">
        <v>398</v>
      </c>
      <c r="F347" s="128">
        <f>중기기초자료!$G$16</f>
        <v>1584</v>
      </c>
      <c r="G347" s="129">
        <f>TRUNC(F347*D347, 1)</f>
        <v>3481.6</v>
      </c>
      <c r="H347" s="124" t="s">
        <v>17</v>
      </c>
    </row>
    <row r="348" spans="1:10" ht="18.399999999999999" customHeight="1">
      <c r="B348" s="124" t="s">
        <v>558</v>
      </c>
      <c r="G348" s="128">
        <f>TRUNC(G347, 0)</f>
        <v>3481</v>
      </c>
    </row>
    <row r="349" spans="1:10" ht="18.399999999999999" customHeight="1">
      <c r="A349" s="124" t="s">
        <v>191</v>
      </c>
    </row>
    <row r="350" spans="1:10" ht="18.399999999999999" customHeight="1">
      <c r="B350" s="124" t="s">
        <v>558</v>
      </c>
    </row>
    <row r="351" spans="1:10" ht="18.399999999999999" customHeight="1">
      <c r="A351" s="124" t="s">
        <v>192</v>
      </c>
    </row>
    <row r="352" spans="1:10" ht="18.399999999999999" customHeight="1">
      <c r="B352" s="124" t="s">
        <v>558</v>
      </c>
    </row>
    <row r="353" spans="1:10" ht="18.399999999999999" customHeight="1" thickBot="1">
      <c r="B353" s="124" t="s">
        <v>559</v>
      </c>
      <c r="G353" s="128">
        <f>TRUNC(G348+G350+G352, 0)</f>
        <v>3481</v>
      </c>
    </row>
    <row r="354" spans="1:10" ht="18.399999999999999" customHeight="1" thickTop="1" thickBot="1">
      <c r="A354" s="125"/>
      <c r="B354" s="125"/>
      <c r="C354" s="125"/>
      <c r="D354" s="125"/>
      <c r="E354" s="125"/>
      <c r="F354" s="125"/>
      <c r="G354" s="125"/>
      <c r="H354" s="125"/>
    </row>
    <row r="355" spans="1:10" ht="18.399999999999999" customHeight="1" thickTop="1" thickBot="1">
      <c r="A355" s="125" t="s">
        <v>550</v>
      </c>
      <c r="B355" s="125" t="s">
        <v>600</v>
      </c>
      <c r="C355" s="125"/>
      <c r="D355" s="125"/>
      <c r="E355" s="125"/>
      <c r="F355" s="125"/>
      <c r="G355" s="125"/>
      <c r="H355" s="125"/>
    </row>
    <row r="356" spans="1:10" ht="18.399999999999999" customHeight="1" thickTop="1">
      <c r="A356" s="125" t="s">
        <v>552</v>
      </c>
      <c r="B356" s="125" t="s">
        <v>601</v>
      </c>
      <c r="C356" s="125"/>
      <c r="D356" s="125"/>
      <c r="E356" s="125"/>
      <c r="F356" s="125"/>
      <c r="G356" s="125"/>
      <c r="H356" s="125"/>
    </row>
    <row r="357" spans="1:10" ht="18.399999999999999" customHeight="1">
      <c r="A357" s="126" t="s">
        <v>554</v>
      </c>
      <c r="B357" s="126"/>
      <c r="C357" s="126" t="s">
        <v>555</v>
      </c>
      <c r="D357" s="126" t="s">
        <v>189</v>
      </c>
      <c r="E357" s="126" t="s">
        <v>190</v>
      </c>
      <c r="F357" s="126" t="s">
        <v>556</v>
      </c>
      <c r="G357" s="126" t="s">
        <v>557</v>
      </c>
      <c r="H357" s="126" t="s">
        <v>195</v>
      </c>
      <c r="I357" s="127" t="str">
        <f>HYPERLINK("#"&amp;J357, "이전으로")</f>
        <v>이전으로</v>
      </c>
      <c r="J357" s="124" t="s">
        <v>1154</v>
      </c>
    </row>
    <row r="358" spans="1:10" ht="18.399999999999999" customHeight="1">
      <c r="A358" s="124" t="s">
        <v>193</v>
      </c>
      <c r="B358" s="124" t="s">
        <v>396</v>
      </c>
      <c r="C358" s="124" t="s">
        <v>403</v>
      </c>
      <c r="D358" s="124">
        <v>2.0851000000000002</v>
      </c>
      <c r="E358" s="128" t="s">
        <v>398</v>
      </c>
      <c r="F358" s="128">
        <f>중기기초자료!$G$17</f>
        <v>1800</v>
      </c>
      <c r="G358" s="129">
        <f>TRUNC(F358*D358, 1)</f>
        <v>3753.1</v>
      </c>
      <c r="H358" s="124" t="s">
        <v>17</v>
      </c>
    </row>
    <row r="359" spans="1:10" ht="18.399999999999999" customHeight="1">
      <c r="B359" s="124" t="s">
        <v>558</v>
      </c>
      <c r="G359" s="128">
        <f>TRUNC(G358, 0)</f>
        <v>3753</v>
      </c>
    </row>
    <row r="360" spans="1:10" ht="18.399999999999999" customHeight="1">
      <c r="A360" s="124" t="s">
        <v>191</v>
      </c>
    </row>
    <row r="361" spans="1:10" ht="18.399999999999999" customHeight="1">
      <c r="B361" s="124" t="s">
        <v>558</v>
      </c>
    </row>
    <row r="362" spans="1:10" ht="18.399999999999999" customHeight="1">
      <c r="A362" s="124" t="s">
        <v>192</v>
      </c>
    </row>
    <row r="363" spans="1:10" ht="18.399999999999999" customHeight="1">
      <c r="B363" s="124" t="s">
        <v>558</v>
      </c>
    </row>
    <row r="364" spans="1:10" ht="18.399999999999999" customHeight="1" thickBot="1">
      <c r="B364" s="124" t="s">
        <v>559</v>
      </c>
      <c r="G364" s="128">
        <f>TRUNC(G359+G361+G363, 0)</f>
        <v>3753</v>
      </c>
    </row>
    <row r="365" spans="1:10" ht="18.399999999999999" customHeight="1" thickTop="1" thickBot="1">
      <c r="A365" s="125"/>
      <c r="B365" s="125"/>
      <c r="C365" s="125"/>
      <c r="D365" s="125"/>
      <c r="E365" s="125"/>
      <c r="F365" s="125"/>
      <c r="G365" s="125"/>
      <c r="H365" s="125"/>
    </row>
    <row r="366" spans="1:10" ht="18.399999999999999" customHeight="1" thickTop="1" thickBot="1">
      <c r="A366" s="125" t="s">
        <v>550</v>
      </c>
      <c r="B366" s="125" t="s">
        <v>602</v>
      </c>
      <c r="C366" s="125"/>
      <c r="D366" s="125"/>
      <c r="E366" s="125"/>
      <c r="F366" s="125"/>
      <c r="G366" s="125"/>
      <c r="H366" s="125"/>
    </row>
    <row r="367" spans="1:10" ht="18.399999999999999" customHeight="1" thickTop="1">
      <c r="A367" s="125" t="s">
        <v>552</v>
      </c>
      <c r="B367" s="125" t="s">
        <v>603</v>
      </c>
      <c r="C367" s="125"/>
      <c r="D367" s="125"/>
      <c r="E367" s="125"/>
      <c r="F367" s="125"/>
      <c r="G367" s="125"/>
      <c r="H367" s="125"/>
    </row>
    <row r="368" spans="1:10" ht="18.399999999999999" customHeight="1">
      <c r="A368" s="126" t="s">
        <v>554</v>
      </c>
      <c r="B368" s="126"/>
      <c r="C368" s="126" t="s">
        <v>555</v>
      </c>
      <c r="D368" s="126" t="s">
        <v>189</v>
      </c>
      <c r="E368" s="126" t="s">
        <v>190</v>
      </c>
      <c r="F368" s="126" t="s">
        <v>556</v>
      </c>
      <c r="G368" s="126" t="s">
        <v>557</v>
      </c>
      <c r="H368" s="126" t="s">
        <v>195</v>
      </c>
      <c r="I368" s="127" t="str">
        <f>HYPERLINK("#"&amp;J368, "이전으로")</f>
        <v>이전으로</v>
      </c>
      <c r="J368" s="124" t="s">
        <v>1155</v>
      </c>
    </row>
    <row r="369" spans="1:10" ht="18.399999999999999" customHeight="1">
      <c r="A369" s="124" t="s">
        <v>193</v>
      </c>
      <c r="B369" s="124" t="s">
        <v>396</v>
      </c>
      <c r="C369" s="124" t="s">
        <v>404</v>
      </c>
      <c r="D369" s="124">
        <v>1.7576000000000001</v>
      </c>
      <c r="E369" s="128" t="s">
        <v>398</v>
      </c>
      <c r="F369" s="128">
        <f>중기기초자료!$G$18</f>
        <v>2520</v>
      </c>
      <c r="G369" s="129">
        <f>TRUNC(F369*D369, 1)</f>
        <v>4429.1000000000004</v>
      </c>
      <c r="H369" s="124" t="s">
        <v>17</v>
      </c>
    </row>
    <row r="370" spans="1:10" ht="18.399999999999999" customHeight="1">
      <c r="B370" s="124" t="s">
        <v>558</v>
      </c>
      <c r="G370" s="128">
        <f>TRUNC(G369, 0)</f>
        <v>4429</v>
      </c>
    </row>
    <row r="371" spans="1:10" ht="18.399999999999999" customHeight="1">
      <c r="A371" s="124" t="s">
        <v>191</v>
      </c>
    </row>
    <row r="372" spans="1:10" ht="18.399999999999999" customHeight="1">
      <c r="B372" s="124" t="s">
        <v>558</v>
      </c>
    </row>
    <row r="373" spans="1:10" ht="18.399999999999999" customHeight="1">
      <c r="A373" s="124" t="s">
        <v>192</v>
      </c>
    </row>
    <row r="374" spans="1:10" ht="18.399999999999999" customHeight="1">
      <c r="B374" s="124" t="s">
        <v>558</v>
      </c>
    </row>
    <row r="375" spans="1:10" ht="18.399999999999999" customHeight="1" thickBot="1">
      <c r="B375" s="124" t="s">
        <v>559</v>
      </c>
      <c r="G375" s="128">
        <f>TRUNC(G370+G372+G374, 0)</f>
        <v>4429</v>
      </c>
    </row>
    <row r="376" spans="1:10" ht="18.399999999999999" customHeight="1" thickTop="1" thickBot="1">
      <c r="A376" s="125"/>
      <c r="B376" s="125"/>
      <c r="C376" s="125"/>
      <c r="D376" s="125"/>
      <c r="E376" s="125"/>
      <c r="F376" s="125"/>
      <c r="G376" s="125"/>
      <c r="H376" s="125"/>
    </row>
    <row r="377" spans="1:10" ht="18.399999999999999" customHeight="1" thickTop="1" thickBot="1">
      <c r="A377" s="125" t="s">
        <v>550</v>
      </c>
      <c r="B377" s="125" t="s">
        <v>604</v>
      </c>
      <c r="C377" s="125"/>
      <c r="D377" s="125"/>
      <c r="E377" s="125"/>
      <c r="F377" s="125"/>
      <c r="G377" s="125"/>
      <c r="H377" s="125"/>
    </row>
    <row r="378" spans="1:10" ht="18.399999999999999" customHeight="1" thickTop="1">
      <c r="A378" s="125" t="s">
        <v>552</v>
      </c>
      <c r="B378" s="125" t="s">
        <v>605</v>
      </c>
      <c r="C378" s="125"/>
      <c r="D378" s="125"/>
      <c r="E378" s="125"/>
      <c r="F378" s="125"/>
      <c r="G378" s="125"/>
      <c r="H378" s="125"/>
    </row>
    <row r="379" spans="1:10" ht="18.399999999999999" customHeight="1">
      <c r="A379" s="126" t="s">
        <v>554</v>
      </c>
      <c r="B379" s="126"/>
      <c r="C379" s="126" t="s">
        <v>555</v>
      </c>
      <c r="D379" s="126" t="s">
        <v>189</v>
      </c>
      <c r="E379" s="126" t="s">
        <v>190</v>
      </c>
      <c r="F379" s="126" t="s">
        <v>556</v>
      </c>
      <c r="G379" s="126" t="s">
        <v>557</v>
      </c>
      <c r="H379" s="126" t="s">
        <v>195</v>
      </c>
      <c r="I379" s="127" t="str">
        <f>HYPERLINK("#"&amp;J379, "이전으로")</f>
        <v>이전으로</v>
      </c>
      <c r="J379" s="124" t="s">
        <v>1156</v>
      </c>
    </row>
    <row r="380" spans="1:10" ht="18.399999999999999" customHeight="1">
      <c r="A380" s="124" t="s">
        <v>193</v>
      </c>
      <c r="B380" s="124" t="s">
        <v>396</v>
      </c>
      <c r="C380" s="124" t="s">
        <v>405</v>
      </c>
      <c r="D380" s="124">
        <v>0.7177</v>
      </c>
      <c r="E380" s="128" t="s">
        <v>398</v>
      </c>
      <c r="F380" s="128">
        <f>중기기초자료!$G$19</f>
        <v>3000</v>
      </c>
      <c r="G380" s="129">
        <f>TRUNC(F380*D380, 1)</f>
        <v>2153.1</v>
      </c>
      <c r="H380" s="124" t="s">
        <v>17</v>
      </c>
    </row>
    <row r="381" spans="1:10" ht="18.399999999999999" customHeight="1">
      <c r="B381" s="124" t="s">
        <v>558</v>
      </c>
      <c r="G381" s="128">
        <f>TRUNC(G380, 0)</f>
        <v>2153</v>
      </c>
    </row>
    <row r="382" spans="1:10" ht="18.399999999999999" customHeight="1">
      <c r="A382" s="124" t="s">
        <v>191</v>
      </c>
    </row>
    <row r="383" spans="1:10" ht="18.399999999999999" customHeight="1">
      <c r="B383" s="124" t="s">
        <v>558</v>
      </c>
    </row>
    <row r="384" spans="1:10" ht="18.399999999999999" customHeight="1">
      <c r="A384" s="124" t="s">
        <v>192</v>
      </c>
    </row>
    <row r="385" spans="1:10" ht="18.399999999999999" customHeight="1">
      <c r="B385" s="124" t="s">
        <v>558</v>
      </c>
    </row>
    <row r="386" spans="1:10" ht="18.399999999999999" customHeight="1" thickBot="1">
      <c r="B386" s="124" t="s">
        <v>559</v>
      </c>
      <c r="G386" s="128">
        <f>TRUNC(G381+G383+G385, 0)</f>
        <v>2153</v>
      </c>
    </row>
    <row r="387" spans="1:10" ht="18.399999999999999" customHeight="1" thickTop="1" thickBot="1">
      <c r="A387" s="125"/>
      <c r="B387" s="125"/>
      <c r="C387" s="125"/>
      <c r="D387" s="125"/>
      <c r="E387" s="125"/>
      <c r="F387" s="125"/>
      <c r="G387" s="125"/>
      <c r="H387" s="125"/>
    </row>
    <row r="388" spans="1:10" ht="18.399999999999999" customHeight="1" thickTop="1" thickBot="1">
      <c r="A388" s="125" t="s">
        <v>550</v>
      </c>
      <c r="B388" s="125" t="s">
        <v>606</v>
      </c>
      <c r="C388" s="125"/>
      <c r="D388" s="125"/>
      <c r="E388" s="125"/>
      <c r="F388" s="125"/>
      <c r="G388" s="125"/>
      <c r="H388" s="125"/>
    </row>
    <row r="389" spans="1:10" ht="18.399999999999999" customHeight="1" thickTop="1">
      <c r="A389" s="125" t="s">
        <v>552</v>
      </c>
      <c r="B389" s="125" t="s">
        <v>605</v>
      </c>
      <c r="C389" s="125"/>
      <c r="D389" s="125"/>
      <c r="E389" s="125"/>
      <c r="F389" s="125"/>
      <c r="G389" s="125"/>
      <c r="H389" s="125"/>
    </row>
    <row r="390" spans="1:10" ht="18.399999999999999" customHeight="1">
      <c r="A390" s="126" t="s">
        <v>554</v>
      </c>
      <c r="B390" s="126"/>
      <c r="C390" s="126" t="s">
        <v>555</v>
      </c>
      <c r="D390" s="126" t="s">
        <v>189</v>
      </c>
      <c r="E390" s="126" t="s">
        <v>190</v>
      </c>
      <c r="F390" s="126" t="s">
        <v>556</v>
      </c>
      <c r="G390" s="126" t="s">
        <v>557</v>
      </c>
      <c r="H390" s="126" t="s">
        <v>195</v>
      </c>
      <c r="I390" s="127" t="str">
        <f>HYPERLINK("#"&amp;J390, "이전으로")</f>
        <v>이전으로</v>
      </c>
      <c r="J390" s="124" t="s">
        <v>1157</v>
      </c>
    </row>
    <row r="391" spans="1:10" ht="18.399999999999999" customHeight="1">
      <c r="A391" s="124" t="s">
        <v>193</v>
      </c>
      <c r="B391" s="124" t="s">
        <v>396</v>
      </c>
      <c r="C391" s="124" t="s">
        <v>406</v>
      </c>
      <c r="D391" s="124">
        <v>0.70550000000000002</v>
      </c>
      <c r="E391" s="128" t="s">
        <v>398</v>
      </c>
      <c r="F391" s="128">
        <f>중기기초자료!$G$20</f>
        <v>3000</v>
      </c>
      <c r="G391" s="129">
        <f>TRUNC(F391*D391, 1)</f>
        <v>2116.5</v>
      </c>
      <c r="H391" s="124" t="s">
        <v>17</v>
      </c>
    </row>
    <row r="392" spans="1:10" ht="18.399999999999999" customHeight="1">
      <c r="B392" s="124" t="s">
        <v>558</v>
      </c>
      <c r="G392" s="128">
        <f>TRUNC(G391, 0)</f>
        <v>2116</v>
      </c>
    </row>
    <row r="393" spans="1:10" ht="18.399999999999999" customHeight="1">
      <c r="A393" s="124" t="s">
        <v>191</v>
      </c>
    </row>
    <row r="394" spans="1:10" ht="18.399999999999999" customHeight="1">
      <c r="B394" s="124" t="s">
        <v>558</v>
      </c>
    </row>
    <row r="395" spans="1:10" ht="18.399999999999999" customHeight="1">
      <c r="A395" s="124" t="s">
        <v>192</v>
      </c>
    </row>
    <row r="396" spans="1:10" ht="18.399999999999999" customHeight="1">
      <c r="B396" s="124" t="s">
        <v>558</v>
      </c>
    </row>
    <row r="397" spans="1:10" ht="18.399999999999999" customHeight="1" thickBot="1">
      <c r="B397" s="124" t="s">
        <v>559</v>
      </c>
      <c r="G397" s="128">
        <f>TRUNC(G392+G394+G396, 0)</f>
        <v>2116</v>
      </c>
    </row>
    <row r="398" spans="1:10" ht="18.399999999999999" customHeight="1" thickTop="1" thickBot="1">
      <c r="A398" s="125"/>
      <c r="B398" s="125"/>
      <c r="C398" s="125"/>
      <c r="D398" s="125"/>
      <c r="E398" s="125"/>
      <c r="F398" s="125"/>
      <c r="G398" s="125"/>
      <c r="H398" s="125"/>
    </row>
    <row r="399" spans="1:10" ht="18.399999999999999" customHeight="1" thickTop="1" thickBot="1">
      <c r="A399" s="125" t="s">
        <v>550</v>
      </c>
      <c r="B399" s="125" t="s">
        <v>607</v>
      </c>
      <c r="C399" s="125"/>
      <c r="D399" s="125"/>
      <c r="E399" s="125"/>
      <c r="F399" s="125"/>
      <c r="G399" s="125"/>
      <c r="H399" s="125"/>
    </row>
    <row r="400" spans="1:10" ht="18.399999999999999" customHeight="1" thickTop="1">
      <c r="A400" s="125" t="s">
        <v>552</v>
      </c>
      <c r="B400" s="125" t="s">
        <v>605</v>
      </c>
      <c r="C400" s="125"/>
      <c r="D400" s="125"/>
      <c r="E400" s="125"/>
      <c r="F400" s="125"/>
      <c r="G400" s="125"/>
      <c r="H400" s="125"/>
    </row>
    <row r="401" spans="1:10" ht="18.399999999999999" customHeight="1">
      <c r="A401" s="126" t="s">
        <v>554</v>
      </c>
      <c r="B401" s="126"/>
      <c r="C401" s="126" t="s">
        <v>555</v>
      </c>
      <c r="D401" s="126" t="s">
        <v>189</v>
      </c>
      <c r="E401" s="126" t="s">
        <v>190</v>
      </c>
      <c r="F401" s="126" t="s">
        <v>556</v>
      </c>
      <c r="G401" s="126" t="s">
        <v>557</v>
      </c>
      <c r="H401" s="126" t="s">
        <v>195</v>
      </c>
      <c r="I401" s="127" t="str">
        <f>HYPERLINK("#"&amp;J401, "이전으로")</f>
        <v>이전으로</v>
      </c>
      <c r="J401" s="124" t="s">
        <v>1158</v>
      </c>
    </row>
    <row r="402" spans="1:10" ht="18.399999999999999" customHeight="1">
      <c r="A402" s="124" t="s">
        <v>193</v>
      </c>
      <c r="B402" s="124" t="s">
        <v>396</v>
      </c>
      <c r="C402" s="124" t="s">
        <v>407</v>
      </c>
      <c r="D402" s="124">
        <v>0.69420000000000004</v>
      </c>
      <c r="E402" s="128" t="s">
        <v>398</v>
      </c>
      <c r="F402" s="128">
        <f>중기기초자료!$G$21</f>
        <v>3000</v>
      </c>
      <c r="G402" s="129">
        <f>TRUNC(F402*D402, 1)</f>
        <v>2082.6</v>
      </c>
      <c r="H402" s="124" t="s">
        <v>17</v>
      </c>
    </row>
    <row r="403" spans="1:10" ht="18.399999999999999" customHeight="1">
      <c r="B403" s="124" t="s">
        <v>558</v>
      </c>
      <c r="G403" s="128">
        <f>TRUNC(G402, 0)</f>
        <v>2082</v>
      </c>
    </row>
    <row r="404" spans="1:10" ht="18.399999999999999" customHeight="1">
      <c r="A404" s="124" t="s">
        <v>191</v>
      </c>
    </row>
    <row r="405" spans="1:10" ht="18.399999999999999" customHeight="1">
      <c r="B405" s="124" t="s">
        <v>558</v>
      </c>
    </row>
    <row r="406" spans="1:10" ht="18.399999999999999" customHeight="1">
      <c r="A406" s="124" t="s">
        <v>192</v>
      </c>
    </row>
    <row r="407" spans="1:10" ht="18.399999999999999" customHeight="1">
      <c r="B407" s="124" t="s">
        <v>558</v>
      </c>
    </row>
    <row r="408" spans="1:10" ht="18.399999999999999" customHeight="1" thickBot="1">
      <c r="B408" s="124" t="s">
        <v>559</v>
      </c>
      <c r="G408" s="128">
        <f>TRUNC(G403+G405+G407, 0)</f>
        <v>2082</v>
      </c>
    </row>
    <row r="409" spans="1:10" ht="18.399999999999999" customHeight="1" thickTop="1" thickBot="1">
      <c r="A409" s="125"/>
      <c r="B409" s="125"/>
      <c r="C409" s="125"/>
      <c r="D409" s="125"/>
      <c r="E409" s="125"/>
      <c r="F409" s="125"/>
      <c r="G409" s="125"/>
      <c r="H409" s="125"/>
    </row>
    <row r="410" spans="1:10" ht="18.399999999999999" customHeight="1" thickTop="1" thickBot="1">
      <c r="A410" s="125" t="s">
        <v>550</v>
      </c>
      <c r="B410" s="125" t="s">
        <v>608</v>
      </c>
      <c r="C410" s="125"/>
      <c r="D410" s="125"/>
      <c r="E410" s="125"/>
      <c r="F410" s="125"/>
      <c r="G410" s="125"/>
      <c r="H410" s="125"/>
    </row>
    <row r="411" spans="1:10" ht="18.399999999999999" customHeight="1" thickTop="1">
      <c r="A411" s="125" t="s">
        <v>552</v>
      </c>
      <c r="B411" s="125" t="s">
        <v>605</v>
      </c>
      <c r="C411" s="125"/>
      <c r="D411" s="125"/>
      <c r="E411" s="125"/>
      <c r="F411" s="125"/>
      <c r="G411" s="125"/>
      <c r="H411" s="125"/>
    </row>
    <row r="412" spans="1:10" ht="18.399999999999999" customHeight="1">
      <c r="A412" s="126" t="s">
        <v>554</v>
      </c>
      <c r="B412" s="126"/>
      <c r="C412" s="126" t="s">
        <v>555</v>
      </c>
      <c r="D412" s="126" t="s">
        <v>189</v>
      </c>
      <c r="E412" s="126" t="s">
        <v>190</v>
      </c>
      <c r="F412" s="126" t="s">
        <v>556</v>
      </c>
      <c r="G412" s="126" t="s">
        <v>557</v>
      </c>
      <c r="H412" s="126" t="s">
        <v>195</v>
      </c>
      <c r="I412" s="127" t="str">
        <f>HYPERLINK("#"&amp;J412, "이전으로")</f>
        <v>이전으로</v>
      </c>
      <c r="J412" s="124" t="s">
        <v>1159</v>
      </c>
    </row>
    <row r="413" spans="1:10" ht="18.399999999999999" customHeight="1">
      <c r="A413" s="124" t="s">
        <v>193</v>
      </c>
      <c r="B413" s="124" t="s">
        <v>396</v>
      </c>
      <c r="C413" s="124" t="s">
        <v>408</v>
      </c>
      <c r="D413" s="124">
        <v>0.67190000000000005</v>
      </c>
      <c r="E413" s="128" t="s">
        <v>398</v>
      </c>
      <c r="F413" s="128">
        <f>중기기초자료!$G$22</f>
        <v>3000</v>
      </c>
      <c r="G413" s="129">
        <f>TRUNC(F413*D413, 1)</f>
        <v>2015.7</v>
      </c>
      <c r="H413" s="124" t="s">
        <v>17</v>
      </c>
    </row>
    <row r="414" spans="1:10" ht="18.399999999999999" customHeight="1">
      <c r="B414" s="124" t="s">
        <v>558</v>
      </c>
      <c r="G414" s="128">
        <f>TRUNC(G413, 0)</f>
        <v>2015</v>
      </c>
    </row>
    <row r="415" spans="1:10" ht="18.399999999999999" customHeight="1">
      <c r="A415" s="124" t="s">
        <v>191</v>
      </c>
    </row>
    <row r="416" spans="1:10" ht="18.399999999999999" customHeight="1">
      <c r="B416" s="124" t="s">
        <v>558</v>
      </c>
    </row>
    <row r="417" spans="1:10" ht="18.399999999999999" customHeight="1">
      <c r="A417" s="124" t="s">
        <v>192</v>
      </c>
    </row>
    <row r="418" spans="1:10" ht="18.399999999999999" customHeight="1">
      <c r="B418" s="124" t="s">
        <v>558</v>
      </c>
    </row>
    <row r="419" spans="1:10" ht="18.399999999999999" customHeight="1" thickBot="1">
      <c r="B419" s="124" t="s">
        <v>559</v>
      </c>
      <c r="G419" s="128">
        <f>TRUNC(G414+G416+G418, 0)</f>
        <v>2015</v>
      </c>
    </row>
    <row r="420" spans="1:10" ht="18.399999999999999" customHeight="1" thickTop="1" thickBot="1">
      <c r="A420" s="125"/>
      <c r="B420" s="125"/>
      <c r="C420" s="125"/>
      <c r="D420" s="125"/>
      <c r="E420" s="125"/>
      <c r="F420" s="125"/>
      <c r="G420" s="125"/>
      <c r="H420" s="125"/>
    </row>
    <row r="421" spans="1:10" ht="18.399999999999999" customHeight="1" thickTop="1" thickBot="1">
      <c r="A421" s="125" t="s">
        <v>550</v>
      </c>
      <c r="B421" s="125" t="s">
        <v>609</v>
      </c>
      <c r="C421" s="125"/>
      <c r="D421" s="125"/>
      <c r="E421" s="125"/>
      <c r="F421" s="125"/>
      <c r="G421" s="125"/>
      <c r="H421" s="125"/>
    </row>
    <row r="422" spans="1:10" ht="18.399999999999999" customHeight="1" thickTop="1">
      <c r="A422" s="125" t="s">
        <v>552</v>
      </c>
      <c r="B422" s="125" t="s">
        <v>610</v>
      </c>
      <c r="C422" s="125"/>
      <c r="D422" s="125"/>
      <c r="E422" s="125"/>
      <c r="F422" s="125"/>
      <c r="G422" s="125"/>
      <c r="H422" s="125"/>
    </row>
    <row r="423" spans="1:10" ht="18.399999999999999" customHeight="1">
      <c r="A423" s="126" t="s">
        <v>554</v>
      </c>
      <c r="B423" s="126"/>
      <c r="C423" s="126" t="s">
        <v>555</v>
      </c>
      <c r="D423" s="126" t="s">
        <v>189</v>
      </c>
      <c r="E423" s="126" t="s">
        <v>190</v>
      </c>
      <c r="F423" s="126" t="s">
        <v>556</v>
      </c>
      <c r="G423" s="126" t="s">
        <v>557</v>
      </c>
      <c r="H423" s="126" t="s">
        <v>195</v>
      </c>
      <c r="I423" s="127" t="str">
        <f>HYPERLINK("#"&amp;J423, "이전으로")</f>
        <v>이전으로</v>
      </c>
      <c r="J423" s="124" t="s">
        <v>1160</v>
      </c>
    </row>
    <row r="424" spans="1:10" ht="18.399999999999999" customHeight="1">
      <c r="A424" s="124" t="s">
        <v>193</v>
      </c>
      <c r="B424" s="124" t="s">
        <v>396</v>
      </c>
      <c r="C424" s="124" t="s">
        <v>409</v>
      </c>
      <c r="D424" s="124">
        <v>0.50929999999999997</v>
      </c>
      <c r="E424" s="128" t="s">
        <v>398</v>
      </c>
      <c r="F424" s="128">
        <f>중기기초자료!$G$23</f>
        <v>6120</v>
      </c>
      <c r="G424" s="129">
        <f>TRUNC(F424*D424, 1)</f>
        <v>3116.9</v>
      </c>
      <c r="H424" s="124" t="s">
        <v>17</v>
      </c>
    </row>
    <row r="425" spans="1:10" ht="18.399999999999999" customHeight="1">
      <c r="B425" s="124" t="s">
        <v>558</v>
      </c>
      <c r="G425" s="128">
        <f>TRUNC(G424, 0)</f>
        <v>3116</v>
      </c>
    </row>
    <row r="426" spans="1:10" ht="18.399999999999999" customHeight="1">
      <c r="A426" s="124" t="s">
        <v>191</v>
      </c>
    </row>
    <row r="427" spans="1:10" ht="18.399999999999999" customHeight="1">
      <c r="B427" s="124" t="s">
        <v>558</v>
      </c>
    </row>
    <row r="428" spans="1:10" ht="18.399999999999999" customHeight="1">
      <c r="A428" s="124" t="s">
        <v>192</v>
      </c>
    </row>
    <row r="429" spans="1:10" ht="18.399999999999999" customHeight="1">
      <c r="B429" s="124" t="s">
        <v>558</v>
      </c>
    </row>
    <row r="430" spans="1:10" ht="18.399999999999999" customHeight="1" thickBot="1">
      <c r="B430" s="124" t="s">
        <v>559</v>
      </c>
      <c r="G430" s="128">
        <f>TRUNC(G425+G427+G429, 0)</f>
        <v>3116</v>
      </c>
    </row>
    <row r="431" spans="1:10" ht="18.399999999999999" customHeight="1" thickTop="1" thickBot="1">
      <c r="A431" s="125"/>
      <c r="B431" s="125"/>
      <c r="C431" s="125"/>
      <c r="D431" s="125"/>
      <c r="E431" s="125"/>
      <c r="F431" s="125"/>
      <c r="G431" s="125"/>
      <c r="H431" s="125"/>
    </row>
    <row r="432" spans="1:10" ht="18.399999999999999" customHeight="1" thickTop="1" thickBot="1">
      <c r="A432" s="125" t="s">
        <v>550</v>
      </c>
      <c r="B432" s="125" t="s">
        <v>611</v>
      </c>
      <c r="C432" s="125"/>
      <c r="D432" s="125"/>
      <c r="E432" s="125"/>
      <c r="F432" s="125"/>
      <c r="G432" s="125"/>
      <c r="H432" s="125"/>
    </row>
    <row r="433" spans="1:10" ht="18.399999999999999" customHeight="1" thickTop="1">
      <c r="A433" s="125" t="s">
        <v>552</v>
      </c>
      <c r="B433" s="125" t="s">
        <v>610</v>
      </c>
      <c r="C433" s="125"/>
      <c r="D433" s="125"/>
      <c r="E433" s="125"/>
      <c r="F433" s="125"/>
      <c r="G433" s="125"/>
      <c r="H433" s="125"/>
    </row>
    <row r="434" spans="1:10" ht="18.399999999999999" customHeight="1">
      <c r="A434" s="126" t="s">
        <v>554</v>
      </c>
      <c r="B434" s="126"/>
      <c r="C434" s="126" t="s">
        <v>555</v>
      </c>
      <c r="D434" s="126" t="s">
        <v>189</v>
      </c>
      <c r="E434" s="126" t="s">
        <v>190</v>
      </c>
      <c r="F434" s="126" t="s">
        <v>556</v>
      </c>
      <c r="G434" s="126" t="s">
        <v>557</v>
      </c>
      <c r="H434" s="126" t="s">
        <v>195</v>
      </c>
      <c r="I434" s="127" t="str">
        <f>HYPERLINK("#"&amp;J434, "이전으로")</f>
        <v>이전으로</v>
      </c>
      <c r="J434" s="124" t="s">
        <v>1161</v>
      </c>
    </row>
    <row r="435" spans="1:10" ht="18.399999999999999" customHeight="1">
      <c r="A435" s="124" t="s">
        <v>193</v>
      </c>
      <c r="B435" s="124" t="s">
        <v>396</v>
      </c>
      <c r="C435" s="124" t="s">
        <v>410</v>
      </c>
      <c r="D435" s="124">
        <v>0.49209999999999998</v>
      </c>
      <c r="E435" s="128" t="s">
        <v>398</v>
      </c>
      <c r="F435" s="128">
        <f>중기기초자료!$G$24</f>
        <v>6120</v>
      </c>
      <c r="G435" s="129">
        <f>TRUNC(F435*D435, 1)</f>
        <v>3011.6</v>
      </c>
      <c r="H435" s="124" t="s">
        <v>17</v>
      </c>
    </row>
    <row r="436" spans="1:10" ht="18.399999999999999" customHeight="1">
      <c r="B436" s="124" t="s">
        <v>558</v>
      </c>
      <c r="G436" s="128">
        <f>TRUNC(G435, 0)</f>
        <v>3011</v>
      </c>
    </row>
    <row r="437" spans="1:10" ht="18.399999999999999" customHeight="1">
      <c r="A437" s="124" t="s">
        <v>191</v>
      </c>
    </row>
    <row r="438" spans="1:10" ht="18.399999999999999" customHeight="1">
      <c r="B438" s="124" t="s">
        <v>558</v>
      </c>
    </row>
    <row r="439" spans="1:10" ht="18.399999999999999" customHeight="1">
      <c r="A439" s="124" t="s">
        <v>192</v>
      </c>
    </row>
    <row r="440" spans="1:10" ht="18.399999999999999" customHeight="1">
      <c r="B440" s="124" t="s">
        <v>558</v>
      </c>
    </row>
    <row r="441" spans="1:10" ht="18.399999999999999" customHeight="1" thickBot="1">
      <c r="B441" s="124" t="s">
        <v>559</v>
      </c>
      <c r="G441" s="128">
        <f>TRUNC(G436+G438+G440, 0)</f>
        <v>3011</v>
      </c>
    </row>
    <row r="442" spans="1:10" ht="18.399999999999999" customHeight="1" thickTop="1" thickBot="1">
      <c r="A442" s="125"/>
      <c r="B442" s="125"/>
      <c r="C442" s="125"/>
      <c r="D442" s="125"/>
      <c r="E442" s="125"/>
      <c r="F442" s="125"/>
      <c r="G442" s="125"/>
      <c r="H442" s="125"/>
    </row>
    <row r="443" spans="1:10" ht="18.399999999999999" customHeight="1" thickTop="1" thickBot="1">
      <c r="A443" s="125" t="s">
        <v>550</v>
      </c>
      <c r="B443" s="125" t="s">
        <v>612</v>
      </c>
      <c r="C443" s="125"/>
      <c r="D443" s="125"/>
      <c r="E443" s="125"/>
      <c r="F443" s="125"/>
      <c r="G443" s="125"/>
      <c r="H443" s="125"/>
    </row>
    <row r="444" spans="1:10" ht="18.399999999999999" customHeight="1" thickTop="1">
      <c r="A444" s="125" t="s">
        <v>552</v>
      </c>
      <c r="B444" s="125" t="s">
        <v>610</v>
      </c>
      <c r="C444" s="125"/>
      <c r="D444" s="125"/>
      <c r="E444" s="125"/>
      <c r="F444" s="125"/>
      <c r="G444" s="125"/>
      <c r="H444" s="125"/>
    </row>
    <row r="445" spans="1:10" ht="18.399999999999999" customHeight="1">
      <c r="A445" s="126" t="s">
        <v>554</v>
      </c>
      <c r="B445" s="126"/>
      <c r="C445" s="126" t="s">
        <v>555</v>
      </c>
      <c r="D445" s="126" t="s">
        <v>189</v>
      </c>
      <c r="E445" s="126" t="s">
        <v>190</v>
      </c>
      <c r="F445" s="126" t="s">
        <v>556</v>
      </c>
      <c r="G445" s="126" t="s">
        <v>557</v>
      </c>
      <c r="H445" s="126" t="s">
        <v>195</v>
      </c>
      <c r="I445" s="127" t="str">
        <f>HYPERLINK("#"&amp;J445, "이전으로")</f>
        <v>이전으로</v>
      </c>
      <c r="J445" s="124" t="s">
        <v>1162</v>
      </c>
    </row>
    <row r="446" spans="1:10" ht="18.399999999999999" customHeight="1">
      <c r="A446" s="124" t="s">
        <v>193</v>
      </c>
      <c r="B446" s="124" t="s">
        <v>396</v>
      </c>
      <c r="C446" s="124" t="s">
        <v>411</v>
      </c>
      <c r="D446" s="124">
        <v>0.47460000000000002</v>
      </c>
      <c r="E446" s="128" t="s">
        <v>398</v>
      </c>
      <c r="F446" s="128">
        <f>중기기초자료!$G$25</f>
        <v>6120</v>
      </c>
      <c r="G446" s="129">
        <f>TRUNC(F446*D446, 1)</f>
        <v>2904.5</v>
      </c>
      <c r="H446" s="124" t="s">
        <v>17</v>
      </c>
    </row>
    <row r="447" spans="1:10" ht="18.399999999999999" customHeight="1">
      <c r="B447" s="124" t="s">
        <v>558</v>
      </c>
      <c r="G447" s="128">
        <f>TRUNC(G446, 0)</f>
        <v>2904</v>
      </c>
    </row>
    <row r="448" spans="1:10" ht="18.399999999999999" customHeight="1">
      <c r="A448" s="124" t="s">
        <v>191</v>
      </c>
    </row>
    <row r="449" spans="1:10" ht="18.399999999999999" customHeight="1">
      <c r="B449" s="124" t="s">
        <v>558</v>
      </c>
    </row>
    <row r="450" spans="1:10" ht="18.399999999999999" customHeight="1">
      <c r="A450" s="124" t="s">
        <v>192</v>
      </c>
    </row>
    <row r="451" spans="1:10" ht="18.399999999999999" customHeight="1">
      <c r="B451" s="124" t="s">
        <v>558</v>
      </c>
    </row>
    <row r="452" spans="1:10" ht="18.399999999999999" customHeight="1" thickBot="1">
      <c r="B452" s="124" t="s">
        <v>559</v>
      </c>
      <c r="G452" s="128">
        <f>TRUNC(G447+G449+G451, 0)</f>
        <v>2904</v>
      </c>
    </row>
    <row r="453" spans="1:10" ht="18.399999999999999" customHeight="1" thickTop="1" thickBot="1">
      <c r="A453" s="125"/>
      <c r="B453" s="125"/>
      <c r="C453" s="125"/>
      <c r="D453" s="125"/>
      <c r="E453" s="125"/>
      <c r="F453" s="125"/>
      <c r="G453" s="125"/>
      <c r="H453" s="125"/>
    </row>
    <row r="454" spans="1:10" ht="18.399999999999999" customHeight="1" thickTop="1" thickBot="1">
      <c r="A454" s="125" t="s">
        <v>550</v>
      </c>
      <c r="B454" s="125" t="s">
        <v>613</v>
      </c>
      <c r="C454" s="125"/>
      <c r="D454" s="125"/>
      <c r="E454" s="125"/>
      <c r="F454" s="125"/>
      <c r="G454" s="125"/>
      <c r="H454" s="125"/>
    </row>
    <row r="455" spans="1:10" ht="18.399999999999999" customHeight="1" thickTop="1">
      <c r="A455" s="125" t="s">
        <v>552</v>
      </c>
      <c r="B455" s="125" t="s">
        <v>614</v>
      </c>
      <c r="C455" s="125"/>
      <c r="D455" s="125"/>
      <c r="E455" s="125"/>
      <c r="F455" s="125"/>
      <c r="G455" s="125"/>
      <c r="H455" s="125"/>
    </row>
    <row r="456" spans="1:10" ht="18.399999999999999" customHeight="1">
      <c r="A456" s="126" t="s">
        <v>554</v>
      </c>
      <c r="B456" s="126"/>
      <c r="C456" s="126" t="s">
        <v>555</v>
      </c>
      <c r="D456" s="126" t="s">
        <v>189</v>
      </c>
      <c r="E456" s="126" t="s">
        <v>190</v>
      </c>
      <c r="F456" s="126" t="s">
        <v>556</v>
      </c>
      <c r="G456" s="126" t="s">
        <v>557</v>
      </c>
      <c r="H456" s="126" t="s">
        <v>195</v>
      </c>
      <c r="I456" s="127" t="str">
        <f>HYPERLINK("#"&amp;J456, "이전으로")</f>
        <v>이전으로</v>
      </c>
      <c r="J456" s="124" t="s">
        <v>1163</v>
      </c>
    </row>
    <row r="457" spans="1:10" ht="18.399999999999999" customHeight="1">
      <c r="A457" s="124" t="s">
        <v>193</v>
      </c>
      <c r="B457" s="124" t="s">
        <v>396</v>
      </c>
      <c r="C457" s="124" t="s">
        <v>412</v>
      </c>
      <c r="D457" s="124">
        <v>0.30509999999999998</v>
      </c>
      <c r="E457" s="128" t="s">
        <v>398</v>
      </c>
      <c r="F457" s="128">
        <f>중기기초자료!$G$26</f>
        <v>12600</v>
      </c>
      <c r="G457" s="129">
        <f>TRUNC(F457*D457, 1)</f>
        <v>3844.2</v>
      </c>
      <c r="H457" s="124" t="s">
        <v>17</v>
      </c>
    </row>
    <row r="458" spans="1:10" ht="18.399999999999999" customHeight="1">
      <c r="B458" s="124" t="s">
        <v>558</v>
      </c>
      <c r="G458" s="128">
        <f>TRUNC(G457, 0)</f>
        <v>3844</v>
      </c>
    </row>
    <row r="459" spans="1:10" ht="18.399999999999999" customHeight="1">
      <c r="A459" s="124" t="s">
        <v>191</v>
      </c>
    </row>
    <row r="460" spans="1:10" ht="18.399999999999999" customHeight="1">
      <c r="B460" s="124" t="s">
        <v>558</v>
      </c>
    </row>
    <row r="461" spans="1:10" ht="18.399999999999999" customHeight="1">
      <c r="A461" s="124" t="s">
        <v>192</v>
      </c>
    </row>
    <row r="462" spans="1:10" ht="18.399999999999999" customHeight="1">
      <c r="B462" s="124" t="s">
        <v>558</v>
      </c>
    </row>
    <row r="463" spans="1:10" ht="18.399999999999999" customHeight="1" thickBot="1">
      <c r="B463" s="124" t="s">
        <v>559</v>
      </c>
      <c r="G463" s="128">
        <f>TRUNC(G458+G460+G462, 0)</f>
        <v>3844</v>
      </c>
    </row>
    <row r="464" spans="1:10" ht="18.399999999999999" customHeight="1" thickTop="1" thickBot="1">
      <c r="A464" s="125"/>
      <c r="B464" s="125"/>
      <c r="C464" s="125"/>
      <c r="D464" s="125"/>
      <c r="E464" s="125"/>
      <c r="F464" s="125"/>
      <c r="G464" s="125"/>
      <c r="H464" s="125"/>
    </row>
    <row r="465" spans="1:10" ht="18.399999999999999" customHeight="1" thickTop="1" thickBot="1">
      <c r="A465" s="125" t="s">
        <v>550</v>
      </c>
      <c r="B465" s="125" t="s">
        <v>615</v>
      </c>
      <c r="C465" s="125"/>
      <c r="D465" s="125"/>
      <c r="E465" s="125"/>
      <c r="F465" s="125"/>
      <c r="G465" s="125"/>
      <c r="H465" s="125"/>
    </row>
    <row r="466" spans="1:10" ht="18.399999999999999" customHeight="1" thickTop="1">
      <c r="A466" s="125" t="s">
        <v>552</v>
      </c>
      <c r="B466" s="125" t="s">
        <v>614</v>
      </c>
      <c r="C466" s="125"/>
      <c r="D466" s="125"/>
      <c r="E466" s="125"/>
      <c r="F466" s="125"/>
      <c r="G466" s="125"/>
      <c r="H466" s="125"/>
    </row>
    <row r="467" spans="1:10" ht="18.399999999999999" customHeight="1">
      <c r="A467" s="126" t="s">
        <v>554</v>
      </c>
      <c r="B467" s="126"/>
      <c r="C467" s="126" t="s">
        <v>555</v>
      </c>
      <c r="D467" s="126" t="s">
        <v>189</v>
      </c>
      <c r="E467" s="126" t="s">
        <v>190</v>
      </c>
      <c r="F467" s="126" t="s">
        <v>556</v>
      </c>
      <c r="G467" s="126" t="s">
        <v>557</v>
      </c>
      <c r="H467" s="126" t="s">
        <v>195</v>
      </c>
      <c r="I467" s="127" t="str">
        <f>HYPERLINK("#"&amp;J467, "이전으로")</f>
        <v>이전으로</v>
      </c>
      <c r="J467" s="124" t="s">
        <v>1164</v>
      </c>
    </row>
    <row r="468" spans="1:10" ht="18.399999999999999" customHeight="1">
      <c r="A468" s="124" t="s">
        <v>193</v>
      </c>
      <c r="B468" s="124" t="s">
        <v>396</v>
      </c>
      <c r="C468" s="124" t="s">
        <v>413</v>
      </c>
      <c r="D468" s="124">
        <v>0.28960000000000002</v>
      </c>
      <c r="E468" s="128" t="s">
        <v>398</v>
      </c>
      <c r="F468" s="128">
        <f>중기기초자료!$G$27</f>
        <v>12600</v>
      </c>
      <c r="G468" s="129">
        <f>TRUNC(F468*D468, 1)</f>
        <v>3648.9</v>
      </c>
      <c r="H468" s="124" t="s">
        <v>17</v>
      </c>
    </row>
    <row r="469" spans="1:10" ht="18.399999999999999" customHeight="1">
      <c r="B469" s="124" t="s">
        <v>558</v>
      </c>
      <c r="G469" s="128">
        <f>TRUNC(G468, 0)</f>
        <v>3648</v>
      </c>
    </row>
    <row r="470" spans="1:10" ht="18.399999999999999" customHeight="1">
      <c r="A470" s="124" t="s">
        <v>191</v>
      </c>
    </row>
    <row r="471" spans="1:10" ht="18.399999999999999" customHeight="1">
      <c r="B471" s="124" t="s">
        <v>558</v>
      </c>
    </row>
    <row r="472" spans="1:10" ht="18.399999999999999" customHeight="1">
      <c r="A472" s="124" t="s">
        <v>192</v>
      </c>
    </row>
    <row r="473" spans="1:10" ht="18.399999999999999" customHeight="1">
      <c r="B473" s="124" t="s">
        <v>558</v>
      </c>
    </row>
    <row r="474" spans="1:10" ht="18.399999999999999" customHeight="1" thickBot="1">
      <c r="B474" s="124" t="s">
        <v>559</v>
      </c>
      <c r="G474" s="128">
        <f>TRUNC(G469+G471+G473, 0)</f>
        <v>3648</v>
      </c>
    </row>
    <row r="475" spans="1:10" ht="18.399999999999999" customHeight="1" thickTop="1" thickBot="1">
      <c r="A475" s="125"/>
      <c r="B475" s="125"/>
      <c r="C475" s="125"/>
      <c r="D475" s="125"/>
      <c r="E475" s="125"/>
      <c r="F475" s="125"/>
      <c r="G475" s="125"/>
      <c r="H475" s="125"/>
    </row>
    <row r="476" spans="1:10" ht="18.399999999999999" customHeight="1" thickTop="1" thickBot="1">
      <c r="A476" s="125" t="s">
        <v>550</v>
      </c>
      <c r="B476" s="125" t="s">
        <v>982</v>
      </c>
      <c r="C476" s="125"/>
      <c r="D476" s="125"/>
      <c r="E476" s="125"/>
      <c r="F476" s="125"/>
      <c r="G476" s="125"/>
      <c r="H476" s="125"/>
    </row>
    <row r="477" spans="1:10" ht="18.399999999999999" customHeight="1" thickTop="1">
      <c r="A477" s="125" t="s">
        <v>552</v>
      </c>
      <c r="B477" s="125" t="s">
        <v>614</v>
      </c>
      <c r="C477" s="125"/>
      <c r="D477" s="125"/>
      <c r="E477" s="125"/>
      <c r="F477" s="125"/>
      <c r="G477" s="125"/>
      <c r="H477" s="125"/>
    </row>
    <row r="478" spans="1:10" ht="18.399999999999999" customHeight="1">
      <c r="A478" s="126" t="s">
        <v>554</v>
      </c>
      <c r="B478" s="126"/>
      <c r="C478" s="126" t="s">
        <v>555</v>
      </c>
      <c r="D478" s="126" t="s">
        <v>189</v>
      </c>
      <c r="E478" s="126" t="s">
        <v>190</v>
      </c>
      <c r="F478" s="126" t="s">
        <v>556</v>
      </c>
      <c r="G478" s="126" t="s">
        <v>557</v>
      </c>
      <c r="H478" s="126" t="s">
        <v>195</v>
      </c>
      <c r="I478" s="127" t="str">
        <f>HYPERLINK("#"&amp;J478, "이전으로")</f>
        <v>이전으로</v>
      </c>
      <c r="J478" s="124" t="s">
        <v>1165</v>
      </c>
    </row>
    <row r="479" spans="1:10" ht="18.399999999999999" customHeight="1">
      <c r="A479" s="124" t="s">
        <v>193</v>
      </c>
      <c r="B479" s="124" t="s">
        <v>396</v>
      </c>
      <c r="C479" s="124" t="s">
        <v>979</v>
      </c>
      <c r="D479" s="124">
        <v>0.28670000000000001</v>
      </c>
      <c r="E479" s="128" t="s">
        <v>398</v>
      </c>
      <c r="F479" s="128">
        <f>중기기초자료!$G$28</f>
        <v>12600</v>
      </c>
      <c r="G479" s="129">
        <f>TRUNC(F479*D479, 1)</f>
        <v>3612.4</v>
      </c>
      <c r="H479" s="124" t="s">
        <v>17</v>
      </c>
    </row>
    <row r="480" spans="1:10" ht="18.399999999999999" customHeight="1">
      <c r="B480" s="124" t="s">
        <v>558</v>
      </c>
      <c r="G480" s="128">
        <f>TRUNC(G479, 0)</f>
        <v>3612</v>
      </c>
    </row>
    <row r="481" spans="1:10" ht="18.399999999999999" customHeight="1">
      <c r="A481" s="124" t="s">
        <v>191</v>
      </c>
    </row>
    <row r="482" spans="1:10" ht="18.399999999999999" customHeight="1">
      <c r="B482" s="124" t="s">
        <v>558</v>
      </c>
    </row>
    <row r="483" spans="1:10" ht="18.399999999999999" customHeight="1">
      <c r="A483" s="124" t="s">
        <v>192</v>
      </c>
    </row>
    <row r="484" spans="1:10" ht="18.399999999999999" customHeight="1">
      <c r="B484" s="124" t="s">
        <v>558</v>
      </c>
    </row>
    <row r="485" spans="1:10" ht="18.399999999999999" customHeight="1" thickBot="1">
      <c r="B485" s="124" t="s">
        <v>559</v>
      </c>
      <c r="G485" s="128">
        <f>TRUNC(G480+G482+G484, 0)</f>
        <v>3612</v>
      </c>
    </row>
    <row r="486" spans="1:10" ht="18.399999999999999" customHeight="1" thickTop="1" thickBot="1">
      <c r="A486" s="125"/>
      <c r="B486" s="125"/>
      <c r="C486" s="125"/>
      <c r="D486" s="125"/>
      <c r="E486" s="125"/>
      <c r="F486" s="125"/>
      <c r="G486" s="125"/>
      <c r="H486" s="125"/>
    </row>
    <row r="487" spans="1:10" ht="18.399999999999999" customHeight="1" thickTop="1" thickBot="1">
      <c r="A487" s="125" t="s">
        <v>550</v>
      </c>
      <c r="B487" s="125" t="s">
        <v>616</v>
      </c>
      <c r="C487" s="125"/>
      <c r="D487" s="125"/>
      <c r="E487" s="125"/>
      <c r="F487" s="125"/>
      <c r="G487" s="125"/>
      <c r="H487" s="125"/>
    </row>
    <row r="488" spans="1:10" ht="18.399999999999999" customHeight="1" thickTop="1">
      <c r="A488" s="125" t="s">
        <v>552</v>
      </c>
      <c r="B488" s="125" t="s">
        <v>614</v>
      </c>
      <c r="C488" s="125"/>
      <c r="D488" s="125"/>
      <c r="E488" s="125"/>
      <c r="F488" s="125"/>
      <c r="G488" s="125"/>
      <c r="H488" s="125"/>
    </row>
    <row r="489" spans="1:10" ht="18.399999999999999" customHeight="1">
      <c r="A489" s="126" t="s">
        <v>554</v>
      </c>
      <c r="B489" s="126"/>
      <c r="C489" s="126" t="s">
        <v>555</v>
      </c>
      <c r="D489" s="126" t="s">
        <v>189</v>
      </c>
      <c r="E489" s="126" t="s">
        <v>190</v>
      </c>
      <c r="F489" s="126" t="s">
        <v>556</v>
      </c>
      <c r="G489" s="126" t="s">
        <v>557</v>
      </c>
      <c r="H489" s="126" t="s">
        <v>195</v>
      </c>
      <c r="I489" s="127" t="str">
        <f>HYPERLINK("#"&amp;J489, "이전으로")</f>
        <v>이전으로</v>
      </c>
      <c r="J489" s="124" t="s">
        <v>1166</v>
      </c>
    </row>
    <row r="490" spans="1:10" ht="18.399999999999999" customHeight="1">
      <c r="A490" s="124" t="s">
        <v>193</v>
      </c>
      <c r="B490" s="124" t="s">
        <v>396</v>
      </c>
      <c r="C490" s="124" t="s">
        <v>414</v>
      </c>
      <c r="D490" s="124">
        <v>0.28670000000000001</v>
      </c>
      <c r="E490" s="128" t="s">
        <v>398</v>
      </c>
      <c r="F490" s="128">
        <f>중기기초자료!$G$29</f>
        <v>12600</v>
      </c>
      <c r="G490" s="129">
        <f>TRUNC(F490*D490, 1)</f>
        <v>3612.4</v>
      </c>
      <c r="H490" s="124" t="s">
        <v>17</v>
      </c>
    </row>
    <row r="491" spans="1:10" ht="18.399999999999999" customHeight="1">
      <c r="B491" s="124" t="s">
        <v>558</v>
      </c>
      <c r="G491" s="128">
        <f>TRUNC(G490, 0)</f>
        <v>3612</v>
      </c>
    </row>
    <row r="492" spans="1:10" ht="18.399999999999999" customHeight="1">
      <c r="A492" s="124" t="s">
        <v>191</v>
      </c>
    </row>
    <row r="493" spans="1:10" ht="18.399999999999999" customHeight="1">
      <c r="B493" s="124" t="s">
        <v>558</v>
      </c>
    </row>
    <row r="494" spans="1:10" ht="18.399999999999999" customHeight="1">
      <c r="A494" s="124" t="s">
        <v>192</v>
      </c>
    </row>
    <row r="495" spans="1:10" ht="18.399999999999999" customHeight="1">
      <c r="B495" s="124" t="s">
        <v>558</v>
      </c>
    </row>
    <row r="496" spans="1:10" ht="18.399999999999999" customHeight="1" thickBot="1">
      <c r="B496" s="124" t="s">
        <v>559</v>
      </c>
      <c r="G496" s="128">
        <f>TRUNC(G491+G493+G495, 0)</f>
        <v>3612</v>
      </c>
    </row>
    <row r="497" spans="1:10" ht="18.399999999999999" customHeight="1" thickTop="1" thickBot="1">
      <c r="A497" s="125"/>
      <c r="B497" s="125"/>
      <c r="C497" s="125"/>
      <c r="D497" s="125"/>
      <c r="E497" s="125"/>
      <c r="F497" s="125"/>
      <c r="G497" s="125"/>
      <c r="H497" s="125"/>
    </row>
    <row r="498" spans="1:10" ht="18.399999999999999" customHeight="1" thickTop="1" thickBot="1">
      <c r="A498" s="125" t="s">
        <v>550</v>
      </c>
      <c r="B498" s="125" t="s">
        <v>617</v>
      </c>
      <c r="C498" s="125"/>
      <c r="D498" s="125"/>
      <c r="E498" s="125"/>
      <c r="F498" s="125"/>
      <c r="G498" s="125"/>
      <c r="H498" s="125"/>
    </row>
    <row r="499" spans="1:10" ht="18.399999999999999" customHeight="1" thickTop="1">
      <c r="A499" s="125" t="s">
        <v>552</v>
      </c>
      <c r="B499" s="125" t="s">
        <v>614</v>
      </c>
      <c r="C499" s="125"/>
      <c r="D499" s="125"/>
      <c r="E499" s="125"/>
      <c r="F499" s="125"/>
      <c r="G499" s="125"/>
      <c r="H499" s="125"/>
    </row>
    <row r="500" spans="1:10" ht="18.399999999999999" customHeight="1">
      <c r="A500" s="126" t="s">
        <v>554</v>
      </c>
      <c r="B500" s="126"/>
      <c r="C500" s="126" t="s">
        <v>555</v>
      </c>
      <c r="D500" s="126" t="s">
        <v>189</v>
      </c>
      <c r="E500" s="126" t="s">
        <v>190</v>
      </c>
      <c r="F500" s="126" t="s">
        <v>556</v>
      </c>
      <c r="G500" s="126" t="s">
        <v>557</v>
      </c>
      <c r="H500" s="126" t="s">
        <v>195</v>
      </c>
      <c r="I500" s="127" t="str">
        <f>HYPERLINK("#"&amp;J500, "이전으로")</f>
        <v>이전으로</v>
      </c>
      <c r="J500" s="124" t="s">
        <v>1167</v>
      </c>
    </row>
    <row r="501" spans="1:10" ht="18.399999999999999" customHeight="1">
      <c r="A501" s="124" t="s">
        <v>193</v>
      </c>
      <c r="B501" s="124" t="s">
        <v>396</v>
      </c>
      <c r="C501" s="124" t="s">
        <v>415</v>
      </c>
      <c r="D501" s="124">
        <v>0.2772</v>
      </c>
      <c r="E501" s="128" t="s">
        <v>398</v>
      </c>
      <c r="F501" s="128">
        <f>중기기초자료!$G$30</f>
        <v>12600</v>
      </c>
      <c r="G501" s="129">
        <f>TRUNC(F501*D501, 1)</f>
        <v>3492.7</v>
      </c>
      <c r="H501" s="124" t="s">
        <v>17</v>
      </c>
    </row>
    <row r="502" spans="1:10" ht="18.399999999999999" customHeight="1">
      <c r="B502" s="124" t="s">
        <v>558</v>
      </c>
      <c r="G502" s="128">
        <f>TRUNC(G501, 0)</f>
        <v>3492</v>
      </c>
    </row>
    <row r="503" spans="1:10" ht="18.399999999999999" customHeight="1">
      <c r="A503" s="124" t="s">
        <v>191</v>
      </c>
    </row>
    <row r="504" spans="1:10" ht="18.399999999999999" customHeight="1">
      <c r="B504" s="124" t="s">
        <v>558</v>
      </c>
    </row>
    <row r="505" spans="1:10" ht="18.399999999999999" customHeight="1">
      <c r="A505" s="124" t="s">
        <v>192</v>
      </c>
    </row>
    <row r="506" spans="1:10" ht="18.399999999999999" customHeight="1">
      <c r="B506" s="124" t="s">
        <v>558</v>
      </c>
    </row>
    <row r="507" spans="1:10" ht="18.399999999999999" customHeight="1" thickBot="1">
      <c r="B507" s="124" t="s">
        <v>559</v>
      </c>
      <c r="G507" s="128">
        <f>TRUNC(G502+G504+G506, 0)</f>
        <v>3492</v>
      </c>
    </row>
    <row r="508" spans="1:10" ht="18.399999999999999" customHeight="1" thickTop="1" thickBot="1">
      <c r="A508" s="125"/>
      <c r="B508" s="125"/>
      <c r="C508" s="125"/>
      <c r="D508" s="125"/>
      <c r="E508" s="125"/>
      <c r="F508" s="125"/>
      <c r="G508" s="125"/>
      <c r="H508" s="125"/>
    </row>
    <row r="509" spans="1:10" ht="18.399999999999999" customHeight="1" thickTop="1" thickBot="1">
      <c r="A509" s="125" t="s">
        <v>550</v>
      </c>
      <c r="B509" s="125" t="s">
        <v>618</v>
      </c>
      <c r="C509" s="125"/>
      <c r="D509" s="125"/>
      <c r="E509" s="125"/>
      <c r="F509" s="125"/>
      <c r="G509" s="125"/>
      <c r="H509" s="125"/>
    </row>
    <row r="510" spans="1:10" ht="18.399999999999999" customHeight="1" thickTop="1">
      <c r="A510" s="125" t="s">
        <v>552</v>
      </c>
      <c r="B510" s="125" t="s">
        <v>619</v>
      </c>
      <c r="C510" s="125"/>
      <c r="D510" s="125"/>
      <c r="E510" s="125"/>
      <c r="F510" s="125"/>
      <c r="G510" s="125"/>
      <c r="H510" s="125"/>
    </row>
    <row r="511" spans="1:10" ht="18.399999999999999" customHeight="1">
      <c r="A511" s="126" t="s">
        <v>554</v>
      </c>
      <c r="B511" s="126"/>
      <c r="C511" s="126" t="s">
        <v>555</v>
      </c>
      <c r="D511" s="126" t="s">
        <v>189</v>
      </c>
      <c r="E511" s="126" t="s">
        <v>190</v>
      </c>
      <c r="F511" s="126" t="s">
        <v>556</v>
      </c>
      <c r="G511" s="126" t="s">
        <v>557</v>
      </c>
      <c r="H511" s="126" t="s">
        <v>195</v>
      </c>
      <c r="I511" s="127" t="str">
        <f>HYPERLINK("#"&amp;J511, "이전으로")</f>
        <v>이전으로</v>
      </c>
      <c r="J511" s="124" t="s">
        <v>1168</v>
      </c>
    </row>
    <row r="512" spans="1:10" ht="18.399999999999999" customHeight="1">
      <c r="A512" s="124" t="s">
        <v>193</v>
      </c>
      <c r="B512" s="124" t="s">
        <v>396</v>
      </c>
      <c r="C512" s="124" t="s">
        <v>416</v>
      </c>
      <c r="D512" s="124">
        <v>1.1307</v>
      </c>
      <c r="E512" s="128" t="s">
        <v>398</v>
      </c>
      <c r="F512" s="128">
        <f>중기기초자료!$G$31</f>
        <v>14400</v>
      </c>
      <c r="G512" s="129">
        <f>TRUNC(F512*D512, 1)</f>
        <v>16282</v>
      </c>
      <c r="H512" s="124" t="s">
        <v>17</v>
      </c>
    </row>
    <row r="513" spans="1:10" ht="18.399999999999999" customHeight="1">
      <c r="B513" s="124" t="s">
        <v>558</v>
      </c>
      <c r="G513" s="128">
        <f>TRUNC(G512, 0)</f>
        <v>16282</v>
      </c>
    </row>
    <row r="514" spans="1:10" ht="18.399999999999999" customHeight="1">
      <c r="A514" s="124" t="s">
        <v>191</v>
      </c>
    </row>
    <row r="515" spans="1:10" ht="18.399999999999999" customHeight="1">
      <c r="B515" s="124" t="s">
        <v>558</v>
      </c>
    </row>
    <row r="516" spans="1:10" ht="18.399999999999999" customHeight="1">
      <c r="A516" s="124" t="s">
        <v>192</v>
      </c>
    </row>
    <row r="517" spans="1:10" ht="18.399999999999999" customHeight="1">
      <c r="B517" s="124" t="s">
        <v>558</v>
      </c>
    </row>
    <row r="518" spans="1:10" ht="18.399999999999999" customHeight="1" thickBot="1">
      <c r="B518" s="124" t="s">
        <v>559</v>
      </c>
      <c r="G518" s="128">
        <f>TRUNC(G513+G515+G517, 0)</f>
        <v>16282</v>
      </c>
    </row>
    <row r="519" spans="1:10" ht="18.399999999999999" customHeight="1" thickTop="1" thickBot="1">
      <c r="A519" s="125"/>
      <c r="B519" s="125"/>
      <c r="C519" s="125"/>
      <c r="D519" s="125"/>
      <c r="E519" s="125"/>
      <c r="F519" s="125"/>
      <c r="G519" s="125"/>
      <c r="H519" s="125"/>
    </row>
    <row r="520" spans="1:10" ht="18.399999999999999" customHeight="1" thickTop="1" thickBot="1">
      <c r="A520" s="125" t="s">
        <v>550</v>
      </c>
      <c r="B520" s="125" t="s">
        <v>620</v>
      </c>
      <c r="C520" s="125"/>
      <c r="D520" s="125"/>
      <c r="E520" s="125"/>
      <c r="F520" s="125"/>
      <c r="G520" s="125"/>
      <c r="H520" s="125"/>
    </row>
    <row r="521" spans="1:10" ht="18.399999999999999" customHeight="1" thickTop="1">
      <c r="A521" s="125" t="s">
        <v>552</v>
      </c>
      <c r="B521" s="125" t="s">
        <v>619</v>
      </c>
      <c r="C521" s="125"/>
      <c r="D521" s="125"/>
      <c r="E521" s="125"/>
      <c r="F521" s="125"/>
      <c r="G521" s="125"/>
      <c r="H521" s="125"/>
    </row>
    <row r="522" spans="1:10" ht="18.399999999999999" customHeight="1">
      <c r="A522" s="126" t="s">
        <v>554</v>
      </c>
      <c r="B522" s="126"/>
      <c r="C522" s="126" t="s">
        <v>555</v>
      </c>
      <c r="D522" s="126" t="s">
        <v>189</v>
      </c>
      <c r="E522" s="126" t="s">
        <v>190</v>
      </c>
      <c r="F522" s="126" t="s">
        <v>556</v>
      </c>
      <c r="G522" s="126" t="s">
        <v>557</v>
      </c>
      <c r="H522" s="126" t="s">
        <v>195</v>
      </c>
      <c r="I522" s="127" t="str">
        <f>HYPERLINK("#"&amp;J522, "이전으로")</f>
        <v>이전으로</v>
      </c>
      <c r="J522" s="124" t="s">
        <v>1169</v>
      </c>
    </row>
    <row r="523" spans="1:10" ht="18.399999999999999" customHeight="1">
      <c r="A523" s="124" t="s">
        <v>193</v>
      </c>
      <c r="B523" s="124" t="s">
        <v>396</v>
      </c>
      <c r="C523" s="124" t="s">
        <v>417</v>
      </c>
      <c r="D523" s="124">
        <v>1.1043000000000001</v>
      </c>
      <c r="E523" s="128" t="s">
        <v>398</v>
      </c>
      <c r="F523" s="128">
        <f>중기기초자료!$G$32</f>
        <v>14400</v>
      </c>
      <c r="G523" s="129">
        <f>TRUNC(F523*D523, 1)</f>
        <v>15901.9</v>
      </c>
      <c r="H523" s="124" t="s">
        <v>17</v>
      </c>
    </row>
    <row r="524" spans="1:10" ht="18.399999999999999" customHeight="1">
      <c r="B524" s="124" t="s">
        <v>558</v>
      </c>
      <c r="G524" s="128">
        <f>TRUNC(G523, 0)</f>
        <v>15901</v>
      </c>
    </row>
    <row r="525" spans="1:10" ht="18.399999999999999" customHeight="1">
      <c r="A525" s="124" t="s">
        <v>191</v>
      </c>
    </row>
    <row r="526" spans="1:10" ht="18.399999999999999" customHeight="1">
      <c r="B526" s="124" t="s">
        <v>558</v>
      </c>
    </row>
    <row r="527" spans="1:10" ht="18.399999999999999" customHeight="1">
      <c r="A527" s="124" t="s">
        <v>192</v>
      </c>
    </row>
    <row r="528" spans="1:10" ht="18.399999999999999" customHeight="1">
      <c r="B528" s="124" t="s">
        <v>558</v>
      </c>
    </row>
    <row r="529" spans="1:10" ht="18.399999999999999" customHeight="1" thickBot="1">
      <c r="B529" s="124" t="s">
        <v>559</v>
      </c>
      <c r="G529" s="128">
        <f>TRUNC(G524+G526+G528, 0)</f>
        <v>15901</v>
      </c>
    </row>
    <row r="530" spans="1:10" ht="18.399999999999999" customHeight="1" thickTop="1" thickBot="1">
      <c r="A530" s="125"/>
      <c r="B530" s="125"/>
      <c r="C530" s="125"/>
      <c r="D530" s="125"/>
      <c r="E530" s="125"/>
      <c r="F530" s="125"/>
      <c r="G530" s="125"/>
      <c r="H530" s="125"/>
    </row>
    <row r="531" spans="1:10" ht="18.399999999999999" customHeight="1" thickTop="1" thickBot="1">
      <c r="A531" s="125" t="s">
        <v>550</v>
      </c>
      <c r="B531" s="125" t="s">
        <v>621</v>
      </c>
      <c r="C531" s="125"/>
      <c r="D531" s="125"/>
      <c r="E531" s="125"/>
      <c r="F531" s="125"/>
      <c r="G531" s="125"/>
      <c r="H531" s="125"/>
    </row>
    <row r="532" spans="1:10" ht="18.399999999999999" customHeight="1" thickTop="1">
      <c r="A532" s="125" t="s">
        <v>552</v>
      </c>
      <c r="B532" s="125" t="s">
        <v>619</v>
      </c>
      <c r="C532" s="125"/>
      <c r="D532" s="125"/>
      <c r="E532" s="125"/>
      <c r="F532" s="125"/>
      <c r="G532" s="125"/>
      <c r="H532" s="125"/>
    </row>
    <row r="533" spans="1:10" ht="18.399999999999999" customHeight="1">
      <c r="A533" s="126" t="s">
        <v>554</v>
      </c>
      <c r="B533" s="126"/>
      <c r="C533" s="126" t="s">
        <v>555</v>
      </c>
      <c r="D533" s="126" t="s">
        <v>189</v>
      </c>
      <c r="E533" s="126" t="s">
        <v>190</v>
      </c>
      <c r="F533" s="126" t="s">
        <v>556</v>
      </c>
      <c r="G533" s="126" t="s">
        <v>557</v>
      </c>
      <c r="H533" s="126" t="s">
        <v>195</v>
      </c>
      <c r="I533" s="127" t="str">
        <f>HYPERLINK("#"&amp;J533, "이전으로")</f>
        <v>이전으로</v>
      </c>
      <c r="J533" s="124" t="s">
        <v>1170</v>
      </c>
    </row>
    <row r="534" spans="1:10" ht="18.399999999999999" customHeight="1">
      <c r="A534" s="124" t="s">
        <v>193</v>
      </c>
      <c r="B534" s="124" t="s">
        <v>396</v>
      </c>
      <c r="C534" s="124" t="s">
        <v>418</v>
      </c>
      <c r="D534" s="124">
        <v>1.0589</v>
      </c>
      <c r="E534" s="128" t="s">
        <v>398</v>
      </c>
      <c r="F534" s="128">
        <f>중기기초자료!$G$33</f>
        <v>14400</v>
      </c>
      <c r="G534" s="129">
        <f>TRUNC(F534*D534, 1)</f>
        <v>15248.1</v>
      </c>
      <c r="H534" s="124" t="s">
        <v>17</v>
      </c>
    </row>
    <row r="535" spans="1:10" ht="18.399999999999999" customHeight="1">
      <c r="B535" s="124" t="s">
        <v>558</v>
      </c>
      <c r="G535" s="128">
        <f>TRUNC(G534, 0)</f>
        <v>15248</v>
      </c>
    </row>
    <row r="536" spans="1:10" ht="18.399999999999999" customHeight="1">
      <c r="A536" s="124" t="s">
        <v>191</v>
      </c>
    </row>
    <row r="537" spans="1:10" ht="18.399999999999999" customHeight="1">
      <c r="B537" s="124" t="s">
        <v>558</v>
      </c>
    </row>
    <row r="538" spans="1:10" ht="18.399999999999999" customHeight="1">
      <c r="A538" s="124" t="s">
        <v>192</v>
      </c>
    </row>
    <row r="539" spans="1:10" ht="18.399999999999999" customHeight="1">
      <c r="B539" s="124" t="s">
        <v>558</v>
      </c>
    </row>
    <row r="540" spans="1:10" ht="18.399999999999999" customHeight="1" thickBot="1">
      <c r="B540" s="124" t="s">
        <v>559</v>
      </c>
      <c r="G540" s="128">
        <f>TRUNC(G535+G537+G539, 0)</f>
        <v>15248</v>
      </c>
    </row>
    <row r="541" spans="1:10" ht="18.399999999999999" customHeight="1" thickTop="1" thickBot="1">
      <c r="A541" s="125"/>
      <c r="B541" s="125"/>
      <c r="C541" s="125"/>
      <c r="D541" s="125"/>
      <c r="E541" s="125"/>
      <c r="F541" s="125"/>
      <c r="G541" s="125"/>
      <c r="H541" s="125"/>
    </row>
    <row r="542" spans="1:10" ht="18.399999999999999" customHeight="1" thickTop="1" thickBot="1">
      <c r="A542" s="125" t="s">
        <v>550</v>
      </c>
      <c r="B542" s="125" t="s">
        <v>622</v>
      </c>
      <c r="C542" s="125"/>
      <c r="D542" s="125"/>
      <c r="E542" s="125"/>
      <c r="F542" s="125"/>
      <c r="G542" s="125"/>
      <c r="H542" s="125"/>
    </row>
    <row r="543" spans="1:10" ht="18.399999999999999" customHeight="1" thickTop="1">
      <c r="A543" s="125" t="s">
        <v>552</v>
      </c>
      <c r="B543" s="125" t="s">
        <v>623</v>
      </c>
      <c r="C543" s="125"/>
      <c r="D543" s="125"/>
      <c r="E543" s="125"/>
      <c r="F543" s="125"/>
      <c r="G543" s="125"/>
      <c r="H543" s="125"/>
    </row>
    <row r="544" spans="1:10" ht="18.399999999999999" customHeight="1">
      <c r="A544" s="126" t="s">
        <v>554</v>
      </c>
      <c r="B544" s="126"/>
      <c r="C544" s="126" t="s">
        <v>555</v>
      </c>
      <c r="D544" s="126" t="s">
        <v>189</v>
      </c>
      <c r="E544" s="126" t="s">
        <v>190</v>
      </c>
      <c r="F544" s="126" t="s">
        <v>556</v>
      </c>
      <c r="G544" s="126" t="s">
        <v>557</v>
      </c>
      <c r="H544" s="126" t="s">
        <v>195</v>
      </c>
      <c r="I544" s="127" t="str">
        <f>HYPERLINK("#"&amp;J544, "이전으로")</f>
        <v>이전으로</v>
      </c>
      <c r="J544" s="124" t="s">
        <v>1171</v>
      </c>
    </row>
    <row r="545" spans="1:10" ht="18.399999999999999" customHeight="1">
      <c r="A545" s="124" t="s">
        <v>193</v>
      </c>
      <c r="B545" s="124" t="s">
        <v>396</v>
      </c>
      <c r="C545" s="124" t="s">
        <v>419</v>
      </c>
      <c r="D545" s="124">
        <v>1.2198</v>
      </c>
      <c r="E545" s="128" t="s">
        <v>398</v>
      </c>
      <c r="F545" s="128">
        <f>중기기초자료!$G$34</f>
        <v>24504</v>
      </c>
      <c r="G545" s="129">
        <f>TRUNC(F545*D545, 1)</f>
        <v>29889.9</v>
      </c>
      <c r="H545" s="124" t="s">
        <v>17</v>
      </c>
    </row>
    <row r="546" spans="1:10" ht="18.399999999999999" customHeight="1">
      <c r="B546" s="124" t="s">
        <v>558</v>
      </c>
      <c r="G546" s="128">
        <f>TRUNC(G545, 0)</f>
        <v>29889</v>
      </c>
    </row>
    <row r="547" spans="1:10" ht="18.399999999999999" customHeight="1">
      <c r="A547" s="124" t="s">
        <v>191</v>
      </c>
    </row>
    <row r="548" spans="1:10" ht="18.399999999999999" customHeight="1">
      <c r="B548" s="124" t="s">
        <v>558</v>
      </c>
    </row>
    <row r="549" spans="1:10" ht="18.399999999999999" customHeight="1">
      <c r="A549" s="124" t="s">
        <v>192</v>
      </c>
    </row>
    <row r="550" spans="1:10" ht="18.399999999999999" customHeight="1">
      <c r="B550" s="124" t="s">
        <v>558</v>
      </c>
    </row>
    <row r="551" spans="1:10" ht="18.399999999999999" customHeight="1" thickBot="1">
      <c r="B551" s="124" t="s">
        <v>559</v>
      </c>
      <c r="G551" s="128">
        <f>TRUNC(G546+G548+G550, 0)</f>
        <v>29889</v>
      </c>
    </row>
    <row r="552" spans="1:10" ht="18.399999999999999" customHeight="1" thickTop="1" thickBot="1">
      <c r="A552" s="125"/>
      <c r="B552" s="125"/>
      <c r="C552" s="125"/>
      <c r="D552" s="125"/>
      <c r="E552" s="125"/>
      <c r="F552" s="125"/>
      <c r="G552" s="125"/>
      <c r="H552" s="125"/>
    </row>
    <row r="553" spans="1:10" ht="18.399999999999999" customHeight="1" thickTop="1" thickBot="1">
      <c r="A553" s="125" t="s">
        <v>550</v>
      </c>
      <c r="B553" s="125" t="s">
        <v>624</v>
      </c>
      <c r="C553" s="125"/>
      <c r="D553" s="125"/>
      <c r="E553" s="125"/>
      <c r="F553" s="125"/>
      <c r="G553" s="125"/>
      <c r="H553" s="125"/>
    </row>
    <row r="554" spans="1:10" ht="18.399999999999999" customHeight="1" thickTop="1">
      <c r="A554" s="125" t="s">
        <v>552</v>
      </c>
      <c r="B554" s="125" t="s">
        <v>623</v>
      </c>
      <c r="C554" s="125"/>
      <c r="D554" s="125"/>
      <c r="E554" s="125"/>
      <c r="F554" s="125"/>
      <c r="G554" s="125"/>
      <c r="H554" s="125"/>
    </row>
    <row r="555" spans="1:10" ht="18.399999999999999" customHeight="1">
      <c r="A555" s="126" t="s">
        <v>554</v>
      </c>
      <c r="B555" s="126"/>
      <c r="C555" s="126" t="s">
        <v>555</v>
      </c>
      <c r="D555" s="126" t="s">
        <v>189</v>
      </c>
      <c r="E555" s="126" t="s">
        <v>190</v>
      </c>
      <c r="F555" s="126" t="s">
        <v>556</v>
      </c>
      <c r="G555" s="126" t="s">
        <v>557</v>
      </c>
      <c r="H555" s="126" t="s">
        <v>195</v>
      </c>
      <c r="I555" s="127" t="str">
        <f>HYPERLINK("#"&amp;J555, "이전으로")</f>
        <v>이전으로</v>
      </c>
      <c r="J555" s="124" t="s">
        <v>1172</v>
      </c>
    </row>
    <row r="556" spans="1:10" ht="18.399999999999999" customHeight="1">
      <c r="A556" s="124" t="s">
        <v>193</v>
      </c>
      <c r="B556" s="124" t="s">
        <v>396</v>
      </c>
      <c r="C556" s="124" t="s">
        <v>420</v>
      </c>
      <c r="D556" s="124">
        <v>1.1972</v>
      </c>
      <c r="E556" s="128" t="s">
        <v>398</v>
      </c>
      <c r="F556" s="128">
        <f>중기기초자료!$G$35</f>
        <v>24504</v>
      </c>
      <c r="G556" s="129">
        <f>TRUNC(F556*D556, 1)</f>
        <v>29336.1</v>
      </c>
      <c r="H556" s="124" t="s">
        <v>17</v>
      </c>
    </row>
    <row r="557" spans="1:10" ht="18.399999999999999" customHeight="1">
      <c r="B557" s="124" t="s">
        <v>558</v>
      </c>
      <c r="G557" s="128">
        <f>TRUNC(G556, 0)</f>
        <v>29336</v>
      </c>
    </row>
    <row r="558" spans="1:10" ht="18.399999999999999" customHeight="1">
      <c r="A558" s="124" t="s">
        <v>191</v>
      </c>
    </row>
    <row r="559" spans="1:10" ht="18.399999999999999" customHeight="1">
      <c r="B559" s="124" t="s">
        <v>558</v>
      </c>
    </row>
    <row r="560" spans="1:10" ht="18.399999999999999" customHeight="1">
      <c r="A560" s="124" t="s">
        <v>192</v>
      </c>
    </row>
    <row r="561" spans="1:10" ht="18.399999999999999" customHeight="1">
      <c r="B561" s="124" t="s">
        <v>558</v>
      </c>
    </row>
    <row r="562" spans="1:10" ht="18.399999999999999" customHeight="1" thickBot="1">
      <c r="B562" s="124" t="s">
        <v>559</v>
      </c>
      <c r="G562" s="128">
        <f>TRUNC(G557+G559+G561, 0)</f>
        <v>29336</v>
      </c>
    </row>
    <row r="563" spans="1:10" ht="18.399999999999999" customHeight="1" thickTop="1" thickBot="1">
      <c r="A563" s="125"/>
      <c r="B563" s="125"/>
      <c r="C563" s="125"/>
      <c r="D563" s="125"/>
      <c r="E563" s="125"/>
      <c r="F563" s="125"/>
      <c r="G563" s="125"/>
      <c r="H563" s="125"/>
    </row>
    <row r="564" spans="1:10" ht="18.399999999999999" customHeight="1" thickTop="1" thickBot="1">
      <c r="A564" s="125" t="s">
        <v>550</v>
      </c>
      <c r="B564" s="125" t="s">
        <v>625</v>
      </c>
      <c r="C564" s="125"/>
      <c r="D564" s="125"/>
      <c r="E564" s="125"/>
      <c r="F564" s="125"/>
      <c r="G564" s="125"/>
      <c r="H564" s="125"/>
    </row>
    <row r="565" spans="1:10" ht="18.399999999999999" customHeight="1" thickTop="1">
      <c r="A565" s="125" t="s">
        <v>552</v>
      </c>
      <c r="B565" s="125" t="s">
        <v>623</v>
      </c>
      <c r="C565" s="125"/>
      <c r="D565" s="125"/>
      <c r="E565" s="125"/>
      <c r="F565" s="125"/>
      <c r="G565" s="125"/>
      <c r="H565" s="125"/>
    </row>
    <row r="566" spans="1:10" ht="18.399999999999999" customHeight="1">
      <c r="A566" s="126" t="s">
        <v>554</v>
      </c>
      <c r="B566" s="126"/>
      <c r="C566" s="126" t="s">
        <v>555</v>
      </c>
      <c r="D566" s="126" t="s">
        <v>189</v>
      </c>
      <c r="E566" s="126" t="s">
        <v>190</v>
      </c>
      <c r="F566" s="126" t="s">
        <v>556</v>
      </c>
      <c r="G566" s="126" t="s">
        <v>557</v>
      </c>
      <c r="H566" s="126" t="s">
        <v>195</v>
      </c>
      <c r="I566" s="127" t="str">
        <f>HYPERLINK("#"&amp;J566, "이전으로")</f>
        <v>이전으로</v>
      </c>
      <c r="J566" s="124" t="s">
        <v>1173</v>
      </c>
    </row>
    <row r="567" spans="1:10" ht="18.399999999999999" customHeight="1">
      <c r="A567" s="124" t="s">
        <v>193</v>
      </c>
      <c r="B567" s="124" t="s">
        <v>396</v>
      </c>
      <c r="C567" s="124" t="s">
        <v>421</v>
      </c>
      <c r="D567" s="124">
        <v>1.1666000000000001</v>
      </c>
      <c r="E567" s="128" t="s">
        <v>398</v>
      </c>
      <c r="F567" s="128">
        <f>중기기초자료!$G$36</f>
        <v>24504</v>
      </c>
      <c r="G567" s="129">
        <f>TRUNC(F567*D567, 1)</f>
        <v>28586.3</v>
      </c>
      <c r="H567" s="124" t="s">
        <v>17</v>
      </c>
    </row>
    <row r="568" spans="1:10" ht="18.399999999999999" customHeight="1">
      <c r="B568" s="124" t="s">
        <v>558</v>
      </c>
      <c r="G568" s="128">
        <f>TRUNC(G567, 0)</f>
        <v>28586</v>
      </c>
    </row>
    <row r="569" spans="1:10" ht="18.399999999999999" customHeight="1">
      <c r="A569" s="124" t="s">
        <v>191</v>
      </c>
    </row>
    <row r="570" spans="1:10" ht="18.399999999999999" customHeight="1">
      <c r="B570" s="124" t="s">
        <v>558</v>
      </c>
    </row>
    <row r="571" spans="1:10" ht="18.399999999999999" customHeight="1">
      <c r="A571" s="124" t="s">
        <v>192</v>
      </c>
    </row>
    <row r="572" spans="1:10" ht="18.399999999999999" customHeight="1">
      <c r="B572" s="124" t="s">
        <v>558</v>
      </c>
    </row>
    <row r="573" spans="1:10" ht="18.399999999999999" customHeight="1" thickBot="1">
      <c r="B573" s="124" t="s">
        <v>559</v>
      </c>
      <c r="G573" s="128">
        <f>TRUNC(G568+G570+G572, 0)</f>
        <v>28586</v>
      </c>
    </row>
    <row r="574" spans="1:10" ht="18.399999999999999" customHeight="1" thickTop="1" thickBot="1">
      <c r="A574" s="125"/>
      <c r="B574" s="125"/>
      <c r="C574" s="125"/>
      <c r="D574" s="125"/>
      <c r="E574" s="125"/>
      <c r="F574" s="125"/>
      <c r="G574" s="125"/>
      <c r="H574" s="125"/>
    </row>
    <row r="575" spans="1:10" ht="18.399999999999999" customHeight="1" thickTop="1" thickBot="1">
      <c r="A575" s="125" t="s">
        <v>550</v>
      </c>
      <c r="B575" s="125" t="s">
        <v>626</v>
      </c>
      <c r="C575" s="125"/>
      <c r="D575" s="125"/>
      <c r="E575" s="125"/>
      <c r="F575" s="125"/>
      <c r="G575" s="125"/>
      <c r="H575" s="125"/>
    </row>
    <row r="576" spans="1:10" ht="18.399999999999999" customHeight="1" thickTop="1">
      <c r="A576" s="125" t="s">
        <v>552</v>
      </c>
      <c r="B576" s="125" t="s">
        <v>623</v>
      </c>
      <c r="C576" s="125"/>
      <c r="D576" s="125"/>
      <c r="E576" s="125"/>
      <c r="F576" s="125"/>
      <c r="G576" s="125"/>
      <c r="H576" s="125"/>
    </row>
    <row r="577" spans="1:10" ht="18.399999999999999" customHeight="1">
      <c r="A577" s="126" t="s">
        <v>554</v>
      </c>
      <c r="B577" s="126"/>
      <c r="C577" s="126" t="s">
        <v>555</v>
      </c>
      <c r="D577" s="126" t="s">
        <v>189</v>
      </c>
      <c r="E577" s="126" t="s">
        <v>190</v>
      </c>
      <c r="F577" s="126" t="s">
        <v>556</v>
      </c>
      <c r="G577" s="126" t="s">
        <v>557</v>
      </c>
      <c r="H577" s="126" t="s">
        <v>195</v>
      </c>
      <c r="I577" s="127" t="str">
        <f>HYPERLINK("#"&amp;J577, "이전으로")</f>
        <v>이전으로</v>
      </c>
      <c r="J577" s="124" t="s">
        <v>1174</v>
      </c>
    </row>
    <row r="578" spans="1:10" ht="18.399999999999999" customHeight="1">
      <c r="A578" s="124" t="s">
        <v>193</v>
      </c>
      <c r="B578" s="124" t="s">
        <v>396</v>
      </c>
      <c r="C578" s="124" t="s">
        <v>422</v>
      </c>
      <c r="D578" s="124">
        <v>1.1435</v>
      </c>
      <c r="E578" s="128" t="s">
        <v>398</v>
      </c>
      <c r="F578" s="128">
        <f>중기기초자료!$G$37</f>
        <v>24504</v>
      </c>
      <c r="G578" s="129">
        <f>TRUNC(F578*D578, 1)</f>
        <v>28020.3</v>
      </c>
      <c r="H578" s="124" t="s">
        <v>17</v>
      </c>
    </row>
    <row r="579" spans="1:10" ht="18.399999999999999" customHeight="1">
      <c r="B579" s="124" t="s">
        <v>558</v>
      </c>
      <c r="G579" s="128">
        <f>TRUNC(G578, 0)</f>
        <v>28020</v>
      </c>
    </row>
    <row r="580" spans="1:10" ht="18.399999999999999" customHeight="1">
      <c r="A580" s="124" t="s">
        <v>191</v>
      </c>
    </row>
    <row r="581" spans="1:10" ht="18.399999999999999" customHeight="1">
      <c r="B581" s="124" t="s">
        <v>558</v>
      </c>
    </row>
    <row r="582" spans="1:10" ht="18.399999999999999" customHeight="1">
      <c r="A582" s="124" t="s">
        <v>192</v>
      </c>
    </row>
    <row r="583" spans="1:10" ht="18.399999999999999" customHeight="1">
      <c r="B583" s="124" t="s">
        <v>558</v>
      </c>
    </row>
    <row r="584" spans="1:10" ht="18.399999999999999" customHeight="1" thickBot="1">
      <c r="B584" s="124" t="s">
        <v>559</v>
      </c>
      <c r="G584" s="128">
        <f>TRUNC(G579+G581+G583, 0)</f>
        <v>28020</v>
      </c>
    </row>
    <row r="585" spans="1:10" ht="18.399999999999999" customHeight="1" thickTop="1" thickBot="1">
      <c r="A585" s="125"/>
      <c r="B585" s="125"/>
      <c r="C585" s="125"/>
      <c r="D585" s="125"/>
      <c r="E585" s="125"/>
      <c r="F585" s="125"/>
      <c r="G585" s="125"/>
      <c r="H585" s="125"/>
    </row>
    <row r="586" spans="1:10" ht="18.399999999999999" customHeight="1" thickTop="1" thickBot="1">
      <c r="A586" s="125" t="s">
        <v>550</v>
      </c>
      <c r="B586" s="125" t="s">
        <v>627</v>
      </c>
      <c r="C586" s="125"/>
      <c r="D586" s="125"/>
      <c r="E586" s="125"/>
      <c r="F586" s="125"/>
      <c r="G586" s="125"/>
      <c r="H586" s="125"/>
    </row>
    <row r="587" spans="1:10" ht="18.399999999999999" customHeight="1" thickTop="1">
      <c r="A587" s="125" t="s">
        <v>552</v>
      </c>
      <c r="B587" s="125" t="s">
        <v>623</v>
      </c>
      <c r="C587" s="125"/>
      <c r="D587" s="125"/>
      <c r="E587" s="125"/>
      <c r="F587" s="125"/>
      <c r="G587" s="125"/>
      <c r="H587" s="125"/>
    </row>
    <row r="588" spans="1:10" ht="18.399999999999999" customHeight="1">
      <c r="A588" s="126" t="s">
        <v>554</v>
      </c>
      <c r="B588" s="126"/>
      <c r="C588" s="126" t="s">
        <v>555</v>
      </c>
      <c r="D588" s="126" t="s">
        <v>189</v>
      </c>
      <c r="E588" s="126" t="s">
        <v>190</v>
      </c>
      <c r="F588" s="126" t="s">
        <v>556</v>
      </c>
      <c r="G588" s="126" t="s">
        <v>557</v>
      </c>
      <c r="H588" s="126" t="s">
        <v>195</v>
      </c>
      <c r="I588" s="127" t="str">
        <f>HYPERLINK("#"&amp;J588, "이전으로")</f>
        <v>이전으로</v>
      </c>
      <c r="J588" s="124" t="s">
        <v>1175</v>
      </c>
    </row>
    <row r="589" spans="1:10" ht="18.399999999999999" customHeight="1">
      <c r="A589" s="124" t="s">
        <v>193</v>
      </c>
      <c r="B589" s="124" t="s">
        <v>396</v>
      </c>
      <c r="C589" s="124" t="s">
        <v>425</v>
      </c>
      <c r="D589" s="124">
        <v>1.1212</v>
      </c>
      <c r="E589" s="128" t="s">
        <v>398</v>
      </c>
      <c r="F589" s="128">
        <f>중기기초자료!$G$38</f>
        <v>24504</v>
      </c>
      <c r="G589" s="129">
        <f>TRUNC(F589*D589, 1)</f>
        <v>27473.8</v>
      </c>
      <c r="H589" s="124" t="s">
        <v>17</v>
      </c>
    </row>
    <row r="590" spans="1:10" ht="18.399999999999999" customHeight="1">
      <c r="B590" s="124" t="s">
        <v>558</v>
      </c>
      <c r="G590" s="128">
        <f>TRUNC(G589, 0)</f>
        <v>27473</v>
      </c>
    </row>
    <row r="591" spans="1:10" ht="18.399999999999999" customHeight="1">
      <c r="A591" s="124" t="s">
        <v>191</v>
      </c>
    </row>
    <row r="592" spans="1:10" ht="18.399999999999999" customHeight="1">
      <c r="B592" s="124" t="s">
        <v>558</v>
      </c>
    </row>
    <row r="593" spans="1:10" ht="18.399999999999999" customHeight="1">
      <c r="A593" s="124" t="s">
        <v>192</v>
      </c>
    </row>
    <row r="594" spans="1:10" ht="18.399999999999999" customHeight="1">
      <c r="B594" s="124" t="s">
        <v>558</v>
      </c>
    </row>
    <row r="595" spans="1:10" ht="18.399999999999999" customHeight="1" thickBot="1">
      <c r="B595" s="124" t="s">
        <v>559</v>
      </c>
      <c r="G595" s="128">
        <f>TRUNC(G590+G592+G594, 0)</f>
        <v>27473</v>
      </c>
    </row>
    <row r="596" spans="1:10" ht="18.399999999999999" customHeight="1" thickTop="1" thickBot="1">
      <c r="A596" s="125"/>
      <c r="B596" s="125"/>
      <c r="C596" s="125"/>
      <c r="D596" s="125"/>
      <c r="E596" s="125"/>
      <c r="F596" s="125"/>
      <c r="G596" s="125"/>
      <c r="H596" s="125"/>
    </row>
    <row r="597" spans="1:10" ht="18.399999999999999" customHeight="1" thickTop="1" thickBot="1">
      <c r="A597" s="125" t="s">
        <v>550</v>
      </c>
      <c r="B597" s="125" t="s">
        <v>628</v>
      </c>
      <c r="C597" s="125"/>
      <c r="D597" s="125"/>
      <c r="E597" s="125"/>
      <c r="F597" s="125"/>
      <c r="G597" s="125"/>
      <c r="H597" s="125"/>
    </row>
    <row r="598" spans="1:10" ht="18.399999999999999" customHeight="1" thickTop="1">
      <c r="A598" s="125" t="s">
        <v>552</v>
      </c>
      <c r="B598" s="125" t="s">
        <v>629</v>
      </c>
      <c r="C598" s="125"/>
      <c r="D598" s="125"/>
      <c r="E598" s="125"/>
      <c r="F598" s="125"/>
      <c r="G598" s="125"/>
      <c r="H598" s="125"/>
    </row>
    <row r="599" spans="1:10" ht="18.399999999999999" customHeight="1">
      <c r="A599" s="126" t="s">
        <v>554</v>
      </c>
      <c r="B599" s="126"/>
      <c r="C599" s="126" t="s">
        <v>555</v>
      </c>
      <c r="D599" s="126" t="s">
        <v>189</v>
      </c>
      <c r="E599" s="126" t="s">
        <v>190</v>
      </c>
      <c r="F599" s="126" t="s">
        <v>556</v>
      </c>
      <c r="G599" s="126" t="s">
        <v>557</v>
      </c>
      <c r="H599" s="126" t="s">
        <v>195</v>
      </c>
      <c r="I599" s="127" t="str">
        <f>HYPERLINK("#"&amp;J599, "이전으로")</f>
        <v>이전으로</v>
      </c>
      <c r="J599" s="124" t="s">
        <v>1176</v>
      </c>
    </row>
    <row r="600" spans="1:10" ht="18.399999999999999" customHeight="1">
      <c r="A600" s="124" t="s">
        <v>193</v>
      </c>
      <c r="B600" s="124" t="s">
        <v>426</v>
      </c>
      <c r="C600" s="124" t="s">
        <v>427</v>
      </c>
      <c r="D600" s="124">
        <v>3.6232000000000002</v>
      </c>
      <c r="E600" s="128" t="s">
        <v>398</v>
      </c>
      <c r="F600" s="128">
        <f>중기기초자료!$G$66</f>
        <v>24010</v>
      </c>
      <c r="G600" s="129">
        <f>TRUNC(F600*D600, 1)</f>
        <v>86993</v>
      </c>
      <c r="H600" s="124" t="s">
        <v>17</v>
      </c>
    </row>
    <row r="601" spans="1:10" ht="18.399999999999999" customHeight="1">
      <c r="B601" s="124" t="s">
        <v>558</v>
      </c>
      <c r="G601" s="128">
        <f>TRUNC(G600, 0)</f>
        <v>86993</v>
      </c>
    </row>
    <row r="602" spans="1:10" ht="18.399999999999999" customHeight="1">
      <c r="A602" s="124" t="s">
        <v>191</v>
      </c>
    </row>
    <row r="603" spans="1:10" ht="18.399999999999999" customHeight="1">
      <c r="B603" s="124" t="s">
        <v>558</v>
      </c>
    </row>
    <row r="604" spans="1:10" ht="18.399999999999999" customHeight="1">
      <c r="A604" s="124" t="s">
        <v>192</v>
      </c>
    </row>
    <row r="605" spans="1:10" ht="18.399999999999999" customHeight="1">
      <c r="B605" s="124" t="s">
        <v>558</v>
      </c>
    </row>
    <row r="606" spans="1:10" ht="18.399999999999999" customHeight="1" thickBot="1">
      <c r="B606" s="124" t="s">
        <v>559</v>
      </c>
      <c r="G606" s="128">
        <f>TRUNC(G601+G603+G605, 0)</f>
        <v>86993</v>
      </c>
    </row>
    <row r="607" spans="1:10" ht="18.399999999999999" customHeight="1" thickTop="1" thickBot="1">
      <c r="A607" s="125"/>
      <c r="B607" s="125"/>
      <c r="C607" s="125"/>
      <c r="D607" s="125"/>
      <c r="E607" s="125"/>
      <c r="F607" s="125"/>
      <c r="G607" s="125"/>
      <c r="H607" s="125"/>
    </row>
    <row r="608" spans="1:10" ht="18.399999999999999" customHeight="1" thickTop="1" thickBot="1">
      <c r="A608" s="125" t="s">
        <v>550</v>
      </c>
      <c r="B608" s="125" t="s">
        <v>630</v>
      </c>
      <c r="C608" s="125"/>
      <c r="D608" s="125"/>
      <c r="E608" s="125"/>
      <c r="F608" s="125"/>
      <c r="G608" s="125"/>
      <c r="H608" s="125"/>
    </row>
    <row r="609" spans="1:10" ht="18.399999999999999" customHeight="1" thickTop="1">
      <c r="A609" s="125" t="s">
        <v>552</v>
      </c>
      <c r="B609" s="125" t="s">
        <v>631</v>
      </c>
      <c r="C609" s="125"/>
      <c r="D609" s="125"/>
      <c r="E609" s="125"/>
      <c r="F609" s="125"/>
      <c r="G609" s="125"/>
      <c r="H609" s="125"/>
    </row>
    <row r="610" spans="1:10" ht="18.399999999999999" customHeight="1">
      <c r="A610" s="126" t="s">
        <v>554</v>
      </c>
      <c r="B610" s="126"/>
      <c r="C610" s="126" t="s">
        <v>555</v>
      </c>
      <c r="D610" s="126" t="s">
        <v>189</v>
      </c>
      <c r="E610" s="126" t="s">
        <v>190</v>
      </c>
      <c r="F610" s="126" t="s">
        <v>556</v>
      </c>
      <c r="G610" s="126" t="s">
        <v>557</v>
      </c>
      <c r="H610" s="126" t="s">
        <v>195</v>
      </c>
      <c r="I610" s="127" t="str">
        <f>HYPERLINK("#"&amp;J610, "이전으로")</f>
        <v>이전으로</v>
      </c>
      <c r="J610" s="124" t="s">
        <v>1177</v>
      </c>
    </row>
    <row r="611" spans="1:10" ht="18.399999999999999" customHeight="1">
      <c r="A611" s="124" t="s">
        <v>193</v>
      </c>
      <c r="B611" s="124" t="s">
        <v>426</v>
      </c>
      <c r="C611" s="124" t="s">
        <v>428</v>
      </c>
      <c r="D611" s="124">
        <v>3.5074999999999998</v>
      </c>
      <c r="E611" s="128" t="s">
        <v>398</v>
      </c>
      <c r="F611" s="128">
        <f>중기기초자료!$G$67</f>
        <v>29500</v>
      </c>
      <c r="G611" s="129">
        <f>TRUNC(F611*D611, 1)</f>
        <v>103471.2</v>
      </c>
      <c r="H611" s="124" t="s">
        <v>17</v>
      </c>
    </row>
    <row r="612" spans="1:10" ht="18.399999999999999" customHeight="1">
      <c r="B612" s="124" t="s">
        <v>558</v>
      </c>
      <c r="G612" s="128">
        <f>TRUNC(G611, 0)</f>
        <v>103471</v>
      </c>
    </row>
    <row r="613" spans="1:10" ht="18.399999999999999" customHeight="1">
      <c r="A613" s="124" t="s">
        <v>191</v>
      </c>
    </row>
    <row r="614" spans="1:10" ht="18.399999999999999" customHeight="1">
      <c r="B614" s="124" t="s">
        <v>558</v>
      </c>
    </row>
    <row r="615" spans="1:10" ht="18.399999999999999" customHeight="1">
      <c r="A615" s="124" t="s">
        <v>192</v>
      </c>
    </row>
    <row r="616" spans="1:10" ht="18.399999999999999" customHeight="1">
      <c r="B616" s="124" t="s">
        <v>558</v>
      </c>
    </row>
    <row r="617" spans="1:10" ht="18.399999999999999" customHeight="1" thickBot="1">
      <c r="B617" s="124" t="s">
        <v>559</v>
      </c>
      <c r="G617" s="128">
        <f>TRUNC(G612+G614+G616, 0)</f>
        <v>103471</v>
      </c>
    </row>
    <row r="618" spans="1:10" ht="18.399999999999999" customHeight="1" thickTop="1" thickBot="1">
      <c r="A618" s="125"/>
      <c r="B618" s="125"/>
      <c r="C618" s="125"/>
      <c r="D618" s="125"/>
      <c r="E618" s="125"/>
      <c r="F618" s="125"/>
      <c r="G618" s="125"/>
      <c r="H618" s="125"/>
    </row>
    <row r="619" spans="1:10" ht="18.399999999999999" customHeight="1" thickTop="1" thickBot="1">
      <c r="A619" s="125" t="s">
        <v>550</v>
      </c>
      <c r="B619" s="125" t="s">
        <v>632</v>
      </c>
      <c r="C619" s="125"/>
      <c r="D619" s="125"/>
      <c r="E619" s="125"/>
      <c r="F619" s="125"/>
      <c r="G619" s="125"/>
      <c r="H619" s="125"/>
    </row>
    <row r="620" spans="1:10" ht="18.399999999999999" customHeight="1" thickTop="1">
      <c r="A620" s="125" t="s">
        <v>552</v>
      </c>
      <c r="B620" s="125" t="s">
        <v>633</v>
      </c>
      <c r="C620" s="125"/>
      <c r="D620" s="125"/>
      <c r="E620" s="125"/>
      <c r="F620" s="125"/>
      <c r="G620" s="125"/>
      <c r="H620" s="125"/>
    </row>
    <row r="621" spans="1:10" ht="18.399999999999999" customHeight="1">
      <c r="A621" s="126" t="s">
        <v>554</v>
      </c>
      <c r="B621" s="126"/>
      <c r="C621" s="126" t="s">
        <v>555</v>
      </c>
      <c r="D621" s="126" t="s">
        <v>189</v>
      </c>
      <c r="E621" s="126" t="s">
        <v>190</v>
      </c>
      <c r="F621" s="126" t="s">
        <v>556</v>
      </c>
      <c r="G621" s="126" t="s">
        <v>557</v>
      </c>
      <c r="H621" s="126" t="s">
        <v>195</v>
      </c>
      <c r="I621" s="127" t="str">
        <f>HYPERLINK("#"&amp;J621, "이전으로")</f>
        <v>이전으로</v>
      </c>
      <c r="J621" s="124" t="s">
        <v>1178</v>
      </c>
    </row>
    <row r="622" spans="1:10" ht="18.399999999999999" customHeight="1">
      <c r="A622" s="124" t="s">
        <v>193</v>
      </c>
      <c r="B622" s="124" t="s">
        <v>426</v>
      </c>
      <c r="C622" s="124" t="s">
        <v>429</v>
      </c>
      <c r="D622" s="124">
        <v>3.1819000000000002</v>
      </c>
      <c r="E622" s="128" t="s">
        <v>398</v>
      </c>
      <c r="F622" s="128">
        <f>중기기초자료!$G$68</f>
        <v>30000</v>
      </c>
      <c r="G622" s="129">
        <f>TRUNC(F622*D622, 1)</f>
        <v>95457</v>
      </c>
      <c r="H622" s="124" t="s">
        <v>17</v>
      </c>
    </row>
    <row r="623" spans="1:10" ht="18.399999999999999" customHeight="1">
      <c r="B623" s="124" t="s">
        <v>558</v>
      </c>
      <c r="G623" s="128">
        <f>TRUNC(G622, 0)</f>
        <v>95457</v>
      </c>
    </row>
    <row r="624" spans="1:10" ht="18.399999999999999" customHeight="1">
      <c r="A624" s="124" t="s">
        <v>191</v>
      </c>
    </row>
    <row r="625" spans="1:10" ht="18.399999999999999" customHeight="1">
      <c r="B625" s="124" t="s">
        <v>558</v>
      </c>
    </row>
    <row r="626" spans="1:10" ht="18.399999999999999" customHeight="1">
      <c r="A626" s="124" t="s">
        <v>192</v>
      </c>
    </row>
    <row r="627" spans="1:10" ht="18.399999999999999" customHeight="1">
      <c r="B627" s="124" t="s">
        <v>558</v>
      </c>
    </row>
    <row r="628" spans="1:10" ht="18.399999999999999" customHeight="1" thickBot="1">
      <c r="B628" s="124" t="s">
        <v>559</v>
      </c>
      <c r="G628" s="128">
        <f>TRUNC(G623+G625+G627, 0)</f>
        <v>95457</v>
      </c>
    </row>
    <row r="629" spans="1:10" ht="18.399999999999999" customHeight="1" thickTop="1" thickBot="1">
      <c r="A629" s="125"/>
      <c r="B629" s="125"/>
      <c r="C629" s="125"/>
      <c r="D629" s="125"/>
      <c r="E629" s="125"/>
      <c r="F629" s="125"/>
      <c r="G629" s="125"/>
      <c r="H629" s="125"/>
    </row>
    <row r="630" spans="1:10" ht="18.399999999999999" customHeight="1" thickTop="1" thickBot="1">
      <c r="A630" s="125" t="s">
        <v>550</v>
      </c>
      <c r="B630" s="125" t="s">
        <v>634</v>
      </c>
      <c r="C630" s="125"/>
      <c r="D630" s="125"/>
      <c r="E630" s="125"/>
      <c r="F630" s="125"/>
      <c r="G630" s="125"/>
      <c r="H630" s="125"/>
    </row>
    <row r="631" spans="1:10" ht="18.399999999999999" customHeight="1" thickTop="1">
      <c r="A631" s="125" t="s">
        <v>552</v>
      </c>
      <c r="B631" s="125" t="s">
        <v>635</v>
      </c>
      <c r="C631" s="125"/>
      <c r="D631" s="125"/>
      <c r="E631" s="125"/>
      <c r="F631" s="125"/>
      <c r="G631" s="125"/>
      <c r="H631" s="125"/>
    </row>
    <row r="632" spans="1:10" ht="18.399999999999999" customHeight="1">
      <c r="A632" s="126" t="s">
        <v>554</v>
      </c>
      <c r="B632" s="126"/>
      <c r="C632" s="126" t="s">
        <v>555</v>
      </c>
      <c r="D632" s="126" t="s">
        <v>189</v>
      </c>
      <c r="E632" s="126" t="s">
        <v>190</v>
      </c>
      <c r="F632" s="126" t="s">
        <v>556</v>
      </c>
      <c r="G632" s="126" t="s">
        <v>557</v>
      </c>
      <c r="H632" s="126" t="s">
        <v>195</v>
      </c>
      <c r="I632" s="127" t="str">
        <f>HYPERLINK("#"&amp;J632, "이전으로")</f>
        <v>이전으로</v>
      </c>
      <c r="J632" s="124" t="s">
        <v>1179</v>
      </c>
    </row>
    <row r="633" spans="1:10" ht="18.399999999999999" customHeight="1">
      <c r="A633" s="124" t="s">
        <v>193</v>
      </c>
      <c r="B633" s="124" t="s">
        <v>426</v>
      </c>
      <c r="C633" s="124" t="s">
        <v>430</v>
      </c>
      <c r="D633" s="124">
        <v>2.3327</v>
      </c>
      <c r="E633" s="128" t="s">
        <v>398</v>
      </c>
      <c r="F633" s="128">
        <f>중기기초자료!$G$69</f>
        <v>34000</v>
      </c>
      <c r="G633" s="129">
        <f>TRUNC(F633*D633, 1)</f>
        <v>79311.8</v>
      </c>
      <c r="H633" s="124" t="s">
        <v>17</v>
      </c>
    </row>
    <row r="634" spans="1:10" ht="18.399999999999999" customHeight="1">
      <c r="B634" s="124" t="s">
        <v>558</v>
      </c>
      <c r="G634" s="128">
        <f>TRUNC(G633, 0)</f>
        <v>79311</v>
      </c>
    </row>
    <row r="635" spans="1:10" ht="18.399999999999999" customHeight="1">
      <c r="A635" s="124" t="s">
        <v>191</v>
      </c>
    </row>
    <row r="636" spans="1:10" ht="18.399999999999999" customHeight="1">
      <c r="B636" s="124" t="s">
        <v>558</v>
      </c>
    </row>
    <row r="637" spans="1:10" ht="18.399999999999999" customHeight="1">
      <c r="A637" s="124" t="s">
        <v>192</v>
      </c>
    </row>
    <row r="638" spans="1:10" ht="18.399999999999999" customHeight="1">
      <c r="B638" s="124" t="s">
        <v>558</v>
      </c>
    </row>
    <row r="639" spans="1:10" ht="18.399999999999999" customHeight="1" thickBot="1">
      <c r="B639" s="124" t="s">
        <v>559</v>
      </c>
      <c r="G639" s="128">
        <f>TRUNC(G634+G636+G638, 0)</f>
        <v>79311</v>
      </c>
    </row>
    <row r="640" spans="1:10" ht="18.399999999999999" customHeight="1" thickTop="1" thickBot="1">
      <c r="A640" s="125"/>
      <c r="B640" s="125"/>
      <c r="C640" s="125"/>
      <c r="D640" s="125"/>
      <c r="E640" s="125"/>
      <c r="F640" s="125"/>
      <c r="G640" s="125"/>
      <c r="H640" s="125"/>
    </row>
    <row r="641" spans="1:10" ht="18.399999999999999" customHeight="1" thickTop="1" thickBot="1">
      <c r="A641" s="125" t="s">
        <v>550</v>
      </c>
      <c r="B641" s="125" t="s">
        <v>636</v>
      </c>
      <c r="C641" s="125"/>
      <c r="D641" s="125"/>
      <c r="E641" s="125"/>
      <c r="F641" s="125"/>
      <c r="G641" s="125"/>
      <c r="H641" s="125"/>
    </row>
    <row r="642" spans="1:10" ht="18.399999999999999" customHeight="1" thickTop="1">
      <c r="A642" s="125" t="s">
        <v>552</v>
      </c>
      <c r="B642" s="125" t="s">
        <v>637</v>
      </c>
      <c r="C642" s="125"/>
      <c r="D642" s="125"/>
      <c r="E642" s="125"/>
      <c r="F642" s="125"/>
      <c r="G642" s="125"/>
      <c r="H642" s="125"/>
    </row>
    <row r="643" spans="1:10" ht="18.399999999999999" customHeight="1">
      <c r="A643" s="126" t="s">
        <v>554</v>
      </c>
      <c r="B643" s="126"/>
      <c r="C643" s="126" t="s">
        <v>555</v>
      </c>
      <c r="D643" s="126" t="s">
        <v>189</v>
      </c>
      <c r="E643" s="126" t="s">
        <v>190</v>
      </c>
      <c r="F643" s="126" t="s">
        <v>556</v>
      </c>
      <c r="G643" s="126" t="s">
        <v>557</v>
      </c>
      <c r="H643" s="126" t="s">
        <v>195</v>
      </c>
      <c r="I643" s="127" t="str">
        <f>HYPERLINK("#"&amp;J643, "이전으로")</f>
        <v>이전으로</v>
      </c>
      <c r="J643" s="124" t="s">
        <v>1180</v>
      </c>
    </row>
    <row r="644" spans="1:10" ht="18.399999999999999" customHeight="1">
      <c r="A644" s="124" t="s">
        <v>193</v>
      </c>
      <c r="B644" s="124" t="s">
        <v>426</v>
      </c>
      <c r="C644" s="124" t="s">
        <v>431</v>
      </c>
      <c r="D644" s="124">
        <v>2.198</v>
      </c>
      <c r="E644" s="128" t="s">
        <v>398</v>
      </c>
      <c r="F644" s="128">
        <f>중기기초자료!$G$70</f>
        <v>42000</v>
      </c>
      <c r="G644" s="129">
        <f>TRUNC(F644*D644, 1)</f>
        <v>92316</v>
      </c>
      <c r="H644" s="124" t="s">
        <v>17</v>
      </c>
    </row>
    <row r="645" spans="1:10" ht="18.399999999999999" customHeight="1">
      <c r="B645" s="124" t="s">
        <v>558</v>
      </c>
      <c r="G645" s="128">
        <f>TRUNC(G644, 0)</f>
        <v>92316</v>
      </c>
    </row>
    <row r="646" spans="1:10" ht="18.399999999999999" customHeight="1">
      <c r="A646" s="124" t="s">
        <v>191</v>
      </c>
    </row>
    <row r="647" spans="1:10" ht="18.399999999999999" customHeight="1">
      <c r="B647" s="124" t="s">
        <v>558</v>
      </c>
    </row>
    <row r="648" spans="1:10" ht="18.399999999999999" customHeight="1">
      <c r="A648" s="124" t="s">
        <v>192</v>
      </c>
    </row>
    <row r="649" spans="1:10" ht="18.399999999999999" customHeight="1">
      <c r="B649" s="124" t="s">
        <v>558</v>
      </c>
    </row>
    <row r="650" spans="1:10" ht="18.399999999999999" customHeight="1" thickBot="1">
      <c r="B650" s="124" t="s">
        <v>559</v>
      </c>
      <c r="G650" s="128">
        <f>TRUNC(G645+G647+G649, 0)</f>
        <v>92316</v>
      </c>
    </row>
    <row r="651" spans="1:10" ht="18.399999999999999" customHeight="1" thickTop="1" thickBot="1">
      <c r="A651" s="125"/>
      <c r="B651" s="125"/>
      <c r="C651" s="125"/>
      <c r="D651" s="125"/>
      <c r="E651" s="125"/>
      <c r="F651" s="125"/>
      <c r="G651" s="125"/>
      <c r="H651" s="125"/>
    </row>
    <row r="652" spans="1:10" ht="18.399999999999999" customHeight="1" thickTop="1" thickBot="1">
      <c r="A652" s="125" t="s">
        <v>550</v>
      </c>
      <c r="B652" s="125" t="s">
        <v>638</v>
      </c>
      <c r="C652" s="125"/>
      <c r="D652" s="125"/>
      <c r="E652" s="125"/>
      <c r="F652" s="125"/>
      <c r="G652" s="125"/>
      <c r="H652" s="125"/>
    </row>
    <row r="653" spans="1:10" ht="18.399999999999999" customHeight="1" thickTop="1">
      <c r="A653" s="125" t="s">
        <v>552</v>
      </c>
      <c r="B653" s="125" t="s">
        <v>639</v>
      </c>
      <c r="C653" s="125"/>
      <c r="D653" s="125"/>
      <c r="E653" s="125"/>
      <c r="F653" s="125"/>
      <c r="G653" s="125"/>
      <c r="H653" s="125"/>
    </row>
    <row r="654" spans="1:10" ht="18.399999999999999" customHeight="1">
      <c r="A654" s="126" t="s">
        <v>554</v>
      </c>
      <c r="B654" s="126"/>
      <c r="C654" s="126" t="s">
        <v>555</v>
      </c>
      <c r="D654" s="126" t="s">
        <v>189</v>
      </c>
      <c r="E654" s="126" t="s">
        <v>190</v>
      </c>
      <c r="F654" s="126" t="s">
        <v>556</v>
      </c>
      <c r="G654" s="126" t="s">
        <v>557</v>
      </c>
      <c r="H654" s="126" t="s">
        <v>195</v>
      </c>
      <c r="I654" s="127" t="str">
        <f>HYPERLINK("#"&amp;J654, "이전으로")</f>
        <v>이전으로</v>
      </c>
      <c r="J654" s="124" t="s">
        <v>1181</v>
      </c>
    </row>
    <row r="655" spans="1:10" ht="18.399999999999999" customHeight="1">
      <c r="A655" s="124" t="s">
        <v>193</v>
      </c>
      <c r="B655" s="124" t="s">
        <v>426</v>
      </c>
      <c r="C655" s="124" t="s">
        <v>432</v>
      </c>
      <c r="D655" s="124">
        <v>2.0851000000000002</v>
      </c>
      <c r="E655" s="128" t="s">
        <v>398</v>
      </c>
      <c r="F655" s="128">
        <f>중기기초자료!$G$71</f>
        <v>45600</v>
      </c>
      <c r="G655" s="129">
        <f>TRUNC(F655*D655, 1)</f>
        <v>95080.5</v>
      </c>
      <c r="H655" s="124" t="s">
        <v>17</v>
      </c>
    </row>
    <row r="656" spans="1:10" ht="18.399999999999999" customHeight="1">
      <c r="B656" s="124" t="s">
        <v>558</v>
      </c>
      <c r="G656" s="128">
        <f>TRUNC(G655, 0)</f>
        <v>95080</v>
      </c>
    </row>
    <row r="657" spans="1:10" ht="18.399999999999999" customHeight="1">
      <c r="A657" s="124" t="s">
        <v>191</v>
      </c>
    </row>
    <row r="658" spans="1:10" ht="18.399999999999999" customHeight="1">
      <c r="B658" s="124" t="s">
        <v>558</v>
      </c>
    </row>
    <row r="659" spans="1:10" ht="18.399999999999999" customHeight="1">
      <c r="A659" s="124" t="s">
        <v>192</v>
      </c>
    </row>
    <row r="660" spans="1:10" ht="18.399999999999999" customHeight="1">
      <c r="B660" s="124" t="s">
        <v>558</v>
      </c>
    </row>
    <row r="661" spans="1:10" ht="18.399999999999999" customHeight="1" thickBot="1">
      <c r="B661" s="124" t="s">
        <v>559</v>
      </c>
      <c r="G661" s="128">
        <f>TRUNC(G656+G658+G660, 0)</f>
        <v>95080</v>
      </c>
    </row>
    <row r="662" spans="1:10" ht="18.399999999999999" customHeight="1" thickTop="1" thickBot="1">
      <c r="A662" s="125"/>
      <c r="B662" s="125"/>
      <c r="C662" s="125"/>
      <c r="D662" s="125"/>
      <c r="E662" s="125"/>
      <c r="F662" s="125"/>
      <c r="G662" s="125"/>
      <c r="H662" s="125"/>
    </row>
    <row r="663" spans="1:10" ht="18.399999999999999" customHeight="1" thickTop="1" thickBot="1">
      <c r="A663" s="125" t="s">
        <v>550</v>
      </c>
      <c r="B663" s="125" t="s">
        <v>640</v>
      </c>
      <c r="C663" s="125"/>
      <c r="D663" s="125"/>
      <c r="E663" s="125"/>
      <c r="F663" s="125"/>
      <c r="G663" s="125"/>
      <c r="H663" s="125"/>
    </row>
    <row r="664" spans="1:10" ht="18.399999999999999" customHeight="1" thickTop="1">
      <c r="A664" s="125" t="s">
        <v>552</v>
      </c>
      <c r="B664" s="125" t="s">
        <v>641</v>
      </c>
      <c r="C664" s="125"/>
      <c r="D664" s="125"/>
      <c r="E664" s="125"/>
      <c r="F664" s="125"/>
      <c r="G664" s="125"/>
      <c r="H664" s="125"/>
    </row>
    <row r="665" spans="1:10" ht="18.399999999999999" customHeight="1">
      <c r="A665" s="126" t="s">
        <v>554</v>
      </c>
      <c r="B665" s="126"/>
      <c r="C665" s="126" t="s">
        <v>555</v>
      </c>
      <c r="D665" s="126" t="s">
        <v>189</v>
      </c>
      <c r="E665" s="126" t="s">
        <v>190</v>
      </c>
      <c r="F665" s="126" t="s">
        <v>556</v>
      </c>
      <c r="G665" s="126" t="s">
        <v>557</v>
      </c>
      <c r="H665" s="126" t="s">
        <v>195</v>
      </c>
      <c r="I665" s="127" t="str">
        <f>HYPERLINK("#"&amp;J665, "이전으로")</f>
        <v>이전으로</v>
      </c>
      <c r="J665" s="124" t="s">
        <v>1182</v>
      </c>
    </row>
    <row r="666" spans="1:10" ht="18.399999999999999" customHeight="1">
      <c r="A666" s="124" t="s">
        <v>193</v>
      </c>
      <c r="B666" s="124" t="s">
        <v>426</v>
      </c>
      <c r="C666" s="124" t="s">
        <v>433</v>
      </c>
      <c r="D666" s="124">
        <v>1.7576000000000001</v>
      </c>
      <c r="E666" s="128" t="s">
        <v>398</v>
      </c>
      <c r="F666" s="128">
        <f>중기기초자료!$G$72</f>
        <v>50500</v>
      </c>
      <c r="G666" s="129">
        <f>TRUNC(F666*D666, 1)</f>
        <v>88758.8</v>
      </c>
      <c r="H666" s="124" t="s">
        <v>17</v>
      </c>
    </row>
    <row r="667" spans="1:10" ht="18.399999999999999" customHeight="1">
      <c r="B667" s="124" t="s">
        <v>558</v>
      </c>
      <c r="G667" s="128">
        <f>TRUNC(G666, 0)</f>
        <v>88758</v>
      </c>
    </row>
    <row r="668" spans="1:10" ht="18.399999999999999" customHeight="1">
      <c r="A668" s="124" t="s">
        <v>191</v>
      </c>
    </row>
    <row r="669" spans="1:10" ht="18.399999999999999" customHeight="1">
      <c r="B669" s="124" t="s">
        <v>558</v>
      </c>
    </row>
    <row r="670" spans="1:10" ht="18.399999999999999" customHeight="1">
      <c r="A670" s="124" t="s">
        <v>192</v>
      </c>
    </row>
    <row r="671" spans="1:10" ht="18.399999999999999" customHeight="1">
      <c r="B671" s="124" t="s">
        <v>558</v>
      </c>
    </row>
    <row r="672" spans="1:10" ht="18.399999999999999" customHeight="1" thickBot="1">
      <c r="B672" s="124" t="s">
        <v>559</v>
      </c>
      <c r="G672" s="128">
        <f>TRUNC(G667+G669+G671, 0)</f>
        <v>88758</v>
      </c>
    </row>
    <row r="673" spans="1:10" ht="18.399999999999999" customHeight="1" thickTop="1" thickBot="1">
      <c r="A673" s="125"/>
      <c r="B673" s="125"/>
      <c r="C673" s="125"/>
      <c r="D673" s="125"/>
      <c r="E673" s="125"/>
      <c r="F673" s="125"/>
      <c r="G673" s="125"/>
      <c r="H673" s="125"/>
    </row>
    <row r="674" spans="1:10" ht="18.399999999999999" customHeight="1" thickTop="1" thickBot="1">
      <c r="A674" s="125" t="s">
        <v>550</v>
      </c>
      <c r="B674" s="125" t="s">
        <v>642</v>
      </c>
      <c r="C674" s="125"/>
      <c r="D674" s="125"/>
      <c r="E674" s="125"/>
      <c r="F674" s="125"/>
      <c r="G674" s="125"/>
      <c r="H674" s="125"/>
    </row>
    <row r="675" spans="1:10" ht="18.399999999999999" customHeight="1" thickTop="1">
      <c r="A675" s="125" t="s">
        <v>552</v>
      </c>
      <c r="B675" s="125" t="s">
        <v>643</v>
      </c>
      <c r="C675" s="125"/>
      <c r="D675" s="125"/>
      <c r="E675" s="125"/>
      <c r="F675" s="125"/>
      <c r="G675" s="125"/>
      <c r="H675" s="125"/>
    </row>
    <row r="676" spans="1:10" ht="18.399999999999999" customHeight="1">
      <c r="A676" s="126" t="s">
        <v>554</v>
      </c>
      <c r="B676" s="126"/>
      <c r="C676" s="126" t="s">
        <v>555</v>
      </c>
      <c r="D676" s="126" t="s">
        <v>189</v>
      </c>
      <c r="E676" s="126" t="s">
        <v>190</v>
      </c>
      <c r="F676" s="126" t="s">
        <v>556</v>
      </c>
      <c r="G676" s="126" t="s">
        <v>557</v>
      </c>
      <c r="H676" s="126" t="s">
        <v>195</v>
      </c>
      <c r="I676" s="127" t="str">
        <f>HYPERLINK("#"&amp;J676, "이전으로")</f>
        <v>이전으로</v>
      </c>
      <c r="J676" s="124" t="s">
        <v>1183</v>
      </c>
    </row>
    <row r="677" spans="1:10" ht="18.399999999999999" customHeight="1">
      <c r="A677" s="124" t="s">
        <v>193</v>
      </c>
      <c r="B677" s="124" t="s">
        <v>426</v>
      </c>
      <c r="C677" s="124" t="s">
        <v>434</v>
      </c>
      <c r="D677" s="124">
        <v>0.7177</v>
      </c>
      <c r="E677" s="128" t="s">
        <v>398</v>
      </c>
      <c r="F677" s="128">
        <f>중기기초자료!$G$73</f>
        <v>61000</v>
      </c>
      <c r="G677" s="129">
        <f>TRUNC(F677*D677, 1)</f>
        <v>43779.7</v>
      </c>
      <c r="H677" s="124" t="s">
        <v>17</v>
      </c>
    </row>
    <row r="678" spans="1:10" ht="18.399999999999999" customHeight="1">
      <c r="B678" s="124" t="s">
        <v>558</v>
      </c>
      <c r="G678" s="128">
        <f>TRUNC(G677, 0)</f>
        <v>43779</v>
      </c>
    </row>
    <row r="679" spans="1:10" ht="18.399999999999999" customHeight="1">
      <c r="A679" s="124" t="s">
        <v>191</v>
      </c>
    </row>
    <row r="680" spans="1:10" ht="18.399999999999999" customHeight="1">
      <c r="B680" s="124" t="s">
        <v>558</v>
      </c>
    </row>
    <row r="681" spans="1:10" ht="18.399999999999999" customHeight="1">
      <c r="A681" s="124" t="s">
        <v>192</v>
      </c>
    </row>
    <row r="682" spans="1:10" ht="18.399999999999999" customHeight="1">
      <c r="B682" s="124" t="s">
        <v>558</v>
      </c>
    </row>
    <row r="683" spans="1:10" ht="18.399999999999999" customHeight="1" thickBot="1">
      <c r="B683" s="124" t="s">
        <v>559</v>
      </c>
      <c r="G683" s="128">
        <f>TRUNC(G678+G680+G682, 0)</f>
        <v>43779</v>
      </c>
    </row>
    <row r="684" spans="1:10" ht="18.399999999999999" customHeight="1" thickTop="1" thickBot="1">
      <c r="A684" s="125"/>
      <c r="B684" s="125"/>
      <c r="C684" s="125"/>
      <c r="D684" s="125"/>
      <c r="E684" s="125"/>
      <c r="F684" s="125"/>
      <c r="G684" s="125"/>
      <c r="H684" s="125"/>
    </row>
    <row r="685" spans="1:10" ht="18.399999999999999" customHeight="1" thickTop="1" thickBot="1">
      <c r="A685" s="125" t="s">
        <v>550</v>
      </c>
      <c r="B685" s="125" t="s">
        <v>644</v>
      </c>
      <c r="C685" s="125"/>
      <c r="D685" s="125"/>
      <c r="E685" s="125"/>
      <c r="F685" s="125"/>
      <c r="G685" s="125"/>
      <c r="H685" s="125"/>
    </row>
    <row r="686" spans="1:10" ht="18.399999999999999" customHeight="1" thickTop="1">
      <c r="A686" s="125" t="s">
        <v>552</v>
      </c>
      <c r="B686" s="125" t="s">
        <v>645</v>
      </c>
      <c r="C686" s="125"/>
      <c r="D686" s="125"/>
      <c r="E686" s="125"/>
      <c r="F686" s="125"/>
      <c r="G686" s="125"/>
      <c r="H686" s="125"/>
    </row>
    <row r="687" spans="1:10" ht="18.399999999999999" customHeight="1">
      <c r="A687" s="126" t="s">
        <v>554</v>
      </c>
      <c r="B687" s="126"/>
      <c r="C687" s="126" t="s">
        <v>555</v>
      </c>
      <c r="D687" s="126" t="s">
        <v>189</v>
      </c>
      <c r="E687" s="126" t="s">
        <v>190</v>
      </c>
      <c r="F687" s="126" t="s">
        <v>556</v>
      </c>
      <c r="G687" s="126" t="s">
        <v>557</v>
      </c>
      <c r="H687" s="126" t="s">
        <v>195</v>
      </c>
      <c r="I687" s="127" t="str">
        <f>HYPERLINK("#"&amp;J687, "이전으로")</f>
        <v>이전으로</v>
      </c>
      <c r="J687" s="124" t="s">
        <v>1184</v>
      </c>
    </row>
    <row r="688" spans="1:10" ht="18.399999999999999" customHeight="1">
      <c r="A688" s="124" t="s">
        <v>193</v>
      </c>
      <c r="B688" s="124" t="s">
        <v>426</v>
      </c>
      <c r="C688" s="124" t="s">
        <v>435</v>
      </c>
      <c r="D688" s="124">
        <v>0.70550000000000002</v>
      </c>
      <c r="E688" s="128" t="s">
        <v>398</v>
      </c>
      <c r="F688" s="128">
        <f>중기기초자료!$G$74</f>
        <v>63500</v>
      </c>
      <c r="G688" s="129">
        <f>TRUNC(F688*D688, 1)</f>
        <v>44799.199999999997</v>
      </c>
      <c r="H688" s="124" t="s">
        <v>17</v>
      </c>
    </row>
    <row r="689" spans="1:10" ht="18.399999999999999" customHeight="1">
      <c r="B689" s="124" t="s">
        <v>558</v>
      </c>
      <c r="G689" s="128">
        <f>TRUNC(G688, 0)</f>
        <v>44799</v>
      </c>
    </row>
    <row r="690" spans="1:10" ht="18.399999999999999" customHeight="1">
      <c r="A690" s="124" t="s">
        <v>191</v>
      </c>
    </row>
    <row r="691" spans="1:10" ht="18.399999999999999" customHeight="1">
      <c r="B691" s="124" t="s">
        <v>558</v>
      </c>
    </row>
    <row r="692" spans="1:10" ht="18.399999999999999" customHeight="1">
      <c r="A692" s="124" t="s">
        <v>192</v>
      </c>
    </row>
    <row r="693" spans="1:10" ht="18.399999999999999" customHeight="1">
      <c r="B693" s="124" t="s">
        <v>558</v>
      </c>
    </row>
    <row r="694" spans="1:10" ht="18.399999999999999" customHeight="1" thickBot="1">
      <c r="B694" s="124" t="s">
        <v>559</v>
      </c>
      <c r="G694" s="128">
        <f>TRUNC(G689+G691+G693, 0)</f>
        <v>44799</v>
      </c>
    </row>
    <row r="695" spans="1:10" ht="18.399999999999999" customHeight="1" thickTop="1" thickBot="1">
      <c r="A695" s="125"/>
      <c r="B695" s="125"/>
      <c r="C695" s="125"/>
      <c r="D695" s="125"/>
      <c r="E695" s="125"/>
      <c r="F695" s="125"/>
      <c r="G695" s="125"/>
      <c r="H695" s="125"/>
    </row>
    <row r="696" spans="1:10" ht="18.399999999999999" customHeight="1" thickTop="1" thickBot="1">
      <c r="A696" s="125" t="s">
        <v>550</v>
      </c>
      <c r="B696" s="125" t="s">
        <v>646</v>
      </c>
      <c r="C696" s="125"/>
      <c r="D696" s="125"/>
      <c r="E696" s="125"/>
      <c r="F696" s="125"/>
      <c r="G696" s="125"/>
      <c r="H696" s="125"/>
    </row>
    <row r="697" spans="1:10" ht="18.399999999999999" customHeight="1" thickTop="1">
      <c r="A697" s="125" t="s">
        <v>552</v>
      </c>
      <c r="B697" s="125" t="s">
        <v>647</v>
      </c>
      <c r="C697" s="125"/>
      <c r="D697" s="125"/>
      <c r="E697" s="125"/>
      <c r="F697" s="125"/>
      <c r="G697" s="125"/>
      <c r="H697" s="125"/>
    </row>
    <row r="698" spans="1:10" ht="18.399999999999999" customHeight="1">
      <c r="A698" s="126" t="s">
        <v>554</v>
      </c>
      <c r="B698" s="126"/>
      <c r="C698" s="126" t="s">
        <v>555</v>
      </c>
      <c r="D698" s="126" t="s">
        <v>189</v>
      </c>
      <c r="E698" s="126" t="s">
        <v>190</v>
      </c>
      <c r="F698" s="126" t="s">
        <v>556</v>
      </c>
      <c r="G698" s="126" t="s">
        <v>557</v>
      </c>
      <c r="H698" s="126" t="s">
        <v>195</v>
      </c>
      <c r="I698" s="127" t="str">
        <f>HYPERLINK("#"&amp;J698, "이전으로")</f>
        <v>이전으로</v>
      </c>
      <c r="J698" s="124" t="s">
        <v>1185</v>
      </c>
    </row>
    <row r="699" spans="1:10" ht="18.399999999999999" customHeight="1">
      <c r="A699" s="124" t="s">
        <v>193</v>
      </c>
      <c r="B699" s="124" t="s">
        <v>426</v>
      </c>
      <c r="C699" s="124" t="s">
        <v>436</v>
      </c>
      <c r="D699" s="124">
        <v>0.69420000000000004</v>
      </c>
      <c r="E699" s="128" t="s">
        <v>398</v>
      </c>
      <c r="F699" s="128">
        <f>중기기초자료!$G$75</f>
        <v>67500</v>
      </c>
      <c r="G699" s="129">
        <f>TRUNC(F699*D699, 1)</f>
        <v>46858.5</v>
      </c>
      <c r="H699" s="124" t="s">
        <v>17</v>
      </c>
    </row>
    <row r="700" spans="1:10" ht="18.399999999999999" customHeight="1">
      <c r="B700" s="124" t="s">
        <v>558</v>
      </c>
      <c r="G700" s="128">
        <f>TRUNC(G699, 0)</f>
        <v>46858</v>
      </c>
    </row>
    <row r="701" spans="1:10" ht="18.399999999999999" customHeight="1">
      <c r="A701" s="124" t="s">
        <v>191</v>
      </c>
    </row>
    <row r="702" spans="1:10" ht="18.399999999999999" customHeight="1">
      <c r="B702" s="124" t="s">
        <v>558</v>
      </c>
    </row>
    <row r="703" spans="1:10" ht="18.399999999999999" customHeight="1">
      <c r="A703" s="124" t="s">
        <v>192</v>
      </c>
    </row>
    <row r="704" spans="1:10" ht="18.399999999999999" customHeight="1">
      <c r="B704" s="124" t="s">
        <v>558</v>
      </c>
    </row>
    <row r="705" spans="1:10" ht="18.399999999999999" customHeight="1" thickBot="1">
      <c r="B705" s="124" t="s">
        <v>559</v>
      </c>
      <c r="G705" s="128">
        <f>TRUNC(G700+G702+G704, 0)</f>
        <v>46858</v>
      </c>
    </row>
    <row r="706" spans="1:10" ht="18.399999999999999" customHeight="1" thickTop="1" thickBot="1">
      <c r="A706" s="125"/>
      <c r="B706" s="125"/>
      <c r="C706" s="125"/>
      <c r="D706" s="125"/>
      <c r="E706" s="125"/>
      <c r="F706" s="125"/>
      <c r="G706" s="125"/>
      <c r="H706" s="125"/>
    </row>
    <row r="707" spans="1:10" ht="18.399999999999999" customHeight="1" thickTop="1" thickBot="1">
      <c r="A707" s="125" t="s">
        <v>550</v>
      </c>
      <c r="B707" s="125" t="s">
        <v>648</v>
      </c>
      <c r="C707" s="125"/>
      <c r="D707" s="125"/>
      <c r="E707" s="125"/>
      <c r="F707" s="125"/>
      <c r="G707" s="125"/>
      <c r="H707" s="125"/>
    </row>
    <row r="708" spans="1:10" ht="18.399999999999999" customHeight="1" thickTop="1">
      <c r="A708" s="125" t="s">
        <v>552</v>
      </c>
      <c r="B708" s="125" t="s">
        <v>649</v>
      </c>
      <c r="C708" s="125"/>
      <c r="D708" s="125"/>
      <c r="E708" s="125"/>
      <c r="F708" s="125"/>
      <c r="G708" s="125"/>
      <c r="H708" s="125"/>
    </row>
    <row r="709" spans="1:10" ht="18.399999999999999" customHeight="1">
      <c r="A709" s="126" t="s">
        <v>554</v>
      </c>
      <c r="B709" s="126"/>
      <c r="C709" s="126" t="s">
        <v>555</v>
      </c>
      <c r="D709" s="126" t="s">
        <v>189</v>
      </c>
      <c r="E709" s="126" t="s">
        <v>190</v>
      </c>
      <c r="F709" s="126" t="s">
        <v>556</v>
      </c>
      <c r="G709" s="126" t="s">
        <v>557</v>
      </c>
      <c r="H709" s="126" t="s">
        <v>195</v>
      </c>
      <c r="I709" s="127" t="str">
        <f>HYPERLINK("#"&amp;J709, "이전으로")</f>
        <v>이전으로</v>
      </c>
      <c r="J709" s="124" t="s">
        <v>1186</v>
      </c>
    </row>
    <row r="710" spans="1:10" ht="18.399999999999999" customHeight="1">
      <c r="A710" s="124" t="s">
        <v>193</v>
      </c>
      <c r="B710" s="124" t="s">
        <v>426</v>
      </c>
      <c r="C710" s="124" t="s">
        <v>437</v>
      </c>
      <c r="D710" s="124">
        <v>0.67190000000000005</v>
      </c>
      <c r="E710" s="128" t="s">
        <v>398</v>
      </c>
      <c r="F710" s="128">
        <f>중기기초자료!$G$76</f>
        <v>74500</v>
      </c>
      <c r="G710" s="129">
        <f>TRUNC(F710*D710, 1)</f>
        <v>50056.5</v>
      </c>
      <c r="H710" s="124" t="s">
        <v>17</v>
      </c>
    </row>
    <row r="711" spans="1:10" ht="18.399999999999999" customHeight="1">
      <c r="B711" s="124" t="s">
        <v>558</v>
      </c>
      <c r="G711" s="128">
        <f>TRUNC(G710, 0)</f>
        <v>50056</v>
      </c>
    </row>
    <row r="712" spans="1:10" ht="18.399999999999999" customHeight="1">
      <c r="A712" s="124" t="s">
        <v>191</v>
      </c>
    </row>
    <row r="713" spans="1:10" ht="18.399999999999999" customHeight="1">
      <c r="B713" s="124" t="s">
        <v>558</v>
      </c>
    </row>
    <row r="714" spans="1:10" ht="18.399999999999999" customHeight="1">
      <c r="A714" s="124" t="s">
        <v>192</v>
      </c>
    </row>
    <row r="715" spans="1:10" ht="18.399999999999999" customHeight="1">
      <c r="B715" s="124" t="s">
        <v>558</v>
      </c>
    </row>
    <row r="716" spans="1:10" ht="18.399999999999999" customHeight="1" thickBot="1">
      <c r="B716" s="124" t="s">
        <v>559</v>
      </c>
      <c r="G716" s="128">
        <f>TRUNC(G711+G713+G715, 0)</f>
        <v>50056</v>
      </c>
    </row>
    <row r="717" spans="1:10" ht="18.399999999999999" customHeight="1" thickTop="1" thickBot="1">
      <c r="A717" s="125"/>
      <c r="B717" s="125"/>
      <c r="C717" s="125"/>
      <c r="D717" s="125"/>
      <c r="E717" s="125"/>
      <c r="F717" s="125"/>
      <c r="G717" s="125"/>
      <c r="H717" s="125"/>
    </row>
    <row r="718" spans="1:10" ht="18.399999999999999" customHeight="1" thickTop="1" thickBot="1">
      <c r="A718" s="125" t="s">
        <v>550</v>
      </c>
      <c r="B718" s="125" t="s">
        <v>650</v>
      </c>
      <c r="C718" s="125"/>
      <c r="D718" s="125"/>
      <c r="E718" s="125"/>
      <c r="F718" s="125"/>
      <c r="G718" s="125"/>
      <c r="H718" s="125"/>
    </row>
    <row r="719" spans="1:10" ht="18.399999999999999" customHeight="1" thickTop="1">
      <c r="A719" s="125" t="s">
        <v>552</v>
      </c>
      <c r="B719" s="125" t="s">
        <v>651</v>
      </c>
      <c r="C719" s="125"/>
      <c r="D719" s="125"/>
      <c r="E719" s="125"/>
      <c r="F719" s="125"/>
      <c r="G719" s="125"/>
      <c r="H719" s="125"/>
    </row>
    <row r="720" spans="1:10" ht="18.399999999999999" customHeight="1">
      <c r="A720" s="126" t="s">
        <v>554</v>
      </c>
      <c r="B720" s="126"/>
      <c r="C720" s="126" t="s">
        <v>555</v>
      </c>
      <c r="D720" s="126" t="s">
        <v>189</v>
      </c>
      <c r="E720" s="126" t="s">
        <v>190</v>
      </c>
      <c r="F720" s="126" t="s">
        <v>556</v>
      </c>
      <c r="G720" s="126" t="s">
        <v>557</v>
      </c>
      <c r="H720" s="126" t="s">
        <v>195</v>
      </c>
      <c r="I720" s="127" t="str">
        <f>HYPERLINK("#"&amp;J720, "이전으로")</f>
        <v>이전으로</v>
      </c>
      <c r="J720" s="124" t="s">
        <v>1187</v>
      </c>
    </row>
    <row r="721" spans="1:10" ht="18.399999999999999" customHeight="1">
      <c r="A721" s="124" t="s">
        <v>193</v>
      </c>
      <c r="B721" s="124" t="s">
        <v>426</v>
      </c>
      <c r="C721" s="124" t="s">
        <v>438</v>
      </c>
      <c r="D721" s="124">
        <v>0.50929999999999997</v>
      </c>
      <c r="E721" s="128" t="s">
        <v>398</v>
      </c>
      <c r="F721" s="128">
        <f>중기기초자료!$G$77</f>
        <v>87500</v>
      </c>
      <c r="G721" s="129">
        <f>TRUNC(F721*D721, 1)</f>
        <v>44563.7</v>
      </c>
      <c r="H721" s="124" t="s">
        <v>17</v>
      </c>
    </row>
    <row r="722" spans="1:10" ht="18.399999999999999" customHeight="1">
      <c r="B722" s="124" t="s">
        <v>558</v>
      </c>
      <c r="G722" s="128">
        <f>TRUNC(G721, 0)</f>
        <v>44563</v>
      </c>
    </row>
    <row r="723" spans="1:10" ht="18.399999999999999" customHeight="1">
      <c r="A723" s="124" t="s">
        <v>191</v>
      </c>
    </row>
    <row r="724" spans="1:10" ht="18.399999999999999" customHeight="1">
      <c r="B724" s="124" t="s">
        <v>558</v>
      </c>
    </row>
    <row r="725" spans="1:10" ht="18.399999999999999" customHeight="1">
      <c r="A725" s="124" t="s">
        <v>192</v>
      </c>
    </row>
    <row r="726" spans="1:10" ht="18.399999999999999" customHeight="1">
      <c r="B726" s="124" t="s">
        <v>558</v>
      </c>
    </row>
    <row r="727" spans="1:10" ht="18.399999999999999" customHeight="1" thickBot="1">
      <c r="B727" s="124" t="s">
        <v>559</v>
      </c>
      <c r="G727" s="128">
        <f>TRUNC(G722+G724+G726, 0)</f>
        <v>44563</v>
      </c>
    </row>
    <row r="728" spans="1:10" ht="18.399999999999999" customHeight="1" thickTop="1" thickBot="1">
      <c r="A728" s="125"/>
      <c r="B728" s="125"/>
      <c r="C728" s="125"/>
      <c r="D728" s="125"/>
      <c r="E728" s="125"/>
      <c r="F728" s="125"/>
      <c r="G728" s="125"/>
      <c r="H728" s="125"/>
    </row>
    <row r="729" spans="1:10" ht="18.399999999999999" customHeight="1" thickTop="1" thickBot="1">
      <c r="A729" s="125" t="s">
        <v>550</v>
      </c>
      <c r="B729" s="125" t="s">
        <v>652</v>
      </c>
      <c r="C729" s="125"/>
      <c r="D729" s="125"/>
      <c r="E729" s="125"/>
      <c r="F729" s="125"/>
      <c r="G729" s="125"/>
      <c r="H729" s="125"/>
    </row>
    <row r="730" spans="1:10" ht="18.399999999999999" customHeight="1" thickTop="1">
      <c r="A730" s="125" t="s">
        <v>552</v>
      </c>
      <c r="B730" s="125" t="s">
        <v>653</v>
      </c>
      <c r="C730" s="125"/>
      <c r="D730" s="125"/>
      <c r="E730" s="125"/>
      <c r="F730" s="125"/>
      <c r="G730" s="125"/>
      <c r="H730" s="125"/>
    </row>
    <row r="731" spans="1:10" ht="18.399999999999999" customHeight="1">
      <c r="A731" s="126" t="s">
        <v>554</v>
      </c>
      <c r="B731" s="126"/>
      <c r="C731" s="126" t="s">
        <v>555</v>
      </c>
      <c r="D731" s="126" t="s">
        <v>189</v>
      </c>
      <c r="E731" s="126" t="s">
        <v>190</v>
      </c>
      <c r="F731" s="126" t="s">
        <v>556</v>
      </c>
      <c r="G731" s="126" t="s">
        <v>557</v>
      </c>
      <c r="H731" s="126" t="s">
        <v>195</v>
      </c>
      <c r="I731" s="127" t="str">
        <f>HYPERLINK("#"&amp;J731, "이전으로")</f>
        <v>이전으로</v>
      </c>
      <c r="J731" s="124" t="s">
        <v>1188</v>
      </c>
    </row>
    <row r="732" spans="1:10" ht="18.399999999999999" customHeight="1">
      <c r="A732" s="124" t="s">
        <v>193</v>
      </c>
      <c r="B732" s="124" t="s">
        <v>426</v>
      </c>
      <c r="C732" s="124" t="s">
        <v>439</v>
      </c>
      <c r="D732" s="124">
        <v>0.49209999999999998</v>
      </c>
      <c r="E732" s="128" t="s">
        <v>398</v>
      </c>
      <c r="F732" s="128">
        <f>중기기초자료!$G$78</f>
        <v>96400</v>
      </c>
      <c r="G732" s="129">
        <f>TRUNC(F732*D732, 1)</f>
        <v>47438.400000000001</v>
      </c>
      <c r="H732" s="124" t="s">
        <v>17</v>
      </c>
    </row>
    <row r="733" spans="1:10" ht="18.399999999999999" customHeight="1">
      <c r="B733" s="124" t="s">
        <v>558</v>
      </c>
      <c r="G733" s="128">
        <f>TRUNC(G732, 0)</f>
        <v>47438</v>
      </c>
    </row>
    <row r="734" spans="1:10" ht="18.399999999999999" customHeight="1">
      <c r="A734" s="124" t="s">
        <v>191</v>
      </c>
    </row>
    <row r="735" spans="1:10" ht="18.399999999999999" customHeight="1">
      <c r="B735" s="124" t="s">
        <v>558</v>
      </c>
    </row>
    <row r="736" spans="1:10" ht="18.399999999999999" customHeight="1">
      <c r="A736" s="124" t="s">
        <v>192</v>
      </c>
    </row>
    <row r="737" spans="1:10" ht="18.399999999999999" customHeight="1">
      <c r="B737" s="124" t="s">
        <v>558</v>
      </c>
    </row>
    <row r="738" spans="1:10" ht="18.399999999999999" customHeight="1" thickBot="1">
      <c r="B738" s="124" t="s">
        <v>559</v>
      </c>
      <c r="G738" s="128">
        <f>TRUNC(G733+G735+G737, 0)</f>
        <v>47438</v>
      </c>
    </row>
    <row r="739" spans="1:10" ht="18.399999999999999" customHeight="1" thickTop="1" thickBot="1">
      <c r="A739" s="125"/>
      <c r="B739" s="125"/>
      <c r="C739" s="125"/>
      <c r="D739" s="125"/>
      <c r="E739" s="125"/>
      <c r="F739" s="125"/>
      <c r="G739" s="125"/>
      <c r="H739" s="125"/>
    </row>
    <row r="740" spans="1:10" ht="18.399999999999999" customHeight="1" thickTop="1" thickBot="1">
      <c r="A740" s="125" t="s">
        <v>550</v>
      </c>
      <c r="B740" s="125" t="s">
        <v>654</v>
      </c>
      <c r="C740" s="125"/>
      <c r="D740" s="125"/>
      <c r="E740" s="125"/>
      <c r="F740" s="125"/>
      <c r="G740" s="125"/>
      <c r="H740" s="125"/>
    </row>
    <row r="741" spans="1:10" ht="18.399999999999999" customHeight="1" thickTop="1">
      <c r="A741" s="125" t="s">
        <v>552</v>
      </c>
      <c r="B741" s="125" t="s">
        <v>655</v>
      </c>
      <c r="C741" s="125"/>
      <c r="D741" s="125"/>
      <c r="E741" s="125"/>
      <c r="F741" s="125"/>
      <c r="G741" s="125"/>
      <c r="H741" s="125"/>
    </row>
    <row r="742" spans="1:10" ht="18.399999999999999" customHeight="1">
      <c r="A742" s="126" t="s">
        <v>554</v>
      </c>
      <c r="B742" s="126"/>
      <c r="C742" s="126" t="s">
        <v>555</v>
      </c>
      <c r="D742" s="126" t="s">
        <v>189</v>
      </c>
      <c r="E742" s="126" t="s">
        <v>190</v>
      </c>
      <c r="F742" s="126" t="s">
        <v>556</v>
      </c>
      <c r="G742" s="126" t="s">
        <v>557</v>
      </c>
      <c r="H742" s="126" t="s">
        <v>195</v>
      </c>
      <c r="I742" s="127" t="str">
        <f>HYPERLINK("#"&amp;J742, "이전으로")</f>
        <v>이전으로</v>
      </c>
      <c r="J742" s="124" t="s">
        <v>1189</v>
      </c>
    </row>
    <row r="743" spans="1:10" ht="18.399999999999999" customHeight="1">
      <c r="A743" s="124" t="s">
        <v>193</v>
      </c>
      <c r="B743" s="124" t="s">
        <v>426</v>
      </c>
      <c r="C743" s="124" t="s">
        <v>440</v>
      </c>
      <c r="D743" s="124">
        <v>0.47460000000000002</v>
      </c>
      <c r="E743" s="128" t="s">
        <v>398</v>
      </c>
      <c r="F743" s="128">
        <f>중기기초자료!$G$79</f>
        <v>104400</v>
      </c>
      <c r="G743" s="129">
        <f>TRUNC(F743*D743, 1)</f>
        <v>49548.2</v>
      </c>
      <c r="H743" s="124" t="s">
        <v>17</v>
      </c>
    </row>
    <row r="744" spans="1:10" ht="18.399999999999999" customHeight="1">
      <c r="B744" s="124" t="s">
        <v>558</v>
      </c>
      <c r="G744" s="128">
        <f>TRUNC(G743, 0)</f>
        <v>49548</v>
      </c>
    </row>
    <row r="745" spans="1:10" ht="18.399999999999999" customHeight="1">
      <c r="A745" s="124" t="s">
        <v>191</v>
      </c>
    </row>
    <row r="746" spans="1:10" ht="18.399999999999999" customHeight="1">
      <c r="B746" s="124" t="s">
        <v>558</v>
      </c>
    </row>
    <row r="747" spans="1:10" ht="18.399999999999999" customHeight="1">
      <c r="A747" s="124" t="s">
        <v>192</v>
      </c>
    </row>
    <row r="748" spans="1:10" ht="18.399999999999999" customHeight="1">
      <c r="B748" s="124" t="s">
        <v>558</v>
      </c>
    </row>
    <row r="749" spans="1:10" ht="18.399999999999999" customHeight="1" thickBot="1">
      <c r="B749" s="124" t="s">
        <v>559</v>
      </c>
      <c r="G749" s="128">
        <f>TRUNC(G744+G746+G748, 0)</f>
        <v>49548</v>
      </c>
    </row>
    <row r="750" spans="1:10" ht="18.399999999999999" customHeight="1" thickTop="1" thickBot="1">
      <c r="A750" s="125"/>
      <c r="B750" s="125"/>
      <c r="C750" s="125"/>
      <c r="D750" s="125"/>
      <c r="E750" s="125"/>
      <c r="F750" s="125"/>
      <c r="G750" s="125"/>
      <c r="H750" s="125"/>
    </row>
    <row r="751" spans="1:10" ht="18.399999999999999" customHeight="1" thickTop="1" thickBot="1">
      <c r="A751" s="125" t="s">
        <v>550</v>
      </c>
      <c r="B751" s="125" t="s">
        <v>656</v>
      </c>
      <c r="C751" s="125"/>
      <c r="D751" s="125"/>
      <c r="E751" s="125"/>
      <c r="F751" s="125"/>
      <c r="G751" s="125"/>
      <c r="H751" s="125"/>
    </row>
    <row r="752" spans="1:10" ht="18.399999999999999" customHeight="1" thickTop="1">
      <c r="A752" s="125" t="s">
        <v>552</v>
      </c>
      <c r="B752" s="125" t="s">
        <v>657</v>
      </c>
      <c r="C752" s="125"/>
      <c r="D752" s="125"/>
      <c r="E752" s="125"/>
      <c r="F752" s="125"/>
      <c r="G752" s="125"/>
      <c r="H752" s="125"/>
    </row>
    <row r="753" spans="1:10" ht="18.399999999999999" customHeight="1">
      <c r="A753" s="126" t="s">
        <v>554</v>
      </c>
      <c r="B753" s="126"/>
      <c r="C753" s="126" t="s">
        <v>555</v>
      </c>
      <c r="D753" s="126" t="s">
        <v>189</v>
      </c>
      <c r="E753" s="126" t="s">
        <v>190</v>
      </c>
      <c r="F753" s="126" t="s">
        <v>556</v>
      </c>
      <c r="G753" s="126" t="s">
        <v>557</v>
      </c>
      <c r="H753" s="126" t="s">
        <v>195</v>
      </c>
      <c r="I753" s="127" t="str">
        <f>HYPERLINK("#"&amp;J753, "이전으로")</f>
        <v>이전으로</v>
      </c>
      <c r="J753" s="124" t="s">
        <v>1190</v>
      </c>
    </row>
    <row r="754" spans="1:10" ht="18.399999999999999" customHeight="1">
      <c r="A754" s="124" t="s">
        <v>193</v>
      </c>
      <c r="B754" s="124" t="s">
        <v>426</v>
      </c>
      <c r="C754" s="124" t="s">
        <v>441</v>
      </c>
      <c r="D754" s="124">
        <v>0.30509999999999998</v>
      </c>
      <c r="E754" s="128" t="s">
        <v>398</v>
      </c>
      <c r="F754" s="128">
        <f>중기기초자료!$G$80</f>
        <v>116400</v>
      </c>
      <c r="G754" s="129">
        <f>TRUNC(F754*D754, 1)</f>
        <v>35513.599999999999</v>
      </c>
      <c r="H754" s="124" t="s">
        <v>17</v>
      </c>
    </row>
    <row r="755" spans="1:10" ht="18.399999999999999" customHeight="1">
      <c r="B755" s="124" t="s">
        <v>558</v>
      </c>
      <c r="G755" s="128">
        <f>TRUNC(G754, 0)</f>
        <v>35513</v>
      </c>
    </row>
    <row r="756" spans="1:10" ht="18.399999999999999" customHeight="1">
      <c r="A756" s="124" t="s">
        <v>191</v>
      </c>
    </row>
    <row r="757" spans="1:10" ht="18.399999999999999" customHeight="1">
      <c r="B757" s="124" t="s">
        <v>558</v>
      </c>
    </row>
    <row r="758" spans="1:10" ht="18.399999999999999" customHeight="1">
      <c r="A758" s="124" t="s">
        <v>192</v>
      </c>
    </row>
    <row r="759" spans="1:10" ht="18.399999999999999" customHeight="1">
      <c r="B759" s="124" t="s">
        <v>558</v>
      </c>
    </row>
    <row r="760" spans="1:10" ht="18.399999999999999" customHeight="1" thickBot="1">
      <c r="B760" s="124" t="s">
        <v>559</v>
      </c>
      <c r="G760" s="128">
        <f>TRUNC(G755+G757+G759, 0)</f>
        <v>35513</v>
      </c>
    </row>
    <row r="761" spans="1:10" ht="18.399999999999999" customHeight="1" thickTop="1" thickBot="1">
      <c r="A761" s="125"/>
      <c r="B761" s="125"/>
      <c r="C761" s="125"/>
      <c r="D761" s="125"/>
      <c r="E761" s="125"/>
      <c r="F761" s="125"/>
      <c r="G761" s="125"/>
      <c r="H761" s="125"/>
    </row>
    <row r="762" spans="1:10" ht="18.399999999999999" customHeight="1" thickTop="1" thickBot="1">
      <c r="A762" s="125" t="s">
        <v>550</v>
      </c>
      <c r="B762" s="125" t="s">
        <v>658</v>
      </c>
      <c r="C762" s="125"/>
      <c r="D762" s="125"/>
      <c r="E762" s="125"/>
      <c r="F762" s="125"/>
      <c r="G762" s="125"/>
      <c r="H762" s="125"/>
    </row>
    <row r="763" spans="1:10" ht="18.399999999999999" customHeight="1" thickTop="1">
      <c r="A763" s="125" t="s">
        <v>552</v>
      </c>
      <c r="B763" s="125" t="s">
        <v>659</v>
      </c>
      <c r="C763" s="125"/>
      <c r="D763" s="125"/>
      <c r="E763" s="125"/>
      <c r="F763" s="125"/>
      <c r="G763" s="125"/>
      <c r="H763" s="125"/>
    </row>
    <row r="764" spans="1:10" ht="18.399999999999999" customHeight="1">
      <c r="A764" s="126" t="s">
        <v>554</v>
      </c>
      <c r="B764" s="126"/>
      <c r="C764" s="126" t="s">
        <v>555</v>
      </c>
      <c r="D764" s="126" t="s">
        <v>189</v>
      </c>
      <c r="E764" s="126" t="s">
        <v>190</v>
      </c>
      <c r="F764" s="126" t="s">
        <v>556</v>
      </c>
      <c r="G764" s="126" t="s">
        <v>557</v>
      </c>
      <c r="H764" s="126" t="s">
        <v>195</v>
      </c>
      <c r="I764" s="127" t="str">
        <f>HYPERLINK("#"&amp;J764, "이전으로")</f>
        <v>이전으로</v>
      </c>
      <c r="J764" s="124" t="s">
        <v>1191</v>
      </c>
    </row>
    <row r="765" spans="1:10" ht="18.399999999999999" customHeight="1">
      <c r="A765" s="124" t="s">
        <v>193</v>
      </c>
      <c r="B765" s="124" t="s">
        <v>426</v>
      </c>
      <c r="C765" s="124" t="s">
        <v>442</v>
      </c>
      <c r="D765" s="124">
        <v>0.28960000000000002</v>
      </c>
      <c r="E765" s="128" t="s">
        <v>398</v>
      </c>
      <c r="F765" s="128">
        <f>중기기초자료!$G$81</f>
        <v>121300</v>
      </c>
      <c r="G765" s="129">
        <f>TRUNC(F765*D765, 1)</f>
        <v>35128.400000000001</v>
      </c>
      <c r="H765" s="124" t="s">
        <v>17</v>
      </c>
    </row>
    <row r="766" spans="1:10" ht="18.399999999999999" customHeight="1">
      <c r="B766" s="124" t="s">
        <v>558</v>
      </c>
      <c r="G766" s="128">
        <f>TRUNC(G765, 0)</f>
        <v>35128</v>
      </c>
    </row>
    <row r="767" spans="1:10" ht="18.399999999999999" customHeight="1">
      <c r="A767" s="124" t="s">
        <v>191</v>
      </c>
    </row>
    <row r="768" spans="1:10" ht="18.399999999999999" customHeight="1">
      <c r="B768" s="124" t="s">
        <v>558</v>
      </c>
    </row>
    <row r="769" spans="1:10" ht="18.399999999999999" customHeight="1">
      <c r="A769" s="124" t="s">
        <v>192</v>
      </c>
    </row>
    <row r="770" spans="1:10" ht="18.399999999999999" customHeight="1">
      <c r="B770" s="124" t="s">
        <v>558</v>
      </c>
    </row>
    <row r="771" spans="1:10" ht="18.399999999999999" customHeight="1" thickBot="1">
      <c r="B771" s="124" t="s">
        <v>559</v>
      </c>
      <c r="G771" s="128">
        <f>TRUNC(G766+G768+G770, 0)</f>
        <v>35128</v>
      </c>
    </row>
    <row r="772" spans="1:10" ht="18.399999999999999" customHeight="1" thickTop="1" thickBot="1">
      <c r="A772" s="125"/>
      <c r="B772" s="125"/>
      <c r="C772" s="125"/>
      <c r="D772" s="125"/>
      <c r="E772" s="125"/>
      <c r="F772" s="125"/>
      <c r="G772" s="125"/>
      <c r="H772" s="125"/>
    </row>
    <row r="773" spans="1:10" ht="18.399999999999999" customHeight="1" thickTop="1" thickBot="1">
      <c r="A773" s="125" t="s">
        <v>550</v>
      </c>
      <c r="B773" s="125" t="s">
        <v>660</v>
      </c>
      <c r="C773" s="125"/>
      <c r="D773" s="125"/>
      <c r="E773" s="125"/>
      <c r="F773" s="125"/>
      <c r="G773" s="125"/>
      <c r="H773" s="125"/>
    </row>
    <row r="774" spans="1:10" ht="18.399999999999999" customHeight="1" thickTop="1">
      <c r="A774" s="125" t="s">
        <v>552</v>
      </c>
      <c r="B774" s="125" t="s">
        <v>661</v>
      </c>
      <c r="C774" s="125"/>
      <c r="D774" s="125"/>
      <c r="E774" s="125"/>
      <c r="F774" s="125"/>
      <c r="G774" s="125"/>
      <c r="H774" s="125"/>
    </row>
    <row r="775" spans="1:10" ht="18.399999999999999" customHeight="1">
      <c r="A775" s="126" t="s">
        <v>554</v>
      </c>
      <c r="B775" s="126"/>
      <c r="C775" s="126" t="s">
        <v>555</v>
      </c>
      <c r="D775" s="126" t="s">
        <v>189</v>
      </c>
      <c r="E775" s="126" t="s">
        <v>190</v>
      </c>
      <c r="F775" s="126" t="s">
        <v>556</v>
      </c>
      <c r="G775" s="126" t="s">
        <v>557</v>
      </c>
      <c r="H775" s="126" t="s">
        <v>195</v>
      </c>
      <c r="I775" s="127" t="str">
        <f>HYPERLINK("#"&amp;J775, "이전으로")</f>
        <v>이전으로</v>
      </c>
      <c r="J775" s="124" t="s">
        <v>1254</v>
      </c>
    </row>
    <row r="776" spans="1:10" ht="18.399999999999999" customHeight="1">
      <c r="A776" s="124" t="s">
        <v>193</v>
      </c>
      <c r="B776" s="124" t="s">
        <v>426</v>
      </c>
      <c r="C776" s="124" t="s">
        <v>443</v>
      </c>
      <c r="D776" s="124">
        <v>0.28670000000000001</v>
      </c>
      <c r="E776" s="128" t="s">
        <v>398</v>
      </c>
      <c r="F776" s="128">
        <f>중기기초자료!$G$82</f>
        <v>133000</v>
      </c>
      <c r="G776" s="129">
        <f>TRUNC(F776*D776, 1)</f>
        <v>38131.1</v>
      </c>
      <c r="H776" s="124" t="s">
        <v>17</v>
      </c>
    </row>
    <row r="777" spans="1:10" ht="18.399999999999999" customHeight="1">
      <c r="B777" s="124" t="s">
        <v>558</v>
      </c>
      <c r="G777" s="128">
        <f>TRUNC(G776, 0)</f>
        <v>38131</v>
      </c>
    </row>
    <row r="778" spans="1:10" ht="18.399999999999999" customHeight="1">
      <c r="A778" s="124" t="s">
        <v>191</v>
      </c>
    </row>
    <row r="779" spans="1:10" ht="18.399999999999999" customHeight="1">
      <c r="B779" s="124" t="s">
        <v>558</v>
      </c>
    </row>
    <row r="780" spans="1:10" ht="18.399999999999999" customHeight="1">
      <c r="A780" s="124" t="s">
        <v>192</v>
      </c>
    </row>
    <row r="781" spans="1:10" ht="18.399999999999999" customHeight="1">
      <c r="B781" s="124" t="s">
        <v>558</v>
      </c>
    </row>
    <row r="782" spans="1:10" ht="18.399999999999999" customHeight="1" thickBot="1">
      <c r="B782" s="124" t="s">
        <v>559</v>
      </c>
      <c r="G782" s="128">
        <f>TRUNC(G777+G779+G781, 0)</f>
        <v>38131</v>
      </c>
    </row>
    <row r="783" spans="1:10" ht="18.399999999999999" customHeight="1" thickTop="1" thickBot="1">
      <c r="A783" s="125"/>
      <c r="B783" s="125"/>
      <c r="C783" s="125"/>
      <c r="D783" s="125"/>
      <c r="E783" s="125"/>
      <c r="F783" s="125"/>
      <c r="G783" s="125"/>
      <c r="H783" s="125"/>
    </row>
    <row r="784" spans="1:10" ht="18.399999999999999" customHeight="1" thickTop="1" thickBot="1">
      <c r="A784" s="125" t="s">
        <v>550</v>
      </c>
      <c r="B784" s="125" t="s">
        <v>981</v>
      </c>
      <c r="C784" s="125"/>
      <c r="D784" s="125"/>
      <c r="E784" s="125"/>
      <c r="F784" s="125"/>
      <c r="G784" s="125"/>
      <c r="H784" s="125"/>
    </row>
    <row r="785" spans="1:10" ht="18.399999999999999" customHeight="1" thickTop="1">
      <c r="A785" s="125" t="s">
        <v>552</v>
      </c>
      <c r="B785" s="125" t="s">
        <v>661</v>
      </c>
      <c r="C785" s="125"/>
      <c r="D785" s="125"/>
      <c r="E785" s="125"/>
      <c r="F785" s="125"/>
      <c r="G785" s="125"/>
      <c r="H785" s="125"/>
    </row>
    <row r="786" spans="1:10" ht="18.399999999999999" customHeight="1">
      <c r="A786" s="126" t="s">
        <v>554</v>
      </c>
      <c r="B786" s="126"/>
      <c r="C786" s="126" t="s">
        <v>555</v>
      </c>
      <c r="D786" s="126" t="s">
        <v>189</v>
      </c>
      <c r="E786" s="126" t="s">
        <v>190</v>
      </c>
      <c r="F786" s="126" t="s">
        <v>556</v>
      </c>
      <c r="G786" s="126" t="s">
        <v>557</v>
      </c>
      <c r="H786" s="126" t="s">
        <v>195</v>
      </c>
      <c r="I786" s="127" t="str">
        <f>HYPERLINK("#"&amp;J786, "이전으로")</f>
        <v>이전으로</v>
      </c>
      <c r="J786" s="124" t="s">
        <v>1255</v>
      </c>
    </row>
    <row r="787" spans="1:10" ht="18.399999999999999" customHeight="1">
      <c r="A787" s="124" t="s">
        <v>193</v>
      </c>
      <c r="B787" s="124" t="s">
        <v>426</v>
      </c>
      <c r="C787" s="124" t="s">
        <v>979</v>
      </c>
      <c r="D787" s="124">
        <v>0.28670000000000001</v>
      </c>
      <c r="E787" s="128" t="s">
        <v>398</v>
      </c>
      <c r="F787" s="128">
        <f>중기기초자료!$G$83</f>
        <v>133000</v>
      </c>
      <c r="G787" s="129">
        <f>TRUNC(F787*D787, 1)</f>
        <v>38131.1</v>
      </c>
      <c r="H787" s="124" t="s">
        <v>17</v>
      </c>
    </row>
    <row r="788" spans="1:10" ht="18.399999999999999" customHeight="1">
      <c r="B788" s="124" t="s">
        <v>558</v>
      </c>
      <c r="G788" s="128">
        <f>TRUNC(G787, 0)</f>
        <v>38131</v>
      </c>
    </row>
    <row r="789" spans="1:10" ht="18.399999999999999" customHeight="1">
      <c r="A789" s="124" t="s">
        <v>191</v>
      </c>
    </row>
    <row r="790" spans="1:10" ht="18.399999999999999" customHeight="1">
      <c r="B790" s="124" t="s">
        <v>558</v>
      </c>
    </row>
    <row r="791" spans="1:10" ht="18.399999999999999" customHeight="1">
      <c r="A791" s="124" t="s">
        <v>192</v>
      </c>
    </row>
    <row r="792" spans="1:10" ht="18.399999999999999" customHeight="1">
      <c r="B792" s="124" t="s">
        <v>558</v>
      </c>
    </row>
    <row r="793" spans="1:10" ht="18.399999999999999" customHeight="1" thickBot="1">
      <c r="B793" s="124" t="s">
        <v>559</v>
      </c>
      <c r="G793" s="128">
        <f>TRUNC(G788+G790+G792, 0)</f>
        <v>38131</v>
      </c>
    </row>
    <row r="794" spans="1:10" ht="18.399999999999999" customHeight="1" thickTop="1" thickBot="1">
      <c r="A794" s="125"/>
      <c r="B794" s="125"/>
      <c r="C794" s="125"/>
      <c r="D794" s="125"/>
      <c r="E794" s="125"/>
      <c r="F794" s="125"/>
      <c r="G794" s="125"/>
      <c r="H794" s="125"/>
    </row>
    <row r="795" spans="1:10" ht="18.399999999999999" customHeight="1" thickTop="1" thickBot="1">
      <c r="A795" s="125" t="s">
        <v>550</v>
      </c>
      <c r="B795" s="125" t="s">
        <v>662</v>
      </c>
      <c r="C795" s="125"/>
      <c r="D795" s="125"/>
      <c r="E795" s="125"/>
      <c r="F795" s="125"/>
      <c r="G795" s="125"/>
      <c r="H795" s="125"/>
    </row>
    <row r="796" spans="1:10" ht="18.399999999999999" customHeight="1" thickTop="1">
      <c r="A796" s="125" t="s">
        <v>552</v>
      </c>
      <c r="B796" s="125" t="s">
        <v>663</v>
      </c>
      <c r="C796" s="125"/>
      <c r="D796" s="125"/>
      <c r="E796" s="125"/>
      <c r="F796" s="125"/>
      <c r="G796" s="125"/>
      <c r="H796" s="125"/>
    </row>
    <row r="797" spans="1:10" ht="18.399999999999999" customHeight="1">
      <c r="A797" s="126" t="s">
        <v>554</v>
      </c>
      <c r="B797" s="126"/>
      <c r="C797" s="126" t="s">
        <v>555</v>
      </c>
      <c r="D797" s="126" t="s">
        <v>189</v>
      </c>
      <c r="E797" s="126" t="s">
        <v>190</v>
      </c>
      <c r="F797" s="126" t="s">
        <v>556</v>
      </c>
      <c r="G797" s="126" t="s">
        <v>557</v>
      </c>
      <c r="H797" s="126" t="s">
        <v>195</v>
      </c>
      <c r="I797" s="127" t="str">
        <f>HYPERLINK("#"&amp;J797, "이전으로")</f>
        <v>이전으로</v>
      </c>
      <c r="J797" s="124" t="s">
        <v>1192</v>
      </c>
    </row>
    <row r="798" spans="1:10" ht="18.399999999999999" customHeight="1">
      <c r="A798" s="124" t="s">
        <v>193</v>
      </c>
      <c r="B798" s="124" t="s">
        <v>426</v>
      </c>
      <c r="C798" s="124" t="s">
        <v>444</v>
      </c>
      <c r="D798" s="124">
        <v>0.2772</v>
      </c>
      <c r="E798" s="128" t="s">
        <v>398</v>
      </c>
      <c r="F798" s="128">
        <f>중기기초자료!$G$84</f>
        <v>145000</v>
      </c>
      <c r="G798" s="129">
        <f>TRUNC(F798*D798, 1)</f>
        <v>40194</v>
      </c>
      <c r="H798" s="124" t="s">
        <v>17</v>
      </c>
    </row>
    <row r="799" spans="1:10" ht="18.399999999999999" customHeight="1">
      <c r="B799" s="124" t="s">
        <v>558</v>
      </c>
      <c r="G799" s="128">
        <f>TRUNC(G798, 0)</f>
        <v>40194</v>
      </c>
    </row>
    <row r="800" spans="1:10" ht="18.399999999999999" customHeight="1">
      <c r="A800" s="124" t="s">
        <v>191</v>
      </c>
    </row>
    <row r="801" spans="1:10" ht="18.399999999999999" customHeight="1">
      <c r="B801" s="124" t="s">
        <v>558</v>
      </c>
    </row>
    <row r="802" spans="1:10" ht="18.399999999999999" customHeight="1">
      <c r="A802" s="124" t="s">
        <v>192</v>
      </c>
    </row>
    <row r="803" spans="1:10" ht="18.399999999999999" customHeight="1">
      <c r="B803" s="124" t="s">
        <v>558</v>
      </c>
    </row>
    <row r="804" spans="1:10" ht="18.399999999999999" customHeight="1" thickBot="1">
      <c r="B804" s="124" t="s">
        <v>559</v>
      </c>
      <c r="G804" s="128">
        <f>TRUNC(G799+G801+G803, 0)</f>
        <v>40194</v>
      </c>
    </row>
    <row r="805" spans="1:10" ht="18.399999999999999" customHeight="1" thickTop="1" thickBot="1">
      <c r="A805" s="125"/>
      <c r="B805" s="125"/>
      <c r="C805" s="125"/>
      <c r="D805" s="125"/>
      <c r="E805" s="125"/>
      <c r="F805" s="125"/>
      <c r="G805" s="125"/>
      <c r="H805" s="125"/>
    </row>
    <row r="806" spans="1:10" ht="18.399999999999999" customHeight="1" thickTop="1" thickBot="1">
      <c r="A806" s="125" t="s">
        <v>550</v>
      </c>
      <c r="B806" s="125" t="s">
        <v>664</v>
      </c>
      <c r="C806" s="125"/>
      <c r="D806" s="125"/>
      <c r="E806" s="125"/>
      <c r="F806" s="125"/>
      <c r="G806" s="125"/>
      <c r="H806" s="125"/>
    </row>
    <row r="807" spans="1:10" ht="18.399999999999999" customHeight="1" thickTop="1">
      <c r="A807" s="125" t="s">
        <v>552</v>
      </c>
      <c r="B807" s="125" t="s">
        <v>665</v>
      </c>
      <c r="C807" s="125"/>
      <c r="D807" s="125"/>
      <c r="E807" s="125"/>
      <c r="F807" s="125"/>
      <c r="G807" s="125"/>
      <c r="H807" s="125"/>
    </row>
    <row r="808" spans="1:10" ht="18.399999999999999" customHeight="1">
      <c r="A808" s="126" t="s">
        <v>554</v>
      </c>
      <c r="B808" s="126"/>
      <c r="C808" s="126" t="s">
        <v>555</v>
      </c>
      <c r="D808" s="126" t="s">
        <v>189</v>
      </c>
      <c r="E808" s="126" t="s">
        <v>190</v>
      </c>
      <c r="F808" s="126" t="s">
        <v>556</v>
      </c>
      <c r="G808" s="126" t="s">
        <v>557</v>
      </c>
      <c r="H808" s="126" t="s">
        <v>195</v>
      </c>
      <c r="I808" s="127" t="str">
        <f>HYPERLINK("#"&amp;J808, "이전으로")</f>
        <v>이전으로</v>
      </c>
      <c r="J808" s="124" t="s">
        <v>1193</v>
      </c>
    </row>
    <row r="809" spans="1:10" ht="18.399999999999999" customHeight="1">
      <c r="A809" s="124" t="s">
        <v>193</v>
      </c>
      <c r="B809" s="124" t="s">
        <v>426</v>
      </c>
      <c r="C809" s="124" t="s">
        <v>445</v>
      </c>
      <c r="D809" s="124">
        <v>1.1307</v>
      </c>
      <c r="E809" s="128" t="s">
        <v>398</v>
      </c>
      <c r="F809" s="128">
        <f>중기기초자료!$G$85</f>
        <v>215000</v>
      </c>
      <c r="G809" s="129">
        <f>TRUNC(F809*D809, 1)</f>
        <v>243100.5</v>
      </c>
      <c r="H809" s="124" t="s">
        <v>17</v>
      </c>
    </row>
    <row r="810" spans="1:10" ht="18.399999999999999" customHeight="1">
      <c r="B810" s="124" t="s">
        <v>558</v>
      </c>
      <c r="G810" s="128">
        <f>TRUNC(G809, 0)</f>
        <v>243100</v>
      </c>
    </row>
    <row r="811" spans="1:10" ht="18.399999999999999" customHeight="1">
      <c r="A811" s="124" t="s">
        <v>191</v>
      </c>
    </row>
    <row r="812" spans="1:10" ht="18.399999999999999" customHeight="1">
      <c r="B812" s="124" t="s">
        <v>558</v>
      </c>
    </row>
    <row r="813" spans="1:10" ht="18.399999999999999" customHeight="1">
      <c r="A813" s="124" t="s">
        <v>192</v>
      </c>
    </row>
    <row r="814" spans="1:10" ht="18.399999999999999" customHeight="1">
      <c r="B814" s="124" t="s">
        <v>558</v>
      </c>
    </row>
    <row r="815" spans="1:10" ht="18.399999999999999" customHeight="1" thickBot="1">
      <c r="B815" s="124" t="s">
        <v>559</v>
      </c>
      <c r="G815" s="128">
        <f>TRUNC(G810+G812+G814, 0)</f>
        <v>243100</v>
      </c>
    </row>
    <row r="816" spans="1:10" ht="18.399999999999999" customHeight="1" thickTop="1" thickBot="1">
      <c r="A816" s="125"/>
      <c r="B816" s="125"/>
      <c r="C816" s="125"/>
      <c r="D816" s="125"/>
      <c r="E816" s="125"/>
      <c r="F816" s="125"/>
      <c r="G816" s="125"/>
      <c r="H816" s="125"/>
    </row>
    <row r="817" spans="1:10" ht="18.399999999999999" customHeight="1" thickTop="1" thickBot="1">
      <c r="A817" s="125" t="s">
        <v>550</v>
      </c>
      <c r="B817" s="125" t="s">
        <v>666</v>
      </c>
      <c r="C817" s="125"/>
      <c r="D817" s="125"/>
      <c r="E817" s="125"/>
      <c r="F817" s="125"/>
      <c r="G817" s="125"/>
      <c r="H817" s="125"/>
    </row>
    <row r="818" spans="1:10" ht="18.399999999999999" customHeight="1" thickTop="1">
      <c r="A818" s="125" t="s">
        <v>552</v>
      </c>
      <c r="B818" s="125" t="s">
        <v>667</v>
      </c>
      <c r="C818" s="125"/>
      <c r="D818" s="125"/>
      <c r="E818" s="125"/>
      <c r="F818" s="125"/>
      <c r="G818" s="125"/>
      <c r="H818" s="125"/>
    </row>
    <row r="819" spans="1:10" ht="18.399999999999999" customHeight="1">
      <c r="A819" s="126" t="s">
        <v>554</v>
      </c>
      <c r="B819" s="126"/>
      <c r="C819" s="126" t="s">
        <v>555</v>
      </c>
      <c r="D819" s="126" t="s">
        <v>189</v>
      </c>
      <c r="E819" s="126" t="s">
        <v>190</v>
      </c>
      <c r="F819" s="126" t="s">
        <v>556</v>
      </c>
      <c r="G819" s="126" t="s">
        <v>557</v>
      </c>
      <c r="H819" s="126" t="s">
        <v>195</v>
      </c>
      <c r="I819" s="127" t="str">
        <f>HYPERLINK("#"&amp;J819, "이전으로")</f>
        <v>이전으로</v>
      </c>
      <c r="J819" s="124" t="s">
        <v>1194</v>
      </c>
    </row>
    <row r="820" spans="1:10" ht="18.399999999999999" customHeight="1">
      <c r="A820" s="124" t="s">
        <v>193</v>
      </c>
      <c r="B820" s="124" t="s">
        <v>426</v>
      </c>
      <c r="C820" s="124" t="s">
        <v>446</v>
      </c>
      <c r="D820" s="124">
        <v>1.1043000000000001</v>
      </c>
      <c r="E820" s="128" t="s">
        <v>398</v>
      </c>
      <c r="F820" s="128">
        <f>중기기초자료!$G$86</f>
        <v>296600</v>
      </c>
      <c r="G820" s="129">
        <f>TRUNC(F820*D820, 1)</f>
        <v>327535.3</v>
      </c>
      <c r="H820" s="124" t="s">
        <v>17</v>
      </c>
    </row>
    <row r="821" spans="1:10" ht="18.399999999999999" customHeight="1">
      <c r="B821" s="124" t="s">
        <v>558</v>
      </c>
      <c r="G821" s="128">
        <f>TRUNC(G820, 0)</f>
        <v>327535</v>
      </c>
    </row>
    <row r="822" spans="1:10" ht="18.399999999999999" customHeight="1">
      <c r="A822" s="124" t="s">
        <v>191</v>
      </c>
    </row>
    <row r="823" spans="1:10" ht="18.399999999999999" customHeight="1">
      <c r="B823" s="124" t="s">
        <v>558</v>
      </c>
    </row>
    <row r="824" spans="1:10" ht="18.399999999999999" customHeight="1">
      <c r="A824" s="124" t="s">
        <v>192</v>
      </c>
    </row>
    <row r="825" spans="1:10" ht="18.399999999999999" customHeight="1">
      <c r="B825" s="124" t="s">
        <v>558</v>
      </c>
    </row>
    <row r="826" spans="1:10" ht="18.399999999999999" customHeight="1" thickBot="1">
      <c r="B826" s="124" t="s">
        <v>559</v>
      </c>
      <c r="G826" s="128">
        <f>TRUNC(G821+G823+G825, 0)</f>
        <v>327535</v>
      </c>
    </row>
    <row r="827" spans="1:10" ht="18.399999999999999" customHeight="1" thickTop="1" thickBot="1">
      <c r="A827" s="125"/>
      <c r="B827" s="125"/>
      <c r="C827" s="125"/>
      <c r="D827" s="125"/>
      <c r="E827" s="125"/>
      <c r="F827" s="125"/>
      <c r="G827" s="125"/>
      <c r="H827" s="125"/>
    </row>
    <row r="828" spans="1:10" ht="18.399999999999999" customHeight="1" thickTop="1" thickBot="1">
      <c r="A828" s="125" t="s">
        <v>550</v>
      </c>
      <c r="B828" s="125" t="s">
        <v>668</v>
      </c>
      <c r="C828" s="125"/>
      <c r="D828" s="125"/>
      <c r="E828" s="125"/>
      <c r="F828" s="125"/>
      <c r="G828" s="125"/>
      <c r="H828" s="125"/>
    </row>
    <row r="829" spans="1:10" ht="18.399999999999999" customHeight="1" thickTop="1">
      <c r="A829" s="125" t="s">
        <v>552</v>
      </c>
      <c r="B829" s="125" t="s">
        <v>669</v>
      </c>
      <c r="C829" s="125"/>
      <c r="D829" s="125"/>
      <c r="E829" s="125"/>
      <c r="F829" s="125"/>
      <c r="G829" s="125"/>
      <c r="H829" s="125"/>
    </row>
    <row r="830" spans="1:10" ht="18.399999999999999" customHeight="1">
      <c r="A830" s="126" t="s">
        <v>554</v>
      </c>
      <c r="B830" s="126"/>
      <c r="C830" s="126" t="s">
        <v>555</v>
      </c>
      <c r="D830" s="126" t="s">
        <v>189</v>
      </c>
      <c r="E830" s="126" t="s">
        <v>190</v>
      </c>
      <c r="F830" s="126" t="s">
        <v>556</v>
      </c>
      <c r="G830" s="126" t="s">
        <v>557</v>
      </c>
      <c r="H830" s="126" t="s">
        <v>195</v>
      </c>
      <c r="I830" s="127" t="str">
        <f>HYPERLINK("#"&amp;J830, "이전으로")</f>
        <v>이전으로</v>
      </c>
      <c r="J830" s="124" t="s">
        <v>1195</v>
      </c>
    </row>
    <row r="831" spans="1:10" ht="18.399999999999999" customHeight="1">
      <c r="A831" s="124" t="s">
        <v>193</v>
      </c>
      <c r="B831" s="124" t="s">
        <v>426</v>
      </c>
      <c r="C831" s="124" t="s">
        <v>447</v>
      </c>
      <c r="D831" s="124">
        <v>1.0589</v>
      </c>
      <c r="E831" s="128" t="s">
        <v>398</v>
      </c>
      <c r="F831" s="128">
        <f>중기기초자료!$G$87</f>
        <v>333000</v>
      </c>
      <c r="G831" s="129">
        <f>TRUNC(F831*D831, 1)</f>
        <v>352613.7</v>
      </c>
      <c r="H831" s="124" t="s">
        <v>17</v>
      </c>
    </row>
    <row r="832" spans="1:10" ht="18.399999999999999" customHeight="1">
      <c r="B832" s="124" t="s">
        <v>558</v>
      </c>
      <c r="G832" s="128">
        <f>TRUNC(G831, 0)</f>
        <v>352613</v>
      </c>
    </row>
    <row r="833" spans="1:10" ht="18.399999999999999" customHeight="1">
      <c r="A833" s="124" t="s">
        <v>191</v>
      </c>
    </row>
    <row r="834" spans="1:10" ht="18.399999999999999" customHeight="1">
      <c r="B834" s="124" t="s">
        <v>558</v>
      </c>
    </row>
    <row r="835" spans="1:10" ht="18.399999999999999" customHeight="1">
      <c r="A835" s="124" t="s">
        <v>192</v>
      </c>
    </row>
    <row r="836" spans="1:10" ht="18.399999999999999" customHeight="1">
      <c r="B836" s="124" t="s">
        <v>558</v>
      </c>
    </row>
    <row r="837" spans="1:10" ht="18.399999999999999" customHeight="1" thickBot="1">
      <c r="B837" s="124" t="s">
        <v>559</v>
      </c>
      <c r="G837" s="128">
        <f>TRUNC(G832+G834+G836, 0)</f>
        <v>352613</v>
      </c>
    </row>
    <row r="838" spans="1:10" ht="18.399999999999999" customHeight="1" thickTop="1" thickBot="1">
      <c r="A838" s="125"/>
      <c r="B838" s="125"/>
      <c r="C838" s="125"/>
      <c r="D838" s="125"/>
      <c r="E838" s="125"/>
      <c r="F838" s="125"/>
      <c r="G838" s="125"/>
      <c r="H838" s="125"/>
    </row>
    <row r="839" spans="1:10" ht="18.399999999999999" customHeight="1" thickTop="1" thickBot="1">
      <c r="A839" s="125" t="s">
        <v>550</v>
      </c>
      <c r="B839" s="125" t="s">
        <v>670</v>
      </c>
      <c r="C839" s="125"/>
      <c r="D839" s="125"/>
      <c r="E839" s="125"/>
      <c r="F839" s="125"/>
      <c r="G839" s="125"/>
      <c r="H839" s="125"/>
    </row>
    <row r="840" spans="1:10" ht="18.399999999999999" customHeight="1" thickTop="1">
      <c r="A840" s="125" t="s">
        <v>552</v>
      </c>
      <c r="B840" s="125" t="s">
        <v>671</v>
      </c>
      <c r="C840" s="125"/>
      <c r="D840" s="125"/>
      <c r="E840" s="125"/>
      <c r="F840" s="125"/>
      <c r="G840" s="125"/>
      <c r="H840" s="125"/>
    </row>
    <row r="841" spans="1:10" ht="18.399999999999999" customHeight="1">
      <c r="A841" s="126" t="s">
        <v>554</v>
      </c>
      <c r="B841" s="126"/>
      <c r="C841" s="126" t="s">
        <v>555</v>
      </c>
      <c r="D841" s="126" t="s">
        <v>189</v>
      </c>
      <c r="E841" s="126" t="s">
        <v>190</v>
      </c>
      <c r="F841" s="126" t="s">
        <v>556</v>
      </c>
      <c r="G841" s="126" t="s">
        <v>557</v>
      </c>
      <c r="H841" s="126" t="s">
        <v>195</v>
      </c>
      <c r="I841" s="127" t="str">
        <f>HYPERLINK("#"&amp;J841, "이전으로")</f>
        <v>이전으로</v>
      </c>
      <c r="J841" s="124" t="s">
        <v>1196</v>
      </c>
    </row>
    <row r="842" spans="1:10" ht="18.399999999999999" customHeight="1">
      <c r="A842" s="124" t="s">
        <v>193</v>
      </c>
      <c r="B842" s="124" t="s">
        <v>426</v>
      </c>
      <c r="C842" s="124" t="s">
        <v>448</v>
      </c>
      <c r="D842" s="124">
        <v>1.2198</v>
      </c>
      <c r="E842" s="128" t="s">
        <v>398</v>
      </c>
      <c r="F842" s="128">
        <f>중기기초자료!$G$88</f>
        <v>390000</v>
      </c>
      <c r="G842" s="129">
        <f>TRUNC(F842*D842, 1)</f>
        <v>475722</v>
      </c>
      <c r="H842" s="124" t="s">
        <v>17</v>
      </c>
    </row>
    <row r="843" spans="1:10" ht="18.399999999999999" customHeight="1">
      <c r="B843" s="124" t="s">
        <v>558</v>
      </c>
      <c r="G843" s="128">
        <f>TRUNC(G842, 0)</f>
        <v>475722</v>
      </c>
    </row>
    <row r="844" spans="1:10" ht="18.399999999999999" customHeight="1">
      <c r="A844" s="124" t="s">
        <v>191</v>
      </c>
    </row>
    <row r="845" spans="1:10" ht="18.399999999999999" customHeight="1">
      <c r="B845" s="124" t="s">
        <v>558</v>
      </c>
    </row>
    <row r="846" spans="1:10" ht="18.399999999999999" customHeight="1">
      <c r="A846" s="124" t="s">
        <v>192</v>
      </c>
    </row>
    <row r="847" spans="1:10" ht="18.399999999999999" customHeight="1">
      <c r="B847" s="124" t="s">
        <v>558</v>
      </c>
    </row>
    <row r="848" spans="1:10" ht="18.399999999999999" customHeight="1" thickBot="1">
      <c r="B848" s="124" t="s">
        <v>559</v>
      </c>
      <c r="G848" s="128">
        <f>TRUNC(G843+G845+G847, 0)</f>
        <v>475722</v>
      </c>
    </row>
    <row r="849" spans="1:10" ht="18.399999999999999" customHeight="1" thickTop="1" thickBot="1">
      <c r="A849" s="125"/>
      <c r="B849" s="125"/>
      <c r="C849" s="125"/>
      <c r="D849" s="125"/>
      <c r="E849" s="125"/>
      <c r="F849" s="125"/>
      <c r="G849" s="125"/>
      <c r="H849" s="125"/>
    </row>
    <row r="850" spans="1:10" ht="18.399999999999999" customHeight="1" thickTop="1" thickBot="1">
      <c r="A850" s="125" t="s">
        <v>550</v>
      </c>
      <c r="B850" s="125" t="s">
        <v>672</v>
      </c>
      <c r="C850" s="125"/>
      <c r="D850" s="125"/>
      <c r="E850" s="125"/>
      <c r="F850" s="125"/>
      <c r="G850" s="125"/>
      <c r="H850" s="125"/>
    </row>
    <row r="851" spans="1:10" ht="18.399999999999999" customHeight="1" thickTop="1">
      <c r="A851" s="125" t="s">
        <v>552</v>
      </c>
      <c r="B851" s="125" t="s">
        <v>673</v>
      </c>
      <c r="C851" s="125"/>
      <c r="D851" s="125"/>
      <c r="E851" s="125"/>
      <c r="F851" s="125"/>
      <c r="G851" s="125"/>
      <c r="H851" s="125"/>
    </row>
    <row r="852" spans="1:10" ht="18.399999999999999" customHeight="1">
      <c r="A852" s="126" t="s">
        <v>554</v>
      </c>
      <c r="B852" s="126"/>
      <c r="C852" s="126" t="s">
        <v>555</v>
      </c>
      <c r="D852" s="126" t="s">
        <v>189</v>
      </c>
      <c r="E852" s="126" t="s">
        <v>190</v>
      </c>
      <c r="F852" s="126" t="s">
        <v>556</v>
      </c>
      <c r="G852" s="126" t="s">
        <v>557</v>
      </c>
      <c r="H852" s="126" t="s">
        <v>195</v>
      </c>
      <c r="I852" s="127" t="str">
        <f>HYPERLINK("#"&amp;J852, "이전으로")</f>
        <v>이전으로</v>
      </c>
      <c r="J852" s="124" t="s">
        <v>1197</v>
      </c>
    </row>
    <row r="853" spans="1:10" ht="18.399999999999999" customHeight="1">
      <c r="A853" s="124" t="s">
        <v>193</v>
      </c>
      <c r="B853" s="124" t="s">
        <v>426</v>
      </c>
      <c r="C853" s="124" t="s">
        <v>449</v>
      </c>
      <c r="D853" s="124">
        <v>1.1972</v>
      </c>
      <c r="E853" s="128" t="s">
        <v>398</v>
      </c>
      <c r="F853" s="128">
        <f>중기기초자료!$G$89</f>
        <v>466000</v>
      </c>
      <c r="G853" s="129">
        <f>TRUNC(F853*D853, 1)</f>
        <v>557895.19999999995</v>
      </c>
      <c r="H853" s="124" t="s">
        <v>17</v>
      </c>
    </row>
    <row r="854" spans="1:10" ht="18.399999999999999" customHeight="1">
      <c r="B854" s="124" t="s">
        <v>558</v>
      </c>
      <c r="G854" s="128">
        <f>TRUNC(G853, 0)</f>
        <v>557895</v>
      </c>
    </row>
    <row r="855" spans="1:10" ht="18.399999999999999" customHeight="1">
      <c r="A855" s="124" t="s">
        <v>191</v>
      </c>
    </row>
    <row r="856" spans="1:10" ht="18.399999999999999" customHeight="1">
      <c r="B856" s="124" t="s">
        <v>558</v>
      </c>
    </row>
    <row r="857" spans="1:10" ht="18.399999999999999" customHeight="1">
      <c r="A857" s="124" t="s">
        <v>192</v>
      </c>
    </row>
    <row r="858" spans="1:10" ht="18.399999999999999" customHeight="1">
      <c r="B858" s="124" t="s">
        <v>558</v>
      </c>
    </row>
    <row r="859" spans="1:10" ht="18.399999999999999" customHeight="1" thickBot="1">
      <c r="B859" s="124" t="s">
        <v>559</v>
      </c>
      <c r="G859" s="128">
        <f>TRUNC(G854+G856+G858, 0)</f>
        <v>557895</v>
      </c>
    </row>
    <row r="860" spans="1:10" ht="18.399999999999999" customHeight="1" thickTop="1" thickBot="1">
      <c r="A860" s="125"/>
      <c r="B860" s="125"/>
      <c r="C860" s="125"/>
      <c r="D860" s="125"/>
      <c r="E860" s="125"/>
      <c r="F860" s="125"/>
      <c r="G860" s="125"/>
      <c r="H860" s="125"/>
    </row>
    <row r="861" spans="1:10" ht="18.399999999999999" customHeight="1" thickTop="1" thickBot="1">
      <c r="A861" s="125" t="s">
        <v>550</v>
      </c>
      <c r="B861" s="125" t="s">
        <v>675</v>
      </c>
      <c r="C861" s="125"/>
      <c r="D861" s="125"/>
      <c r="E861" s="125"/>
      <c r="F861" s="125"/>
      <c r="G861" s="125"/>
      <c r="H861" s="125"/>
    </row>
    <row r="862" spans="1:10" ht="18.399999999999999" customHeight="1" thickTop="1">
      <c r="A862" s="125" t="s">
        <v>552</v>
      </c>
      <c r="B862" s="125" t="s">
        <v>674</v>
      </c>
      <c r="C862" s="125"/>
      <c r="D862" s="125"/>
      <c r="E862" s="125"/>
      <c r="F862" s="125"/>
      <c r="G862" s="125"/>
      <c r="H862" s="125"/>
    </row>
    <row r="863" spans="1:10" ht="18.399999999999999" customHeight="1">
      <c r="A863" s="126" t="s">
        <v>554</v>
      </c>
      <c r="B863" s="126"/>
      <c r="C863" s="126" t="s">
        <v>555</v>
      </c>
      <c r="D863" s="126" t="s">
        <v>189</v>
      </c>
      <c r="E863" s="126" t="s">
        <v>190</v>
      </c>
      <c r="F863" s="126" t="s">
        <v>556</v>
      </c>
      <c r="G863" s="126" t="s">
        <v>557</v>
      </c>
      <c r="H863" s="126" t="s">
        <v>195</v>
      </c>
      <c r="I863" s="127" t="str">
        <f>HYPERLINK("#"&amp;J863, "이전으로")</f>
        <v>이전으로</v>
      </c>
      <c r="J863" s="124" t="s">
        <v>1198</v>
      </c>
    </row>
    <row r="864" spans="1:10" ht="18.399999999999999" customHeight="1">
      <c r="A864" s="124" t="s">
        <v>193</v>
      </c>
      <c r="B864" s="124" t="s">
        <v>426</v>
      </c>
      <c r="C864" s="124" t="s">
        <v>450</v>
      </c>
      <c r="D864" s="124">
        <v>1.1666000000000001</v>
      </c>
      <c r="E864" s="128" t="s">
        <v>398</v>
      </c>
      <c r="F864" s="128">
        <f>중기기초자료!$G$90</f>
        <v>488000</v>
      </c>
      <c r="G864" s="129">
        <f>TRUNC(F864*D864, 1)</f>
        <v>569300.80000000005</v>
      </c>
      <c r="H864" s="124" t="s">
        <v>17</v>
      </c>
    </row>
    <row r="865" spans="1:10" ht="18.399999999999999" customHeight="1">
      <c r="B865" s="124" t="s">
        <v>558</v>
      </c>
      <c r="G865" s="128">
        <f>TRUNC(G864, 0)</f>
        <v>569300</v>
      </c>
    </row>
    <row r="866" spans="1:10" ht="18.399999999999999" customHeight="1">
      <c r="A866" s="124" t="s">
        <v>191</v>
      </c>
    </row>
    <row r="867" spans="1:10" ht="18.399999999999999" customHeight="1">
      <c r="B867" s="124" t="s">
        <v>558</v>
      </c>
    </row>
    <row r="868" spans="1:10" ht="18.399999999999999" customHeight="1">
      <c r="A868" s="124" t="s">
        <v>192</v>
      </c>
    </row>
    <row r="869" spans="1:10" ht="18.399999999999999" customHeight="1">
      <c r="B869" s="124" t="s">
        <v>558</v>
      </c>
    </row>
    <row r="870" spans="1:10" ht="18.399999999999999" customHeight="1" thickBot="1">
      <c r="B870" s="124" t="s">
        <v>559</v>
      </c>
      <c r="G870" s="128">
        <f>TRUNC(G865+G867+G869, 0)</f>
        <v>569300</v>
      </c>
    </row>
    <row r="871" spans="1:10" ht="18.399999999999999" customHeight="1" thickTop="1" thickBot="1">
      <c r="A871" s="125"/>
      <c r="B871" s="125"/>
      <c r="C871" s="125"/>
      <c r="D871" s="125"/>
      <c r="E871" s="125"/>
      <c r="F871" s="125"/>
      <c r="G871" s="125"/>
      <c r="H871" s="125"/>
    </row>
    <row r="872" spans="1:10" ht="18.399999999999999" customHeight="1" thickTop="1" thickBot="1">
      <c r="A872" s="125" t="s">
        <v>550</v>
      </c>
      <c r="B872" s="125" t="s">
        <v>676</v>
      </c>
      <c r="C872" s="125"/>
      <c r="D872" s="125"/>
      <c r="E872" s="125"/>
      <c r="F872" s="125"/>
      <c r="G872" s="125"/>
      <c r="H872" s="125"/>
    </row>
    <row r="873" spans="1:10" ht="18.399999999999999" customHeight="1" thickTop="1">
      <c r="A873" s="125" t="s">
        <v>552</v>
      </c>
      <c r="B873" s="125" t="s">
        <v>677</v>
      </c>
      <c r="C873" s="125"/>
      <c r="D873" s="125"/>
      <c r="E873" s="125"/>
      <c r="F873" s="125"/>
      <c r="G873" s="125"/>
      <c r="H873" s="125"/>
    </row>
    <row r="874" spans="1:10" ht="18.399999999999999" customHeight="1">
      <c r="A874" s="126" t="s">
        <v>554</v>
      </c>
      <c r="B874" s="126"/>
      <c r="C874" s="126" t="s">
        <v>555</v>
      </c>
      <c r="D874" s="126" t="s">
        <v>189</v>
      </c>
      <c r="E874" s="126" t="s">
        <v>190</v>
      </c>
      <c r="F874" s="126" t="s">
        <v>556</v>
      </c>
      <c r="G874" s="126" t="s">
        <v>557</v>
      </c>
      <c r="H874" s="126" t="s">
        <v>195</v>
      </c>
      <c r="I874" s="127" t="str">
        <f>HYPERLINK("#"&amp;J874, "이전으로")</f>
        <v>이전으로</v>
      </c>
      <c r="J874" s="124" t="s">
        <v>1199</v>
      </c>
    </row>
    <row r="875" spans="1:10" ht="18.399999999999999" customHeight="1">
      <c r="A875" s="124" t="s">
        <v>193</v>
      </c>
      <c r="B875" s="124" t="s">
        <v>426</v>
      </c>
      <c r="C875" s="124" t="s">
        <v>451</v>
      </c>
      <c r="D875" s="124">
        <v>1.1435</v>
      </c>
      <c r="E875" s="128" t="s">
        <v>398</v>
      </c>
      <c r="F875" s="128">
        <f>중기기초자료!$G$91</f>
        <v>539000</v>
      </c>
      <c r="G875" s="129">
        <f>TRUNC(F875*D875, 1)</f>
        <v>616346.5</v>
      </c>
      <c r="H875" s="124" t="s">
        <v>17</v>
      </c>
    </row>
    <row r="876" spans="1:10" ht="18.399999999999999" customHeight="1">
      <c r="B876" s="124" t="s">
        <v>558</v>
      </c>
      <c r="G876" s="128">
        <f>TRUNC(G875, 0)</f>
        <v>616346</v>
      </c>
    </row>
    <row r="877" spans="1:10" ht="18.399999999999999" customHeight="1">
      <c r="A877" s="124" t="s">
        <v>191</v>
      </c>
    </row>
    <row r="878" spans="1:10" ht="18.399999999999999" customHeight="1">
      <c r="B878" s="124" t="s">
        <v>558</v>
      </c>
    </row>
    <row r="879" spans="1:10" ht="18.399999999999999" customHeight="1">
      <c r="A879" s="124" t="s">
        <v>192</v>
      </c>
    </row>
    <row r="880" spans="1:10" ht="18.399999999999999" customHeight="1">
      <c r="B880" s="124" t="s">
        <v>558</v>
      </c>
    </row>
    <row r="881" spans="1:10" ht="18.399999999999999" customHeight="1" thickBot="1">
      <c r="B881" s="124" t="s">
        <v>559</v>
      </c>
      <c r="G881" s="128">
        <f>TRUNC(G876+G878+G880, 0)</f>
        <v>616346</v>
      </c>
    </row>
    <row r="882" spans="1:10" ht="18.399999999999999" customHeight="1" thickTop="1" thickBot="1">
      <c r="A882" s="125"/>
      <c r="B882" s="125"/>
      <c r="C882" s="125"/>
      <c r="D882" s="125"/>
      <c r="E882" s="125"/>
      <c r="F882" s="125"/>
      <c r="G882" s="125"/>
      <c r="H882" s="125"/>
    </row>
    <row r="883" spans="1:10" ht="18.399999999999999" customHeight="1" thickTop="1" thickBot="1">
      <c r="A883" s="125" t="s">
        <v>550</v>
      </c>
      <c r="B883" s="125" t="s">
        <v>678</v>
      </c>
      <c r="C883" s="125"/>
      <c r="D883" s="125"/>
      <c r="E883" s="125"/>
      <c r="F883" s="125"/>
      <c r="G883" s="125"/>
      <c r="H883" s="125"/>
    </row>
    <row r="884" spans="1:10" ht="18.399999999999999" customHeight="1" thickTop="1">
      <c r="A884" s="125" t="s">
        <v>552</v>
      </c>
      <c r="B884" s="125" t="s">
        <v>679</v>
      </c>
      <c r="C884" s="125"/>
      <c r="D884" s="125"/>
      <c r="E884" s="125"/>
      <c r="F884" s="125"/>
      <c r="G884" s="125"/>
      <c r="H884" s="125"/>
    </row>
    <row r="885" spans="1:10" ht="18.399999999999999" customHeight="1">
      <c r="A885" s="126" t="s">
        <v>554</v>
      </c>
      <c r="B885" s="126"/>
      <c r="C885" s="126" t="s">
        <v>555</v>
      </c>
      <c r="D885" s="126" t="s">
        <v>189</v>
      </c>
      <c r="E885" s="126" t="s">
        <v>190</v>
      </c>
      <c r="F885" s="126" t="s">
        <v>556</v>
      </c>
      <c r="G885" s="126" t="s">
        <v>557</v>
      </c>
      <c r="H885" s="126" t="s">
        <v>195</v>
      </c>
      <c r="I885" s="127" t="str">
        <f>HYPERLINK("#"&amp;J885, "이전으로")</f>
        <v>이전으로</v>
      </c>
      <c r="J885" s="124" t="s">
        <v>1200</v>
      </c>
    </row>
    <row r="886" spans="1:10" ht="18.399999999999999" customHeight="1">
      <c r="A886" s="124" t="s">
        <v>193</v>
      </c>
      <c r="B886" s="124" t="s">
        <v>426</v>
      </c>
      <c r="C886" s="124" t="s">
        <v>423</v>
      </c>
      <c r="D886" s="124">
        <v>1.1212</v>
      </c>
      <c r="E886" s="128" t="s">
        <v>398</v>
      </c>
      <c r="F886" s="128">
        <f>중기기초자료!$G$92</f>
        <v>570000</v>
      </c>
      <c r="G886" s="129">
        <f>TRUNC(F886*D886, 1)</f>
        <v>639084</v>
      </c>
      <c r="H886" s="124" t="s">
        <v>17</v>
      </c>
    </row>
    <row r="887" spans="1:10" ht="18.399999999999999" customHeight="1">
      <c r="B887" s="124" t="s">
        <v>558</v>
      </c>
      <c r="G887" s="128">
        <f>TRUNC(G886, 0)</f>
        <v>639084</v>
      </c>
    </row>
    <row r="888" spans="1:10" ht="18.399999999999999" customHeight="1">
      <c r="A888" s="124" t="s">
        <v>191</v>
      </c>
    </row>
    <row r="889" spans="1:10" ht="18.399999999999999" customHeight="1">
      <c r="B889" s="124" t="s">
        <v>558</v>
      </c>
    </row>
    <row r="890" spans="1:10" ht="18.399999999999999" customHeight="1">
      <c r="A890" s="124" t="s">
        <v>192</v>
      </c>
    </row>
    <row r="891" spans="1:10" ht="18.399999999999999" customHeight="1">
      <c r="B891" s="124" t="s">
        <v>558</v>
      </c>
    </row>
    <row r="892" spans="1:10" ht="18.399999999999999" customHeight="1" thickBot="1">
      <c r="B892" s="124" t="s">
        <v>559</v>
      </c>
      <c r="G892" s="128">
        <f>TRUNC(G887+G889+G891, 0)</f>
        <v>639084</v>
      </c>
    </row>
    <row r="893" spans="1:10" ht="18.399999999999999" customHeight="1" thickTop="1" thickBot="1">
      <c r="A893" s="125"/>
      <c r="B893" s="125"/>
      <c r="C893" s="125"/>
      <c r="D893" s="125"/>
      <c r="E893" s="125"/>
      <c r="F893" s="125"/>
      <c r="G893" s="125"/>
      <c r="H893" s="125"/>
    </row>
    <row r="894" spans="1:10" ht="18.399999999999999" customHeight="1" thickTop="1" thickBot="1">
      <c r="A894" s="125" t="s">
        <v>550</v>
      </c>
      <c r="B894" s="125" t="s">
        <v>680</v>
      </c>
      <c r="C894" s="125"/>
      <c r="D894" s="125"/>
      <c r="E894" s="125"/>
      <c r="F894" s="125"/>
      <c r="G894" s="125"/>
      <c r="H894" s="125"/>
    </row>
    <row r="895" spans="1:10" ht="18.399999999999999" customHeight="1" thickTop="1">
      <c r="A895" s="125" t="s">
        <v>552</v>
      </c>
      <c r="B895" s="125" t="s">
        <v>681</v>
      </c>
      <c r="C895" s="125"/>
      <c r="D895" s="125"/>
      <c r="E895" s="125"/>
      <c r="F895" s="125"/>
      <c r="G895" s="125"/>
      <c r="H895" s="125"/>
    </row>
    <row r="896" spans="1:10" ht="18.399999999999999" customHeight="1">
      <c r="A896" s="126" t="s">
        <v>554</v>
      </c>
      <c r="B896" s="126"/>
      <c r="C896" s="126" t="s">
        <v>555</v>
      </c>
      <c r="D896" s="126" t="s">
        <v>189</v>
      </c>
      <c r="E896" s="126" t="s">
        <v>190</v>
      </c>
      <c r="F896" s="126" t="s">
        <v>556</v>
      </c>
      <c r="G896" s="126" t="s">
        <v>557</v>
      </c>
      <c r="H896" s="126" t="s">
        <v>195</v>
      </c>
      <c r="I896" s="127" t="str">
        <f>HYPERLINK("#"&amp;J896, "이전으로")</f>
        <v>이전으로</v>
      </c>
      <c r="J896" s="124" t="s">
        <v>1201</v>
      </c>
    </row>
    <row r="897" spans="1:10" ht="18.399999999999999" customHeight="1">
      <c r="A897" s="124" t="s">
        <v>193</v>
      </c>
      <c r="B897" s="124" t="s">
        <v>452</v>
      </c>
      <c r="C897" s="124" t="s">
        <v>427</v>
      </c>
      <c r="D897" s="124">
        <v>3.6232000000000002</v>
      </c>
      <c r="E897" s="128" t="s">
        <v>398</v>
      </c>
      <c r="F897" s="128">
        <f>중기기초자료!$G$93</f>
        <v>3800</v>
      </c>
      <c r="G897" s="129">
        <f>TRUNC(F897*D897, 1)</f>
        <v>13768.1</v>
      </c>
      <c r="H897" s="124" t="s">
        <v>17</v>
      </c>
    </row>
    <row r="898" spans="1:10" ht="18.399999999999999" customHeight="1">
      <c r="B898" s="124" t="s">
        <v>558</v>
      </c>
      <c r="G898" s="128">
        <f>TRUNC(G897, 0)</f>
        <v>13768</v>
      </c>
    </row>
    <row r="899" spans="1:10" ht="18.399999999999999" customHeight="1">
      <c r="A899" s="124" t="s">
        <v>191</v>
      </c>
    </row>
    <row r="900" spans="1:10" ht="18.399999999999999" customHeight="1">
      <c r="B900" s="124" t="s">
        <v>558</v>
      </c>
    </row>
    <row r="901" spans="1:10" ht="18.399999999999999" customHeight="1">
      <c r="A901" s="124" t="s">
        <v>192</v>
      </c>
    </row>
    <row r="902" spans="1:10" ht="18.399999999999999" customHeight="1">
      <c r="B902" s="124" t="s">
        <v>558</v>
      </c>
    </row>
    <row r="903" spans="1:10" ht="18.399999999999999" customHeight="1" thickBot="1">
      <c r="B903" s="124" t="s">
        <v>559</v>
      </c>
      <c r="G903" s="128">
        <f>TRUNC(G898+G900+G902, 0)</f>
        <v>13768</v>
      </c>
    </row>
    <row r="904" spans="1:10" ht="18.399999999999999" customHeight="1" thickTop="1" thickBot="1">
      <c r="A904" s="125"/>
      <c r="B904" s="125"/>
      <c r="C904" s="125"/>
      <c r="D904" s="125"/>
      <c r="E904" s="125"/>
      <c r="F904" s="125"/>
      <c r="G904" s="125"/>
      <c r="H904" s="125"/>
    </row>
    <row r="905" spans="1:10" ht="18.399999999999999" customHeight="1" thickTop="1" thickBot="1">
      <c r="A905" s="125" t="s">
        <v>550</v>
      </c>
      <c r="B905" s="125" t="s">
        <v>682</v>
      </c>
      <c r="C905" s="125"/>
      <c r="D905" s="125"/>
      <c r="E905" s="125"/>
      <c r="F905" s="125"/>
      <c r="G905" s="125"/>
      <c r="H905" s="125"/>
    </row>
    <row r="906" spans="1:10" ht="18.399999999999999" customHeight="1" thickTop="1">
      <c r="A906" s="125" t="s">
        <v>552</v>
      </c>
      <c r="B906" s="125" t="s">
        <v>683</v>
      </c>
      <c r="C906" s="125"/>
      <c r="D906" s="125"/>
      <c r="E906" s="125"/>
      <c r="F906" s="125"/>
      <c r="G906" s="125"/>
      <c r="H906" s="125"/>
    </row>
    <row r="907" spans="1:10" ht="18.399999999999999" customHeight="1">
      <c r="A907" s="126" t="s">
        <v>554</v>
      </c>
      <c r="B907" s="126"/>
      <c r="C907" s="126" t="s">
        <v>555</v>
      </c>
      <c r="D907" s="126" t="s">
        <v>189</v>
      </c>
      <c r="E907" s="126" t="s">
        <v>190</v>
      </c>
      <c r="F907" s="126" t="s">
        <v>556</v>
      </c>
      <c r="G907" s="126" t="s">
        <v>557</v>
      </c>
      <c r="H907" s="126" t="s">
        <v>195</v>
      </c>
      <c r="I907" s="127" t="str">
        <f>HYPERLINK("#"&amp;J907, "이전으로")</f>
        <v>이전으로</v>
      </c>
      <c r="J907" s="124" t="s">
        <v>1202</v>
      </c>
    </row>
    <row r="908" spans="1:10" ht="18.399999999999999" customHeight="1">
      <c r="A908" s="124" t="s">
        <v>193</v>
      </c>
      <c r="B908" s="124" t="s">
        <v>452</v>
      </c>
      <c r="C908" s="124" t="s">
        <v>428</v>
      </c>
      <c r="D908" s="124">
        <v>3.5074999999999998</v>
      </c>
      <c r="E908" s="128" t="s">
        <v>398</v>
      </c>
      <c r="F908" s="128">
        <f>중기기초자료!$G$94</f>
        <v>4000</v>
      </c>
      <c r="G908" s="129">
        <f>TRUNC(F908*D908, 1)</f>
        <v>14030</v>
      </c>
      <c r="H908" s="124" t="s">
        <v>17</v>
      </c>
    </row>
    <row r="909" spans="1:10" ht="18.399999999999999" customHeight="1">
      <c r="B909" s="124" t="s">
        <v>558</v>
      </c>
      <c r="G909" s="128">
        <f>TRUNC(G908, 0)</f>
        <v>14030</v>
      </c>
    </row>
    <row r="910" spans="1:10" ht="18.399999999999999" customHeight="1">
      <c r="A910" s="124" t="s">
        <v>191</v>
      </c>
    </row>
    <row r="911" spans="1:10" ht="18.399999999999999" customHeight="1">
      <c r="B911" s="124" t="s">
        <v>558</v>
      </c>
    </row>
    <row r="912" spans="1:10" ht="18.399999999999999" customHeight="1">
      <c r="A912" s="124" t="s">
        <v>192</v>
      </c>
    </row>
    <row r="913" spans="1:10" ht="18.399999999999999" customHeight="1">
      <c r="B913" s="124" t="s">
        <v>558</v>
      </c>
    </row>
    <row r="914" spans="1:10" ht="18.399999999999999" customHeight="1" thickBot="1">
      <c r="B914" s="124" t="s">
        <v>559</v>
      </c>
      <c r="G914" s="128">
        <f>TRUNC(G909+G911+G913, 0)</f>
        <v>14030</v>
      </c>
    </row>
    <row r="915" spans="1:10" ht="18.399999999999999" customHeight="1" thickTop="1" thickBot="1">
      <c r="A915" s="125"/>
      <c r="B915" s="125"/>
      <c r="C915" s="125"/>
      <c r="D915" s="125"/>
      <c r="E915" s="125"/>
      <c r="F915" s="125"/>
      <c r="G915" s="125"/>
      <c r="H915" s="125"/>
    </row>
    <row r="916" spans="1:10" ht="18.399999999999999" customHeight="1" thickTop="1" thickBot="1">
      <c r="A916" s="125" t="s">
        <v>550</v>
      </c>
      <c r="B916" s="125" t="s">
        <v>684</v>
      </c>
      <c r="C916" s="125"/>
      <c r="D916" s="125"/>
      <c r="E916" s="125"/>
      <c r="F916" s="125"/>
      <c r="G916" s="125"/>
      <c r="H916" s="125"/>
    </row>
    <row r="917" spans="1:10" ht="18.399999999999999" customHeight="1" thickTop="1">
      <c r="A917" s="125" t="s">
        <v>552</v>
      </c>
      <c r="B917" s="125" t="s">
        <v>685</v>
      </c>
      <c r="C917" s="125"/>
      <c r="D917" s="125"/>
      <c r="E917" s="125"/>
      <c r="F917" s="125"/>
      <c r="G917" s="125"/>
      <c r="H917" s="125"/>
    </row>
    <row r="918" spans="1:10" ht="18.399999999999999" customHeight="1">
      <c r="A918" s="126" t="s">
        <v>554</v>
      </c>
      <c r="B918" s="126"/>
      <c r="C918" s="126" t="s">
        <v>555</v>
      </c>
      <c r="D918" s="126" t="s">
        <v>189</v>
      </c>
      <c r="E918" s="126" t="s">
        <v>190</v>
      </c>
      <c r="F918" s="126" t="s">
        <v>556</v>
      </c>
      <c r="G918" s="126" t="s">
        <v>557</v>
      </c>
      <c r="H918" s="126" t="s">
        <v>195</v>
      </c>
      <c r="I918" s="127" t="str">
        <f>HYPERLINK("#"&amp;J918, "이전으로")</f>
        <v>이전으로</v>
      </c>
      <c r="J918" s="124" t="s">
        <v>1203</v>
      </c>
    </row>
    <row r="919" spans="1:10" ht="18.399999999999999" customHeight="1">
      <c r="A919" s="124" t="s">
        <v>193</v>
      </c>
      <c r="B919" s="124" t="s">
        <v>452</v>
      </c>
      <c r="C919" s="124" t="s">
        <v>429</v>
      </c>
      <c r="D919" s="124">
        <v>3.1819000000000002</v>
      </c>
      <c r="E919" s="128" t="s">
        <v>398</v>
      </c>
      <c r="F919" s="128">
        <f>중기기초자료!$G$95</f>
        <v>4500</v>
      </c>
      <c r="G919" s="129">
        <f>TRUNC(F919*D919, 1)</f>
        <v>14318.5</v>
      </c>
      <c r="H919" s="124" t="s">
        <v>17</v>
      </c>
    </row>
    <row r="920" spans="1:10" ht="18.399999999999999" customHeight="1">
      <c r="B920" s="124" t="s">
        <v>558</v>
      </c>
      <c r="G920" s="128">
        <f>TRUNC(G919, 0)</f>
        <v>14318</v>
      </c>
    </row>
    <row r="921" spans="1:10" ht="18.399999999999999" customHeight="1">
      <c r="A921" s="124" t="s">
        <v>191</v>
      </c>
    </row>
    <row r="922" spans="1:10" ht="18.399999999999999" customHeight="1">
      <c r="B922" s="124" t="s">
        <v>558</v>
      </c>
    </row>
    <row r="923" spans="1:10" ht="18.399999999999999" customHeight="1">
      <c r="A923" s="124" t="s">
        <v>192</v>
      </c>
    </row>
    <row r="924" spans="1:10" ht="18.399999999999999" customHeight="1">
      <c r="B924" s="124" t="s">
        <v>558</v>
      </c>
    </row>
    <row r="925" spans="1:10" ht="18.399999999999999" customHeight="1" thickBot="1">
      <c r="B925" s="124" t="s">
        <v>559</v>
      </c>
      <c r="G925" s="128">
        <f>TRUNC(G920+G922+G924, 0)</f>
        <v>14318</v>
      </c>
    </row>
    <row r="926" spans="1:10" ht="18.399999999999999" customHeight="1" thickTop="1" thickBot="1">
      <c r="A926" s="125"/>
      <c r="B926" s="125"/>
      <c r="C926" s="125"/>
      <c r="D926" s="125"/>
      <c r="E926" s="125"/>
      <c r="F926" s="125"/>
      <c r="G926" s="125"/>
      <c r="H926" s="125"/>
    </row>
    <row r="927" spans="1:10" ht="18.399999999999999" customHeight="1" thickTop="1" thickBot="1">
      <c r="A927" s="125" t="s">
        <v>550</v>
      </c>
      <c r="B927" s="125" t="s">
        <v>686</v>
      </c>
      <c r="C927" s="125"/>
      <c r="D927" s="125"/>
      <c r="E927" s="125"/>
      <c r="F927" s="125"/>
      <c r="G927" s="125"/>
      <c r="H927" s="125"/>
    </row>
    <row r="928" spans="1:10" ht="18.399999999999999" customHeight="1" thickTop="1">
      <c r="A928" s="125" t="s">
        <v>552</v>
      </c>
      <c r="B928" s="125" t="s">
        <v>687</v>
      </c>
      <c r="C928" s="125"/>
      <c r="D928" s="125"/>
      <c r="E928" s="125"/>
      <c r="F928" s="125"/>
      <c r="G928" s="125"/>
      <c r="H928" s="125"/>
    </row>
    <row r="929" spans="1:10" ht="18.399999999999999" customHeight="1">
      <c r="A929" s="126" t="s">
        <v>554</v>
      </c>
      <c r="B929" s="126"/>
      <c r="C929" s="126" t="s">
        <v>555</v>
      </c>
      <c r="D929" s="126" t="s">
        <v>189</v>
      </c>
      <c r="E929" s="126" t="s">
        <v>190</v>
      </c>
      <c r="F929" s="126" t="s">
        <v>556</v>
      </c>
      <c r="G929" s="126" t="s">
        <v>557</v>
      </c>
      <c r="H929" s="126" t="s">
        <v>195</v>
      </c>
      <c r="I929" s="127" t="str">
        <f>HYPERLINK("#"&amp;J929, "이전으로")</f>
        <v>이전으로</v>
      </c>
      <c r="J929" s="124" t="s">
        <v>1204</v>
      </c>
    </row>
    <row r="930" spans="1:10" ht="18.399999999999999" customHeight="1">
      <c r="A930" s="124" t="s">
        <v>193</v>
      </c>
      <c r="B930" s="124" t="s">
        <v>452</v>
      </c>
      <c r="C930" s="124" t="s">
        <v>430</v>
      </c>
      <c r="D930" s="124">
        <v>2.3327</v>
      </c>
      <c r="E930" s="128" t="s">
        <v>398</v>
      </c>
      <c r="F930" s="128">
        <f>중기기초자료!$G$96</f>
        <v>5000</v>
      </c>
      <c r="G930" s="129">
        <f>TRUNC(F930*D930, 1)</f>
        <v>11663.5</v>
      </c>
      <c r="H930" s="124" t="s">
        <v>17</v>
      </c>
    </row>
    <row r="931" spans="1:10" ht="18.399999999999999" customHeight="1">
      <c r="B931" s="124" t="s">
        <v>558</v>
      </c>
      <c r="G931" s="128">
        <f>TRUNC(G930, 0)</f>
        <v>11663</v>
      </c>
    </row>
    <row r="932" spans="1:10" ht="18.399999999999999" customHeight="1">
      <c r="A932" s="124" t="s">
        <v>191</v>
      </c>
    </row>
    <row r="933" spans="1:10" ht="18.399999999999999" customHeight="1">
      <c r="B933" s="124" t="s">
        <v>558</v>
      </c>
    </row>
    <row r="934" spans="1:10" ht="18.399999999999999" customHeight="1">
      <c r="A934" s="124" t="s">
        <v>192</v>
      </c>
    </row>
    <row r="935" spans="1:10" ht="18.399999999999999" customHeight="1">
      <c r="B935" s="124" t="s">
        <v>558</v>
      </c>
    </row>
    <row r="936" spans="1:10" ht="18.399999999999999" customHeight="1" thickBot="1">
      <c r="B936" s="124" t="s">
        <v>559</v>
      </c>
      <c r="G936" s="128">
        <f>TRUNC(G931+G933+G935, 0)</f>
        <v>11663</v>
      </c>
    </row>
    <row r="937" spans="1:10" ht="18.399999999999999" customHeight="1" thickTop="1" thickBot="1">
      <c r="A937" s="125"/>
      <c r="B937" s="125"/>
      <c r="C937" s="125"/>
      <c r="D937" s="125"/>
      <c r="E937" s="125"/>
      <c r="F937" s="125"/>
      <c r="G937" s="125"/>
      <c r="H937" s="125"/>
    </row>
    <row r="938" spans="1:10" ht="18.399999999999999" customHeight="1" thickTop="1" thickBot="1">
      <c r="A938" s="125" t="s">
        <v>550</v>
      </c>
      <c r="B938" s="125" t="s">
        <v>688</v>
      </c>
      <c r="C938" s="125"/>
      <c r="D938" s="125"/>
      <c r="E938" s="125"/>
      <c r="F938" s="125"/>
      <c r="G938" s="125"/>
      <c r="H938" s="125"/>
    </row>
    <row r="939" spans="1:10" ht="18.399999999999999" customHeight="1" thickTop="1">
      <c r="A939" s="125" t="s">
        <v>552</v>
      </c>
      <c r="B939" s="125" t="s">
        <v>689</v>
      </c>
      <c r="C939" s="125"/>
      <c r="D939" s="125"/>
      <c r="E939" s="125"/>
      <c r="F939" s="125"/>
      <c r="G939" s="125"/>
      <c r="H939" s="125"/>
    </row>
    <row r="940" spans="1:10" ht="18.399999999999999" customHeight="1">
      <c r="A940" s="126" t="s">
        <v>554</v>
      </c>
      <c r="B940" s="126"/>
      <c r="C940" s="126" t="s">
        <v>555</v>
      </c>
      <c r="D940" s="126" t="s">
        <v>189</v>
      </c>
      <c r="E940" s="126" t="s">
        <v>190</v>
      </c>
      <c r="F940" s="126" t="s">
        <v>556</v>
      </c>
      <c r="G940" s="126" t="s">
        <v>557</v>
      </c>
      <c r="H940" s="126" t="s">
        <v>195</v>
      </c>
      <c r="I940" s="127" t="str">
        <f>HYPERLINK("#"&amp;J940, "이전으로")</f>
        <v>이전으로</v>
      </c>
      <c r="J940" s="124" t="s">
        <v>1205</v>
      </c>
    </row>
    <row r="941" spans="1:10" ht="18.399999999999999" customHeight="1">
      <c r="A941" s="124" t="s">
        <v>193</v>
      </c>
      <c r="B941" s="124" t="s">
        <v>452</v>
      </c>
      <c r="C941" s="124" t="s">
        <v>431</v>
      </c>
      <c r="D941" s="124">
        <v>2.198</v>
      </c>
      <c r="E941" s="128" t="s">
        <v>398</v>
      </c>
      <c r="F941" s="128">
        <f>중기기초자료!$G$97</f>
        <v>5600</v>
      </c>
      <c r="G941" s="129">
        <f>TRUNC(F941*D941, 1)</f>
        <v>12308.8</v>
      </c>
      <c r="H941" s="124" t="s">
        <v>17</v>
      </c>
    </row>
    <row r="942" spans="1:10" ht="18.399999999999999" customHeight="1">
      <c r="B942" s="124" t="s">
        <v>558</v>
      </c>
      <c r="G942" s="128">
        <f>TRUNC(G941, 0)</f>
        <v>12308</v>
      </c>
    </row>
    <row r="943" spans="1:10" ht="18.399999999999999" customHeight="1">
      <c r="A943" s="124" t="s">
        <v>191</v>
      </c>
    </row>
    <row r="944" spans="1:10" ht="18.399999999999999" customHeight="1">
      <c r="B944" s="124" t="s">
        <v>558</v>
      </c>
    </row>
    <row r="945" spans="1:10" ht="18.399999999999999" customHeight="1">
      <c r="A945" s="124" t="s">
        <v>192</v>
      </c>
    </row>
    <row r="946" spans="1:10" ht="18.399999999999999" customHeight="1">
      <c r="B946" s="124" t="s">
        <v>558</v>
      </c>
    </row>
    <row r="947" spans="1:10" ht="18.399999999999999" customHeight="1" thickBot="1">
      <c r="B947" s="124" t="s">
        <v>559</v>
      </c>
      <c r="G947" s="128">
        <f>TRUNC(G942+G944+G946, 0)</f>
        <v>12308</v>
      </c>
    </row>
    <row r="948" spans="1:10" ht="18.399999999999999" customHeight="1" thickTop="1" thickBot="1">
      <c r="A948" s="125"/>
      <c r="B948" s="125"/>
      <c r="C948" s="125"/>
      <c r="D948" s="125"/>
      <c r="E948" s="125"/>
      <c r="F948" s="125"/>
      <c r="G948" s="125"/>
      <c r="H948" s="125"/>
    </row>
    <row r="949" spans="1:10" ht="18.399999999999999" customHeight="1" thickTop="1" thickBot="1">
      <c r="A949" s="125" t="s">
        <v>550</v>
      </c>
      <c r="B949" s="125" t="s">
        <v>690</v>
      </c>
      <c r="C949" s="125"/>
      <c r="D949" s="125"/>
      <c r="E949" s="125"/>
      <c r="F949" s="125"/>
      <c r="G949" s="125"/>
      <c r="H949" s="125"/>
    </row>
    <row r="950" spans="1:10" ht="18.399999999999999" customHeight="1" thickTop="1">
      <c r="A950" s="125" t="s">
        <v>552</v>
      </c>
      <c r="B950" s="125" t="s">
        <v>691</v>
      </c>
      <c r="C950" s="125"/>
      <c r="D950" s="125"/>
      <c r="E950" s="125"/>
      <c r="F950" s="125"/>
      <c r="G950" s="125"/>
      <c r="H950" s="125"/>
    </row>
    <row r="951" spans="1:10" ht="18.399999999999999" customHeight="1">
      <c r="A951" s="126" t="s">
        <v>554</v>
      </c>
      <c r="B951" s="126"/>
      <c r="C951" s="126" t="s">
        <v>555</v>
      </c>
      <c r="D951" s="126" t="s">
        <v>189</v>
      </c>
      <c r="E951" s="126" t="s">
        <v>190</v>
      </c>
      <c r="F951" s="126" t="s">
        <v>556</v>
      </c>
      <c r="G951" s="126" t="s">
        <v>557</v>
      </c>
      <c r="H951" s="126" t="s">
        <v>195</v>
      </c>
      <c r="I951" s="127" t="str">
        <f>HYPERLINK("#"&amp;J951, "이전으로")</f>
        <v>이전으로</v>
      </c>
      <c r="J951" s="124" t="s">
        <v>1206</v>
      </c>
    </row>
    <row r="952" spans="1:10" ht="18.399999999999999" customHeight="1">
      <c r="A952" s="124" t="s">
        <v>193</v>
      </c>
      <c r="B952" s="124" t="s">
        <v>452</v>
      </c>
      <c r="C952" s="124" t="s">
        <v>432</v>
      </c>
      <c r="D952" s="124">
        <v>2.0851000000000002</v>
      </c>
      <c r="E952" s="128" t="s">
        <v>398</v>
      </c>
      <c r="F952" s="128">
        <f>중기기초자료!$G$98</f>
        <v>6300</v>
      </c>
      <c r="G952" s="129">
        <f>TRUNC(F952*D952, 1)</f>
        <v>13136.1</v>
      </c>
      <c r="H952" s="124" t="s">
        <v>17</v>
      </c>
    </row>
    <row r="953" spans="1:10" ht="18.399999999999999" customHeight="1">
      <c r="B953" s="124" t="s">
        <v>558</v>
      </c>
      <c r="G953" s="128">
        <f>TRUNC(G952, 0)</f>
        <v>13136</v>
      </c>
    </row>
    <row r="954" spans="1:10" ht="18.399999999999999" customHeight="1">
      <c r="A954" s="124" t="s">
        <v>191</v>
      </c>
    </row>
    <row r="955" spans="1:10" ht="18.399999999999999" customHeight="1">
      <c r="B955" s="124" t="s">
        <v>558</v>
      </c>
    </row>
    <row r="956" spans="1:10" ht="18.399999999999999" customHeight="1">
      <c r="A956" s="124" t="s">
        <v>192</v>
      </c>
    </row>
    <row r="957" spans="1:10" ht="18.399999999999999" customHeight="1">
      <c r="B957" s="124" t="s">
        <v>558</v>
      </c>
    </row>
    <row r="958" spans="1:10" ht="18.399999999999999" customHeight="1" thickBot="1">
      <c r="B958" s="124" t="s">
        <v>559</v>
      </c>
      <c r="G958" s="128">
        <f>TRUNC(G953+G955+G957, 0)</f>
        <v>13136</v>
      </c>
    </row>
    <row r="959" spans="1:10" ht="18.399999999999999" customHeight="1" thickTop="1" thickBot="1">
      <c r="A959" s="125"/>
      <c r="B959" s="125"/>
      <c r="C959" s="125"/>
      <c r="D959" s="125"/>
      <c r="E959" s="125"/>
      <c r="F959" s="125"/>
      <c r="G959" s="125"/>
      <c r="H959" s="125"/>
    </row>
    <row r="960" spans="1:10" ht="18.399999999999999" customHeight="1" thickTop="1" thickBot="1">
      <c r="A960" s="125" t="s">
        <v>550</v>
      </c>
      <c r="B960" s="125" t="s">
        <v>692</v>
      </c>
      <c r="C960" s="125"/>
      <c r="D960" s="125"/>
      <c r="E960" s="125"/>
      <c r="F960" s="125"/>
      <c r="G960" s="125"/>
      <c r="H960" s="125"/>
    </row>
    <row r="961" spans="1:10" ht="18.399999999999999" customHeight="1" thickTop="1">
      <c r="A961" s="125" t="s">
        <v>552</v>
      </c>
      <c r="B961" s="125" t="s">
        <v>693</v>
      </c>
      <c r="C961" s="125"/>
      <c r="D961" s="125"/>
      <c r="E961" s="125"/>
      <c r="F961" s="125"/>
      <c r="G961" s="125"/>
      <c r="H961" s="125"/>
    </row>
    <row r="962" spans="1:10" ht="18.399999999999999" customHeight="1">
      <c r="A962" s="126" t="s">
        <v>554</v>
      </c>
      <c r="B962" s="126"/>
      <c r="C962" s="126" t="s">
        <v>555</v>
      </c>
      <c r="D962" s="126" t="s">
        <v>189</v>
      </c>
      <c r="E962" s="126" t="s">
        <v>190</v>
      </c>
      <c r="F962" s="126" t="s">
        <v>556</v>
      </c>
      <c r="G962" s="126" t="s">
        <v>557</v>
      </c>
      <c r="H962" s="126" t="s">
        <v>195</v>
      </c>
      <c r="I962" s="127" t="str">
        <f>HYPERLINK("#"&amp;J962, "이전으로")</f>
        <v>이전으로</v>
      </c>
      <c r="J962" s="124" t="s">
        <v>1207</v>
      </c>
    </row>
    <row r="963" spans="1:10" ht="18.399999999999999" customHeight="1">
      <c r="A963" s="124" t="s">
        <v>193</v>
      </c>
      <c r="B963" s="124" t="s">
        <v>452</v>
      </c>
      <c r="C963" s="124" t="s">
        <v>433</v>
      </c>
      <c r="D963" s="124">
        <v>1.7576000000000001</v>
      </c>
      <c r="E963" s="128" t="s">
        <v>398</v>
      </c>
      <c r="F963" s="128">
        <f>중기기초자료!$G$99</f>
        <v>6900</v>
      </c>
      <c r="G963" s="129">
        <f>TRUNC(F963*D963, 1)</f>
        <v>12127.4</v>
      </c>
      <c r="H963" s="124" t="s">
        <v>17</v>
      </c>
    </row>
    <row r="964" spans="1:10" ht="18.399999999999999" customHeight="1">
      <c r="B964" s="124" t="s">
        <v>558</v>
      </c>
      <c r="G964" s="128">
        <f>TRUNC(G963, 0)</f>
        <v>12127</v>
      </c>
    </row>
    <row r="965" spans="1:10" ht="18.399999999999999" customHeight="1">
      <c r="A965" s="124" t="s">
        <v>191</v>
      </c>
    </row>
    <row r="966" spans="1:10" ht="18.399999999999999" customHeight="1">
      <c r="B966" s="124" t="s">
        <v>558</v>
      </c>
    </row>
    <row r="967" spans="1:10" ht="18.399999999999999" customHeight="1">
      <c r="A967" s="124" t="s">
        <v>192</v>
      </c>
    </row>
    <row r="968" spans="1:10" ht="18.399999999999999" customHeight="1">
      <c r="B968" s="124" t="s">
        <v>558</v>
      </c>
    </row>
    <row r="969" spans="1:10" ht="18.399999999999999" customHeight="1" thickBot="1">
      <c r="B969" s="124" t="s">
        <v>559</v>
      </c>
      <c r="G969" s="128">
        <f>TRUNC(G964+G966+G968, 0)</f>
        <v>12127</v>
      </c>
    </row>
    <row r="970" spans="1:10" ht="18.399999999999999" customHeight="1" thickTop="1" thickBot="1">
      <c r="A970" s="125"/>
      <c r="B970" s="125"/>
      <c r="C970" s="125"/>
      <c r="D970" s="125"/>
      <c r="E970" s="125"/>
      <c r="F970" s="125"/>
      <c r="G970" s="125"/>
      <c r="H970" s="125"/>
    </row>
    <row r="971" spans="1:10" ht="18.399999999999999" customHeight="1" thickTop="1" thickBot="1">
      <c r="A971" s="125" t="s">
        <v>550</v>
      </c>
      <c r="B971" s="125" t="s">
        <v>694</v>
      </c>
      <c r="C971" s="125"/>
      <c r="D971" s="125"/>
      <c r="E971" s="125"/>
      <c r="F971" s="125"/>
      <c r="G971" s="125"/>
      <c r="H971" s="125"/>
    </row>
    <row r="972" spans="1:10" ht="18.399999999999999" customHeight="1" thickTop="1">
      <c r="A972" s="125" t="s">
        <v>552</v>
      </c>
      <c r="B972" s="125" t="s">
        <v>695</v>
      </c>
      <c r="C972" s="125"/>
      <c r="D972" s="125"/>
      <c r="E972" s="125"/>
      <c r="F972" s="125"/>
      <c r="G972" s="125"/>
      <c r="H972" s="125"/>
    </row>
    <row r="973" spans="1:10" ht="18.399999999999999" customHeight="1">
      <c r="A973" s="126" t="s">
        <v>554</v>
      </c>
      <c r="B973" s="126"/>
      <c r="C973" s="126" t="s">
        <v>555</v>
      </c>
      <c r="D973" s="126" t="s">
        <v>189</v>
      </c>
      <c r="E973" s="126" t="s">
        <v>190</v>
      </c>
      <c r="F973" s="126" t="s">
        <v>556</v>
      </c>
      <c r="G973" s="126" t="s">
        <v>557</v>
      </c>
      <c r="H973" s="126" t="s">
        <v>195</v>
      </c>
      <c r="I973" s="127" t="str">
        <f>HYPERLINK("#"&amp;J973, "이전으로")</f>
        <v>이전으로</v>
      </c>
      <c r="J973" s="124" t="s">
        <v>1208</v>
      </c>
    </row>
    <row r="974" spans="1:10" ht="18.399999999999999" customHeight="1">
      <c r="A974" s="124" t="s">
        <v>193</v>
      </c>
      <c r="B974" s="124" t="s">
        <v>452</v>
      </c>
      <c r="C974" s="124" t="s">
        <v>434</v>
      </c>
      <c r="D974" s="124">
        <v>0.7177</v>
      </c>
      <c r="E974" s="128" t="s">
        <v>398</v>
      </c>
      <c r="F974" s="128">
        <f>중기기초자료!$G$100</f>
        <v>8200</v>
      </c>
      <c r="G974" s="129">
        <f>TRUNC(F974*D974, 1)</f>
        <v>5885.1</v>
      </c>
      <c r="H974" s="124" t="s">
        <v>17</v>
      </c>
    </row>
    <row r="975" spans="1:10" ht="18.399999999999999" customHeight="1">
      <c r="B975" s="124" t="s">
        <v>558</v>
      </c>
      <c r="G975" s="128">
        <f>TRUNC(G974, 0)</f>
        <v>5885</v>
      </c>
    </row>
    <row r="976" spans="1:10" ht="18.399999999999999" customHeight="1">
      <c r="A976" s="124" t="s">
        <v>191</v>
      </c>
    </row>
    <row r="977" spans="1:10" ht="18.399999999999999" customHeight="1">
      <c r="B977" s="124" t="s">
        <v>558</v>
      </c>
    </row>
    <row r="978" spans="1:10" ht="18.399999999999999" customHeight="1">
      <c r="A978" s="124" t="s">
        <v>192</v>
      </c>
    </row>
    <row r="979" spans="1:10" ht="18.399999999999999" customHeight="1">
      <c r="B979" s="124" t="s">
        <v>558</v>
      </c>
    </row>
    <row r="980" spans="1:10" ht="18.399999999999999" customHeight="1" thickBot="1">
      <c r="B980" s="124" t="s">
        <v>559</v>
      </c>
      <c r="G980" s="128">
        <f>TRUNC(G975+G977+G979, 0)</f>
        <v>5885</v>
      </c>
    </row>
    <row r="981" spans="1:10" ht="18.399999999999999" customHeight="1" thickTop="1" thickBot="1">
      <c r="A981" s="125"/>
      <c r="B981" s="125"/>
      <c r="C981" s="125"/>
      <c r="D981" s="125"/>
      <c r="E981" s="125"/>
      <c r="F981" s="125"/>
      <c r="G981" s="125"/>
      <c r="H981" s="125"/>
    </row>
    <row r="982" spans="1:10" ht="18.399999999999999" customHeight="1" thickTop="1" thickBot="1">
      <c r="A982" s="125" t="s">
        <v>550</v>
      </c>
      <c r="B982" s="125" t="s">
        <v>696</v>
      </c>
      <c r="C982" s="125"/>
      <c r="D982" s="125"/>
      <c r="E982" s="125"/>
      <c r="F982" s="125"/>
      <c r="G982" s="125"/>
      <c r="H982" s="125"/>
    </row>
    <row r="983" spans="1:10" ht="18.399999999999999" customHeight="1" thickTop="1">
      <c r="A983" s="125" t="s">
        <v>552</v>
      </c>
      <c r="B983" s="125" t="s">
        <v>695</v>
      </c>
      <c r="C983" s="125"/>
      <c r="D983" s="125"/>
      <c r="E983" s="125"/>
      <c r="F983" s="125"/>
      <c r="G983" s="125"/>
      <c r="H983" s="125"/>
    </row>
    <row r="984" spans="1:10" ht="18.399999999999999" customHeight="1">
      <c r="A984" s="126" t="s">
        <v>554</v>
      </c>
      <c r="B984" s="126"/>
      <c r="C984" s="126" t="s">
        <v>555</v>
      </c>
      <c r="D984" s="126" t="s">
        <v>189</v>
      </c>
      <c r="E984" s="126" t="s">
        <v>190</v>
      </c>
      <c r="F984" s="126" t="s">
        <v>556</v>
      </c>
      <c r="G984" s="126" t="s">
        <v>557</v>
      </c>
      <c r="H984" s="126" t="s">
        <v>195</v>
      </c>
      <c r="I984" s="127" t="str">
        <f>HYPERLINK("#"&amp;J984, "이전으로")</f>
        <v>이전으로</v>
      </c>
      <c r="J984" s="124" t="s">
        <v>1209</v>
      </c>
    </row>
    <row r="985" spans="1:10" ht="18.399999999999999" customHeight="1">
      <c r="A985" s="124" t="s">
        <v>193</v>
      </c>
      <c r="B985" s="124" t="s">
        <v>452</v>
      </c>
      <c r="C985" s="124" t="s">
        <v>434</v>
      </c>
      <c r="D985" s="124">
        <v>0.70550000000000002</v>
      </c>
      <c r="E985" s="128" t="s">
        <v>398</v>
      </c>
      <c r="F985" s="128">
        <f>중기기초자료!$G$100</f>
        <v>8200</v>
      </c>
      <c r="G985" s="129">
        <f>TRUNC(F985*D985, 1)</f>
        <v>5785.1</v>
      </c>
      <c r="H985" s="124" t="s">
        <v>17</v>
      </c>
    </row>
    <row r="986" spans="1:10" ht="18.399999999999999" customHeight="1">
      <c r="B986" s="124" t="s">
        <v>558</v>
      </c>
      <c r="G986" s="128">
        <f>TRUNC(G985, 0)</f>
        <v>5785</v>
      </c>
    </row>
    <row r="987" spans="1:10" ht="18.399999999999999" customHeight="1">
      <c r="A987" s="124" t="s">
        <v>191</v>
      </c>
    </row>
    <row r="988" spans="1:10" ht="18.399999999999999" customHeight="1">
      <c r="B988" s="124" t="s">
        <v>558</v>
      </c>
    </row>
    <row r="989" spans="1:10" ht="18.399999999999999" customHeight="1">
      <c r="A989" s="124" t="s">
        <v>192</v>
      </c>
    </row>
    <row r="990" spans="1:10" ht="18.399999999999999" customHeight="1">
      <c r="B990" s="124" t="s">
        <v>558</v>
      </c>
    </row>
    <row r="991" spans="1:10" ht="18.399999999999999" customHeight="1" thickBot="1">
      <c r="B991" s="124" t="s">
        <v>559</v>
      </c>
      <c r="G991" s="128">
        <f>TRUNC(G986+G988+G990, 0)</f>
        <v>5785</v>
      </c>
    </row>
    <row r="992" spans="1:10" ht="18.399999999999999" customHeight="1" thickTop="1" thickBot="1">
      <c r="A992" s="125"/>
      <c r="B992" s="125"/>
      <c r="C992" s="125"/>
      <c r="D992" s="125"/>
      <c r="E992" s="125"/>
      <c r="F992" s="125"/>
      <c r="G992" s="125"/>
      <c r="H992" s="125"/>
    </row>
    <row r="993" spans="1:10" ht="18.399999999999999" customHeight="1" thickTop="1" thickBot="1">
      <c r="A993" s="125" t="s">
        <v>550</v>
      </c>
      <c r="B993" s="125" t="s">
        <v>697</v>
      </c>
      <c r="C993" s="125"/>
      <c r="D993" s="125"/>
      <c r="E993" s="125"/>
      <c r="F993" s="125"/>
      <c r="G993" s="125"/>
      <c r="H993" s="125"/>
    </row>
    <row r="994" spans="1:10" ht="18.399999999999999" customHeight="1" thickTop="1">
      <c r="A994" s="125" t="s">
        <v>552</v>
      </c>
      <c r="B994" s="125" t="s">
        <v>695</v>
      </c>
      <c r="C994" s="125"/>
      <c r="D994" s="125"/>
      <c r="E994" s="125"/>
      <c r="F994" s="125"/>
      <c r="G994" s="125"/>
      <c r="H994" s="125"/>
    </row>
    <row r="995" spans="1:10" ht="18.399999999999999" customHeight="1">
      <c r="A995" s="126" t="s">
        <v>554</v>
      </c>
      <c r="B995" s="126"/>
      <c r="C995" s="126" t="s">
        <v>555</v>
      </c>
      <c r="D995" s="126" t="s">
        <v>189</v>
      </c>
      <c r="E995" s="126" t="s">
        <v>190</v>
      </c>
      <c r="F995" s="126" t="s">
        <v>556</v>
      </c>
      <c r="G995" s="126" t="s">
        <v>557</v>
      </c>
      <c r="H995" s="126" t="s">
        <v>195</v>
      </c>
      <c r="I995" s="127" t="str">
        <f>HYPERLINK("#"&amp;J995, "이전으로")</f>
        <v>이전으로</v>
      </c>
      <c r="J995" s="124" t="s">
        <v>1210</v>
      </c>
    </row>
    <row r="996" spans="1:10" ht="18.399999999999999" customHeight="1">
      <c r="A996" s="124" t="s">
        <v>193</v>
      </c>
      <c r="B996" s="124" t="s">
        <v>452</v>
      </c>
      <c r="C996" s="124" t="s">
        <v>434</v>
      </c>
      <c r="D996" s="124">
        <v>0.69420000000000004</v>
      </c>
      <c r="E996" s="128" t="s">
        <v>398</v>
      </c>
      <c r="F996" s="128">
        <f>중기기초자료!$G$100</f>
        <v>8200</v>
      </c>
      <c r="G996" s="129">
        <f>TRUNC(F996*D996, 1)</f>
        <v>5692.4</v>
      </c>
      <c r="H996" s="124" t="s">
        <v>17</v>
      </c>
    </row>
    <row r="997" spans="1:10" ht="18.399999999999999" customHeight="1">
      <c r="B997" s="124" t="s">
        <v>558</v>
      </c>
      <c r="G997" s="128">
        <f>TRUNC(G996, 0)</f>
        <v>5692</v>
      </c>
    </row>
    <row r="998" spans="1:10" ht="18.399999999999999" customHeight="1">
      <c r="A998" s="124" t="s">
        <v>191</v>
      </c>
    </row>
    <row r="999" spans="1:10" ht="18.399999999999999" customHeight="1">
      <c r="B999" s="124" t="s">
        <v>558</v>
      </c>
    </row>
    <row r="1000" spans="1:10" ht="18.399999999999999" customHeight="1">
      <c r="A1000" s="124" t="s">
        <v>192</v>
      </c>
    </row>
    <row r="1001" spans="1:10" ht="18.399999999999999" customHeight="1">
      <c r="B1001" s="124" t="s">
        <v>558</v>
      </c>
    </row>
    <row r="1002" spans="1:10" ht="18.399999999999999" customHeight="1" thickBot="1">
      <c r="B1002" s="124" t="s">
        <v>559</v>
      </c>
      <c r="G1002" s="128">
        <f>TRUNC(G997+G999+G1001, 0)</f>
        <v>5692</v>
      </c>
    </row>
    <row r="1003" spans="1:10" ht="18.399999999999999" customHeight="1" thickTop="1" thickBot="1">
      <c r="A1003" s="125"/>
      <c r="B1003" s="125"/>
      <c r="C1003" s="125"/>
      <c r="D1003" s="125"/>
      <c r="E1003" s="125"/>
      <c r="F1003" s="125"/>
      <c r="G1003" s="125"/>
      <c r="H1003" s="125"/>
    </row>
    <row r="1004" spans="1:10" ht="18.399999999999999" customHeight="1" thickTop="1" thickBot="1">
      <c r="A1004" s="125" t="s">
        <v>550</v>
      </c>
      <c r="B1004" s="125" t="s">
        <v>698</v>
      </c>
      <c r="C1004" s="125"/>
      <c r="D1004" s="125"/>
      <c r="E1004" s="125"/>
      <c r="F1004" s="125"/>
      <c r="G1004" s="125"/>
      <c r="H1004" s="125"/>
    </row>
    <row r="1005" spans="1:10" ht="18.399999999999999" customHeight="1" thickTop="1">
      <c r="A1005" s="125" t="s">
        <v>552</v>
      </c>
      <c r="B1005" s="125" t="s">
        <v>695</v>
      </c>
      <c r="C1005" s="125"/>
      <c r="D1005" s="125"/>
      <c r="E1005" s="125"/>
      <c r="F1005" s="125"/>
      <c r="G1005" s="125"/>
      <c r="H1005" s="125"/>
    </row>
    <row r="1006" spans="1:10" ht="18.399999999999999" customHeight="1">
      <c r="A1006" s="126" t="s">
        <v>554</v>
      </c>
      <c r="B1006" s="126"/>
      <c r="C1006" s="126" t="s">
        <v>555</v>
      </c>
      <c r="D1006" s="126" t="s">
        <v>189</v>
      </c>
      <c r="E1006" s="126" t="s">
        <v>190</v>
      </c>
      <c r="F1006" s="126" t="s">
        <v>556</v>
      </c>
      <c r="G1006" s="126" t="s">
        <v>557</v>
      </c>
      <c r="H1006" s="126" t="s">
        <v>195</v>
      </c>
      <c r="I1006" s="127" t="str">
        <f>HYPERLINK("#"&amp;J1006, "이전으로")</f>
        <v>이전으로</v>
      </c>
      <c r="J1006" s="124" t="s">
        <v>1211</v>
      </c>
    </row>
    <row r="1007" spans="1:10" ht="18.399999999999999" customHeight="1">
      <c r="A1007" s="124" t="s">
        <v>193</v>
      </c>
      <c r="B1007" s="124" t="s">
        <v>452</v>
      </c>
      <c r="C1007" s="124" t="s">
        <v>434</v>
      </c>
      <c r="D1007" s="124">
        <v>0.67190000000000005</v>
      </c>
      <c r="E1007" s="128" t="s">
        <v>398</v>
      </c>
      <c r="F1007" s="128">
        <f>중기기초자료!$G$100</f>
        <v>8200</v>
      </c>
      <c r="G1007" s="129">
        <f>TRUNC(F1007*D1007, 1)</f>
        <v>5509.5</v>
      </c>
      <c r="H1007" s="124" t="s">
        <v>17</v>
      </c>
    </row>
    <row r="1008" spans="1:10" ht="18.399999999999999" customHeight="1">
      <c r="B1008" s="124" t="s">
        <v>558</v>
      </c>
      <c r="G1008" s="128">
        <f>TRUNC(G1007, 0)</f>
        <v>5509</v>
      </c>
    </row>
    <row r="1009" spans="1:10" ht="18.399999999999999" customHeight="1">
      <c r="A1009" s="124" t="s">
        <v>191</v>
      </c>
    </row>
    <row r="1010" spans="1:10" ht="18.399999999999999" customHeight="1">
      <c r="B1010" s="124" t="s">
        <v>558</v>
      </c>
    </row>
    <row r="1011" spans="1:10" ht="18.399999999999999" customHeight="1">
      <c r="A1011" s="124" t="s">
        <v>192</v>
      </c>
    </row>
    <row r="1012" spans="1:10" ht="18.399999999999999" customHeight="1">
      <c r="B1012" s="124" t="s">
        <v>558</v>
      </c>
    </row>
    <row r="1013" spans="1:10" ht="18.399999999999999" customHeight="1" thickBot="1">
      <c r="B1013" s="124" t="s">
        <v>559</v>
      </c>
      <c r="G1013" s="128">
        <f>TRUNC(G1008+G1010+G1012, 0)</f>
        <v>5509</v>
      </c>
    </row>
    <row r="1014" spans="1:10" ht="18.399999999999999" customHeight="1" thickTop="1" thickBot="1">
      <c r="A1014" s="125"/>
      <c r="B1014" s="125"/>
      <c r="C1014" s="125"/>
      <c r="D1014" s="125"/>
      <c r="E1014" s="125"/>
      <c r="F1014" s="125"/>
      <c r="G1014" s="125"/>
      <c r="H1014" s="125"/>
    </row>
    <row r="1015" spans="1:10" ht="18.399999999999999" customHeight="1" thickTop="1" thickBot="1">
      <c r="A1015" s="125" t="s">
        <v>550</v>
      </c>
      <c r="B1015" s="125" t="s">
        <v>699</v>
      </c>
      <c r="C1015" s="125"/>
      <c r="D1015" s="125"/>
      <c r="E1015" s="125"/>
      <c r="F1015" s="125"/>
      <c r="G1015" s="125"/>
      <c r="H1015" s="125"/>
    </row>
    <row r="1016" spans="1:10" ht="18.399999999999999" customHeight="1" thickTop="1">
      <c r="A1016" s="125" t="s">
        <v>552</v>
      </c>
      <c r="B1016" s="125" t="s">
        <v>700</v>
      </c>
      <c r="C1016" s="125"/>
      <c r="D1016" s="125"/>
      <c r="E1016" s="125"/>
      <c r="F1016" s="125"/>
      <c r="G1016" s="125"/>
      <c r="H1016" s="125"/>
    </row>
    <row r="1017" spans="1:10" ht="18.399999999999999" customHeight="1">
      <c r="A1017" s="126" t="s">
        <v>554</v>
      </c>
      <c r="B1017" s="126"/>
      <c r="C1017" s="126" t="s">
        <v>555</v>
      </c>
      <c r="D1017" s="126" t="s">
        <v>189</v>
      </c>
      <c r="E1017" s="126" t="s">
        <v>190</v>
      </c>
      <c r="F1017" s="126" t="s">
        <v>556</v>
      </c>
      <c r="G1017" s="126" t="s">
        <v>557</v>
      </c>
      <c r="H1017" s="126" t="s">
        <v>195</v>
      </c>
      <c r="I1017" s="127" t="str">
        <f>HYPERLINK("#"&amp;J1017, "이전으로")</f>
        <v>이전으로</v>
      </c>
      <c r="J1017" s="124" t="s">
        <v>1212</v>
      </c>
    </row>
    <row r="1018" spans="1:10" ht="18.399999999999999" customHeight="1">
      <c r="A1018" s="124" t="s">
        <v>193</v>
      </c>
      <c r="B1018" s="124" t="s">
        <v>452</v>
      </c>
      <c r="C1018" s="124" t="s">
        <v>437</v>
      </c>
      <c r="D1018" s="124">
        <v>0.50929999999999997</v>
      </c>
      <c r="E1018" s="128" t="s">
        <v>398</v>
      </c>
      <c r="F1018" s="128">
        <f>중기기초자료!$G$101</f>
        <v>12000</v>
      </c>
      <c r="G1018" s="129">
        <f>TRUNC(F1018*D1018, 1)</f>
        <v>6111.6</v>
      </c>
      <c r="H1018" s="124" t="s">
        <v>17</v>
      </c>
    </row>
    <row r="1019" spans="1:10" ht="18.399999999999999" customHeight="1">
      <c r="B1019" s="124" t="s">
        <v>558</v>
      </c>
      <c r="G1019" s="128">
        <f>TRUNC(G1018, 0)</f>
        <v>6111</v>
      </c>
    </row>
    <row r="1020" spans="1:10" ht="18.399999999999999" customHeight="1">
      <c r="A1020" s="124" t="s">
        <v>191</v>
      </c>
    </row>
    <row r="1021" spans="1:10" ht="18.399999999999999" customHeight="1">
      <c r="B1021" s="124" t="s">
        <v>558</v>
      </c>
    </row>
    <row r="1022" spans="1:10" ht="18.399999999999999" customHeight="1">
      <c r="A1022" s="124" t="s">
        <v>192</v>
      </c>
    </row>
    <row r="1023" spans="1:10" ht="18.399999999999999" customHeight="1">
      <c r="B1023" s="124" t="s">
        <v>558</v>
      </c>
    </row>
    <row r="1024" spans="1:10" ht="18.399999999999999" customHeight="1" thickBot="1">
      <c r="B1024" s="124" t="s">
        <v>559</v>
      </c>
      <c r="G1024" s="128">
        <f>TRUNC(G1019+G1021+G1023, 0)</f>
        <v>6111</v>
      </c>
    </row>
    <row r="1025" spans="1:10" ht="18.399999999999999" customHeight="1" thickTop="1" thickBot="1">
      <c r="A1025" s="125"/>
      <c r="B1025" s="125"/>
      <c r="C1025" s="125"/>
      <c r="D1025" s="125"/>
      <c r="E1025" s="125"/>
      <c r="F1025" s="125"/>
      <c r="G1025" s="125"/>
      <c r="H1025" s="125"/>
    </row>
    <row r="1026" spans="1:10" ht="18.399999999999999" customHeight="1" thickTop="1" thickBot="1">
      <c r="A1026" s="125" t="s">
        <v>550</v>
      </c>
      <c r="B1026" s="125" t="s">
        <v>701</v>
      </c>
      <c r="C1026" s="125"/>
      <c r="D1026" s="125"/>
      <c r="E1026" s="125"/>
      <c r="F1026" s="125"/>
      <c r="G1026" s="125"/>
      <c r="H1026" s="125"/>
    </row>
    <row r="1027" spans="1:10" ht="18.399999999999999" customHeight="1" thickTop="1">
      <c r="A1027" s="125" t="s">
        <v>552</v>
      </c>
      <c r="B1027" s="125" t="s">
        <v>700</v>
      </c>
      <c r="C1027" s="125"/>
      <c r="D1027" s="125"/>
      <c r="E1027" s="125"/>
      <c r="F1027" s="125"/>
      <c r="G1027" s="125"/>
      <c r="H1027" s="125"/>
    </row>
    <row r="1028" spans="1:10" ht="18.399999999999999" customHeight="1">
      <c r="A1028" s="126" t="s">
        <v>554</v>
      </c>
      <c r="B1028" s="126"/>
      <c r="C1028" s="126" t="s">
        <v>555</v>
      </c>
      <c r="D1028" s="126" t="s">
        <v>189</v>
      </c>
      <c r="E1028" s="126" t="s">
        <v>190</v>
      </c>
      <c r="F1028" s="126" t="s">
        <v>556</v>
      </c>
      <c r="G1028" s="126" t="s">
        <v>557</v>
      </c>
      <c r="H1028" s="126" t="s">
        <v>195</v>
      </c>
      <c r="I1028" s="127" t="str">
        <f>HYPERLINK("#"&amp;J1028, "이전으로")</f>
        <v>이전으로</v>
      </c>
      <c r="J1028" s="124" t="s">
        <v>1213</v>
      </c>
    </row>
    <row r="1029" spans="1:10" ht="18.399999999999999" customHeight="1">
      <c r="A1029" s="124" t="s">
        <v>193</v>
      </c>
      <c r="B1029" s="124" t="s">
        <v>452</v>
      </c>
      <c r="C1029" s="124" t="s">
        <v>437</v>
      </c>
      <c r="D1029" s="124">
        <v>0.49209999999999998</v>
      </c>
      <c r="E1029" s="128" t="s">
        <v>398</v>
      </c>
      <c r="F1029" s="128">
        <f>중기기초자료!$G$101</f>
        <v>12000</v>
      </c>
      <c r="G1029" s="129">
        <f>TRUNC(F1029*D1029, 1)</f>
        <v>5905.2</v>
      </c>
      <c r="H1029" s="124" t="s">
        <v>17</v>
      </c>
    </row>
    <row r="1030" spans="1:10" ht="18.399999999999999" customHeight="1">
      <c r="B1030" s="124" t="s">
        <v>558</v>
      </c>
      <c r="G1030" s="128">
        <f>TRUNC(G1029, 0)</f>
        <v>5905</v>
      </c>
    </row>
    <row r="1031" spans="1:10" ht="18.399999999999999" customHeight="1">
      <c r="A1031" s="124" t="s">
        <v>191</v>
      </c>
    </row>
    <row r="1032" spans="1:10" ht="18.399999999999999" customHeight="1">
      <c r="B1032" s="124" t="s">
        <v>558</v>
      </c>
    </row>
    <row r="1033" spans="1:10" ht="18.399999999999999" customHeight="1">
      <c r="A1033" s="124" t="s">
        <v>192</v>
      </c>
    </row>
    <row r="1034" spans="1:10" ht="18.399999999999999" customHeight="1">
      <c r="B1034" s="124" t="s">
        <v>558</v>
      </c>
    </row>
    <row r="1035" spans="1:10" ht="18.399999999999999" customHeight="1" thickBot="1">
      <c r="B1035" s="124" t="s">
        <v>559</v>
      </c>
      <c r="G1035" s="128">
        <f>TRUNC(G1030+G1032+G1034, 0)</f>
        <v>5905</v>
      </c>
    </row>
    <row r="1036" spans="1:10" ht="18" customHeight="1" thickTop="1" thickBot="1">
      <c r="A1036" s="125"/>
      <c r="B1036" s="125"/>
      <c r="C1036" s="125"/>
      <c r="D1036" s="125"/>
      <c r="E1036" s="125"/>
      <c r="F1036" s="125"/>
      <c r="G1036" s="125"/>
      <c r="H1036" s="125"/>
    </row>
    <row r="1037" spans="1:10" ht="18.399999999999999" customHeight="1" thickTop="1" thickBot="1">
      <c r="A1037" s="125" t="s">
        <v>550</v>
      </c>
      <c r="B1037" s="125" t="s">
        <v>702</v>
      </c>
      <c r="C1037" s="125"/>
      <c r="D1037" s="125"/>
      <c r="E1037" s="125"/>
      <c r="F1037" s="125"/>
      <c r="G1037" s="125"/>
      <c r="H1037" s="125"/>
    </row>
    <row r="1038" spans="1:10" ht="18.399999999999999" customHeight="1" thickTop="1">
      <c r="A1038" s="125" t="s">
        <v>552</v>
      </c>
      <c r="B1038" s="125" t="s">
        <v>700</v>
      </c>
      <c r="C1038" s="125"/>
      <c r="D1038" s="125"/>
      <c r="E1038" s="125"/>
      <c r="F1038" s="125"/>
      <c r="G1038" s="125"/>
      <c r="H1038" s="125"/>
    </row>
    <row r="1039" spans="1:10" ht="18.399999999999999" customHeight="1">
      <c r="A1039" s="126" t="s">
        <v>554</v>
      </c>
      <c r="B1039" s="126"/>
      <c r="C1039" s="126" t="s">
        <v>555</v>
      </c>
      <c r="D1039" s="126" t="s">
        <v>189</v>
      </c>
      <c r="E1039" s="126" t="s">
        <v>190</v>
      </c>
      <c r="F1039" s="126" t="s">
        <v>556</v>
      </c>
      <c r="G1039" s="126" t="s">
        <v>557</v>
      </c>
      <c r="H1039" s="126" t="s">
        <v>195</v>
      </c>
      <c r="I1039" s="127" t="str">
        <f>HYPERLINK("#"&amp;J1039, "이전으로")</f>
        <v>이전으로</v>
      </c>
      <c r="J1039" s="124" t="s">
        <v>1256</v>
      </c>
    </row>
    <row r="1040" spans="1:10" ht="18.399999999999999" customHeight="1">
      <c r="A1040" s="124" t="s">
        <v>193</v>
      </c>
      <c r="B1040" s="124" t="s">
        <v>452</v>
      </c>
      <c r="C1040" s="124" t="s">
        <v>437</v>
      </c>
      <c r="D1040" s="124">
        <v>0.47460000000000002</v>
      </c>
      <c r="E1040" s="128" t="s">
        <v>398</v>
      </c>
      <c r="F1040" s="128">
        <f>중기기초자료!$G$101</f>
        <v>12000</v>
      </c>
      <c r="G1040" s="129">
        <f>TRUNC(F1040*D1040, 1)</f>
        <v>5695.2</v>
      </c>
      <c r="H1040" s="124" t="s">
        <v>17</v>
      </c>
    </row>
    <row r="1041" spans="1:10" ht="18.399999999999999" customHeight="1">
      <c r="B1041" s="124" t="s">
        <v>558</v>
      </c>
      <c r="G1041" s="128">
        <f>TRUNC(G1040, 0)</f>
        <v>5695</v>
      </c>
    </row>
    <row r="1042" spans="1:10" ht="18.399999999999999" customHeight="1">
      <c r="A1042" s="124" t="s">
        <v>191</v>
      </c>
    </row>
    <row r="1043" spans="1:10" ht="18.399999999999999" customHeight="1">
      <c r="B1043" s="124" t="s">
        <v>558</v>
      </c>
    </row>
    <row r="1044" spans="1:10" ht="18.399999999999999" customHeight="1">
      <c r="A1044" s="124" t="s">
        <v>192</v>
      </c>
    </row>
    <row r="1045" spans="1:10" ht="18.399999999999999" customHeight="1">
      <c r="B1045" s="124" t="s">
        <v>558</v>
      </c>
    </row>
    <row r="1046" spans="1:10" ht="18.399999999999999" customHeight="1" thickBot="1">
      <c r="B1046" s="124" t="s">
        <v>559</v>
      </c>
      <c r="G1046" s="128">
        <f>TRUNC(G1041+G1043+G1045, 0)</f>
        <v>5695</v>
      </c>
    </row>
    <row r="1047" spans="1:10" ht="18.399999999999999" customHeight="1" thickTop="1" thickBot="1">
      <c r="A1047" s="125"/>
      <c r="B1047" s="125"/>
      <c r="C1047" s="125"/>
      <c r="D1047" s="125"/>
      <c r="E1047" s="125"/>
      <c r="F1047" s="125"/>
      <c r="G1047" s="125"/>
      <c r="H1047" s="125"/>
    </row>
    <row r="1048" spans="1:10" ht="18.399999999999999" customHeight="1" thickTop="1" thickBot="1">
      <c r="A1048" s="125" t="s">
        <v>550</v>
      </c>
      <c r="B1048" s="125" t="s">
        <v>703</v>
      </c>
      <c r="C1048" s="125"/>
      <c r="D1048" s="125"/>
      <c r="E1048" s="125"/>
      <c r="F1048" s="125"/>
      <c r="G1048" s="125"/>
      <c r="H1048" s="125"/>
    </row>
    <row r="1049" spans="1:10" ht="18.399999999999999" customHeight="1" thickTop="1">
      <c r="A1049" s="125" t="s">
        <v>552</v>
      </c>
      <c r="B1049" s="125" t="s">
        <v>704</v>
      </c>
      <c r="C1049" s="125"/>
      <c r="D1049" s="125"/>
      <c r="E1049" s="125"/>
      <c r="F1049" s="125"/>
      <c r="G1049" s="125"/>
      <c r="H1049" s="125"/>
    </row>
    <row r="1050" spans="1:10" ht="18.399999999999999" customHeight="1">
      <c r="A1050" s="126" t="s">
        <v>554</v>
      </c>
      <c r="B1050" s="126"/>
      <c r="C1050" s="126" t="s">
        <v>555</v>
      </c>
      <c r="D1050" s="126" t="s">
        <v>189</v>
      </c>
      <c r="E1050" s="126" t="s">
        <v>190</v>
      </c>
      <c r="F1050" s="126" t="s">
        <v>556</v>
      </c>
      <c r="G1050" s="126" t="s">
        <v>557</v>
      </c>
      <c r="H1050" s="126" t="s">
        <v>195</v>
      </c>
      <c r="I1050" s="127" t="str">
        <f>HYPERLINK("#"&amp;J1050, "이전으로")</f>
        <v>이전으로</v>
      </c>
      <c r="J1050" s="124" t="s">
        <v>1214</v>
      </c>
    </row>
    <row r="1051" spans="1:10" ht="18.399999999999999" customHeight="1">
      <c r="A1051" s="124" t="s">
        <v>193</v>
      </c>
      <c r="B1051" s="124" t="s">
        <v>452</v>
      </c>
      <c r="C1051" s="124" t="s">
        <v>440</v>
      </c>
      <c r="D1051" s="124">
        <v>0.30509999999999998</v>
      </c>
      <c r="E1051" s="128" t="s">
        <v>398</v>
      </c>
      <c r="F1051" s="128">
        <f>중기기초자료!$G$102</f>
        <v>16000</v>
      </c>
      <c r="G1051" s="129">
        <f>TRUNC(F1051*D1051, 1)</f>
        <v>4881.6000000000004</v>
      </c>
      <c r="H1051" s="124" t="s">
        <v>17</v>
      </c>
    </row>
    <row r="1052" spans="1:10" ht="18.399999999999999" customHeight="1">
      <c r="B1052" s="124" t="s">
        <v>558</v>
      </c>
      <c r="G1052" s="128">
        <f>TRUNC(G1051, 0)</f>
        <v>4881</v>
      </c>
    </row>
    <row r="1053" spans="1:10" ht="18.399999999999999" customHeight="1">
      <c r="A1053" s="124" t="s">
        <v>191</v>
      </c>
    </row>
    <row r="1054" spans="1:10" ht="18.399999999999999" customHeight="1">
      <c r="B1054" s="124" t="s">
        <v>558</v>
      </c>
    </row>
    <row r="1055" spans="1:10" ht="18.399999999999999" customHeight="1">
      <c r="A1055" s="124" t="s">
        <v>192</v>
      </c>
    </row>
    <row r="1056" spans="1:10" ht="18.399999999999999" customHeight="1">
      <c r="B1056" s="124" t="s">
        <v>558</v>
      </c>
    </row>
    <row r="1057" spans="1:10" ht="18.399999999999999" customHeight="1" thickBot="1">
      <c r="B1057" s="124" t="s">
        <v>559</v>
      </c>
      <c r="G1057" s="128">
        <f>TRUNC(G1052+G1054+G1056, 0)</f>
        <v>4881</v>
      </c>
    </row>
    <row r="1058" spans="1:10" ht="18.399999999999999" customHeight="1" thickTop="1" thickBot="1">
      <c r="A1058" s="125"/>
      <c r="B1058" s="125"/>
      <c r="C1058" s="125"/>
      <c r="D1058" s="125"/>
      <c r="E1058" s="125"/>
      <c r="F1058" s="125"/>
      <c r="G1058" s="125"/>
      <c r="H1058" s="125"/>
    </row>
    <row r="1059" spans="1:10" ht="18.399999999999999" customHeight="1" thickTop="1" thickBot="1">
      <c r="A1059" s="125" t="s">
        <v>550</v>
      </c>
      <c r="B1059" s="125" t="s">
        <v>705</v>
      </c>
      <c r="C1059" s="125"/>
      <c r="D1059" s="125"/>
      <c r="E1059" s="125"/>
      <c r="F1059" s="125"/>
      <c r="G1059" s="125"/>
      <c r="H1059" s="125"/>
    </row>
    <row r="1060" spans="1:10" ht="18.399999999999999" customHeight="1" thickTop="1">
      <c r="A1060" s="125" t="s">
        <v>552</v>
      </c>
      <c r="B1060" s="125" t="s">
        <v>704</v>
      </c>
      <c r="C1060" s="125"/>
      <c r="D1060" s="125"/>
      <c r="E1060" s="125"/>
      <c r="F1060" s="125"/>
      <c r="G1060" s="125"/>
      <c r="H1060" s="125"/>
    </row>
    <row r="1061" spans="1:10" ht="18.399999999999999" customHeight="1">
      <c r="A1061" s="126" t="s">
        <v>554</v>
      </c>
      <c r="B1061" s="126"/>
      <c r="C1061" s="126" t="s">
        <v>555</v>
      </c>
      <c r="D1061" s="126" t="s">
        <v>189</v>
      </c>
      <c r="E1061" s="126" t="s">
        <v>190</v>
      </c>
      <c r="F1061" s="126" t="s">
        <v>556</v>
      </c>
      <c r="G1061" s="126" t="s">
        <v>557</v>
      </c>
      <c r="H1061" s="126" t="s">
        <v>195</v>
      </c>
      <c r="I1061" s="127" t="str">
        <f>HYPERLINK("#"&amp;J1061, "이전으로")</f>
        <v>이전으로</v>
      </c>
      <c r="J1061" s="124" t="s">
        <v>1215</v>
      </c>
    </row>
    <row r="1062" spans="1:10" ht="18.399999999999999" customHeight="1">
      <c r="A1062" s="124" t="s">
        <v>193</v>
      </c>
      <c r="B1062" s="124" t="s">
        <v>452</v>
      </c>
      <c r="C1062" s="124" t="s">
        <v>440</v>
      </c>
      <c r="D1062" s="124">
        <v>0.28960000000000002</v>
      </c>
      <c r="E1062" s="128" t="s">
        <v>398</v>
      </c>
      <c r="F1062" s="128">
        <f>중기기초자료!$G$102</f>
        <v>16000</v>
      </c>
      <c r="G1062" s="129">
        <f>TRUNC(F1062*D1062, 1)</f>
        <v>4633.6000000000004</v>
      </c>
      <c r="H1062" s="124" t="s">
        <v>17</v>
      </c>
    </row>
    <row r="1063" spans="1:10" ht="18.399999999999999" customHeight="1">
      <c r="B1063" s="124" t="s">
        <v>558</v>
      </c>
      <c r="G1063" s="128">
        <f>TRUNC(G1062, 0)</f>
        <v>4633</v>
      </c>
    </row>
    <row r="1064" spans="1:10" ht="18.399999999999999" customHeight="1">
      <c r="A1064" s="124" t="s">
        <v>191</v>
      </c>
    </row>
    <row r="1065" spans="1:10" ht="18.399999999999999" customHeight="1">
      <c r="B1065" s="124" t="s">
        <v>558</v>
      </c>
    </row>
    <row r="1066" spans="1:10" ht="18.399999999999999" customHeight="1">
      <c r="A1066" s="124" t="s">
        <v>192</v>
      </c>
    </row>
    <row r="1067" spans="1:10" ht="18.399999999999999" customHeight="1">
      <c r="B1067" s="124" t="s">
        <v>558</v>
      </c>
    </row>
    <row r="1068" spans="1:10" ht="18.399999999999999" customHeight="1" thickBot="1">
      <c r="B1068" s="124" t="s">
        <v>559</v>
      </c>
      <c r="G1068" s="128">
        <f>TRUNC(G1063+G1065+G1067, 0)</f>
        <v>4633</v>
      </c>
    </row>
    <row r="1069" spans="1:10" ht="18.399999999999999" customHeight="1" thickTop="1" thickBot="1">
      <c r="A1069" s="125"/>
      <c r="B1069" s="125"/>
      <c r="C1069" s="125"/>
      <c r="D1069" s="125"/>
      <c r="E1069" s="125"/>
      <c r="F1069" s="125"/>
      <c r="G1069" s="125"/>
      <c r="H1069" s="125"/>
    </row>
    <row r="1070" spans="1:10" ht="18.399999999999999" customHeight="1" thickTop="1" thickBot="1">
      <c r="A1070" s="125" t="s">
        <v>550</v>
      </c>
      <c r="B1070" s="125" t="s">
        <v>706</v>
      </c>
      <c r="C1070" s="125"/>
      <c r="D1070" s="125"/>
      <c r="E1070" s="125"/>
      <c r="F1070" s="125"/>
      <c r="G1070" s="125"/>
      <c r="H1070" s="125"/>
    </row>
    <row r="1071" spans="1:10" ht="18.399999999999999" customHeight="1" thickTop="1">
      <c r="A1071" s="125" t="s">
        <v>552</v>
      </c>
      <c r="B1071" s="125" t="s">
        <v>704</v>
      </c>
      <c r="C1071" s="125"/>
      <c r="D1071" s="125"/>
      <c r="E1071" s="125"/>
      <c r="F1071" s="125"/>
      <c r="G1071" s="125"/>
      <c r="H1071" s="125"/>
    </row>
    <row r="1072" spans="1:10" ht="18.399999999999999" customHeight="1">
      <c r="A1072" s="126" t="s">
        <v>554</v>
      </c>
      <c r="B1072" s="126"/>
      <c r="C1072" s="126" t="s">
        <v>555</v>
      </c>
      <c r="D1072" s="126" t="s">
        <v>189</v>
      </c>
      <c r="E1072" s="126" t="s">
        <v>190</v>
      </c>
      <c r="F1072" s="126" t="s">
        <v>556</v>
      </c>
      <c r="G1072" s="126" t="s">
        <v>557</v>
      </c>
      <c r="H1072" s="126" t="s">
        <v>195</v>
      </c>
      <c r="I1072" s="127" t="str">
        <f>HYPERLINK("#"&amp;J1072, "이전으로")</f>
        <v>이전으로</v>
      </c>
      <c r="J1072" s="124" t="s">
        <v>1216</v>
      </c>
    </row>
    <row r="1073" spans="1:10" ht="18.399999999999999" customHeight="1">
      <c r="A1073" s="124" t="s">
        <v>193</v>
      </c>
      <c r="B1073" s="124" t="s">
        <v>452</v>
      </c>
      <c r="C1073" s="124" t="s">
        <v>440</v>
      </c>
      <c r="D1073" s="124">
        <v>0.28670000000000001</v>
      </c>
      <c r="E1073" s="128" t="s">
        <v>398</v>
      </c>
      <c r="F1073" s="128">
        <f>중기기초자료!$G$102</f>
        <v>16000</v>
      </c>
      <c r="G1073" s="129">
        <f>TRUNC(F1073*D1073, 1)</f>
        <v>4587.2</v>
      </c>
      <c r="H1073" s="124" t="s">
        <v>17</v>
      </c>
    </row>
    <row r="1074" spans="1:10" ht="18.399999999999999" customHeight="1">
      <c r="B1074" s="124" t="s">
        <v>558</v>
      </c>
      <c r="G1074" s="128">
        <f>TRUNC(G1073, 0)</f>
        <v>4587</v>
      </c>
    </row>
    <row r="1075" spans="1:10" ht="18.399999999999999" customHeight="1">
      <c r="A1075" s="124" t="s">
        <v>191</v>
      </c>
    </row>
    <row r="1076" spans="1:10" ht="18.399999999999999" customHeight="1">
      <c r="B1076" s="124" t="s">
        <v>558</v>
      </c>
    </row>
    <row r="1077" spans="1:10" ht="18.399999999999999" customHeight="1">
      <c r="A1077" s="124" t="s">
        <v>192</v>
      </c>
    </row>
    <row r="1078" spans="1:10" ht="18.399999999999999" customHeight="1">
      <c r="B1078" s="124" t="s">
        <v>558</v>
      </c>
    </row>
    <row r="1079" spans="1:10" ht="18.399999999999999" customHeight="1" thickBot="1">
      <c r="B1079" s="124" t="s">
        <v>559</v>
      </c>
      <c r="G1079" s="128">
        <f>TRUNC(G1074+G1076+G1078, 0)</f>
        <v>4587</v>
      </c>
    </row>
    <row r="1080" spans="1:10" ht="18.399999999999999" customHeight="1" thickTop="1" thickBot="1">
      <c r="A1080" s="125"/>
      <c r="B1080" s="125"/>
      <c r="C1080" s="125"/>
      <c r="D1080" s="125"/>
      <c r="E1080" s="125"/>
      <c r="F1080" s="125"/>
      <c r="G1080" s="125"/>
      <c r="H1080" s="125"/>
    </row>
    <row r="1081" spans="1:10" ht="18.399999999999999" customHeight="1" thickTop="1" thickBot="1">
      <c r="A1081" s="125" t="s">
        <v>550</v>
      </c>
      <c r="B1081" s="125" t="s">
        <v>976</v>
      </c>
      <c r="C1081" s="125"/>
      <c r="D1081" s="125"/>
      <c r="E1081" s="125"/>
      <c r="F1081" s="125"/>
      <c r="G1081" s="125"/>
      <c r="H1081" s="125"/>
    </row>
    <row r="1082" spans="1:10" ht="18.399999999999999" customHeight="1" thickTop="1">
      <c r="A1082" s="125" t="s">
        <v>552</v>
      </c>
      <c r="B1082" s="125" t="s">
        <v>975</v>
      </c>
      <c r="C1082" s="125"/>
      <c r="D1082" s="125"/>
      <c r="E1082" s="125"/>
      <c r="F1082" s="125"/>
      <c r="G1082" s="125"/>
      <c r="H1082" s="125"/>
    </row>
    <row r="1083" spans="1:10" ht="18.399999999999999" customHeight="1">
      <c r="A1083" s="126" t="s">
        <v>554</v>
      </c>
      <c r="B1083" s="126"/>
      <c r="C1083" s="126" t="s">
        <v>555</v>
      </c>
      <c r="D1083" s="126" t="s">
        <v>189</v>
      </c>
      <c r="E1083" s="126" t="s">
        <v>190</v>
      </c>
      <c r="F1083" s="126" t="s">
        <v>556</v>
      </c>
      <c r="G1083" s="126" t="s">
        <v>557</v>
      </c>
      <c r="H1083" s="126" t="s">
        <v>195</v>
      </c>
      <c r="I1083" s="127" t="str">
        <f>HYPERLINK("#"&amp;J1083, "이전으로")</f>
        <v>이전으로</v>
      </c>
      <c r="J1083" s="124" t="s">
        <v>1217</v>
      </c>
    </row>
    <row r="1084" spans="1:10" ht="18.399999999999999" customHeight="1">
      <c r="A1084" s="124" t="s">
        <v>193</v>
      </c>
      <c r="B1084" s="124" t="s">
        <v>452</v>
      </c>
      <c r="C1084" s="124" t="s">
        <v>1257</v>
      </c>
      <c r="D1084" s="124">
        <v>0.28670000000000001</v>
      </c>
      <c r="E1084" s="128" t="s">
        <v>398</v>
      </c>
      <c r="F1084" s="128">
        <f>중기기초자료!$G$103</f>
        <v>16000</v>
      </c>
      <c r="G1084" s="129">
        <f>TRUNC(F1084*D1084, 1)</f>
        <v>4587.2</v>
      </c>
      <c r="H1084" s="124" t="s">
        <v>17</v>
      </c>
    </row>
    <row r="1085" spans="1:10" ht="18.399999999999999" customHeight="1">
      <c r="B1085" s="124" t="s">
        <v>558</v>
      </c>
      <c r="G1085" s="128">
        <f>TRUNC(G1084, 0)</f>
        <v>4587</v>
      </c>
    </row>
    <row r="1086" spans="1:10" ht="18.399999999999999" customHeight="1">
      <c r="A1086" s="124" t="s">
        <v>191</v>
      </c>
    </row>
    <row r="1087" spans="1:10" ht="18.399999999999999" customHeight="1">
      <c r="B1087" s="124" t="s">
        <v>558</v>
      </c>
    </row>
    <row r="1088" spans="1:10" ht="18.399999999999999" customHeight="1">
      <c r="A1088" s="124" t="s">
        <v>192</v>
      </c>
    </row>
    <row r="1089" spans="1:10" ht="18.399999999999999" customHeight="1">
      <c r="B1089" s="124" t="s">
        <v>558</v>
      </c>
    </row>
    <row r="1090" spans="1:10" ht="18.399999999999999" customHeight="1" thickBot="1">
      <c r="B1090" s="124" t="s">
        <v>559</v>
      </c>
      <c r="G1090" s="128">
        <f>TRUNC(G1085+G1087+G1089, 0)</f>
        <v>4587</v>
      </c>
    </row>
    <row r="1091" spans="1:10" ht="18.399999999999999" customHeight="1" thickTop="1" thickBot="1">
      <c r="A1091" s="125"/>
      <c r="B1091" s="125"/>
      <c r="C1091" s="125"/>
      <c r="D1091" s="125"/>
      <c r="E1091" s="125"/>
      <c r="F1091" s="125"/>
      <c r="G1091" s="125"/>
      <c r="H1091" s="125"/>
    </row>
    <row r="1092" spans="1:10" ht="18.399999999999999" customHeight="1" thickTop="1" thickBot="1">
      <c r="A1092" s="125" t="s">
        <v>550</v>
      </c>
      <c r="B1092" s="125" t="s">
        <v>707</v>
      </c>
      <c r="C1092" s="125"/>
      <c r="D1092" s="125"/>
      <c r="E1092" s="125"/>
      <c r="F1092" s="125"/>
      <c r="G1092" s="125"/>
      <c r="H1092" s="125"/>
    </row>
    <row r="1093" spans="1:10" ht="18.399999999999999" customHeight="1" thickTop="1">
      <c r="A1093" s="125" t="s">
        <v>552</v>
      </c>
      <c r="B1093" s="125" t="s">
        <v>704</v>
      </c>
      <c r="C1093" s="125"/>
      <c r="D1093" s="125"/>
      <c r="E1093" s="125"/>
      <c r="F1093" s="125"/>
      <c r="G1093" s="125"/>
      <c r="H1093" s="125"/>
    </row>
    <row r="1094" spans="1:10" ht="18.399999999999999" customHeight="1">
      <c r="A1094" s="126" t="s">
        <v>554</v>
      </c>
      <c r="B1094" s="126"/>
      <c r="C1094" s="126" t="s">
        <v>555</v>
      </c>
      <c r="D1094" s="126" t="s">
        <v>189</v>
      </c>
      <c r="E1094" s="126" t="s">
        <v>190</v>
      </c>
      <c r="F1094" s="126" t="s">
        <v>556</v>
      </c>
      <c r="G1094" s="126" t="s">
        <v>557</v>
      </c>
      <c r="H1094" s="126" t="s">
        <v>195</v>
      </c>
      <c r="I1094" s="127" t="str">
        <f>HYPERLINK("#"&amp;J1094, "이전으로")</f>
        <v>이전으로</v>
      </c>
      <c r="J1094" s="124" t="s">
        <v>1218</v>
      </c>
    </row>
    <row r="1095" spans="1:10" ht="18.399999999999999" customHeight="1">
      <c r="A1095" s="124" t="s">
        <v>193</v>
      </c>
      <c r="B1095" s="124" t="s">
        <v>452</v>
      </c>
      <c r="C1095" s="124" t="s">
        <v>440</v>
      </c>
      <c r="D1095" s="124">
        <v>0.2772</v>
      </c>
      <c r="E1095" s="128" t="s">
        <v>398</v>
      </c>
      <c r="F1095" s="128">
        <f>중기기초자료!$G$102</f>
        <v>16000</v>
      </c>
      <c r="G1095" s="129">
        <f>TRUNC(F1095*D1095, 1)</f>
        <v>4435.2</v>
      </c>
      <c r="H1095" s="124" t="s">
        <v>17</v>
      </c>
    </row>
    <row r="1096" spans="1:10" ht="18.399999999999999" customHeight="1">
      <c r="B1096" s="124" t="s">
        <v>558</v>
      </c>
      <c r="G1096" s="128">
        <f>TRUNC(G1095, 0)</f>
        <v>4435</v>
      </c>
    </row>
    <row r="1097" spans="1:10" ht="18.399999999999999" customHeight="1">
      <c r="A1097" s="124" t="s">
        <v>191</v>
      </c>
    </row>
    <row r="1098" spans="1:10" ht="18.399999999999999" customHeight="1">
      <c r="B1098" s="124" t="s">
        <v>558</v>
      </c>
    </row>
    <row r="1099" spans="1:10" ht="18.399999999999999" customHeight="1">
      <c r="A1099" s="124" t="s">
        <v>192</v>
      </c>
    </row>
    <row r="1100" spans="1:10" ht="18.399999999999999" customHeight="1">
      <c r="B1100" s="124" t="s">
        <v>558</v>
      </c>
    </row>
    <row r="1101" spans="1:10" ht="18.399999999999999" customHeight="1" thickBot="1">
      <c r="B1101" s="124" t="s">
        <v>559</v>
      </c>
      <c r="G1101" s="128">
        <f>TRUNC(G1096+G1098+G1100, 0)</f>
        <v>4435</v>
      </c>
    </row>
    <row r="1102" spans="1:10" ht="18.399999999999999" customHeight="1" thickTop="1" thickBot="1">
      <c r="A1102" s="125"/>
      <c r="B1102" s="125"/>
      <c r="C1102" s="125"/>
      <c r="D1102" s="125"/>
      <c r="E1102" s="125"/>
      <c r="F1102" s="125"/>
      <c r="G1102" s="125"/>
      <c r="H1102" s="125"/>
    </row>
    <row r="1103" spans="1:10" ht="18.399999999999999" customHeight="1" thickTop="1" thickBot="1">
      <c r="A1103" s="125" t="s">
        <v>550</v>
      </c>
      <c r="B1103" s="125" t="s">
        <v>708</v>
      </c>
      <c r="C1103" s="125"/>
      <c r="D1103" s="125"/>
      <c r="E1103" s="125"/>
      <c r="F1103" s="125"/>
      <c r="G1103" s="125"/>
      <c r="H1103" s="125"/>
    </row>
    <row r="1104" spans="1:10" ht="18.399999999999999" customHeight="1" thickTop="1">
      <c r="A1104" s="125" t="s">
        <v>552</v>
      </c>
      <c r="B1104" s="125" t="s">
        <v>709</v>
      </c>
      <c r="C1104" s="125"/>
      <c r="D1104" s="125"/>
      <c r="E1104" s="125"/>
      <c r="F1104" s="125"/>
      <c r="G1104" s="125"/>
      <c r="H1104" s="125"/>
    </row>
    <row r="1105" spans="1:10" ht="18.399999999999999" customHeight="1">
      <c r="A1105" s="126" t="s">
        <v>554</v>
      </c>
      <c r="B1105" s="126"/>
      <c r="C1105" s="126" t="s">
        <v>555</v>
      </c>
      <c r="D1105" s="126" t="s">
        <v>189</v>
      </c>
      <c r="E1105" s="126" t="s">
        <v>190</v>
      </c>
      <c r="F1105" s="126" t="s">
        <v>556</v>
      </c>
      <c r="G1105" s="126" t="s">
        <v>557</v>
      </c>
      <c r="H1105" s="126" t="s">
        <v>195</v>
      </c>
      <c r="I1105" s="127" t="str">
        <f>HYPERLINK("#"&amp;J1105, "이전으로")</f>
        <v>이전으로</v>
      </c>
      <c r="J1105" s="124" t="s">
        <v>1219</v>
      </c>
    </row>
    <row r="1106" spans="1:10" ht="18.399999999999999" customHeight="1">
      <c r="A1106" s="124" t="s">
        <v>193</v>
      </c>
      <c r="B1106" s="124" t="s">
        <v>452</v>
      </c>
      <c r="C1106" s="124" t="s">
        <v>443</v>
      </c>
      <c r="D1106" s="124">
        <v>1.1307</v>
      </c>
      <c r="E1106" s="128" t="s">
        <v>398</v>
      </c>
      <c r="F1106" s="128">
        <f>중기기초자료!$G$104</f>
        <v>25000</v>
      </c>
      <c r="G1106" s="129">
        <f>TRUNC(F1106*D1106, 1)</f>
        <v>28267.5</v>
      </c>
      <c r="H1106" s="124" t="s">
        <v>17</v>
      </c>
    </row>
    <row r="1107" spans="1:10" ht="18.399999999999999" customHeight="1">
      <c r="B1107" s="124" t="s">
        <v>558</v>
      </c>
      <c r="G1107" s="128">
        <f>TRUNC(G1106, 0)</f>
        <v>28267</v>
      </c>
    </row>
    <row r="1108" spans="1:10" ht="18.399999999999999" customHeight="1">
      <c r="A1108" s="124" t="s">
        <v>191</v>
      </c>
    </row>
    <row r="1109" spans="1:10" ht="18.399999999999999" customHeight="1">
      <c r="B1109" s="124" t="s">
        <v>558</v>
      </c>
    </row>
    <row r="1110" spans="1:10" ht="18.399999999999999" customHeight="1">
      <c r="A1110" s="124" t="s">
        <v>192</v>
      </c>
    </row>
    <row r="1111" spans="1:10" ht="18.399999999999999" customHeight="1">
      <c r="B1111" s="124" t="s">
        <v>558</v>
      </c>
    </row>
    <row r="1112" spans="1:10" ht="18.399999999999999" customHeight="1" thickBot="1">
      <c r="B1112" s="124" t="s">
        <v>559</v>
      </c>
      <c r="G1112" s="128">
        <f>TRUNC(G1107+G1109+G1111, 0)</f>
        <v>28267</v>
      </c>
    </row>
    <row r="1113" spans="1:10" ht="18.399999999999999" customHeight="1" thickTop="1" thickBot="1">
      <c r="A1113" s="125"/>
      <c r="B1113" s="125"/>
      <c r="C1113" s="125"/>
      <c r="D1113" s="125"/>
      <c r="E1113" s="125"/>
      <c r="F1113" s="125"/>
      <c r="G1113" s="125"/>
      <c r="H1113" s="125"/>
    </row>
    <row r="1114" spans="1:10" ht="18.399999999999999" customHeight="1" thickTop="1" thickBot="1">
      <c r="A1114" s="125" t="s">
        <v>550</v>
      </c>
      <c r="B1114" s="125" t="s">
        <v>710</v>
      </c>
      <c r="C1114" s="125"/>
      <c r="D1114" s="125"/>
      <c r="E1114" s="125"/>
      <c r="F1114" s="125"/>
      <c r="G1114" s="125"/>
      <c r="H1114" s="125"/>
    </row>
    <row r="1115" spans="1:10" ht="18.399999999999999" customHeight="1" thickTop="1">
      <c r="A1115" s="125" t="s">
        <v>552</v>
      </c>
      <c r="B1115" s="125" t="s">
        <v>709</v>
      </c>
      <c r="C1115" s="125"/>
      <c r="D1115" s="125"/>
      <c r="E1115" s="125"/>
      <c r="F1115" s="125"/>
      <c r="G1115" s="125"/>
      <c r="H1115" s="125"/>
    </row>
    <row r="1116" spans="1:10" ht="18.399999999999999" customHeight="1">
      <c r="A1116" s="126" t="s">
        <v>554</v>
      </c>
      <c r="B1116" s="126"/>
      <c r="C1116" s="126" t="s">
        <v>555</v>
      </c>
      <c r="D1116" s="126" t="s">
        <v>189</v>
      </c>
      <c r="E1116" s="126" t="s">
        <v>190</v>
      </c>
      <c r="F1116" s="126" t="s">
        <v>556</v>
      </c>
      <c r="G1116" s="126" t="s">
        <v>557</v>
      </c>
      <c r="H1116" s="126" t="s">
        <v>195</v>
      </c>
      <c r="I1116" s="127" t="str">
        <f>HYPERLINK("#"&amp;J1116, "이전으로")</f>
        <v>이전으로</v>
      </c>
      <c r="J1116" s="124" t="s">
        <v>1220</v>
      </c>
    </row>
    <row r="1117" spans="1:10" ht="18.399999999999999" customHeight="1">
      <c r="A1117" s="124" t="s">
        <v>193</v>
      </c>
      <c r="B1117" s="124" t="s">
        <v>452</v>
      </c>
      <c r="C1117" s="124" t="s">
        <v>443</v>
      </c>
      <c r="D1117" s="124">
        <v>1.1043000000000001</v>
      </c>
      <c r="E1117" s="128" t="s">
        <v>398</v>
      </c>
      <c r="F1117" s="128">
        <f>중기기초자료!$G$104</f>
        <v>25000</v>
      </c>
      <c r="G1117" s="129">
        <f>TRUNC(F1117*D1117, 1)</f>
        <v>27607.5</v>
      </c>
      <c r="H1117" s="124" t="s">
        <v>17</v>
      </c>
    </row>
    <row r="1118" spans="1:10" ht="18.399999999999999" customHeight="1">
      <c r="B1118" s="124" t="s">
        <v>558</v>
      </c>
      <c r="G1118" s="128">
        <f>TRUNC(G1117, 0)</f>
        <v>27607</v>
      </c>
    </row>
    <row r="1119" spans="1:10" ht="18.399999999999999" customHeight="1">
      <c r="A1119" s="124" t="s">
        <v>191</v>
      </c>
    </row>
    <row r="1120" spans="1:10" ht="18.399999999999999" customHeight="1">
      <c r="B1120" s="124" t="s">
        <v>558</v>
      </c>
    </row>
    <row r="1121" spans="1:10" ht="18.399999999999999" customHeight="1">
      <c r="A1121" s="124" t="s">
        <v>192</v>
      </c>
    </row>
    <row r="1122" spans="1:10" ht="18.399999999999999" customHeight="1">
      <c r="B1122" s="124" t="s">
        <v>558</v>
      </c>
    </row>
    <row r="1123" spans="1:10" ht="18.399999999999999" customHeight="1" thickBot="1">
      <c r="B1123" s="124" t="s">
        <v>559</v>
      </c>
      <c r="G1123" s="128">
        <f>TRUNC(G1118+G1120+G1122, 0)</f>
        <v>27607</v>
      </c>
    </row>
    <row r="1124" spans="1:10" ht="18.399999999999999" customHeight="1" thickTop="1" thickBot="1">
      <c r="A1124" s="125"/>
      <c r="B1124" s="125"/>
      <c r="C1124" s="125"/>
      <c r="D1124" s="125"/>
      <c r="E1124" s="125"/>
      <c r="F1124" s="125"/>
      <c r="G1124" s="125"/>
      <c r="H1124" s="125"/>
    </row>
    <row r="1125" spans="1:10" ht="18.399999999999999" customHeight="1" thickTop="1" thickBot="1">
      <c r="A1125" s="125" t="s">
        <v>550</v>
      </c>
      <c r="B1125" s="125" t="s">
        <v>711</v>
      </c>
      <c r="C1125" s="125"/>
      <c r="D1125" s="125"/>
      <c r="E1125" s="125"/>
      <c r="F1125" s="125"/>
      <c r="G1125" s="125"/>
      <c r="H1125" s="125"/>
    </row>
    <row r="1126" spans="1:10" ht="18.399999999999999" customHeight="1" thickTop="1">
      <c r="A1126" s="125" t="s">
        <v>552</v>
      </c>
      <c r="B1126" s="125" t="s">
        <v>709</v>
      </c>
      <c r="C1126" s="125"/>
      <c r="D1126" s="125"/>
      <c r="E1126" s="125"/>
      <c r="F1126" s="125"/>
      <c r="G1126" s="125"/>
      <c r="H1126" s="125"/>
    </row>
    <row r="1127" spans="1:10" ht="18.399999999999999" customHeight="1">
      <c r="A1127" s="126" t="s">
        <v>554</v>
      </c>
      <c r="B1127" s="126"/>
      <c r="C1127" s="126" t="s">
        <v>555</v>
      </c>
      <c r="D1127" s="126" t="s">
        <v>189</v>
      </c>
      <c r="E1127" s="126" t="s">
        <v>190</v>
      </c>
      <c r="F1127" s="126" t="s">
        <v>556</v>
      </c>
      <c r="G1127" s="126" t="s">
        <v>557</v>
      </c>
      <c r="H1127" s="126" t="s">
        <v>195</v>
      </c>
      <c r="I1127" s="127" t="str">
        <f>HYPERLINK("#"&amp;J1127, "이전으로")</f>
        <v>이전으로</v>
      </c>
      <c r="J1127" s="124" t="s">
        <v>1221</v>
      </c>
    </row>
    <row r="1128" spans="1:10" ht="18.399999999999999" customHeight="1">
      <c r="A1128" s="124" t="s">
        <v>193</v>
      </c>
      <c r="B1128" s="124" t="s">
        <v>452</v>
      </c>
      <c r="C1128" s="124" t="s">
        <v>443</v>
      </c>
      <c r="D1128" s="124">
        <v>1.0589</v>
      </c>
      <c r="E1128" s="128" t="s">
        <v>398</v>
      </c>
      <c r="F1128" s="128">
        <f>중기기초자료!$G$104</f>
        <v>25000</v>
      </c>
      <c r="G1128" s="129">
        <f>TRUNC(F1128*D1128, 1)</f>
        <v>26472.5</v>
      </c>
      <c r="H1128" s="124" t="s">
        <v>17</v>
      </c>
    </row>
    <row r="1129" spans="1:10" ht="18.399999999999999" customHeight="1">
      <c r="B1129" s="124" t="s">
        <v>558</v>
      </c>
      <c r="G1129" s="128">
        <f>TRUNC(G1128, 0)</f>
        <v>26472</v>
      </c>
    </row>
    <row r="1130" spans="1:10" ht="18.399999999999999" customHeight="1">
      <c r="A1130" s="124" t="s">
        <v>191</v>
      </c>
    </row>
    <row r="1131" spans="1:10" ht="18.399999999999999" customHeight="1">
      <c r="B1131" s="124" t="s">
        <v>558</v>
      </c>
    </row>
    <row r="1132" spans="1:10" ht="18.399999999999999" customHeight="1">
      <c r="A1132" s="124" t="s">
        <v>192</v>
      </c>
    </row>
    <row r="1133" spans="1:10" ht="18.399999999999999" customHeight="1">
      <c r="B1133" s="124" t="s">
        <v>558</v>
      </c>
    </row>
    <row r="1134" spans="1:10" ht="18.399999999999999" customHeight="1" thickBot="1">
      <c r="B1134" s="124" t="s">
        <v>559</v>
      </c>
      <c r="G1134" s="128">
        <f>TRUNC(G1129+G1131+G1133, 0)</f>
        <v>26472</v>
      </c>
    </row>
    <row r="1135" spans="1:10" ht="18.399999999999999" customHeight="1" thickTop="1" thickBot="1">
      <c r="A1135" s="125"/>
      <c r="B1135" s="125"/>
      <c r="C1135" s="125"/>
      <c r="D1135" s="125"/>
      <c r="E1135" s="125"/>
      <c r="F1135" s="125"/>
      <c r="G1135" s="125"/>
      <c r="H1135" s="125"/>
    </row>
    <row r="1136" spans="1:10" ht="18.399999999999999" customHeight="1" thickTop="1" thickBot="1">
      <c r="A1136" s="125" t="s">
        <v>550</v>
      </c>
      <c r="B1136" s="125" t="s">
        <v>712</v>
      </c>
      <c r="C1136" s="125"/>
      <c r="D1136" s="125"/>
      <c r="E1136" s="125"/>
      <c r="F1136" s="125"/>
      <c r="G1136" s="125"/>
      <c r="H1136" s="125"/>
    </row>
    <row r="1137" spans="1:10" ht="18.399999999999999" customHeight="1" thickTop="1">
      <c r="A1137" s="125" t="s">
        <v>552</v>
      </c>
      <c r="B1137" s="125" t="s">
        <v>713</v>
      </c>
      <c r="C1137" s="125"/>
      <c r="D1137" s="125"/>
      <c r="E1137" s="125"/>
      <c r="F1137" s="125"/>
      <c r="G1137" s="125"/>
      <c r="H1137" s="125"/>
    </row>
    <row r="1138" spans="1:10" ht="18.399999999999999" customHeight="1">
      <c r="A1138" s="126" t="s">
        <v>554</v>
      </c>
      <c r="B1138" s="126"/>
      <c r="C1138" s="126" t="s">
        <v>555</v>
      </c>
      <c r="D1138" s="126" t="s">
        <v>189</v>
      </c>
      <c r="E1138" s="126" t="s">
        <v>190</v>
      </c>
      <c r="F1138" s="126" t="s">
        <v>556</v>
      </c>
      <c r="G1138" s="126" t="s">
        <v>557</v>
      </c>
      <c r="H1138" s="126" t="s">
        <v>195</v>
      </c>
      <c r="I1138" s="127" t="str">
        <f>HYPERLINK("#"&amp;J1138, "이전으로")</f>
        <v>이전으로</v>
      </c>
      <c r="J1138" s="124" t="s">
        <v>1222</v>
      </c>
    </row>
    <row r="1139" spans="1:10" ht="18.399999999999999" customHeight="1">
      <c r="A1139" s="124" t="s">
        <v>193</v>
      </c>
      <c r="B1139" s="124" t="s">
        <v>452</v>
      </c>
      <c r="C1139" s="124" t="s">
        <v>446</v>
      </c>
      <c r="D1139" s="124">
        <v>1.2198</v>
      </c>
      <c r="E1139" s="128" t="s">
        <v>398</v>
      </c>
      <c r="F1139" s="128">
        <f>중기기초자료!$G$105</f>
        <v>38000</v>
      </c>
      <c r="G1139" s="129">
        <f>TRUNC(F1139*D1139, 1)</f>
        <v>46352.4</v>
      </c>
      <c r="H1139" s="124" t="s">
        <v>17</v>
      </c>
    </row>
    <row r="1140" spans="1:10" ht="18.399999999999999" customHeight="1">
      <c r="B1140" s="124" t="s">
        <v>558</v>
      </c>
      <c r="G1140" s="128">
        <f>TRUNC(G1139, 0)</f>
        <v>46352</v>
      </c>
    </row>
    <row r="1141" spans="1:10" ht="18.399999999999999" customHeight="1">
      <c r="A1141" s="124" t="s">
        <v>191</v>
      </c>
    </row>
    <row r="1142" spans="1:10" ht="18.399999999999999" customHeight="1">
      <c r="B1142" s="124" t="s">
        <v>558</v>
      </c>
    </row>
    <row r="1143" spans="1:10" ht="18.399999999999999" customHeight="1">
      <c r="A1143" s="124" t="s">
        <v>192</v>
      </c>
    </row>
    <row r="1144" spans="1:10" ht="18.399999999999999" customHeight="1">
      <c r="B1144" s="124" t="s">
        <v>558</v>
      </c>
    </row>
    <row r="1145" spans="1:10" ht="18.399999999999999" customHeight="1" thickBot="1">
      <c r="B1145" s="124" t="s">
        <v>559</v>
      </c>
      <c r="G1145" s="128">
        <f>TRUNC(G1140+G1142+G1144, 0)</f>
        <v>46352</v>
      </c>
    </row>
    <row r="1146" spans="1:10" ht="18.399999999999999" customHeight="1" thickTop="1" thickBot="1">
      <c r="A1146" s="125"/>
      <c r="B1146" s="125"/>
      <c r="C1146" s="125"/>
      <c r="D1146" s="125"/>
      <c r="E1146" s="125"/>
      <c r="F1146" s="125"/>
      <c r="G1146" s="125"/>
      <c r="H1146" s="125"/>
    </row>
    <row r="1147" spans="1:10" ht="18.399999999999999" customHeight="1" thickTop="1" thickBot="1">
      <c r="A1147" s="125" t="s">
        <v>550</v>
      </c>
      <c r="B1147" s="125" t="s">
        <v>714</v>
      </c>
      <c r="C1147" s="125"/>
      <c r="D1147" s="125"/>
      <c r="E1147" s="125"/>
      <c r="F1147" s="125"/>
      <c r="G1147" s="125"/>
      <c r="H1147" s="125"/>
    </row>
    <row r="1148" spans="1:10" ht="18.399999999999999" customHeight="1" thickTop="1">
      <c r="A1148" s="125" t="s">
        <v>552</v>
      </c>
      <c r="B1148" s="125" t="s">
        <v>713</v>
      </c>
      <c r="C1148" s="125"/>
      <c r="D1148" s="125"/>
      <c r="E1148" s="125"/>
      <c r="F1148" s="125"/>
      <c r="G1148" s="125"/>
      <c r="H1148" s="125"/>
    </row>
    <row r="1149" spans="1:10" ht="18.399999999999999" customHeight="1">
      <c r="A1149" s="126" t="s">
        <v>554</v>
      </c>
      <c r="B1149" s="126"/>
      <c r="C1149" s="126" t="s">
        <v>555</v>
      </c>
      <c r="D1149" s="126" t="s">
        <v>189</v>
      </c>
      <c r="E1149" s="126" t="s">
        <v>190</v>
      </c>
      <c r="F1149" s="126" t="s">
        <v>556</v>
      </c>
      <c r="G1149" s="126" t="s">
        <v>557</v>
      </c>
      <c r="H1149" s="126" t="s">
        <v>195</v>
      </c>
      <c r="I1149" s="127" t="str">
        <f>HYPERLINK("#"&amp;J1149, "이전으로")</f>
        <v>이전으로</v>
      </c>
      <c r="J1149" s="124" t="s">
        <v>1223</v>
      </c>
    </row>
    <row r="1150" spans="1:10" ht="18.399999999999999" customHeight="1">
      <c r="A1150" s="124" t="s">
        <v>193</v>
      </c>
      <c r="B1150" s="124" t="s">
        <v>452</v>
      </c>
      <c r="C1150" s="124" t="s">
        <v>446</v>
      </c>
      <c r="D1150" s="124">
        <v>1.1972</v>
      </c>
      <c r="E1150" s="128" t="s">
        <v>398</v>
      </c>
      <c r="F1150" s="128">
        <f>중기기초자료!$G$105</f>
        <v>38000</v>
      </c>
      <c r="G1150" s="129">
        <f>TRUNC(F1150*D1150, 1)</f>
        <v>45493.599999999999</v>
      </c>
      <c r="H1150" s="124" t="s">
        <v>17</v>
      </c>
    </row>
    <row r="1151" spans="1:10" ht="18.399999999999999" customHeight="1">
      <c r="B1151" s="124" t="s">
        <v>558</v>
      </c>
      <c r="G1151" s="128">
        <f>TRUNC(G1150, 0)</f>
        <v>45493</v>
      </c>
    </row>
    <row r="1152" spans="1:10" ht="18.399999999999999" customHeight="1">
      <c r="A1152" s="124" t="s">
        <v>191</v>
      </c>
    </row>
    <row r="1153" spans="1:10" ht="18.399999999999999" customHeight="1">
      <c r="B1153" s="124" t="s">
        <v>558</v>
      </c>
    </row>
    <row r="1154" spans="1:10" ht="18.399999999999999" customHeight="1">
      <c r="A1154" s="124" t="s">
        <v>192</v>
      </c>
    </row>
    <row r="1155" spans="1:10" ht="18.399999999999999" customHeight="1">
      <c r="B1155" s="124" t="s">
        <v>558</v>
      </c>
    </row>
    <row r="1156" spans="1:10" ht="18.399999999999999" customHeight="1" thickBot="1">
      <c r="B1156" s="124" t="s">
        <v>559</v>
      </c>
      <c r="G1156" s="128">
        <f>TRUNC(G1151+G1153+G1155, 0)</f>
        <v>45493</v>
      </c>
    </row>
    <row r="1157" spans="1:10" ht="18.399999999999999" customHeight="1" thickTop="1" thickBot="1">
      <c r="A1157" s="125"/>
      <c r="B1157" s="125"/>
      <c r="C1157" s="125"/>
      <c r="D1157" s="125"/>
      <c r="E1157" s="125"/>
      <c r="F1157" s="125"/>
      <c r="G1157" s="125"/>
      <c r="H1157" s="125"/>
    </row>
    <row r="1158" spans="1:10" ht="18.399999999999999" customHeight="1" thickTop="1" thickBot="1">
      <c r="A1158" s="125" t="s">
        <v>550</v>
      </c>
      <c r="B1158" s="125" t="s">
        <v>715</v>
      </c>
      <c r="C1158" s="125"/>
      <c r="D1158" s="125"/>
      <c r="E1158" s="125"/>
      <c r="F1158" s="125"/>
      <c r="G1158" s="125"/>
      <c r="H1158" s="125"/>
    </row>
    <row r="1159" spans="1:10" ht="18.399999999999999" customHeight="1" thickTop="1">
      <c r="A1159" s="125" t="s">
        <v>552</v>
      </c>
      <c r="B1159" s="125" t="s">
        <v>713</v>
      </c>
      <c r="C1159" s="125"/>
      <c r="D1159" s="125"/>
      <c r="E1159" s="125"/>
      <c r="F1159" s="125"/>
      <c r="G1159" s="125"/>
      <c r="H1159" s="125"/>
    </row>
    <row r="1160" spans="1:10" ht="18.399999999999999" customHeight="1">
      <c r="A1160" s="126" t="s">
        <v>554</v>
      </c>
      <c r="B1160" s="126"/>
      <c r="C1160" s="126" t="s">
        <v>555</v>
      </c>
      <c r="D1160" s="126" t="s">
        <v>189</v>
      </c>
      <c r="E1160" s="126" t="s">
        <v>190</v>
      </c>
      <c r="F1160" s="126" t="s">
        <v>556</v>
      </c>
      <c r="G1160" s="126" t="s">
        <v>557</v>
      </c>
      <c r="H1160" s="126" t="s">
        <v>195</v>
      </c>
      <c r="I1160" s="127" t="str">
        <f>HYPERLINK("#"&amp;J1160, "이전으로")</f>
        <v>이전으로</v>
      </c>
      <c r="J1160" s="124" t="s">
        <v>1224</v>
      </c>
    </row>
    <row r="1161" spans="1:10" ht="18.399999999999999" customHeight="1">
      <c r="A1161" s="124" t="s">
        <v>193</v>
      </c>
      <c r="B1161" s="124" t="s">
        <v>452</v>
      </c>
      <c r="C1161" s="124" t="s">
        <v>446</v>
      </c>
      <c r="D1161" s="124">
        <v>1.1666000000000001</v>
      </c>
      <c r="E1161" s="128" t="s">
        <v>398</v>
      </c>
      <c r="F1161" s="128">
        <f>중기기초자료!$G$105</f>
        <v>38000</v>
      </c>
      <c r="G1161" s="129">
        <f>TRUNC(F1161*D1161, 1)</f>
        <v>44330.8</v>
      </c>
      <c r="H1161" s="124" t="s">
        <v>17</v>
      </c>
    </row>
    <row r="1162" spans="1:10" ht="18.399999999999999" customHeight="1">
      <c r="B1162" s="124" t="s">
        <v>558</v>
      </c>
      <c r="G1162" s="128">
        <f>TRUNC(G1161, 0)</f>
        <v>44330</v>
      </c>
    </row>
    <row r="1163" spans="1:10" ht="18.399999999999999" customHeight="1">
      <c r="A1163" s="124" t="s">
        <v>191</v>
      </c>
    </row>
    <row r="1164" spans="1:10" ht="18.399999999999999" customHeight="1">
      <c r="B1164" s="124" t="s">
        <v>558</v>
      </c>
    </row>
    <row r="1165" spans="1:10" ht="18.399999999999999" customHeight="1">
      <c r="A1165" s="124" t="s">
        <v>192</v>
      </c>
    </row>
    <row r="1166" spans="1:10" ht="18.399999999999999" customHeight="1">
      <c r="B1166" s="124" t="s">
        <v>558</v>
      </c>
    </row>
    <row r="1167" spans="1:10" ht="18.399999999999999" customHeight="1" thickBot="1">
      <c r="B1167" s="124" t="s">
        <v>559</v>
      </c>
      <c r="G1167" s="128">
        <f>TRUNC(G1162+G1164+G1166, 0)</f>
        <v>44330</v>
      </c>
    </row>
    <row r="1168" spans="1:10" ht="18.399999999999999" customHeight="1" thickTop="1" thickBot="1">
      <c r="A1168" s="125"/>
      <c r="B1168" s="125"/>
      <c r="C1168" s="125"/>
      <c r="D1168" s="125"/>
      <c r="E1168" s="125"/>
      <c r="F1168" s="125"/>
      <c r="G1168" s="125"/>
      <c r="H1168" s="125"/>
    </row>
    <row r="1169" spans="1:10" ht="18.399999999999999" customHeight="1" thickTop="1" thickBot="1">
      <c r="A1169" s="125" t="s">
        <v>550</v>
      </c>
      <c r="B1169" s="125" t="s">
        <v>716</v>
      </c>
      <c r="C1169" s="125"/>
      <c r="D1169" s="125"/>
      <c r="E1169" s="125"/>
      <c r="F1169" s="125"/>
      <c r="G1169" s="125"/>
      <c r="H1169" s="125"/>
    </row>
    <row r="1170" spans="1:10" ht="18.399999999999999" customHeight="1" thickTop="1">
      <c r="A1170" s="125" t="s">
        <v>552</v>
      </c>
      <c r="B1170" s="125" t="s">
        <v>713</v>
      </c>
      <c r="C1170" s="125"/>
      <c r="D1170" s="125"/>
      <c r="E1170" s="125"/>
      <c r="F1170" s="125"/>
      <c r="G1170" s="125"/>
      <c r="H1170" s="125"/>
    </row>
    <row r="1171" spans="1:10" ht="18.399999999999999" customHeight="1">
      <c r="A1171" s="126" t="s">
        <v>554</v>
      </c>
      <c r="B1171" s="126"/>
      <c r="C1171" s="126" t="s">
        <v>555</v>
      </c>
      <c r="D1171" s="126" t="s">
        <v>189</v>
      </c>
      <c r="E1171" s="126" t="s">
        <v>190</v>
      </c>
      <c r="F1171" s="126" t="s">
        <v>556</v>
      </c>
      <c r="G1171" s="126" t="s">
        <v>557</v>
      </c>
      <c r="H1171" s="126" t="s">
        <v>195</v>
      </c>
      <c r="I1171" s="127" t="str">
        <f>HYPERLINK("#"&amp;J1171, "이전으로")</f>
        <v>이전으로</v>
      </c>
      <c r="J1171" s="124" t="s">
        <v>1225</v>
      </c>
    </row>
    <row r="1172" spans="1:10" ht="18.399999999999999" customHeight="1">
      <c r="A1172" s="124" t="s">
        <v>193</v>
      </c>
      <c r="B1172" s="124" t="s">
        <v>452</v>
      </c>
      <c r="C1172" s="124" t="s">
        <v>446</v>
      </c>
      <c r="D1172" s="124">
        <v>1.1435</v>
      </c>
      <c r="E1172" s="128" t="s">
        <v>398</v>
      </c>
      <c r="F1172" s="128">
        <f>중기기초자료!$G$105</f>
        <v>38000</v>
      </c>
      <c r="G1172" s="129">
        <f>TRUNC(F1172*D1172, 1)</f>
        <v>43453</v>
      </c>
      <c r="H1172" s="124" t="s">
        <v>17</v>
      </c>
    </row>
    <row r="1173" spans="1:10" ht="18.399999999999999" customHeight="1">
      <c r="B1173" s="124" t="s">
        <v>558</v>
      </c>
      <c r="G1173" s="128">
        <f>TRUNC(G1172, 0)</f>
        <v>43453</v>
      </c>
    </row>
    <row r="1174" spans="1:10" ht="18.399999999999999" customHeight="1">
      <c r="A1174" s="124" t="s">
        <v>191</v>
      </c>
    </row>
    <row r="1175" spans="1:10" ht="18.399999999999999" customHeight="1">
      <c r="B1175" s="124" t="s">
        <v>558</v>
      </c>
    </row>
    <row r="1176" spans="1:10" ht="18.399999999999999" customHeight="1">
      <c r="A1176" s="124" t="s">
        <v>192</v>
      </c>
    </row>
    <row r="1177" spans="1:10" ht="18.399999999999999" customHeight="1">
      <c r="B1177" s="124" t="s">
        <v>558</v>
      </c>
    </row>
    <row r="1178" spans="1:10" ht="18.399999999999999" customHeight="1" thickBot="1">
      <c r="B1178" s="124" t="s">
        <v>559</v>
      </c>
      <c r="G1178" s="128">
        <f>TRUNC(G1173+G1175+G1177, 0)</f>
        <v>43453</v>
      </c>
    </row>
    <row r="1179" spans="1:10" ht="18.399999999999999" customHeight="1" thickTop="1" thickBot="1">
      <c r="A1179" s="125"/>
      <c r="B1179" s="125"/>
      <c r="C1179" s="125"/>
      <c r="D1179" s="125"/>
      <c r="E1179" s="125"/>
      <c r="F1179" s="125"/>
      <c r="G1179" s="125"/>
      <c r="H1179" s="125"/>
    </row>
    <row r="1180" spans="1:10" ht="18.399999999999999" customHeight="1" thickTop="1" thickBot="1">
      <c r="A1180" s="125" t="s">
        <v>550</v>
      </c>
      <c r="B1180" s="125" t="s">
        <v>717</v>
      </c>
      <c r="C1180" s="125"/>
      <c r="D1180" s="125"/>
      <c r="E1180" s="125"/>
      <c r="F1180" s="125"/>
      <c r="G1180" s="125"/>
      <c r="H1180" s="125"/>
    </row>
    <row r="1181" spans="1:10" ht="18.399999999999999" customHeight="1" thickTop="1">
      <c r="A1181" s="125" t="s">
        <v>552</v>
      </c>
      <c r="B1181" s="125" t="s">
        <v>713</v>
      </c>
      <c r="C1181" s="125"/>
      <c r="D1181" s="125"/>
      <c r="E1181" s="125"/>
      <c r="F1181" s="125"/>
      <c r="G1181" s="125"/>
      <c r="H1181" s="125"/>
    </row>
    <row r="1182" spans="1:10" ht="18.399999999999999" customHeight="1">
      <c r="A1182" s="126" t="s">
        <v>554</v>
      </c>
      <c r="B1182" s="126"/>
      <c r="C1182" s="126" t="s">
        <v>555</v>
      </c>
      <c r="D1182" s="126" t="s">
        <v>189</v>
      </c>
      <c r="E1182" s="126" t="s">
        <v>190</v>
      </c>
      <c r="F1182" s="126" t="s">
        <v>556</v>
      </c>
      <c r="G1182" s="126" t="s">
        <v>557</v>
      </c>
      <c r="H1182" s="126" t="s">
        <v>195</v>
      </c>
      <c r="I1182" s="127" t="str">
        <f>HYPERLINK("#"&amp;J1182, "이전으로")</f>
        <v>이전으로</v>
      </c>
      <c r="J1182" s="124" t="s">
        <v>1226</v>
      </c>
    </row>
    <row r="1183" spans="1:10" ht="18.399999999999999" customHeight="1">
      <c r="A1183" s="124" t="s">
        <v>193</v>
      </c>
      <c r="B1183" s="124" t="s">
        <v>452</v>
      </c>
      <c r="C1183" s="124" t="s">
        <v>446</v>
      </c>
      <c r="D1183" s="124">
        <v>1.1212</v>
      </c>
      <c r="E1183" s="128" t="s">
        <v>398</v>
      </c>
      <c r="F1183" s="128">
        <f>중기기초자료!$G$105</f>
        <v>38000</v>
      </c>
      <c r="G1183" s="129">
        <f>TRUNC(F1183*D1183, 1)</f>
        <v>42605.599999999999</v>
      </c>
      <c r="H1183" s="124" t="s">
        <v>17</v>
      </c>
    </row>
    <row r="1184" spans="1:10" ht="18.399999999999999" customHeight="1">
      <c r="B1184" s="124" t="s">
        <v>558</v>
      </c>
      <c r="G1184" s="128">
        <f>TRUNC(G1183, 0)</f>
        <v>42605</v>
      </c>
    </row>
    <row r="1185" spans="1:10" ht="18.399999999999999" customHeight="1">
      <c r="A1185" s="124" t="s">
        <v>191</v>
      </c>
    </row>
    <row r="1186" spans="1:10" ht="18.399999999999999" customHeight="1">
      <c r="B1186" s="124" t="s">
        <v>558</v>
      </c>
    </row>
    <row r="1187" spans="1:10" ht="18.399999999999999" customHeight="1">
      <c r="A1187" s="124" t="s">
        <v>192</v>
      </c>
    </row>
    <row r="1188" spans="1:10" ht="18.399999999999999" customHeight="1">
      <c r="B1188" s="124" t="s">
        <v>558</v>
      </c>
    </row>
    <row r="1189" spans="1:10" ht="18.399999999999999" customHeight="1" thickBot="1">
      <c r="B1189" s="124" t="s">
        <v>559</v>
      </c>
      <c r="G1189" s="128">
        <f>TRUNC(G1184+G1186+G1188, 0)</f>
        <v>42605</v>
      </c>
    </row>
    <row r="1190" spans="1:10" ht="18.399999999999999" customHeight="1" thickTop="1" thickBot="1">
      <c r="A1190" s="125"/>
      <c r="B1190" s="125"/>
      <c r="C1190" s="125"/>
      <c r="D1190" s="125"/>
      <c r="E1190" s="125"/>
      <c r="F1190" s="125"/>
      <c r="G1190" s="125"/>
      <c r="H1190" s="125"/>
    </row>
    <row r="1191" spans="1:10" ht="18.399999999999999" customHeight="1" thickTop="1" thickBot="1">
      <c r="A1191" s="125" t="s">
        <v>550</v>
      </c>
      <c r="B1191" s="125" t="s">
        <v>718</v>
      </c>
      <c r="C1191" s="125"/>
      <c r="D1191" s="125"/>
      <c r="E1191" s="125"/>
      <c r="F1191" s="125"/>
      <c r="G1191" s="125"/>
      <c r="H1191" s="125"/>
    </row>
    <row r="1192" spans="1:10" ht="18.399999999999999" customHeight="1" thickTop="1">
      <c r="A1192" s="125" t="s">
        <v>552</v>
      </c>
      <c r="B1192" s="125" t="s">
        <v>719</v>
      </c>
      <c r="C1192" s="125"/>
      <c r="D1192" s="125"/>
      <c r="E1192" s="125"/>
      <c r="F1192" s="125"/>
      <c r="G1192" s="125"/>
      <c r="H1192" s="125"/>
    </row>
    <row r="1193" spans="1:10" ht="18.399999999999999" customHeight="1">
      <c r="A1193" s="126" t="s">
        <v>554</v>
      </c>
      <c r="B1193" s="126"/>
      <c r="C1193" s="126" t="s">
        <v>555</v>
      </c>
      <c r="D1193" s="126" t="s">
        <v>189</v>
      </c>
      <c r="E1193" s="126" t="s">
        <v>190</v>
      </c>
      <c r="F1193" s="126" t="s">
        <v>556</v>
      </c>
      <c r="G1193" s="126" t="s">
        <v>557</v>
      </c>
      <c r="H1193" s="126" t="s">
        <v>195</v>
      </c>
      <c r="I1193" s="127" t="str">
        <f>HYPERLINK("#"&amp;J1193, "이전으로")</f>
        <v>이전으로</v>
      </c>
      <c r="J1193" s="124" t="s">
        <v>1227</v>
      </c>
    </row>
    <row r="1194" spans="1:10" ht="18.399999999999999" customHeight="1">
      <c r="A1194" s="124" t="s">
        <v>193</v>
      </c>
      <c r="B1194" s="124" t="s">
        <v>720</v>
      </c>
      <c r="C1194" s="124" t="s">
        <v>427</v>
      </c>
      <c r="D1194" s="124">
        <v>3.6232000000000002</v>
      </c>
      <c r="E1194" s="128" t="s">
        <v>398</v>
      </c>
      <c r="F1194" s="128">
        <f>중기기초자료!$G$106</f>
        <v>2000</v>
      </c>
      <c r="G1194" s="129">
        <f>TRUNC(F1194*D1194, 1)</f>
        <v>7246.4</v>
      </c>
      <c r="H1194" s="124" t="s">
        <v>17</v>
      </c>
    </row>
    <row r="1195" spans="1:10" ht="18.399999999999999" customHeight="1">
      <c r="B1195" s="124" t="s">
        <v>558</v>
      </c>
      <c r="G1195" s="128">
        <f>TRUNC(G1194, 0)</f>
        <v>7246</v>
      </c>
    </row>
    <row r="1196" spans="1:10" ht="18.399999999999999" customHeight="1">
      <c r="A1196" s="124" t="s">
        <v>191</v>
      </c>
    </row>
    <row r="1197" spans="1:10" ht="18.399999999999999" customHeight="1">
      <c r="B1197" s="124" t="s">
        <v>558</v>
      </c>
    </row>
    <row r="1198" spans="1:10" ht="18.399999999999999" customHeight="1">
      <c r="A1198" s="124" t="s">
        <v>192</v>
      </c>
    </row>
    <row r="1199" spans="1:10" ht="18.399999999999999" customHeight="1">
      <c r="B1199" s="124" t="s">
        <v>558</v>
      </c>
    </row>
    <row r="1200" spans="1:10" ht="18.399999999999999" customHeight="1" thickBot="1">
      <c r="B1200" s="124" t="s">
        <v>559</v>
      </c>
      <c r="G1200" s="128">
        <f>TRUNC(G1195+G1197+G1199, 0)</f>
        <v>7246</v>
      </c>
    </row>
    <row r="1201" spans="1:10" ht="18.399999999999999" customHeight="1" thickTop="1" thickBot="1">
      <c r="A1201" s="125"/>
      <c r="B1201" s="125"/>
      <c r="C1201" s="125"/>
      <c r="D1201" s="125"/>
      <c r="E1201" s="125"/>
      <c r="F1201" s="125"/>
      <c r="G1201" s="125"/>
      <c r="H1201" s="125"/>
    </row>
    <row r="1202" spans="1:10" ht="18.399999999999999" customHeight="1" thickTop="1" thickBot="1">
      <c r="A1202" s="125" t="s">
        <v>550</v>
      </c>
      <c r="B1202" s="125" t="s">
        <v>721</v>
      </c>
      <c r="C1202" s="125"/>
      <c r="D1202" s="125"/>
      <c r="E1202" s="125"/>
      <c r="F1202" s="125"/>
      <c r="G1202" s="125"/>
      <c r="H1202" s="125"/>
    </row>
    <row r="1203" spans="1:10" ht="18.399999999999999" customHeight="1" thickTop="1">
      <c r="A1203" s="125" t="s">
        <v>552</v>
      </c>
      <c r="B1203" s="125" t="s">
        <v>722</v>
      </c>
      <c r="C1203" s="125"/>
      <c r="D1203" s="125"/>
      <c r="E1203" s="125"/>
      <c r="F1203" s="125"/>
      <c r="G1203" s="125"/>
      <c r="H1203" s="125"/>
    </row>
    <row r="1204" spans="1:10" ht="18.399999999999999" customHeight="1">
      <c r="A1204" s="126" t="s">
        <v>554</v>
      </c>
      <c r="B1204" s="126"/>
      <c r="C1204" s="126" t="s">
        <v>555</v>
      </c>
      <c r="D1204" s="126" t="s">
        <v>189</v>
      </c>
      <c r="E1204" s="126" t="s">
        <v>190</v>
      </c>
      <c r="F1204" s="126" t="s">
        <v>556</v>
      </c>
      <c r="G1204" s="126" t="s">
        <v>557</v>
      </c>
      <c r="H1204" s="126" t="s">
        <v>195</v>
      </c>
      <c r="I1204" s="127" t="str">
        <f>HYPERLINK("#"&amp;J1204, "이전으로")</f>
        <v>이전으로</v>
      </c>
      <c r="J1204" s="124" t="s">
        <v>1228</v>
      </c>
    </row>
    <row r="1205" spans="1:10" ht="18.399999999999999" customHeight="1">
      <c r="A1205" s="124" t="s">
        <v>193</v>
      </c>
      <c r="B1205" s="124" t="s">
        <v>720</v>
      </c>
      <c r="C1205" s="124" t="s">
        <v>428</v>
      </c>
      <c r="D1205" s="124">
        <v>3.5074999999999998</v>
      </c>
      <c r="E1205" s="128" t="s">
        <v>398</v>
      </c>
      <c r="F1205" s="128">
        <f>중기기초자료!$G$107</f>
        <v>2800</v>
      </c>
      <c r="G1205" s="129">
        <f>TRUNC(F1205*D1205, 1)</f>
        <v>9821</v>
      </c>
      <c r="H1205" s="124" t="s">
        <v>17</v>
      </c>
    </row>
    <row r="1206" spans="1:10" ht="18.399999999999999" customHeight="1">
      <c r="B1206" s="124" t="s">
        <v>558</v>
      </c>
      <c r="G1206" s="128">
        <f>TRUNC(G1205, 0)</f>
        <v>9821</v>
      </c>
    </row>
    <row r="1207" spans="1:10" ht="18.399999999999999" customHeight="1">
      <c r="A1207" s="124" t="s">
        <v>191</v>
      </c>
    </row>
    <row r="1208" spans="1:10" ht="18.399999999999999" customHeight="1">
      <c r="B1208" s="124" t="s">
        <v>558</v>
      </c>
    </row>
    <row r="1209" spans="1:10" ht="18.399999999999999" customHeight="1">
      <c r="A1209" s="124" t="s">
        <v>192</v>
      </c>
    </row>
    <row r="1210" spans="1:10" ht="18.399999999999999" customHeight="1">
      <c r="B1210" s="124" t="s">
        <v>558</v>
      </c>
    </row>
    <row r="1211" spans="1:10" ht="18.399999999999999" customHeight="1" thickBot="1">
      <c r="B1211" s="124" t="s">
        <v>559</v>
      </c>
      <c r="G1211" s="128">
        <f>TRUNC(G1206+G1208+G1210, 0)</f>
        <v>9821</v>
      </c>
    </row>
    <row r="1212" spans="1:10" ht="18.399999999999999" customHeight="1" thickTop="1" thickBot="1">
      <c r="A1212" s="125"/>
      <c r="B1212" s="125"/>
      <c r="C1212" s="125"/>
      <c r="D1212" s="125"/>
      <c r="E1212" s="125"/>
      <c r="F1212" s="125"/>
      <c r="G1212" s="125"/>
      <c r="H1212" s="125"/>
    </row>
    <row r="1213" spans="1:10" ht="18.399999999999999" customHeight="1" thickTop="1" thickBot="1">
      <c r="A1213" s="125" t="s">
        <v>550</v>
      </c>
      <c r="B1213" s="125" t="s">
        <v>723</v>
      </c>
      <c r="C1213" s="125"/>
      <c r="D1213" s="125"/>
      <c r="E1213" s="125"/>
      <c r="F1213" s="125"/>
      <c r="G1213" s="125"/>
      <c r="H1213" s="125"/>
    </row>
    <row r="1214" spans="1:10" ht="18.399999999999999" customHeight="1" thickTop="1">
      <c r="A1214" s="125" t="s">
        <v>552</v>
      </c>
      <c r="B1214" s="125" t="s">
        <v>724</v>
      </c>
      <c r="C1214" s="125"/>
      <c r="D1214" s="125"/>
      <c r="E1214" s="125"/>
      <c r="F1214" s="125"/>
      <c r="G1214" s="125"/>
      <c r="H1214" s="125"/>
    </row>
    <row r="1215" spans="1:10" ht="18.399999999999999" customHeight="1">
      <c r="A1215" s="126" t="s">
        <v>554</v>
      </c>
      <c r="B1215" s="126"/>
      <c r="C1215" s="126" t="s">
        <v>555</v>
      </c>
      <c r="D1215" s="126" t="s">
        <v>189</v>
      </c>
      <c r="E1215" s="126" t="s">
        <v>190</v>
      </c>
      <c r="F1215" s="126" t="s">
        <v>556</v>
      </c>
      <c r="G1215" s="126" t="s">
        <v>557</v>
      </c>
      <c r="H1215" s="126" t="s">
        <v>195</v>
      </c>
      <c r="I1215" s="127" t="str">
        <f>HYPERLINK("#"&amp;J1215, "이전으로")</f>
        <v>이전으로</v>
      </c>
      <c r="J1215" s="124" t="s">
        <v>1229</v>
      </c>
    </row>
    <row r="1216" spans="1:10" ht="18.399999999999999" customHeight="1">
      <c r="A1216" s="124" t="s">
        <v>193</v>
      </c>
      <c r="B1216" s="124" t="s">
        <v>720</v>
      </c>
      <c r="C1216" s="124" t="s">
        <v>429</v>
      </c>
      <c r="D1216" s="124">
        <v>3.1819000000000002</v>
      </c>
      <c r="E1216" s="128" t="s">
        <v>398</v>
      </c>
      <c r="F1216" s="128">
        <f>중기기초자료!$G$108</f>
        <v>5800</v>
      </c>
      <c r="G1216" s="129">
        <f>TRUNC(F1216*D1216, 1)</f>
        <v>18455</v>
      </c>
      <c r="H1216" s="124" t="s">
        <v>17</v>
      </c>
    </row>
    <row r="1217" spans="1:10" ht="18.399999999999999" customHeight="1">
      <c r="B1217" s="124" t="s">
        <v>558</v>
      </c>
      <c r="G1217" s="128">
        <f>TRUNC(G1216, 0)</f>
        <v>18455</v>
      </c>
    </row>
    <row r="1218" spans="1:10" ht="18.399999999999999" customHeight="1">
      <c r="A1218" s="124" t="s">
        <v>191</v>
      </c>
    </row>
    <row r="1219" spans="1:10" ht="18.399999999999999" customHeight="1">
      <c r="B1219" s="124" t="s">
        <v>558</v>
      </c>
    </row>
    <row r="1220" spans="1:10" ht="18.399999999999999" customHeight="1">
      <c r="A1220" s="124" t="s">
        <v>192</v>
      </c>
    </row>
    <row r="1221" spans="1:10" ht="18.399999999999999" customHeight="1">
      <c r="B1221" s="124" t="s">
        <v>558</v>
      </c>
    </row>
    <row r="1222" spans="1:10" ht="18.399999999999999" customHeight="1" thickBot="1">
      <c r="B1222" s="124" t="s">
        <v>559</v>
      </c>
      <c r="G1222" s="128">
        <f>TRUNC(G1217+G1219+G1221, 0)</f>
        <v>18455</v>
      </c>
    </row>
    <row r="1223" spans="1:10" ht="18.399999999999999" customHeight="1" thickTop="1" thickBot="1">
      <c r="A1223" s="125"/>
      <c r="B1223" s="125"/>
      <c r="C1223" s="125"/>
      <c r="D1223" s="125"/>
      <c r="E1223" s="125"/>
      <c r="F1223" s="125"/>
      <c r="G1223" s="125"/>
      <c r="H1223" s="125"/>
    </row>
    <row r="1224" spans="1:10" ht="18.399999999999999" customHeight="1" thickTop="1" thickBot="1">
      <c r="A1224" s="125" t="s">
        <v>550</v>
      </c>
      <c r="B1224" s="125" t="s">
        <v>725</v>
      </c>
      <c r="C1224" s="125"/>
      <c r="D1224" s="125"/>
      <c r="E1224" s="125"/>
      <c r="F1224" s="125"/>
      <c r="G1224" s="125"/>
      <c r="H1224" s="125"/>
    </row>
    <row r="1225" spans="1:10" ht="18.399999999999999" customHeight="1" thickTop="1">
      <c r="A1225" s="125" t="s">
        <v>552</v>
      </c>
      <c r="B1225" s="125" t="s">
        <v>726</v>
      </c>
      <c r="C1225" s="125"/>
      <c r="D1225" s="125"/>
      <c r="E1225" s="125"/>
      <c r="F1225" s="125"/>
      <c r="G1225" s="125"/>
      <c r="H1225" s="125"/>
    </row>
    <row r="1226" spans="1:10" ht="18.399999999999999" customHeight="1">
      <c r="A1226" s="126" t="s">
        <v>554</v>
      </c>
      <c r="B1226" s="126"/>
      <c r="C1226" s="126" t="s">
        <v>555</v>
      </c>
      <c r="D1226" s="126" t="s">
        <v>189</v>
      </c>
      <c r="E1226" s="126" t="s">
        <v>190</v>
      </c>
      <c r="F1226" s="126" t="s">
        <v>556</v>
      </c>
      <c r="G1226" s="126" t="s">
        <v>557</v>
      </c>
      <c r="H1226" s="126" t="s">
        <v>195</v>
      </c>
      <c r="I1226" s="127" t="str">
        <f>HYPERLINK("#"&amp;J1226, "이전으로")</f>
        <v>이전으로</v>
      </c>
      <c r="J1226" s="124" t="s">
        <v>1230</v>
      </c>
    </row>
    <row r="1227" spans="1:10" ht="18.399999999999999" customHeight="1">
      <c r="A1227" s="124" t="s">
        <v>193</v>
      </c>
      <c r="B1227" s="124" t="s">
        <v>720</v>
      </c>
      <c r="C1227" s="124" t="s">
        <v>430</v>
      </c>
      <c r="D1227" s="124">
        <v>2.3327</v>
      </c>
      <c r="E1227" s="128" t="s">
        <v>398</v>
      </c>
      <c r="F1227" s="128">
        <f>중기기초자료!$G$109</f>
        <v>8500</v>
      </c>
      <c r="G1227" s="129">
        <f>TRUNC(F1227*D1227, 1)</f>
        <v>19827.900000000001</v>
      </c>
      <c r="H1227" s="124" t="s">
        <v>17</v>
      </c>
    </row>
    <row r="1228" spans="1:10" ht="18.399999999999999" customHeight="1">
      <c r="B1228" s="124" t="s">
        <v>558</v>
      </c>
      <c r="G1228" s="128">
        <f>TRUNC(G1227, 0)</f>
        <v>19827</v>
      </c>
    </row>
    <row r="1229" spans="1:10" ht="18.399999999999999" customHeight="1">
      <c r="A1229" s="124" t="s">
        <v>191</v>
      </c>
    </row>
    <row r="1230" spans="1:10" ht="18.399999999999999" customHeight="1">
      <c r="B1230" s="124" t="s">
        <v>558</v>
      </c>
    </row>
    <row r="1231" spans="1:10" ht="18.399999999999999" customHeight="1">
      <c r="A1231" s="124" t="s">
        <v>192</v>
      </c>
    </row>
    <row r="1232" spans="1:10" ht="18.399999999999999" customHeight="1">
      <c r="B1232" s="124" t="s">
        <v>558</v>
      </c>
    </row>
    <row r="1233" spans="1:10" ht="18.399999999999999" customHeight="1" thickBot="1">
      <c r="B1233" s="124" t="s">
        <v>559</v>
      </c>
      <c r="G1233" s="128">
        <f>TRUNC(G1228+G1230+G1232, 0)</f>
        <v>19827</v>
      </c>
    </row>
    <row r="1234" spans="1:10" ht="18.399999999999999" customHeight="1" thickTop="1" thickBot="1">
      <c r="A1234" s="125"/>
      <c r="B1234" s="125"/>
      <c r="C1234" s="125"/>
      <c r="D1234" s="125"/>
      <c r="E1234" s="125"/>
      <c r="F1234" s="125"/>
      <c r="G1234" s="125"/>
      <c r="H1234" s="125"/>
    </row>
    <row r="1235" spans="1:10" ht="18.399999999999999" customHeight="1" thickTop="1" thickBot="1">
      <c r="A1235" s="125" t="s">
        <v>550</v>
      </c>
      <c r="B1235" s="125" t="s">
        <v>727</v>
      </c>
      <c r="C1235" s="125"/>
      <c r="D1235" s="125"/>
      <c r="E1235" s="125"/>
      <c r="F1235" s="125"/>
      <c r="G1235" s="125"/>
      <c r="H1235" s="125"/>
    </row>
    <row r="1236" spans="1:10" ht="18.399999999999999" customHeight="1" thickTop="1">
      <c r="A1236" s="125" t="s">
        <v>552</v>
      </c>
      <c r="B1236" s="125" t="s">
        <v>728</v>
      </c>
      <c r="C1236" s="125"/>
      <c r="D1236" s="125"/>
      <c r="E1236" s="125"/>
      <c r="F1236" s="125"/>
      <c r="G1236" s="125"/>
      <c r="H1236" s="125"/>
    </row>
    <row r="1237" spans="1:10" ht="18.399999999999999" customHeight="1">
      <c r="A1237" s="126" t="s">
        <v>554</v>
      </c>
      <c r="B1237" s="126"/>
      <c r="C1237" s="126" t="s">
        <v>555</v>
      </c>
      <c r="D1237" s="126" t="s">
        <v>189</v>
      </c>
      <c r="E1237" s="126" t="s">
        <v>190</v>
      </c>
      <c r="F1237" s="126" t="s">
        <v>556</v>
      </c>
      <c r="G1237" s="126" t="s">
        <v>557</v>
      </c>
      <c r="H1237" s="126" t="s">
        <v>195</v>
      </c>
      <c r="I1237" s="127" t="str">
        <f>HYPERLINK("#"&amp;J1237, "이전으로")</f>
        <v>이전으로</v>
      </c>
      <c r="J1237" s="124" t="s">
        <v>1231</v>
      </c>
    </row>
    <row r="1238" spans="1:10" ht="18.399999999999999" customHeight="1">
      <c r="A1238" s="124" t="s">
        <v>193</v>
      </c>
      <c r="B1238" s="124" t="s">
        <v>720</v>
      </c>
      <c r="C1238" s="124" t="s">
        <v>431</v>
      </c>
      <c r="D1238" s="124">
        <v>2.198</v>
      </c>
      <c r="E1238" s="128" t="s">
        <v>398</v>
      </c>
      <c r="F1238" s="128">
        <f>중기기초자료!$G$110</f>
        <v>9500</v>
      </c>
      <c r="G1238" s="129">
        <f>TRUNC(F1238*D1238, 1)</f>
        <v>20881</v>
      </c>
      <c r="H1238" s="124" t="s">
        <v>17</v>
      </c>
    </row>
    <row r="1239" spans="1:10" ht="18.399999999999999" customHeight="1">
      <c r="B1239" s="124" t="s">
        <v>558</v>
      </c>
      <c r="G1239" s="128">
        <f>TRUNC(G1238, 0)</f>
        <v>20881</v>
      </c>
    </row>
    <row r="1240" spans="1:10" ht="18.399999999999999" customHeight="1">
      <c r="A1240" s="124" t="s">
        <v>191</v>
      </c>
    </row>
    <row r="1241" spans="1:10" ht="18.399999999999999" customHeight="1">
      <c r="B1241" s="124" t="s">
        <v>558</v>
      </c>
    </row>
    <row r="1242" spans="1:10" ht="18.399999999999999" customHeight="1">
      <c r="A1242" s="124" t="s">
        <v>192</v>
      </c>
    </row>
    <row r="1243" spans="1:10" ht="18.399999999999999" customHeight="1">
      <c r="B1243" s="124" t="s">
        <v>558</v>
      </c>
    </row>
    <row r="1244" spans="1:10" ht="18.399999999999999" customHeight="1" thickBot="1">
      <c r="B1244" s="124" t="s">
        <v>559</v>
      </c>
      <c r="G1244" s="128">
        <f>TRUNC(G1239+G1241+G1243, 0)</f>
        <v>20881</v>
      </c>
    </row>
    <row r="1245" spans="1:10" ht="18.399999999999999" customHeight="1" thickTop="1" thickBot="1">
      <c r="A1245" s="125"/>
      <c r="B1245" s="125"/>
      <c r="C1245" s="125"/>
      <c r="D1245" s="125"/>
      <c r="E1245" s="125"/>
      <c r="F1245" s="125"/>
      <c r="G1245" s="125"/>
      <c r="H1245" s="125"/>
    </row>
    <row r="1246" spans="1:10" ht="18.399999999999999" customHeight="1" thickTop="1" thickBot="1">
      <c r="A1246" s="125" t="s">
        <v>550</v>
      </c>
      <c r="B1246" s="125" t="s">
        <v>729</v>
      </c>
      <c r="C1246" s="125"/>
      <c r="D1246" s="125"/>
      <c r="E1246" s="125"/>
      <c r="F1246" s="125"/>
      <c r="G1246" s="125"/>
      <c r="H1246" s="125"/>
    </row>
    <row r="1247" spans="1:10" ht="18.399999999999999" customHeight="1" thickTop="1">
      <c r="A1247" s="125" t="s">
        <v>552</v>
      </c>
      <c r="B1247" s="125" t="s">
        <v>730</v>
      </c>
      <c r="C1247" s="125"/>
      <c r="D1247" s="125"/>
      <c r="E1247" s="125"/>
      <c r="F1247" s="125"/>
      <c r="G1247" s="125"/>
      <c r="H1247" s="125"/>
    </row>
    <row r="1248" spans="1:10" ht="18.399999999999999" customHeight="1">
      <c r="A1248" s="126" t="s">
        <v>554</v>
      </c>
      <c r="B1248" s="126"/>
      <c r="C1248" s="126" t="s">
        <v>555</v>
      </c>
      <c r="D1248" s="126" t="s">
        <v>189</v>
      </c>
      <c r="E1248" s="126" t="s">
        <v>190</v>
      </c>
      <c r="F1248" s="126" t="s">
        <v>556</v>
      </c>
      <c r="G1248" s="126" t="s">
        <v>557</v>
      </c>
      <c r="H1248" s="126" t="s">
        <v>195</v>
      </c>
      <c r="I1248" s="127" t="str">
        <f>HYPERLINK("#"&amp;J1248, "이전으로")</f>
        <v>이전으로</v>
      </c>
      <c r="J1248" s="124" t="s">
        <v>1232</v>
      </c>
    </row>
    <row r="1249" spans="1:10" ht="18.399999999999999" customHeight="1">
      <c r="A1249" s="124" t="s">
        <v>193</v>
      </c>
      <c r="B1249" s="124" t="s">
        <v>720</v>
      </c>
      <c r="C1249" s="124" t="s">
        <v>432</v>
      </c>
      <c r="D1249" s="124">
        <v>2.0851000000000002</v>
      </c>
      <c r="E1249" s="128" t="s">
        <v>398</v>
      </c>
      <c r="F1249" s="128">
        <f>중기기초자료!$G$111</f>
        <v>11000</v>
      </c>
      <c r="G1249" s="129">
        <f>TRUNC(F1249*D1249, 1)</f>
        <v>22936.1</v>
      </c>
      <c r="H1249" s="124" t="s">
        <v>17</v>
      </c>
    </row>
    <row r="1250" spans="1:10" ht="18.399999999999999" customHeight="1">
      <c r="B1250" s="124" t="s">
        <v>558</v>
      </c>
      <c r="G1250" s="128">
        <f>TRUNC(G1249, 0)</f>
        <v>22936</v>
      </c>
    </row>
    <row r="1251" spans="1:10" ht="18.399999999999999" customHeight="1">
      <c r="A1251" s="124" t="s">
        <v>191</v>
      </c>
    </row>
    <row r="1252" spans="1:10" ht="18.399999999999999" customHeight="1">
      <c r="B1252" s="124" t="s">
        <v>558</v>
      </c>
    </row>
    <row r="1253" spans="1:10" ht="18.399999999999999" customHeight="1">
      <c r="A1253" s="124" t="s">
        <v>192</v>
      </c>
    </row>
    <row r="1254" spans="1:10" ht="18.399999999999999" customHeight="1">
      <c r="B1254" s="124" t="s">
        <v>558</v>
      </c>
    </row>
    <row r="1255" spans="1:10" ht="18.399999999999999" customHeight="1" thickBot="1">
      <c r="B1255" s="124" t="s">
        <v>559</v>
      </c>
      <c r="G1255" s="128">
        <f>TRUNC(G1250+G1252+G1254, 0)</f>
        <v>22936</v>
      </c>
    </row>
    <row r="1256" spans="1:10" ht="18.399999999999999" customHeight="1" thickTop="1" thickBot="1">
      <c r="A1256" s="125"/>
      <c r="B1256" s="125"/>
      <c r="C1256" s="125"/>
      <c r="D1256" s="125"/>
      <c r="E1256" s="125"/>
      <c r="F1256" s="125"/>
      <c r="G1256" s="125"/>
      <c r="H1256" s="125"/>
    </row>
    <row r="1257" spans="1:10" ht="18.399999999999999" customHeight="1" thickTop="1" thickBot="1">
      <c r="A1257" s="125" t="s">
        <v>550</v>
      </c>
      <c r="B1257" s="125" t="s">
        <v>731</v>
      </c>
      <c r="C1257" s="125"/>
      <c r="D1257" s="125"/>
      <c r="E1257" s="125"/>
      <c r="F1257" s="125"/>
      <c r="G1257" s="125"/>
      <c r="H1257" s="125"/>
    </row>
    <row r="1258" spans="1:10" ht="18.399999999999999" customHeight="1" thickTop="1">
      <c r="A1258" s="125" t="s">
        <v>552</v>
      </c>
      <c r="B1258" s="125" t="s">
        <v>732</v>
      </c>
      <c r="C1258" s="125"/>
      <c r="D1258" s="125"/>
      <c r="E1258" s="125"/>
      <c r="F1258" s="125"/>
      <c r="G1258" s="125"/>
      <c r="H1258" s="125"/>
    </row>
    <row r="1259" spans="1:10" ht="18.399999999999999" customHeight="1">
      <c r="A1259" s="126" t="s">
        <v>554</v>
      </c>
      <c r="B1259" s="126"/>
      <c r="C1259" s="126" t="s">
        <v>555</v>
      </c>
      <c r="D1259" s="126" t="s">
        <v>189</v>
      </c>
      <c r="E1259" s="126" t="s">
        <v>190</v>
      </c>
      <c r="F1259" s="126" t="s">
        <v>556</v>
      </c>
      <c r="G1259" s="126" t="s">
        <v>557</v>
      </c>
      <c r="H1259" s="126" t="s">
        <v>195</v>
      </c>
      <c r="I1259" s="127" t="str">
        <f>HYPERLINK("#"&amp;J1259, "이전으로")</f>
        <v>이전으로</v>
      </c>
      <c r="J1259" s="124" t="s">
        <v>1233</v>
      </c>
    </row>
    <row r="1260" spans="1:10" ht="18.399999999999999" customHeight="1">
      <c r="A1260" s="124" t="s">
        <v>193</v>
      </c>
      <c r="B1260" s="124" t="s">
        <v>720</v>
      </c>
      <c r="C1260" s="124" t="s">
        <v>433</v>
      </c>
      <c r="D1260" s="124">
        <v>1.7576000000000001</v>
      </c>
      <c r="E1260" s="128" t="s">
        <v>398</v>
      </c>
      <c r="F1260" s="128">
        <f>중기기초자료!$G$112</f>
        <v>13000</v>
      </c>
      <c r="G1260" s="129">
        <f>TRUNC(F1260*D1260, 1)</f>
        <v>22848.799999999999</v>
      </c>
      <c r="H1260" s="124" t="s">
        <v>17</v>
      </c>
    </row>
    <row r="1261" spans="1:10" ht="18.399999999999999" customHeight="1">
      <c r="B1261" s="124" t="s">
        <v>558</v>
      </c>
      <c r="G1261" s="128">
        <f>TRUNC(G1260, 0)</f>
        <v>22848</v>
      </c>
    </row>
    <row r="1262" spans="1:10" ht="18.399999999999999" customHeight="1">
      <c r="A1262" s="124" t="s">
        <v>191</v>
      </c>
    </row>
    <row r="1263" spans="1:10" ht="18.399999999999999" customHeight="1">
      <c r="B1263" s="124" t="s">
        <v>558</v>
      </c>
    </row>
    <row r="1264" spans="1:10" ht="18.399999999999999" customHeight="1">
      <c r="A1264" s="124" t="s">
        <v>192</v>
      </c>
    </row>
    <row r="1265" spans="1:10" ht="18.399999999999999" customHeight="1">
      <c r="B1265" s="124" t="s">
        <v>558</v>
      </c>
    </row>
    <row r="1266" spans="1:10" ht="18.399999999999999" customHeight="1" thickBot="1">
      <c r="B1266" s="124" t="s">
        <v>559</v>
      </c>
      <c r="G1266" s="128">
        <f>TRUNC(G1261+G1263+G1265, 0)</f>
        <v>22848</v>
      </c>
    </row>
    <row r="1267" spans="1:10" ht="18.399999999999999" customHeight="1" thickTop="1" thickBot="1">
      <c r="A1267" s="125"/>
      <c r="B1267" s="125"/>
      <c r="C1267" s="125"/>
      <c r="D1267" s="125"/>
      <c r="E1267" s="125"/>
      <c r="F1267" s="125"/>
      <c r="G1267" s="125"/>
      <c r="H1267" s="125"/>
    </row>
    <row r="1268" spans="1:10" ht="18.399999999999999" customHeight="1" thickTop="1" thickBot="1">
      <c r="A1268" s="125" t="s">
        <v>550</v>
      </c>
      <c r="B1268" s="125" t="s">
        <v>733</v>
      </c>
      <c r="C1268" s="125"/>
      <c r="D1268" s="125"/>
      <c r="E1268" s="125"/>
      <c r="F1268" s="125"/>
      <c r="G1268" s="125"/>
      <c r="H1268" s="125"/>
    </row>
    <row r="1269" spans="1:10" ht="18.399999999999999" customHeight="1" thickTop="1">
      <c r="A1269" s="125" t="s">
        <v>552</v>
      </c>
      <c r="B1269" s="125" t="s">
        <v>734</v>
      </c>
      <c r="C1269" s="125"/>
      <c r="D1269" s="125"/>
      <c r="E1269" s="125"/>
      <c r="F1269" s="125"/>
      <c r="G1269" s="125"/>
      <c r="H1269" s="125"/>
    </row>
    <row r="1270" spans="1:10" ht="18.399999999999999" customHeight="1">
      <c r="A1270" s="126" t="s">
        <v>554</v>
      </c>
      <c r="B1270" s="126"/>
      <c r="C1270" s="126" t="s">
        <v>555</v>
      </c>
      <c r="D1270" s="126" t="s">
        <v>189</v>
      </c>
      <c r="E1270" s="126" t="s">
        <v>190</v>
      </c>
      <c r="F1270" s="126" t="s">
        <v>556</v>
      </c>
      <c r="G1270" s="126" t="s">
        <v>557</v>
      </c>
      <c r="H1270" s="126" t="s">
        <v>195</v>
      </c>
      <c r="I1270" s="127" t="str">
        <f>HYPERLINK("#"&amp;J1270, "이전으로")</f>
        <v>이전으로</v>
      </c>
      <c r="J1270" s="124" t="s">
        <v>1234</v>
      </c>
    </row>
    <row r="1271" spans="1:10" ht="18.399999999999999" customHeight="1">
      <c r="A1271" s="124" t="s">
        <v>193</v>
      </c>
      <c r="B1271" s="124" t="s">
        <v>720</v>
      </c>
      <c r="C1271" s="124" t="s">
        <v>434</v>
      </c>
      <c r="D1271" s="124">
        <v>0.7177</v>
      </c>
      <c r="E1271" s="128" t="s">
        <v>398</v>
      </c>
      <c r="F1271" s="128">
        <f>중기기초자료!$G$113</f>
        <v>18000</v>
      </c>
      <c r="G1271" s="129">
        <f>TRUNC(F1271*D1271, 1)</f>
        <v>12918.6</v>
      </c>
      <c r="H1271" s="124" t="s">
        <v>17</v>
      </c>
    </row>
    <row r="1272" spans="1:10" ht="18.399999999999999" customHeight="1">
      <c r="B1272" s="124" t="s">
        <v>558</v>
      </c>
      <c r="G1272" s="128">
        <f>TRUNC(G1271, 0)</f>
        <v>12918</v>
      </c>
    </row>
    <row r="1273" spans="1:10" ht="18.399999999999999" customHeight="1">
      <c r="A1273" s="124" t="s">
        <v>191</v>
      </c>
    </row>
    <row r="1274" spans="1:10" ht="18.399999999999999" customHeight="1">
      <c r="B1274" s="124" t="s">
        <v>558</v>
      </c>
    </row>
    <row r="1275" spans="1:10" ht="18.399999999999999" customHeight="1">
      <c r="A1275" s="124" t="s">
        <v>192</v>
      </c>
    </row>
    <row r="1276" spans="1:10" ht="18.399999999999999" customHeight="1">
      <c r="B1276" s="124" t="s">
        <v>558</v>
      </c>
    </row>
    <row r="1277" spans="1:10" ht="18.399999999999999" customHeight="1" thickBot="1">
      <c r="B1277" s="124" t="s">
        <v>559</v>
      </c>
      <c r="G1277" s="128">
        <f>TRUNC(G1272+G1274+G1276, 0)</f>
        <v>12918</v>
      </c>
    </row>
    <row r="1278" spans="1:10" ht="18.399999999999999" customHeight="1" thickTop="1" thickBot="1">
      <c r="A1278" s="125"/>
      <c r="B1278" s="125"/>
      <c r="C1278" s="125"/>
      <c r="D1278" s="125"/>
      <c r="E1278" s="125"/>
      <c r="F1278" s="125"/>
      <c r="G1278" s="125"/>
      <c r="H1278" s="125"/>
    </row>
    <row r="1279" spans="1:10" ht="18.399999999999999" customHeight="1" thickTop="1" thickBot="1">
      <c r="A1279" s="125" t="s">
        <v>550</v>
      </c>
      <c r="B1279" s="125" t="s">
        <v>735</v>
      </c>
      <c r="C1279" s="125"/>
      <c r="D1279" s="125"/>
      <c r="E1279" s="125"/>
      <c r="F1279" s="125"/>
      <c r="G1279" s="125"/>
      <c r="H1279" s="125"/>
    </row>
    <row r="1280" spans="1:10" ht="18.399999999999999" customHeight="1" thickTop="1">
      <c r="A1280" s="125" t="s">
        <v>552</v>
      </c>
      <c r="B1280" s="125" t="s">
        <v>734</v>
      </c>
      <c r="C1280" s="125"/>
      <c r="D1280" s="125"/>
      <c r="E1280" s="125"/>
      <c r="F1280" s="125"/>
      <c r="G1280" s="125"/>
      <c r="H1280" s="125"/>
    </row>
    <row r="1281" spans="1:10" ht="18.399999999999999" customHeight="1">
      <c r="A1281" s="126" t="s">
        <v>554</v>
      </c>
      <c r="B1281" s="126"/>
      <c r="C1281" s="126" t="s">
        <v>555</v>
      </c>
      <c r="D1281" s="126" t="s">
        <v>189</v>
      </c>
      <c r="E1281" s="126" t="s">
        <v>190</v>
      </c>
      <c r="F1281" s="126" t="s">
        <v>556</v>
      </c>
      <c r="G1281" s="126" t="s">
        <v>557</v>
      </c>
      <c r="H1281" s="126" t="s">
        <v>195</v>
      </c>
      <c r="I1281" s="127" t="str">
        <f>HYPERLINK("#"&amp;J1281, "이전으로")</f>
        <v>이전으로</v>
      </c>
      <c r="J1281" s="124" t="s">
        <v>1235</v>
      </c>
    </row>
    <row r="1282" spans="1:10" ht="18.399999999999999" customHeight="1">
      <c r="A1282" s="124" t="s">
        <v>193</v>
      </c>
      <c r="B1282" s="124" t="s">
        <v>720</v>
      </c>
      <c r="C1282" s="124" t="s">
        <v>434</v>
      </c>
      <c r="D1282" s="124">
        <v>0.70550000000000002</v>
      </c>
      <c r="E1282" s="128" t="s">
        <v>398</v>
      </c>
      <c r="F1282" s="128">
        <f>중기기초자료!$G$113</f>
        <v>18000</v>
      </c>
      <c r="G1282" s="129">
        <f>TRUNC(F1282*D1282, 1)</f>
        <v>12699</v>
      </c>
      <c r="H1282" s="124" t="s">
        <v>17</v>
      </c>
    </row>
    <row r="1283" spans="1:10" ht="18.399999999999999" customHeight="1">
      <c r="B1283" s="124" t="s">
        <v>558</v>
      </c>
      <c r="G1283" s="128">
        <f>TRUNC(G1282, 0)</f>
        <v>12699</v>
      </c>
    </row>
    <row r="1284" spans="1:10" ht="18.399999999999999" customHeight="1">
      <c r="A1284" s="124" t="s">
        <v>191</v>
      </c>
    </row>
    <row r="1285" spans="1:10" ht="18.399999999999999" customHeight="1">
      <c r="B1285" s="124" t="s">
        <v>558</v>
      </c>
    </row>
    <row r="1286" spans="1:10" ht="18.399999999999999" customHeight="1">
      <c r="A1286" s="124" t="s">
        <v>192</v>
      </c>
    </row>
    <row r="1287" spans="1:10" ht="18.399999999999999" customHeight="1">
      <c r="B1287" s="124" t="s">
        <v>558</v>
      </c>
    </row>
    <row r="1288" spans="1:10" ht="18.399999999999999" customHeight="1" thickBot="1">
      <c r="B1288" s="124" t="s">
        <v>559</v>
      </c>
      <c r="G1288" s="128">
        <f>TRUNC(G1283+G1285+G1287, 0)</f>
        <v>12699</v>
      </c>
    </row>
    <row r="1289" spans="1:10" ht="18.399999999999999" customHeight="1" thickTop="1" thickBot="1">
      <c r="A1289" s="125"/>
      <c r="B1289" s="125"/>
      <c r="C1289" s="125"/>
      <c r="D1289" s="125"/>
      <c r="E1289" s="125"/>
      <c r="F1289" s="125"/>
      <c r="G1289" s="125"/>
      <c r="H1289" s="125"/>
    </row>
    <row r="1290" spans="1:10" ht="18.399999999999999" customHeight="1" thickTop="1" thickBot="1">
      <c r="A1290" s="125" t="s">
        <v>550</v>
      </c>
      <c r="B1290" s="125" t="s">
        <v>736</v>
      </c>
      <c r="C1290" s="125"/>
      <c r="D1290" s="125"/>
      <c r="E1290" s="125"/>
      <c r="F1290" s="125"/>
      <c r="G1290" s="125"/>
      <c r="H1290" s="125"/>
    </row>
    <row r="1291" spans="1:10" ht="18.399999999999999" customHeight="1" thickTop="1">
      <c r="A1291" s="125" t="s">
        <v>552</v>
      </c>
      <c r="B1291" s="125" t="s">
        <v>734</v>
      </c>
      <c r="C1291" s="125"/>
      <c r="D1291" s="125"/>
      <c r="E1291" s="125"/>
      <c r="F1291" s="125"/>
      <c r="G1291" s="125"/>
      <c r="H1291" s="125"/>
    </row>
    <row r="1292" spans="1:10" ht="18.399999999999999" customHeight="1">
      <c r="A1292" s="126" t="s">
        <v>554</v>
      </c>
      <c r="B1292" s="126"/>
      <c r="C1292" s="126" t="s">
        <v>555</v>
      </c>
      <c r="D1292" s="126" t="s">
        <v>189</v>
      </c>
      <c r="E1292" s="126" t="s">
        <v>190</v>
      </c>
      <c r="F1292" s="126" t="s">
        <v>556</v>
      </c>
      <c r="G1292" s="126" t="s">
        <v>557</v>
      </c>
      <c r="H1292" s="126" t="s">
        <v>195</v>
      </c>
      <c r="I1292" s="127" t="str">
        <f>HYPERLINK("#"&amp;J1292, "이전으로")</f>
        <v>이전으로</v>
      </c>
      <c r="J1292" s="124" t="s">
        <v>1236</v>
      </c>
    </row>
    <row r="1293" spans="1:10" ht="18.399999999999999" customHeight="1">
      <c r="A1293" s="124" t="s">
        <v>193</v>
      </c>
      <c r="B1293" s="124" t="s">
        <v>453</v>
      </c>
      <c r="C1293" s="124" t="s">
        <v>434</v>
      </c>
      <c r="D1293" s="124">
        <v>0.69420000000000004</v>
      </c>
      <c r="E1293" s="128" t="s">
        <v>398</v>
      </c>
      <c r="F1293" s="128">
        <f>중기기초자료!$G$113</f>
        <v>18000</v>
      </c>
      <c r="G1293" s="129">
        <f>TRUNC(F1293*D1293, 1)</f>
        <v>12495.6</v>
      </c>
      <c r="H1293" s="124" t="s">
        <v>17</v>
      </c>
    </row>
    <row r="1294" spans="1:10" ht="18.399999999999999" customHeight="1">
      <c r="B1294" s="124" t="s">
        <v>558</v>
      </c>
      <c r="G1294" s="128">
        <f>TRUNC(G1293, 0)</f>
        <v>12495</v>
      </c>
    </row>
    <row r="1295" spans="1:10" ht="18.399999999999999" customHeight="1">
      <c r="A1295" s="124" t="s">
        <v>191</v>
      </c>
    </row>
    <row r="1296" spans="1:10" ht="18.399999999999999" customHeight="1">
      <c r="B1296" s="124" t="s">
        <v>558</v>
      </c>
    </row>
    <row r="1297" spans="1:10" ht="18.399999999999999" customHeight="1">
      <c r="A1297" s="124" t="s">
        <v>192</v>
      </c>
    </row>
    <row r="1298" spans="1:10" ht="18.399999999999999" customHeight="1">
      <c r="B1298" s="124" t="s">
        <v>558</v>
      </c>
    </row>
    <row r="1299" spans="1:10" ht="18.399999999999999" customHeight="1" thickBot="1">
      <c r="B1299" s="124" t="s">
        <v>559</v>
      </c>
      <c r="G1299" s="128">
        <f>TRUNC(G1294+G1296+G1298, 0)</f>
        <v>12495</v>
      </c>
    </row>
    <row r="1300" spans="1:10" ht="18.399999999999999" customHeight="1" thickTop="1" thickBot="1">
      <c r="A1300" s="125"/>
      <c r="B1300" s="125"/>
      <c r="C1300" s="125"/>
      <c r="D1300" s="125"/>
      <c r="E1300" s="125"/>
      <c r="F1300" s="125"/>
      <c r="G1300" s="125"/>
      <c r="H1300" s="125"/>
    </row>
    <row r="1301" spans="1:10" ht="18.399999999999999" customHeight="1" thickTop="1" thickBot="1">
      <c r="A1301" s="125" t="s">
        <v>550</v>
      </c>
      <c r="B1301" s="125" t="s">
        <v>737</v>
      </c>
      <c r="C1301" s="125"/>
      <c r="D1301" s="125"/>
      <c r="E1301" s="125"/>
      <c r="F1301" s="125"/>
      <c r="G1301" s="125"/>
      <c r="H1301" s="125"/>
    </row>
    <row r="1302" spans="1:10" ht="18.399999999999999" customHeight="1" thickTop="1">
      <c r="A1302" s="125" t="s">
        <v>552</v>
      </c>
      <c r="B1302" s="125" t="s">
        <v>734</v>
      </c>
      <c r="C1302" s="125"/>
      <c r="D1302" s="125"/>
      <c r="E1302" s="125"/>
      <c r="F1302" s="125"/>
      <c r="G1302" s="125"/>
      <c r="H1302" s="125"/>
    </row>
    <row r="1303" spans="1:10" ht="18.399999999999999" customHeight="1">
      <c r="A1303" s="126" t="s">
        <v>554</v>
      </c>
      <c r="B1303" s="126"/>
      <c r="C1303" s="126" t="s">
        <v>555</v>
      </c>
      <c r="D1303" s="126" t="s">
        <v>189</v>
      </c>
      <c r="E1303" s="126" t="s">
        <v>190</v>
      </c>
      <c r="F1303" s="126" t="s">
        <v>556</v>
      </c>
      <c r="G1303" s="126" t="s">
        <v>557</v>
      </c>
      <c r="H1303" s="126" t="s">
        <v>195</v>
      </c>
      <c r="I1303" s="127" t="str">
        <f>HYPERLINK("#"&amp;J1303, "이전으로")</f>
        <v>이전으로</v>
      </c>
      <c r="J1303" s="124" t="s">
        <v>1237</v>
      </c>
    </row>
    <row r="1304" spans="1:10" ht="18.399999999999999" customHeight="1">
      <c r="A1304" s="124" t="s">
        <v>193</v>
      </c>
      <c r="B1304" s="124" t="s">
        <v>453</v>
      </c>
      <c r="C1304" s="124" t="s">
        <v>434</v>
      </c>
      <c r="D1304" s="124">
        <v>0.67190000000000005</v>
      </c>
      <c r="E1304" s="128" t="s">
        <v>398</v>
      </c>
      <c r="F1304" s="128">
        <f>중기기초자료!$G$113</f>
        <v>18000</v>
      </c>
      <c r="G1304" s="129">
        <f>TRUNC(F1304*D1304, 1)</f>
        <v>12094.2</v>
      </c>
      <c r="H1304" s="124" t="s">
        <v>17</v>
      </c>
    </row>
    <row r="1305" spans="1:10" ht="18.399999999999999" customHeight="1">
      <c r="B1305" s="124" t="s">
        <v>558</v>
      </c>
      <c r="G1305" s="128">
        <f>TRUNC(G1304, 0)</f>
        <v>12094</v>
      </c>
    </row>
    <row r="1306" spans="1:10" ht="18.399999999999999" customHeight="1">
      <c r="A1306" s="124" t="s">
        <v>191</v>
      </c>
    </row>
    <row r="1307" spans="1:10" ht="18.399999999999999" customHeight="1">
      <c r="B1307" s="124" t="s">
        <v>558</v>
      </c>
    </row>
    <row r="1308" spans="1:10" ht="18.399999999999999" customHeight="1">
      <c r="A1308" s="124" t="s">
        <v>192</v>
      </c>
    </row>
    <row r="1309" spans="1:10" ht="18.399999999999999" customHeight="1">
      <c r="B1309" s="124" t="s">
        <v>558</v>
      </c>
    </row>
    <row r="1310" spans="1:10" ht="18.399999999999999" customHeight="1" thickBot="1">
      <c r="B1310" s="124" t="s">
        <v>559</v>
      </c>
      <c r="G1310" s="128">
        <f>TRUNC(G1305+G1307+G1309, 0)</f>
        <v>12094</v>
      </c>
    </row>
    <row r="1311" spans="1:10" ht="18.399999999999999" customHeight="1" thickTop="1" thickBot="1">
      <c r="A1311" s="125"/>
      <c r="B1311" s="125"/>
      <c r="C1311" s="125"/>
      <c r="D1311" s="125"/>
      <c r="E1311" s="125"/>
      <c r="F1311" s="125"/>
      <c r="G1311" s="125"/>
      <c r="H1311" s="125"/>
    </row>
    <row r="1312" spans="1:10" ht="18.399999999999999" customHeight="1" thickTop="1" thickBot="1">
      <c r="A1312" s="125" t="s">
        <v>550</v>
      </c>
      <c r="B1312" s="125" t="s">
        <v>738</v>
      </c>
      <c r="C1312" s="125"/>
      <c r="D1312" s="125"/>
      <c r="E1312" s="125"/>
      <c r="F1312" s="125"/>
      <c r="G1312" s="125"/>
      <c r="H1312" s="125"/>
    </row>
    <row r="1313" spans="1:10" ht="18.399999999999999" customHeight="1" thickTop="1">
      <c r="A1313" s="125" t="s">
        <v>552</v>
      </c>
      <c r="B1313" s="125" t="s">
        <v>739</v>
      </c>
      <c r="C1313" s="125"/>
      <c r="D1313" s="125"/>
      <c r="E1313" s="125"/>
      <c r="F1313" s="125"/>
      <c r="G1313" s="125"/>
      <c r="H1313" s="125"/>
    </row>
    <row r="1314" spans="1:10" ht="18.399999999999999" customHeight="1">
      <c r="A1314" s="126" t="s">
        <v>554</v>
      </c>
      <c r="B1314" s="126"/>
      <c r="C1314" s="126" t="s">
        <v>555</v>
      </c>
      <c r="D1314" s="126" t="s">
        <v>189</v>
      </c>
      <c r="E1314" s="126" t="s">
        <v>190</v>
      </c>
      <c r="F1314" s="126" t="s">
        <v>556</v>
      </c>
      <c r="G1314" s="126" t="s">
        <v>557</v>
      </c>
      <c r="H1314" s="126" t="s">
        <v>195</v>
      </c>
      <c r="I1314" s="127" t="str">
        <f>HYPERLINK("#"&amp;J1314, "이전으로")</f>
        <v>이전으로</v>
      </c>
      <c r="J1314" s="124" t="s">
        <v>1238</v>
      </c>
    </row>
    <row r="1315" spans="1:10" ht="18.399999999999999" customHeight="1">
      <c r="A1315" s="124" t="s">
        <v>193</v>
      </c>
      <c r="B1315" s="124" t="s">
        <v>453</v>
      </c>
      <c r="C1315" s="124" t="s">
        <v>437</v>
      </c>
      <c r="D1315" s="124">
        <v>0.50929999999999997</v>
      </c>
      <c r="E1315" s="128" t="s">
        <v>398</v>
      </c>
      <c r="F1315" s="128">
        <f>중기기초자료!$G$114</f>
        <v>28000</v>
      </c>
      <c r="G1315" s="129">
        <f>TRUNC(F1315*D1315, 1)</f>
        <v>14260.4</v>
      </c>
      <c r="H1315" s="124" t="s">
        <v>17</v>
      </c>
    </row>
    <row r="1316" spans="1:10" ht="18.399999999999999" customHeight="1">
      <c r="B1316" s="124" t="s">
        <v>558</v>
      </c>
      <c r="G1316" s="128">
        <f>TRUNC(G1315, 0)</f>
        <v>14260</v>
      </c>
    </row>
    <row r="1317" spans="1:10" ht="18.399999999999999" customHeight="1">
      <c r="A1317" s="124" t="s">
        <v>191</v>
      </c>
    </row>
    <row r="1318" spans="1:10" ht="18.399999999999999" customHeight="1">
      <c r="B1318" s="124" t="s">
        <v>558</v>
      </c>
    </row>
    <row r="1319" spans="1:10" ht="18.399999999999999" customHeight="1">
      <c r="A1319" s="124" t="s">
        <v>192</v>
      </c>
    </row>
    <row r="1320" spans="1:10" ht="18.399999999999999" customHeight="1">
      <c r="B1320" s="124" t="s">
        <v>558</v>
      </c>
    </row>
    <row r="1321" spans="1:10" ht="18.399999999999999" customHeight="1" thickBot="1">
      <c r="B1321" s="124" t="s">
        <v>559</v>
      </c>
      <c r="G1321" s="128">
        <f>TRUNC(G1316+G1318+G1320, 0)</f>
        <v>14260</v>
      </c>
    </row>
    <row r="1322" spans="1:10" ht="18.399999999999999" customHeight="1" thickTop="1" thickBot="1">
      <c r="A1322" s="125"/>
      <c r="B1322" s="125"/>
      <c r="C1322" s="125"/>
      <c r="D1322" s="125"/>
      <c r="E1322" s="125"/>
      <c r="F1322" s="125"/>
      <c r="G1322" s="125"/>
      <c r="H1322" s="125"/>
    </row>
    <row r="1323" spans="1:10" ht="18.399999999999999" customHeight="1" thickTop="1" thickBot="1">
      <c r="A1323" s="125" t="s">
        <v>550</v>
      </c>
      <c r="B1323" s="125" t="s">
        <v>740</v>
      </c>
      <c r="C1323" s="125"/>
      <c r="D1323" s="125"/>
      <c r="E1323" s="125"/>
      <c r="F1323" s="125"/>
      <c r="G1323" s="125"/>
      <c r="H1323" s="125"/>
    </row>
    <row r="1324" spans="1:10" ht="18.399999999999999" customHeight="1" thickTop="1">
      <c r="A1324" s="125" t="s">
        <v>552</v>
      </c>
      <c r="B1324" s="125" t="s">
        <v>739</v>
      </c>
      <c r="C1324" s="125"/>
      <c r="D1324" s="125"/>
      <c r="E1324" s="125"/>
      <c r="F1324" s="125"/>
      <c r="G1324" s="125"/>
      <c r="H1324" s="125"/>
    </row>
    <row r="1325" spans="1:10" ht="18.399999999999999" customHeight="1">
      <c r="A1325" s="126" t="s">
        <v>554</v>
      </c>
      <c r="B1325" s="126"/>
      <c r="C1325" s="126" t="s">
        <v>555</v>
      </c>
      <c r="D1325" s="126" t="s">
        <v>189</v>
      </c>
      <c r="E1325" s="126" t="s">
        <v>190</v>
      </c>
      <c r="F1325" s="126" t="s">
        <v>556</v>
      </c>
      <c r="G1325" s="126" t="s">
        <v>557</v>
      </c>
      <c r="H1325" s="126" t="s">
        <v>195</v>
      </c>
      <c r="I1325" s="127" t="str">
        <f>HYPERLINK("#"&amp;J1325, "이전으로")</f>
        <v>이전으로</v>
      </c>
      <c r="J1325" s="124" t="s">
        <v>1239</v>
      </c>
    </row>
    <row r="1326" spans="1:10" ht="18.399999999999999" customHeight="1">
      <c r="A1326" s="124" t="s">
        <v>193</v>
      </c>
      <c r="B1326" s="124" t="s">
        <v>453</v>
      </c>
      <c r="C1326" s="124" t="s">
        <v>437</v>
      </c>
      <c r="D1326" s="124">
        <v>0.49209999999999998</v>
      </c>
      <c r="E1326" s="128" t="s">
        <v>398</v>
      </c>
      <c r="F1326" s="128">
        <f>중기기초자료!$G$114</f>
        <v>28000</v>
      </c>
      <c r="G1326" s="129">
        <f>TRUNC(F1326*D1326, 1)</f>
        <v>13778.8</v>
      </c>
      <c r="H1326" s="124" t="s">
        <v>17</v>
      </c>
    </row>
    <row r="1327" spans="1:10" ht="18.399999999999999" customHeight="1">
      <c r="B1327" s="124" t="s">
        <v>558</v>
      </c>
      <c r="G1327" s="128">
        <f>TRUNC(G1326, 0)</f>
        <v>13778</v>
      </c>
    </row>
    <row r="1328" spans="1:10" ht="18.399999999999999" customHeight="1">
      <c r="A1328" s="124" t="s">
        <v>191</v>
      </c>
    </row>
    <row r="1329" spans="1:10" ht="18.399999999999999" customHeight="1">
      <c r="B1329" s="124" t="s">
        <v>558</v>
      </c>
    </row>
    <row r="1330" spans="1:10" ht="18.399999999999999" customHeight="1">
      <c r="A1330" s="124" t="s">
        <v>192</v>
      </c>
    </row>
    <row r="1331" spans="1:10" ht="18.399999999999999" customHeight="1">
      <c r="B1331" s="124" t="s">
        <v>558</v>
      </c>
    </row>
    <row r="1332" spans="1:10" ht="18.399999999999999" customHeight="1" thickBot="1">
      <c r="B1332" s="124" t="s">
        <v>559</v>
      </c>
      <c r="G1332" s="128">
        <f>TRUNC(G1327+G1329+G1331, 0)</f>
        <v>13778</v>
      </c>
    </row>
    <row r="1333" spans="1:10" ht="18.399999999999999" customHeight="1" thickTop="1" thickBot="1">
      <c r="A1333" s="125"/>
      <c r="B1333" s="125"/>
      <c r="C1333" s="125"/>
      <c r="D1333" s="125"/>
      <c r="E1333" s="125"/>
      <c r="F1333" s="125"/>
      <c r="G1333" s="125"/>
      <c r="H1333" s="125"/>
    </row>
    <row r="1334" spans="1:10" ht="18.399999999999999" customHeight="1" thickTop="1" thickBot="1">
      <c r="A1334" s="125" t="s">
        <v>550</v>
      </c>
      <c r="B1334" s="125" t="s">
        <v>741</v>
      </c>
      <c r="C1334" s="125"/>
      <c r="D1334" s="125"/>
      <c r="E1334" s="125"/>
      <c r="F1334" s="125"/>
      <c r="G1334" s="125"/>
      <c r="H1334" s="125"/>
    </row>
    <row r="1335" spans="1:10" ht="18.399999999999999" customHeight="1" thickTop="1">
      <c r="A1335" s="125" t="s">
        <v>552</v>
      </c>
      <c r="B1335" s="125" t="s">
        <v>739</v>
      </c>
      <c r="C1335" s="125"/>
      <c r="D1335" s="125"/>
      <c r="E1335" s="125"/>
      <c r="F1335" s="125"/>
      <c r="G1335" s="125"/>
      <c r="H1335" s="125"/>
    </row>
    <row r="1336" spans="1:10" ht="18.399999999999999" customHeight="1">
      <c r="A1336" s="126" t="s">
        <v>554</v>
      </c>
      <c r="B1336" s="126"/>
      <c r="C1336" s="126" t="s">
        <v>555</v>
      </c>
      <c r="D1336" s="126" t="s">
        <v>189</v>
      </c>
      <c r="E1336" s="126" t="s">
        <v>190</v>
      </c>
      <c r="F1336" s="126" t="s">
        <v>556</v>
      </c>
      <c r="G1336" s="126" t="s">
        <v>557</v>
      </c>
      <c r="H1336" s="126" t="s">
        <v>195</v>
      </c>
      <c r="I1336" s="127" t="str">
        <f>HYPERLINK("#"&amp;J1336, "이전으로")</f>
        <v>이전으로</v>
      </c>
      <c r="J1336" s="124" t="s">
        <v>1240</v>
      </c>
    </row>
    <row r="1337" spans="1:10" ht="18.399999999999999" customHeight="1">
      <c r="A1337" s="124" t="s">
        <v>193</v>
      </c>
      <c r="B1337" s="124" t="s">
        <v>453</v>
      </c>
      <c r="C1337" s="124" t="s">
        <v>437</v>
      </c>
      <c r="D1337" s="124">
        <v>0.47460000000000002</v>
      </c>
      <c r="E1337" s="128" t="s">
        <v>398</v>
      </c>
      <c r="F1337" s="128">
        <f>중기기초자료!$G$114</f>
        <v>28000</v>
      </c>
      <c r="G1337" s="129">
        <f>TRUNC(F1337*D1337, 1)</f>
        <v>13288.8</v>
      </c>
      <c r="H1337" s="124" t="s">
        <v>17</v>
      </c>
    </row>
    <row r="1338" spans="1:10" ht="18.399999999999999" customHeight="1">
      <c r="B1338" s="124" t="s">
        <v>558</v>
      </c>
      <c r="G1338" s="128">
        <f>TRUNC(G1337, 0)</f>
        <v>13288</v>
      </c>
    </row>
    <row r="1339" spans="1:10" ht="18.399999999999999" customHeight="1">
      <c r="A1339" s="124" t="s">
        <v>191</v>
      </c>
    </row>
    <row r="1340" spans="1:10" ht="18.399999999999999" customHeight="1">
      <c r="B1340" s="124" t="s">
        <v>558</v>
      </c>
    </row>
    <row r="1341" spans="1:10" ht="18.399999999999999" customHeight="1">
      <c r="A1341" s="124" t="s">
        <v>192</v>
      </c>
    </row>
    <row r="1342" spans="1:10" ht="18.399999999999999" customHeight="1">
      <c r="B1342" s="124" t="s">
        <v>558</v>
      </c>
    </row>
    <row r="1343" spans="1:10" ht="18.399999999999999" customHeight="1" thickBot="1">
      <c r="B1343" s="124" t="s">
        <v>559</v>
      </c>
      <c r="G1343" s="128">
        <f>TRUNC(G1338+G1340+G1342, 0)</f>
        <v>13288</v>
      </c>
    </row>
    <row r="1344" spans="1:10" ht="18.399999999999999" customHeight="1" thickTop="1" thickBot="1">
      <c r="A1344" s="125"/>
      <c r="B1344" s="125"/>
      <c r="C1344" s="125"/>
      <c r="D1344" s="125"/>
      <c r="E1344" s="125"/>
      <c r="F1344" s="125"/>
      <c r="G1344" s="125"/>
      <c r="H1344" s="125"/>
    </row>
    <row r="1345" spans="1:10" ht="18.399999999999999" customHeight="1" thickTop="1" thickBot="1">
      <c r="A1345" s="125" t="s">
        <v>550</v>
      </c>
      <c r="B1345" s="125" t="s">
        <v>742</v>
      </c>
      <c r="C1345" s="125"/>
      <c r="D1345" s="125"/>
      <c r="E1345" s="125"/>
      <c r="F1345" s="125"/>
      <c r="G1345" s="125"/>
      <c r="H1345" s="125"/>
    </row>
    <row r="1346" spans="1:10" ht="18.399999999999999" customHeight="1" thickTop="1">
      <c r="A1346" s="125" t="s">
        <v>552</v>
      </c>
      <c r="B1346" s="125" t="s">
        <v>743</v>
      </c>
      <c r="C1346" s="125"/>
      <c r="D1346" s="125"/>
      <c r="E1346" s="125"/>
      <c r="F1346" s="125"/>
      <c r="G1346" s="125"/>
      <c r="H1346" s="125"/>
    </row>
    <row r="1347" spans="1:10" ht="18.399999999999999" customHeight="1">
      <c r="A1347" s="126" t="s">
        <v>554</v>
      </c>
      <c r="B1347" s="126"/>
      <c r="C1347" s="126" t="s">
        <v>555</v>
      </c>
      <c r="D1347" s="126" t="s">
        <v>189</v>
      </c>
      <c r="E1347" s="126" t="s">
        <v>190</v>
      </c>
      <c r="F1347" s="126" t="s">
        <v>556</v>
      </c>
      <c r="G1347" s="126" t="s">
        <v>557</v>
      </c>
      <c r="H1347" s="126" t="s">
        <v>195</v>
      </c>
      <c r="I1347" s="127" t="str">
        <f>HYPERLINK("#"&amp;J1347, "이전으로")</f>
        <v>이전으로</v>
      </c>
      <c r="J1347" s="124" t="s">
        <v>1241</v>
      </c>
    </row>
    <row r="1348" spans="1:10" ht="18.399999999999999" customHeight="1">
      <c r="A1348" s="124" t="s">
        <v>193</v>
      </c>
      <c r="B1348" s="124" t="s">
        <v>453</v>
      </c>
      <c r="C1348" s="124" t="s">
        <v>440</v>
      </c>
      <c r="D1348" s="124">
        <v>0.30509999999999998</v>
      </c>
      <c r="E1348" s="128" t="s">
        <v>398</v>
      </c>
      <c r="F1348" s="128">
        <f>중기기초자료!$G$115</f>
        <v>55000</v>
      </c>
      <c r="G1348" s="129">
        <f>TRUNC(F1348*D1348, 1)</f>
        <v>16780.5</v>
      </c>
      <c r="H1348" s="124" t="s">
        <v>17</v>
      </c>
    </row>
    <row r="1349" spans="1:10" ht="18.399999999999999" customHeight="1">
      <c r="B1349" s="124" t="s">
        <v>558</v>
      </c>
      <c r="G1349" s="128">
        <f>TRUNC(G1348, 0)</f>
        <v>16780</v>
      </c>
    </row>
    <row r="1350" spans="1:10" ht="18.399999999999999" customHeight="1">
      <c r="A1350" s="124" t="s">
        <v>191</v>
      </c>
    </row>
    <row r="1351" spans="1:10" ht="18.399999999999999" customHeight="1">
      <c r="B1351" s="124" t="s">
        <v>558</v>
      </c>
    </row>
    <row r="1352" spans="1:10" ht="18.399999999999999" customHeight="1">
      <c r="A1352" s="124" t="s">
        <v>192</v>
      </c>
    </row>
    <row r="1353" spans="1:10" ht="18.399999999999999" customHeight="1">
      <c r="B1353" s="124" t="s">
        <v>558</v>
      </c>
    </row>
    <row r="1354" spans="1:10" ht="18.399999999999999" customHeight="1" thickBot="1">
      <c r="B1354" s="124" t="s">
        <v>559</v>
      </c>
      <c r="G1354" s="128">
        <f>TRUNC(G1349+G1351+G1353, 0)</f>
        <v>16780</v>
      </c>
    </row>
    <row r="1355" spans="1:10" ht="18.399999999999999" customHeight="1" thickTop="1" thickBot="1">
      <c r="A1355" s="125"/>
      <c r="B1355" s="125"/>
      <c r="C1355" s="125"/>
      <c r="D1355" s="125"/>
      <c r="E1355" s="125"/>
      <c r="F1355" s="125"/>
      <c r="G1355" s="125"/>
      <c r="H1355" s="125"/>
    </row>
    <row r="1356" spans="1:10" ht="18.399999999999999" customHeight="1" thickTop="1" thickBot="1">
      <c r="A1356" s="125" t="s">
        <v>550</v>
      </c>
      <c r="B1356" s="125" t="s">
        <v>744</v>
      </c>
      <c r="C1356" s="125"/>
      <c r="D1356" s="125"/>
      <c r="E1356" s="125"/>
      <c r="F1356" s="125"/>
      <c r="G1356" s="125"/>
      <c r="H1356" s="125"/>
    </row>
    <row r="1357" spans="1:10" ht="18.399999999999999" customHeight="1" thickTop="1">
      <c r="A1357" s="125" t="s">
        <v>552</v>
      </c>
      <c r="B1357" s="125" t="s">
        <v>743</v>
      </c>
      <c r="C1357" s="125"/>
      <c r="D1357" s="125"/>
      <c r="E1357" s="125"/>
      <c r="F1357" s="125"/>
      <c r="G1357" s="125"/>
      <c r="H1357" s="125"/>
    </row>
    <row r="1358" spans="1:10" ht="18.399999999999999" customHeight="1">
      <c r="A1358" s="126" t="s">
        <v>554</v>
      </c>
      <c r="B1358" s="126"/>
      <c r="C1358" s="126" t="s">
        <v>555</v>
      </c>
      <c r="D1358" s="126" t="s">
        <v>189</v>
      </c>
      <c r="E1358" s="126" t="s">
        <v>190</v>
      </c>
      <c r="F1358" s="126" t="s">
        <v>556</v>
      </c>
      <c r="G1358" s="126" t="s">
        <v>557</v>
      </c>
      <c r="H1358" s="126" t="s">
        <v>195</v>
      </c>
      <c r="I1358" s="127" t="str">
        <f>HYPERLINK("#"&amp;J1358, "이전으로")</f>
        <v>이전으로</v>
      </c>
      <c r="J1358" s="124" t="s">
        <v>1242</v>
      </c>
    </row>
    <row r="1359" spans="1:10" ht="18.399999999999999" customHeight="1">
      <c r="A1359" s="124" t="s">
        <v>193</v>
      </c>
      <c r="B1359" s="124" t="s">
        <v>453</v>
      </c>
      <c r="C1359" s="124" t="s">
        <v>440</v>
      </c>
      <c r="D1359" s="124">
        <v>0.28960000000000002</v>
      </c>
      <c r="E1359" s="128" t="s">
        <v>398</v>
      </c>
      <c r="F1359" s="128">
        <f>중기기초자료!$G$115</f>
        <v>55000</v>
      </c>
      <c r="G1359" s="129">
        <f>TRUNC(F1359*D1359, 1)</f>
        <v>15928</v>
      </c>
      <c r="H1359" s="124" t="s">
        <v>17</v>
      </c>
    </row>
    <row r="1360" spans="1:10" ht="18.399999999999999" customHeight="1">
      <c r="B1360" s="124" t="s">
        <v>558</v>
      </c>
      <c r="G1360" s="128">
        <f>TRUNC(G1359, 0)</f>
        <v>15928</v>
      </c>
    </row>
    <row r="1361" spans="1:10" ht="18.399999999999999" customHeight="1">
      <c r="A1361" s="124" t="s">
        <v>191</v>
      </c>
    </row>
    <row r="1362" spans="1:10" ht="18.399999999999999" customHeight="1">
      <c r="B1362" s="124" t="s">
        <v>558</v>
      </c>
    </row>
    <row r="1363" spans="1:10" ht="18.399999999999999" customHeight="1">
      <c r="A1363" s="124" t="s">
        <v>192</v>
      </c>
    </row>
    <row r="1364" spans="1:10" ht="18.399999999999999" customHeight="1">
      <c r="B1364" s="124" t="s">
        <v>558</v>
      </c>
    </row>
    <row r="1365" spans="1:10" ht="18.399999999999999" customHeight="1" thickBot="1">
      <c r="B1365" s="124" t="s">
        <v>559</v>
      </c>
      <c r="G1365" s="128">
        <f>TRUNC(G1360+G1362+G1364, 0)</f>
        <v>15928</v>
      </c>
    </row>
    <row r="1366" spans="1:10" ht="18.399999999999999" customHeight="1" thickTop="1" thickBot="1">
      <c r="A1366" s="125"/>
      <c r="B1366" s="125"/>
      <c r="C1366" s="125"/>
      <c r="D1366" s="125"/>
      <c r="E1366" s="125"/>
      <c r="F1366" s="125"/>
      <c r="G1366" s="125"/>
      <c r="H1366" s="125"/>
    </row>
    <row r="1367" spans="1:10" ht="18.399999999999999" customHeight="1" thickTop="1" thickBot="1">
      <c r="A1367" s="130" t="s">
        <v>550</v>
      </c>
      <c r="B1367" s="125" t="s">
        <v>977</v>
      </c>
      <c r="C1367" s="125"/>
      <c r="D1367" s="125"/>
      <c r="E1367" s="125"/>
      <c r="F1367" s="125"/>
      <c r="G1367" s="125"/>
      <c r="H1367" s="125"/>
    </row>
    <row r="1368" spans="1:10" ht="18.399999999999999" customHeight="1" thickTop="1">
      <c r="A1368" s="125" t="s">
        <v>552</v>
      </c>
      <c r="B1368" s="125" t="s">
        <v>743</v>
      </c>
      <c r="C1368" s="125"/>
      <c r="D1368" s="125"/>
      <c r="E1368" s="125"/>
      <c r="F1368" s="125"/>
      <c r="G1368" s="125"/>
      <c r="H1368" s="125"/>
    </row>
    <row r="1369" spans="1:10" ht="18.399999999999999" customHeight="1">
      <c r="A1369" s="126" t="s">
        <v>554</v>
      </c>
      <c r="B1369" s="126"/>
      <c r="C1369" s="126" t="s">
        <v>555</v>
      </c>
      <c r="D1369" s="126" t="s">
        <v>189</v>
      </c>
      <c r="E1369" s="126" t="s">
        <v>190</v>
      </c>
      <c r="F1369" s="126" t="s">
        <v>556</v>
      </c>
      <c r="G1369" s="126" t="s">
        <v>557</v>
      </c>
      <c r="H1369" s="126" t="s">
        <v>195</v>
      </c>
      <c r="I1369" s="127" t="str">
        <f>HYPERLINK("#"&amp;J1369, "이전으로")</f>
        <v>이전으로</v>
      </c>
      <c r="J1369" s="124" t="s">
        <v>1243</v>
      </c>
    </row>
    <row r="1370" spans="1:10" ht="18.399999999999999" customHeight="1">
      <c r="A1370" s="124" t="s">
        <v>193</v>
      </c>
      <c r="B1370" s="124" t="s">
        <v>453</v>
      </c>
      <c r="C1370" s="124" t="s">
        <v>978</v>
      </c>
      <c r="D1370" s="124">
        <v>0.28670000000000001</v>
      </c>
      <c r="E1370" s="128" t="s">
        <v>398</v>
      </c>
      <c r="F1370" s="128">
        <f>중기기초자료!$G$116</f>
        <v>55000</v>
      </c>
      <c r="G1370" s="129">
        <f>TRUNC(F1370*D1370, 1)</f>
        <v>15768.5</v>
      </c>
      <c r="H1370" s="124" t="s">
        <v>17</v>
      </c>
    </row>
    <row r="1371" spans="1:10" ht="18.399999999999999" customHeight="1">
      <c r="B1371" s="124" t="s">
        <v>558</v>
      </c>
      <c r="G1371" s="128">
        <f>TRUNC(G1370, 0)</f>
        <v>15768</v>
      </c>
    </row>
    <row r="1372" spans="1:10" ht="18.399999999999999" customHeight="1">
      <c r="A1372" s="124" t="s">
        <v>191</v>
      </c>
    </row>
    <row r="1373" spans="1:10" ht="18.399999999999999" customHeight="1">
      <c r="B1373" s="124" t="s">
        <v>558</v>
      </c>
    </row>
    <row r="1374" spans="1:10" ht="18.399999999999999" customHeight="1">
      <c r="A1374" s="124" t="s">
        <v>192</v>
      </c>
    </row>
    <row r="1375" spans="1:10" ht="18.399999999999999" customHeight="1">
      <c r="B1375" s="124" t="s">
        <v>558</v>
      </c>
    </row>
    <row r="1376" spans="1:10" ht="18.399999999999999" customHeight="1" thickBot="1">
      <c r="B1376" s="124" t="s">
        <v>559</v>
      </c>
      <c r="G1376" s="128">
        <f>TRUNC(G1371+G1373+G1375, 0)</f>
        <v>15768</v>
      </c>
    </row>
    <row r="1377" spans="1:10" ht="18.399999999999999" customHeight="1" thickTop="1" thickBot="1">
      <c r="A1377" s="125"/>
      <c r="B1377" s="125"/>
      <c r="C1377" s="125"/>
      <c r="D1377" s="125"/>
      <c r="E1377" s="125"/>
      <c r="F1377" s="125"/>
      <c r="G1377" s="125"/>
      <c r="H1377" s="125"/>
    </row>
    <row r="1378" spans="1:10" ht="18.399999999999999" customHeight="1" thickTop="1" thickBot="1">
      <c r="A1378" s="125" t="s">
        <v>550</v>
      </c>
      <c r="B1378" s="125" t="s">
        <v>745</v>
      </c>
      <c r="C1378" s="125"/>
      <c r="D1378" s="125"/>
      <c r="E1378" s="125"/>
      <c r="F1378" s="125"/>
      <c r="G1378" s="125"/>
      <c r="H1378" s="125"/>
    </row>
    <row r="1379" spans="1:10" ht="18.399999999999999" customHeight="1" thickTop="1">
      <c r="A1379" s="125" t="s">
        <v>552</v>
      </c>
      <c r="B1379" s="125" t="s">
        <v>743</v>
      </c>
      <c r="C1379" s="125"/>
      <c r="D1379" s="125"/>
      <c r="E1379" s="125"/>
      <c r="F1379" s="125"/>
      <c r="G1379" s="125"/>
      <c r="H1379" s="125"/>
    </row>
    <row r="1380" spans="1:10" ht="18.399999999999999" customHeight="1">
      <c r="A1380" s="126" t="s">
        <v>554</v>
      </c>
      <c r="B1380" s="126"/>
      <c r="C1380" s="126" t="s">
        <v>555</v>
      </c>
      <c r="D1380" s="126" t="s">
        <v>189</v>
      </c>
      <c r="E1380" s="126" t="s">
        <v>190</v>
      </c>
      <c r="F1380" s="126" t="s">
        <v>556</v>
      </c>
      <c r="G1380" s="126" t="s">
        <v>557</v>
      </c>
      <c r="H1380" s="126" t="s">
        <v>195</v>
      </c>
      <c r="I1380" s="127" t="str">
        <f>HYPERLINK("#"&amp;J1380, "이전으로")</f>
        <v>이전으로</v>
      </c>
      <c r="J1380" s="124" t="s">
        <v>1244</v>
      </c>
    </row>
    <row r="1381" spans="1:10" ht="18.399999999999999" customHeight="1">
      <c r="A1381" s="124" t="s">
        <v>193</v>
      </c>
      <c r="B1381" s="124" t="s">
        <v>453</v>
      </c>
      <c r="C1381" s="124" t="s">
        <v>440</v>
      </c>
      <c r="D1381" s="124">
        <v>0.28670000000000001</v>
      </c>
      <c r="E1381" s="128" t="s">
        <v>398</v>
      </c>
      <c r="F1381" s="128">
        <f>중기기초자료!$G$115</f>
        <v>55000</v>
      </c>
      <c r="G1381" s="129">
        <f>TRUNC(F1381*D1381, 1)</f>
        <v>15768.5</v>
      </c>
      <c r="H1381" s="124" t="s">
        <v>17</v>
      </c>
    </row>
    <row r="1382" spans="1:10" ht="18.399999999999999" customHeight="1">
      <c r="B1382" s="124" t="s">
        <v>558</v>
      </c>
      <c r="G1382" s="128">
        <f>TRUNC(G1381, 0)</f>
        <v>15768</v>
      </c>
    </row>
    <row r="1383" spans="1:10" ht="18.399999999999999" customHeight="1">
      <c r="A1383" s="124" t="s">
        <v>191</v>
      </c>
    </row>
    <row r="1384" spans="1:10" ht="18.399999999999999" customHeight="1">
      <c r="B1384" s="124" t="s">
        <v>558</v>
      </c>
    </row>
    <row r="1385" spans="1:10" ht="18.399999999999999" customHeight="1">
      <c r="A1385" s="124" t="s">
        <v>192</v>
      </c>
    </row>
    <row r="1386" spans="1:10" ht="18.399999999999999" customHeight="1">
      <c r="B1386" s="124" t="s">
        <v>558</v>
      </c>
    </row>
    <row r="1387" spans="1:10" ht="18.399999999999999" customHeight="1" thickBot="1">
      <c r="B1387" s="124" t="s">
        <v>559</v>
      </c>
      <c r="G1387" s="128">
        <f>TRUNC(G1382+G1384+G1386, 0)</f>
        <v>15768</v>
      </c>
    </row>
    <row r="1388" spans="1:10" ht="18.399999999999999" customHeight="1" thickTop="1" thickBot="1">
      <c r="A1388" s="125"/>
      <c r="B1388" s="125"/>
      <c r="C1388" s="125"/>
      <c r="D1388" s="125"/>
      <c r="E1388" s="125"/>
      <c r="F1388" s="125"/>
      <c r="G1388" s="125"/>
      <c r="H1388" s="125"/>
    </row>
    <row r="1389" spans="1:10" ht="18.399999999999999" customHeight="1" thickTop="1" thickBot="1">
      <c r="A1389" s="125" t="s">
        <v>550</v>
      </c>
      <c r="B1389" s="125" t="s">
        <v>746</v>
      </c>
      <c r="C1389" s="125"/>
      <c r="D1389" s="125"/>
      <c r="E1389" s="125"/>
      <c r="F1389" s="125"/>
      <c r="G1389" s="125"/>
      <c r="H1389" s="125"/>
    </row>
    <row r="1390" spans="1:10" ht="18.399999999999999" customHeight="1" thickTop="1">
      <c r="A1390" s="125" t="s">
        <v>552</v>
      </c>
      <c r="B1390" s="125" t="s">
        <v>743</v>
      </c>
      <c r="C1390" s="125"/>
      <c r="D1390" s="125"/>
      <c r="E1390" s="125"/>
      <c r="F1390" s="125"/>
      <c r="G1390" s="125"/>
      <c r="H1390" s="125"/>
    </row>
    <row r="1391" spans="1:10" ht="18.399999999999999" customHeight="1">
      <c r="A1391" s="126" t="s">
        <v>554</v>
      </c>
      <c r="B1391" s="126"/>
      <c r="C1391" s="126" t="s">
        <v>555</v>
      </c>
      <c r="D1391" s="126" t="s">
        <v>189</v>
      </c>
      <c r="E1391" s="126" t="s">
        <v>190</v>
      </c>
      <c r="F1391" s="126" t="s">
        <v>556</v>
      </c>
      <c r="G1391" s="126" t="s">
        <v>557</v>
      </c>
      <c r="H1391" s="126" t="s">
        <v>195</v>
      </c>
      <c r="I1391" s="127" t="str">
        <f>HYPERLINK("#"&amp;J1391, "이전으로")</f>
        <v>이전으로</v>
      </c>
      <c r="J1391" s="124" t="s">
        <v>1245</v>
      </c>
    </row>
    <row r="1392" spans="1:10" ht="18.399999999999999" customHeight="1">
      <c r="A1392" s="124" t="s">
        <v>193</v>
      </c>
      <c r="B1392" s="124" t="s">
        <v>453</v>
      </c>
      <c r="C1392" s="124" t="s">
        <v>440</v>
      </c>
      <c r="D1392" s="124">
        <v>0.2772</v>
      </c>
      <c r="E1392" s="128" t="s">
        <v>398</v>
      </c>
      <c r="F1392" s="128">
        <f>중기기초자료!$G$115</f>
        <v>55000</v>
      </c>
      <c r="G1392" s="129">
        <f>TRUNC(F1392*D1392, 1)</f>
        <v>15246</v>
      </c>
      <c r="H1392" s="124" t="s">
        <v>17</v>
      </c>
    </row>
    <row r="1393" spans="1:10" ht="18.399999999999999" customHeight="1">
      <c r="B1393" s="124" t="s">
        <v>558</v>
      </c>
      <c r="G1393" s="128">
        <f>TRUNC(G1392, 0)</f>
        <v>15246</v>
      </c>
    </row>
    <row r="1394" spans="1:10" ht="18.399999999999999" customHeight="1">
      <c r="A1394" s="124" t="s">
        <v>191</v>
      </c>
    </row>
    <row r="1395" spans="1:10" ht="18.399999999999999" customHeight="1">
      <c r="B1395" s="124" t="s">
        <v>558</v>
      </c>
    </row>
    <row r="1396" spans="1:10" ht="18.399999999999999" customHeight="1">
      <c r="A1396" s="124" t="s">
        <v>192</v>
      </c>
    </row>
    <row r="1397" spans="1:10" ht="18.399999999999999" customHeight="1">
      <c r="B1397" s="124" t="s">
        <v>558</v>
      </c>
    </row>
    <row r="1398" spans="1:10" ht="18.399999999999999" customHeight="1" thickBot="1">
      <c r="B1398" s="124" t="s">
        <v>559</v>
      </c>
      <c r="G1398" s="128">
        <f>TRUNC(G1393+G1395+G1397, 0)</f>
        <v>15246</v>
      </c>
    </row>
    <row r="1399" spans="1:10" ht="18.399999999999999" customHeight="1" thickTop="1" thickBot="1">
      <c r="A1399" s="125"/>
      <c r="B1399" s="125"/>
      <c r="C1399" s="125"/>
      <c r="D1399" s="125"/>
      <c r="E1399" s="125"/>
      <c r="F1399" s="125"/>
      <c r="G1399" s="125"/>
      <c r="H1399" s="125"/>
    </row>
    <row r="1400" spans="1:10" ht="18.399999999999999" customHeight="1" thickTop="1" thickBot="1">
      <c r="A1400" s="125" t="s">
        <v>550</v>
      </c>
      <c r="B1400" s="125" t="s">
        <v>747</v>
      </c>
      <c r="C1400" s="125"/>
      <c r="D1400" s="125"/>
      <c r="E1400" s="125"/>
      <c r="F1400" s="125"/>
      <c r="G1400" s="125"/>
      <c r="H1400" s="125"/>
    </row>
    <row r="1401" spans="1:10" ht="18.399999999999999" customHeight="1" thickTop="1">
      <c r="A1401" s="125" t="s">
        <v>552</v>
      </c>
      <c r="B1401" s="125" t="s">
        <v>748</v>
      </c>
      <c r="C1401" s="125"/>
      <c r="D1401" s="125"/>
      <c r="E1401" s="125"/>
      <c r="F1401" s="125"/>
      <c r="G1401" s="125"/>
      <c r="H1401" s="125"/>
    </row>
    <row r="1402" spans="1:10" ht="18.399999999999999" customHeight="1">
      <c r="A1402" s="126" t="s">
        <v>554</v>
      </c>
      <c r="B1402" s="126"/>
      <c r="C1402" s="126" t="s">
        <v>555</v>
      </c>
      <c r="D1402" s="126" t="s">
        <v>189</v>
      </c>
      <c r="E1402" s="126" t="s">
        <v>190</v>
      </c>
      <c r="F1402" s="126" t="s">
        <v>556</v>
      </c>
      <c r="G1402" s="126" t="s">
        <v>557</v>
      </c>
      <c r="H1402" s="126" t="s">
        <v>195</v>
      </c>
      <c r="I1402" s="127" t="str">
        <f>HYPERLINK("#"&amp;J1402, "이전으로")</f>
        <v>이전으로</v>
      </c>
      <c r="J1402" s="124" t="s">
        <v>1246</v>
      </c>
    </row>
    <row r="1403" spans="1:10" ht="18.399999999999999" customHeight="1">
      <c r="A1403" s="124" t="s">
        <v>193</v>
      </c>
      <c r="B1403" s="124" t="s">
        <v>453</v>
      </c>
      <c r="C1403" s="124" t="s">
        <v>443</v>
      </c>
      <c r="D1403" s="124">
        <v>1.1307</v>
      </c>
      <c r="E1403" s="128" t="s">
        <v>398</v>
      </c>
      <c r="F1403" s="128">
        <f>중기기초자료!$G$117</f>
        <v>100000</v>
      </c>
      <c r="G1403" s="129">
        <f>TRUNC(F1403*D1403, 1)</f>
        <v>113070</v>
      </c>
      <c r="H1403" s="124" t="s">
        <v>17</v>
      </c>
    </row>
    <row r="1404" spans="1:10" ht="18.399999999999999" customHeight="1">
      <c r="B1404" s="124" t="s">
        <v>558</v>
      </c>
      <c r="G1404" s="128">
        <f>TRUNC(G1403, 0)</f>
        <v>113070</v>
      </c>
    </row>
    <row r="1405" spans="1:10" ht="18.399999999999999" customHeight="1">
      <c r="A1405" s="124" t="s">
        <v>191</v>
      </c>
    </row>
    <row r="1406" spans="1:10" ht="18.399999999999999" customHeight="1">
      <c r="B1406" s="124" t="s">
        <v>558</v>
      </c>
    </row>
    <row r="1407" spans="1:10" ht="18.399999999999999" customHeight="1">
      <c r="A1407" s="124" t="s">
        <v>192</v>
      </c>
    </row>
    <row r="1408" spans="1:10" ht="18.399999999999999" customHeight="1">
      <c r="B1408" s="124" t="s">
        <v>558</v>
      </c>
    </row>
    <row r="1409" spans="1:10" ht="18.399999999999999" customHeight="1" thickBot="1">
      <c r="B1409" s="124" t="s">
        <v>559</v>
      </c>
      <c r="G1409" s="128">
        <f>TRUNC(G1404+G1406+G1408, 0)</f>
        <v>113070</v>
      </c>
    </row>
    <row r="1410" spans="1:10" ht="18.399999999999999" customHeight="1" thickTop="1" thickBot="1">
      <c r="A1410" s="125"/>
      <c r="B1410" s="125"/>
      <c r="C1410" s="125"/>
      <c r="D1410" s="125"/>
      <c r="E1410" s="125"/>
      <c r="F1410" s="125"/>
      <c r="G1410" s="125"/>
      <c r="H1410" s="125"/>
    </row>
    <row r="1411" spans="1:10" ht="18.399999999999999" customHeight="1" thickTop="1" thickBot="1">
      <c r="A1411" s="125" t="s">
        <v>550</v>
      </c>
      <c r="B1411" s="125" t="s">
        <v>749</v>
      </c>
      <c r="C1411" s="125"/>
      <c r="D1411" s="125"/>
      <c r="E1411" s="125"/>
      <c r="F1411" s="125"/>
      <c r="G1411" s="125"/>
      <c r="H1411" s="125"/>
    </row>
    <row r="1412" spans="1:10" ht="18.399999999999999" customHeight="1" thickTop="1">
      <c r="A1412" s="125" t="s">
        <v>552</v>
      </c>
      <c r="B1412" s="125" t="s">
        <v>748</v>
      </c>
      <c r="C1412" s="125"/>
      <c r="D1412" s="125"/>
      <c r="E1412" s="125"/>
      <c r="F1412" s="125"/>
      <c r="G1412" s="125"/>
      <c r="H1412" s="125"/>
    </row>
    <row r="1413" spans="1:10" ht="18.399999999999999" customHeight="1">
      <c r="A1413" s="126" t="s">
        <v>554</v>
      </c>
      <c r="B1413" s="126"/>
      <c r="C1413" s="126" t="s">
        <v>555</v>
      </c>
      <c r="D1413" s="126" t="s">
        <v>189</v>
      </c>
      <c r="E1413" s="126" t="s">
        <v>190</v>
      </c>
      <c r="F1413" s="126" t="s">
        <v>556</v>
      </c>
      <c r="G1413" s="126" t="s">
        <v>557</v>
      </c>
      <c r="H1413" s="126" t="s">
        <v>195</v>
      </c>
      <c r="I1413" s="127" t="str">
        <f>HYPERLINK("#"&amp;J1413, "이전으로")</f>
        <v>이전으로</v>
      </c>
      <c r="J1413" s="124" t="s">
        <v>1247</v>
      </c>
    </row>
    <row r="1414" spans="1:10" ht="18.399999999999999" customHeight="1">
      <c r="A1414" s="124" t="s">
        <v>193</v>
      </c>
      <c r="B1414" s="124" t="s">
        <v>453</v>
      </c>
      <c r="C1414" s="124" t="s">
        <v>443</v>
      </c>
      <c r="D1414" s="124">
        <v>1.1043000000000001</v>
      </c>
      <c r="E1414" s="128" t="s">
        <v>398</v>
      </c>
      <c r="F1414" s="128">
        <f>중기기초자료!$G$117</f>
        <v>100000</v>
      </c>
      <c r="G1414" s="129">
        <f>TRUNC(F1414*D1414, 1)</f>
        <v>110430</v>
      </c>
      <c r="H1414" s="124" t="s">
        <v>17</v>
      </c>
    </row>
    <row r="1415" spans="1:10" ht="18.399999999999999" customHeight="1">
      <c r="B1415" s="124" t="s">
        <v>558</v>
      </c>
      <c r="G1415" s="128">
        <f>TRUNC(G1414, 0)</f>
        <v>110430</v>
      </c>
    </row>
    <row r="1416" spans="1:10" ht="18.399999999999999" customHeight="1">
      <c r="A1416" s="124" t="s">
        <v>191</v>
      </c>
    </row>
    <row r="1417" spans="1:10" ht="18.399999999999999" customHeight="1">
      <c r="B1417" s="124" t="s">
        <v>558</v>
      </c>
    </row>
    <row r="1418" spans="1:10" ht="18.399999999999999" customHeight="1">
      <c r="A1418" s="124" t="s">
        <v>192</v>
      </c>
    </row>
    <row r="1419" spans="1:10" ht="18.399999999999999" customHeight="1">
      <c r="B1419" s="124" t="s">
        <v>558</v>
      </c>
    </row>
    <row r="1420" spans="1:10" ht="18.399999999999999" customHeight="1" thickBot="1">
      <c r="B1420" s="124" t="s">
        <v>559</v>
      </c>
      <c r="G1420" s="128">
        <f>TRUNC(G1415+G1417+G1419, 0)</f>
        <v>110430</v>
      </c>
    </row>
    <row r="1421" spans="1:10" ht="18.399999999999999" customHeight="1" thickTop="1" thickBot="1">
      <c r="A1421" s="125"/>
      <c r="B1421" s="125"/>
      <c r="C1421" s="125"/>
      <c r="D1421" s="125"/>
      <c r="E1421" s="125"/>
      <c r="F1421" s="125"/>
      <c r="G1421" s="125"/>
      <c r="H1421" s="125"/>
    </row>
    <row r="1422" spans="1:10" ht="18.399999999999999" customHeight="1" thickTop="1" thickBot="1">
      <c r="A1422" s="125" t="s">
        <v>550</v>
      </c>
      <c r="B1422" s="125" t="s">
        <v>750</v>
      </c>
      <c r="C1422" s="125"/>
      <c r="D1422" s="125"/>
      <c r="E1422" s="125"/>
      <c r="F1422" s="125"/>
      <c r="G1422" s="125"/>
      <c r="H1422" s="125"/>
    </row>
    <row r="1423" spans="1:10" ht="18.399999999999999" customHeight="1" thickTop="1">
      <c r="A1423" s="125" t="s">
        <v>552</v>
      </c>
      <c r="B1423" s="125" t="s">
        <v>748</v>
      </c>
      <c r="C1423" s="125"/>
      <c r="D1423" s="125"/>
      <c r="E1423" s="125"/>
      <c r="F1423" s="125"/>
      <c r="G1423" s="125"/>
      <c r="H1423" s="125"/>
    </row>
    <row r="1424" spans="1:10" ht="18.399999999999999" customHeight="1">
      <c r="A1424" s="126" t="s">
        <v>554</v>
      </c>
      <c r="B1424" s="126"/>
      <c r="C1424" s="126" t="s">
        <v>555</v>
      </c>
      <c r="D1424" s="126" t="s">
        <v>189</v>
      </c>
      <c r="E1424" s="126" t="s">
        <v>190</v>
      </c>
      <c r="F1424" s="126" t="s">
        <v>556</v>
      </c>
      <c r="G1424" s="126" t="s">
        <v>557</v>
      </c>
      <c r="H1424" s="126" t="s">
        <v>195</v>
      </c>
      <c r="I1424" s="127" t="str">
        <f>HYPERLINK("#"&amp;J1424, "이전으로")</f>
        <v>이전으로</v>
      </c>
      <c r="J1424" s="124" t="s">
        <v>1248</v>
      </c>
    </row>
    <row r="1425" spans="1:10" ht="18.399999999999999" customHeight="1">
      <c r="A1425" s="124" t="s">
        <v>193</v>
      </c>
      <c r="B1425" s="124" t="s">
        <v>453</v>
      </c>
      <c r="C1425" s="124" t="s">
        <v>443</v>
      </c>
      <c r="D1425" s="124">
        <v>1.0589</v>
      </c>
      <c r="E1425" s="128" t="s">
        <v>398</v>
      </c>
      <c r="F1425" s="128">
        <f>중기기초자료!$G$117</f>
        <v>100000</v>
      </c>
      <c r="G1425" s="129">
        <f>TRUNC(F1425*D1425, 1)</f>
        <v>105890</v>
      </c>
      <c r="H1425" s="124" t="s">
        <v>17</v>
      </c>
    </row>
    <row r="1426" spans="1:10" ht="18.399999999999999" customHeight="1">
      <c r="B1426" s="124" t="s">
        <v>558</v>
      </c>
      <c r="G1426" s="128">
        <f>TRUNC(G1425, 0)</f>
        <v>105890</v>
      </c>
    </row>
    <row r="1427" spans="1:10" ht="18.399999999999999" customHeight="1">
      <c r="A1427" s="124" t="s">
        <v>191</v>
      </c>
    </row>
    <row r="1428" spans="1:10" ht="18.399999999999999" customHeight="1">
      <c r="B1428" s="124" t="s">
        <v>558</v>
      </c>
    </row>
    <row r="1429" spans="1:10" ht="18.399999999999999" customHeight="1">
      <c r="A1429" s="124" t="s">
        <v>192</v>
      </c>
    </row>
    <row r="1430" spans="1:10" ht="18.399999999999999" customHeight="1">
      <c r="B1430" s="124" t="s">
        <v>558</v>
      </c>
    </row>
    <row r="1431" spans="1:10" ht="18.399999999999999" customHeight="1" thickBot="1">
      <c r="B1431" s="124" t="s">
        <v>559</v>
      </c>
      <c r="G1431" s="128">
        <f>TRUNC(G1426+G1428+G1430, 0)</f>
        <v>105890</v>
      </c>
    </row>
    <row r="1432" spans="1:10" ht="18.399999999999999" customHeight="1" thickTop="1" thickBot="1">
      <c r="A1432" s="125"/>
      <c r="B1432" s="125"/>
      <c r="C1432" s="125"/>
      <c r="D1432" s="125"/>
      <c r="E1432" s="125"/>
      <c r="F1432" s="125"/>
      <c r="G1432" s="125"/>
      <c r="H1432" s="125"/>
    </row>
    <row r="1433" spans="1:10" ht="18.399999999999999" customHeight="1" thickTop="1" thickBot="1">
      <c r="A1433" s="125" t="s">
        <v>550</v>
      </c>
      <c r="B1433" s="125" t="s">
        <v>751</v>
      </c>
      <c r="C1433" s="125"/>
      <c r="D1433" s="125"/>
      <c r="E1433" s="125"/>
      <c r="F1433" s="125"/>
      <c r="G1433" s="125"/>
      <c r="H1433" s="125"/>
    </row>
    <row r="1434" spans="1:10" ht="18.399999999999999" customHeight="1" thickTop="1">
      <c r="A1434" s="125" t="s">
        <v>552</v>
      </c>
      <c r="B1434" s="125" t="s">
        <v>752</v>
      </c>
      <c r="C1434" s="125"/>
      <c r="D1434" s="125"/>
      <c r="E1434" s="125"/>
      <c r="F1434" s="125"/>
      <c r="G1434" s="125"/>
      <c r="H1434" s="125"/>
    </row>
    <row r="1435" spans="1:10" ht="18.399999999999999" customHeight="1">
      <c r="A1435" s="126" t="s">
        <v>554</v>
      </c>
      <c r="B1435" s="126"/>
      <c r="C1435" s="126" t="s">
        <v>555</v>
      </c>
      <c r="D1435" s="126" t="s">
        <v>189</v>
      </c>
      <c r="E1435" s="126" t="s">
        <v>190</v>
      </c>
      <c r="F1435" s="126" t="s">
        <v>556</v>
      </c>
      <c r="G1435" s="126" t="s">
        <v>557</v>
      </c>
      <c r="H1435" s="126" t="s">
        <v>195</v>
      </c>
      <c r="I1435" s="127" t="str">
        <f>HYPERLINK("#"&amp;J1435, "이전으로")</f>
        <v>이전으로</v>
      </c>
      <c r="J1435" s="124" t="s">
        <v>1249</v>
      </c>
    </row>
    <row r="1436" spans="1:10" ht="18.399999999999999" customHeight="1">
      <c r="A1436" s="124" t="s">
        <v>193</v>
      </c>
      <c r="B1436" s="124" t="s">
        <v>453</v>
      </c>
      <c r="C1436" s="124" t="s">
        <v>446</v>
      </c>
      <c r="D1436" s="124">
        <v>1.2198</v>
      </c>
      <c r="E1436" s="128" t="s">
        <v>398</v>
      </c>
      <c r="F1436" s="128">
        <f>중기기초자료!$G$118</f>
        <v>130000</v>
      </c>
      <c r="G1436" s="129">
        <f>TRUNC(F1436*D1436, 1)</f>
        <v>158574</v>
      </c>
      <c r="H1436" s="124" t="s">
        <v>17</v>
      </c>
    </row>
    <row r="1437" spans="1:10" ht="18.399999999999999" customHeight="1">
      <c r="B1437" s="124" t="s">
        <v>558</v>
      </c>
      <c r="G1437" s="128">
        <f>TRUNC(G1436, 0)</f>
        <v>158574</v>
      </c>
    </row>
    <row r="1438" spans="1:10" ht="18.399999999999999" customHeight="1">
      <c r="A1438" s="124" t="s">
        <v>191</v>
      </c>
    </row>
    <row r="1439" spans="1:10" ht="18.399999999999999" customHeight="1">
      <c r="B1439" s="124" t="s">
        <v>558</v>
      </c>
    </row>
    <row r="1440" spans="1:10" ht="18.399999999999999" customHeight="1">
      <c r="A1440" s="124" t="s">
        <v>192</v>
      </c>
    </row>
    <row r="1441" spans="1:10" ht="18.399999999999999" customHeight="1">
      <c r="B1441" s="124" t="s">
        <v>558</v>
      </c>
    </row>
    <row r="1442" spans="1:10" ht="18.399999999999999" customHeight="1" thickBot="1">
      <c r="B1442" s="124" t="s">
        <v>559</v>
      </c>
      <c r="G1442" s="128">
        <f>TRUNC(G1437+G1439+G1441, 0)</f>
        <v>158574</v>
      </c>
    </row>
    <row r="1443" spans="1:10" ht="18.399999999999999" customHeight="1" thickTop="1" thickBot="1">
      <c r="A1443" s="125"/>
      <c r="B1443" s="125"/>
      <c r="C1443" s="125"/>
      <c r="D1443" s="125"/>
      <c r="E1443" s="125"/>
      <c r="F1443" s="125"/>
      <c r="G1443" s="125"/>
      <c r="H1443" s="125"/>
    </row>
    <row r="1444" spans="1:10" ht="18.399999999999999" customHeight="1" thickTop="1" thickBot="1">
      <c r="A1444" s="125" t="s">
        <v>550</v>
      </c>
      <c r="B1444" s="125" t="s">
        <v>753</v>
      </c>
      <c r="C1444" s="125"/>
      <c r="D1444" s="125"/>
      <c r="E1444" s="125"/>
      <c r="F1444" s="125"/>
      <c r="G1444" s="125"/>
      <c r="H1444" s="125"/>
    </row>
    <row r="1445" spans="1:10" ht="18.399999999999999" customHeight="1" thickTop="1">
      <c r="A1445" s="125" t="s">
        <v>552</v>
      </c>
      <c r="B1445" s="125" t="s">
        <v>752</v>
      </c>
      <c r="C1445" s="125"/>
      <c r="D1445" s="125"/>
      <c r="E1445" s="125"/>
      <c r="F1445" s="125"/>
      <c r="G1445" s="125"/>
      <c r="H1445" s="125"/>
    </row>
    <row r="1446" spans="1:10" ht="18.399999999999999" customHeight="1">
      <c r="A1446" s="126" t="s">
        <v>554</v>
      </c>
      <c r="B1446" s="126"/>
      <c r="C1446" s="126" t="s">
        <v>555</v>
      </c>
      <c r="D1446" s="126" t="s">
        <v>189</v>
      </c>
      <c r="E1446" s="126" t="s">
        <v>190</v>
      </c>
      <c r="F1446" s="126" t="s">
        <v>556</v>
      </c>
      <c r="G1446" s="126" t="s">
        <v>557</v>
      </c>
      <c r="H1446" s="126" t="s">
        <v>195</v>
      </c>
      <c r="I1446" s="127" t="str">
        <f>HYPERLINK("#"&amp;J1446, "이전으로")</f>
        <v>이전으로</v>
      </c>
      <c r="J1446" s="124" t="s">
        <v>1250</v>
      </c>
    </row>
    <row r="1447" spans="1:10" ht="18.399999999999999" customHeight="1">
      <c r="A1447" s="124" t="s">
        <v>193</v>
      </c>
      <c r="B1447" s="124" t="s">
        <v>453</v>
      </c>
      <c r="C1447" s="124" t="s">
        <v>446</v>
      </c>
      <c r="D1447" s="124">
        <v>1.1972</v>
      </c>
      <c r="E1447" s="128" t="s">
        <v>398</v>
      </c>
      <c r="F1447" s="128">
        <f>중기기초자료!$G$118</f>
        <v>130000</v>
      </c>
      <c r="G1447" s="129">
        <f>TRUNC(F1447*D1447, 1)</f>
        <v>155636</v>
      </c>
      <c r="H1447" s="124" t="s">
        <v>17</v>
      </c>
    </row>
    <row r="1448" spans="1:10" ht="18.399999999999999" customHeight="1">
      <c r="B1448" s="124" t="s">
        <v>558</v>
      </c>
      <c r="G1448" s="128">
        <f>TRUNC(G1447, 0)</f>
        <v>155636</v>
      </c>
    </row>
    <row r="1449" spans="1:10" ht="18.399999999999999" customHeight="1">
      <c r="A1449" s="124" t="s">
        <v>191</v>
      </c>
    </row>
    <row r="1450" spans="1:10" ht="18.399999999999999" customHeight="1">
      <c r="B1450" s="124" t="s">
        <v>558</v>
      </c>
    </row>
    <row r="1451" spans="1:10" ht="18.399999999999999" customHeight="1">
      <c r="A1451" s="124" t="s">
        <v>192</v>
      </c>
    </row>
    <row r="1452" spans="1:10" ht="18.399999999999999" customHeight="1">
      <c r="B1452" s="124" t="s">
        <v>558</v>
      </c>
    </row>
    <row r="1453" spans="1:10" ht="18.399999999999999" customHeight="1" thickBot="1">
      <c r="B1453" s="124" t="s">
        <v>559</v>
      </c>
      <c r="G1453" s="128">
        <f>TRUNC(G1448+G1450+G1452, 0)</f>
        <v>155636</v>
      </c>
    </row>
    <row r="1454" spans="1:10" ht="18.399999999999999" customHeight="1" thickTop="1" thickBot="1">
      <c r="A1454" s="125"/>
      <c r="B1454" s="125"/>
      <c r="C1454" s="125"/>
      <c r="D1454" s="125"/>
      <c r="E1454" s="125"/>
      <c r="F1454" s="125"/>
      <c r="G1454" s="125"/>
      <c r="H1454" s="125"/>
    </row>
    <row r="1455" spans="1:10" ht="18.399999999999999" customHeight="1" thickTop="1" thickBot="1">
      <c r="A1455" s="125" t="s">
        <v>550</v>
      </c>
      <c r="B1455" s="125" t="s">
        <v>754</v>
      </c>
      <c r="C1455" s="125"/>
      <c r="D1455" s="125"/>
      <c r="E1455" s="125"/>
      <c r="F1455" s="125"/>
      <c r="G1455" s="125"/>
      <c r="H1455" s="125"/>
    </row>
    <row r="1456" spans="1:10" ht="18.399999999999999" customHeight="1" thickTop="1">
      <c r="A1456" s="125" t="s">
        <v>552</v>
      </c>
      <c r="B1456" s="125" t="s">
        <v>752</v>
      </c>
      <c r="C1456" s="125"/>
      <c r="D1456" s="125"/>
      <c r="E1456" s="125"/>
      <c r="F1456" s="125"/>
      <c r="G1456" s="125"/>
      <c r="H1456" s="125"/>
    </row>
    <row r="1457" spans="1:10" ht="18.399999999999999" customHeight="1">
      <c r="A1457" s="126" t="s">
        <v>554</v>
      </c>
      <c r="B1457" s="126"/>
      <c r="C1457" s="126" t="s">
        <v>555</v>
      </c>
      <c r="D1457" s="126" t="s">
        <v>189</v>
      </c>
      <c r="E1457" s="126" t="s">
        <v>190</v>
      </c>
      <c r="F1457" s="126" t="s">
        <v>556</v>
      </c>
      <c r="G1457" s="126" t="s">
        <v>557</v>
      </c>
      <c r="H1457" s="126" t="s">
        <v>195</v>
      </c>
      <c r="I1457" s="127" t="str">
        <f>HYPERLINK("#"&amp;J1457, "이전으로")</f>
        <v>이전으로</v>
      </c>
      <c r="J1457" s="124" t="s">
        <v>1251</v>
      </c>
    </row>
    <row r="1458" spans="1:10" ht="18.399999999999999" customHeight="1">
      <c r="A1458" s="124" t="s">
        <v>193</v>
      </c>
      <c r="B1458" s="124" t="s">
        <v>453</v>
      </c>
      <c r="C1458" s="124" t="s">
        <v>446</v>
      </c>
      <c r="D1458" s="124">
        <v>1.1666000000000001</v>
      </c>
      <c r="E1458" s="128" t="s">
        <v>398</v>
      </c>
      <c r="F1458" s="128">
        <f>중기기초자료!$G$118</f>
        <v>130000</v>
      </c>
      <c r="G1458" s="129">
        <f>TRUNC(F1458*D1458, 1)</f>
        <v>151658</v>
      </c>
      <c r="H1458" s="124" t="s">
        <v>17</v>
      </c>
    </row>
    <row r="1459" spans="1:10" ht="18.399999999999999" customHeight="1">
      <c r="B1459" s="124" t="s">
        <v>558</v>
      </c>
      <c r="G1459" s="128">
        <f>TRUNC(G1458, 0)</f>
        <v>151658</v>
      </c>
    </row>
    <row r="1460" spans="1:10" ht="18.399999999999999" customHeight="1">
      <c r="A1460" s="124" t="s">
        <v>191</v>
      </c>
    </row>
    <row r="1461" spans="1:10" ht="18.399999999999999" customHeight="1">
      <c r="B1461" s="124" t="s">
        <v>558</v>
      </c>
    </row>
    <row r="1462" spans="1:10" ht="18.399999999999999" customHeight="1">
      <c r="A1462" s="124" t="s">
        <v>192</v>
      </c>
    </row>
    <row r="1463" spans="1:10" ht="18.399999999999999" customHeight="1">
      <c r="B1463" s="124" t="s">
        <v>558</v>
      </c>
    </row>
    <row r="1464" spans="1:10" ht="18.399999999999999" customHeight="1" thickBot="1">
      <c r="B1464" s="124" t="s">
        <v>559</v>
      </c>
      <c r="G1464" s="128">
        <f>TRUNC(G1459+G1461+G1463, 0)</f>
        <v>151658</v>
      </c>
    </row>
    <row r="1465" spans="1:10" ht="18.399999999999999" customHeight="1" thickTop="1" thickBot="1">
      <c r="A1465" s="125"/>
      <c r="B1465" s="125"/>
      <c r="C1465" s="125"/>
      <c r="D1465" s="125"/>
      <c r="E1465" s="125"/>
      <c r="F1465" s="125"/>
      <c r="G1465" s="125"/>
      <c r="H1465" s="125"/>
    </row>
    <row r="1466" spans="1:10" ht="18.399999999999999" customHeight="1" thickTop="1" thickBot="1">
      <c r="A1466" s="125" t="s">
        <v>550</v>
      </c>
      <c r="B1466" s="125" t="s">
        <v>755</v>
      </c>
      <c r="C1466" s="125"/>
      <c r="D1466" s="125"/>
      <c r="E1466" s="125"/>
      <c r="F1466" s="125"/>
      <c r="G1466" s="125"/>
      <c r="H1466" s="125"/>
    </row>
    <row r="1467" spans="1:10" ht="18.399999999999999" customHeight="1" thickTop="1">
      <c r="A1467" s="125" t="s">
        <v>552</v>
      </c>
      <c r="B1467" s="125" t="s">
        <v>752</v>
      </c>
      <c r="C1467" s="125"/>
      <c r="D1467" s="125"/>
      <c r="E1467" s="125"/>
      <c r="F1467" s="125"/>
      <c r="G1467" s="125"/>
      <c r="H1467" s="125"/>
    </row>
    <row r="1468" spans="1:10" ht="18.399999999999999" customHeight="1">
      <c r="A1468" s="126" t="s">
        <v>554</v>
      </c>
      <c r="B1468" s="126"/>
      <c r="C1468" s="126" t="s">
        <v>555</v>
      </c>
      <c r="D1468" s="126" t="s">
        <v>189</v>
      </c>
      <c r="E1468" s="126" t="s">
        <v>190</v>
      </c>
      <c r="F1468" s="126" t="s">
        <v>556</v>
      </c>
      <c r="G1468" s="126" t="s">
        <v>557</v>
      </c>
      <c r="H1468" s="126" t="s">
        <v>195</v>
      </c>
      <c r="I1468" s="127" t="str">
        <f>HYPERLINK("#"&amp;J1468, "이전으로")</f>
        <v>이전으로</v>
      </c>
      <c r="J1468" s="124" t="s">
        <v>1252</v>
      </c>
    </row>
    <row r="1469" spans="1:10" ht="18.399999999999999" customHeight="1">
      <c r="A1469" s="124" t="s">
        <v>193</v>
      </c>
      <c r="B1469" s="124" t="s">
        <v>453</v>
      </c>
      <c r="C1469" s="124" t="s">
        <v>446</v>
      </c>
      <c r="D1469" s="124">
        <v>1.1435</v>
      </c>
      <c r="E1469" s="128" t="s">
        <v>398</v>
      </c>
      <c r="F1469" s="128">
        <f>중기기초자료!$G$118</f>
        <v>130000</v>
      </c>
      <c r="G1469" s="129">
        <f>TRUNC(F1469*D1469, 1)</f>
        <v>148655</v>
      </c>
      <c r="H1469" s="124" t="s">
        <v>17</v>
      </c>
    </row>
    <row r="1470" spans="1:10" ht="18.399999999999999" customHeight="1">
      <c r="B1470" s="124" t="s">
        <v>558</v>
      </c>
      <c r="G1470" s="128">
        <f>TRUNC(G1469, 0)</f>
        <v>148655</v>
      </c>
    </row>
    <row r="1471" spans="1:10" ht="18.399999999999999" customHeight="1">
      <c r="A1471" s="124" t="s">
        <v>191</v>
      </c>
    </row>
    <row r="1472" spans="1:10" ht="18.399999999999999" customHeight="1">
      <c r="B1472" s="124" t="s">
        <v>558</v>
      </c>
    </row>
    <row r="1473" spans="1:10" ht="18.399999999999999" customHeight="1">
      <c r="A1473" s="124" t="s">
        <v>192</v>
      </c>
    </row>
    <row r="1474" spans="1:10" ht="18.399999999999999" customHeight="1">
      <c r="B1474" s="124" t="s">
        <v>558</v>
      </c>
    </row>
    <row r="1475" spans="1:10" ht="18.399999999999999" customHeight="1" thickBot="1">
      <c r="B1475" s="124" t="s">
        <v>559</v>
      </c>
      <c r="G1475" s="128">
        <f>TRUNC(G1470+G1472+G1474, 0)</f>
        <v>148655</v>
      </c>
    </row>
    <row r="1476" spans="1:10" ht="18.399999999999999" customHeight="1" thickTop="1" thickBot="1">
      <c r="A1476" s="125"/>
      <c r="B1476" s="125"/>
      <c r="C1476" s="125"/>
      <c r="D1476" s="125"/>
      <c r="E1476" s="125"/>
      <c r="F1476" s="125"/>
      <c r="G1476" s="125"/>
      <c r="H1476" s="125"/>
    </row>
    <row r="1477" spans="1:10" ht="18.399999999999999" customHeight="1" thickTop="1" thickBot="1">
      <c r="A1477" s="125" t="s">
        <v>550</v>
      </c>
      <c r="B1477" s="125" t="s">
        <v>756</v>
      </c>
      <c r="C1477" s="125"/>
      <c r="D1477" s="125"/>
      <c r="E1477" s="125"/>
      <c r="F1477" s="125"/>
      <c r="G1477" s="125"/>
      <c r="H1477" s="125"/>
    </row>
    <row r="1478" spans="1:10" ht="18.399999999999999" customHeight="1" thickTop="1">
      <c r="A1478" s="125" t="s">
        <v>552</v>
      </c>
      <c r="B1478" s="125" t="s">
        <v>752</v>
      </c>
      <c r="C1478" s="125"/>
      <c r="D1478" s="125"/>
      <c r="E1478" s="125"/>
      <c r="F1478" s="125"/>
      <c r="G1478" s="125"/>
      <c r="H1478" s="125"/>
    </row>
    <row r="1479" spans="1:10" ht="18.399999999999999" customHeight="1">
      <c r="A1479" s="126" t="s">
        <v>554</v>
      </c>
      <c r="B1479" s="126"/>
      <c r="C1479" s="126" t="s">
        <v>555</v>
      </c>
      <c r="D1479" s="126" t="s">
        <v>189</v>
      </c>
      <c r="E1479" s="126" t="s">
        <v>190</v>
      </c>
      <c r="F1479" s="126" t="s">
        <v>556</v>
      </c>
      <c r="G1479" s="126" t="s">
        <v>557</v>
      </c>
      <c r="H1479" s="126" t="s">
        <v>195</v>
      </c>
      <c r="I1479" s="127" t="str">
        <f>HYPERLINK("#"&amp;J1479, "이전으로")</f>
        <v>이전으로</v>
      </c>
      <c r="J1479" s="124" t="s">
        <v>1253</v>
      </c>
    </row>
    <row r="1480" spans="1:10" ht="18.399999999999999" customHeight="1">
      <c r="A1480" s="124" t="s">
        <v>193</v>
      </c>
      <c r="B1480" s="124" t="s">
        <v>453</v>
      </c>
      <c r="C1480" s="124" t="s">
        <v>446</v>
      </c>
      <c r="D1480" s="124">
        <v>1.1212</v>
      </c>
      <c r="E1480" s="128" t="s">
        <v>398</v>
      </c>
      <c r="F1480" s="128">
        <f>중기기초자료!$G$118</f>
        <v>130000</v>
      </c>
      <c r="G1480" s="129">
        <f>TRUNC(F1480*D1480, 1)</f>
        <v>145756</v>
      </c>
      <c r="H1480" s="124" t="s">
        <v>17</v>
      </c>
    </row>
    <row r="1481" spans="1:10" ht="18.399999999999999" customHeight="1">
      <c r="B1481" s="124" t="s">
        <v>558</v>
      </c>
      <c r="G1481" s="128">
        <f>TRUNC(G1480, 0)</f>
        <v>145756</v>
      </c>
    </row>
    <row r="1482" spans="1:10" ht="18.399999999999999" customHeight="1">
      <c r="A1482" s="124" t="s">
        <v>191</v>
      </c>
    </row>
    <row r="1483" spans="1:10" ht="18.399999999999999" customHeight="1">
      <c r="B1483" s="124" t="s">
        <v>558</v>
      </c>
    </row>
    <row r="1484" spans="1:10" ht="18.399999999999999" customHeight="1">
      <c r="A1484" s="124" t="s">
        <v>192</v>
      </c>
    </row>
    <row r="1485" spans="1:10" ht="18.399999999999999" customHeight="1">
      <c r="B1485" s="124" t="s">
        <v>558</v>
      </c>
    </row>
    <row r="1486" spans="1:10" ht="18.399999999999999" customHeight="1" thickBot="1">
      <c r="B1486" s="124" t="s">
        <v>559</v>
      </c>
      <c r="G1486" s="128">
        <f>TRUNC(G1481+G1483+G1485, 0)</f>
        <v>145756</v>
      </c>
    </row>
    <row r="1487" spans="1:10" ht="18.399999999999999" customHeight="1" thickTop="1">
      <c r="A1487" s="125"/>
      <c r="B1487" s="125"/>
      <c r="C1487" s="125"/>
      <c r="D1487" s="125"/>
      <c r="E1487" s="125"/>
      <c r="F1487" s="125"/>
      <c r="G1487" s="125"/>
      <c r="H1487" s="125"/>
    </row>
  </sheetData>
  <autoFilter ref="A5:H1486" xr:uid="{00000000-0009-0000-0000-000005000000}"/>
  <phoneticPr fontId="1" type="noConversion"/>
  <pageMargins left="0.31496062992125984" right="0.31496062992125984" top="1" bottom="0.59055118110236215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H118"/>
  <sheetViews>
    <sheetView topLeftCell="A85" zoomScale="130" zoomScaleNormal="130" workbookViewId="0">
      <selection activeCell="A103" sqref="A103:XFD103"/>
    </sheetView>
  </sheetViews>
  <sheetFormatPr defaultRowHeight="18.399999999999999" customHeight="1"/>
  <cols>
    <col min="1" max="1" width="18.75" style="108" customWidth="1"/>
    <col min="2" max="2" width="15" style="108" customWidth="1"/>
    <col min="3" max="3" width="3.75" style="108" customWidth="1"/>
    <col min="4" max="7" width="9.75" style="108" customWidth="1"/>
    <col min="8" max="8" width="28.5" style="108" customWidth="1"/>
    <col min="9" max="16384" width="9" style="108"/>
  </cols>
  <sheetData>
    <row r="1" spans="1:8" ht="18.399999999999999" customHeight="1" thickBot="1">
      <c r="A1" s="108" t="s">
        <v>394</v>
      </c>
    </row>
    <row r="2" spans="1:8" ht="18.399999999999999" customHeight="1" thickBot="1">
      <c r="A2" s="120" t="s">
        <v>395</v>
      </c>
      <c r="B2" s="113" t="s">
        <v>188</v>
      </c>
      <c r="C2" s="113" t="s">
        <v>190</v>
      </c>
      <c r="D2" s="113" t="s">
        <v>194</v>
      </c>
      <c r="E2" s="113" t="s">
        <v>192</v>
      </c>
      <c r="F2" s="113" t="s">
        <v>191</v>
      </c>
      <c r="G2" s="113" t="s">
        <v>193</v>
      </c>
      <c r="H2" s="114" t="s">
        <v>195</v>
      </c>
    </row>
    <row r="3" spans="1:8" ht="18.399999999999999" customHeight="1">
      <c r="A3" s="106" t="s">
        <v>196</v>
      </c>
      <c r="B3" s="107" t="s">
        <v>757</v>
      </c>
      <c r="C3" s="107" t="s">
        <v>758</v>
      </c>
      <c r="D3" s="109">
        <f>E3+F3+G3</f>
        <v>69255</v>
      </c>
      <c r="E3" s="47">
        <v>49698</v>
      </c>
      <c r="F3" s="47">
        <v>8440</v>
      </c>
      <c r="G3" s="47">
        <v>11117</v>
      </c>
      <c r="H3" s="110" t="s">
        <v>759</v>
      </c>
    </row>
    <row r="4" spans="1:8" ht="18.399999999999999" customHeight="1">
      <c r="A4" s="106" t="s">
        <v>196</v>
      </c>
      <c r="B4" s="107" t="s">
        <v>199</v>
      </c>
      <c r="C4" s="107" t="s">
        <v>758</v>
      </c>
      <c r="D4" s="109">
        <f t="shared" ref="D4:D67" si="0">E4+F4+G4</f>
        <v>90538</v>
      </c>
      <c r="E4" s="47">
        <v>49698</v>
      </c>
      <c r="F4" s="47">
        <v>17045</v>
      </c>
      <c r="G4" s="47">
        <v>23795</v>
      </c>
      <c r="H4" s="110" t="s">
        <v>759</v>
      </c>
    </row>
    <row r="5" spans="1:8" ht="18.399999999999999" customHeight="1">
      <c r="A5" s="106" t="s">
        <v>196</v>
      </c>
      <c r="B5" s="107" t="s">
        <v>760</v>
      </c>
      <c r="C5" s="107" t="s">
        <v>758</v>
      </c>
      <c r="D5" s="109">
        <f t="shared" si="0"/>
        <v>99229</v>
      </c>
      <c r="E5" s="47">
        <v>49698</v>
      </c>
      <c r="F5" s="47">
        <v>18204</v>
      </c>
      <c r="G5" s="47">
        <v>31327</v>
      </c>
      <c r="H5" s="110" t="s">
        <v>759</v>
      </c>
    </row>
    <row r="6" spans="1:8" ht="18.399999999999999" customHeight="1">
      <c r="A6" s="106" t="s">
        <v>196</v>
      </c>
      <c r="B6" s="107" t="s">
        <v>761</v>
      </c>
      <c r="C6" s="107" t="s">
        <v>758</v>
      </c>
      <c r="D6" s="109">
        <f t="shared" si="0"/>
        <v>101726</v>
      </c>
      <c r="E6" s="47">
        <v>49698</v>
      </c>
      <c r="F6" s="47">
        <v>18700</v>
      </c>
      <c r="G6" s="47">
        <v>33328</v>
      </c>
      <c r="H6" s="110" t="s">
        <v>759</v>
      </c>
    </row>
    <row r="7" spans="1:8" ht="18.399999999999999" customHeight="1">
      <c r="A7" s="106" t="s">
        <v>386</v>
      </c>
      <c r="B7" s="107" t="s">
        <v>387</v>
      </c>
      <c r="C7" s="107" t="s">
        <v>758</v>
      </c>
      <c r="D7" s="109">
        <f t="shared" si="0"/>
        <v>99933</v>
      </c>
      <c r="E7" s="111">
        <v>58925</v>
      </c>
      <c r="F7" s="109">
        <v>14232</v>
      </c>
      <c r="G7" s="109">
        <v>26776</v>
      </c>
      <c r="H7" s="110" t="s">
        <v>762</v>
      </c>
    </row>
    <row r="8" spans="1:8" ht="18.399999999999999" customHeight="1">
      <c r="A8" s="106" t="s">
        <v>202</v>
      </c>
      <c r="B8" s="107" t="s">
        <v>390</v>
      </c>
      <c r="C8" s="107" t="s">
        <v>758</v>
      </c>
      <c r="D8" s="109">
        <f t="shared" si="0"/>
        <v>55756</v>
      </c>
      <c r="E8" s="47">
        <v>36190</v>
      </c>
      <c r="F8" s="47">
        <v>14877</v>
      </c>
      <c r="G8" s="47">
        <v>4689</v>
      </c>
      <c r="H8" s="110" t="s">
        <v>763</v>
      </c>
    </row>
    <row r="9" spans="1:8" ht="18.399999999999999" customHeight="1">
      <c r="A9" s="106" t="s">
        <v>204</v>
      </c>
      <c r="B9" s="107" t="s">
        <v>391</v>
      </c>
      <c r="C9" s="107" t="s">
        <v>758</v>
      </c>
      <c r="D9" s="109">
        <f t="shared" si="0"/>
        <v>92</v>
      </c>
      <c r="E9" s="112">
        <v>0</v>
      </c>
      <c r="F9" s="111">
        <v>0</v>
      </c>
      <c r="G9" s="47">
        <v>92</v>
      </c>
      <c r="H9" s="110" t="s">
        <v>764</v>
      </c>
    </row>
    <row r="10" spans="1:8" ht="18.399999999999999" customHeight="1">
      <c r="A10" s="106" t="s">
        <v>765</v>
      </c>
      <c r="B10" s="107"/>
      <c r="C10" s="107" t="s">
        <v>758</v>
      </c>
      <c r="D10" s="109">
        <f t="shared" si="0"/>
        <v>597</v>
      </c>
      <c r="E10" s="112"/>
      <c r="F10" s="111"/>
      <c r="G10" s="47">
        <v>597</v>
      </c>
      <c r="H10" s="110" t="s">
        <v>766</v>
      </c>
    </row>
    <row r="11" spans="1:8" ht="18.399999999999999" customHeight="1">
      <c r="A11" s="106" t="s">
        <v>767</v>
      </c>
      <c r="B11" s="107" t="s">
        <v>838</v>
      </c>
      <c r="C11" s="107" t="s">
        <v>768</v>
      </c>
      <c r="D11" s="109">
        <f t="shared" si="0"/>
        <v>5930000</v>
      </c>
      <c r="E11" s="112"/>
      <c r="F11" s="111"/>
      <c r="G11" s="109">
        <v>5930000</v>
      </c>
      <c r="H11" s="110" t="s">
        <v>769</v>
      </c>
    </row>
    <row r="12" spans="1:8" ht="18.399999999999999" customHeight="1">
      <c r="A12" s="106" t="s">
        <v>396</v>
      </c>
      <c r="B12" s="107" t="s">
        <v>397</v>
      </c>
      <c r="C12" s="107" t="s">
        <v>398</v>
      </c>
      <c r="D12" s="109">
        <f t="shared" si="0"/>
        <v>420</v>
      </c>
      <c r="E12" s="112">
        <v>0</v>
      </c>
      <c r="F12" s="111">
        <v>0</v>
      </c>
      <c r="G12" s="109">
        <v>420</v>
      </c>
      <c r="H12" s="115" t="s">
        <v>770</v>
      </c>
    </row>
    <row r="13" spans="1:8" ht="18.399999999999999" customHeight="1">
      <c r="A13" s="106" t="s">
        <v>396</v>
      </c>
      <c r="B13" s="107" t="s">
        <v>399</v>
      </c>
      <c r="C13" s="107" t="s">
        <v>398</v>
      </c>
      <c r="D13" s="109">
        <f t="shared" si="0"/>
        <v>900</v>
      </c>
      <c r="E13" s="112">
        <v>0</v>
      </c>
      <c r="F13" s="111">
        <v>0</v>
      </c>
      <c r="G13" s="109">
        <v>900</v>
      </c>
      <c r="H13" s="115" t="s">
        <v>770</v>
      </c>
    </row>
    <row r="14" spans="1:8" ht="18.399999999999999" customHeight="1">
      <c r="A14" s="106" t="s">
        <v>396</v>
      </c>
      <c r="B14" s="107" t="s">
        <v>400</v>
      </c>
      <c r="C14" s="107" t="s">
        <v>398</v>
      </c>
      <c r="D14" s="109">
        <f t="shared" si="0"/>
        <v>1104</v>
      </c>
      <c r="E14" s="112">
        <v>0</v>
      </c>
      <c r="F14" s="111">
        <v>0</v>
      </c>
      <c r="G14" s="109">
        <v>1104</v>
      </c>
      <c r="H14" s="115" t="s">
        <v>770</v>
      </c>
    </row>
    <row r="15" spans="1:8" ht="18.399999999999999" customHeight="1">
      <c r="A15" s="106" t="s">
        <v>396</v>
      </c>
      <c r="B15" s="107" t="s">
        <v>401</v>
      </c>
      <c r="C15" s="107" t="s">
        <v>398</v>
      </c>
      <c r="D15" s="109">
        <f t="shared" si="0"/>
        <v>1140</v>
      </c>
      <c r="E15" s="112">
        <v>0</v>
      </c>
      <c r="F15" s="111">
        <v>0</v>
      </c>
      <c r="G15" s="109">
        <v>1140</v>
      </c>
      <c r="H15" s="115" t="s">
        <v>770</v>
      </c>
    </row>
    <row r="16" spans="1:8" ht="18.399999999999999" customHeight="1">
      <c r="A16" s="106" t="s">
        <v>396</v>
      </c>
      <c r="B16" s="107" t="s">
        <v>402</v>
      </c>
      <c r="C16" s="107" t="s">
        <v>398</v>
      </c>
      <c r="D16" s="109">
        <f t="shared" si="0"/>
        <v>1584</v>
      </c>
      <c r="E16" s="112">
        <v>0</v>
      </c>
      <c r="F16" s="111">
        <v>0</v>
      </c>
      <c r="G16" s="109">
        <v>1584</v>
      </c>
      <c r="H16" s="115" t="s">
        <v>770</v>
      </c>
    </row>
    <row r="17" spans="1:8" ht="18.399999999999999" customHeight="1">
      <c r="A17" s="106" t="s">
        <v>396</v>
      </c>
      <c r="B17" s="107" t="s">
        <v>403</v>
      </c>
      <c r="C17" s="107" t="s">
        <v>398</v>
      </c>
      <c r="D17" s="109">
        <f t="shared" si="0"/>
        <v>1800</v>
      </c>
      <c r="E17" s="112">
        <v>0</v>
      </c>
      <c r="F17" s="111">
        <v>0</v>
      </c>
      <c r="G17" s="109">
        <v>1800</v>
      </c>
      <c r="H17" s="115" t="s">
        <v>770</v>
      </c>
    </row>
    <row r="18" spans="1:8" ht="18.399999999999999" customHeight="1">
      <c r="A18" s="106" t="s">
        <v>396</v>
      </c>
      <c r="B18" s="107" t="s">
        <v>404</v>
      </c>
      <c r="C18" s="107" t="s">
        <v>398</v>
      </c>
      <c r="D18" s="109">
        <f t="shared" si="0"/>
        <v>2520</v>
      </c>
      <c r="E18" s="112">
        <v>0</v>
      </c>
      <c r="F18" s="111">
        <v>0</v>
      </c>
      <c r="G18" s="109">
        <v>2520</v>
      </c>
      <c r="H18" s="115" t="s">
        <v>770</v>
      </c>
    </row>
    <row r="19" spans="1:8" ht="18.399999999999999" customHeight="1">
      <c r="A19" s="106" t="s">
        <v>396</v>
      </c>
      <c r="B19" s="107" t="s">
        <v>405</v>
      </c>
      <c r="C19" s="107" t="s">
        <v>398</v>
      </c>
      <c r="D19" s="109">
        <f t="shared" si="0"/>
        <v>3000</v>
      </c>
      <c r="E19" s="112">
        <v>0</v>
      </c>
      <c r="F19" s="111">
        <v>0</v>
      </c>
      <c r="G19" s="109">
        <v>3000</v>
      </c>
      <c r="H19" s="115" t="s">
        <v>770</v>
      </c>
    </row>
    <row r="20" spans="1:8" ht="18.399999999999999" customHeight="1">
      <c r="A20" s="106" t="s">
        <v>396</v>
      </c>
      <c r="B20" s="107" t="s">
        <v>406</v>
      </c>
      <c r="C20" s="107" t="s">
        <v>398</v>
      </c>
      <c r="D20" s="109">
        <f t="shared" si="0"/>
        <v>3000</v>
      </c>
      <c r="E20" s="112">
        <v>0</v>
      </c>
      <c r="F20" s="111">
        <v>0</v>
      </c>
      <c r="G20" s="109">
        <v>3000</v>
      </c>
      <c r="H20" s="115" t="s">
        <v>770</v>
      </c>
    </row>
    <row r="21" spans="1:8" ht="18.399999999999999" customHeight="1">
      <c r="A21" s="106" t="s">
        <v>396</v>
      </c>
      <c r="B21" s="107" t="s">
        <v>407</v>
      </c>
      <c r="C21" s="107" t="s">
        <v>398</v>
      </c>
      <c r="D21" s="109">
        <f t="shared" si="0"/>
        <v>3000</v>
      </c>
      <c r="E21" s="112">
        <v>0</v>
      </c>
      <c r="F21" s="111">
        <v>0</v>
      </c>
      <c r="G21" s="109">
        <v>3000</v>
      </c>
      <c r="H21" s="115" t="s">
        <v>770</v>
      </c>
    </row>
    <row r="22" spans="1:8" ht="18.399999999999999" customHeight="1">
      <c r="A22" s="106" t="s">
        <v>396</v>
      </c>
      <c r="B22" s="107" t="s">
        <v>408</v>
      </c>
      <c r="C22" s="107" t="s">
        <v>398</v>
      </c>
      <c r="D22" s="109">
        <f t="shared" si="0"/>
        <v>3000</v>
      </c>
      <c r="E22" s="112">
        <v>0</v>
      </c>
      <c r="F22" s="111">
        <v>0</v>
      </c>
      <c r="G22" s="109">
        <v>3000</v>
      </c>
      <c r="H22" s="115" t="s">
        <v>770</v>
      </c>
    </row>
    <row r="23" spans="1:8" ht="18.399999999999999" customHeight="1">
      <c r="A23" s="106" t="s">
        <v>396</v>
      </c>
      <c r="B23" s="107" t="s">
        <v>409</v>
      </c>
      <c r="C23" s="107" t="s">
        <v>398</v>
      </c>
      <c r="D23" s="109">
        <f t="shared" si="0"/>
        <v>6120</v>
      </c>
      <c r="E23" s="112">
        <v>0</v>
      </c>
      <c r="F23" s="111">
        <v>0</v>
      </c>
      <c r="G23" s="109">
        <v>6120</v>
      </c>
      <c r="H23" s="115" t="s">
        <v>770</v>
      </c>
    </row>
    <row r="24" spans="1:8" ht="18.399999999999999" customHeight="1">
      <c r="A24" s="106" t="s">
        <v>396</v>
      </c>
      <c r="B24" s="107" t="s">
        <v>410</v>
      </c>
      <c r="C24" s="107" t="s">
        <v>398</v>
      </c>
      <c r="D24" s="109">
        <f t="shared" si="0"/>
        <v>6120</v>
      </c>
      <c r="E24" s="112">
        <v>0</v>
      </c>
      <c r="F24" s="111">
        <v>0</v>
      </c>
      <c r="G24" s="109">
        <v>6120</v>
      </c>
      <c r="H24" s="115" t="s">
        <v>770</v>
      </c>
    </row>
    <row r="25" spans="1:8" ht="18.399999999999999" customHeight="1">
      <c r="A25" s="106" t="s">
        <v>396</v>
      </c>
      <c r="B25" s="107" t="s">
        <v>411</v>
      </c>
      <c r="C25" s="107" t="s">
        <v>398</v>
      </c>
      <c r="D25" s="109">
        <f t="shared" si="0"/>
        <v>6120</v>
      </c>
      <c r="E25" s="112">
        <v>0</v>
      </c>
      <c r="F25" s="111">
        <v>0</v>
      </c>
      <c r="G25" s="109">
        <v>6120</v>
      </c>
      <c r="H25" s="115" t="s">
        <v>770</v>
      </c>
    </row>
    <row r="26" spans="1:8" ht="18.399999999999999" customHeight="1">
      <c r="A26" s="106" t="s">
        <v>396</v>
      </c>
      <c r="B26" s="107" t="s">
        <v>412</v>
      </c>
      <c r="C26" s="107" t="s">
        <v>398</v>
      </c>
      <c r="D26" s="109">
        <f t="shared" si="0"/>
        <v>12600</v>
      </c>
      <c r="E26" s="112">
        <v>0</v>
      </c>
      <c r="F26" s="111">
        <v>0</v>
      </c>
      <c r="G26" s="109">
        <v>12600</v>
      </c>
      <c r="H26" s="115" t="s">
        <v>770</v>
      </c>
    </row>
    <row r="27" spans="1:8" ht="18.399999999999999" customHeight="1">
      <c r="A27" s="106" t="s">
        <v>396</v>
      </c>
      <c r="B27" s="107" t="s">
        <v>413</v>
      </c>
      <c r="C27" s="107" t="s">
        <v>398</v>
      </c>
      <c r="D27" s="109">
        <f t="shared" si="0"/>
        <v>12600</v>
      </c>
      <c r="E27" s="112">
        <v>0</v>
      </c>
      <c r="F27" s="111">
        <v>0</v>
      </c>
      <c r="G27" s="109">
        <v>12600</v>
      </c>
      <c r="H27" s="115" t="s">
        <v>770</v>
      </c>
    </row>
    <row r="28" spans="1:8" ht="18.399999999999999" customHeight="1">
      <c r="A28" s="106" t="s">
        <v>396</v>
      </c>
      <c r="B28" s="107" t="s">
        <v>841</v>
      </c>
      <c r="C28" s="107" t="s">
        <v>398</v>
      </c>
      <c r="D28" s="109">
        <f t="shared" si="0"/>
        <v>12600</v>
      </c>
      <c r="E28" s="112">
        <v>0</v>
      </c>
      <c r="F28" s="111">
        <v>0</v>
      </c>
      <c r="G28" s="109">
        <f>장비견적서!$U$20 / 1000</f>
        <v>12600</v>
      </c>
      <c r="H28" s="115" t="s">
        <v>771</v>
      </c>
    </row>
    <row r="29" spans="1:8" ht="18.399999999999999" customHeight="1">
      <c r="A29" s="106" t="s">
        <v>396</v>
      </c>
      <c r="B29" s="107" t="s">
        <v>414</v>
      </c>
      <c r="C29" s="107" t="s">
        <v>398</v>
      </c>
      <c r="D29" s="109">
        <f t="shared" si="0"/>
        <v>12600</v>
      </c>
      <c r="E29" s="112">
        <v>0</v>
      </c>
      <c r="F29" s="111">
        <v>0</v>
      </c>
      <c r="G29" s="109">
        <v>12600</v>
      </c>
      <c r="H29" s="115" t="s">
        <v>770</v>
      </c>
    </row>
    <row r="30" spans="1:8" ht="18.399999999999999" customHeight="1">
      <c r="A30" s="106" t="s">
        <v>396</v>
      </c>
      <c r="B30" s="107" t="s">
        <v>415</v>
      </c>
      <c r="C30" s="107" t="s">
        <v>398</v>
      </c>
      <c r="D30" s="109">
        <f t="shared" si="0"/>
        <v>12600</v>
      </c>
      <c r="E30" s="112">
        <v>0</v>
      </c>
      <c r="F30" s="111">
        <v>0</v>
      </c>
      <c r="G30" s="109">
        <v>12600</v>
      </c>
      <c r="H30" s="115" t="s">
        <v>770</v>
      </c>
    </row>
    <row r="31" spans="1:8" ht="18.399999999999999" customHeight="1">
      <c r="A31" s="106" t="s">
        <v>396</v>
      </c>
      <c r="B31" s="107" t="s">
        <v>416</v>
      </c>
      <c r="C31" s="107" t="s">
        <v>398</v>
      </c>
      <c r="D31" s="109">
        <f t="shared" si="0"/>
        <v>14400</v>
      </c>
      <c r="E31" s="112">
        <v>0</v>
      </c>
      <c r="F31" s="111">
        <v>0</v>
      </c>
      <c r="G31" s="109">
        <v>14400</v>
      </c>
      <c r="H31" s="115" t="s">
        <v>770</v>
      </c>
    </row>
    <row r="32" spans="1:8" ht="18.399999999999999" customHeight="1">
      <c r="A32" s="106" t="s">
        <v>396</v>
      </c>
      <c r="B32" s="107" t="s">
        <v>417</v>
      </c>
      <c r="C32" s="107" t="s">
        <v>398</v>
      </c>
      <c r="D32" s="109">
        <f t="shared" si="0"/>
        <v>14400</v>
      </c>
      <c r="E32" s="112">
        <v>0</v>
      </c>
      <c r="F32" s="111">
        <v>0</v>
      </c>
      <c r="G32" s="109">
        <v>14400</v>
      </c>
      <c r="H32" s="115" t="s">
        <v>770</v>
      </c>
    </row>
    <row r="33" spans="1:8" ht="18.399999999999999" customHeight="1">
      <c r="A33" s="106" t="s">
        <v>396</v>
      </c>
      <c r="B33" s="107" t="s">
        <v>418</v>
      </c>
      <c r="C33" s="107" t="s">
        <v>398</v>
      </c>
      <c r="D33" s="109">
        <f t="shared" si="0"/>
        <v>14400</v>
      </c>
      <c r="E33" s="112">
        <v>0</v>
      </c>
      <c r="F33" s="111">
        <v>0</v>
      </c>
      <c r="G33" s="109">
        <v>14400</v>
      </c>
      <c r="H33" s="115" t="s">
        <v>770</v>
      </c>
    </row>
    <row r="34" spans="1:8" ht="18.399999999999999" customHeight="1">
      <c r="A34" s="106" t="s">
        <v>396</v>
      </c>
      <c r="B34" s="107" t="s">
        <v>419</v>
      </c>
      <c r="C34" s="107" t="s">
        <v>398</v>
      </c>
      <c r="D34" s="109">
        <f t="shared" si="0"/>
        <v>24504</v>
      </c>
      <c r="E34" s="112">
        <v>0</v>
      </c>
      <c r="F34" s="111">
        <v>0</v>
      </c>
      <c r="G34" s="109">
        <v>24504</v>
      </c>
      <c r="H34" s="115" t="s">
        <v>770</v>
      </c>
    </row>
    <row r="35" spans="1:8" ht="18.399999999999999" customHeight="1">
      <c r="A35" s="106" t="s">
        <v>396</v>
      </c>
      <c r="B35" s="107" t="s">
        <v>420</v>
      </c>
      <c r="C35" s="107" t="s">
        <v>398</v>
      </c>
      <c r="D35" s="109">
        <f t="shared" si="0"/>
        <v>24504</v>
      </c>
      <c r="E35" s="112">
        <v>0</v>
      </c>
      <c r="F35" s="111">
        <v>0</v>
      </c>
      <c r="G35" s="109">
        <v>24504</v>
      </c>
      <c r="H35" s="115" t="s">
        <v>770</v>
      </c>
    </row>
    <row r="36" spans="1:8" ht="18.399999999999999" customHeight="1">
      <c r="A36" s="106" t="s">
        <v>396</v>
      </c>
      <c r="B36" s="107" t="s">
        <v>421</v>
      </c>
      <c r="C36" s="107" t="s">
        <v>398</v>
      </c>
      <c r="D36" s="109">
        <f t="shared" si="0"/>
        <v>24504</v>
      </c>
      <c r="E36" s="112">
        <v>0</v>
      </c>
      <c r="F36" s="111">
        <v>0</v>
      </c>
      <c r="G36" s="109">
        <v>24504</v>
      </c>
      <c r="H36" s="115" t="s">
        <v>770</v>
      </c>
    </row>
    <row r="37" spans="1:8" ht="18.399999999999999" customHeight="1">
      <c r="A37" s="106" t="s">
        <v>396</v>
      </c>
      <c r="B37" s="107" t="s">
        <v>422</v>
      </c>
      <c r="C37" s="107" t="s">
        <v>398</v>
      </c>
      <c r="D37" s="109">
        <f t="shared" si="0"/>
        <v>24504</v>
      </c>
      <c r="E37" s="112">
        <v>0</v>
      </c>
      <c r="F37" s="111">
        <v>0</v>
      </c>
      <c r="G37" s="109">
        <v>24504</v>
      </c>
      <c r="H37" s="115" t="s">
        <v>770</v>
      </c>
    </row>
    <row r="38" spans="1:8" ht="18.399999999999999" customHeight="1">
      <c r="A38" s="106" t="s">
        <v>396</v>
      </c>
      <c r="B38" s="107" t="s">
        <v>423</v>
      </c>
      <c r="C38" s="107" t="s">
        <v>398</v>
      </c>
      <c r="D38" s="109">
        <f t="shared" si="0"/>
        <v>24504</v>
      </c>
      <c r="E38" s="112">
        <v>0</v>
      </c>
      <c r="F38" s="111">
        <v>0</v>
      </c>
      <c r="G38" s="109">
        <v>24504</v>
      </c>
      <c r="H38" s="115" t="s">
        <v>770</v>
      </c>
    </row>
    <row r="39" spans="1:8" ht="18.399999999999999" customHeight="1">
      <c r="A39" s="106" t="s">
        <v>424</v>
      </c>
      <c r="B39" s="107" t="s">
        <v>397</v>
      </c>
      <c r="C39" s="107" t="s">
        <v>398</v>
      </c>
      <c r="D39" s="109">
        <f t="shared" si="0"/>
        <v>11520</v>
      </c>
      <c r="E39" s="112">
        <v>0</v>
      </c>
      <c r="F39" s="111">
        <v>0</v>
      </c>
      <c r="G39" s="109">
        <v>11520</v>
      </c>
      <c r="H39" s="115" t="s">
        <v>772</v>
      </c>
    </row>
    <row r="40" spans="1:8" ht="18.399999999999999" customHeight="1">
      <c r="A40" s="106" t="s">
        <v>424</v>
      </c>
      <c r="B40" s="107" t="s">
        <v>399</v>
      </c>
      <c r="C40" s="107" t="s">
        <v>398</v>
      </c>
      <c r="D40" s="109">
        <f t="shared" si="0"/>
        <v>11520</v>
      </c>
      <c r="E40" s="112">
        <v>0</v>
      </c>
      <c r="F40" s="111">
        <v>0</v>
      </c>
      <c r="G40" s="109">
        <v>11520</v>
      </c>
      <c r="H40" s="115" t="s">
        <v>772</v>
      </c>
    </row>
    <row r="41" spans="1:8" ht="18.399999999999999" customHeight="1">
      <c r="A41" s="106" t="s">
        <v>424</v>
      </c>
      <c r="B41" s="107" t="s">
        <v>400</v>
      </c>
      <c r="C41" s="107" t="s">
        <v>398</v>
      </c>
      <c r="D41" s="109">
        <f t="shared" si="0"/>
        <v>48000</v>
      </c>
      <c r="E41" s="112">
        <v>0</v>
      </c>
      <c r="F41" s="111">
        <v>0</v>
      </c>
      <c r="G41" s="109">
        <v>48000</v>
      </c>
      <c r="H41" s="115" t="s">
        <v>772</v>
      </c>
    </row>
    <row r="42" spans="1:8" ht="18.399999999999999" customHeight="1">
      <c r="A42" s="106" t="s">
        <v>424</v>
      </c>
      <c r="B42" s="107" t="s">
        <v>401</v>
      </c>
      <c r="C42" s="107" t="s">
        <v>398</v>
      </c>
      <c r="D42" s="109">
        <f t="shared" si="0"/>
        <v>48000</v>
      </c>
      <c r="E42" s="112">
        <v>0</v>
      </c>
      <c r="F42" s="111">
        <v>0</v>
      </c>
      <c r="G42" s="109">
        <v>48000</v>
      </c>
      <c r="H42" s="115" t="s">
        <v>772</v>
      </c>
    </row>
    <row r="43" spans="1:8" ht="18.399999999999999" customHeight="1">
      <c r="A43" s="106" t="s">
        <v>424</v>
      </c>
      <c r="B43" s="107" t="s">
        <v>402</v>
      </c>
      <c r="C43" s="107" t="s">
        <v>398</v>
      </c>
      <c r="D43" s="109">
        <f t="shared" si="0"/>
        <v>48000</v>
      </c>
      <c r="E43" s="112">
        <v>0</v>
      </c>
      <c r="F43" s="111">
        <v>0</v>
      </c>
      <c r="G43" s="109">
        <v>48000</v>
      </c>
      <c r="H43" s="115" t="s">
        <v>772</v>
      </c>
    </row>
    <row r="44" spans="1:8" ht="18.399999999999999" customHeight="1">
      <c r="A44" s="106" t="s">
        <v>424</v>
      </c>
      <c r="B44" s="107" t="s">
        <v>403</v>
      </c>
      <c r="C44" s="107" t="s">
        <v>398</v>
      </c>
      <c r="D44" s="109">
        <f t="shared" si="0"/>
        <v>48000</v>
      </c>
      <c r="E44" s="112">
        <v>0</v>
      </c>
      <c r="F44" s="111">
        <v>0</v>
      </c>
      <c r="G44" s="109">
        <v>48000</v>
      </c>
      <c r="H44" s="115" t="s">
        <v>772</v>
      </c>
    </row>
    <row r="45" spans="1:8" ht="18.399999999999999" customHeight="1">
      <c r="A45" s="106" t="s">
        <v>424</v>
      </c>
      <c r="B45" s="107" t="s">
        <v>404</v>
      </c>
      <c r="C45" s="107" t="s">
        <v>398</v>
      </c>
      <c r="D45" s="109">
        <f t="shared" si="0"/>
        <v>48000</v>
      </c>
      <c r="E45" s="112">
        <v>0</v>
      </c>
      <c r="F45" s="111">
        <v>0</v>
      </c>
      <c r="G45" s="109">
        <v>48000</v>
      </c>
      <c r="H45" s="115" t="s">
        <v>772</v>
      </c>
    </row>
    <row r="46" spans="1:8" ht="18.399999999999999" customHeight="1">
      <c r="A46" s="106" t="s">
        <v>424</v>
      </c>
      <c r="B46" s="107" t="s">
        <v>405</v>
      </c>
      <c r="C46" s="107" t="s">
        <v>398</v>
      </c>
      <c r="D46" s="109">
        <f t="shared" si="0"/>
        <v>120000</v>
      </c>
      <c r="E46" s="112">
        <v>0</v>
      </c>
      <c r="F46" s="111">
        <v>0</v>
      </c>
      <c r="G46" s="109">
        <v>120000</v>
      </c>
      <c r="H46" s="115" t="s">
        <v>772</v>
      </c>
    </row>
    <row r="47" spans="1:8" ht="18.399999999999999" customHeight="1">
      <c r="A47" s="106" t="s">
        <v>424</v>
      </c>
      <c r="B47" s="107" t="s">
        <v>406</v>
      </c>
      <c r="C47" s="107" t="s">
        <v>398</v>
      </c>
      <c r="D47" s="109">
        <f t="shared" si="0"/>
        <v>120000</v>
      </c>
      <c r="E47" s="112">
        <v>0</v>
      </c>
      <c r="F47" s="111">
        <v>0</v>
      </c>
      <c r="G47" s="109">
        <v>120000</v>
      </c>
      <c r="H47" s="115" t="s">
        <v>772</v>
      </c>
    </row>
    <row r="48" spans="1:8" ht="18.399999999999999" customHeight="1">
      <c r="A48" s="106" t="s">
        <v>424</v>
      </c>
      <c r="B48" s="107" t="s">
        <v>407</v>
      </c>
      <c r="C48" s="107" t="s">
        <v>398</v>
      </c>
      <c r="D48" s="109">
        <f t="shared" si="0"/>
        <v>120000</v>
      </c>
      <c r="E48" s="112">
        <v>0</v>
      </c>
      <c r="F48" s="111">
        <v>0</v>
      </c>
      <c r="G48" s="109">
        <v>120000</v>
      </c>
      <c r="H48" s="115" t="s">
        <v>772</v>
      </c>
    </row>
    <row r="49" spans="1:8" ht="18.399999999999999" customHeight="1">
      <c r="A49" s="106" t="s">
        <v>424</v>
      </c>
      <c r="B49" s="107" t="s">
        <v>408</v>
      </c>
      <c r="C49" s="107" t="s">
        <v>398</v>
      </c>
      <c r="D49" s="109">
        <f t="shared" si="0"/>
        <v>120000</v>
      </c>
      <c r="E49" s="112">
        <v>0</v>
      </c>
      <c r="F49" s="111">
        <v>0</v>
      </c>
      <c r="G49" s="109">
        <v>120000</v>
      </c>
      <c r="H49" s="115" t="s">
        <v>772</v>
      </c>
    </row>
    <row r="50" spans="1:8" ht="18.399999999999999" customHeight="1">
      <c r="A50" s="106" t="s">
        <v>424</v>
      </c>
      <c r="B50" s="107" t="s">
        <v>409</v>
      </c>
      <c r="C50" s="107" t="s">
        <v>398</v>
      </c>
      <c r="D50" s="109">
        <f t="shared" si="0"/>
        <v>192000</v>
      </c>
      <c r="E50" s="112">
        <v>0</v>
      </c>
      <c r="F50" s="111">
        <v>0</v>
      </c>
      <c r="G50" s="109">
        <v>192000</v>
      </c>
      <c r="H50" s="115" t="s">
        <v>772</v>
      </c>
    </row>
    <row r="51" spans="1:8" ht="18.399999999999999" customHeight="1">
      <c r="A51" s="106" t="s">
        <v>424</v>
      </c>
      <c r="B51" s="107" t="s">
        <v>410</v>
      </c>
      <c r="C51" s="107" t="s">
        <v>398</v>
      </c>
      <c r="D51" s="109">
        <f t="shared" si="0"/>
        <v>192000</v>
      </c>
      <c r="E51" s="112">
        <v>0</v>
      </c>
      <c r="F51" s="111">
        <v>0</v>
      </c>
      <c r="G51" s="109">
        <v>192000</v>
      </c>
      <c r="H51" s="115" t="s">
        <v>772</v>
      </c>
    </row>
    <row r="52" spans="1:8" ht="18.399999999999999" customHeight="1">
      <c r="A52" s="106" t="s">
        <v>424</v>
      </c>
      <c r="B52" s="107" t="s">
        <v>411</v>
      </c>
      <c r="C52" s="107" t="s">
        <v>398</v>
      </c>
      <c r="D52" s="109">
        <f t="shared" si="0"/>
        <v>192000</v>
      </c>
      <c r="E52" s="112">
        <v>0</v>
      </c>
      <c r="F52" s="111">
        <v>0</v>
      </c>
      <c r="G52" s="109">
        <v>192000</v>
      </c>
      <c r="H52" s="115" t="s">
        <v>772</v>
      </c>
    </row>
    <row r="53" spans="1:8" ht="18.399999999999999" customHeight="1">
      <c r="A53" s="106" t="s">
        <v>424</v>
      </c>
      <c r="B53" s="107" t="s">
        <v>412</v>
      </c>
      <c r="C53" s="107" t="s">
        <v>398</v>
      </c>
      <c r="D53" s="109">
        <f t="shared" si="0"/>
        <v>246000</v>
      </c>
      <c r="E53" s="112">
        <v>0</v>
      </c>
      <c r="F53" s="111">
        <v>0</v>
      </c>
      <c r="G53" s="109">
        <v>246000</v>
      </c>
      <c r="H53" s="115" t="s">
        <v>772</v>
      </c>
    </row>
    <row r="54" spans="1:8" ht="18.399999999999999" customHeight="1">
      <c r="A54" s="106" t="s">
        <v>424</v>
      </c>
      <c r="B54" s="107" t="s">
        <v>413</v>
      </c>
      <c r="C54" s="107" t="s">
        <v>398</v>
      </c>
      <c r="D54" s="109">
        <f t="shared" si="0"/>
        <v>246000</v>
      </c>
      <c r="E54" s="112">
        <v>0</v>
      </c>
      <c r="F54" s="111">
        <v>0</v>
      </c>
      <c r="G54" s="109">
        <v>246000</v>
      </c>
      <c r="H54" s="115" t="s">
        <v>772</v>
      </c>
    </row>
    <row r="55" spans="1:8" ht="18.399999999999999" customHeight="1">
      <c r="A55" s="106" t="s">
        <v>424</v>
      </c>
      <c r="B55" s="107" t="s">
        <v>841</v>
      </c>
      <c r="C55" s="107" t="s">
        <v>398</v>
      </c>
      <c r="D55" s="109">
        <f t="shared" si="0"/>
        <v>246000</v>
      </c>
      <c r="E55" s="112">
        <v>0</v>
      </c>
      <c r="F55" s="111">
        <v>0</v>
      </c>
      <c r="G55" s="109">
        <f>장비견적서!$U$19 / 1000</f>
        <v>246000</v>
      </c>
      <c r="H55" s="115" t="s">
        <v>771</v>
      </c>
    </row>
    <row r="56" spans="1:8" ht="18.399999999999999" customHeight="1">
      <c r="A56" s="106" t="s">
        <v>424</v>
      </c>
      <c r="B56" s="107" t="s">
        <v>414</v>
      </c>
      <c r="C56" s="107" t="s">
        <v>398</v>
      </c>
      <c r="D56" s="109">
        <f t="shared" si="0"/>
        <v>246000</v>
      </c>
      <c r="E56" s="112">
        <v>0</v>
      </c>
      <c r="F56" s="111">
        <v>0</v>
      </c>
      <c r="G56" s="109">
        <v>246000</v>
      </c>
      <c r="H56" s="115" t="s">
        <v>772</v>
      </c>
    </row>
    <row r="57" spans="1:8" ht="18.399999999999999" customHeight="1">
      <c r="A57" s="106" t="s">
        <v>424</v>
      </c>
      <c r="B57" s="107" t="s">
        <v>415</v>
      </c>
      <c r="C57" s="107" t="s">
        <v>398</v>
      </c>
      <c r="D57" s="109">
        <f t="shared" si="0"/>
        <v>246000</v>
      </c>
      <c r="E57" s="112">
        <v>0</v>
      </c>
      <c r="F57" s="111">
        <v>0</v>
      </c>
      <c r="G57" s="109">
        <v>246000</v>
      </c>
      <c r="H57" s="115" t="s">
        <v>772</v>
      </c>
    </row>
    <row r="58" spans="1:8" ht="18.399999999999999" customHeight="1">
      <c r="A58" s="106" t="s">
        <v>424</v>
      </c>
      <c r="B58" s="107" t="s">
        <v>416</v>
      </c>
      <c r="C58" s="107" t="s">
        <v>398</v>
      </c>
      <c r="D58" s="109">
        <f t="shared" si="0"/>
        <v>246000</v>
      </c>
      <c r="E58" s="112">
        <v>0</v>
      </c>
      <c r="F58" s="111">
        <v>0</v>
      </c>
      <c r="G58" s="109">
        <v>246000</v>
      </c>
      <c r="H58" s="115" t="s">
        <v>772</v>
      </c>
    </row>
    <row r="59" spans="1:8" ht="18.399999999999999" customHeight="1">
      <c r="A59" s="106" t="s">
        <v>424</v>
      </c>
      <c r="B59" s="107" t="s">
        <v>417</v>
      </c>
      <c r="C59" s="107" t="s">
        <v>398</v>
      </c>
      <c r="D59" s="109">
        <f t="shared" si="0"/>
        <v>246000</v>
      </c>
      <c r="E59" s="112">
        <v>0</v>
      </c>
      <c r="F59" s="111">
        <v>0</v>
      </c>
      <c r="G59" s="109">
        <v>246000</v>
      </c>
      <c r="H59" s="115" t="s">
        <v>772</v>
      </c>
    </row>
    <row r="60" spans="1:8" ht="18.399999999999999" customHeight="1">
      <c r="A60" s="106" t="s">
        <v>424</v>
      </c>
      <c r="B60" s="107" t="s">
        <v>418</v>
      </c>
      <c r="C60" s="107" t="s">
        <v>398</v>
      </c>
      <c r="D60" s="109">
        <f t="shared" si="0"/>
        <v>246000</v>
      </c>
      <c r="E60" s="112">
        <v>0</v>
      </c>
      <c r="F60" s="111">
        <v>0</v>
      </c>
      <c r="G60" s="109">
        <v>246000</v>
      </c>
      <c r="H60" s="115" t="s">
        <v>772</v>
      </c>
    </row>
    <row r="61" spans="1:8" ht="18.399999999999999" customHeight="1">
      <c r="A61" s="106" t="s">
        <v>424</v>
      </c>
      <c r="B61" s="107" t="s">
        <v>419</v>
      </c>
      <c r="C61" s="107" t="s">
        <v>398</v>
      </c>
      <c r="D61" s="109">
        <f t="shared" si="0"/>
        <v>276000</v>
      </c>
      <c r="E61" s="112">
        <v>0</v>
      </c>
      <c r="F61" s="111">
        <v>0</v>
      </c>
      <c r="G61" s="109">
        <v>276000</v>
      </c>
      <c r="H61" s="115" t="s">
        <v>772</v>
      </c>
    </row>
    <row r="62" spans="1:8" ht="18.399999999999999" customHeight="1">
      <c r="A62" s="106" t="s">
        <v>424</v>
      </c>
      <c r="B62" s="107" t="s">
        <v>420</v>
      </c>
      <c r="C62" s="107" t="s">
        <v>398</v>
      </c>
      <c r="D62" s="109">
        <f t="shared" si="0"/>
        <v>276000</v>
      </c>
      <c r="E62" s="112">
        <v>0</v>
      </c>
      <c r="F62" s="111">
        <v>0</v>
      </c>
      <c r="G62" s="109">
        <v>276000</v>
      </c>
      <c r="H62" s="115" t="s">
        <v>772</v>
      </c>
    </row>
    <row r="63" spans="1:8" ht="18.399999999999999" customHeight="1">
      <c r="A63" s="106" t="s">
        <v>424</v>
      </c>
      <c r="B63" s="107" t="s">
        <v>421</v>
      </c>
      <c r="C63" s="107" t="s">
        <v>398</v>
      </c>
      <c r="D63" s="109">
        <f t="shared" si="0"/>
        <v>276000</v>
      </c>
      <c r="E63" s="112">
        <v>0</v>
      </c>
      <c r="F63" s="111">
        <v>0</v>
      </c>
      <c r="G63" s="109">
        <v>276000</v>
      </c>
      <c r="H63" s="115" t="s">
        <v>772</v>
      </c>
    </row>
    <row r="64" spans="1:8" ht="18.399999999999999" customHeight="1">
      <c r="A64" s="106" t="s">
        <v>424</v>
      </c>
      <c r="B64" s="107" t="s">
        <v>422</v>
      </c>
      <c r="C64" s="107" t="s">
        <v>398</v>
      </c>
      <c r="D64" s="109">
        <f t="shared" si="0"/>
        <v>276000</v>
      </c>
      <c r="E64" s="112">
        <v>0</v>
      </c>
      <c r="F64" s="111">
        <v>0</v>
      </c>
      <c r="G64" s="109">
        <v>276000</v>
      </c>
      <c r="H64" s="115" t="s">
        <v>772</v>
      </c>
    </row>
    <row r="65" spans="1:8" ht="18.399999999999999" customHeight="1">
      <c r="A65" s="106" t="s">
        <v>424</v>
      </c>
      <c r="B65" s="107" t="s">
        <v>425</v>
      </c>
      <c r="C65" s="107" t="s">
        <v>398</v>
      </c>
      <c r="D65" s="109">
        <f t="shared" si="0"/>
        <v>276000</v>
      </c>
      <c r="E65" s="112">
        <v>0</v>
      </c>
      <c r="F65" s="111">
        <v>0</v>
      </c>
      <c r="G65" s="109">
        <v>276000</v>
      </c>
      <c r="H65" s="115" t="s">
        <v>772</v>
      </c>
    </row>
    <row r="66" spans="1:8" ht="18.399999999999999" customHeight="1">
      <c r="A66" s="106" t="s">
        <v>426</v>
      </c>
      <c r="B66" s="107" t="s">
        <v>427</v>
      </c>
      <c r="C66" s="107" t="s">
        <v>398</v>
      </c>
      <c r="D66" s="109">
        <f t="shared" si="0"/>
        <v>24010</v>
      </c>
      <c r="E66" s="112">
        <v>0</v>
      </c>
      <c r="F66" s="111">
        <v>0</v>
      </c>
      <c r="G66" s="109">
        <v>24010</v>
      </c>
      <c r="H66" s="115" t="s">
        <v>772</v>
      </c>
    </row>
    <row r="67" spans="1:8" ht="18.399999999999999" customHeight="1">
      <c r="A67" s="106" t="s">
        <v>426</v>
      </c>
      <c r="B67" s="107" t="s">
        <v>428</v>
      </c>
      <c r="C67" s="107" t="s">
        <v>398</v>
      </c>
      <c r="D67" s="109">
        <f t="shared" si="0"/>
        <v>29500</v>
      </c>
      <c r="E67" s="112">
        <v>0</v>
      </c>
      <c r="F67" s="111">
        <v>0</v>
      </c>
      <c r="G67" s="109">
        <v>29500</v>
      </c>
      <c r="H67" s="115" t="s">
        <v>772</v>
      </c>
    </row>
    <row r="68" spans="1:8" ht="18.399999999999999" customHeight="1">
      <c r="A68" s="106" t="s">
        <v>426</v>
      </c>
      <c r="B68" s="107" t="s">
        <v>429</v>
      </c>
      <c r="C68" s="107" t="s">
        <v>398</v>
      </c>
      <c r="D68" s="109">
        <f t="shared" ref="D68:D118" si="1">E68+F68+G68</f>
        <v>30000</v>
      </c>
      <c r="E68" s="112">
        <v>0</v>
      </c>
      <c r="F68" s="111">
        <v>0</v>
      </c>
      <c r="G68" s="109">
        <v>30000</v>
      </c>
      <c r="H68" s="115" t="s">
        <v>772</v>
      </c>
    </row>
    <row r="69" spans="1:8" ht="18.399999999999999" customHeight="1">
      <c r="A69" s="106" t="s">
        <v>426</v>
      </c>
      <c r="B69" s="107" t="s">
        <v>430</v>
      </c>
      <c r="C69" s="107" t="s">
        <v>398</v>
      </c>
      <c r="D69" s="109">
        <f t="shared" si="1"/>
        <v>34000</v>
      </c>
      <c r="E69" s="112">
        <v>0</v>
      </c>
      <c r="F69" s="111">
        <v>0</v>
      </c>
      <c r="G69" s="109">
        <v>34000</v>
      </c>
      <c r="H69" s="115" t="s">
        <v>772</v>
      </c>
    </row>
    <row r="70" spans="1:8" ht="18.399999999999999" customHeight="1">
      <c r="A70" s="106" t="s">
        <v>426</v>
      </c>
      <c r="B70" s="107" t="s">
        <v>431</v>
      </c>
      <c r="C70" s="107" t="s">
        <v>398</v>
      </c>
      <c r="D70" s="109">
        <f t="shared" si="1"/>
        <v>42000</v>
      </c>
      <c r="E70" s="112">
        <v>0</v>
      </c>
      <c r="F70" s="111">
        <v>0</v>
      </c>
      <c r="G70" s="109">
        <v>42000</v>
      </c>
      <c r="H70" s="115" t="s">
        <v>772</v>
      </c>
    </row>
    <row r="71" spans="1:8" ht="18.399999999999999" customHeight="1">
      <c r="A71" s="106" t="s">
        <v>426</v>
      </c>
      <c r="B71" s="107" t="s">
        <v>432</v>
      </c>
      <c r="C71" s="107" t="s">
        <v>398</v>
      </c>
      <c r="D71" s="109">
        <f t="shared" si="1"/>
        <v>45600</v>
      </c>
      <c r="E71" s="112">
        <v>0</v>
      </c>
      <c r="F71" s="111">
        <v>0</v>
      </c>
      <c r="G71" s="109">
        <v>45600</v>
      </c>
      <c r="H71" s="115" t="s">
        <v>772</v>
      </c>
    </row>
    <row r="72" spans="1:8" ht="18.399999999999999" customHeight="1">
      <c r="A72" s="106" t="s">
        <v>426</v>
      </c>
      <c r="B72" s="107" t="s">
        <v>433</v>
      </c>
      <c r="C72" s="107" t="s">
        <v>398</v>
      </c>
      <c r="D72" s="109">
        <f t="shared" si="1"/>
        <v>50500</v>
      </c>
      <c r="E72" s="112">
        <v>0</v>
      </c>
      <c r="F72" s="111">
        <v>0</v>
      </c>
      <c r="G72" s="109">
        <v>50500</v>
      </c>
      <c r="H72" s="115" t="s">
        <v>772</v>
      </c>
    </row>
    <row r="73" spans="1:8" ht="18.399999999999999" customHeight="1">
      <c r="A73" s="106" t="s">
        <v>426</v>
      </c>
      <c r="B73" s="107" t="s">
        <v>434</v>
      </c>
      <c r="C73" s="107" t="s">
        <v>398</v>
      </c>
      <c r="D73" s="109">
        <f t="shared" si="1"/>
        <v>61000</v>
      </c>
      <c r="E73" s="112">
        <v>0</v>
      </c>
      <c r="F73" s="111">
        <v>0</v>
      </c>
      <c r="G73" s="109">
        <v>61000</v>
      </c>
      <c r="H73" s="115" t="s">
        <v>772</v>
      </c>
    </row>
    <row r="74" spans="1:8" ht="18.399999999999999" customHeight="1">
      <c r="A74" s="106" t="s">
        <v>426</v>
      </c>
      <c r="B74" s="107" t="s">
        <v>435</v>
      </c>
      <c r="C74" s="107" t="s">
        <v>398</v>
      </c>
      <c r="D74" s="109">
        <f t="shared" si="1"/>
        <v>63500</v>
      </c>
      <c r="E74" s="112">
        <v>0</v>
      </c>
      <c r="F74" s="111">
        <v>0</v>
      </c>
      <c r="G74" s="109">
        <v>63500</v>
      </c>
      <c r="H74" s="115" t="s">
        <v>772</v>
      </c>
    </row>
    <row r="75" spans="1:8" ht="18.399999999999999" customHeight="1">
      <c r="A75" s="106" t="s">
        <v>426</v>
      </c>
      <c r="B75" s="107" t="s">
        <v>436</v>
      </c>
      <c r="C75" s="107" t="s">
        <v>398</v>
      </c>
      <c r="D75" s="109">
        <f t="shared" si="1"/>
        <v>67500</v>
      </c>
      <c r="E75" s="112">
        <v>0</v>
      </c>
      <c r="F75" s="111">
        <v>0</v>
      </c>
      <c r="G75" s="109">
        <v>67500</v>
      </c>
      <c r="H75" s="115" t="s">
        <v>772</v>
      </c>
    </row>
    <row r="76" spans="1:8" ht="18.399999999999999" customHeight="1">
      <c r="A76" s="106" t="s">
        <v>426</v>
      </c>
      <c r="B76" s="107" t="s">
        <v>437</v>
      </c>
      <c r="C76" s="107" t="s">
        <v>398</v>
      </c>
      <c r="D76" s="109">
        <f t="shared" si="1"/>
        <v>74500</v>
      </c>
      <c r="E76" s="112">
        <v>0</v>
      </c>
      <c r="F76" s="111">
        <v>0</v>
      </c>
      <c r="G76" s="109">
        <v>74500</v>
      </c>
      <c r="H76" s="115" t="s">
        <v>772</v>
      </c>
    </row>
    <row r="77" spans="1:8" ht="18.399999999999999" customHeight="1">
      <c r="A77" s="106" t="s">
        <v>426</v>
      </c>
      <c r="B77" s="107" t="s">
        <v>438</v>
      </c>
      <c r="C77" s="107" t="s">
        <v>398</v>
      </c>
      <c r="D77" s="109">
        <f t="shared" si="1"/>
        <v>87500</v>
      </c>
      <c r="E77" s="112">
        <v>0</v>
      </c>
      <c r="F77" s="111">
        <v>0</v>
      </c>
      <c r="G77" s="109">
        <v>87500</v>
      </c>
      <c r="H77" s="115" t="s">
        <v>772</v>
      </c>
    </row>
    <row r="78" spans="1:8" ht="18.399999999999999" customHeight="1">
      <c r="A78" s="106" t="s">
        <v>426</v>
      </c>
      <c r="B78" s="107" t="s">
        <v>439</v>
      </c>
      <c r="C78" s="107" t="s">
        <v>398</v>
      </c>
      <c r="D78" s="109">
        <f t="shared" si="1"/>
        <v>96400</v>
      </c>
      <c r="E78" s="112">
        <v>0</v>
      </c>
      <c r="F78" s="111">
        <v>0</v>
      </c>
      <c r="G78" s="109">
        <v>96400</v>
      </c>
      <c r="H78" s="115" t="s">
        <v>772</v>
      </c>
    </row>
    <row r="79" spans="1:8" ht="18.399999999999999" customHeight="1">
      <c r="A79" s="106" t="s">
        <v>426</v>
      </c>
      <c r="B79" s="107" t="s">
        <v>440</v>
      </c>
      <c r="C79" s="107" t="s">
        <v>398</v>
      </c>
      <c r="D79" s="109">
        <f t="shared" si="1"/>
        <v>104400</v>
      </c>
      <c r="E79" s="112">
        <v>0</v>
      </c>
      <c r="F79" s="111">
        <v>0</v>
      </c>
      <c r="G79" s="109">
        <v>104400</v>
      </c>
      <c r="H79" s="115" t="s">
        <v>772</v>
      </c>
    </row>
    <row r="80" spans="1:8" ht="18.399999999999999" customHeight="1">
      <c r="A80" s="106" t="s">
        <v>426</v>
      </c>
      <c r="B80" s="107" t="s">
        <v>441</v>
      </c>
      <c r="C80" s="107" t="s">
        <v>398</v>
      </c>
      <c r="D80" s="109">
        <f t="shared" si="1"/>
        <v>116400</v>
      </c>
      <c r="E80" s="112">
        <v>0</v>
      </c>
      <c r="F80" s="111">
        <v>0</v>
      </c>
      <c r="G80" s="109">
        <v>116400</v>
      </c>
      <c r="H80" s="115" t="s">
        <v>393</v>
      </c>
    </row>
    <row r="81" spans="1:8" ht="18.399999999999999" customHeight="1">
      <c r="A81" s="106" t="s">
        <v>426</v>
      </c>
      <c r="B81" s="107" t="s">
        <v>442</v>
      </c>
      <c r="C81" s="107" t="s">
        <v>398</v>
      </c>
      <c r="D81" s="109">
        <f t="shared" si="1"/>
        <v>121300</v>
      </c>
      <c r="E81" s="112">
        <v>0</v>
      </c>
      <c r="F81" s="111">
        <v>0</v>
      </c>
      <c r="G81" s="109">
        <v>121300</v>
      </c>
      <c r="H81" s="115" t="s">
        <v>772</v>
      </c>
    </row>
    <row r="82" spans="1:8" ht="18.399999999999999" customHeight="1">
      <c r="A82" s="106" t="s">
        <v>426</v>
      </c>
      <c r="B82" s="107" t="s">
        <v>443</v>
      </c>
      <c r="C82" s="107" t="s">
        <v>398</v>
      </c>
      <c r="D82" s="109">
        <f t="shared" si="1"/>
        <v>133000</v>
      </c>
      <c r="E82" s="112">
        <v>0</v>
      </c>
      <c r="F82" s="111">
        <v>0</v>
      </c>
      <c r="G82" s="109">
        <v>133000</v>
      </c>
      <c r="H82" s="115" t="s">
        <v>772</v>
      </c>
    </row>
    <row r="83" spans="1:8" ht="18.399999999999999" customHeight="1">
      <c r="A83" s="106" t="s">
        <v>426</v>
      </c>
      <c r="B83" s="107" t="s">
        <v>840</v>
      </c>
      <c r="C83" s="107" t="s">
        <v>398</v>
      </c>
      <c r="D83" s="109">
        <f>E83+F83+G83</f>
        <v>133000</v>
      </c>
      <c r="E83" s="112">
        <v>0</v>
      </c>
      <c r="F83" s="111">
        <v>0</v>
      </c>
      <c r="G83" s="109">
        <f>장비견적서!$U$21 / 1000</f>
        <v>133000</v>
      </c>
      <c r="H83" s="115" t="s">
        <v>771</v>
      </c>
    </row>
    <row r="84" spans="1:8" ht="18.399999999999999" customHeight="1">
      <c r="A84" s="106" t="s">
        <v>426</v>
      </c>
      <c r="B84" s="107" t="s">
        <v>444</v>
      </c>
      <c r="C84" s="107" t="s">
        <v>398</v>
      </c>
      <c r="D84" s="109">
        <f t="shared" si="1"/>
        <v>145000</v>
      </c>
      <c r="E84" s="112">
        <v>0</v>
      </c>
      <c r="F84" s="111">
        <v>0</v>
      </c>
      <c r="G84" s="109">
        <v>145000</v>
      </c>
      <c r="H84" s="115" t="s">
        <v>393</v>
      </c>
    </row>
    <row r="85" spans="1:8" ht="18.399999999999999" customHeight="1">
      <c r="A85" s="106" t="s">
        <v>426</v>
      </c>
      <c r="B85" s="107" t="s">
        <v>445</v>
      </c>
      <c r="C85" s="107" t="s">
        <v>398</v>
      </c>
      <c r="D85" s="109">
        <f t="shared" si="1"/>
        <v>215000</v>
      </c>
      <c r="E85" s="112">
        <v>0</v>
      </c>
      <c r="F85" s="111">
        <v>0</v>
      </c>
      <c r="G85" s="109">
        <v>215000</v>
      </c>
      <c r="H85" s="115" t="s">
        <v>772</v>
      </c>
    </row>
    <row r="86" spans="1:8" ht="18.399999999999999" customHeight="1">
      <c r="A86" s="106" t="s">
        <v>426</v>
      </c>
      <c r="B86" s="107" t="s">
        <v>446</v>
      </c>
      <c r="C86" s="107" t="s">
        <v>398</v>
      </c>
      <c r="D86" s="109">
        <f t="shared" si="1"/>
        <v>296600</v>
      </c>
      <c r="E86" s="112">
        <v>0</v>
      </c>
      <c r="F86" s="111">
        <v>0</v>
      </c>
      <c r="G86" s="109">
        <v>296600</v>
      </c>
      <c r="H86" s="115" t="s">
        <v>772</v>
      </c>
    </row>
    <row r="87" spans="1:8" ht="18.399999999999999" customHeight="1">
      <c r="A87" s="106" t="s">
        <v>426</v>
      </c>
      <c r="B87" s="107" t="s">
        <v>447</v>
      </c>
      <c r="C87" s="107" t="s">
        <v>398</v>
      </c>
      <c r="D87" s="109">
        <f t="shared" si="1"/>
        <v>333000</v>
      </c>
      <c r="E87" s="112">
        <v>0</v>
      </c>
      <c r="F87" s="111">
        <v>0</v>
      </c>
      <c r="G87" s="109">
        <v>333000</v>
      </c>
      <c r="H87" s="115" t="s">
        <v>772</v>
      </c>
    </row>
    <row r="88" spans="1:8" ht="18.399999999999999" customHeight="1">
      <c r="A88" s="106" t="s">
        <v>426</v>
      </c>
      <c r="B88" s="107" t="s">
        <v>448</v>
      </c>
      <c r="C88" s="107" t="s">
        <v>398</v>
      </c>
      <c r="D88" s="109">
        <f t="shared" si="1"/>
        <v>390000</v>
      </c>
      <c r="E88" s="112">
        <v>0</v>
      </c>
      <c r="F88" s="111">
        <v>0</v>
      </c>
      <c r="G88" s="109">
        <v>390000</v>
      </c>
      <c r="H88" s="115" t="s">
        <v>772</v>
      </c>
    </row>
    <row r="89" spans="1:8" ht="18.399999999999999" customHeight="1">
      <c r="A89" s="106" t="s">
        <v>426</v>
      </c>
      <c r="B89" s="107" t="s">
        <v>449</v>
      </c>
      <c r="C89" s="107" t="s">
        <v>398</v>
      </c>
      <c r="D89" s="109">
        <f t="shared" si="1"/>
        <v>466000</v>
      </c>
      <c r="E89" s="112">
        <v>0</v>
      </c>
      <c r="F89" s="111">
        <v>0</v>
      </c>
      <c r="G89" s="109">
        <v>466000</v>
      </c>
      <c r="H89" s="115" t="s">
        <v>772</v>
      </c>
    </row>
    <row r="90" spans="1:8" ht="18.399999999999999" customHeight="1">
      <c r="A90" s="106" t="s">
        <v>426</v>
      </c>
      <c r="B90" s="107" t="s">
        <v>450</v>
      </c>
      <c r="C90" s="107" t="s">
        <v>398</v>
      </c>
      <c r="D90" s="109">
        <f t="shared" si="1"/>
        <v>488000</v>
      </c>
      <c r="E90" s="112">
        <v>0</v>
      </c>
      <c r="F90" s="111">
        <v>0</v>
      </c>
      <c r="G90" s="109">
        <v>488000</v>
      </c>
      <c r="H90" s="115" t="s">
        <v>772</v>
      </c>
    </row>
    <row r="91" spans="1:8" ht="18.399999999999999" customHeight="1">
      <c r="A91" s="106" t="s">
        <v>426</v>
      </c>
      <c r="B91" s="107" t="s">
        <v>451</v>
      </c>
      <c r="C91" s="107" t="s">
        <v>398</v>
      </c>
      <c r="D91" s="109">
        <f t="shared" si="1"/>
        <v>539000</v>
      </c>
      <c r="E91" s="112">
        <v>0</v>
      </c>
      <c r="F91" s="111">
        <v>0</v>
      </c>
      <c r="G91" s="109">
        <v>539000</v>
      </c>
      <c r="H91" s="115" t="s">
        <v>772</v>
      </c>
    </row>
    <row r="92" spans="1:8" ht="18.399999999999999" customHeight="1">
      <c r="A92" s="106" t="s">
        <v>426</v>
      </c>
      <c r="B92" s="107" t="s">
        <v>423</v>
      </c>
      <c r="C92" s="107" t="s">
        <v>398</v>
      </c>
      <c r="D92" s="109">
        <f t="shared" si="1"/>
        <v>570000</v>
      </c>
      <c r="E92" s="112">
        <v>0</v>
      </c>
      <c r="F92" s="111">
        <v>0</v>
      </c>
      <c r="G92" s="109">
        <v>570000</v>
      </c>
      <c r="H92" s="115" t="s">
        <v>772</v>
      </c>
    </row>
    <row r="93" spans="1:8" ht="18.399999999999999" customHeight="1">
      <c r="A93" s="106" t="s">
        <v>452</v>
      </c>
      <c r="B93" s="107" t="s">
        <v>427</v>
      </c>
      <c r="C93" s="107" t="s">
        <v>398</v>
      </c>
      <c r="D93" s="109">
        <f t="shared" si="1"/>
        <v>3800</v>
      </c>
      <c r="E93" s="112">
        <v>0</v>
      </c>
      <c r="F93" s="111">
        <v>0</v>
      </c>
      <c r="G93" s="109">
        <v>3800</v>
      </c>
      <c r="H93" s="115" t="s">
        <v>772</v>
      </c>
    </row>
    <row r="94" spans="1:8" ht="18.399999999999999" customHeight="1">
      <c r="A94" s="106" t="s">
        <v>452</v>
      </c>
      <c r="B94" s="107" t="s">
        <v>428</v>
      </c>
      <c r="C94" s="107" t="s">
        <v>398</v>
      </c>
      <c r="D94" s="109">
        <f t="shared" si="1"/>
        <v>4000</v>
      </c>
      <c r="E94" s="112">
        <v>0</v>
      </c>
      <c r="F94" s="111">
        <v>0</v>
      </c>
      <c r="G94" s="109">
        <v>4000</v>
      </c>
      <c r="H94" s="115" t="s">
        <v>772</v>
      </c>
    </row>
    <row r="95" spans="1:8" ht="18.399999999999999" customHeight="1">
      <c r="A95" s="106" t="s">
        <v>452</v>
      </c>
      <c r="B95" s="107" t="s">
        <v>429</v>
      </c>
      <c r="C95" s="107" t="s">
        <v>398</v>
      </c>
      <c r="D95" s="109">
        <f t="shared" si="1"/>
        <v>4500</v>
      </c>
      <c r="E95" s="112">
        <v>0</v>
      </c>
      <c r="F95" s="111">
        <v>0</v>
      </c>
      <c r="G95" s="109">
        <v>4500</v>
      </c>
      <c r="H95" s="115" t="s">
        <v>772</v>
      </c>
    </row>
    <row r="96" spans="1:8" ht="18.399999999999999" customHeight="1">
      <c r="A96" s="106" t="s">
        <v>452</v>
      </c>
      <c r="B96" s="107" t="s">
        <v>430</v>
      </c>
      <c r="C96" s="107" t="s">
        <v>398</v>
      </c>
      <c r="D96" s="109">
        <f t="shared" si="1"/>
        <v>5000</v>
      </c>
      <c r="E96" s="112">
        <v>0</v>
      </c>
      <c r="F96" s="111">
        <v>0</v>
      </c>
      <c r="G96" s="109">
        <v>5000</v>
      </c>
      <c r="H96" s="115" t="s">
        <v>772</v>
      </c>
    </row>
    <row r="97" spans="1:8" ht="18.399999999999999" customHeight="1">
      <c r="A97" s="106" t="s">
        <v>452</v>
      </c>
      <c r="B97" s="107" t="s">
        <v>431</v>
      </c>
      <c r="C97" s="107" t="s">
        <v>398</v>
      </c>
      <c r="D97" s="109">
        <f t="shared" si="1"/>
        <v>5600</v>
      </c>
      <c r="E97" s="112">
        <v>0</v>
      </c>
      <c r="F97" s="111">
        <v>0</v>
      </c>
      <c r="G97" s="109">
        <v>5600</v>
      </c>
      <c r="H97" s="115" t="s">
        <v>772</v>
      </c>
    </row>
    <row r="98" spans="1:8" ht="18.399999999999999" customHeight="1">
      <c r="A98" s="106" t="s">
        <v>452</v>
      </c>
      <c r="B98" s="107" t="s">
        <v>432</v>
      </c>
      <c r="C98" s="107" t="s">
        <v>398</v>
      </c>
      <c r="D98" s="109">
        <f t="shared" si="1"/>
        <v>6300</v>
      </c>
      <c r="E98" s="112">
        <v>0</v>
      </c>
      <c r="F98" s="111">
        <v>0</v>
      </c>
      <c r="G98" s="109">
        <v>6300</v>
      </c>
      <c r="H98" s="115" t="s">
        <v>772</v>
      </c>
    </row>
    <row r="99" spans="1:8" ht="18.399999999999999" customHeight="1">
      <c r="A99" s="106" t="s">
        <v>452</v>
      </c>
      <c r="B99" s="107" t="s">
        <v>433</v>
      </c>
      <c r="C99" s="107" t="s">
        <v>398</v>
      </c>
      <c r="D99" s="109">
        <f t="shared" si="1"/>
        <v>6900</v>
      </c>
      <c r="E99" s="112">
        <v>0</v>
      </c>
      <c r="F99" s="111">
        <v>0</v>
      </c>
      <c r="G99" s="109">
        <v>6900</v>
      </c>
      <c r="H99" s="115" t="s">
        <v>772</v>
      </c>
    </row>
    <row r="100" spans="1:8" ht="18.399999999999999" customHeight="1">
      <c r="A100" s="106" t="s">
        <v>452</v>
      </c>
      <c r="B100" s="107" t="s">
        <v>434</v>
      </c>
      <c r="C100" s="107" t="s">
        <v>398</v>
      </c>
      <c r="D100" s="109">
        <f t="shared" si="1"/>
        <v>8200</v>
      </c>
      <c r="E100" s="112">
        <v>0</v>
      </c>
      <c r="F100" s="111">
        <v>0</v>
      </c>
      <c r="G100" s="109">
        <v>8200</v>
      </c>
      <c r="H100" s="115" t="s">
        <v>772</v>
      </c>
    </row>
    <row r="101" spans="1:8" ht="18.399999999999999" customHeight="1">
      <c r="A101" s="106" t="s">
        <v>452</v>
      </c>
      <c r="B101" s="107" t="s">
        <v>437</v>
      </c>
      <c r="C101" s="107" t="s">
        <v>398</v>
      </c>
      <c r="D101" s="109">
        <f t="shared" si="1"/>
        <v>12000</v>
      </c>
      <c r="E101" s="112">
        <v>0</v>
      </c>
      <c r="F101" s="111">
        <v>0</v>
      </c>
      <c r="G101" s="109">
        <v>12000</v>
      </c>
      <c r="H101" s="115" t="s">
        <v>772</v>
      </c>
    </row>
    <row r="102" spans="1:8" ht="18.399999999999999" customHeight="1">
      <c r="A102" s="106" t="s">
        <v>452</v>
      </c>
      <c r="B102" s="107" t="s">
        <v>440</v>
      </c>
      <c r="C102" s="107" t="s">
        <v>398</v>
      </c>
      <c r="D102" s="109">
        <f t="shared" si="1"/>
        <v>16000</v>
      </c>
      <c r="E102" s="112">
        <v>0</v>
      </c>
      <c r="F102" s="111">
        <v>0</v>
      </c>
      <c r="G102" s="109">
        <v>16000</v>
      </c>
      <c r="H102" s="115" t="s">
        <v>772</v>
      </c>
    </row>
    <row r="103" spans="1:8" ht="18.399999999999999" customHeight="1">
      <c r="A103" s="106" t="s">
        <v>452</v>
      </c>
      <c r="B103" s="107" t="s">
        <v>840</v>
      </c>
      <c r="C103" s="107" t="s">
        <v>398</v>
      </c>
      <c r="D103" s="109">
        <f>E103+F103+G103</f>
        <v>16000</v>
      </c>
      <c r="E103" s="112">
        <v>0</v>
      </c>
      <c r="F103" s="111">
        <v>0</v>
      </c>
      <c r="G103" s="109">
        <f>장비견적서!$U$22 / 1000</f>
        <v>16000</v>
      </c>
      <c r="H103" s="115" t="s">
        <v>771</v>
      </c>
    </row>
    <row r="104" spans="1:8" ht="18.399999999999999" customHeight="1">
      <c r="A104" s="106" t="s">
        <v>452</v>
      </c>
      <c r="B104" s="107" t="s">
        <v>443</v>
      </c>
      <c r="C104" s="107" t="s">
        <v>398</v>
      </c>
      <c r="D104" s="109">
        <f t="shared" si="1"/>
        <v>25000</v>
      </c>
      <c r="E104" s="112">
        <v>0</v>
      </c>
      <c r="F104" s="111">
        <v>0</v>
      </c>
      <c r="G104" s="109">
        <v>25000</v>
      </c>
      <c r="H104" s="115" t="s">
        <v>772</v>
      </c>
    </row>
    <row r="105" spans="1:8" ht="18.399999999999999" customHeight="1">
      <c r="A105" s="106" t="s">
        <v>452</v>
      </c>
      <c r="B105" s="107" t="s">
        <v>446</v>
      </c>
      <c r="C105" s="107" t="s">
        <v>398</v>
      </c>
      <c r="D105" s="109">
        <f t="shared" si="1"/>
        <v>38000</v>
      </c>
      <c r="E105" s="112">
        <v>0</v>
      </c>
      <c r="F105" s="111">
        <v>0</v>
      </c>
      <c r="G105" s="109">
        <v>38000</v>
      </c>
      <c r="H105" s="115" t="s">
        <v>772</v>
      </c>
    </row>
    <row r="106" spans="1:8" ht="18.399999999999999" customHeight="1">
      <c r="A106" s="106" t="s">
        <v>453</v>
      </c>
      <c r="B106" s="107" t="s">
        <v>427</v>
      </c>
      <c r="C106" s="107" t="s">
        <v>398</v>
      </c>
      <c r="D106" s="109">
        <f t="shared" si="1"/>
        <v>2000</v>
      </c>
      <c r="E106" s="112">
        <v>0</v>
      </c>
      <c r="F106" s="111">
        <v>0</v>
      </c>
      <c r="G106" s="109">
        <v>2000</v>
      </c>
      <c r="H106" s="115" t="s">
        <v>770</v>
      </c>
    </row>
    <row r="107" spans="1:8" ht="18.399999999999999" customHeight="1">
      <c r="A107" s="106" t="s">
        <v>453</v>
      </c>
      <c r="B107" s="107" t="s">
        <v>428</v>
      </c>
      <c r="C107" s="107" t="s">
        <v>398</v>
      </c>
      <c r="D107" s="109">
        <f t="shared" si="1"/>
        <v>2800</v>
      </c>
      <c r="E107" s="112">
        <v>0</v>
      </c>
      <c r="F107" s="111">
        <v>0</v>
      </c>
      <c r="G107" s="109">
        <v>2800</v>
      </c>
      <c r="H107" s="115" t="s">
        <v>770</v>
      </c>
    </row>
    <row r="108" spans="1:8" ht="18.399999999999999" customHeight="1">
      <c r="A108" s="106" t="s">
        <v>453</v>
      </c>
      <c r="B108" s="107" t="s">
        <v>429</v>
      </c>
      <c r="C108" s="107" t="s">
        <v>398</v>
      </c>
      <c r="D108" s="109">
        <f t="shared" si="1"/>
        <v>5800</v>
      </c>
      <c r="E108" s="112">
        <v>0</v>
      </c>
      <c r="F108" s="111">
        <v>0</v>
      </c>
      <c r="G108" s="109">
        <v>5800</v>
      </c>
      <c r="H108" s="115" t="s">
        <v>770</v>
      </c>
    </row>
    <row r="109" spans="1:8" ht="18.399999999999999" customHeight="1">
      <c r="A109" s="106" t="s">
        <v>453</v>
      </c>
      <c r="B109" s="107" t="s">
        <v>430</v>
      </c>
      <c r="C109" s="107" t="s">
        <v>398</v>
      </c>
      <c r="D109" s="109">
        <f t="shared" si="1"/>
        <v>8500</v>
      </c>
      <c r="E109" s="112">
        <v>0</v>
      </c>
      <c r="F109" s="111">
        <v>0</v>
      </c>
      <c r="G109" s="109">
        <v>8500</v>
      </c>
      <c r="H109" s="115" t="s">
        <v>392</v>
      </c>
    </row>
    <row r="110" spans="1:8" ht="18.399999999999999" customHeight="1">
      <c r="A110" s="106" t="s">
        <v>453</v>
      </c>
      <c r="B110" s="107" t="s">
        <v>431</v>
      </c>
      <c r="C110" s="107" t="s">
        <v>398</v>
      </c>
      <c r="D110" s="109">
        <f t="shared" si="1"/>
        <v>9500</v>
      </c>
      <c r="E110" s="112">
        <v>0</v>
      </c>
      <c r="F110" s="111">
        <v>0</v>
      </c>
      <c r="G110" s="109">
        <v>9500</v>
      </c>
      <c r="H110" s="115" t="s">
        <v>770</v>
      </c>
    </row>
    <row r="111" spans="1:8" ht="18.399999999999999" customHeight="1">
      <c r="A111" s="106" t="s">
        <v>453</v>
      </c>
      <c r="B111" s="107" t="s">
        <v>432</v>
      </c>
      <c r="C111" s="107" t="s">
        <v>398</v>
      </c>
      <c r="D111" s="109">
        <f t="shared" si="1"/>
        <v>11000</v>
      </c>
      <c r="E111" s="112">
        <v>0</v>
      </c>
      <c r="F111" s="111">
        <v>0</v>
      </c>
      <c r="G111" s="109">
        <v>11000</v>
      </c>
      <c r="H111" s="115" t="s">
        <v>770</v>
      </c>
    </row>
    <row r="112" spans="1:8" ht="18.399999999999999" customHeight="1">
      <c r="A112" s="106" t="s">
        <v>453</v>
      </c>
      <c r="B112" s="107" t="s">
        <v>433</v>
      </c>
      <c r="C112" s="107" t="s">
        <v>398</v>
      </c>
      <c r="D112" s="109">
        <f t="shared" si="1"/>
        <v>13000</v>
      </c>
      <c r="E112" s="112">
        <v>0</v>
      </c>
      <c r="F112" s="111">
        <v>0</v>
      </c>
      <c r="G112" s="109">
        <v>13000</v>
      </c>
      <c r="H112" s="115" t="s">
        <v>770</v>
      </c>
    </row>
    <row r="113" spans="1:8" ht="18.399999999999999" customHeight="1">
      <c r="A113" s="106" t="s">
        <v>453</v>
      </c>
      <c r="B113" s="107" t="s">
        <v>434</v>
      </c>
      <c r="C113" s="107" t="s">
        <v>398</v>
      </c>
      <c r="D113" s="109">
        <f t="shared" si="1"/>
        <v>18000</v>
      </c>
      <c r="E113" s="112">
        <v>0</v>
      </c>
      <c r="F113" s="111">
        <v>0</v>
      </c>
      <c r="G113" s="109">
        <v>18000</v>
      </c>
      <c r="H113" s="115" t="s">
        <v>770</v>
      </c>
    </row>
    <row r="114" spans="1:8" ht="18.399999999999999" customHeight="1">
      <c r="A114" s="106" t="s">
        <v>453</v>
      </c>
      <c r="B114" s="107" t="s">
        <v>437</v>
      </c>
      <c r="C114" s="107" t="s">
        <v>398</v>
      </c>
      <c r="D114" s="109">
        <f t="shared" si="1"/>
        <v>28000</v>
      </c>
      <c r="E114" s="112">
        <v>0</v>
      </c>
      <c r="F114" s="111">
        <v>0</v>
      </c>
      <c r="G114" s="109">
        <v>28000</v>
      </c>
      <c r="H114" s="115" t="s">
        <v>770</v>
      </c>
    </row>
    <row r="115" spans="1:8" ht="18.399999999999999" customHeight="1">
      <c r="A115" s="106" t="s">
        <v>453</v>
      </c>
      <c r="B115" s="107" t="s">
        <v>440</v>
      </c>
      <c r="C115" s="107" t="s">
        <v>398</v>
      </c>
      <c r="D115" s="109">
        <f t="shared" si="1"/>
        <v>55000</v>
      </c>
      <c r="E115" s="112">
        <v>0</v>
      </c>
      <c r="F115" s="111">
        <v>0</v>
      </c>
      <c r="G115" s="109">
        <v>55000</v>
      </c>
      <c r="H115" s="115" t="s">
        <v>770</v>
      </c>
    </row>
    <row r="116" spans="1:8" ht="18.399999999999999" customHeight="1">
      <c r="A116" s="106" t="s">
        <v>453</v>
      </c>
      <c r="B116" s="107" t="s">
        <v>840</v>
      </c>
      <c r="C116" s="107" t="s">
        <v>398</v>
      </c>
      <c r="D116" s="109">
        <f t="shared" si="1"/>
        <v>55000</v>
      </c>
      <c r="E116" s="112">
        <v>0</v>
      </c>
      <c r="F116" s="111">
        <v>0</v>
      </c>
      <c r="G116" s="109">
        <f>장비견적서!$U$18 / 1000</f>
        <v>55000</v>
      </c>
      <c r="H116" s="115" t="s">
        <v>771</v>
      </c>
    </row>
    <row r="117" spans="1:8" ht="18.399999999999999" customHeight="1">
      <c r="A117" s="106" t="s">
        <v>453</v>
      </c>
      <c r="B117" s="107" t="s">
        <v>443</v>
      </c>
      <c r="C117" s="107" t="s">
        <v>398</v>
      </c>
      <c r="D117" s="109">
        <f t="shared" si="1"/>
        <v>100000</v>
      </c>
      <c r="E117" s="112">
        <v>0</v>
      </c>
      <c r="F117" s="111">
        <v>0</v>
      </c>
      <c r="G117" s="109">
        <v>100000</v>
      </c>
      <c r="H117" s="115" t="s">
        <v>770</v>
      </c>
    </row>
    <row r="118" spans="1:8" ht="18.399999999999999" customHeight="1" thickBot="1">
      <c r="A118" s="121" t="s">
        <v>453</v>
      </c>
      <c r="B118" s="122" t="s">
        <v>446</v>
      </c>
      <c r="C118" s="122" t="s">
        <v>398</v>
      </c>
      <c r="D118" s="118">
        <f t="shared" si="1"/>
        <v>130000</v>
      </c>
      <c r="E118" s="116">
        <v>0</v>
      </c>
      <c r="F118" s="117">
        <v>0</v>
      </c>
      <c r="G118" s="118">
        <v>130000</v>
      </c>
      <c r="H118" s="119" t="s">
        <v>770</v>
      </c>
    </row>
  </sheetData>
  <autoFilter ref="A2:H118" xr:uid="{00000000-0009-0000-0000-000006000000}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>
      <selection activeCell="E6" sqref="E6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467</v>
      </c>
      <c r="B2" s="12" t="s">
        <v>468</v>
      </c>
      <c r="C2" s="12" t="s">
        <v>469</v>
      </c>
      <c r="D2" s="12" t="s">
        <v>470</v>
      </c>
      <c r="E2" s="12" t="s">
        <v>471</v>
      </c>
    </row>
    <row r="3" spans="1:5">
      <c r="A3" s="7" t="s">
        <v>472</v>
      </c>
      <c r="B3" s="32" t="s">
        <v>473</v>
      </c>
      <c r="C3" s="33" t="s">
        <v>474</v>
      </c>
      <c r="D3" s="34">
        <v>4900</v>
      </c>
      <c r="E3" s="32" t="s">
        <v>475</v>
      </c>
    </row>
    <row r="4" spans="1:5">
      <c r="A4" s="7" t="s">
        <v>476</v>
      </c>
      <c r="B4" s="32" t="s">
        <v>477</v>
      </c>
      <c r="C4" s="33" t="s">
        <v>478</v>
      </c>
      <c r="D4" s="34">
        <v>340</v>
      </c>
      <c r="E4" s="32" t="s">
        <v>479</v>
      </c>
    </row>
    <row r="5" spans="1:5">
      <c r="A5" s="7" t="s">
        <v>480</v>
      </c>
      <c r="B5" s="32" t="s">
        <v>481</v>
      </c>
      <c r="C5" s="33" t="s">
        <v>482</v>
      </c>
      <c r="D5" s="34">
        <f>311200/15</f>
        <v>20746.666666666668</v>
      </c>
      <c r="E5" s="32" t="s">
        <v>483</v>
      </c>
    </row>
    <row r="6" spans="1:5">
      <c r="A6" s="7" t="s">
        <v>484</v>
      </c>
      <c r="B6" s="32" t="s">
        <v>485</v>
      </c>
      <c r="C6" s="33" t="s">
        <v>478</v>
      </c>
      <c r="D6" s="34">
        <f>16800/6</f>
        <v>2800</v>
      </c>
      <c r="E6" s="32" t="s">
        <v>486</v>
      </c>
    </row>
    <row r="7" spans="1:5">
      <c r="A7" s="7" t="s">
        <v>487</v>
      </c>
      <c r="B7" s="32" t="s">
        <v>488</v>
      </c>
      <c r="C7" s="33" t="s">
        <v>474</v>
      </c>
      <c r="D7" s="34">
        <f>23200/30</f>
        <v>773.33333333333337</v>
      </c>
      <c r="E7" s="32" t="s">
        <v>489</v>
      </c>
    </row>
    <row r="8" spans="1:5">
      <c r="A8" s="7" t="s">
        <v>490</v>
      </c>
      <c r="B8" s="32" t="s">
        <v>491</v>
      </c>
      <c r="C8" s="33" t="s">
        <v>492</v>
      </c>
      <c r="D8" s="34">
        <f>22200/30</f>
        <v>740</v>
      </c>
      <c r="E8" s="32" t="s">
        <v>493</v>
      </c>
    </row>
    <row r="9" spans="1:5">
      <c r="A9" s="7" t="s">
        <v>206</v>
      </c>
      <c r="B9" s="7" t="s">
        <v>207</v>
      </c>
      <c r="C9" s="6" t="s">
        <v>208</v>
      </c>
      <c r="D9" s="48">
        <v>1596</v>
      </c>
      <c r="E9" s="32" t="s">
        <v>494</v>
      </c>
    </row>
    <row r="10" spans="1:5">
      <c r="A10" s="7"/>
      <c r="B10" s="7"/>
      <c r="C10" s="7"/>
      <c r="D10" s="8"/>
      <c r="E10" s="9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workbookViewId="0">
      <selection activeCell="J7" sqref="J7:J8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455</v>
      </c>
    </row>
    <row r="2" spans="1:5">
      <c r="A2" s="12" t="s">
        <v>461</v>
      </c>
      <c r="B2" s="12" t="s">
        <v>462</v>
      </c>
      <c r="C2" s="12" t="s">
        <v>456</v>
      </c>
      <c r="D2" s="12" t="s">
        <v>463</v>
      </c>
      <c r="E2" s="12" t="s">
        <v>464</v>
      </c>
    </row>
    <row r="3" spans="1:5">
      <c r="A3" s="7" t="s">
        <v>131</v>
      </c>
      <c r="B3" s="7" t="s">
        <v>457</v>
      </c>
      <c r="C3" s="33" t="s">
        <v>458</v>
      </c>
      <c r="D3" s="35">
        <v>228286</v>
      </c>
      <c r="E3" s="7" t="s">
        <v>17</v>
      </c>
    </row>
    <row r="4" spans="1:5">
      <c r="A4" s="7" t="s">
        <v>70</v>
      </c>
      <c r="B4" s="7" t="s">
        <v>459</v>
      </c>
      <c r="C4" s="33" t="s">
        <v>458</v>
      </c>
      <c r="D4" s="35">
        <v>172068</v>
      </c>
      <c r="E4" s="7" t="s">
        <v>17</v>
      </c>
    </row>
    <row r="5" spans="1:5">
      <c r="A5" s="7" t="s">
        <v>78</v>
      </c>
      <c r="B5" s="7" t="s">
        <v>459</v>
      </c>
      <c r="C5" s="33" t="s">
        <v>460</v>
      </c>
      <c r="D5" s="35">
        <v>282536</v>
      </c>
      <c r="E5" s="7" t="s">
        <v>17</v>
      </c>
    </row>
    <row r="6" spans="1:5">
      <c r="A6" s="7" t="s">
        <v>71</v>
      </c>
      <c r="B6" s="7" t="s">
        <v>459</v>
      </c>
      <c r="C6" s="33" t="s">
        <v>458</v>
      </c>
      <c r="D6" s="35">
        <v>263017</v>
      </c>
      <c r="E6" s="7" t="s">
        <v>17</v>
      </c>
    </row>
    <row r="7" spans="1:5">
      <c r="A7" s="7" t="s">
        <v>97</v>
      </c>
      <c r="B7" s="7" t="s">
        <v>457</v>
      </c>
      <c r="C7" s="33" t="s">
        <v>460</v>
      </c>
      <c r="D7" s="35">
        <v>173995</v>
      </c>
      <c r="E7" s="7" t="s">
        <v>17</v>
      </c>
    </row>
    <row r="8" spans="1:5">
      <c r="A8" s="7" t="s">
        <v>77</v>
      </c>
      <c r="B8" s="7" t="s">
        <v>459</v>
      </c>
      <c r="C8" s="33" t="s">
        <v>460</v>
      </c>
      <c r="D8" s="35">
        <v>262580</v>
      </c>
      <c r="E8" s="7" t="s">
        <v>17</v>
      </c>
    </row>
    <row r="9" spans="1:5">
      <c r="A9" s="7" t="s">
        <v>132</v>
      </c>
      <c r="B9" s="7" t="s">
        <v>459</v>
      </c>
      <c r="C9" s="33" t="s">
        <v>458</v>
      </c>
      <c r="D9" s="35">
        <v>230376</v>
      </c>
      <c r="E9" s="7" t="s">
        <v>17</v>
      </c>
    </row>
    <row r="10" spans="1:5">
      <c r="A10" s="7" t="s">
        <v>133</v>
      </c>
      <c r="B10" s="7" t="s">
        <v>459</v>
      </c>
      <c r="C10" s="33" t="s">
        <v>460</v>
      </c>
      <c r="D10" s="35">
        <v>320480</v>
      </c>
      <c r="E10" s="7" t="s">
        <v>17</v>
      </c>
    </row>
    <row r="11" spans="1:5">
      <c r="A11" s="7" t="s">
        <v>134</v>
      </c>
      <c r="B11" s="7" t="s">
        <v>459</v>
      </c>
      <c r="C11" s="33" t="s">
        <v>460</v>
      </c>
      <c r="D11" s="35">
        <v>292640</v>
      </c>
      <c r="E11" s="7" t="s">
        <v>17</v>
      </c>
    </row>
    <row r="12" spans="1:5">
      <c r="A12" s="7" t="s">
        <v>123</v>
      </c>
      <c r="B12" s="7" t="s">
        <v>465</v>
      </c>
      <c r="C12" s="33" t="s">
        <v>460</v>
      </c>
      <c r="D12" s="35">
        <v>335379</v>
      </c>
      <c r="E12" s="7" t="s">
        <v>466</v>
      </c>
    </row>
    <row r="13" spans="1:5">
      <c r="A13" s="7" t="s">
        <v>100</v>
      </c>
      <c r="B13" s="7" t="s">
        <v>459</v>
      </c>
      <c r="C13" s="33" t="s">
        <v>460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5"/>
  <sheetViews>
    <sheetView workbookViewId="0">
      <selection activeCell="F29" sqref="F29"/>
    </sheetView>
  </sheetViews>
  <sheetFormatPr defaultRowHeight="16.5"/>
  <cols>
    <col min="1" max="1" width="18.75" customWidth="1"/>
    <col min="2" max="2" width="31" customWidth="1"/>
    <col min="3" max="3" width="7.375" style="28" customWidth="1"/>
    <col min="4" max="7" width="12.625" style="44" customWidth="1"/>
  </cols>
  <sheetData>
    <row r="1" spans="1:8">
      <c r="A1" s="5" t="s">
        <v>21</v>
      </c>
      <c r="B1" s="5"/>
      <c r="C1" s="27"/>
      <c r="D1" s="42"/>
      <c r="E1" s="42"/>
      <c r="F1" s="42"/>
      <c r="G1" s="42"/>
      <c r="H1" s="5"/>
    </row>
    <row r="2" spans="1:8">
      <c r="A2" s="13" t="s">
        <v>35</v>
      </c>
      <c r="B2" s="13" t="s">
        <v>25</v>
      </c>
      <c r="C2" s="13" t="s">
        <v>26</v>
      </c>
      <c r="D2" s="101" t="s">
        <v>28</v>
      </c>
      <c r="E2" s="101" t="s">
        <v>29</v>
      </c>
      <c r="F2" s="101" t="s">
        <v>30</v>
      </c>
      <c r="G2" s="101" t="s">
        <v>27</v>
      </c>
      <c r="H2" s="13" t="s">
        <v>31</v>
      </c>
    </row>
    <row r="3" spans="1:8">
      <c r="A3" s="102" t="s">
        <v>196</v>
      </c>
      <c r="B3" s="102" t="s">
        <v>197</v>
      </c>
      <c r="C3" s="46" t="s">
        <v>198</v>
      </c>
      <c r="D3" s="103">
        <f>중기기초자료!F3</f>
        <v>8440</v>
      </c>
      <c r="E3" s="103">
        <f>중기기초자료!E3</f>
        <v>49698</v>
      </c>
      <c r="F3" s="103">
        <f>중기기초자료!G3</f>
        <v>11117</v>
      </c>
      <c r="G3" s="103">
        <f>D3+E3+F3</f>
        <v>69255</v>
      </c>
      <c r="H3" s="104"/>
    </row>
    <row r="4" spans="1:8">
      <c r="A4" s="102" t="s">
        <v>196</v>
      </c>
      <c r="B4" s="102" t="s">
        <v>199</v>
      </c>
      <c r="C4" s="46" t="s">
        <v>198</v>
      </c>
      <c r="D4" s="103">
        <f>중기기초자료!F4</f>
        <v>17045</v>
      </c>
      <c r="E4" s="103">
        <f>중기기초자료!E4</f>
        <v>49698</v>
      </c>
      <c r="F4" s="103">
        <f>중기기초자료!G4</f>
        <v>23795</v>
      </c>
      <c r="G4" s="103">
        <f t="shared" ref="G4:G11" si="0">D4+E4+F4</f>
        <v>90538</v>
      </c>
      <c r="H4" s="104"/>
    </row>
    <row r="5" spans="1:8">
      <c r="A5" s="102" t="s">
        <v>196</v>
      </c>
      <c r="B5" s="102" t="s">
        <v>200</v>
      </c>
      <c r="C5" s="46" t="s">
        <v>198</v>
      </c>
      <c r="D5" s="103">
        <f>중기기초자료!F5</f>
        <v>18204</v>
      </c>
      <c r="E5" s="103">
        <f>중기기초자료!E5</f>
        <v>49698</v>
      </c>
      <c r="F5" s="103">
        <f>중기기초자료!G5</f>
        <v>31327</v>
      </c>
      <c r="G5" s="103">
        <f t="shared" si="0"/>
        <v>99229</v>
      </c>
      <c r="H5" s="104"/>
    </row>
    <row r="6" spans="1:8">
      <c r="A6" s="102" t="s">
        <v>196</v>
      </c>
      <c r="B6" s="102" t="s">
        <v>201</v>
      </c>
      <c r="C6" s="46" t="s">
        <v>198</v>
      </c>
      <c r="D6" s="103">
        <f>중기기초자료!F6</f>
        <v>18700</v>
      </c>
      <c r="E6" s="103">
        <f>중기기초자료!E6</f>
        <v>49698</v>
      </c>
      <c r="F6" s="103">
        <f>중기기초자료!G6</f>
        <v>33328</v>
      </c>
      <c r="G6" s="103">
        <f t="shared" si="0"/>
        <v>101726</v>
      </c>
      <c r="H6" s="104"/>
    </row>
    <row r="7" spans="1:8">
      <c r="A7" s="102" t="s">
        <v>268</v>
      </c>
      <c r="B7" s="102" t="s">
        <v>269</v>
      </c>
      <c r="C7" s="46" t="s">
        <v>198</v>
      </c>
      <c r="D7" s="103">
        <f>중기기초자료!F7</f>
        <v>14232</v>
      </c>
      <c r="E7" s="103">
        <f>중기기초자료!E7</f>
        <v>58925</v>
      </c>
      <c r="F7" s="103">
        <f>중기기초자료!G7</f>
        <v>26776</v>
      </c>
      <c r="G7" s="103">
        <f t="shared" si="0"/>
        <v>99933</v>
      </c>
      <c r="H7" s="104"/>
    </row>
    <row r="8" spans="1:8">
      <c r="A8" s="102" t="s">
        <v>202</v>
      </c>
      <c r="B8" s="102" t="s">
        <v>203</v>
      </c>
      <c r="C8" s="46" t="s">
        <v>198</v>
      </c>
      <c r="D8" s="103">
        <f>중기기초자료!F8</f>
        <v>14877</v>
      </c>
      <c r="E8" s="103">
        <f>중기기초자료!E8</f>
        <v>36190</v>
      </c>
      <c r="F8" s="103">
        <f>중기기초자료!G8</f>
        <v>4689</v>
      </c>
      <c r="G8" s="103">
        <f t="shared" si="0"/>
        <v>55756</v>
      </c>
      <c r="H8" s="104"/>
    </row>
    <row r="9" spans="1:8">
      <c r="A9" s="102" t="s">
        <v>204</v>
      </c>
      <c r="B9" s="102" t="s">
        <v>205</v>
      </c>
      <c r="C9" s="46" t="s">
        <v>198</v>
      </c>
      <c r="D9" s="103">
        <f>중기기초자료!F9</f>
        <v>0</v>
      </c>
      <c r="E9" s="103">
        <f>중기기초자료!E9</f>
        <v>0</v>
      </c>
      <c r="F9" s="103">
        <f>중기기초자료!G9</f>
        <v>92</v>
      </c>
      <c r="G9" s="103">
        <f t="shared" si="0"/>
        <v>92</v>
      </c>
      <c r="H9" s="104"/>
    </row>
    <row r="10" spans="1:8">
      <c r="A10" s="102" t="s">
        <v>292</v>
      </c>
      <c r="B10" s="102"/>
      <c r="C10" s="46" t="s">
        <v>198</v>
      </c>
      <c r="D10" s="103">
        <f>중기기초자료!F10</f>
        <v>0</v>
      </c>
      <c r="E10" s="103">
        <f>중기기초자료!E10</f>
        <v>0</v>
      </c>
      <c r="F10" s="103">
        <f>중기기초자료!G10</f>
        <v>597</v>
      </c>
      <c r="G10" s="103">
        <f t="shared" si="0"/>
        <v>597</v>
      </c>
      <c r="H10" s="104"/>
    </row>
    <row r="11" spans="1:8">
      <c r="A11" s="104" t="s">
        <v>385</v>
      </c>
      <c r="B11" s="104" t="s">
        <v>839</v>
      </c>
      <c r="C11" s="105" t="s">
        <v>384</v>
      </c>
      <c r="D11" s="103"/>
      <c r="E11" s="103"/>
      <c r="F11" s="103">
        <v>5930000</v>
      </c>
      <c r="G11" s="103">
        <f t="shared" si="0"/>
        <v>5930000</v>
      </c>
      <c r="H11" s="104"/>
    </row>
    <row r="12" spans="1:8">
      <c r="A12" s="104"/>
      <c r="B12" s="104"/>
      <c r="C12" s="105"/>
      <c r="D12" s="103"/>
      <c r="E12" s="103"/>
      <c r="F12" s="103"/>
      <c r="G12" s="103"/>
      <c r="H12" s="104"/>
    </row>
    <row r="13" spans="1:8">
      <c r="A13" s="104"/>
      <c r="B13" s="104"/>
      <c r="C13" s="105"/>
      <c r="D13" s="103"/>
      <c r="E13" s="103"/>
      <c r="F13" s="103"/>
      <c r="G13" s="103"/>
      <c r="H13" s="104"/>
    </row>
    <row r="14" spans="1:8">
      <c r="A14" s="104"/>
      <c r="B14" s="104"/>
      <c r="C14" s="105"/>
      <c r="D14" s="103"/>
      <c r="E14" s="103"/>
      <c r="F14" s="103"/>
      <c r="G14" s="103"/>
      <c r="H14" s="104"/>
    </row>
    <row r="15" spans="1:8">
      <c r="A15" s="104"/>
      <c r="B15" s="104"/>
      <c r="C15" s="105"/>
      <c r="D15" s="103"/>
      <c r="E15" s="103"/>
      <c r="F15" s="103"/>
      <c r="G15" s="103"/>
      <c r="H15" s="104"/>
    </row>
    <row r="16" spans="1:8">
      <c r="A16" s="104"/>
      <c r="B16" s="104"/>
      <c r="C16" s="105"/>
      <c r="D16" s="103"/>
      <c r="E16" s="103"/>
      <c r="F16" s="103"/>
      <c r="G16" s="103"/>
      <c r="H16" s="104"/>
    </row>
    <row r="17" spans="1:8">
      <c r="A17" s="104"/>
      <c r="B17" s="104"/>
      <c r="C17" s="105"/>
      <c r="D17" s="103"/>
      <c r="E17" s="103"/>
      <c r="F17" s="103"/>
      <c r="G17" s="103"/>
      <c r="H17" s="104"/>
    </row>
    <row r="18" spans="1:8">
      <c r="A18" s="104"/>
      <c r="B18" s="104"/>
      <c r="C18" s="105"/>
      <c r="D18" s="103"/>
      <c r="E18" s="103"/>
      <c r="F18" s="103"/>
      <c r="G18" s="103"/>
      <c r="H18" s="104"/>
    </row>
    <row r="19" spans="1:8">
      <c r="A19" s="104"/>
      <c r="B19" s="104"/>
      <c r="C19" s="105"/>
      <c r="D19" s="103"/>
      <c r="E19" s="103"/>
      <c r="F19" s="103"/>
      <c r="G19" s="103"/>
      <c r="H19" s="104"/>
    </row>
    <row r="20" spans="1:8">
      <c r="A20" s="104"/>
      <c r="B20" s="104"/>
      <c r="C20" s="105"/>
      <c r="D20" s="103"/>
      <c r="E20" s="103"/>
      <c r="F20" s="103"/>
      <c r="G20" s="103"/>
      <c r="H20" s="104"/>
    </row>
    <row r="21" spans="1:8">
      <c r="A21" s="104"/>
      <c r="B21" s="104"/>
      <c r="C21" s="105"/>
      <c r="D21" s="103"/>
      <c r="E21" s="103"/>
      <c r="F21" s="103"/>
      <c r="G21" s="103"/>
      <c r="H21" s="104"/>
    </row>
    <row r="22" spans="1:8">
      <c r="A22" s="104"/>
      <c r="B22" s="104"/>
      <c r="C22" s="105"/>
      <c r="D22" s="103"/>
      <c r="E22" s="103"/>
      <c r="F22" s="103"/>
      <c r="G22" s="103"/>
      <c r="H22" s="104"/>
    </row>
    <row r="23" spans="1:8">
      <c r="A23" s="104"/>
      <c r="B23" s="104"/>
      <c r="C23" s="105"/>
      <c r="D23" s="103"/>
      <c r="E23" s="103"/>
      <c r="F23" s="103"/>
      <c r="G23" s="103"/>
      <c r="H23" s="104"/>
    </row>
    <row r="24" spans="1:8">
      <c r="A24" s="7"/>
      <c r="B24" s="7"/>
      <c r="C24" s="6"/>
      <c r="D24" s="35"/>
      <c r="E24" s="35"/>
      <c r="F24" s="35"/>
      <c r="G24" s="35"/>
      <c r="H24" s="7"/>
    </row>
    <row r="25" spans="1:8">
      <c r="A25" s="7"/>
      <c r="B25" s="7"/>
      <c r="C25" s="6"/>
      <c r="D25" s="35"/>
      <c r="E25" s="35"/>
      <c r="F25" s="35"/>
      <c r="G25" s="35"/>
      <c r="H25" s="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>
      <selection activeCell="F35" sqref="F35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301" t="s">
        <v>36</v>
      </c>
      <c r="B2" s="301" t="s">
        <v>35</v>
      </c>
      <c r="C2" s="301" t="s">
        <v>25</v>
      </c>
      <c r="D2" s="301" t="s">
        <v>4</v>
      </c>
      <c r="E2" s="303" t="s">
        <v>37</v>
      </c>
      <c r="F2" s="304" t="s">
        <v>17</v>
      </c>
      <c r="G2" s="303" t="s">
        <v>38</v>
      </c>
      <c r="H2" s="304"/>
      <c r="I2" s="303" t="s">
        <v>39</v>
      </c>
      <c r="J2" s="304"/>
      <c r="K2" s="303" t="s">
        <v>40</v>
      </c>
      <c r="L2" s="304"/>
      <c r="M2" s="303" t="s">
        <v>41</v>
      </c>
      <c r="N2" s="304" t="s">
        <v>17</v>
      </c>
      <c r="O2" s="301" t="s">
        <v>42</v>
      </c>
    </row>
    <row r="3" spans="1:15">
      <c r="A3" s="302" t="s">
        <v>17</v>
      </c>
      <c r="B3" s="302" t="s">
        <v>17</v>
      </c>
      <c r="C3" s="302"/>
      <c r="D3" s="302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302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D699"/>
  <sheetViews>
    <sheetView showGridLines="0" view="pageBreakPreview" topLeftCell="A13" zoomScaleNormal="100" zoomScaleSheetLayoutView="100" workbookViewId="0">
      <selection activeCell="U18" sqref="U18:Z18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310" t="s">
        <v>136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0"/>
      <c r="AI2" s="310"/>
    </row>
    <row r="3" spans="2:51" ht="20.100000000000001" customHeight="1"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310"/>
    </row>
    <row r="4" spans="2:51" ht="20.100000000000001" customHeight="1" thickBot="1"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310"/>
      <c r="AH4" s="310"/>
      <c r="AI4" s="310"/>
      <c r="AY4" s="39"/>
    </row>
    <row r="5" spans="2:51" ht="20.100000000000001" customHeight="1">
      <c r="B5" s="311" t="s">
        <v>212</v>
      </c>
      <c r="C5" s="312"/>
      <c r="D5" s="312"/>
      <c r="E5" s="312"/>
      <c r="F5" s="313"/>
      <c r="G5" s="314"/>
      <c r="H5" s="312"/>
      <c r="I5" s="312"/>
      <c r="J5" s="312"/>
      <c r="K5" s="312"/>
      <c r="L5" s="312"/>
      <c r="M5" s="312"/>
      <c r="N5" s="312"/>
      <c r="O5" s="312"/>
      <c r="P5" s="315"/>
      <c r="Q5" s="316" t="s">
        <v>213</v>
      </c>
      <c r="R5" s="317"/>
      <c r="S5" s="178" t="s">
        <v>214</v>
      </c>
      <c r="T5" s="179"/>
      <c r="U5" s="180"/>
      <c r="V5" s="322" t="s">
        <v>61</v>
      </c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4"/>
    </row>
    <row r="6" spans="2:51" ht="20.100000000000001" customHeight="1">
      <c r="B6" s="184" t="s">
        <v>215</v>
      </c>
      <c r="C6" s="185"/>
      <c r="D6" s="185"/>
      <c r="E6" s="185"/>
      <c r="F6" s="186"/>
      <c r="G6" s="190" t="s">
        <v>773</v>
      </c>
      <c r="H6" s="185"/>
      <c r="I6" s="185"/>
      <c r="J6" s="185"/>
      <c r="K6" s="185"/>
      <c r="L6" s="185"/>
      <c r="M6" s="185"/>
      <c r="N6" s="185"/>
      <c r="O6" s="185"/>
      <c r="P6" s="191"/>
      <c r="Q6" s="318"/>
      <c r="R6" s="319"/>
      <c r="S6" s="194" t="s">
        <v>216</v>
      </c>
      <c r="T6" s="195"/>
      <c r="U6" s="196"/>
      <c r="V6" s="197" t="s">
        <v>217</v>
      </c>
      <c r="W6" s="198"/>
      <c r="X6" s="198"/>
      <c r="Y6" s="198"/>
      <c r="Z6" s="198"/>
      <c r="AA6" s="199"/>
      <c r="AB6" s="194" t="s">
        <v>218</v>
      </c>
      <c r="AC6" s="195"/>
      <c r="AD6" s="196"/>
      <c r="AE6" s="327" t="s">
        <v>219</v>
      </c>
      <c r="AF6" s="328"/>
      <c r="AG6" s="328"/>
      <c r="AH6" s="328"/>
      <c r="AI6" s="40" t="s">
        <v>220</v>
      </c>
    </row>
    <row r="7" spans="2:51" ht="20.100000000000001" customHeight="1">
      <c r="B7" s="187"/>
      <c r="C7" s="188"/>
      <c r="D7" s="188"/>
      <c r="E7" s="188"/>
      <c r="F7" s="189"/>
      <c r="G7" s="192"/>
      <c r="H7" s="188"/>
      <c r="I7" s="188"/>
      <c r="J7" s="188"/>
      <c r="K7" s="188"/>
      <c r="L7" s="188"/>
      <c r="M7" s="188"/>
      <c r="N7" s="188"/>
      <c r="O7" s="188"/>
      <c r="P7" s="193"/>
      <c r="Q7" s="318"/>
      <c r="R7" s="319"/>
      <c r="S7" s="194" t="s">
        <v>144</v>
      </c>
      <c r="T7" s="195"/>
      <c r="U7" s="196"/>
      <c r="V7" s="197" t="s">
        <v>221</v>
      </c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200"/>
    </row>
    <row r="8" spans="2:51" ht="20.100000000000001" customHeight="1">
      <c r="B8" s="201" t="s">
        <v>222</v>
      </c>
      <c r="C8" s="198"/>
      <c r="D8" s="198"/>
      <c r="E8" s="198"/>
      <c r="F8" s="202"/>
      <c r="G8" s="206"/>
      <c r="H8" s="207"/>
      <c r="I8" s="207"/>
      <c r="J8" s="207"/>
      <c r="K8" s="207"/>
      <c r="L8" s="207"/>
      <c r="M8" s="207"/>
      <c r="N8" s="207"/>
      <c r="O8" s="207" t="s">
        <v>774</v>
      </c>
      <c r="P8" s="208"/>
      <c r="Q8" s="318"/>
      <c r="R8" s="319"/>
      <c r="S8" s="194" t="s">
        <v>147</v>
      </c>
      <c r="T8" s="195"/>
      <c r="U8" s="196"/>
      <c r="V8" s="197" t="s">
        <v>224</v>
      </c>
      <c r="W8" s="198"/>
      <c r="X8" s="198"/>
      <c r="Y8" s="198"/>
      <c r="Z8" s="198"/>
      <c r="AA8" s="199"/>
      <c r="AB8" s="194" t="s">
        <v>149</v>
      </c>
      <c r="AC8" s="195"/>
      <c r="AD8" s="196"/>
      <c r="AE8" s="197" t="s">
        <v>225</v>
      </c>
      <c r="AF8" s="198"/>
      <c r="AG8" s="198"/>
      <c r="AH8" s="198"/>
      <c r="AI8" s="200"/>
    </row>
    <row r="9" spans="2:51" ht="20.100000000000001" customHeight="1">
      <c r="B9" s="325" t="s">
        <v>226</v>
      </c>
      <c r="C9" s="249"/>
      <c r="D9" s="249"/>
      <c r="E9" s="249"/>
      <c r="F9" s="326"/>
      <c r="G9" s="203"/>
      <c r="H9" s="204"/>
      <c r="I9" s="204"/>
      <c r="J9" s="204"/>
      <c r="K9" s="204"/>
      <c r="L9" s="204"/>
      <c r="M9" s="204"/>
      <c r="N9" s="204"/>
      <c r="O9" s="204"/>
      <c r="P9" s="205"/>
      <c r="Q9" s="318"/>
      <c r="R9" s="319"/>
      <c r="S9" s="194" t="s">
        <v>227</v>
      </c>
      <c r="T9" s="195"/>
      <c r="U9" s="196"/>
      <c r="V9" s="197" t="s">
        <v>228</v>
      </c>
      <c r="W9" s="198"/>
      <c r="X9" s="198"/>
      <c r="Y9" s="198"/>
      <c r="Z9" s="198"/>
      <c r="AA9" s="199"/>
      <c r="AB9" s="194" t="s">
        <v>229</v>
      </c>
      <c r="AC9" s="195"/>
      <c r="AD9" s="196"/>
      <c r="AE9" s="197" t="s">
        <v>230</v>
      </c>
      <c r="AF9" s="198"/>
      <c r="AG9" s="198"/>
      <c r="AH9" s="198"/>
      <c r="AI9" s="200"/>
    </row>
    <row r="10" spans="2:51" ht="20.100000000000001" customHeight="1">
      <c r="B10" s="201" t="s">
        <v>231</v>
      </c>
      <c r="C10" s="198"/>
      <c r="D10" s="198"/>
      <c r="E10" s="198"/>
      <c r="F10" s="202"/>
      <c r="G10" s="203">
        <v>46155</v>
      </c>
      <c r="H10" s="204"/>
      <c r="I10" s="204"/>
      <c r="J10" s="204"/>
      <c r="K10" s="204"/>
      <c r="L10" s="204"/>
      <c r="M10" s="204"/>
      <c r="N10" s="204"/>
      <c r="O10" s="204"/>
      <c r="P10" s="205"/>
      <c r="Q10" s="318"/>
      <c r="R10" s="319"/>
      <c r="S10" s="194" t="s">
        <v>156</v>
      </c>
      <c r="T10" s="195"/>
      <c r="U10" s="196"/>
      <c r="V10" s="230" t="s">
        <v>232</v>
      </c>
      <c r="W10" s="231"/>
      <c r="X10" s="231"/>
      <c r="Y10" s="231"/>
      <c r="Z10" s="231"/>
      <c r="AA10" s="232"/>
      <c r="AB10" s="194" t="s">
        <v>233</v>
      </c>
      <c r="AC10" s="195"/>
      <c r="AD10" s="196"/>
      <c r="AE10" s="230" t="s">
        <v>234</v>
      </c>
      <c r="AF10" s="231"/>
      <c r="AG10" s="231"/>
      <c r="AH10" s="231"/>
      <c r="AI10" s="233"/>
    </row>
    <row r="11" spans="2:51" ht="20.100000000000001" customHeight="1">
      <c r="B11" s="211" t="s">
        <v>235</v>
      </c>
      <c r="C11" s="212"/>
      <c r="D11" s="212"/>
      <c r="E11" s="212"/>
      <c r="F11" s="213"/>
      <c r="G11" s="329" t="s">
        <v>775</v>
      </c>
      <c r="H11" s="330"/>
      <c r="I11" s="330"/>
      <c r="J11" s="330"/>
      <c r="K11" s="330"/>
      <c r="L11" s="330"/>
      <c r="M11" s="330"/>
      <c r="N11" s="330"/>
      <c r="O11" s="330"/>
      <c r="P11" s="331"/>
      <c r="Q11" s="320"/>
      <c r="R11" s="321"/>
      <c r="S11" s="214" t="s">
        <v>236</v>
      </c>
      <c r="T11" s="215"/>
      <c r="U11" s="216"/>
      <c r="V11" s="217" t="s">
        <v>237</v>
      </c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9"/>
    </row>
    <row r="12" spans="2:51" ht="20.100000000000001" customHeight="1">
      <c r="B12" s="220" t="s">
        <v>238</v>
      </c>
      <c r="C12" s="221"/>
      <c r="D12" s="221"/>
      <c r="E12" s="221"/>
      <c r="F12" s="221"/>
      <c r="G12" s="332" t="s">
        <v>776</v>
      </c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6"/>
    </row>
    <row r="13" spans="2:51" ht="20.100000000000001" customHeight="1">
      <c r="B13" s="222"/>
      <c r="C13" s="223"/>
      <c r="D13" s="223"/>
      <c r="E13" s="223"/>
      <c r="F13" s="223"/>
      <c r="G13" s="227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9"/>
    </row>
    <row r="14" spans="2:51" ht="20.100000000000001" customHeight="1">
      <c r="B14" s="220" t="s">
        <v>239</v>
      </c>
      <c r="C14" s="221"/>
      <c r="D14" s="221"/>
      <c r="E14" s="221"/>
      <c r="F14" s="245"/>
      <c r="G14" s="249" t="s">
        <v>240</v>
      </c>
      <c r="H14" s="249"/>
      <c r="I14" s="250">
        <f>W14</f>
        <v>69752120</v>
      </c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2" t="s">
        <v>241</v>
      </c>
      <c r="U14" s="252"/>
      <c r="V14" s="254" t="s">
        <v>242</v>
      </c>
      <c r="W14" s="255">
        <f>AA33</f>
        <v>69752120</v>
      </c>
      <c r="X14" s="255"/>
      <c r="Y14" s="255"/>
      <c r="Z14" s="255"/>
      <c r="AA14" s="255"/>
      <c r="AB14" s="255"/>
      <c r="AC14" s="255"/>
      <c r="AD14" s="255"/>
      <c r="AE14" s="234" t="s">
        <v>168</v>
      </c>
      <c r="AF14" s="235" t="s">
        <v>243</v>
      </c>
      <c r="AG14" s="235"/>
      <c r="AH14" s="235"/>
      <c r="AI14" s="236"/>
    </row>
    <row r="15" spans="2:51" ht="20.100000000000001" customHeight="1" thickBot="1">
      <c r="B15" s="246"/>
      <c r="C15" s="247"/>
      <c r="D15" s="247"/>
      <c r="E15" s="247"/>
      <c r="F15" s="248"/>
      <c r="G15" s="249"/>
      <c r="H15" s="249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3"/>
      <c r="U15" s="253"/>
      <c r="V15" s="254"/>
      <c r="W15" s="256"/>
      <c r="X15" s="256"/>
      <c r="Y15" s="256"/>
      <c r="Z15" s="256"/>
      <c r="AA15" s="256"/>
      <c r="AB15" s="256"/>
      <c r="AC15" s="256"/>
      <c r="AD15" s="256"/>
      <c r="AE15" s="234"/>
      <c r="AF15" s="237"/>
      <c r="AG15" s="237"/>
      <c r="AH15" s="237"/>
      <c r="AI15" s="238"/>
    </row>
    <row r="16" spans="2:51" ht="20.100000000000001" customHeight="1" thickBot="1">
      <c r="B16" s="333" t="s">
        <v>244</v>
      </c>
      <c r="C16" s="334"/>
      <c r="D16" s="334"/>
      <c r="E16" s="334"/>
      <c r="F16" s="334"/>
      <c r="G16" s="334"/>
      <c r="H16" s="334"/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  <c r="Z16" s="334"/>
      <c r="AA16" s="334"/>
      <c r="AB16" s="334"/>
      <c r="AC16" s="334"/>
      <c r="AD16" s="334"/>
      <c r="AE16" s="334"/>
      <c r="AF16" s="334"/>
      <c r="AG16" s="334"/>
      <c r="AH16" s="334"/>
      <c r="AI16" s="335"/>
    </row>
    <row r="17" spans="2:44" ht="20.100000000000001" customHeight="1">
      <c r="B17" s="336" t="s">
        <v>245</v>
      </c>
      <c r="C17" s="337"/>
      <c r="D17" s="337" t="s">
        <v>246</v>
      </c>
      <c r="E17" s="337"/>
      <c r="F17" s="337"/>
      <c r="G17" s="337"/>
      <c r="H17" s="337"/>
      <c r="I17" s="337"/>
      <c r="J17" s="337"/>
      <c r="K17" s="337" t="s">
        <v>171</v>
      </c>
      <c r="L17" s="337"/>
      <c r="M17" s="337"/>
      <c r="N17" s="337"/>
      <c r="O17" s="337"/>
      <c r="P17" s="337"/>
      <c r="Q17" s="337" t="s">
        <v>247</v>
      </c>
      <c r="R17" s="337"/>
      <c r="S17" s="337" t="s">
        <v>65</v>
      </c>
      <c r="T17" s="337"/>
      <c r="U17" s="337" t="s">
        <v>248</v>
      </c>
      <c r="V17" s="337"/>
      <c r="W17" s="337"/>
      <c r="X17" s="337"/>
      <c r="Y17" s="337"/>
      <c r="Z17" s="337"/>
      <c r="AA17" s="337" t="s">
        <v>249</v>
      </c>
      <c r="AB17" s="337"/>
      <c r="AC17" s="337"/>
      <c r="AD17" s="337"/>
      <c r="AE17" s="337"/>
      <c r="AF17" s="337"/>
      <c r="AG17" s="338" t="s">
        <v>250</v>
      </c>
      <c r="AH17" s="339"/>
      <c r="AI17" s="340"/>
    </row>
    <row r="18" spans="2:44" ht="30" customHeight="1">
      <c r="B18" s="305">
        <v>1</v>
      </c>
      <c r="C18" s="306"/>
      <c r="D18" s="346" t="s">
        <v>251</v>
      </c>
      <c r="E18" s="306"/>
      <c r="F18" s="306"/>
      <c r="G18" s="306"/>
      <c r="H18" s="306"/>
      <c r="I18" s="306"/>
      <c r="J18" s="306"/>
      <c r="K18" s="306" t="s">
        <v>270</v>
      </c>
      <c r="L18" s="306"/>
      <c r="M18" s="306"/>
      <c r="N18" s="306"/>
      <c r="O18" s="306"/>
      <c r="P18" s="306"/>
      <c r="Q18" s="306" t="s">
        <v>178</v>
      </c>
      <c r="R18" s="306"/>
      <c r="S18" s="306">
        <v>1</v>
      </c>
      <c r="T18" s="306"/>
      <c r="U18" s="309">
        <v>31000000</v>
      </c>
      <c r="V18" s="309"/>
      <c r="W18" s="309"/>
      <c r="X18" s="309"/>
      <c r="Y18" s="309"/>
      <c r="Z18" s="309"/>
      <c r="AA18" s="309">
        <f t="shared" ref="AA18:AA23" si="0">U18*S18</f>
        <v>31000000</v>
      </c>
      <c r="AB18" s="309"/>
      <c r="AC18" s="309"/>
      <c r="AD18" s="309"/>
      <c r="AE18" s="309"/>
      <c r="AF18" s="309"/>
      <c r="AG18" s="163"/>
      <c r="AH18" s="307"/>
      <c r="AI18" s="164"/>
      <c r="AR18" s="38">
        <f t="shared" ref="AR18:AR28" si="1">U18</f>
        <v>31000000</v>
      </c>
    </row>
    <row r="19" spans="2:44" ht="30" customHeight="1">
      <c r="B19" s="305">
        <v>2</v>
      </c>
      <c r="C19" s="306"/>
      <c r="D19" s="347" t="s">
        <v>252</v>
      </c>
      <c r="E19" s="348"/>
      <c r="F19" s="348"/>
      <c r="G19" s="348"/>
      <c r="H19" s="348"/>
      <c r="I19" s="348"/>
      <c r="J19" s="349"/>
      <c r="K19" s="306" t="s">
        <v>380</v>
      </c>
      <c r="L19" s="306"/>
      <c r="M19" s="306"/>
      <c r="N19" s="306"/>
      <c r="O19" s="306"/>
      <c r="P19" s="306"/>
      <c r="Q19" s="197" t="s">
        <v>178</v>
      </c>
      <c r="R19" s="199"/>
      <c r="S19" s="197">
        <v>6</v>
      </c>
      <c r="T19" s="199"/>
      <c r="U19" s="309">
        <v>550910</v>
      </c>
      <c r="V19" s="309"/>
      <c r="W19" s="309"/>
      <c r="X19" s="309"/>
      <c r="Y19" s="309"/>
      <c r="Z19" s="309"/>
      <c r="AA19" s="163">
        <f t="shared" si="0"/>
        <v>3305460</v>
      </c>
      <c r="AB19" s="307"/>
      <c r="AC19" s="307"/>
      <c r="AD19" s="307"/>
      <c r="AE19" s="307"/>
      <c r="AF19" s="308"/>
      <c r="AG19" s="163"/>
      <c r="AH19" s="307"/>
      <c r="AI19" s="164"/>
      <c r="AR19" s="38">
        <f t="shared" si="1"/>
        <v>550910</v>
      </c>
    </row>
    <row r="20" spans="2:44" ht="20.100000000000001" customHeight="1">
      <c r="B20" s="305">
        <v>3</v>
      </c>
      <c r="C20" s="306"/>
      <c r="D20" s="197" t="s">
        <v>253</v>
      </c>
      <c r="E20" s="198"/>
      <c r="F20" s="198"/>
      <c r="G20" s="198"/>
      <c r="H20" s="198"/>
      <c r="I20" s="198"/>
      <c r="J20" s="199"/>
      <c r="K20" s="306" t="s">
        <v>380</v>
      </c>
      <c r="L20" s="306"/>
      <c r="M20" s="306"/>
      <c r="N20" s="306"/>
      <c r="O20" s="306"/>
      <c r="P20" s="306"/>
      <c r="Q20" s="197" t="s">
        <v>178</v>
      </c>
      <c r="R20" s="199"/>
      <c r="S20" s="197">
        <v>1</v>
      </c>
      <c r="T20" s="199"/>
      <c r="U20" s="163">
        <v>15000000</v>
      </c>
      <c r="V20" s="307"/>
      <c r="W20" s="307"/>
      <c r="X20" s="307"/>
      <c r="Y20" s="307"/>
      <c r="Z20" s="308"/>
      <c r="AA20" s="163">
        <f t="shared" si="0"/>
        <v>15000000</v>
      </c>
      <c r="AB20" s="307"/>
      <c r="AC20" s="307"/>
      <c r="AD20" s="307"/>
      <c r="AE20" s="307"/>
      <c r="AF20" s="308"/>
      <c r="AG20" s="163"/>
      <c r="AH20" s="307"/>
      <c r="AI20" s="164"/>
      <c r="AR20" s="38">
        <f t="shared" si="1"/>
        <v>15000000</v>
      </c>
    </row>
    <row r="21" spans="2:44" ht="20.100000000000001" customHeight="1">
      <c r="B21" s="305">
        <v>4</v>
      </c>
      <c r="C21" s="306"/>
      <c r="D21" s="197" t="s">
        <v>254</v>
      </c>
      <c r="E21" s="198"/>
      <c r="F21" s="198"/>
      <c r="G21" s="198"/>
      <c r="H21" s="198"/>
      <c r="I21" s="198"/>
      <c r="J21" s="199"/>
      <c r="K21" s="306" t="s">
        <v>380</v>
      </c>
      <c r="L21" s="306"/>
      <c r="M21" s="306"/>
      <c r="N21" s="306"/>
      <c r="O21" s="306"/>
      <c r="P21" s="306"/>
      <c r="Q21" s="197" t="s">
        <v>178</v>
      </c>
      <c r="R21" s="199"/>
      <c r="S21" s="197">
        <v>1</v>
      </c>
      <c r="T21" s="199"/>
      <c r="U21" s="163">
        <v>624000</v>
      </c>
      <c r="V21" s="307"/>
      <c r="W21" s="307"/>
      <c r="X21" s="307"/>
      <c r="Y21" s="307"/>
      <c r="Z21" s="308"/>
      <c r="AA21" s="163">
        <f t="shared" si="0"/>
        <v>624000</v>
      </c>
      <c r="AB21" s="307"/>
      <c r="AC21" s="307"/>
      <c r="AD21" s="307"/>
      <c r="AE21" s="307"/>
      <c r="AF21" s="308"/>
      <c r="AG21" s="163"/>
      <c r="AH21" s="307"/>
      <c r="AI21" s="164"/>
      <c r="AR21" s="38">
        <f t="shared" si="1"/>
        <v>624000</v>
      </c>
    </row>
    <row r="22" spans="2:44" ht="20.100000000000001" customHeight="1">
      <c r="B22" s="305">
        <v>5</v>
      </c>
      <c r="C22" s="306"/>
      <c r="D22" s="306" t="s">
        <v>259</v>
      </c>
      <c r="E22" s="306"/>
      <c r="F22" s="306"/>
      <c r="G22" s="306"/>
      <c r="H22" s="306"/>
      <c r="I22" s="306"/>
      <c r="J22" s="306"/>
      <c r="K22" s="306" t="s">
        <v>270</v>
      </c>
      <c r="L22" s="306"/>
      <c r="M22" s="306"/>
      <c r="N22" s="306"/>
      <c r="O22" s="306"/>
      <c r="P22" s="306"/>
      <c r="Q22" s="306" t="s">
        <v>178</v>
      </c>
      <c r="R22" s="306"/>
      <c r="S22" s="197">
        <v>1</v>
      </c>
      <c r="T22" s="199"/>
      <c r="U22" s="309">
        <v>6000000</v>
      </c>
      <c r="V22" s="309"/>
      <c r="W22" s="309"/>
      <c r="X22" s="309"/>
      <c r="Y22" s="309"/>
      <c r="Z22" s="309"/>
      <c r="AA22" s="309">
        <f t="shared" si="0"/>
        <v>6000000</v>
      </c>
      <c r="AB22" s="309"/>
      <c r="AC22" s="309"/>
      <c r="AD22" s="309"/>
      <c r="AE22" s="309"/>
      <c r="AF22" s="309"/>
      <c r="AG22" s="163"/>
      <c r="AH22" s="307"/>
      <c r="AI22" s="164"/>
      <c r="AR22" s="38">
        <f t="shared" si="1"/>
        <v>6000000</v>
      </c>
    </row>
    <row r="23" spans="2:44" ht="20.100000000000001" customHeight="1">
      <c r="B23" s="305">
        <v>6</v>
      </c>
      <c r="C23" s="306"/>
      <c r="D23" s="197" t="s">
        <v>260</v>
      </c>
      <c r="E23" s="198"/>
      <c r="F23" s="198"/>
      <c r="G23" s="198"/>
      <c r="H23" s="198"/>
      <c r="I23" s="198"/>
      <c r="J23" s="199"/>
      <c r="K23" s="306" t="s">
        <v>380</v>
      </c>
      <c r="L23" s="306"/>
      <c r="M23" s="306"/>
      <c r="N23" s="306"/>
      <c r="O23" s="306"/>
      <c r="P23" s="306"/>
      <c r="Q23" s="197" t="s">
        <v>178</v>
      </c>
      <c r="R23" s="199"/>
      <c r="S23" s="197">
        <v>1</v>
      </c>
      <c r="T23" s="199"/>
      <c r="U23" s="309">
        <v>5150000</v>
      </c>
      <c r="V23" s="309"/>
      <c r="W23" s="309"/>
      <c r="X23" s="309"/>
      <c r="Y23" s="309"/>
      <c r="Z23" s="309"/>
      <c r="AA23" s="163">
        <f t="shared" si="0"/>
        <v>5150000</v>
      </c>
      <c r="AB23" s="307"/>
      <c r="AC23" s="307"/>
      <c r="AD23" s="307"/>
      <c r="AE23" s="307"/>
      <c r="AF23" s="308"/>
      <c r="AG23" s="163"/>
      <c r="AH23" s="307"/>
      <c r="AI23" s="164"/>
      <c r="AR23" s="38">
        <f t="shared" si="1"/>
        <v>5150000</v>
      </c>
    </row>
    <row r="24" spans="2:44" ht="20.100000000000001" customHeight="1">
      <c r="B24" s="305">
        <v>7</v>
      </c>
      <c r="C24" s="306"/>
      <c r="D24" s="197" t="s">
        <v>261</v>
      </c>
      <c r="E24" s="198"/>
      <c r="F24" s="198"/>
      <c r="G24" s="198"/>
      <c r="H24" s="198"/>
      <c r="I24" s="198"/>
      <c r="J24" s="199"/>
      <c r="K24" s="306" t="s">
        <v>380</v>
      </c>
      <c r="L24" s="306"/>
      <c r="M24" s="306"/>
      <c r="N24" s="306"/>
      <c r="O24" s="306"/>
      <c r="P24" s="306"/>
      <c r="Q24" s="197" t="s">
        <v>178</v>
      </c>
      <c r="R24" s="199"/>
      <c r="S24" s="197">
        <v>1</v>
      </c>
      <c r="T24" s="199"/>
      <c r="U24" s="163">
        <v>992660</v>
      </c>
      <c r="V24" s="307"/>
      <c r="W24" s="307"/>
      <c r="X24" s="307"/>
      <c r="Y24" s="307"/>
      <c r="Z24" s="308"/>
      <c r="AA24" s="163">
        <f t="shared" ref="AA24" si="2">U24*S24</f>
        <v>992660</v>
      </c>
      <c r="AB24" s="307"/>
      <c r="AC24" s="307"/>
      <c r="AD24" s="307"/>
      <c r="AE24" s="307"/>
      <c r="AF24" s="308"/>
      <c r="AG24" s="163"/>
      <c r="AH24" s="307"/>
      <c r="AI24" s="164"/>
      <c r="AR24" s="38">
        <f t="shared" si="1"/>
        <v>992660</v>
      </c>
    </row>
    <row r="25" spans="2:44" ht="30" customHeight="1">
      <c r="B25" s="305">
        <v>8</v>
      </c>
      <c r="C25" s="306"/>
      <c r="D25" s="197" t="s">
        <v>255</v>
      </c>
      <c r="E25" s="198"/>
      <c r="F25" s="198"/>
      <c r="G25" s="198"/>
      <c r="H25" s="198"/>
      <c r="I25" s="198"/>
      <c r="J25" s="199"/>
      <c r="K25" s="197" t="s">
        <v>293</v>
      </c>
      <c r="L25" s="198"/>
      <c r="M25" s="198"/>
      <c r="N25" s="198"/>
      <c r="O25" s="198"/>
      <c r="P25" s="199"/>
      <c r="Q25" s="197" t="s">
        <v>178</v>
      </c>
      <c r="R25" s="199"/>
      <c r="S25" s="197">
        <v>16</v>
      </c>
      <c r="T25" s="199"/>
      <c r="U25" s="163">
        <v>150000</v>
      </c>
      <c r="V25" s="307"/>
      <c r="W25" s="307"/>
      <c r="X25" s="307"/>
      <c r="Y25" s="307"/>
      <c r="Z25" s="308"/>
      <c r="AA25" s="163">
        <f t="shared" ref="AA25" si="3">U25*S25</f>
        <v>2400000</v>
      </c>
      <c r="AB25" s="307"/>
      <c r="AC25" s="307"/>
      <c r="AD25" s="307"/>
      <c r="AE25" s="307"/>
      <c r="AF25" s="308"/>
      <c r="AG25" s="163"/>
      <c r="AH25" s="307"/>
      <c r="AI25" s="164"/>
      <c r="AR25" s="38">
        <f t="shared" si="1"/>
        <v>150000</v>
      </c>
    </row>
    <row r="26" spans="2:44" ht="30" customHeight="1">
      <c r="B26" s="305">
        <v>9</v>
      </c>
      <c r="C26" s="306"/>
      <c r="D26" s="306" t="s">
        <v>256</v>
      </c>
      <c r="E26" s="306"/>
      <c r="F26" s="306"/>
      <c r="G26" s="306"/>
      <c r="H26" s="306"/>
      <c r="I26" s="306"/>
      <c r="J26" s="306"/>
      <c r="K26" s="306" t="s">
        <v>293</v>
      </c>
      <c r="L26" s="306"/>
      <c r="M26" s="306"/>
      <c r="N26" s="306"/>
      <c r="O26" s="306"/>
      <c r="P26" s="306"/>
      <c r="Q26" s="306" t="s">
        <v>178</v>
      </c>
      <c r="R26" s="306"/>
      <c r="S26" s="306">
        <v>16</v>
      </c>
      <c r="T26" s="306"/>
      <c r="U26" s="163">
        <v>250000</v>
      </c>
      <c r="V26" s="307"/>
      <c r="W26" s="307"/>
      <c r="X26" s="307"/>
      <c r="Y26" s="307"/>
      <c r="Z26" s="308"/>
      <c r="AA26" s="309">
        <f t="shared" ref="AA26" si="4">U26*S26</f>
        <v>4000000</v>
      </c>
      <c r="AB26" s="309"/>
      <c r="AC26" s="309"/>
      <c r="AD26" s="309"/>
      <c r="AE26" s="309"/>
      <c r="AF26" s="309"/>
      <c r="AG26" s="163"/>
      <c r="AH26" s="307"/>
      <c r="AI26" s="164"/>
      <c r="AR26" s="38">
        <f t="shared" si="1"/>
        <v>250000</v>
      </c>
    </row>
    <row r="27" spans="2:44" ht="19.5" customHeight="1">
      <c r="B27" s="305">
        <v>10</v>
      </c>
      <c r="C27" s="306"/>
      <c r="D27" s="306" t="s">
        <v>257</v>
      </c>
      <c r="E27" s="306"/>
      <c r="F27" s="306"/>
      <c r="G27" s="306"/>
      <c r="H27" s="306"/>
      <c r="I27" s="306"/>
      <c r="J27" s="306"/>
      <c r="K27" s="306" t="s">
        <v>293</v>
      </c>
      <c r="L27" s="306"/>
      <c r="M27" s="306"/>
      <c r="N27" s="306"/>
      <c r="O27" s="306"/>
      <c r="P27" s="306"/>
      <c r="Q27" s="306" t="s">
        <v>178</v>
      </c>
      <c r="R27" s="306"/>
      <c r="S27" s="306">
        <v>16</v>
      </c>
      <c r="T27" s="306"/>
      <c r="U27" s="163">
        <v>50000</v>
      </c>
      <c r="V27" s="307"/>
      <c r="W27" s="307"/>
      <c r="X27" s="307"/>
      <c r="Y27" s="307"/>
      <c r="Z27" s="308"/>
      <c r="AA27" s="309">
        <f t="shared" ref="AA27" si="5">U27*S27</f>
        <v>800000</v>
      </c>
      <c r="AB27" s="309"/>
      <c r="AC27" s="309"/>
      <c r="AD27" s="309"/>
      <c r="AE27" s="309"/>
      <c r="AF27" s="309"/>
      <c r="AG27" s="163"/>
      <c r="AH27" s="307"/>
      <c r="AI27" s="164"/>
      <c r="AR27" s="38">
        <f t="shared" si="1"/>
        <v>50000</v>
      </c>
    </row>
    <row r="28" spans="2:44" ht="20.100000000000001" customHeight="1">
      <c r="B28" s="305">
        <v>11</v>
      </c>
      <c r="C28" s="306"/>
      <c r="D28" s="197" t="s">
        <v>258</v>
      </c>
      <c r="E28" s="198"/>
      <c r="F28" s="198"/>
      <c r="G28" s="198"/>
      <c r="H28" s="198"/>
      <c r="I28" s="198"/>
      <c r="J28" s="199"/>
      <c r="K28" s="197" t="s">
        <v>294</v>
      </c>
      <c r="L28" s="198"/>
      <c r="M28" s="198"/>
      <c r="N28" s="198"/>
      <c r="O28" s="198"/>
      <c r="P28" s="199"/>
      <c r="Q28" s="306" t="s">
        <v>178</v>
      </c>
      <c r="R28" s="306"/>
      <c r="S28" s="306">
        <v>16</v>
      </c>
      <c r="T28" s="306"/>
      <c r="U28" s="163">
        <v>30000</v>
      </c>
      <c r="V28" s="307"/>
      <c r="W28" s="307"/>
      <c r="X28" s="307"/>
      <c r="Y28" s="307"/>
      <c r="Z28" s="308"/>
      <c r="AA28" s="309">
        <f t="shared" ref="AA28" si="6">U28*S28</f>
        <v>480000</v>
      </c>
      <c r="AB28" s="309"/>
      <c r="AC28" s="309"/>
      <c r="AD28" s="309"/>
      <c r="AE28" s="309"/>
      <c r="AF28" s="309"/>
      <c r="AG28" s="163"/>
      <c r="AH28" s="307"/>
      <c r="AI28" s="164"/>
      <c r="AR28" s="38">
        <f t="shared" si="1"/>
        <v>30000</v>
      </c>
    </row>
    <row r="29" spans="2:44" ht="19.5" customHeight="1">
      <c r="B29" s="305"/>
      <c r="C29" s="306"/>
      <c r="D29" s="306"/>
      <c r="E29" s="306"/>
      <c r="F29" s="306"/>
      <c r="G29" s="306"/>
      <c r="H29" s="306"/>
      <c r="I29" s="306"/>
      <c r="J29" s="306"/>
      <c r="K29" s="306"/>
      <c r="L29" s="306"/>
      <c r="M29" s="306"/>
      <c r="N29" s="306"/>
      <c r="O29" s="306"/>
      <c r="P29" s="306"/>
      <c r="Q29" s="306"/>
      <c r="R29" s="306"/>
      <c r="S29" s="306"/>
      <c r="T29" s="306"/>
      <c r="U29" s="163"/>
      <c r="V29" s="307"/>
      <c r="W29" s="307"/>
      <c r="X29" s="307"/>
      <c r="Y29" s="307"/>
      <c r="Z29" s="308"/>
      <c r="AA29" s="309"/>
      <c r="AB29" s="309"/>
      <c r="AC29" s="309"/>
      <c r="AD29" s="309"/>
      <c r="AE29" s="309"/>
      <c r="AF29" s="309"/>
      <c r="AG29" s="163"/>
      <c r="AH29" s="307"/>
      <c r="AI29" s="164"/>
      <c r="AR29" s="38">
        <f t="shared" ref="AR29:AR32" si="7">U29</f>
        <v>0</v>
      </c>
    </row>
    <row r="30" spans="2:44" ht="20.100000000000001" customHeight="1">
      <c r="B30" s="305"/>
      <c r="C30" s="306"/>
      <c r="D30" s="197"/>
      <c r="E30" s="198"/>
      <c r="F30" s="198"/>
      <c r="G30" s="198"/>
      <c r="H30" s="198"/>
      <c r="I30" s="198"/>
      <c r="J30" s="199"/>
      <c r="K30" s="197"/>
      <c r="L30" s="198"/>
      <c r="M30" s="198"/>
      <c r="N30" s="198"/>
      <c r="O30" s="198"/>
      <c r="P30" s="199"/>
      <c r="Q30" s="306"/>
      <c r="R30" s="306"/>
      <c r="S30" s="306"/>
      <c r="T30" s="306"/>
      <c r="U30" s="163"/>
      <c r="V30" s="307"/>
      <c r="W30" s="307"/>
      <c r="X30" s="307"/>
      <c r="Y30" s="307"/>
      <c r="Z30" s="308"/>
      <c r="AA30" s="309"/>
      <c r="AB30" s="309"/>
      <c r="AC30" s="309"/>
      <c r="AD30" s="309"/>
      <c r="AE30" s="309"/>
      <c r="AF30" s="309"/>
      <c r="AG30" s="163"/>
      <c r="AH30" s="307"/>
      <c r="AI30" s="164"/>
      <c r="AR30" s="38">
        <f t="shared" si="7"/>
        <v>0</v>
      </c>
    </row>
    <row r="31" spans="2:44" ht="19.5" customHeight="1">
      <c r="B31" s="305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163"/>
      <c r="V31" s="307"/>
      <c r="W31" s="307"/>
      <c r="X31" s="307"/>
      <c r="Y31" s="307"/>
      <c r="Z31" s="308"/>
      <c r="AA31" s="309"/>
      <c r="AB31" s="309"/>
      <c r="AC31" s="309"/>
      <c r="AD31" s="309"/>
      <c r="AE31" s="309"/>
      <c r="AF31" s="309"/>
      <c r="AG31" s="163"/>
      <c r="AH31" s="307"/>
      <c r="AI31" s="164"/>
      <c r="AR31" s="38">
        <f t="shared" si="7"/>
        <v>0</v>
      </c>
    </row>
    <row r="32" spans="2:44" ht="20.100000000000001" customHeight="1" thickBot="1">
      <c r="B32" s="350"/>
      <c r="C32" s="351"/>
      <c r="D32" s="352"/>
      <c r="E32" s="294"/>
      <c r="F32" s="294"/>
      <c r="G32" s="294"/>
      <c r="H32" s="294"/>
      <c r="I32" s="294"/>
      <c r="J32" s="295"/>
      <c r="K32" s="352"/>
      <c r="L32" s="294"/>
      <c r="M32" s="294"/>
      <c r="N32" s="294"/>
      <c r="O32" s="294"/>
      <c r="P32" s="295"/>
      <c r="Q32" s="351"/>
      <c r="R32" s="351"/>
      <c r="S32" s="351"/>
      <c r="T32" s="351"/>
      <c r="U32" s="353"/>
      <c r="V32" s="354"/>
      <c r="W32" s="354"/>
      <c r="X32" s="354"/>
      <c r="Y32" s="354"/>
      <c r="Z32" s="355"/>
      <c r="AA32" s="356"/>
      <c r="AB32" s="356"/>
      <c r="AC32" s="356"/>
      <c r="AD32" s="356"/>
      <c r="AE32" s="356"/>
      <c r="AF32" s="356"/>
      <c r="AG32" s="353"/>
      <c r="AH32" s="354"/>
      <c r="AI32" s="357"/>
      <c r="AR32" s="38">
        <f t="shared" si="7"/>
        <v>0</v>
      </c>
    </row>
    <row r="33" spans="2:56" ht="20.100000000000001" customHeight="1" thickBot="1">
      <c r="B33" s="275" t="s">
        <v>262</v>
      </c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7"/>
      <c r="AA33" s="345">
        <f>SUM(AA18:AF28)</f>
        <v>69752120</v>
      </c>
      <c r="AB33" s="278"/>
      <c r="AC33" s="278"/>
      <c r="AD33" s="278"/>
      <c r="AE33" s="278"/>
      <c r="AF33" s="278"/>
      <c r="AG33" s="278"/>
      <c r="AH33" s="278"/>
      <c r="AI33" s="279"/>
    </row>
    <row r="34" spans="2:56" ht="20.100000000000001" customHeight="1">
      <c r="B34" s="341" t="s">
        <v>263</v>
      </c>
      <c r="C34" s="317"/>
      <c r="D34" s="284" t="s">
        <v>264</v>
      </c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A34" s="285"/>
      <c r="AB34" s="285"/>
      <c r="AC34" s="285"/>
      <c r="AD34" s="285"/>
      <c r="AE34" s="285"/>
      <c r="AF34" s="285"/>
      <c r="AG34" s="285"/>
      <c r="AH34" s="285"/>
      <c r="AI34" s="286"/>
    </row>
    <row r="35" spans="2:56" ht="20.100000000000001" customHeight="1">
      <c r="B35" s="342"/>
      <c r="C35" s="319"/>
      <c r="D35" s="287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288"/>
      <c r="AE35" s="288"/>
      <c r="AF35" s="288"/>
      <c r="AG35" s="288"/>
      <c r="AH35" s="288"/>
      <c r="AI35" s="289"/>
      <c r="BD35" s="14"/>
    </row>
    <row r="36" spans="2:56" ht="20.100000000000001" customHeight="1">
      <c r="B36" s="342"/>
      <c r="C36" s="319"/>
      <c r="D36" s="287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88"/>
      <c r="AB36" s="288"/>
      <c r="AC36" s="288"/>
      <c r="AD36" s="288"/>
      <c r="AE36" s="288"/>
      <c r="AF36" s="288"/>
      <c r="AG36" s="288"/>
      <c r="AH36" s="288"/>
      <c r="AI36" s="289"/>
    </row>
    <row r="37" spans="2:56" ht="20.100000000000001" customHeight="1">
      <c r="B37" s="342"/>
      <c r="C37" s="319"/>
      <c r="D37" s="287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88"/>
      <c r="AB37" s="288"/>
      <c r="AC37" s="288"/>
      <c r="AD37" s="288"/>
      <c r="AE37" s="288"/>
      <c r="AF37" s="288"/>
      <c r="AG37" s="288"/>
      <c r="AH37" s="288"/>
      <c r="AI37" s="289"/>
    </row>
    <row r="38" spans="2:56" ht="20.100000000000001" customHeight="1" thickBot="1">
      <c r="B38" s="343"/>
      <c r="C38" s="344"/>
      <c r="D38" s="290"/>
      <c r="E38" s="291"/>
      <c r="F38" s="291"/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2"/>
    </row>
    <row r="699" spans="8:8" ht="20.100000000000001" customHeight="1">
      <c r="H699" s="38" t="e">
        <f>자재견적서!#REF!</f>
        <v>#REF!</v>
      </c>
    </row>
  </sheetData>
  <mergeCells count="180">
    <mergeCell ref="B32:C32"/>
    <mergeCell ref="D32:J32"/>
    <mergeCell ref="K32:P32"/>
    <mergeCell ref="Q32:R32"/>
    <mergeCell ref="S32:T32"/>
    <mergeCell ref="U32:Z32"/>
    <mergeCell ref="AA32:AF32"/>
    <mergeCell ref="AG32:AI32"/>
    <mergeCell ref="B31:C31"/>
    <mergeCell ref="D31:J31"/>
    <mergeCell ref="K31:P31"/>
    <mergeCell ref="Q31:R31"/>
    <mergeCell ref="S31:T31"/>
    <mergeCell ref="U31:Z31"/>
    <mergeCell ref="AA31:AF31"/>
    <mergeCell ref="AG31:AI31"/>
    <mergeCell ref="B30:C30"/>
    <mergeCell ref="D30:J30"/>
    <mergeCell ref="K30:P30"/>
    <mergeCell ref="Q30:R30"/>
    <mergeCell ref="S30:T30"/>
    <mergeCell ref="U30:Z30"/>
    <mergeCell ref="AA30:AF30"/>
    <mergeCell ref="AG30:AI30"/>
    <mergeCell ref="U29:Z29"/>
    <mergeCell ref="AA29:AF29"/>
    <mergeCell ref="AG29:AI29"/>
    <mergeCell ref="B29:C29"/>
    <mergeCell ref="D29:J29"/>
    <mergeCell ref="K29:P29"/>
    <mergeCell ref="Q29:R29"/>
    <mergeCell ref="S29:T29"/>
    <mergeCell ref="U24:Z24"/>
    <mergeCell ref="AA24:AF24"/>
    <mergeCell ref="AG24:AI24"/>
    <mergeCell ref="D22:J22"/>
    <mergeCell ref="K22:P22"/>
    <mergeCell ref="Q22:R22"/>
    <mergeCell ref="U22:Z22"/>
    <mergeCell ref="AA22:AF22"/>
    <mergeCell ref="AG22:AI22"/>
    <mergeCell ref="D23:J23"/>
    <mergeCell ref="K23:P23"/>
    <mergeCell ref="Q23:R23"/>
    <mergeCell ref="U23:Z23"/>
    <mergeCell ref="AA23:AF23"/>
    <mergeCell ref="AG23:AI23"/>
    <mergeCell ref="S20:T20"/>
    <mergeCell ref="U20:Z20"/>
    <mergeCell ref="AA20:AF20"/>
    <mergeCell ref="AG20:AI20"/>
    <mergeCell ref="B21:C21"/>
    <mergeCell ref="D21:J21"/>
    <mergeCell ref="K21:P21"/>
    <mergeCell ref="Q21:R21"/>
    <mergeCell ref="U21:Z21"/>
    <mergeCell ref="AA21:AF21"/>
    <mergeCell ref="AG21:AI21"/>
    <mergeCell ref="B34:C38"/>
    <mergeCell ref="D34:AI38"/>
    <mergeCell ref="B33:Z33"/>
    <mergeCell ref="AA33:AI33"/>
    <mergeCell ref="B18:C18"/>
    <mergeCell ref="D18:J18"/>
    <mergeCell ref="K18:P18"/>
    <mergeCell ref="Q18:R18"/>
    <mergeCell ref="S18:T18"/>
    <mergeCell ref="U18:Z18"/>
    <mergeCell ref="AA18:AF18"/>
    <mergeCell ref="AG18:AI18"/>
    <mergeCell ref="B19:C19"/>
    <mergeCell ref="D19:J19"/>
    <mergeCell ref="K19:P19"/>
    <mergeCell ref="Q19:R19"/>
    <mergeCell ref="S19:T19"/>
    <mergeCell ref="U19:Z19"/>
    <mergeCell ref="AA19:AF19"/>
    <mergeCell ref="AG19:AI19"/>
    <mergeCell ref="B20:C20"/>
    <mergeCell ref="D20:J20"/>
    <mergeCell ref="K20:P20"/>
    <mergeCell ref="Q20:R20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B28:C28"/>
    <mergeCell ref="D28:J28"/>
    <mergeCell ref="K28:P28"/>
    <mergeCell ref="Q28:R28"/>
    <mergeCell ref="S28:T28"/>
    <mergeCell ref="U28:Z28"/>
    <mergeCell ref="AA28:AF28"/>
    <mergeCell ref="AG28:AI28"/>
    <mergeCell ref="B27:C27"/>
    <mergeCell ref="D27:J27"/>
    <mergeCell ref="K27:P27"/>
    <mergeCell ref="Q27:R27"/>
    <mergeCell ref="S27:T27"/>
    <mergeCell ref="U27:Z27"/>
    <mergeCell ref="AA27:AF27"/>
    <mergeCell ref="AG27:AI27"/>
    <mergeCell ref="U26:Z26"/>
    <mergeCell ref="AA26:AF26"/>
    <mergeCell ref="AG26:AI26"/>
    <mergeCell ref="B25:C25"/>
    <mergeCell ref="D25:J25"/>
    <mergeCell ref="K25:P25"/>
    <mergeCell ref="Q25:R25"/>
    <mergeCell ref="S25:T25"/>
    <mergeCell ref="U25:Z25"/>
    <mergeCell ref="AA25:AF25"/>
    <mergeCell ref="AG25:AI25"/>
    <mergeCell ref="B24:C24"/>
    <mergeCell ref="S24:T24"/>
    <mergeCell ref="S21:T21"/>
    <mergeCell ref="B22:C22"/>
    <mergeCell ref="S22:T22"/>
    <mergeCell ref="B23:C23"/>
    <mergeCell ref="S23:T23"/>
    <mergeCell ref="B26:C26"/>
    <mergeCell ref="D26:J26"/>
    <mergeCell ref="K26:P26"/>
    <mergeCell ref="Q26:R26"/>
    <mergeCell ref="S26:T26"/>
    <mergeCell ref="D24:J24"/>
    <mergeCell ref="K24:P24"/>
    <mergeCell ref="Q24:R24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D695"/>
  <sheetViews>
    <sheetView showGridLines="0" view="pageBreakPreview" topLeftCell="A7" zoomScaleNormal="100" zoomScaleSheetLayoutView="100" workbookViewId="0">
      <selection activeCell="AA18" sqref="AA18:AF18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310" t="s">
        <v>777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0"/>
      <c r="AI2" s="310"/>
    </row>
    <row r="3" spans="2:51" ht="20.100000000000001" customHeight="1"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310"/>
    </row>
    <row r="4" spans="2:51" ht="20.100000000000001" customHeight="1" thickBot="1"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310"/>
      <c r="AH4" s="310"/>
      <c r="AI4" s="310"/>
      <c r="AY4" s="39"/>
    </row>
    <row r="5" spans="2:51" ht="20.100000000000001" customHeight="1">
      <c r="B5" s="311" t="s">
        <v>778</v>
      </c>
      <c r="C5" s="312"/>
      <c r="D5" s="312"/>
      <c r="E5" s="312"/>
      <c r="F5" s="313"/>
      <c r="G5" s="314"/>
      <c r="H5" s="312"/>
      <c r="I5" s="312"/>
      <c r="J5" s="312"/>
      <c r="K5" s="312"/>
      <c r="L5" s="312"/>
      <c r="M5" s="312"/>
      <c r="N5" s="312"/>
      <c r="O5" s="312"/>
      <c r="P5" s="315"/>
      <c r="Q5" s="316" t="s">
        <v>779</v>
      </c>
      <c r="R5" s="317"/>
      <c r="S5" s="178" t="s">
        <v>780</v>
      </c>
      <c r="T5" s="179"/>
      <c r="U5" s="180"/>
      <c r="V5" s="322" t="s">
        <v>781</v>
      </c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4"/>
    </row>
    <row r="6" spans="2:51" ht="20.100000000000001" customHeight="1">
      <c r="B6" s="184" t="s">
        <v>782</v>
      </c>
      <c r="C6" s="185"/>
      <c r="D6" s="185"/>
      <c r="E6" s="185"/>
      <c r="F6" s="186"/>
      <c r="G6" s="190" t="s">
        <v>783</v>
      </c>
      <c r="H6" s="185"/>
      <c r="I6" s="185"/>
      <c r="J6" s="185"/>
      <c r="K6" s="185"/>
      <c r="L6" s="185"/>
      <c r="M6" s="185"/>
      <c r="N6" s="185"/>
      <c r="O6" s="185"/>
      <c r="P6" s="191"/>
      <c r="Q6" s="318"/>
      <c r="R6" s="319"/>
      <c r="S6" s="194" t="s">
        <v>784</v>
      </c>
      <c r="T6" s="195"/>
      <c r="U6" s="196"/>
      <c r="V6" s="197" t="s">
        <v>217</v>
      </c>
      <c r="W6" s="198"/>
      <c r="X6" s="198"/>
      <c r="Y6" s="198"/>
      <c r="Z6" s="198"/>
      <c r="AA6" s="199"/>
      <c r="AB6" s="194" t="s">
        <v>785</v>
      </c>
      <c r="AC6" s="195"/>
      <c r="AD6" s="196"/>
      <c r="AE6" s="327" t="s">
        <v>786</v>
      </c>
      <c r="AF6" s="328"/>
      <c r="AG6" s="328"/>
      <c r="AH6" s="328"/>
      <c r="AI6" s="40" t="s">
        <v>787</v>
      </c>
    </row>
    <row r="7" spans="2:51" ht="20.100000000000001" customHeight="1">
      <c r="B7" s="187"/>
      <c r="C7" s="188"/>
      <c r="D7" s="188"/>
      <c r="E7" s="188"/>
      <c r="F7" s="189"/>
      <c r="G7" s="192"/>
      <c r="H7" s="188"/>
      <c r="I7" s="188"/>
      <c r="J7" s="188"/>
      <c r="K7" s="188"/>
      <c r="L7" s="188"/>
      <c r="M7" s="188"/>
      <c r="N7" s="188"/>
      <c r="O7" s="188"/>
      <c r="P7" s="193"/>
      <c r="Q7" s="318"/>
      <c r="R7" s="319"/>
      <c r="S7" s="194" t="s">
        <v>788</v>
      </c>
      <c r="T7" s="195"/>
      <c r="U7" s="196"/>
      <c r="V7" s="197" t="s">
        <v>789</v>
      </c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200"/>
    </row>
    <row r="8" spans="2:51" ht="20.100000000000001" customHeight="1">
      <c r="B8" s="201" t="s">
        <v>222</v>
      </c>
      <c r="C8" s="198"/>
      <c r="D8" s="198"/>
      <c r="E8" s="198"/>
      <c r="F8" s="202"/>
      <c r="G8" s="206"/>
      <c r="H8" s="207"/>
      <c r="I8" s="207"/>
      <c r="J8" s="207"/>
      <c r="K8" s="207"/>
      <c r="L8" s="207"/>
      <c r="M8" s="207"/>
      <c r="N8" s="207"/>
      <c r="O8" s="207" t="s">
        <v>223</v>
      </c>
      <c r="P8" s="208"/>
      <c r="Q8" s="318"/>
      <c r="R8" s="319"/>
      <c r="S8" s="194" t="s">
        <v>790</v>
      </c>
      <c r="T8" s="195"/>
      <c r="U8" s="196"/>
      <c r="V8" s="197" t="s">
        <v>791</v>
      </c>
      <c r="W8" s="198"/>
      <c r="X8" s="198"/>
      <c r="Y8" s="198"/>
      <c r="Z8" s="198"/>
      <c r="AA8" s="199"/>
      <c r="AB8" s="194" t="s">
        <v>792</v>
      </c>
      <c r="AC8" s="195"/>
      <c r="AD8" s="196"/>
      <c r="AE8" s="197" t="s">
        <v>793</v>
      </c>
      <c r="AF8" s="198"/>
      <c r="AG8" s="198"/>
      <c r="AH8" s="198"/>
      <c r="AI8" s="200"/>
    </row>
    <row r="9" spans="2:51" ht="20.100000000000001" customHeight="1">
      <c r="B9" s="325" t="s">
        <v>794</v>
      </c>
      <c r="C9" s="249"/>
      <c r="D9" s="249"/>
      <c r="E9" s="249"/>
      <c r="F9" s="326"/>
      <c r="G9" s="203"/>
      <c r="H9" s="204"/>
      <c r="I9" s="204"/>
      <c r="J9" s="204"/>
      <c r="K9" s="204"/>
      <c r="L9" s="204"/>
      <c r="M9" s="204"/>
      <c r="N9" s="204"/>
      <c r="O9" s="204"/>
      <c r="P9" s="205"/>
      <c r="Q9" s="318"/>
      <c r="R9" s="319"/>
      <c r="S9" s="194" t="s">
        <v>795</v>
      </c>
      <c r="T9" s="195"/>
      <c r="U9" s="196"/>
      <c r="V9" s="197" t="s">
        <v>228</v>
      </c>
      <c r="W9" s="198"/>
      <c r="X9" s="198"/>
      <c r="Y9" s="198"/>
      <c r="Z9" s="198"/>
      <c r="AA9" s="199"/>
      <c r="AB9" s="194" t="s">
        <v>796</v>
      </c>
      <c r="AC9" s="195"/>
      <c r="AD9" s="196"/>
      <c r="AE9" s="197" t="s">
        <v>797</v>
      </c>
      <c r="AF9" s="198"/>
      <c r="AG9" s="198"/>
      <c r="AH9" s="198"/>
      <c r="AI9" s="200"/>
    </row>
    <row r="10" spans="2:51" ht="20.100000000000001" customHeight="1">
      <c r="B10" s="201" t="s">
        <v>798</v>
      </c>
      <c r="C10" s="198"/>
      <c r="D10" s="198"/>
      <c r="E10" s="198"/>
      <c r="F10" s="202"/>
      <c r="G10" s="203">
        <v>46161</v>
      </c>
      <c r="H10" s="204"/>
      <c r="I10" s="204"/>
      <c r="J10" s="204"/>
      <c r="K10" s="204"/>
      <c r="L10" s="204"/>
      <c r="M10" s="204"/>
      <c r="N10" s="204"/>
      <c r="O10" s="204"/>
      <c r="P10" s="205"/>
      <c r="Q10" s="318"/>
      <c r="R10" s="319"/>
      <c r="S10" s="194" t="s">
        <v>799</v>
      </c>
      <c r="T10" s="195"/>
      <c r="U10" s="196"/>
      <c r="V10" s="230" t="s">
        <v>800</v>
      </c>
      <c r="W10" s="231"/>
      <c r="X10" s="231"/>
      <c r="Y10" s="231"/>
      <c r="Z10" s="231"/>
      <c r="AA10" s="232"/>
      <c r="AB10" s="194" t="s">
        <v>801</v>
      </c>
      <c r="AC10" s="195"/>
      <c r="AD10" s="196"/>
      <c r="AE10" s="230" t="s">
        <v>802</v>
      </c>
      <c r="AF10" s="231"/>
      <c r="AG10" s="231"/>
      <c r="AH10" s="231"/>
      <c r="AI10" s="233"/>
    </row>
    <row r="11" spans="2:51" ht="20.100000000000001" customHeight="1">
      <c r="B11" s="211" t="s">
        <v>803</v>
      </c>
      <c r="C11" s="212"/>
      <c r="D11" s="212"/>
      <c r="E11" s="212"/>
      <c r="F11" s="213"/>
      <c r="G11" s="329" t="s">
        <v>804</v>
      </c>
      <c r="H11" s="330"/>
      <c r="I11" s="330"/>
      <c r="J11" s="330"/>
      <c r="K11" s="330"/>
      <c r="L11" s="330"/>
      <c r="M11" s="330"/>
      <c r="N11" s="330"/>
      <c r="O11" s="330"/>
      <c r="P11" s="331"/>
      <c r="Q11" s="320"/>
      <c r="R11" s="321"/>
      <c r="S11" s="214" t="s">
        <v>805</v>
      </c>
      <c r="T11" s="215"/>
      <c r="U11" s="216"/>
      <c r="V11" s="217" t="s">
        <v>806</v>
      </c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9"/>
    </row>
    <row r="12" spans="2:51" ht="20.100000000000001" customHeight="1">
      <c r="B12" s="220" t="s">
        <v>807</v>
      </c>
      <c r="C12" s="221"/>
      <c r="D12" s="221"/>
      <c r="E12" s="221"/>
      <c r="F12" s="221"/>
      <c r="G12" s="332" t="s">
        <v>808</v>
      </c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6"/>
    </row>
    <row r="13" spans="2:51" ht="20.100000000000001" customHeight="1">
      <c r="B13" s="222"/>
      <c r="C13" s="223"/>
      <c r="D13" s="223"/>
      <c r="E13" s="223"/>
      <c r="F13" s="223"/>
      <c r="G13" s="227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9"/>
    </row>
    <row r="14" spans="2:51" ht="20.100000000000001" customHeight="1">
      <c r="B14" s="220" t="s">
        <v>809</v>
      </c>
      <c r="C14" s="221"/>
      <c r="D14" s="221"/>
      <c r="E14" s="221"/>
      <c r="F14" s="245"/>
      <c r="G14" s="249" t="s">
        <v>810</v>
      </c>
      <c r="H14" s="249"/>
      <c r="I14" s="250">
        <f>W14</f>
        <v>462600000</v>
      </c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2" t="s">
        <v>811</v>
      </c>
      <c r="U14" s="252"/>
      <c r="V14" s="254" t="s">
        <v>812</v>
      </c>
      <c r="W14" s="255">
        <f>AA29</f>
        <v>462600000</v>
      </c>
      <c r="X14" s="255"/>
      <c r="Y14" s="255"/>
      <c r="Z14" s="255"/>
      <c r="AA14" s="255"/>
      <c r="AB14" s="255"/>
      <c r="AC14" s="255"/>
      <c r="AD14" s="255"/>
      <c r="AE14" s="234" t="s">
        <v>813</v>
      </c>
      <c r="AF14" s="235" t="s">
        <v>814</v>
      </c>
      <c r="AG14" s="235"/>
      <c r="AH14" s="235"/>
      <c r="AI14" s="236"/>
    </row>
    <row r="15" spans="2:51" ht="20.100000000000001" customHeight="1" thickBot="1">
      <c r="B15" s="246"/>
      <c r="C15" s="247"/>
      <c r="D15" s="247"/>
      <c r="E15" s="247"/>
      <c r="F15" s="248"/>
      <c r="G15" s="249"/>
      <c r="H15" s="249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3"/>
      <c r="U15" s="253"/>
      <c r="V15" s="254"/>
      <c r="W15" s="256"/>
      <c r="X15" s="256"/>
      <c r="Y15" s="256"/>
      <c r="Z15" s="256"/>
      <c r="AA15" s="256"/>
      <c r="AB15" s="256"/>
      <c r="AC15" s="256"/>
      <c r="AD15" s="256"/>
      <c r="AE15" s="234"/>
      <c r="AF15" s="237"/>
      <c r="AG15" s="237"/>
      <c r="AH15" s="237"/>
      <c r="AI15" s="238"/>
    </row>
    <row r="16" spans="2:51" ht="20.100000000000001" customHeight="1" thickBot="1">
      <c r="B16" s="333" t="s">
        <v>815</v>
      </c>
      <c r="C16" s="334"/>
      <c r="D16" s="334"/>
      <c r="E16" s="334"/>
      <c r="F16" s="334"/>
      <c r="G16" s="334"/>
      <c r="H16" s="334"/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  <c r="Z16" s="334"/>
      <c r="AA16" s="334"/>
      <c r="AB16" s="334"/>
      <c r="AC16" s="334"/>
      <c r="AD16" s="334"/>
      <c r="AE16" s="334"/>
      <c r="AF16" s="334"/>
      <c r="AG16" s="334"/>
      <c r="AH16" s="334"/>
      <c r="AI16" s="335"/>
    </row>
    <row r="17" spans="2:56" ht="20.100000000000001" customHeight="1">
      <c r="B17" s="336" t="s">
        <v>816</v>
      </c>
      <c r="C17" s="337"/>
      <c r="D17" s="337" t="s">
        <v>817</v>
      </c>
      <c r="E17" s="337"/>
      <c r="F17" s="337"/>
      <c r="G17" s="337"/>
      <c r="H17" s="337"/>
      <c r="I17" s="337"/>
      <c r="J17" s="337"/>
      <c r="K17" s="337" t="s">
        <v>818</v>
      </c>
      <c r="L17" s="337"/>
      <c r="M17" s="337"/>
      <c r="N17" s="337"/>
      <c r="O17" s="337"/>
      <c r="P17" s="337"/>
      <c r="Q17" s="337" t="s">
        <v>819</v>
      </c>
      <c r="R17" s="337"/>
      <c r="S17" s="337" t="s">
        <v>820</v>
      </c>
      <c r="T17" s="337"/>
      <c r="U17" s="337" t="s">
        <v>821</v>
      </c>
      <c r="V17" s="337"/>
      <c r="W17" s="337"/>
      <c r="X17" s="337"/>
      <c r="Y17" s="337"/>
      <c r="Z17" s="337"/>
      <c r="AA17" s="337" t="s">
        <v>822</v>
      </c>
      <c r="AB17" s="337"/>
      <c r="AC17" s="337"/>
      <c r="AD17" s="337"/>
      <c r="AE17" s="337"/>
      <c r="AF17" s="337"/>
      <c r="AG17" s="338" t="s">
        <v>823</v>
      </c>
      <c r="AH17" s="339"/>
      <c r="AI17" s="340"/>
    </row>
    <row r="18" spans="2:56" ht="30" customHeight="1">
      <c r="B18" s="305">
        <v>1</v>
      </c>
      <c r="C18" s="306"/>
      <c r="D18" s="346" t="s">
        <v>824</v>
      </c>
      <c r="E18" s="306"/>
      <c r="F18" s="306"/>
      <c r="G18" s="306"/>
      <c r="H18" s="306"/>
      <c r="I18" s="306"/>
      <c r="J18" s="306"/>
      <c r="K18" s="306" t="s">
        <v>825</v>
      </c>
      <c r="L18" s="306"/>
      <c r="M18" s="306"/>
      <c r="N18" s="306"/>
      <c r="O18" s="306"/>
      <c r="P18" s="306"/>
      <c r="Q18" s="306" t="s">
        <v>826</v>
      </c>
      <c r="R18" s="306"/>
      <c r="S18" s="306">
        <v>1</v>
      </c>
      <c r="T18" s="306"/>
      <c r="U18" s="309">
        <v>55000000</v>
      </c>
      <c r="V18" s="309"/>
      <c r="W18" s="309"/>
      <c r="X18" s="309"/>
      <c r="Y18" s="309"/>
      <c r="Z18" s="309"/>
      <c r="AA18" s="309">
        <f t="shared" ref="AA18:AA22" si="0">U18*S18</f>
        <v>55000000</v>
      </c>
      <c r="AB18" s="309"/>
      <c r="AC18" s="309"/>
      <c r="AD18" s="309"/>
      <c r="AE18" s="309"/>
      <c r="AF18" s="309"/>
      <c r="AG18" s="163"/>
      <c r="AH18" s="307"/>
      <c r="AI18" s="164"/>
      <c r="AR18" s="38">
        <f t="shared" ref="AR18:AR28" si="1">U18</f>
        <v>55000000</v>
      </c>
    </row>
    <row r="19" spans="2:56" ht="30" customHeight="1">
      <c r="B19" s="305">
        <v>2</v>
      </c>
      <c r="C19" s="306"/>
      <c r="D19" s="347" t="s">
        <v>827</v>
      </c>
      <c r="E19" s="348"/>
      <c r="F19" s="348"/>
      <c r="G19" s="348"/>
      <c r="H19" s="348"/>
      <c r="I19" s="348"/>
      <c r="J19" s="349"/>
      <c r="K19" s="306" t="s">
        <v>828</v>
      </c>
      <c r="L19" s="306"/>
      <c r="M19" s="306"/>
      <c r="N19" s="306"/>
      <c r="O19" s="306"/>
      <c r="P19" s="306"/>
      <c r="Q19" s="197" t="s">
        <v>829</v>
      </c>
      <c r="R19" s="199"/>
      <c r="S19" s="306">
        <v>1</v>
      </c>
      <c r="T19" s="306"/>
      <c r="U19" s="309">
        <v>246000000</v>
      </c>
      <c r="V19" s="309"/>
      <c r="W19" s="309"/>
      <c r="X19" s="309"/>
      <c r="Y19" s="309"/>
      <c r="Z19" s="309"/>
      <c r="AA19" s="163">
        <f t="shared" si="0"/>
        <v>246000000</v>
      </c>
      <c r="AB19" s="307"/>
      <c r="AC19" s="307"/>
      <c r="AD19" s="307"/>
      <c r="AE19" s="307"/>
      <c r="AF19" s="308"/>
      <c r="AG19" s="163"/>
      <c r="AH19" s="307"/>
      <c r="AI19" s="164"/>
      <c r="AR19" s="38">
        <f t="shared" si="1"/>
        <v>246000000</v>
      </c>
    </row>
    <row r="20" spans="2:56" ht="30" customHeight="1">
      <c r="B20" s="305">
        <v>3</v>
      </c>
      <c r="C20" s="306"/>
      <c r="D20" s="197" t="s">
        <v>830</v>
      </c>
      <c r="E20" s="198"/>
      <c r="F20" s="198"/>
      <c r="G20" s="198"/>
      <c r="H20" s="198"/>
      <c r="I20" s="198"/>
      <c r="J20" s="199"/>
      <c r="K20" s="306" t="s">
        <v>828</v>
      </c>
      <c r="L20" s="306"/>
      <c r="M20" s="306"/>
      <c r="N20" s="306"/>
      <c r="O20" s="306"/>
      <c r="P20" s="306"/>
      <c r="Q20" s="197" t="s">
        <v>831</v>
      </c>
      <c r="R20" s="199"/>
      <c r="S20" s="306">
        <v>1</v>
      </c>
      <c r="T20" s="306"/>
      <c r="U20" s="163">
        <v>12600000</v>
      </c>
      <c r="V20" s="307"/>
      <c r="W20" s="307"/>
      <c r="X20" s="307"/>
      <c r="Y20" s="307"/>
      <c r="Z20" s="308"/>
      <c r="AA20" s="163">
        <f t="shared" si="0"/>
        <v>12600000</v>
      </c>
      <c r="AB20" s="307"/>
      <c r="AC20" s="307"/>
      <c r="AD20" s="307"/>
      <c r="AE20" s="307"/>
      <c r="AF20" s="308"/>
      <c r="AG20" s="163"/>
      <c r="AH20" s="307"/>
      <c r="AI20" s="164"/>
      <c r="AR20" s="38">
        <f t="shared" si="1"/>
        <v>12600000</v>
      </c>
    </row>
    <row r="21" spans="2:56" ht="30" customHeight="1">
      <c r="B21" s="305">
        <v>4</v>
      </c>
      <c r="C21" s="306"/>
      <c r="D21" s="197" t="s">
        <v>832</v>
      </c>
      <c r="E21" s="198"/>
      <c r="F21" s="198"/>
      <c r="G21" s="198"/>
      <c r="H21" s="198"/>
      <c r="I21" s="198"/>
      <c r="J21" s="199"/>
      <c r="K21" s="306" t="s">
        <v>833</v>
      </c>
      <c r="L21" s="306"/>
      <c r="M21" s="306"/>
      <c r="N21" s="306"/>
      <c r="O21" s="306"/>
      <c r="P21" s="306"/>
      <c r="Q21" s="197" t="s">
        <v>829</v>
      </c>
      <c r="R21" s="199"/>
      <c r="S21" s="306">
        <v>1</v>
      </c>
      <c r="T21" s="306"/>
      <c r="U21" s="163">
        <v>133000000</v>
      </c>
      <c r="V21" s="307"/>
      <c r="W21" s="307"/>
      <c r="X21" s="307"/>
      <c r="Y21" s="307"/>
      <c r="Z21" s="308"/>
      <c r="AA21" s="163">
        <f t="shared" si="0"/>
        <v>133000000</v>
      </c>
      <c r="AB21" s="307"/>
      <c r="AC21" s="307"/>
      <c r="AD21" s="307"/>
      <c r="AE21" s="307"/>
      <c r="AF21" s="308"/>
      <c r="AG21" s="163"/>
      <c r="AH21" s="307"/>
      <c r="AI21" s="164"/>
      <c r="AR21" s="38">
        <f t="shared" si="1"/>
        <v>133000000</v>
      </c>
    </row>
    <row r="22" spans="2:56" ht="30" customHeight="1">
      <c r="B22" s="305">
        <v>5</v>
      </c>
      <c r="C22" s="306"/>
      <c r="D22" s="306" t="s">
        <v>834</v>
      </c>
      <c r="E22" s="306"/>
      <c r="F22" s="306"/>
      <c r="G22" s="306"/>
      <c r="H22" s="306"/>
      <c r="I22" s="306"/>
      <c r="J22" s="306"/>
      <c r="K22" s="306" t="s">
        <v>828</v>
      </c>
      <c r="L22" s="306"/>
      <c r="M22" s="306"/>
      <c r="N22" s="306"/>
      <c r="O22" s="306"/>
      <c r="P22" s="306"/>
      <c r="Q22" s="197" t="s">
        <v>831</v>
      </c>
      <c r="R22" s="199"/>
      <c r="S22" s="306">
        <v>1</v>
      </c>
      <c r="T22" s="306"/>
      <c r="U22" s="309">
        <v>16000000</v>
      </c>
      <c r="V22" s="309"/>
      <c r="W22" s="309"/>
      <c r="X22" s="309"/>
      <c r="Y22" s="309"/>
      <c r="Z22" s="309"/>
      <c r="AA22" s="309">
        <f t="shared" si="0"/>
        <v>16000000</v>
      </c>
      <c r="AB22" s="309"/>
      <c r="AC22" s="309"/>
      <c r="AD22" s="309"/>
      <c r="AE22" s="309"/>
      <c r="AF22" s="309"/>
      <c r="AG22" s="163"/>
      <c r="AH22" s="307"/>
      <c r="AI22" s="164"/>
      <c r="AR22" s="38">
        <f t="shared" si="1"/>
        <v>16000000</v>
      </c>
    </row>
    <row r="23" spans="2:56" ht="20.100000000000001" customHeight="1">
      <c r="B23" s="305"/>
      <c r="C23" s="306"/>
      <c r="D23" s="197"/>
      <c r="E23" s="198"/>
      <c r="F23" s="198"/>
      <c r="G23" s="198"/>
      <c r="H23" s="198"/>
      <c r="I23" s="198"/>
      <c r="J23" s="199"/>
      <c r="K23" s="306"/>
      <c r="L23" s="306"/>
      <c r="M23" s="306"/>
      <c r="N23" s="306"/>
      <c r="O23" s="306"/>
      <c r="P23" s="306"/>
      <c r="Q23" s="197"/>
      <c r="R23" s="199"/>
      <c r="S23" s="306"/>
      <c r="T23" s="306"/>
      <c r="U23" s="309"/>
      <c r="V23" s="309"/>
      <c r="W23" s="309"/>
      <c r="X23" s="309"/>
      <c r="Y23" s="309"/>
      <c r="Z23" s="309"/>
      <c r="AA23" s="163"/>
      <c r="AB23" s="307"/>
      <c r="AC23" s="307"/>
      <c r="AD23" s="307"/>
      <c r="AE23" s="307"/>
      <c r="AF23" s="308"/>
      <c r="AG23" s="163"/>
      <c r="AH23" s="307"/>
      <c r="AI23" s="164"/>
      <c r="AR23" s="38">
        <f t="shared" si="1"/>
        <v>0</v>
      </c>
    </row>
    <row r="24" spans="2:56" ht="20.100000000000001" customHeight="1">
      <c r="B24" s="305"/>
      <c r="C24" s="306"/>
      <c r="D24" s="197"/>
      <c r="E24" s="198"/>
      <c r="F24" s="198"/>
      <c r="G24" s="198"/>
      <c r="H24" s="198"/>
      <c r="I24" s="198"/>
      <c r="J24" s="199"/>
      <c r="K24" s="306"/>
      <c r="L24" s="306"/>
      <c r="M24" s="306"/>
      <c r="N24" s="306"/>
      <c r="O24" s="306"/>
      <c r="P24" s="306"/>
      <c r="Q24" s="197"/>
      <c r="R24" s="199"/>
      <c r="S24" s="306"/>
      <c r="T24" s="306"/>
      <c r="U24" s="163"/>
      <c r="V24" s="307"/>
      <c r="W24" s="307"/>
      <c r="X24" s="307"/>
      <c r="Y24" s="307"/>
      <c r="Z24" s="308"/>
      <c r="AA24" s="163"/>
      <c r="AB24" s="307"/>
      <c r="AC24" s="307"/>
      <c r="AD24" s="307"/>
      <c r="AE24" s="307"/>
      <c r="AF24" s="308"/>
      <c r="AG24" s="163"/>
      <c r="AH24" s="307"/>
      <c r="AI24" s="164"/>
      <c r="AR24" s="38">
        <f t="shared" si="1"/>
        <v>0</v>
      </c>
    </row>
    <row r="25" spans="2:56" ht="30" customHeight="1">
      <c r="B25" s="305"/>
      <c r="C25" s="306"/>
      <c r="D25" s="197"/>
      <c r="E25" s="198"/>
      <c r="F25" s="198"/>
      <c r="G25" s="198"/>
      <c r="H25" s="198"/>
      <c r="I25" s="198"/>
      <c r="J25" s="199"/>
      <c r="K25" s="197"/>
      <c r="L25" s="198"/>
      <c r="M25" s="198"/>
      <c r="N25" s="198"/>
      <c r="O25" s="198"/>
      <c r="P25" s="199"/>
      <c r="Q25" s="197"/>
      <c r="R25" s="199"/>
      <c r="S25" s="197"/>
      <c r="T25" s="199"/>
      <c r="U25" s="163"/>
      <c r="V25" s="307"/>
      <c r="W25" s="307"/>
      <c r="X25" s="307"/>
      <c r="Y25" s="307"/>
      <c r="Z25" s="308"/>
      <c r="AA25" s="163"/>
      <c r="AB25" s="307"/>
      <c r="AC25" s="307"/>
      <c r="AD25" s="307"/>
      <c r="AE25" s="307"/>
      <c r="AF25" s="308"/>
      <c r="AG25" s="163"/>
      <c r="AH25" s="307"/>
      <c r="AI25" s="164"/>
      <c r="AR25" s="38">
        <f t="shared" si="1"/>
        <v>0</v>
      </c>
    </row>
    <row r="26" spans="2:56" ht="30" customHeight="1">
      <c r="B26" s="305"/>
      <c r="C26" s="306"/>
      <c r="D26" s="306"/>
      <c r="E26" s="306"/>
      <c r="F26" s="306"/>
      <c r="G26" s="306"/>
      <c r="H26" s="306"/>
      <c r="I26" s="306"/>
      <c r="J26" s="306"/>
      <c r="K26" s="306"/>
      <c r="L26" s="306"/>
      <c r="M26" s="306"/>
      <c r="N26" s="306"/>
      <c r="O26" s="306"/>
      <c r="P26" s="306"/>
      <c r="Q26" s="306"/>
      <c r="R26" s="306"/>
      <c r="S26" s="306"/>
      <c r="T26" s="306"/>
      <c r="U26" s="163"/>
      <c r="V26" s="307"/>
      <c r="W26" s="307"/>
      <c r="X26" s="307"/>
      <c r="Y26" s="307"/>
      <c r="Z26" s="308"/>
      <c r="AA26" s="309"/>
      <c r="AB26" s="309"/>
      <c r="AC26" s="309"/>
      <c r="AD26" s="309"/>
      <c r="AE26" s="309"/>
      <c r="AF26" s="309"/>
      <c r="AG26" s="163"/>
      <c r="AH26" s="307"/>
      <c r="AI26" s="164"/>
      <c r="AR26" s="38">
        <f t="shared" si="1"/>
        <v>0</v>
      </c>
    </row>
    <row r="27" spans="2:56" ht="20.100000000000001" customHeight="1">
      <c r="B27" s="305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163"/>
      <c r="V27" s="307"/>
      <c r="W27" s="307"/>
      <c r="X27" s="307"/>
      <c r="Y27" s="307"/>
      <c r="Z27" s="308"/>
      <c r="AA27" s="309"/>
      <c r="AB27" s="309"/>
      <c r="AC27" s="309"/>
      <c r="AD27" s="309"/>
      <c r="AE27" s="309"/>
      <c r="AF27" s="309"/>
      <c r="AG27" s="163"/>
      <c r="AH27" s="307"/>
      <c r="AI27" s="164"/>
      <c r="AR27" s="38">
        <f t="shared" si="1"/>
        <v>0</v>
      </c>
    </row>
    <row r="28" spans="2:56" ht="20.100000000000001" customHeight="1" thickBot="1">
      <c r="B28" s="305"/>
      <c r="C28" s="306"/>
      <c r="D28" s="197"/>
      <c r="E28" s="198"/>
      <c r="F28" s="198"/>
      <c r="G28" s="198"/>
      <c r="H28" s="198"/>
      <c r="I28" s="198"/>
      <c r="J28" s="199"/>
      <c r="K28" s="197"/>
      <c r="L28" s="198"/>
      <c r="M28" s="198"/>
      <c r="N28" s="198"/>
      <c r="O28" s="198"/>
      <c r="P28" s="199"/>
      <c r="Q28" s="306"/>
      <c r="R28" s="306"/>
      <c r="S28" s="306"/>
      <c r="T28" s="306"/>
      <c r="U28" s="353"/>
      <c r="V28" s="354"/>
      <c r="W28" s="354"/>
      <c r="X28" s="354"/>
      <c r="Y28" s="354"/>
      <c r="Z28" s="355"/>
      <c r="AA28" s="309"/>
      <c r="AB28" s="309"/>
      <c r="AC28" s="309"/>
      <c r="AD28" s="309"/>
      <c r="AE28" s="309"/>
      <c r="AF28" s="309"/>
      <c r="AG28" s="163"/>
      <c r="AH28" s="307"/>
      <c r="AI28" s="164"/>
      <c r="AR28" s="38">
        <f t="shared" si="1"/>
        <v>0</v>
      </c>
    </row>
    <row r="29" spans="2:56" ht="20.100000000000001" customHeight="1" thickBot="1">
      <c r="B29" s="275" t="s">
        <v>835</v>
      </c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7"/>
      <c r="AA29" s="345">
        <f>SUM(AA18:AF28)</f>
        <v>462600000</v>
      </c>
      <c r="AB29" s="278"/>
      <c r="AC29" s="278"/>
      <c r="AD29" s="278"/>
      <c r="AE29" s="278"/>
      <c r="AF29" s="278"/>
      <c r="AG29" s="278"/>
      <c r="AH29" s="278"/>
      <c r="AI29" s="279"/>
    </row>
    <row r="30" spans="2:56" ht="20.100000000000001" customHeight="1">
      <c r="B30" s="341" t="s">
        <v>836</v>
      </c>
      <c r="C30" s="317"/>
      <c r="D30" s="284" t="s">
        <v>837</v>
      </c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86"/>
    </row>
    <row r="31" spans="2:56" ht="20.100000000000001" customHeight="1">
      <c r="B31" s="342"/>
      <c r="C31" s="319"/>
      <c r="D31" s="287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88"/>
      <c r="AB31" s="288"/>
      <c r="AC31" s="288"/>
      <c r="AD31" s="288"/>
      <c r="AE31" s="288"/>
      <c r="AF31" s="288"/>
      <c r="AG31" s="288"/>
      <c r="AH31" s="288"/>
      <c r="AI31" s="289"/>
      <c r="BD31" s="14"/>
    </row>
    <row r="32" spans="2:56" ht="20.100000000000001" customHeight="1">
      <c r="B32" s="342"/>
      <c r="C32" s="319"/>
      <c r="D32" s="287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/>
      <c r="AE32" s="288"/>
      <c r="AF32" s="288"/>
      <c r="AG32" s="288"/>
      <c r="AH32" s="288"/>
      <c r="AI32" s="289"/>
    </row>
    <row r="33" spans="2:35" ht="20.100000000000001" customHeight="1">
      <c r="B33" s="342"/>
      <c r="C33" s="319"/>
      <c r="D33" s="287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  <c r="AC33" s="288"/>
      <c r="AD33" s="288"/>
      <c r="AE33" s="288"/>
      <c r="AF33" s="288"/>
      <c r="AG33" s="288"/>
      <c r="AH33" s="288"/>
      <c r="AI33" s="289"/>
    </row>
    <row r="34" spans="2:35" ht="20.100000000000001" customHeight="1" thickBot="1">
      <c r="B34" s="343"/>
      <c r="C34" s="344"/>
      <c r="D34" s="290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2"/>
    </row>
    <row r="695" spans="8:8" ht="20.100000000000001" customHeight="1">
      <c r="H695" s="38" t="e">
        <f>장비견적서!#REF!</f>
        <v>#REF!</v>
      </c>
    </row>
  </sheetData>
  <mergeCells count="148">
    <mergeCell ref="B29:Z29"/>
    <mergeCell ref="AA29:AI29"/>
    <mergeCell ref="B30:C34"/>
    <mergeCell ref="D30:AI34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27:C27"/>
    <mergeCell ref="D27:J27"/>
    <mergeCell ref="K27:P27"/>
    <mergeCell ref="Q27:R27"/>
    <mergeCell ref="S27:T27"/>
    <mergeCell ref="U27:Z27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5:C25"/>
    <mergeCell ref="D25:J25"/>
    <mergeCell ref="K25:P25"/>
    <mergeCell ref="Q25:R25"/>
    <mergeCell ref="S25:T25"/>
    <mergeCell ref="U25:Z25"/>
    <mergeCell ref="AA23:AF23"/>
    <mergeCell ref="AG23:AI23"/>
    <mergeCell ref="B24:C24"/>
    <mergeCell ref="D24:J24"/>
    <mergeCell ref="K24:P24"/>
    <mergeCell ref="Q24:R24"/>
    <mergeCell ref="S24:T24"/>
    <mergeCell ref="U24:Z24"/>
    <mergeCell ref="AA24:AF24"/>
    <mergeCell ref="AG24:AI24"/>
    <mergeCell ref="B23:C23"/>
    <mergeCell ref="D23:J23"/>
    <mergeCell ref="K23:P23"/>
    <mergeCell ref="Q23:R23"/>
    <mergeCell ref="S23:T23"/>
    <mergeCell ref="U23:Z23"/>
    <mergeCell ref="AA21:AF21"/>
    <mergeCell ref="AG21:AI21"/>
    <mergeCell ref="B22:C22"/>
    <mergeCell ref="D22:J22"/>
    <mergeCell ref="K22:P22"/>
    <mergeCell ref="Q22:R22"/>
    <mergeCell ref="S22:T22"/>
    <mergeCell ref="U22:Z22"/>
    <mergeCell ref="AA22:AF22"/>
    <mergeCell ref="AG22:AI22"/>
    <mergeCell ref="B21:C21"/>
    <mergeCell ref="D21:J21"/>
    <mergeCell ref="K21:P21"/>
    <mergeCell ref="Q21:R21"/>
    <mergeCell ref="S21:T21"/>
    <mergeCell ref="U21:Z21"/>
    <mergeCell ref="B20:C20"/>
    <mergeCell ref="D20:J20"/>
    <mergeCell ref="K20:P20"/>
    <mergeCell ref="Q20:R20"/>
    <mergeCell ref="S20:T20"/>
    <mergeCell ref="U20:Z20"/>
    <mergeCell ref="AA20:AF20"/>
    <mergeCell ref="AG20:AI20"/>
    <mergeCell ref="B19:C19"/>
    <mergeCell ref="D19:J19"/>
    <mergeCell ref="K19:P19"/>
    <mergeCell ref="Q19:R19"/>
    <mergeCell ref="S19:T19"/>
    <mergeCell ref="U19:Z19"/>
    <mergeCell ref="B18:C18"/>
    <mergeCell ref="D18:J18"/>
    <mergeCell ref="K18:P18"/>
    <mergeCell ref="Q18:R18"/>
    <mergeCell ref="S18:T18"/>
    <mergeCell ref="U18:Z18"/>
    <mergeCell ref="AA18:AF18"/>
    <mergeCell ref="AG18:AI18"/>
    <mergeCell ref="AA19:AF19"/>
    <mergeCell ref="AG19:AI19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301" t="s">
        <v>44</v>
      </c>
      <c r="B1" s="301" t="s">
        <v>45</v>
      </c>
      <c r="C1" s="301" t="s">
        <v>3</v>
      </c>
    </row>
    <row r="2" spans="1:3">
      <c r="A2" s="302" t="s">
        <v>17</v>
      </c>
      <c r="B2" s="302" t="s">
        <v>17</v>
      </c>
      <c r="C2" s="302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view="pageBreakPreview" topLeftCell="A7" zoomScale="115" zoomScaleNormal="100" zoomScaleSheetLayoutView="115" workbookViewId="0">
      <selection activeCell="M10" sqref="M10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8</vt:i4>
      </vt:variant>
    </vt:vector>
  </HeadingPairs>
  <TitlesOfParts>
    <vt:vector size="23" baseType="lpstr">
      <vt:lpstr>내역서</vt:lpstr>
      <vt:lpstr>견적서</vt:lpstr>
      <vt:lpstr>일위대가목록</vt:lpstr>
      <vt:lpstr>일위대가호표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자재견적서</vt:lpstr>
      <vt:lpstr>장비견적서</vt:lpstr>
      <vt:lpstr>수량산출서</vt:lpstr>
      <vt:lpstr>장비운반비 산출근거</vt:lpstr>
      <vt:lpstr>G145.</vt:lpstr>
      <vt:lpstr>견적서!Print_Area</vt:lpstr>
      <vt:lpstr>내역서!Print_Area</vt:lpstr>
      <vt:lpstr>일위대가호표!Print_Area</vt:lpstr>
      <vt:lpstr>자재견적서!Print_Area</vt:lpstr>
      <vt:lpstr>장비견적서!Print_Area</vt:lpstr>
      <vt:lpstr>중기기초자료!Print_Titles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승리 백</cp:lastModifiedBy>
  <cp:lastPrinted>2025-09-13T02:29:23Z</cp:lastPrinted>
  <dcterms:created xsi:type="dcterms:W3CDTF">2023-01-10T01:11:57Z</dcterms:created>
  <dcterms:modified xsi:type="dcterms:W3CDTF">2026-05-18T08:33:57Z</dcterms:modified>
</cp:coreProperties>
</file>