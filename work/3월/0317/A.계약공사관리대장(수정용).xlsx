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C:\Users\PC_1M\Desktop\2026_이서하\일자별_업무_사용파일\0317\"/>
    </mc:Choice>
  </mc:AlternateContent>
  <xr:revisionPtr revIDLastSave="0" documentId="13_ncr:1_{1171288E-477F-42AA-8739-C7A3C10C3883}" xr6:coauthVersionLast="47" xr6:coauthVersionMax="47" xr10:uidLastSave="{00000000-0000-0000-0000-000000000000}"/>
  <bookViews>
    <workbookView xWindow="1230" yWindow="1410" windowWidth="25950" windowHeight="11295" activeTab="1" xr2:uid="{00000000-000D-0000-FFFF-FFFF00000000}"/>
  </bookViews>
  <sheets>
    <sheet name="2021" sheetId="1" r:id="rId1"/>
    <sheet name="미수금" sheetId="4" r:id="rId2"/>
    <sheet name="Sheet1" sheetId="12" r:id="rId3"/>
    <sheet name="관로공사매출" sheetId="8" r:id="rId4"/>
    <sheet name="동진산업2024" sheetId="11" r:id="rId5"/>
    <sheet name="(2024공사外발행 )" sheetId="10" r:id="rId6"/>
    <sheet name="대호E&amp;C" sheetId="5" r:id="rId7"/>
    <sheet name="동진산업" sheetId="6" r:id="rId8"/>
    <sheet name="동진산업 (2)"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_A1" localSheetId="5">BlankMacro1</definedName>
    <definedName name="__A1" localSheetId="3">BlankMacro1</definedName>
    <definedName name="__A1" localSheetId="6">BlankMacro1</definedName>
    <definedName name="__A1" localSheetId="7">BlankMacro1</definedName>
    <definedName name="__A1" localSheetId="8">BlankMacro1</definedName>
    <definedName name="__A1" localSheetId="4">BlankMacro1</definedName>
    <definedName name="__A1" localSheetId="1">BlankMacro1</definedName>
    <definedName name="__A1">BlankMacro1</definedName>
    <definedName name="__A20000" localSheetId="5">#REF!</definedName>
    <definedName name="__A20000" localSheetId="3">#REF!</definedName>
    <definedName name="__A20000" localSheetId="6">#REF!</definedName>
    <definedName name="__A20000" localSheetId="7">#REF!</definedName>
    <definedName name="__A20000" localSheetId="8">#REF!</definedName>
    <definedName name="__A20000" localSheetId="4">#REF!</definedName>
    <definedName name="__A20000" localSheetId="1">#REF!</definedName>
    <definedName name="__A20000">#REF!</definedName>
    <definedName name="__JJ15" localSheetId="5">#REF!</definedName>
    <definedName name="__JJ15" localSheetId="3">#REF!</definedName>
    <definedName name="__JJ15" localSheetId="6">#REF!</definedName>
    <definedName name="__JJ15" localSheetId="7">#REF!</definedName>
    <definedName name="__JJ15" localSheetId="8">#REF!</definedName>
    <definedName name="__JJ15" localSheetId="4">#REF!</definedName>
    <definedName name="__JJ15" localSheetId="1">#REF!</definedName>
    <definedName name="__JJ15">#REF!</definedName>
    <definedName name="__JJ16" localSheetId="5">#REF!</definedName>
    <definedName name="__JJ16" localSheetId="3">#REF!</definedName>
    <definedName name="__JJ16" localSheetId="6">#REF!</definedName>
    <definedName name="__JJ16" localSheetId="7">#REF!</definedName>
    <definedName name="__JJ16" localSheetId="8">#REF!</definedName>
    <definedName name="__JJ16" localSheetId="4">#REF!</definedName>
    <definedName name="__JJ16" localSheetId="1">#REF!</definedName>
    <definedName name="__JJ16">#REF!</definedName>
    <definedName name="__NEW1">ROUND([0]!__NEW1*0.0254,3)</definedName>
    <definedName name="__S14" localSheetId="5">BlankMacro1</definedName>
    <definedName name="__S14" localSheetId="3">BlankMacro1</definedName>
    <definedName name="__S14" localSheetId="6">BlankMacro1</definedName>
    <definedName name="__S14" localSheetId="7">BlankMacro1</definedName>
    <definedName name="__S14" localSheetId="8">BlankMacro1</definedName>
    <definedName name="__S14" localSheetId="4">BlankMacro1</definedName>
    <definedName name="__S14" localSheetId="1">BlankMacro1</definedName>
    <definedName name="__S14">BlankMacro1</definedName>
    <definedName name="__SEC1" localSheetId="5">BlankMacro1</definedName>
    <definedName name="__SEC1" localSheetId="3">BlankMacro1</definedName>
    <definedName name="__SEC1" localSheetId="6">BlankMacro1</definedName>
    <definedName name="__SEC1" localSheetId="7">BlankMacro1</definedName>
    <definedName name="__SEC1" localSheetId="8">BlankMacro1</definedName>
    <definedName name="__SEC1" localSheetId="4">BlankMacro1</definedName>
    <definedName name="__SEC1" localSheetId="1">BlankMacro1</definedName>
    <definedName name="__SEC1">BlankMacro1</definedName>
    <definedName name="__SHT48" localSheetId="5">#REF!</definedName>
    <definedName name="__SHT48" localSheetId="3">#REF!</definedName>
    <definedName name="__SHT48" localSheetId="6">#REF!</definedName>
    <definedName name="__SHT48" localSheetId="7">#REF!</definedName>
    <definedName name="__SHT48" localSheetId="8">#REF!</definedName>
    <definedName name="__SHT48" localSheetId="4">#REF!</definedName>
    <definedName name="__SHT48" localSheetId="1">#REF!</definedName>
    <definedName name="__SHT48">#REF!</definedName>
    <definedName name="_1000A01">#N/A</definedName>
    <definedName name="_10A_" localSheetId="5">[1]Sheet1!#REF!</definedName>
    <definedName name="_10A_" localSheetId="3">[1]Sheet1!#REF!</definedName>
    <definedName name="_10A_" localSheetId="6">[1]Sheet1!#REF!</definedName>
    <definedName name="_10A_" localSheetId="7">[1]Sheet1!#REF!</definedName>
    <definedName name="_10A_" localSheetId="8">[1]Sheet1!#REF!</definedName>
    <definedName name="_10A_" localSheetId="4">[1]Sheet1!#REF!</definedName>
    <definedName name="_10A_" localSheetId="1">[1]Sheet1!#REF!</definedName>
    <definedName name="_10A_">[1]Sheet1!#REF!</definedName>
    <definedName name="_10A_1" localSheetId="5">[1]Sheet1!#REF!</definedName>
    <definedName name="_10A_1" localSheetId="3">[1]Sheet1!#REF!</definedName>
    <definedName name="_10A_1" localSheetId="6">[1]Sheet1!#REF!</definedName>
    <definedName name="_10A_1" localSheetId="7">[1]Sheet1!#REF!</definedName>
    <definedName name="_10A_1" localSheetId="8">[1]Sheet1!#REF!</definedName>
    <definedName name="_10A_1" localSheetId="4">[1]Sheet1!#REF!</definedName>
    <definedName name="_10A_1" localSheetId="1">[1]Sheet1!#REF!</definedName>
    <definedName name="_10A_1">[1]Sheet1!#REF!</definedName>
    <definedName name="_10A_10" localSheetId="5">[1]Sheet1!#REF!</definedName>
    <definedName name="_10A_10" localSheetId="3">[1]Sheet1!#REF!</definedName>
    <definedName name="_10A_10" localSheetId="6">[1]Sheet1!#REF!</definedName>
    <definedName name="_10A_10" localSheetId="7">[1]Sheet1!#REF!</definedName>
    <definedName name="_10A_10" localSheetId="8">[1]Sheet1!#REF!</definedName>
    <definedName name="_10A_10" localSheetId="4">[1]Sheet1!#REF!</definedName>
    <definedName name="_10A_10" localSheetId="1">[1]Sheet1!#REF!</definedName>
    <definedName name="_10A_10">[1]Sheet1!#REF!</definedName>
    <definedName name="_10A_11" localSheetId="5">[1]Sheet1!#REF!</definedName>
    <definedName name="_10A_11" localSheetId="3">[1]Sheet1!#REF!</definedName>
    <definedName name="_10A_11" localSheetId="6">[1]Sheet1!#REF!</definedName>
    <definedName name="_10A_11" localSheetId="7">[1]Sheet1!#REF!</definedName>
    <definedName name="_10A_11" localSheetId="8">[1]Sheet1!#REF!</definedName>
    <definedName name="_10A_11" localSheetId="4">[1]Sheet1!#REF!</definedName>
    <definedName name="_10A_11" localSheetId="1">[1]Sheet1!#REF!</definedName>
    <definedName name="_10A_11">[1]Sheet1!#REF!</definedName>
    <definedName name="_10A_12" localSheetId="5">[1]Sheet1!#REF!</definedName>
    <definedName name="_10A_12" localSheetId="3">[1]Sheet1!#REF!</definedName>
    <definedName name="_10A_12" localSheetId="6">[1]Sheet1!#REF!</definedName>
    <definedName name="_10A_12" localSheetId="7">[1]Sheet1!#REF!</definedName>
    <definedName name="_10A_12" localSheetId="8">[1]Sheet1!#REF!</definedName>
    <definedName name="_10A_12" localSheetId="4">[1]Sheet1!#REF!</definedName>
    <definedName name="_10A_12" localSheetId="1">[1]Sheet1!#REF!</definedName>
    <definedName name="_10A_12">[1]Sheet1!#REF!</definedName>
    <definedName name="_10A_13" localSheetId="5">[1]Sheet1!#REF!</definedName>
    <definedName name="_10A_13" localSheetId="3">[1]Sheet1!#REF!</definedName>
    <definedName name="_10A_13" localSheetId="6">[1]Sheet1!#REF!</definedName>
    <definedName name="_10A_13" localSheetId="7">[1]Sheet1!#REF!</definedName>
    <definedName name="_10A_13" localSheetId="8">[1]Sheet1!#REF!</definedName>
    <definedName name="_10A_13" localSheetId="4">[1]Sheet1!#REF!</definedName>
    <definedName name="_10A_13" localSheetId="1">[1]Sheet1!#REF!</definedName>
    <definedName name="_10A_13">[1]Sheet1!#REF!</definedName>
    <definedName name="_10A_14" localSheetId="5">[1]Sheet1!#REF!</definedName>
    <definedName name="_10A_14" localSheetId="3">[1]Sheet1!#REF!</definedName>
    <definedName name="_10A_14" localSheetId="6">[1]Sheet1!#REF!</definedName>
    <definedName name="_10A_14" localSheetId="7">[1]Sheet1!#REF!</definedName>
    <definedName name="_10A_14" localSheetId="8">[1]Sheet1!#REF!</definedName>
    <definedName name="_10A_14" localSheetId="4">[1]Sheet1!#REF!</definedName>
    <definedName name="_10A_14" localSheetId="1">[1]Sheet1!#REF!</definedName>
    <definedName name="_10A_14">[1]Sheet1!#REF!</definedName>
    <definedName name="_10A_15" localSheetId="5">[1]Sheet1!#REF!</definedName>
    <definedName name="_10A_15" localSheetId="3">[1]Sheet1!#REF!</definedName>
    <definedName name="_10A_15" localSheetId="6">[1]Sheet1!#REF!</definedName>
    <definedName name="_10A_15" localSheetId="7">[1]Sheet1!#REF!</definedName>
    <definedName name="_10A_15" localSheetId="8">[1]Sheet1!#REF!</definedName>
    <definedName name="_10A_15" localSheetId="4">[1]Sheet1!#REF!</definedName>
    <definedName name="_10A_15" localSheetId="1">[1]Sheet1!#REF!</definedName>
    <definedName name="_10A_15">[1]Sheet1!#REF!</definedName>
    <definedName name="_10A_16" localSheetId="5">[1]Sheet1!#REF!</definedName>
    <definedName name="_10A_16" localSheetId="3">[1]Sheet1!#REF!</definedName>
    <definedName name="_10A_16" localSheetId="6">[1]Sheet1!#REF!</definedName>
    <definedName name="_10A_16" localSheetId="7">[1]Sheet1!#REF!</definedName>
    <definedName name="_10A_16" localSheetId="8">[1]Sheet1!#REF!</definedName>
    <definedName name="_10A_16" localSheetId="4">[1]Sheet1!#REF!</definedName>
    <definedName name="_10A_16" localSheetId="1">[1]Sheet1!#REF!</definedName>
    <definedName name="_10A_16">[1]Sheet1!#REF!</definedName>
    <definedName name="_10A_17" localSheetId="5">[1]Sheet1!#REF!</definedName>
    <definedName name="_10A_17" localSheetId="3">[1]Sheet1!#REF!</definedName>
    <definedName name="_10A_17" localSheetId="6">[1]Sheet1!#REF!</definedName>
    <definedName name="_10A_17" localSheetId="7">[1]Sheet1!#REF!</definedName>
    <definedName name="_10A_17" localSheetId="8">[1]Sheet1!#REF!</definedName>
    <definedName name="_10A_17" localSheetId="4">[1]Sheet1!#REF!</definedName>
    <definedName name="_10A_17" localSheetId="1">[1]Sheet1!#REF!</definedName>
    <definedName name="_10A_17">[1]Sheet1!#REF!</definedName>
    <definedName name="_10A_18" localSheetId="5">[1]Sheet1!#REF!</definedName>
    <definedName name="_10A_18" localSheetId="3">[1]Sheet1!#REF!</definedName>
    <definedName name="_10A_18" localSheetId="6">[1]Sheet1!#REF!</definedName>
    <definedName name="_10A_18" localSheetId="7">[1]Sheet1!#REF!</definedName>
    <definedName name="_10A_18" localSheetId="8">[1]Sheet1!#REF!</definedName>
    <definedName name="_10A_18" localSheetId="4">[1]Sheet1!#REF!</definedName>
    <definedName name="_10A_18" localSheetId="1">[1]Sheet1!#REF!</definedName>
    <definedName name="_10A_18">[1]Sheet1!#REF!</definedName>
    <definedName name="_10A_19" localSheetId="5">[1]Sheet1!#REF!</definedName>
    <definedName name="_10A_19" localSheetId="3">[1]Sheet1!#REF!</definedName>
    <definedName name="_10A_19" localSheetId="6">[1]Sheet1!#REF!</definedName>
    <definedName name="_10A_19" localSheetId="7">[1]Sheet1!#REF!</definedName>
    <definedName name="_10A_19" localSheetId="8">[1]Sheet1!#REF!</definedName>
    <definedName name="_10A_19" localSheetId="4">[1]Sheet1!#REF!</definedName>
    <definedName name="_10A_19" localSheetId="1">[1]Sheet1!#REF!</definedName>
    <definedName name="_10A_19">[1]Sheet1!#REF!</definedName>
    <definedName name="_10A_2" localSheetId="5">[1]Sheet1!#REF!</definedName>
    <definedName name="_10A_2" localSheetId="3">[1]Sheet1!#REF!</definedName>
    <definedName name="_10A_2" localSheetId="6">[1]Sheet1!#REF!</definedName>
    <definedName name="_10A_2" localSheetId="7">[1]Sheet1!#REF!</definedName>
    <definedName name="_10A_2" localSheetId="8">[1]Sheet1!#REF!</definedName>
    <definedName name="_10A_2" localSheetId="4">[1]Sheet1!#REF!</definedName>
    <definedName name="_10A_2" localSheetId="1">[1]Sheet1!#REF!</definedName>
    <definedName name="_10A_2">[1]Sheet1!#REF!</definedName>
    <definedName name="_10A_20" localSheetId="5">[1]Sheet1!#REF!</definedName>
    <definedName name="_10A_20" localSheetId="3">[1]Sheet1!#REF!</definedName>
    <definedName name="_10A_20" localSheetId="6">[1]Sheet1!#REF!</definedName>
    <definedName name="_10A_20" localSheetId="7">[1]Sheet1!#REF!</definedName>
    <definedName name="_10A_20" localSheetId="8">[1]Sheet1!#REF!</definedName>
    <definedName name="_10A_20" localSheetId="4">[1]Sheet1!#REF!</definedName>
    <definedName name="_10A_20" localSheetId="1">[1]Sheet1!#REF!</definedName>
    <definedName name="_10A_20">[1]Sheet1!#REF!</definedName>
    <definedName name="_10A_21" localSheetId="5">[1]Sheet1!#REF!</definedName>
    <definedName name="_10A_21" localSheetId="3">[1]Sheet1!#REF!</definedName>
    <definedName name="_10A_21" localSheetId="6">[1]Sheet1!#REF!</definedName>
    <definedName name="_10A_21" localSheetId="7">[1]Sheet1!#REF!</definedName>
    <definedName name="_10A_21" localSheetId="8">[1]Sheet1!#REF!</definedName>
    <definedName name="_10A_21" localSheetId="4">[1]Sheet1!#REF!</definedName>
    <definedName name="_10A_21" localSheetId="1">[1]Sheet1!#REF!</definedName>
    <definedName name="_10A_21">[1]Sheet1!#REF!</definedName>
    <definedName name="_10A_22" localSheetId="5">[1]Sheet1!#REF!</definedName>
    <definedName name="_10A_22" localSheetId="3">[1]Sheet1!#REF!</definedName>
    <definedName name="_10A_22" localSheetId="6">[1]Sheet1!#REF!</definedName>
    <definedName name="_10A_22" localSheetId="7">[1]Sheet1!#REF!</definedName>
    <definedName name="_10A_22" localSheetId="8">[1]Sheet1!#REF!</definedName>
    <definedName name="_10A_22" localSheetId="4">[1]Sheet1!#REF!</definedName>
    <definedName name="_10A_22" localSheetId="1">[1]Sheet1!#REF!</definedName>
    <definedName name="_10A_22">[1]Sheet1!#REF!</definedName>
    <definedName name="_10A_23" localSheetId="5">[1]Sheet1!#REF!</definedName>
    <definedName name="_10A_23" localSheetId="3">[1]Sheet1!#REF!</definedName>
    <definedName name="_10A_23" localSheetId="6">[1]Sheet1!#REF!</definedName>
    <definedName name="_10A_23" localSheetId="7">[1]Sheet1!#REF!</definedName>
    <definedName name="_10A_23" localSheetId="8">[1]Sheet1!#REF!</definedName>
    <definedName name="_10A_23" localSheetId="4">[1]Sheet1!#REF!</definedName>
    <definedName name="_10A_23" localSheetId="1">[1]Sheet1!#REF!</definedName>
    <definedName name="_10A_23">[1]Sheet1!#REF!</definedName>
    <definedName name="_10A_24" localSheetId="5">[1]Sheet1!#REF!</definedName>
    <definedName name="_10A_24" localSheetId="3">[1]Sheet1!#REF!</definedName>
    <definedName name="_10A_24" localSheetId="6">[1]Sheet1!#REF!</definedName>
    <definedName name="_10A_24" localSheetId="7">[1]Sheet1!#REF!</definedName>
    <definedName name="_10A_24" localSheetId="8">[1]Sheet1!#REF!</definedName>
    <definedName name="_10A_24" localSheetId="4">[1]Sheet1!#REF!</definedName>
    <definedName name="_10A_24" localSheetId="1">[1]Sheet1!#REF!</definedName>
    <definedName name="_10A_24">[1]Sheet1!#REF!</definedName>
    <definedName name="_10A_25" localSheetId="5">[1]Sheet1!#REF!</definedName>
    <definedName name="_10A_25" localSheetId="3">[1]Sheet1!#REF!</definedName>
    <definedName name="_10A_25" localSheetId="6">[1]Sheet1!#REF!</definedName>
    <definedName name="_10A_25" localSheetId="7">[1]Sheet1!#REF!</definedName>
    <definedName name="_10A_25" localSheetId="8">[1]Sheet1!#REF!</definedName>
    <definedName name="_10A_25" localSheetId="4">[1]Sheet1!#REF!</definedName>
    <definedName name="_10A_25" localSheetId="1">[1]Sheet1!#REF!</definedName>
    <definedName name="_10A_25">[1]Sheet1!#REF!</definedName>
    <definedName name="_10A_26" localSheetId="5">[1]Sheet1!#REF!</definedName>
    <definedName name="_10A_26" localSheetId="3">[1]Sheet1!#REF!</definedName>
    <definedName name="_10A_26" localSheetId="6">[1]Sheet1!#REF!</definedName>
    <definedName name="_10A_26" localSheetId="7">[1]Sheet1!#REF!</definedName>
    <definedName name="_10A_26" localSheetId="8">[1]Sheet1!#REF!</definedName>
    <definedName name="_10A_26" localSheetId="4">[1]Sheet1!#REF!</definedName>
    <definedName name="_10A_26" localSheetId="1">[1]Sheet1!#REF!</definedName>
    <definedName name="_10A_26">[1]Sheet1!#REF!</definedName>
    <definedName name="_10A_27" localSheetId="5">[1]Sheet1!#REF!</definedName>
    <definedName name="_10A_27" localSheetId="3">[1]Sheet1!#REF!</definedName>
    <definedName name="_10A_27" localSheetId="6">[1]Sheet1!#REF!</definedName>
    <definedName name="_10A_27" localSheetId="7">[1]Sheet1!#REF!</definedName>
    <definedName name="_10A_27" localSheetId="8">[1]Sheet1!#REF!</definedName>
    <definedName name="_10A_27" localSheetId="4">[1]Sheet1!#REF!</definedName>
    <definedName name="_10A_27" localSheetId="1">[1]Sheet1!#REF!</definedName>
    <definedName name="_10A_27">[1]Sheet1!#REF!</definedName>
    <definedName name="_10A_28" localSheetId="5">[1]Sheet1!#REF!</definedName>
    <definedName name="_10A_28" localSheetId="3">[1]Sheet1!#REF!</definedName>
    <definedName name="_10A_28" localSheetId="6">[1]Sheet1!#REF!</definedName>
    <definedName name="_10A_28" localSheetId="7">[1]Sheet1!#REF!</definedName>
    <definedName name="_10A_28" localSheetId="8">[1]Sheet1!#REF!</definedName>
    <definedName name="_10A_28" localSheetId="4">[1]Sheet1!#REF!</definedName>
    <definedName name="_10A_28" localSheetId="1">[1]Sheet1!#REF!</definedName>
    <definedName name="_10A_28">[1]Sheet1!#REF!</definedName>
    <definedName name="_10A_29" localSheetId="5">[1]Sheet1!#REF!</definedName>
    <definedName name="_10A_29" localSheetId="3">[1]Sheet1!#REF!</definedName>
    <definedName name="_10A_29" localSheetId="6">[1]Sheet1!#REF!</definedName>
    <definedName name="_10A_29" localSheetId="7">[1]Sheet1!#REF!</definedName>
    <definedName name="_10A_29" localSheetId="8">[1]Sheet1!#REF!</definedName>
    <definedName name="_10A_29" localSheetId="4">[1]Sheet1!#REF!</definedName>
    <definedName name="_10A_29" localSheetId="1">[1]Sheet1!#REF!</definedName>
    <definedName name="_10A_29">[1]Sheet1!#REF!</definedName>
    <definedName name="_10A_3" localSheetId="5">[1]Sheet1!#REF!</definedName>
    <definedName name="_10A_3" localSheetId="3">[1]Sheet1!#REF!</definedName>
    <definedName name="_10A_3" localSheetId="6">[1]Sheet1!#REF!</definedName>
    <definedName name="_10A_3" localSheetId="7">[1]Sheet1!#REF!</definedName>
    <definedName name="_10A_3" localSheetId="8">[1]Sheet1!#REF!</definedName>
    <definedName name="_10A_3" localSheetId="4">[1]Sheet1!#REF!</definedName>
    <definedName name="_10A_3" localSheetId="1">[1]Sheet1!#REF!</definedName>
    <definedName name="_10A_3">[1]Sheet1!#REF!</definedName>
    <definedName name="_10A_30" localSheetId="5">[1]Sheet1!#REF!</definedName>
    <definedName name="_10A_30" localSheetId="3">[1]Sheet1!#REF!</definedName>
    <definedName name="_10A_30" localSheetId="6">[1]Sheet1!#REF!</definedName>
    <definedName name="_10A_30" localSheetId="7">[1]Sheet1!#REF!</definedName>
    <definedName name="_10A_30" localSheetId="8">[1]Sheet1!#REF!</definedName>
    <definedName name="_10A_30" localSheetId="4">[1]Sheet1!#REF!</definedName>
    <definedName name="_10A_30" localSheetId="1">[1]Sheet1!#REF!</definedName>
    <definedName name="_10A_30">[1]Sheet1!#REF!</definedName>
    <definedName name="_10A_31" localSheetId="5">[1]Sheet1!#REF!</definedName>
    <definedName name="_10A_31" localSheetId="3">[1]Sheet1!#REF!</definedName>
    <definedName name="_10A_31" localSheetId="6">[1]Sheet1!#REF!</definedName>
    <definedName name="_10A_31" localSheetId="7">[1]Sheet1!#REF!</definedName>
    <definedName name="_10A_31" localSheetId="8">[1]Sheet1!#REF!</definedName>
    <definedName name="_10A_31" localSheetId="4">[1]Sheet1!#REF!</definedName>
    <definedName name="_10A_31" localSheetId="1">[1]Sheet1!#REF!</definedName>
    <definedName name="_10A_31">[1]Sheet1!#REF!</definedName>
    <definedName name="_10A_32" localSheetId="5">[1]Sheet1!#REF!</definedName>
    <definedName name="_10A_32" localSheetId="3">[1]Sheet1!#REF!</definedName>
    <definedName name="_10A_32" localSheetId="6">[1]Sheet1!#REF!</definedName>
    <definedName name="_10A_32" localSheetId="7">[1]Sheet1!#REF!</definedName>
    <definedName name="_10A_32" localSheetId="8">[1]Sheet1!#REF!</definedName>
    <definedName name="_10A_32" localSheetId="4">[1]Sheet1!#REF!</definedName>
    <definedName name="_10A_32" localSheetId="1">[1]Sheet1!#REF!</definedName>
    <definedName name="_10A_32">[1]Sheet1!#REF!</definedName>
    <definedName name="_10A_33" localSheetId="5">[1]Sheet1!#REF!</definedName>
    <definedName name="_10A_33" localSheetId="3">[1]Sheet1!#REF!</definedName>
    <definedName name="_10A_33" localSheetId="6">[1]Sheet1!#REF!</definedName>
    <definedName name="_10A_33" localSheetId="7">[1]Sheet1!#REF!</definedName>
    <definedName name="_10A_33" localSheetId="8">[1]Sheet1!#REF!</definedName>
    <definedName name="_10A_33" localSheetId="4">[1]Sheet1!#REF!</definedName>
    <definedName name="_10A_33" localSheetId="1">[1]Sheet1!#REF!</definedName>
    <definedName name="_10A_33">[1]Sheet1!#REF!</definedName>
    <definedName name="_10A_34" localSheetId="5">[1]Sheet1!#REF!</definedName>
    <definedName name="_10A_34" localSheetId="3">[1]Sheet1!#REF!</definedName>
    <definedName name="_10A_34" localSheetId="6">[1]Sheet1!#REF!</definedName>
    <definedName name="_10A_34" localSheetId="7">[1]Sheet1!#REF!</definedName>
    <definedName name="_10A_34" localSheetId="8">[1]Sheet1!#REF!</definedName>
    <definedName name="_10A_34" localSheetId="4">[1]Sheet1!#REF!</definedName>
    <definedName name="_10A_34" localSheetId="1">[1]Sheet1!#REF!</definedName>
    <definedName name="_10A_34">[1]Sheet1!#REF!</definedName>
    <definedName name="_10A_35" localSheetId="5">[1]Sheet1!#REF!</definedName>
    <definedName name="_10A_35" localSheetId="3">[1]Sheet1!#REF!</definedName>
    <definedName name="_10A_35" localSheetId="6">[1]Sheet1!#REF!</definedName>
    <definedName name="_10A_35" localSheetId="7">[1]Sheet1!#REF!</definedName>
    <definedName name="_10A_35" localSheetId="8">[1]Sheet1!#REF!</definedName>
    <definedName name="_10A_35" localSheetId="4">[1]Sheet1!#REF!</definedName>
    <definedName name="_10A_35" localSheetId="1">[1]Sheet1!#REF!</definedName>
    <definedName name="_10A_35">[1]Sheet1!#REF!</definedName>
    <definedName name="_10A_36" localSheetId="5">[1]Sheet1!#REF!</definedName>
    <definedName name="_10A_36" localSheetId="3">[1]Sheet1!#REF!</definedName>
    <definedName name="_10A_36" localSheetId="6">[1]Sheet1!#REF!</definedName>
    <definedName name="_10A_36" localSheetId="7">[1]Sheet1!#REF!</definedName>
    <definedName name="_10A_36" localSheetId="8">[1]Sheet1!#REF!</definedName>
    <definedName name="_10A_36" localSheetId="4">[1]Sheet1!#REF!</definedName>
    <definedName name="_10A_36" localSheetId="1">[1]Sheet1!#REF!</definedName>
    <definedName name="_10A_36">[1]Sheet1!#REF!</definedName>
    <definedName name="_10A_37" localSheetId="5">[1]Sheet1!#REF!</definedName>
    <definedName name="_10A_37" localSheetId="3">[1]Sheet1!#REF!</definedName>
    <definedName name="_10A_37" localSheetId="6">[1]Sheet1!#REF!</definedName>
    <definedName name="_10A_37" localSheetId="7">[1]Sheet1!#REF!</definedName>
    <definedName name="_10A_37" localSheetId="8">[1]Sheet1!#REF!</definedName>
    <definedName name="_10A_37" localSheetId="4">[1]Sheet1!#REF!</definedName>
    <definedName name="_10A_37" localSheetId="1">[1]Sheet1!#REF!</definedName>
    <definedName name="_10A_37">[1]Sheet1!#REF!</definedName>
    <definedName name="_10A_38" localSheetId="5">[1]Sheet1!#REF!</definedName>
    <definedName name="_10A_38" localSheetId="3">[1]Sheet1!#REF!</definedName>
    <definedName name="_10A_38" localSheetId="6">[1]Sheet1!#REF!</definedName>
    <definedName name="_10A_38" localSheetId="7">[1]Sheet1!#REF!</definedName>
    <definedName name="_10A_38" localSheetId="8">[1]Sheet1!#REF!</definedName>
    <definedName name="_10A_38" localSheetId="4">[1]Sheet1!#REF!</definedName>
    <definedName name="_10A_38" localSheetId="1">[1]Sheet1!#REF!</definedName>
    <definedName name="_10A_38">[1]Sheet1!#REF!</definedName>
    <definedName name="_10A_39" localSheetId="5">[1]Sheet1!#REF!</definedName>
    <definedName name="_10A_39" localSheetId="3">[1]Sheet1!#REF!</definedName>
    <definedName name="_10A_39" localSheetId="6">[1]Sheet1!#REF!</definedName>
    <definedName name="_10A_39" localSheetId="7">[1]Sheet1!#REF!</definedName>
    <definedName name="_10A_39" localSheetId="8">[1]Sheet1!#REF!</definedName>
    <definedName name="_10A_39" localSheetId="4">[1]Sheet1!#REF!</definedName>
    <definedName name="_10A_39" localSheetId="1">[1]Sheet1!#REF!</definedName>
    <definedName name="_10A_39">[1]Sheet1!#REF!</definedName>
    <definedName name="_10A_4" localSheetId="5">[1]Sheet1!#REF!</definedName>
    <definedName name="_10A_4" localSheetId="3">[1]Sheet1!#REF!</definedName>
    <definedName name="_10A_4" localSheetId="6">[1]Sheet1!#REF!</definedName>
    <definedName name="_10A_4" localSheetId="7">[1]Sheet1!#REF!</definedName>
    <definedName name="_10A_4" localSheetId="8">[1]Sheet1!#REF!</definedName>
    <definedName name="_10A_4" localSheetId="4">[1]Sheet1!#REF!</definedName>
    <definedName name="_10A_4" localSheetId="1">[1]Sheet1!#REF!</definedName>
    <definedName name="_10A_4">[1]Sheet1!#REF!</definedName>
    <definedName name="_10A_40" localSheetId="5">[1]Sheet1!#REF!</definedName>
    <definedName name="_10A_40" localSheetId="3">[1]Sheet1!#REF!</definedName>
    <definedName name="_10A_40" localSheetId="6">[1]Sheet1!#REF!</definedName>
    <definedName name="_10A_40" localSheetId="7">[1]Sheet1!#REF!</definedName>
    <definedName name="_10A_40" localSheetId="8">[1]Sheet1!#REF!</definedName>
    <definedName name="_10A_40" localSheetId="4">[1]Sheet1!#REF!</definedName>
    <definedName name="_10A_40" localSheetId="1">[1]Sheet1!#REF!</definedName>
    <definedName name="_10A_40">[1]Sheet1!#REF!</definedName>
    <definedName name="_10A_41" localSheetId="5">[1]Sheet1!#REF!</definedName>
    <definedName name="_10A_41" localSheetId="3">[1]Sheet1!#REF!</definedName>
    <definedName name="_10A_41" localSheetId="6">[1]Sheet1!#REF!</definedName>
    <definedName name="_10A_41" localSheetId="7">[1]Sheet1!#REF!</definedName>
    <definedName name="_10A_41" localSheetId="8">[1]Sheet1!#REF!</definedName>
    <definedName name="_10A_41" localSheetId="4">[1]Sheet1!#REF!</definedName>
    <definedName name="_10A_41" localSheetId="1">[1]Sheet1!#REF!</definedName>
    <definedName name="_10A_41">[1]Sheet1!#REF!</definedName>
    <definedName name="_10A_42" localSheetId="5">[1]Sheet1!#REF!</definedName>
    <definedName name="_10A_42" localSheetId="3">[1]Sheet1!#REF!</definedName>
    <definedName name="_10A_42" localSheetId="6">[1]Sheet1!#REF!</definedName>
    <definedName name="_10A_42" localSheetId="7">[1]Sheet1!#REF!</definedName>
    <definedName name="_10A_42" localSheetId="8">[1]Sheet1!#REF!</definedName>
    <definedName name="_10A_42" localSheetId="4">[1]Sheet1!#REF!</definedName>
    <definedName name="_10A_42" localSheetId="1">[1]Sheet1!#REF!</definedName>
    <definedName name="_10A_42">[1]Sheet1!#REF!</definedName>
    <definedName name="_10A_43" localSheetId="5">[1]Sheet1!#REF!</definedName>
    <definedName name="_10A_43" localSheetId="3">[1]Sheet1!#REF!</definedName>
    <definedName name="_10A_43" localSheetId="6">[1]Sheet1!#REF!</definedName>
    <definedName name="_10A_43" localSheetId="7">[1]Sheet1!#REF!</definedName>
    <definedName name="_10A_43" localSheetId="8">[1]Sheet1!#REF!</definedName>
    <definedName name="_10A_43" localSheetId="4">[1]Sheet1!#REF!</definedName>
    <definedName name="_10A_43" localSheetId="1">[1]Sheet1!#REF!</definedName>
    <definedName name="_10A_43">[1]Sheet1!#REF!</definedName>
    <definedName name="_10A_44" localSheetId="5">[1]Sheet1!#REF!</definedName>
    <definedName name="_10A_44" localSheetId="3">[1]Sheet1!#REF!</definedName>
    <definedName name="_10A_44" localSheetId="6">[1]Sheet1!#REF!</definedName>
    <definedName name="_10A_44" localSheetId="7">[1]Sheet1!#REF!</definedName>
    <definedName name="_10A_44" localSheetId="8">[1]Sheet1!#REF!</definedName>
    <definedName name="_10A_44" localSheetId="4">[1]Sheet1!#REF!</definedName>
    <definedName name="_10A_44" localSheetId="1">[1]Sheet1!#REF!</definedName>
    <definedName name="_10A_44">[1]Sheet1!#REF!</definedName>
    <definedName name="_10A_45" localSheetId="5">[1]Sheet1!#REF!</definedName>
    <definedName name="_10A_45" localSheetId="3">[1]Sheet1!#REF!</definedName>
    <definedName name="_10A_45" localSheetId="6">[1]Sheet1!#REF!</definedName>
    <definedName name="_10A_45" localSheetId="7">[1]Sheet1!#REF!</definedName>
    <definedName name="_10A_45" localSheetId="8">[1]Sheet1!#REF!</definedName>
    <definedName name="_10A_45" localSheetId="4">[1]Sheet1!#REF!</definedName>
    <definedName name="_10A_45" localSheetId="1">[1]Sheet1!#REF!</definedName>
    <definedName name="_10A_45">[1]Sheet1!#REF!</definedName>
    <definedName name="_10A_46" localSheetId="5">[1]Sheet1!#REF!</definedName>
    <definedName name="_10A_46" localSheetId="3">[1]Sheet1!#REF!</definedName>
    <definedName name="_10A_46" localSheetId="6">[1]Sheet1!#REF!</definedName>
    <definedName name="_10A_46" localSheetId="7">[1]Sheet1!#REF!</definedName>
    <definedName name="_10A_46" localSheetId="8">[1]Sheet1!#REF!</definedName>
    <definedName name="_10A_46" localSheetId="4">[1]Sheet1!#REF!</definedName>
    <definedName name="_10A_46" localSheetId="1">[1]Sheet1!#REF!</definedName>
    <definedName name="_10A_46">[1]Sheet1!#REF!</definedName>
    <definedName name="_10A_47" localSheetId="5">[1]Sheet1!#REF!</definedName>
    <definedName name="_10A_47" localSheetId="3">[1]Sheet1!#REF!</definedName>
    <definedName name="_10A_47" localSheetId="6">[1]Sheet1!#REF!</definedName>
    <definedName name="_10A_47" localSheetId="7">[1]Sheet1!#REF!</definedName>
    <definedName name="_10A_47" localSheetId="8">[1]Sheet1!#REF!</definedName>
    <definedName name="_10A_47" localSheetId="4">[1]Sheet1!#REF!</definedName>
    <definedName name="_10A_47" localSheetId="1">[1]Sheet1!#REF!</definedName>
    <definedName name="_10A_47">[1]Sheet1!#REF!</definedName>
    <definedName name="_10A_48" localSheetId="5">[1]Sheet1!#REF!</definedName>
    <definedName name="_10A_48" localSheetId="3">[1]Sheet1!#REF!</definedName>
    <definedName name="_10A_48" localSheetId="6">[1]Sheet1!#REF!</definedName>
    <definedName name="_10A_48" localSheetId="7">[1]Sheet1!#REF!</definedName>
    <definedName name="_10A_48" localSheetId="8">[1]Sheet1!#REF!</definedName>
    <definedName name="_10A_48" localSheetId="4">[1]Sheet1!#REF!</definedName>
    <definedName name="_10A_48" localSheetId="1">[1]Sheet1!#REF!</definedName>
    <definedName name="_10A_48">[1]Sheet1!#REF!</definedName>
    <definedName name="_10A_49" localSheetId="5">[1]Sheet1!#REF!</definedName>
    <definedName name="_10A_49" localSheetId="3">[1]Sheet1!#REF!</definedName>
    <definedName name="_10A_49" localSheetId="6">[1]Sheet1!#REF!</definedName>
    <definedName name="_10A_49" localSheetId="7">[1]Sheet1!#REF!</definedName>
    <definedName name="_10A_49" localSheetId="8">[1]Sheet1!#REF!</definedName>
    <definedName name="_10A_49" localSheetId="4">[1]Sheet1!#REF!</definedName>
    <definedName name="_10A_49" localSheetId="1">[1]Sheet1!#REF!</definedName>
    <definedName name="_10A_49">[1]Sheet1!#REF!</definedName>
    <definedName name="_10A_5" localSheetId="5">[1]Sheet1!#REF!</definedName>
    <definedName name="_10A_5" localSheetId="3">[1]Sheet1!#REF!</definedName>
    <definedName name="_10A_5" localSheetId="6">[1]Sheet1!#REF!</definedName>
    <definedName name="_10A_5" localSheetId="7">[1]Sheet1!#REF!</definedName>
    <definedName name="_10A_5" localSheetId="8">[1]Sheet1!#REF!</definedName>
    <definedName name="_10A_5" localSheetId="4">[1]Sheet1!#REF!</definedName>
    <definedName name="_10A_5" localSheetId="1">[1]Sheet1!#REF!</definedName>
    <definedName name="_10A_5">[1]Sheet1!#REF!</definedName>
    <definedName name="_10A_50" localSheetId="5">[1]Sheet1!#REF!</definedName>
    <definedName name="_10A_50" localSheetId="3">[1]Sheet1!#REF!</definedName>
    <definedName name="_10A_50" localSheetId="6">[1]Sheet1!#REF!</definedName>
    <definedName name="_10A_50" localSheetId="7">[1]Sheet1!#REF!</definedName>
    <definedName name="_10A_50" localSheetId="8">[1]Sheet1!#REF!</definedName>
    <definedName name="_10A_50" localSheetId="4">[1]Sheet1!#REF!</definedName>
    <definedName name="_10A_50" localSheetId="1">[1]Sheet1!#REF!</definedName>
    <definedName name="_10A_50">[1]Sheet1!#REF!</definedName>
    <definedName name="_10A_51" localSheetId="5">[1]Sheet1!#REF!</definedName>
    <definedName name="_10A_51" localSheetId="3">[1]Sheet1!#REF!</definedName>
    <definedName name="_10A_51" localSheetId="6">[1]Sheet1!#REF!</definedName>
    <definedName name="_10A_51" localSheetId="7">[1]Sheet1!#REF!</definedName>
    <definedName name="_10A_51" localSheetId="8">[1]Sheet1!#REF!</definedName>
    <definedName name="_10A_51" localSheetId="4">[1]Sheet1!#REF!</definedName>
    <definedName name="_10A_51" localSheetId="1">[1]Sheet1!#REF!</definedName>
    <definedName name="_10A_51">[1]Sheet1!#REF!</definedName>
    <definedName name="_10A_52" localSheetId="5">[1]Sheet1!#REF!</definedName>
    <definedName name="_10A_52" localSheetId="3">[1]Sheet1!#REF!</definedName>
    <definedName name="_10A_52" localSheetId="6">[1]Sheet1!#REF!</definedName>
    <definedName name="_10A_52" localSheetId="7">[1]Sheet1!#REF!</definedName>
    <definedName name="_10A_52" localSheetId="8">[1]Sheet1!#REF!</definedName>
    <definedName name="_10A_52" localSheetId="4">[1]Sheet1!#REF!</definedName>
    <definedName name="_10A_52" localSheetId="1">[1]Sheet1!#REF!</definedName>
    <definedName name="_10A_52">[1]Sheet1!#REF!</definedName>
    <definedName name="_10A_53" localSheetId="5">[1]Sheet1!#REF!</definedName>
    <definedName name="_10A_53" localSheetId="3">[1]Sheet1!#REF!</definedName>
    <definedName name="_10A_53" localSheetId="6">[1]Sheet1!#REF!</definedName>
    <definedName name="_10A_53" localSheetId="7">[1]Sheet1!#REF!</definedName>
    <definedName name="_10A_53" localSheetId="8">[1]Sheet1!#REF!</definedName>
    <definedName name="_10A_53" localSheetId="4">[1]Sheet1!#REF!</definedName>
    <definedName name="_10A_53" localSheetId="1">[1]Sheet1!#REF!</definedName>
    <definedName name="_10A_53">[1]Sheet1!#REF!</definedName>
    <definedName name="_10A_54" localSheetId="5">[1]Sheet1!#REF!</definedName>
    <definedName name="_10A_54" localSheetId="3">[1]Sheet1!#REF!</definedName>
    <definedName name="_10A_54" localSheetId="6">[1]Sheet1!#REF!</definedName>
    <definedName name="_10A_54" localSheetId="7">[1]Sheet1!#REF!</definedName>
    <definedName name="_10A_54" localSheetId="8">[1]Sheet1!#REF!</definedName>
    <definedName name="_10A_54" localSheetId="4">[1]Sheet1!#REF!</definedName>
    <definedName name="_10A_54" localSheetId="1">[1]Sheet1!#REF!</definedName>
    <definedName name="_10A_54">[1]Sheet1!#REF!</definedName>
    <definedName name="_10A_55" localSheetId="5">[1]Sheet1!#REF!</definedName>
    <definedName name="_10A_55" localSheetId="3">[1]Sheet1!#REF!</definedName>
    <definedName name="_10A_55" localSheetId="6">[1]Sheet1!#REF!</definedName>
    <definedName name="_10A_55" localSheetId="7">[1]Sheet1!#REF!</definedName>
    <definedName name="_10A_55" localSheetId="8">[1]Sheet1!#REF!</definedName>
    <definedName name="_10A_55" localSheetId="4">[1]Sheet1!#REF!</definedName>
    <definedName name="_10A_55" localSheetId="1">[1]Sheet1!#REF!</definedName>
    <definedName name="_10A_55">[1]Sheet1!#REF!</definedName>
    <definedName name="_10A_56" localSheetId="5">[1]Sheet1!#REF!</definedName>
    <definedName name="_10A_56" localSheetId="3">[1]Sheet1!#REF!</definedName>
    <definedName name="_10A_56" localSheetId="6">[1]Sheet1!#REF!</definedName>
    <definedName name="_10A_56" localSheetId="7">[1]Sheet1!#REF!</definedName>
    <definedName name="_10A_56" localSheetId="8">[1]Sheet1!#REF!</definedName>
    <definedName name="_10A_56" localSheetId="4">[1]Sheet1!#REF!</definedName>
    <definedName name="_10A_56" localSheetId="1">[1]Sheet1!#REF!</definedName>
    <definedName name="_10A_56">[1]Sheet1!#REF!</definedName>
    <definedName name="_10A_57" localSheetId="5">[1]Sheet1!#REF!</definedName>
    <definedName name="_10A_57" localSheetId="3">[1]Sheet1!#REF!</definedName>
    <definedName name="_10A_57" localSheetId="6">[1]Sheet1!#REF!</definedName>
    <definedName name="_10A_57" localSheetId="7">[1]Sheet1!#REF!</definedName>
    <definedName name="_10A_57" localSheetId="8">[1]Sheet1!#REF!</definedName>
    <definedName name="_10A_57" localSheetId="4">[1]Sheet1!#REF!</definedName>
    <definedName name="_10A_57" localSheetId="1">[1]Sheet1!#REF!</definedName>
    <definedName name="_10A_57">[1]Sheet1!#REF!</definedName>
    <definedName name="_10A_58" localSheetId="5">[1]Sheet1!#REF!</definedName>
    <definedName name="_10A_58" localSheetId="3">[1]Sheet1!#REF!</definedName>
    <definedName name="_10A_58" localSheetId="6">[1]Sheet1!#REF!</definedName>
    <definedName name="_10A_58" localSheetId="7">[1]Sheet1!#REF!</definedName>
    <definedName name="_10A_58" localSheetId="8">[1]Sheet1!#REF!</definedName>
    <definedName name="_10A_58" localSheetId="4">[1]Sheet1!#REF!</definedName>
    <definedName name="_10A_58" localSheetId="1">[1]Sheet1!#REF!</definedName>
    <definedName name="_10A_58">[1]Sheet1!#REF!</definedName>
    <definedName name="_10A_59" localSheetId="5">[1]Sheet1!#REF!</definedName>
    <definedName name="_10A_59" localSheetId="3">[1]Sheet1!#REF!</definedName>
    <definedName name="_10A_59" localSheetId="6">[1]Sheet1!#REF!</definedName>
    <definedName name="_10A_59" localSheetId="7">[1]Sheet1!#REF!</definedName>
    <definedName name="_10A_59" localSheetId="8">[1]Sheet1!#REF!</definedName>
    <definedName name="_10A_59" localSheetId="4">[1]Sheet1!#REF!</definedName>
    <definedName name="_10A_59" localSheetId="1">[1]Sheet1!#REF!</definedName>
    <definedName name="_10A_59">[1]Sheet1!#REF!</definedName>
    <definedName name="_10A_6" localSheetId="5">[1]Sheet1!#REF!</definedName>
    <definedName name="_10A_6" localSheetId="3">[1]Sheet1!#REF!</definedName>
    <definedName name="_10A_6" localSheetId="6">[1]Sheet1!#REF!</definedName>
    <definedName name="_10A_6" localSheetId="7">[1]Sheet1!#REF!</definedName>
    <definedName name="_10A_6" localSheetId="8">[1]Sheet1!#REF!</definedName>
    <definedName name="_10A_6" localSheetId="4">[1]Sheet1!#REF!</definedName>
    <definedName name="_10A_6" localSheetId="1">[1]Sheet1!#REF!</definedName>
    <definedName name="_10A_6">[1]Sheet1!#REF!</definedName>
    <definedName name="_10A_60" localSheetId="5">[1]Sheet1!#REF!</definedName>
    <definedName name="_10A_60" localSheetId="3">[1]Sheet1!#REF!</definedName>
    <definedName name="_10A_60" localSheetId="6">[1]Sheet1!#REF!</definedName>
    <definedName name="_10A_60" localSheetId="7">[1]Sheet1!#REF!</definedName>
    <definedName name="_10A_60" localSheetId="8">[1]Sheet1!#REF!</definedName>
    <definedName name="_10A_60" localSheetId="4">[1]Sheet1!#REF!</definedName>
    <definedName name="_10A_60" localSheetId="1">[1]Sheet1!#REF!</definedName>
    <definedName name="_10A_60">[1]Sheet1!#REF!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 localSheetId="5">[1]Sheet1!#REF!</definedName>
    <definedName name="_10A_7" localSheetId="3">[1]Sheet1!#REF!</definedName>
    <definedName name="_10A_7" localSheetId="6">[1]Sheet1!#REF!</definedName>
    <definedName name="_10A_7" localSheetId="7">[1]Sheet1!#REF!</definedName>
    <definedName name="_10A_7" localSheetId="8">[1]Sheet1!#REF!</definedName>
    <definedName name="_10A_7" localSheetId="4">[1]Sheet1!#REF!</definedName>
    <definedName name="_10A_7" localSheetId="1">[1]Sheet1!#REF!</definedName>
    <definedName name="_10A_7">[1]Sheet1!#REF!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 localSheetId="5">[1]Sheet1!#REF!</definedName>
    <definedName name="_10A_8" localSheetId="3">[1]Sheet1!#REF!</definedName>
    <definedName name="_10A_8" localSheetId="6">[1]Sheet1!#REF!</definedName>
    <definedName name="_10A_8" localSheetId="7">[1]Sheet1!#REF!</definedName>
    <definedName name="_10A_8" localSheetId="8">[1]Sheet1!#REF!</definedName>
    <definedName name="_10A_8" localSheetId="4">[1]Sheet1!#REF!</definedName>
    <definedName name="_10A_8" localSheetId="1">[1]Sheet1!#REF!</definedName>
    <definedName name="_10A_8">[1]Sheet1!#REF!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 localSheetId="5">[1]Sheet1!#REF!</definedName>
    <definedName name="_10A_9" localSheetId="3">[1]Sheet1!#REF!</definedName>
    <definedName name="_10A_9" localSheetId="6">[1]Sheet1!#REF!</definedName>
    <definedName name="_10A_9" localSheetId="7">[1]Sheet1!#REF!</definedName>
    <definedName name="_10A_9" localSheetId="8">[1]Sheet1!#REF!</definedName>
    <definedName name="_10A_9" localSheetId="4">[1]Sheet1!#REF!</definedName>
    <definedName name="_10A_9" localSheetId="1">[1]Sheet1!#REF!</definedName>
    <definedName name="_10A_9">[1]Sheet1!#REF!</definedName>
    <definedName name="_10A_90">#N/A</definedName>
    <definedName name="_10B_" localSheetId="5">[1]Sheet1!#REF!</definedName>
    <definedName name="_10B_" localSheetId="3">[1]Sheet1!#REF!</definedName>
    <definedName name="_10B_" localSheetId="6">[1]Sheet1!#REF!</definedName>
    <definedName name="_10B_" localSheetId="7">[1]Sheet1!#REF!</definedName>
    <definedName name="_10B_" localSheetId="8">[1]Sheet1!#REF!</definedName>
    <definedName name="_10B_" localSheetId="4">[1]Sheet1!#REF!</definedName>
    <definedName name="_10B_" localSheetId="1">[1]Sheet1!#REF!</definedName>
    <definedName name="_10B_">[1]Sheet1!#REF!</definedName>
    <definedName name="_10B_1" localSheetId="5">[1]Sheet1!#REF!</definedName>
    <definedName name="_10B_1" localSheetId="3">[1]Sheet1!#REF!</definedName>
    <definedName name="_10B_1" localSheetId="6">[1]Sheet1!#REF!</definedName>
    <definedName name="_10B_1" localSheetId="7">[1]Sheet1!#REF!</definedName>
    <definedName name="_10B_1" localSheetId="8">[1]Sheet1!#REF!</definedName>
    <definedName name="_10B_1" localSheetId="4">[1]Sheet1!#REF!</definedName>
    <definedName name="_10B_1" localSheetId="1">[1]Sheet1!#REF!</definedName>
    <definedName name="_10B_1">[1]Sheet1!#REF!</definedName>
    <definedName name="_10B_10" localSheetId="5">[1]Sheet1!#REF!</definedName>
    <definedName name="_10B_10" localSheetId="3">[1]Sheet1!#REF!</definedName>
    <definedName name="_10B_10" localSheetId="6">[1]Sheet1!#REF!</definedName>
    <definedName name="_10B_10" localSheetId="7">[1]Sheet1!#REF!</definedName>
    <definedName name="_10B_10" localSheetId="8">[1]Sheet1!#REF!</definedName>
    <definedName name="_10B_10" localSheetId="4">[1]Sheet1!#REF!</definedName>
    <definedName name="_10B_10" localSheetId="1">[1]Sheet1!#REF!</definedName>
    <definedName name="_10B_10">[1]Sheet1!#REF!</definedName>
    <definedName name="_10B_11" localSheetId="5">[1]Sheet1!#REF!</definedName>
    <definedName name="_10B_11" localSheetId="3">[1]Sheet1!#REF!</definedName>
    <definedName name="_10B_11" localSheetId="6">[1]Sheet1!#REF!</definedName>
    <definedName name="_10B_11" localSheetId="7">[1]Sheet1!#REF!</definedName>
    <definedName name="_10B_11" localSheetId="8">[1]Sheet1!#REF!</definedName>
    <definedName name="_10B_11" localSheetId="4">[1]Sheet1!#REF!</definedName>
    <definedName name="_10B_11" localSheetId="1">[1]Sheet1!#REF!</definedName>
    <definedName name="_10B_11">[1]Sheet1!#REF!</definedName>
    <definedName name="_10B_12" localSheetId="5">[1]Sheet1!#REF!</definedName>
    <definedName name="_10B_12" localSheetId="3">[1]Sheet1!#REF!</definedName>
    <definedName name="_10B_12" localSheetId="6">[1]Sheet1!#REF!</definedName>
    <definedName name="_10B_12" localSheetId="7">[1]Sheet1!#REF!</definedName>
    <definedName name="_10B_12" localSheetId="8">[1]Sheet1!#REF!</definedName>
    <definedName name="_10B_12" localSheetId="4">[1]Sheet1!#REF!</definedName>
    <definedName name="_10B_12" localSheetId="1">[1]Sheet1!#REF!</definedName>
    <definedName name="_10B_12">[1]Sheet1!#REF!</definedName>
    <definedName name="_10B_13" localSheetId="5">[1]Sheet1!#REF!</definedName>
    <definedName name="_10B_13" localSheetId="3">[1]Sheet1!#REF!</definedName>
    <definedName name="_10B_13" localSheetId="6">[1]Sheet1!#REF!</definedName>
    <definedName name="_10B_13" localSheetId="7">[1]Sheet1!#REF!</definedName>
    <definedName name="_10B_13" localSheetId="8">[1]Sheet1!#REF!</definedName>
    <definedName name="_10B_13" localSheetId="4">[1]Sheet1!#REF!</definedName>
    <definedName name="_10B_13" localSheetId="1">[1]Sheet1!#REF!</definedName>
    <definedName name="_10B_13">[1]Sheet1!#REF!</definedName>
    <definedName name="_10B_14" localSheetId="5">[1]Sheet1!#REF!</definedName>
    <definedName name="_10B_14" localSheetId="3">[1]Sheet1!#REF!</definedName>
    <definedName name="_10B_14" localSheetId="6">[1]Sheet1!#REF!</definedName>
    <definedName name="_10B_14" localSheetId="7">[1]Sheet1!#REF!</definedName>
    <definedName name="_10B_14" localSheetId="8">[1]Sheet1!#REF!</definedName>
    <definedName name="_10B_14" localSheetId="4">[1]Sheet1!#REF!</definedName>
    <definedName name="_10B_14" localSheetId="1">[1]Sheet1!#REF!</definedName>
    <definedName name="_10B_14">[1]Sheet1!#REF!</definedName>
    <definedName name="_10B_15" localSheetId="5">[1]Sheet1!#REF!</definedName>
    <definedName name="_10B_15" localSheetId="3">[1]Sheet1!#REF!</definedName>
    <definedName name="_10B_15" localSheetId="6">[1]Sheet1!#REF!</definedName>
    <definedName name="_10B_15" localSheetId="7">[1]Sheet1!#REF!</definedName>
    <definedName name="_10B_15" localSheetId="8">[1]Sheet1!#REF!</definedName>
    <definedName name="_10B_15" localSheetId="4">[1]Sheet1!#REF!</definedName>
    <definedName name="_10B_15" localSheetId="1">[1]Sheet1!#REF!</definedName>
    <definedName name="_10B_15">[1]Sheet1!#REF!</definedName>
    <definedName name="_10B_16" localSheetId="5">[1]Sheet1!#REF!</definedName>
    <definedName name="_10B_16" localSheetId="3">[1]Sheet1!#REF!</definedName>
    <definedName name="_10B_16" localSheetId="6">[1]Sheet1!#REF!</definedName>
    <definedName name="_10B_16" localSheetId="7">[1]Sheet1!#REF!</definedName>
    <definedName name="_10B_16" localSheetId="8">[1]Sheet1!#REF!</definedName>
    <definedName name="_10B_16" localSheetId="4">[1]Sheet1!#REF!</definedName>
    <definedName name="_10B_16" localSheetId="1">[1]Sheet1!#REF!</definedName>
    <definedName name="_10B_16">[1]Sheet1!#REF!</definedName>
    <definedName name="_10B_17" localSheetId="5">[1]Sheet1!#REF!</definedName>
    <definedName name="_10B_17" localSheetId="3">[1]Sheet1!#REF!</definedName>
    <definedName name="_10B_17" localSheetId="6">[1]Sheet1!#REF!</definedName>
    <definedName name="_10B_17" localSheetId="7">[1]Sheet1!#REF!</definedName>
    <definedName name="_10B_17" localSheetId="8">[1]Sheet1!#REF!</definedName>
    <definedName name="_10B_17" localSheetId="4">[1]Sheet1!#REF!</definedName>
    <definedName name="_10B_17" localSheetId="1">[1]Sheet1!#REF!</definedName>
    <definedName name="_10B_17">[1]Sheet1!#REF!</definedName>
    <definedName name="_10B_18" localSheetId="5">[1]Sheet1!#REF!</definedName>
    <definedName name="_10B_18" localSheetId="3">[1]Sheet1!#REF!</definedName>
    <definedName name="_10B_18" localSheetId="6">[1]Sheet1!#REF!</definedName>
    <definedName name="_10B_18" localSheetId="7">[1]Sheet1!#REF!</definedName>
    <definedName name="_10B_18" localSheetId="8">[1]Sheet1!#REF!</definedName>
    <definedName name="_10B_18" localSheetId="4">[1]Sheet1!#REF!</definedName>
    <definedName name="_10B_18" localSheetId="1">[1]Sheet1!#REF!</definedName>
    <definedName name="_10B_18">[1]Sheet1!#REF!</definedName>
    <definedName name="_10B_19" localSheetId="5">[1]Sheet1!#REF!</definedName>
    <definedName name="_10B_19" localSheetId="3">[1]Sheet1!#REF!</definedName>
    <definedName name="_10B_19" localSheetId="6">[1]Sheet1!#REF!</definedName>
    <definedName name="_10B_19" localSheetId="7">[1]Sheet1!#REF!</definedName>
    <definedName name="_10B_19" localSheetId="8">[1]Sheet1!#REF!</definedName>
    <definedName name="_10B_19" localSheetId="4">[1]Sheet1!#REF!</definedName>
    <definedName name="_10B_19" localSheetId="1">[1]Sheet1!#REF!</definedName>
    <definedName name="_10B_19">[1]Sheet1!#REF!</definedName>
    <definedName name="_10B_2" localSheetId="5">[1]Sheet1!#REF!</definedName>
    <definedName name="_10B_2" localSheetId="3">[1]Sheet1!#REF!</definedName>
    <definedName name="_10B_2" localSheetId="6">[1]Sheet1!#REF!</definedName>
    <definedName name="_10B_2" localSheetId="7">[1]Sheet1!#REF!</definedName>
    <definedName name="_10B_2" localSheetId="8">[1]Sheet1!#REF!</definedName>
    <definedName name="_10B_2" localSheetId="4">[1]Sheet1!#REF!</definedName>
    <definedName name="_10B_2" localSheetId="1">[1]Sheet1!#REF!</definedName>
    <definedName name="_10B_2">[1]Sheet1!#REF!</definedName>
    <definedName name="_10B_20" localSheetId="5">[1]Sheet1!#REF!</definedName>
    <definedName name="_10B_20" localSheetId="3">[1]Sheet1!#REF!</definedName>
    <definedName name="_10B_20" localSheetId="6">[1]Sheet1!#REF!</definedName>
    <definedName name="_10B_20" localSheetId="7">[1]Sheet1!#REF!</definedName>
    <definedName name="_10B_20" localSheetId="8">[1]Sheet1!#REF!</definedName>
    <definedName name="_10B_20" localSheetId="4">[1]Sheet1!#REF!</definedName>
    <definedName name="_10B_20" localSheetId="1">[1]Sheet1!#REF!</definedName>
    <definedName name="_10B_20">[1]Sheet1!#REF!</definedName>
    <definedName name="_10B_21" localSheetId="5">[1]Sheet1!#REF!</definedName>
    <definedName name="_10B_21" localSheetId="3">[1]Sheet1!#REF!</definedName>
    <definedName name="_10B_21" localSheetId="6">[1]Sheet1!#REF!</definedName>
    <definedName name="_10B_21" localSheetId="7">[1]Sheet1!#REF!</definedName>
    <definedName name="_10B_21" localSheetId="8">[1]Sheet1!#REF!</definedName>
    <definedName name="_10B_21" localSheetId="4">[1]Sheet1!#REF!</definedName>
    <definedName name="_10B_21" localSheetId="1">[1]Sheet1!#REF!</definedName>
    <definedName name="_10B_21">[1]Sheet1!#REF!</definedName>
    <definedName name="_10B_22" localSheetId="5">[1]Sheet1!#REF!</definedName>
    <definedName name="_10B_22" localSheetId="3">[1]Sheet1!#REF!</definedName>
    <definedName name="_10B_22" localSheetId="6">[1]Sheet1!#REF!</definedName>
    <definedName name="_10B_22" localSheetId="7">[1]Sheet1!#REF!</definedName>
    <definedName name="_10B_22" localSheetId="8">[1]Sheet1!#REF!</definedName>
    <definedName name="_10B_22" localSheetId="4">[1]Sheet1!#REF!</definedName>
    <definedName name="_10B_22" localSheetId="1">[1]Sheet1!#REF!</definedName>
    <definedName name="_10B_22">[1]Sheet1!#REF!</definedName>
    <definedName name="_10B_23" localSheetId="5">[1]Sheet1!#REF!</definedName>
    <definedName name="_10B_23" localSheetId="3">[1]Sheet1!#REF!</definedName>
    <definedName name="_10B_23" localSheetId="6">[1]Sheet1!#REF!</definedName>
    <definedName name="_10B_23" localSheetId="7">[1]Sheet1!#REF!</definedName>
    <definedName name="_10B_23" localSheetId="8">[1]Sheet1!#REF!</definedName>
    <definedName name="_10B_23" localSheetId="4">[1]Sheet1!#REF!</definedName>
    <definedName name="_10B_23" localSheetId="1">[1]Sheet1!#REF!</definedName>
    <definedName name="_10B_23">[1]Sheet1!#REF!</definedName>
    <definedName name="_10B_24" localSheetId="5">[1]Sheet1!#REF!</definedName>
    <definedName name="_10B_24" localSheetId="3">[1]Sheet1!#REF!</definedName>
    <definedName name="_10B_24" localSheetId="6">[1]Sheet1!#REF!</definedName>
    <definedName name="_10B_24" localSheetId="7">[1]Sheet1!#REF!</definedName>
    <definedName name="_10B_24" localSheetId="8">[1]Sheet1!#REF!</definedName>
    <definedName name="_10B_24" localSheetId="4">[1]Sheet1!#REF!</definedName>
    <definedName name="_10B_24" localSheetId="1">[1]Sheet1!#REF!</definedName>
    <definedName name="_10B_24">[1]Sheet1!#REF!</definedName>
    <definedName name="_10B_25" localSheetId="5">[1]Sheet1!#REF!</definedName>
    <definedName name="_10B_25" localSheetId="3">[1]Sheet1!#REF!</definedName>
    <definedName name="_10B_25" localSheetId="6">[1]Sheet1!#REF!</definedName>
    <definedName name="_10B_25" localSheetId="7">[1]Sheet1!#REF!</definedName>
    <definedName name="_10B_25" localSheetId="8">[1]Sheet1!#REF!</definedName>
    <definedName name="_10B_25" localSheetId="4">[1]Sheet1!#REF!</definedName>
    <definedName name="_10B_25" localSheetId="1">[1]Sheet1!#REF!</definedName>
    <definedName name="_10B_25">[1]Sheet1!#REF!</definedName>
    <definedName name="_10B_26" localSheetId="5">[1]Sheet1!#REF!</definedName>
    <definedName name="_10B_26" localSheetId="3">[1]Sheet1!#REF!</definedName>
    <definedName name="_10B_26" localSheetId="6">[1]Sheet1!#REF!</definedName>
    <definedName name="_10B_26" localSheetId="7">[1]Sheet1!#REF!</definedName>
    <definedName name="_10B_26" localSheetId="8">[1]Sheet1!#REF!</definedName>
    <definedName name="_10B_26" localSheetId="4">[1]Sheet1!#REF!</definedName>
    <definedName name="_10B_26" localSheetId="1">[1]Sheet1!#REF!</definedName>
    <definedName name="_10B_26">[1]Sheet1!#REF!</definedName>
    <definedName name="_10B_27" localSheetId="5">[1]Sheet1!#REF!</definedName>
    <definedName name="_10B_27" localSheetId="3">[1]Sheet1!#REF!</definedName>
    <definedName name="_10B_27" localSheetId="6">[1]Sheet1!#REF!</definedName>
    <definedName name="_10B_27" localSheetId="7">[1]Sheet1!#REF!</definedName>
    <definedName name="_10B_27" localSheetId="8">[1]Sheet1!#REF!</definedName>
    <definedName name="_10B_27" localSheetId="4">[1]Sheet1!#REF!</definedName>
    <definedName name="_10B_27" localSheetId="1">[1]Sheet1!#REF!</definedName>
    <definedName name="_10B_27">[1]Sheet1!#REF!</definedName>
    <definedName name="_10B_28" localSheetId="5">[1]Sheet1!#REF!</definedName>
    <definedName name="_10B_28" localSheetId="3">[1]Sheet1!#REF!</definedName>
    <definedName name="_10B_28" localSheetId="6">[1]Sheet1!#REF!</definedName>
    <definedName name="_10B_28" localSheetId="7">[1]Sheet1!#REF!</definedName>
    <definedName name="_10B_28" localSheetId="8">[1]Sheet1!#REF!</definedName>
    <definedName name="_10B_28" localSheetId="4">[1]Sheet1!#REF!</definedName>
    <definedName name="_10B_28" localSheetId="1">[1]Sheet1!#REF!</definedName>
    <definedName name="_10B_28">[1]Sheet1!#REF!</definedName>
    <definedName name="_10B_29" localSheetId="5">[1]Sheet1!#REF!</definedName>
    <definedName name="_10B_29" localSheetId="3">[1]Sheet1!#REF!</definedName>
    <definedName name="_10B_29" localSheetId="6">[1]Sheet1!#REF!</definedName>
    <definedName name="_10B_29" localSheetId="7">[1]Sheet1!#REF!</definedName>
    <definedName name="_10B_29" localSheetId="8">[1]Sheet1!#REF!</definedName>
    <definedName name="_10B_29" localSheetId="4">[1]Sheet1!#REF!</definedName>
    <definedName name="_10B_29" localSheetId="1">[1]Sheet1!#REF!</definedName>
    <definedName name="_10B_29">[1]Sheet1!#REF!</definedName>
    <definedName name="_10B_3" localSheetId="5">[1]Sheet1!#REF!</definedName>
    <definedName name="_10B_3" localSheetId="3">[1]Sheet1!#REF!</definedName>
    <definedName name="_10B_3" localSheetId="6">[1]Sheet1!#REF!</definedName>
    <definedName name="_10B_3" localSheetId="7">[1]Sheet1!#REF!</definedName>
    <definedName name="_10B_3" localSheetId="8">[1]Sheet1!#REF!</definedName>
    <definedName name="_10B_3" localSheetId="4">[1]Sheet1!#REF!</definedName>
    <definedName name="_10B_3" localSheetId="1">[1]Sheet1!#REF!</definedName>
    <definedName name="_10B_3">[1]Sheet1!#REF!</definedName>
    <definedName name="_10B_30" localSheetId="5">[1]Sheet1!#REF!</definedName>
    <definedName name="_10B_30" localSheetId="3">[1]Sheet1!#REF!</definedName>
    <definedName name="_10B_30" localSheetId="6">[1]Sheet1!#REF!</definedName>
    <definedName name="_10B_30" localSheetId="7">[1]Sheet1!#REF!</definedName>
    <definedName name="_10B_30" localSheetId="8">[1]Sheet1!#REF!</definedName>
    <definedName name="_10B_30" localSheetId="4">[1]Sheet1!#REF!</definedName>
    <definedName name="_10B_30" localSheetId="1">[1]Sheet1!#REF!</definedName>
    <definedName name="_10B_30">[1]Sheet1!#REF!</definedName>
    <definedName name="_10B_31" localSheetId="5">[1]Sheet1!#REF!</definedName>
    <definedName name="_10B_31" localSheetId="3">[1]Sheet1!#REF!</definedName>
    <definedName name="_10B_31" localSheetId="6">[1]Sheet1!#REF!</definedName>
    <definedName name="_10B_31" localSheetId="7">[1]Sheet1!#REF!</definedName>
    <definedName name="_10B_31" localSheetId="8">[1]Sheet1!#REF!</definedName>
    <definedName name="_10B_31" localSheetId="4">[1]Sheet1!#REF!</definedName>
    <definedName name="_10B_31" localSheetId="1">[1]Sheet1!#REF!</definedName>
    <definedName name="_10B_31">[1]Sheet1!#REF!</definedName>
    <definedName name="_10B_32" localSheetId="5">[1]Sheet1!#REF!</definedName>
    <definedName name="_10B_32" localSheetId="3">[1]Sheet1!#REF!</definedName>
    <definedName name="_10B_32" localSheetId="6">[1]Sheet1!#REF!</definedName>
    <definedName name="_10B_32" localSheetId="7">[1]Sheet1!#REF!</definedName>
    <definedName name="_10B_32" localSheetId="8">[1]Sheet1!#REF!</definedName>
    <definedName name="_10B_32" localSheetId="4">[1]Sheet1!#REF!</definedName>
    <definedName name="_10B_32" localSheetId="1">[1]Sheet1!#REF!</definedName>
    <definedName name="_10B_32">[1]Sheet1!#REF!</definedName>
    <definedName name="_10B_33" localSheetId="5">[1]Sheet1!#REF!</definedName>
    <definedName name="_10B_33" localSheetId="3">[1]Sheet1!#REF!</definedName>
    <definedName name="_10B_33" localSheetId="6">[1]Sheet1!#REF!</definedName>
    <definedName name="_10B_33" localSheetId="7">[1]Sheet1!#REF!</definedName>
    <definedName name="_10B_33" localSheetId="8">[1]Sheet1!#REF!</definedName>
    <definedName name="_10B_33" localSheetId="4">[1]Sheet1!#REF!</definedName>
    <definedName name="_10B_33" localSheetId="1">[1]Sheet1!#REF!</definedName>
    <definedName name="_10B_33">[1]Sheet1!#REF!</definedName>
    <definedName name="_10B_34" localSheetId="5">[1]Sheet1!#REF!</definedName>
    <definedName name="_10B_34" localSheetId="3">[1]Sheet1!#REF!</definedName>
    <definedName name="_10B_34" localSheetId="6">[1]Sheet1!#REF!</definedName>
    <definedName name="_10B_34" localSheetId="7">[1]Sheet1!#REF!</definedName>
    <definedName name="_10B_34" localSheetId="8">[1]Sheet1!#REF!</definedName>
    <definedName name="_10B_34" localSheetId="4">[1]Sheet1!#REF!</definedName>
    <definedName name="_10B_34" localSheetId="1">[1]Sheet1!#REF!</definedName>
    <definedName name="_10B_34">[1]Sheet1!#REF!</definedName>
    <definedName name="_10B_35" localSheetId="5">[1]Sheet1!#REF!</definedName>
    <definedName name="_10B_35" localSheetId="3">[1]Sheet1!#REF!</definedName>
    <definedName name="_10B_35" localSheetId="6">[1]Sheet1!#REF!</definedName>
    <definedName name="_10B_35" localSheetId="7">[1]Sheet1!#REF!</definedName>
    <definedName name="_10B_35" localSheetId="8">[1]Sheet1!#REF!</definedName>
    <definedName name="_10B_35" localSheetId="4">[1]Sheet1!#REF!</definedName>
    <definedName name="_10B_35" localSheetId="1">[1]Sheet1!#REF!</definedName>
    <definedName name="_10B_35">[1]Sheet1!#REF!</definedName>
    <definedName name="_10B_36" localSheetId="5">[1]Sheet1!#REF!</definedName>
    <definedName name="_10B_36" localSheetId="3">[1]Sheet1!#REF!</definedName>
    <definedName name="_10B_36" localSheetId="6">[1]Sheet1!#REF!</definedName>
    <definedName name="_10B_36" localSheetId="7">[1]Sheet1!#REF!</definedName>
    <definedName name="_10B_36" localSheetId="8">[1]Sheet1!#REF!</definedName>
    <definedName name="_10B_36" localSheetId="4">[1]Sheet1!#REF!</definedName>
    <definedName name="_10B_36" localSheetId="1">[1]Sheet1!#REF!</definedName>
    <definedName name="_10B_36">[1]Sheet1!#REF!</definedName>
    <definedName name="_10B_37" localSheetId="5">[1]Sheet1!#REF!</definedName>
    <definedName name="_10B_37" localSheetId="3">[1]Sheet1!#REF!</definedName>
    <definedName name="_10B_37" localSheetId="6">[1]Sheet1!#REF!</definedName>
    <definedName name="_10B_37" localSheetId="7">[1]Sheet1!#REF!</definedName>
    <definedName name="_10B_37" localSheetId="8">[1]Sheet1!#REF!</definedName>
    <definedName name="_10B_37" localSheetId="4">[1]Sheet1!#REF!</definedName>
    <definedName name="_10B_37" localSheetId="1">[1]Sheet1!#REF!</definedName>
    <definedName name="_10B_37">[1]Sheet1!#REF!</definedName>
    <definedName name="_10B_38" localSheetId="5">[1]Sheet1!#REF!</definedName>
    <definedName name="_10B_38" localSheetId="3">[1]Sheet1!#REF!</definedName>
    <definedName name="_10B_38" localSheetId="6">[1]Sheet1!#REF!</definedName>
    <definedName name="_10B_38" localSheetId="7">[1]Sheet1!#REF!</definedName>
    <definedName name="_10B_38" localSheetId="8">[1]Sheet1!#REF!</definedName>
    <definedName name="_10B_38" localSheetId="4">[1]Sheet1!#REF!</definedName>
    <definedName name="_10B_38" localSheetId="1">[1]Sheet1!#REF!</definedName>
    <definedName name="_10B_38">[1]Sheet1!#REF!</definedName>
    <definedName name="_10B_39" localSheetId="5">[1]Sheet1!#REF!</definedName>
    <definedName name="_10B_39" localSheetId="3">[1]Sheet1!#REF!</definedName>
    <definedName name="_10B_39" localSheetId="6">[1]Sheet1!#REF!</definedName>
    <definedName name="_10B_39" localSheetId="7">[1]Sheet1!#REF!</definedName>
    <definedName name="_10B_39" localSheetId="8">[1]Sheet1!#REF!</definedName>
    <definedName name="_10B_39" localSheetId="4">[1]Sheet1!#REF!</definedName>
    <definedName name="_10B_39" localSheetId="1">[1]Sheet1!#REF!</definedName>
    <definedName name="_10B_39">[1]Sheet1!#REF!</definedName>
    <definedName name="_10B_4" localSheetId="5">[1]Sheet1!#REF!</definedName>
    <definedName name="_10B_4" localSheetId="3">[1]Sheet1!#REF!</definedName>
    <definedName name="_10B_4" localSheetId="6">[1]Sheet1!#REF!</definedName>
    <definedName name="_10B_4" localSheetId="7">[1]Sheet1!#REF!</definedName>
    <definedName name="_10B_4" localSheetId="8">[1]Sheet1!#REF!</definedName>
    <definedName name="_10B_4" localSheetId="4">[1]Sheet1!#REF!</definedName>
    <definedName name="_10B_4" localSheetId="1">[1]Sheet1!#REF!</definedName>
    <definedName name="_10B_4">[1]Sheet1!#REF!</definedName>
    <definedName name="_10B_40" localSheetId="5">[1]Sheet1!#REF!</definedName>
    <definedName name="_10B_40" localSheetId="3">[1]Sheet1!#REF!</definedName>
    <definedName name="_10B_40" localSheetId="6">[1]Sheet1!#REF!</definedName>
    <definedName name="_10B_40" localSheetId="7">[1]Sheet1!#REF!</definedName>
    <definedName name="_10B_40" localSheetId="8">[1]Sheet1!#REF!</definedName>
    <definedName name="_10B_40" localSheetId="4">[1]Sheet1!#REF!</definedName>
    <definedName name="_10B_40" localSheetId="1">[1]Sheet1!#REF!</definedName>
    <definedName name="_10B_40">[1]Sheet1!#REF!</definedName>
    <definedName name="_10B_41" localSheetId="5">[1]Sheet1!#REF!</definedName>
    <definedName name="_10B_41" localSheetId="3">[1]Sheet1!#REF!</definedName>
    <definedName name="_10B_41" localSheetId="6">[1]Sheet1!#REF!</definedName>
    <definedName name="_10B_41" localSheetId="7">[1]Sheet1!#REF!</definedName>
    <definedName name="_10B_41" localSheetId="8">[1]Sheet1!#REF!</definedName>
    <definedName name="_10B_41" localSheetId="4">[1]Sheet1!#REF!</definedName>
    <definedName name="_10B_41" localSheetId="1">[1]Sheet1!#REF!</definedName>
    <definedName name="_10B_41">[1]Sheet1!#REF!</definedName>
    <definedName name="_10B_42" localSheetId="5">[1]Sheet1!#REF!</definedName>
    <definedName name="_10B_42" localSheetId="3">[1]Sheet1!#REF!</definedName>
    <definedName name="_10B_42" localSheetId="6">[1]Sheet1!#REF!</definedName>
    <definedName name="_10B_42" localSheetId="7">[1]Sheet1!#REF!</definedName>
    <definedName name="_10B_42" localSheetId="8">[1]Sheet1!#REF!</definedName>
    <definedName name="_10B_42" localSheetId="4">[1]Sheet1!#REF!</definedName>
    <definedName name="_10B_42" localSheetId="1">[1]Sheet1!#REF!</definedName>
    <definedName name="_10B_42">[1]Sheet1!#REF!</definedName>
    <definedName name="_10B_43" localSheetId="5">[1]Sheet1!#REF!</definedName>
    <definedName name="_10B_43" localSheetId="3">[1]Sheet1!#REF!</definedName>
    <definedName name="_10B_43" localSheetId="6">[1]Sheet1!#REF!</definedName>
    <definedName name="_10B_43" localSheetId="7">[1]Sheet1!#REF!</definedName>
    <definedName name="_10B_43" localSheetId="8">[1]Sheet1!#REF!</definedName>
    <definedName name="_10B_43" localSheetId="4">[1]Sheet1!#REF!</definedName>
    <definedName name="_10B_43" localSheetId="1">[1]Sheet1!#REF!</definedName>
    <definedName name="_10B_43">[1]Sheet1!#REF!</definedName>
    <definedName name="_10B_44" localSheetId="5">[1]Sheet1!#REF!</definedName>
    <definedName name="_10B_44" localSheetId="3">[1]Sheet1!#REF!</definedName>
    <definedName name="_10B_44" localSheetId="6">[1]Sheet1!#REF!</definedName>
    <definedName name="_10B_44" localSheetId="7">[1]Sheet1!#REF!</definedName>
    <definedName name="_10B_44" localSheetId="8">[1]Sheet1!#REF!</definedName>
    <definedName name="_10B_44" localSheetId="4">[1]Sheet1!#REF!</definedName>
    <definedName name="_10B_44" localSheetId="1">[1]Sheet1!#REF!</definedName>
    <definedName name="_10B_44">[1]Sheet1!#REF!</definedName>
    <definedName name="_10B_45" localSheetId="5">[1]Sheet1!#REF!</definedName>
    <definedName name="_10B_45" localSheetId="3">[1]Sheet1!#REF!</definedName>
    <definedName name="_10B_45" localSheetId="6">[1]Sheet1!#REF!</definedName>
    <definedName name="_10B_45" localSheetId="7">[1]Sheet1!#REF!</definedName>
    <definedName name="_10B_45" localSheetId="8">[1]Sheet1!#REF!</definedName>
    <definedName name="_10B_45" localSheetId="4">[1]Sheet1!#REF!</definedName>
    <definedName name="_10B_45" localSheetId="1">[1]Sheet1!#REF!</definedName>
    <definedName name="_10B_45">[1]Sheet1!#REF!</definedName>
    <definedName name="_10B_46" localSheetId="5">[1]Sheet1!#REF!</definedName>
    <definedName name="_10B_46" localSheetId="3">[1]Sheet1!#REF!</definedName>
    <definedName name="_10B_46" localSheetId="6">[1]Sheet1!#REF!</definedName>
    <definedName name="_10B_46" localSheetId="7">[1]Sheet1!#REF!</definedName>
    <definedName name="_10B_46" localSheetId="8">[1]Sheet1!#REF!</definedName>
    <definedName name="_10B_46" localSheetId="4">[1]Sheet1!#REF!</definedName>
    <definedName name="_10B_46" localSheetId="1">[1]Sheet1!#REF!</definedName>
    <definedName name="_10B_46">[1]Sheet1!#REF!</definedName>
    <definedName name="_10B_47" localSheetId="5">[1]Sheet1!#REF!</definedName>
    <definedName name="_10B_47" localSheetId="3">[1]Sheet1!#REF!</definedName>
    <definedName name="_10B_47" localSheetId="6">[1]Sheet1!#REF!</definedName>
    <definedName name="_10B_47" localSheetId="7">[1]Sheet1!#REF!</definedName>
    <definedName name="_10B_47" localSheetId="8">[1]Sheet1!#REF!</definedName>
    <definedName name="_10B_47" localSheetId="4">[1]Sheet1!#REF!</definedName>
    <definedName name="_10B_47" localSheetId="1">[1]Sheet1!#REF!</definedName>
    <definedName name="_10B_47">[1]Sheet1!#REF!</definedName>
    <definedName name="_10B_48" localSheetId="5">[1]Sheet1!#REF!</definedName>
    <definedName name="_10B_48" localSheetId="3">[1]Sheet1!#REF!</definedName>
    <definedName name="_10B_48" localSheetId="6">[1]Sheet1!#REF!</definedName>
    <definedName name="_10B_48" localSheetId="7">[1]Sheet1!#REF!</definedName>
    <definedName name="_10B_48" localSheetId="8">[1]Sheet1!#REF!</definedName>
    <definedName name="_10B_48" localSheetId="4">[1]Sheet1!#REF!</definedName>
    <definedName name="_10B_48" localSheetId="1">[1]Sheet1!#REF!</definedName>
    <definedName name="_10B_48">[1]Sheet1!#REF!</definedName>
    <definedName name="_10B_49" localSheetId="5">[1]Sheet1!#REF!</definedName>
    <definedName name="_10B_49" localSheetId="3">[1]Sheet1!#REF!</definedName>
    <definedName name="_10B_49" localSheetId="6">[1]Sheet1!#REF!</definedName>
    <definedName name="_10B_49" localSheetId="7">[1]Sheet1!#REF!</definedName>
    <definedName name="_10B_49" localSheetId="8">[1]Sheet1!#REF!</definedName>
    <definedName name="_10B_49" localSheetId="4">[1]Sheet1!#REF!</definedName>
    <definedName name="_10B_49" localSheetId="1">[1]Sheet1!#REF!</definedName>
    <definedName name="_10B_49">[1]Sheet1!#REF!</definedName>
    <definedName name="_10B_5" localSheetId="5">[1]Sheet1!#REF!</definedName>
    <definedName name="_10B_5" localSheetId="3">[1]Sheet1!#REF!</definedName>
    <definedName name="_10B_5" localSheetId="6">[1]Sheet1!#REF!</definedName>
    <definedName name="_10B_5" localSheetId="7">[1]Sheet1!#REF!</definedName>
    <definedName name="_10B_5" localSheetId="8">[1]Sheet1!#REF!</definedName>
    <definedName name="_10B_5" localSheetId="4">[1]Sheet1!#REF!</definedName>
    <definedName name="_10B_5" localSheetId="1">[1]Sheet1!#REF!</definedName>
    <definedName name="_10B_5">[1]Sheet1!#REF!</definedName>
    <definedName name="_10B_50" localSheetId="5">[1]Sheet1!#REF!</definedName>
    <definedName name="_10B_50" localSheetId="3">[1]Sheet1!#REF!</definedName>
    <definedName name="_10B_50" localSheetId="6">[1]Sheet1!#REF!</definedName>
    <definedName name="_10B_50" localSheetId="7">[1]Sheet1!#REF!</definedName>
    <definedName name="_10B_50" localSheetId="8">[1]Sheet1!#REF!</definedName>
    <definedName name="_10B_50" localSheetId="4">[1]Sheet1!#REF!</definedName>
    <definedName name="_10B_50" localSheetId="1">[1]Sheet1!#REF!</definedName>
    <definedName name="_10B_50">[1]Sheet1!#REF!</definedName>
    <definedName name="_10B_51" localSheetId="5">[1]Sheet1!#REF!</definedName>
    <definedName name="_10B_51" localSheetId="3">[1]Sheet1!#REF!</definedName>
    <definedName name="_10B_51" localSheetId="6">[1]Sheet1!#REF!</definedName>
    <definedName name="_10B_51" localSheetId="7">[1]Sheet1!#REF!</definedName>
    <definedName name="_10B_51" localSheetId="8">[1]Sheet1!#REF!</definedName>
    <definedName name="_10B_51" localSheetId="4">[1]Sheet1!#REF!</definedName>
    <definedName name="_10B_51" localSheetId="1">[1]Sheet1!#REF!</definedName>
    <definedName name="_10B_51">[1]Sheet1!#REF!</definedName>
    <definedName name="_10B_52" localSheetId="5">[1]Sheet1!#REF!</definedName>
    <definedName name="_10B_52" localSheetId="3">[1]Sheet1!#REF!</definedName>
    <definedName name="_10B_52" localSheetId="6">[1]Sheet1!#REF!</definedName>
    <definedName name="_10B_52" localSheetId="7">[1]Sheet1!#REF!</definedName>
    <definedName name="_10B_52" localSheetId="8">[1]Sheet1!#REF!</definedName>
    <definedName name="_10B_52" localSheetId="4">[1]Sheet1!#REF!</definedName>
    <definedName name="_10B_52" localSheetId="1">[1]Sheet1!#REF!</definedName>
    <definedName name="_10B_52">[1]Sheet1!#REF!</definedName>
    <definedName name="_10B_53" localSheetId="5">[1]Sheet1!#REF!</definedName>
    <definedName name="_10B_53" localSheetId="3">[1]Sheet1!#REF!</definedName>
    <definedName name="_10B_53" localSheetId="6">[1]Sheet1!#REF!</definedName>
    <definedName name="_10B_53" localSheetId="7">[1]Sheet1!#REF!</definedName>
    <definedName name="_10B_53" localSheetId="8">[1]Sheet1!#REF!</definedName>
    <definedName name="_10B_53" localSheetId="4">[1]Sheet1!#REF!</definedName>
    <definedName name="_10B_53" localSheetId="1">[1]Sheet1!#REF!</definedName>
    <definedName name="_10B_53">[1]Sheet1!#REF!</definedName>
    <definedName name="_10B_54" localSheetId="5">[1]Sheet1!#REF!</definedName>
    <definedName name="_10B_54" localSheetId="3">[1]Sheet1!#REF!</definedName>
    <definedName name="_10B_54" localSheetId="6">[1]Sheet1!#REF!</definedName>
    <definedName name="_10B_54" localSheetId="7">[1]Sheet1!#REF!</definedName>
    <definedName name="_10B_54" localSheetId="8">[1]Sheet1!#REF!</definedName>
    <definedName name="_10B_54" localSheetId="4">[1]Sheet1!#REF!</definedName>
    <definedName name="_10B_54" localSheetId="1">[1]Sheet1!#REF!</definedName>
    <definedName name="_10B_54">[1]Sheet1!#REF!</definedName>
    <definedName name="_10B_55" localSheetId="5">[1]Sheet1!#REF!</definedName>
    <definedName name="_10B_55" localSheetId="3">[1]Sheet1!#REF!</definedName>
    <definedName name="_10B_55" localSheetId="6">[1]Sheet1!#REF!</definedName>
    <definedName name="_10B_55" localSheetId="7">[1]Sheet1!#REF!</definedName>
    <definedName name="_10B_55" localSheetId="8">[1]Sheet1!#REF!</definedName>
    <definedName name="_10B_55" localSheetId="4">[1]Sheet1!#REF!</definedName>
    <definedName name="_10B_55" localSheetId="1">[1]Sheet1!#REF!</definedName>
    <definedName name="_10B_55">[1]Sheet1!#REF!</definedName>
    <definedName name="_10B_56" localSheetId="5">[1]Sheet1!#REF!</definedName>
    <definedName name="_10B_56" localSheetId="3">[1]Sheet1!#REF!</definedName>
    <definedName name="_10B_56" localSheetId="6">[1]Sheet1!#REF!</definedName>
    <definedName name="_10B_56" localSheetId="7">[1]Sheet1!#REF!</definedName>
    <definedName name="_10B_56" localSheetId="8">[1]Sheet1!#REF!</definedName>
    <definedName name="_10B_56" localSheetId="4">[1]Sheet1!#REF!</definedName>
    <definedName name="_10B_56" localSheetId="1">[1]Sheet1!#REF!</definedName>
    <definedName name="_10B_56">[1]Sheet1!#REF!</definedName>
    <definedName name="_10B_57" localSheetId="5">[1]Sheet1!#REF!</definedName>
    <definedName name="_10B_57" localSheetId="3">[1]Sheet1!#REF!</definedName>
    <definedName name="_10B_57" localSheetId="6">[1]Sheet1!#REF!</definedName>
    <definedName name="_10B_57" localSheetId="7">[1]Sheet1!#REF!</definedName>
    <definedName name="_10B_57" localSheetId="8">[1]Sheet1!#REF!</definedName>
    <definedName name="_10B_57" localSheetId="4">[1]Sheet1!#REF!</definedName>
    <definedName name="_10B_57" localSheetId="1">[1]Sheet1!#REF!</definedName>
    <definedName name="_10B_57">[1]Sheet1!#REF!</definedName>
    <definedName name="_10B_58" localSheetId="5">[1]Sheet1!#REF!</definedName>
    <definedName name="_10B_58" localSheetId="3">[1]Sheet1!#REF!</definedName>
    <definedName name="_10B_58" localSheetId="6">[1]Sheet1!#REF!</definedName>
    <definedName name="_10B_58" localSheetId="7">[1]Sheet1!#REF!</definedName>
    <definedName name="_10B_58" localSheetId="8">[1]Sheet1!#REF!</definedName>
    <definedName name="_10B_58" localSheetId="4">[1]Sheet1!#REF!</definedName>
    <definedName name="_10B_58" localSheetId="1">[1]Sheet1!#REF!</definedName>
    <definedName name="_10B_58">[1]Sheet1!#REF!</definedName>
    <definedName name="_10B_59" localSheetId="5">[1]Sheet1!#REF!</definedName>
    <definedName name="_10B_59" localSheetId="3">[1]Sheet1!#REF!</definedName>
    <definedName name="_10B_59" localSheetId="6">[1]Sheet1!#REF!</definedName>
    <definedName name="_10B_59" localSheetId="7">[1]Sheet1!#REF!</definedName>
    <definedName name="_10B_59" localSheetId="8">[1]Sheet1!#REF!</definedName>
    <definedName name="_10B_59" localSheetId="4">[1]Sheet1!#REF!</definedName>
    <definedName name="_10B_59" localSheetId="1">[1]Sheet1!#REF!</definedName>
    <definedName name="_10B_59">[1]Sheet1!#REF!</definedName>
    <definedName name="_10B_6" localSheetId="5">[1]Sheet1!#REF!</definedName>
    <definedName name="_10B_6" localSheetId="3">[1]Sheet1!#REF!</definedName>
    <definedName name="_10B_6" localSheetId="6">[1]Sheet1!#REF!</definedName>
    <definedName name="_10B_6" localSheetId="7">[1]Sheet1!#REF!</definedName>
    <definedName name="_10B_6" localSheetId="8">[1]Sheet1!#REF!</definedName>
    <definedName name="_10B_6" localSheetId="4">[1]Sheet1!#REF!</definedName>
    <definedName name="_10B_6" localSheetId="1">[1]Sheet1!#REF!</definedName>
    <definedName name="_10B_6">[1]Sheet1!#REF!</definedName>
    <definedName name="_10B_60" localSheetId="5">[1]Sheet1!#REF!</definedName>
    <definedName name="_10B_60" localSheetId="3">[1]Sheet1!#REF!</definedName>
    <definedName name="_10B_60" localSheetId="6">[1]Sheet1!#REF!</definedName>
    <definedName name="_10B_60" localSheetId="7">[1]Sheet1!#REF!</definedName>
    <definedName name="_10B_60" localSheetId="8">[1]Sheet1!#REF!</definedName>
    <definedName name="_10B_60" localSheetId="4">[1]Sheet1!#REF!</definedName>
    <definedName name="_10B_60" localSheetId="1">[1]Sheet1!#REF!</definedName>
    <definedName name="_10B_60">[1]Sheet1!#REF!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 localSheetId="5">[1]Sheet1!#REF!</definedName>
    <definedName name="_10B_7" localSheetId="3">[1]Sheet1!#REF!</definedName>
    <definedName name="_10B_7" localSheetId="6">[1]Sheet1!#REF!</definedName>
    <definedName name="_10B_7" localSheetId="7">[1]Sheet1!#REF!</definedName>
    <definedName name="_10B_7" localSheetId="8">[1]Sheet1!#REF!</definedName>
    <definedName name="_10B_7" localSheetId="4">[1]Sheet1!#REF!</definedName>
    <definedName name="_10B_7" localSheetId="1">[1]Sheet1!#REF!</definedName>
    <definedName name="_10B_7">[1]Sheet1!#REF!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 localSheetId="5">[1]Sheet1!#REF!</definedName>
    <definedName name="_10B_8" localSheetId="3">[1]Sheet1!#REF!</definedName>
    <definedName name="_10B_8" localSheetId="6">[1]Sheet1!#REF!</definedName>
    <definedName name="_10B_8" localSheetId="7">[1]Sheet1!#REF!</definedName>
    <definedName name="_10B_8" localSheetId="8">[1]Sheet1!#REF!</definedName>
    <definedName name="_10B_8" localSheetId="4">[1]Sheet1!#REF!</definedName>
    <definedName name="_10B_8" localSheetId="1">[1]Sheet1!#REF!</definedName>
    <definedName name="_10B_8">[1]Sheet1!#REF!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 localSheetId="5">[1]Sheet1!#REF!</definedName>
    <definedName name="_10B_9" localSheetId="3">[1]Sheet1!#REF!</definedName>
    <definedName name="_10B_9" localSheetId="6">[1]Sheet1!#REF!</definedName>
    <definedName name="_10B_9" localSheetId="7">[1]Sheet1!#REF!</definedName>
    <definedName name="_10B_9" localSheetId="8">[1]Sheet1!#REF!</definedName>
    <definedName name="_10B_9" localSheetId="4">[1]Sheet1!#REF!</definedName>
    <definedName name="_10B_9" localSheetId="1">[1]Sheet1!#REF!</definedName>
    <definedName name="_10B_9">[1]Sheet1!#REF!</definedName>
    <definedName name="_10B_90">#N/A</definedName>
    <definedName name="_10C_" localSheetId="5">[1]Sheet1!#REF!</definedName>
    <definedName name="_10C_" localSheetId="3">[1]Sheet1!#REF!</definedName>
    <definedName name="_10C_" localSheetId="6">[1]Sheet1!#REF!</definedName>
    <definedName name="_10C_" localSheetId="7">[1]Sheet1!#REF!</definedName>
    <definedName name="_10C_" localSheetId="8">[1]Sheet1!#REF!</definedName>
    <definedName name="_10C_" localSheetId="4">[1]Sheet1!#REF!</definedName>
    <definedName name="_10C_" localSheetId="1">[1]Sheet1!#REF!</definedName>
    <definedName name="_10C_">[1]Sheet1!#REF!</definedName>
    <definedName name="_10C_1" localSheetId="5">[1]Sheet1!#REF!</definedName>
    <definedName name="_10C_1" localSheetId="3">[1]Sheet1!#REF!</definedName>
    <definedName name="_10C_1" localSheetId="6">[1]Sheet1!#REF!</definedName>
    <definedName name="_10C_1" localSheetId="7">[1]Sheet1!#REF!</definedName>
    <definedName name="_10C_1" localSheetId="8">[1]Sheet1!#REF!</definedName>
    <definedName name="_10C_1" localSheetId="4">[1]Sheet1!#REF!</definedName>
    <definedName name="_10C_1" localSheetId="1">[1]Sheet1!#REF!</definedName>
    <definedName name="_10C_1">[1]Sheet1!#REF!</definedName>
    <definedName name="_10C_10" localSheetId="5">[1]Sheet1!#REF!</definedName>
    <definedName name="_10C_10" localSheetId="3">[1]Sheet1!#REF!</definedName>
    <definedName name="_10C_10" localSheetId="6">[1]Sheet1!#REF!</definedName>
    <definedName name="_10C_10" localSheetId="7">[1]Sheet1!#REF!</definedName>
    <definedName name="_10C_10" localSheetId="8">[1]Sheet1!#REF!</definedName>
    <definedName name="_10C_10" localSheetId="4">[1]Sheet1!#REF!</definedName>
    <definedName name="_10C_10" localSheetId="1">[1]Sheet1!#REF!</definedName>
    <definedName name="_10C_10">[1]Sheet1!#REF!</definedName>
    <definedName name="_10C_11" localSheetId="5">[1]Sheet1!#REF!</definedName>
    <definedName name="_10C_11" localSheetId="3">[1]Sheet1!#REF!</definedName>
    <definedName name="_10C_11" localSheetId="6">[1]Sheet1!#REF!</definedName>
    <definedName name="_10C_11" localSheetId="7">[1]Sheet1!#REF!</definedName>
    <definedName name="_10C_11" localSheetId="8">[1]Sheet1!#REF!</definedName>
    <definedName name="_10C_11" localSheetId="4">[1]Sheet1!#REF!</definedName>
    <definedName name="_10C_11" localSheetId="1">[1]Sheet1!#REF!</definedName>
    <definedName name="_10C_11">[1]Sheet1!#REF!</definedName>
    <definedName name="_10C_12" localSheetId="5">[1]Sheet1!#REF!</definedName>
    <definedName name="_10C_12" localSheetId="3">[1]Sheet1!#REF!</definedName>
    <definedName name="_10C_12" localSheetId="6">[1]Sheet1!#REF!</definedName>
    <definedName name="_10C_12" localSheetId="7">[1]Sheet1!#REF!</definedName>
    <definedName name="_10C_12" localSheetId="8">[1]Sheet1!#REF!</definedName>
    <definedName name="_10C_12" localSheetId="4">[1]Sheet1!#REF!</definedName>
    <definedName name="_10C_12" localSheetId="1">[1]Sheet1!#REF!</definedName>
    <definedName name="_10C_12">[1]Sheet1!#REF!</definedName>
    <definedName name="_10C_13" localSheetId="5">[1]Sheet1!#REF!</definedName>
    <definedName name="_10C_13" localSheetId="3">[1]Sheet1!#REF!</definedName>
    <definedName name="_10C_13" localSheetId="6">[1]Sheet1!#REF!</definedName>
    <definedName name="_10C_13" localSheetId="7">[1]Sheet1!#REF!</definedName>
    <definedName name="_10C_13" localSheetId="8">[1]Sheet1!#REF!</definedName>
    <definedName name="_10C_13" localSheetId="4">[1]Sheet1!#REF!</definedName>
    <definedName name="_10C_13" localSheetId="1">[1]Sheet1!#REF!</definedName>
    <definedName name="_10C_13">[1]Sheet1!#REF!</definedName>
    <definedName name="_10C_14" localSheetId="5">[1]Sheet1!#REF!</definedName>
    <definedName name="_10C_14" localSheetId="3">[1]Sheet1!#REF!</definedName>
    <definedName name="_10C_14" localSheetId="6">[1]Sheet1!#REF!</definedName>
    <definedName name="_10C_14" localSheetId="7">[1]Sheet1!#REF!</definedName>
    <definedName name="_10C_14" localSheetId="8">[1]Sheet1!#REF!</definedName>
    <definedName name="_10C_14" localSheetId="4">[1]Sheet1!#REF!</definedName>
    <definedName name="_10C_14" localSheetId="1">[1]Sheet1!#REF!</definedName>
    <definedName name="_10C_14">[1]Sheet1!#REF!</definedName>
    <definedName name="_10C_15" localSheetId="5">[1]Sheet1!#REF!</definedName>
    <definedName name="_10C_15" localSheetId="3">[1]Sheet1!#REF!</definedName>
    <definedName name="_10C_15" localSheetId="6">[1]Sheet1!#REF!</definedName>
    <definedName name="_10C_15" localSheetId="7">[1]Sheet1!#REF!</definedName>
    <definedName name="_10C_15" localSheetId="8">[1]Sheet1!#REF!</definedName>
    <definedName name="_10C_15" localSheetId="4">[1]Sheet1!#REF!</definedName>
    <definedName name="_10C_15" localSheetId="1">[1]Sheet1!#REF!</definedName>
    <definedName name="_10C_15">[1]Sheet1!#REF!</definedName>
    <definedName name="_10C_16" localSheetId="5">[1]Sheet1!#REF!</definedName>
    <definedName name="_10C_16" localSheetId="3">[1]Sheet1!#REF!</definedName>
    <definedName name="_10C_16" localSheetId="6">[1]Sheet1!#REF!</definedName>
    <definedName name="_10C_16" localSheetId="7">[1]Sheet1!#REF!</definedName>
    <definedName name="_10C_16" localSheetId="8">[1]Sheet1!#REF!</definedName>
    <definedName name="_10C_16" localSheetId="4">[1]Sheet1!#REF!</definedName>
    <definedName name="_10C_16" localSheetId="1">[1]Sheet1!#REF!</definedName>
    <definedName name="_10C_16">[1]Sheet1!#REF!</definedName>
    <definedName name="_10C_17" localSheetId="5">[1]Sheet1!#REF!</definedName>
    <definedName name="_10C_17" localSheetId="3">[1]Sheet1!#REF!</definedName>
    <definedName name="_10C_17" localSheetId="6">[1]Sheet1!#REF!</definedName>
    <definedName name="_10C_17" localSheetId="7">[1]Sheet1!#REF!</definedName>
    <definedName name="_10C_17" localSheetId="8">[1]Sheet1!#REF!</definedName>
    <definedName name="_10C_17" localSheetId="4">[1]Sheet1!#REF!</definedName>
    <definedName name="_10C_17" localSheetId="1">[1]Sheet1!#REF!</definedName>
    <definedName name="_10C_17">[1]Sheet1!#REF!</definedName>
    <definedName name="_10C_18" localSheetId="5">[1]Sheet1!#REF!</definedName>
    <definedName name="_10C_18" localSheetId="3">[1]Sheet1!#REF!</definedName>
    <definedName name="_10C_18" localSheetId="6">[1]Sheet1!#REF!</definedName>
    <definedName name="_10C_18" localSheetId="7">[1]Sheet1!#REF!</definedName>
    <definedName name="_10C_18" localSheetId="8">[1]Sheet1!#REF!</definedName>
    <definedName name="_10C_18" localSheetId="4">[1]Sheet1!#REF!</definedName>
    <definedName name="_10C_18" localSheetId="1">[1]Sheet1!#REF!</definedName>
    <definedName name="_10C_18">[1]Sheet1!#REF!</definedName>
    <definedName name="_10C_19" localSheetId="5">[1]Sheet1!#REF!</definedName>
    <definedName name="_10C_19" localSheetId="3">[1]Sheet1!#REF!</definedName>
    <definedName name="_10C_19" localSheetId="6">[1]Sheet1!#REF!</definedName>
    <definedName name="_10C_19" localSheetId="7">[1]Sheet1!#REF!</definedName>
    <definedName name="_10C_19" localSheetId="8">[1]Sheet1!#REF!</definedName>
    <definedName name="_10C_19" localSheetId="4">[1]Sheet1!#REF!</definedName>
    <definedName name="_10C_19" localSheetId="1">[1]Sheet1!#REF!</definedName>
    <definedName name="_10C_19">[1]Sheet1!#REF!</definedName>
    <definedName name="_10C_2" localSheetId="5">[1]Sheet1!#REF!</definedName>
    <definedName name="_10C_2" localSheetId="3">[1]Sheet1!#REF!</definedName>
    <definedName name="_10C_2" localSheetId="6">[1]Sheet1!#REF!</definedName>
    <definedName name="_10C_2" localSheetId="7">[1]Sheet1!#REF!</definedName>
    <definedName name="_10C_2" localSheetId="8">[1]Sheet1!#REF!</definedName>
    <definedName name="_10C_2" localSheetId="4">[1]Sheet1!#REF!</definedName>
    <definedName name="_10C_2" localSheetId="1">[1]Sheet1!#REF!</definedName>
    <definedName name="_10C_2">[1]Sheet1!#REF!</definedName>
    <definedName name="_10C_20" localSheetId="5">[1]Sheet1!#REF!</definedName>
    <definedName name="_10C_20" localSheetId="3">[1]Sheet1!#REF!</definedName>
    <definedName name="_10C_20" localSheetId="6">[1]Sheet1!#REF!</definedName>
    <definedName name="_10C_20" localSheetId="7">[1]Sheet1!#REF!</definedName>
    <definedName name="_10C_20" localSheetId="8">[1]Sheet1!#REF!</definedName>
    <definedName name="_10C_20" localSheetId="4">[1]Sheet1!#REF!</definedName>
    <definedName name="_10C_20" localSheetId="1">[1]Sheet1!#REF!</definedName>
    <definedName name="_10C_20">[1]Sheet1!#REF!</definedName>
    <definedName name="_10C_21" localSheetId="5">[1]Sheet1!#REF!</definedName>
    <definedName name="_10C_21" localSheetId="3">[1]Sheet1!#REF!</definedName>
    <definedName name="_10C_21" localSheetId="6">[1]Sheet1!#REF!</definedName>
    <definedName name="_10C_21" localSheetId="7">[1]Sheet1!#REF!</definedName>
    <definedName name="_10C_21" localSheetId="8">[1]Sheet1!#REF!</definedName>
    <definedName name="_10C_21" localSheetId="4">[1]Sheet1!#REF!</definedName>
    <definedName name="_10C_21" localSheetId="1">[1]Sheet1!#REF!</definedName>
    <definedName name="_10C_21">[1]Sheet1!#REF!</definedName>
    <definedName name="_10C_22" localSheetId="5">[1]Sheet1!#REF!</definedName>
    <definedName name="_10C_22" localSheetId="3">[1]Sheet1!#REF!</definedName>
    <definedName name="_10C_22" localSheetId="6">[1]Sheet1!#REF!</definedName>
    <definedName name="_10C_22" localSheetId="7">[1]Sheet1!#REF!</definedName>
    <definedName name="_10C_22" localSheetId="8">[1]Sheet1!#REF!</definedName>
    <definedName name="_10C_22" localSheetId="4">[1]Sheet1!#REF!</definedName>
    <definedName name="_10C_22" localSheetId="1">[1]Sheet1!#REF!</definedName>
    <definedName name="_10C_22">[1]Sheet1!#REF!</definedName>
    <definedName name="_10C_23" localSheetId="5">[1]Sheet1!#REF!</definedName>
    <definedName name="_10C_23" localSheetId="3">[1]Sheet1!#REF!</definedName>
    <definedName name="_10C_23" localSheetId="6">[1]Sheet1!#REF!</definedName>
    <definedName name="_10C_23" localSheetId="7">[1]Sheet1!#REF!</definedName>
    <definedName name="_10C_23" localSheetId="8">[1]Sheet1!#REF!</definedName>
    <definedName name="_10C_23" localSheetId="4">[1]Sheet1!#REF!</definedName>
    <definedName name="_10C_23" localSheetId="1">[1]Sheet1!#REF!</definedName>
    <definedName name="_10C_23">[1]Sheet1!#REF!</definedName>
    <definedName name="_10C_24" localSheetId="5">[1]Sheet1!#REF!</definedName>
    <definedName name="_10C_24" localSheetId="3">[1]Sheet1!#REF!</definedName>
    <definedName name="_10C_24" localSheetId="6">[1]Sheet1!#REF!</definedName>
    <definedName name="_10C_24" localSheetId="7">[1]Sheet1!#REF!</definedName>
    <definedName name="_10C_24" localSheetId="8">[1]Sheet1!#REF!</definedName>
    <definedName name="_10C_24" localSheetId="4">[1]Sheet1!#REF!</definedName>
    <definedName name="_10C_24" localSheetId="1">[1]Sheet1!#REF!</definedName>
    <definedName name="_10C_24">[1]Sheet1!#REF!</definedName>
    <definedName name="_10C_25" localSheetId="5">[1]Sheet1!#REF!</definedName>
    <definedName name="_10C_25" localSheetId="3">[1]Sheet1!#REF!</definedName>
    <definedName name="_10C_25" localSheetId="6">[1]Sheet1!#REF!</definedName>
    <definedName name="_10C_25" localSheetId="7">[1]Sheet1!#REF!</definedName>
    <definedName name="_10C_25" localSheetId="8">[1]Sheet1!#REF!</definedName>
    <definedName name="_10C_25" localSheetId="4">[1]Sheet1!#REF!</definedName>
    <definedName name="_10C_25" localSheetId="1">[1]Sheet1!#REF!</definedName>
    <definedName name="_10C_25">[1]Sheet1!#REF!</definedName>
    <definedName name="_10C_26" localSheetId="5">[1]Sheet1!#REF!</definedName>
    <definedName name="_10C_26" localSheetId="3">[1]Sheet1!#REF!</definedName>
    <definedName name="_10C_26" localSheetId="6">[1]Sheet1!#REF!</definedName>
    <definedName name="_10C_26" localSheetId="7">[1]Sheet1!#REF!</definedName>
    <definedName name="_10C_26" localSheetId="8">[1]Sheet1!#REF!</definedName>
    <definedName name="_10C_26" localSheetId="4">[1]Sheet1!#REF!</definedName>
    <definedName name="_10C_26" localSheetId="1">[1]Sheet1!#REF!</definedName>
    <definedName name="_10C_26">[1]Sheet1!#REF!</definedName>
    <definedName name="_10C_27" localSheetId="5">[1]Sheet1!#REF!</definedName>
    <definedName name="_10C_27" localSheetId="3">[1]Sheet1!#REF!</definedName>
    <definedName name="_10C_27" localSheetId="6">[1]Sheet1!#REF!</definedName>
    <definedName name="_10C_27" localSheetId="7">[1]Sheet1!#REF!</definedName>
    <definedName name="_10C_27" localSheetId="8">[1]Sheet1!#REF!</definedName>
    <definedName name="_10C_27" localSheetId="4">[1]Sheet1!#REF!</definedName>
    <definedName name="_10C_27" localSheetId="1">[1]Sheet1!#REF!</definedName>
    <definedName name="_10C_27">[1]Sheet1!#REF!</definedName>
    <definedName name="_10C_28" localSheetId="5">[1]Sheet1!#REF!</definedName>
    <definedName name="_10C_28" localSheetId="3">[1]Sheet1!#REF!</definedName>
    <definedName name="_10C_28" localSheetId="6">[1]Sheet1!#REF!</definedName>
    <definedName name="_10C_28" localSheetId="7">[1]Sheet1!#REF!</definedName>
    <definedName name="_10C_28" localSheetId="8">[1]Sheet1!#REF!</definedName>
    <definedName name="_10C_28" localSheetId="4">[1]Sheet1!#REF!</definedName>
    <definedName name="_10C_28" localSheetId="1">[1]Sheet1!#REF!</definedName>
    <definedName name="_10C_28">[1]Sheet1!#REF!</definedName>
    <definedName name="_10C_29" localSheetId="5">[1]Sheet1!#REF!</definedName>
    <definedName name="_10C_29" localSheetId="3">[1]Sheet1!#REF!</definedName>
    <definedName name="_10C_29" localSheetId="6">[1]Sheet1!#REF!</definedName>
    <definedName name="_10C_29" localSheetId="7">[1]Sheet1!#REF!</definedName>
    <definedName name="_10C_29" localSheetId="8">[1]Sheet1!#REF!</definedName>
    <definedName name="_10C_29" localSheetId="4">[1]Sheet1!#REF!</definedName>
    <definedName name="_10C_29" localSheetId="1">[1]Sheet1!#REF!</definedName>
    <definedName name="_10C_29">[1]Sheet1!#REF!</definedName>
    <definedName name="_10C_3" localSheetId="5">[1]Sheet1!#REF!</definedName>
    <definedName name="_10C_3" localSheetId="3">[1]Sheet1!#REF!</definedName>
    <definedName name="_10C_3" localSheetId="6">[1]Sheet1!#REF!</definedName>
    <definedName name="_10C_3" localSheetId="7">[1]Sheet1!#REF!</definedName>
    <definedName name="_10C_3" localSheetId="8">[1]Sheet1!#REF!</definedName>
    <definedName name="_10C_3" localSheetId="4">[1]Sheet1!#REF!</definedName>
    <definedName name="_10C_3" localSheetId="1">[1]Sheet1!#REF!</definedName>
    <definedName name="_10C_3">[1]Sheet1!#REF!</definedName>
    <definedName name="_10C_30" localSheetId="5">[1]Sheet1!#REF!</definedName>
    <definedName name="_10C_30" localSheetId="3">[1]Sheet1!#REF!</definedName>
    <definedName name="_10C_30" localSheetId="6">[1]Sheet1!#REF!</definedName>
    <definedName name="_10C_30" localSheetId="7">[1]Sheet1!#REF!</definedName>
    <definedName name="_10C_30" localSheetId="8">[1]Sheet1!#REF!</definedName>
    <definedName name="_10C_30" localSheetId="4">[1]Sheet1!#REF!</definedName>
    <definedName name="_10C_30" localSheetId="1">[1]Sheet1!#REF!</definedName>
    <definedName name="_10C_30">[1]Sheet1!#REF!</definedName>
    <definedName name="_10C_31" localSheetId="5">[1]Sheet1!#REF!</definedName>
    <definedName name="_10C_31" localSheetId="3">[1]Sheet1!#REF!</definedName>
    <definedName name="_10C_31" localSheetId="6">[1]Sheet1!#REF!</definedName>
    <definedName name="_10C_31" localSheetId="7">[1]Sheet1!#REF!</definedName>
    <definedName name="_10C_31" localSheetId="8">[1]Sheet1!#REF!</definedName>
    <definedName name="_10C_31" localSheetId="4">[1]Sheet1!#REF!</definedName>
    <definedName name="_10C_31" localSheetId="1">[1]Sheet1!#REF!</definedName>
    <definedName name="_10C_31">[1]Sheet1!#REF!</definedName>
    <definedName name="_10C_32" localSheetId="5">[1]Sheet1!#REF!</definedName>
    <definedName name="_10C_32" localSheetId="3">[1]Sheet1!#REF!</definedName>
    <definedName name="_10C_32" localSheetId="6">[1]Sheet1!#REF!</definedName>
    <definedName name="_10C_32" localSheetId="7">[1]Sheet1!#REF!</definedName>
    <definedName name="_10C_32" localSheetId="8">[1]Sheet1!#REF!</definedName>
    <definedName name="_10C_32" localSheetId="4">[1]Sheet1!#REF!</definedName>
    <definedName name="_10C_32" localSheetId="1">[1]Sheet1!#REF!</definedName>
    <definedName name="_10C_32">[1]Sheet1!#REF!</definedName>
    <definedName name="_10C_33" localSheetId="5">[1]Sheet1!#REF!</definedName>
    <definedName name="_10C_33" localSheetId="3">[1]Sheet1!#REF!</definedName>
    <definedName name="_10C_33" localSheetId="6">[1]Sheet1!#REF!</definedName>
    <definedName name="_10C_33" localSheetId="7">[1]Sheet1!#REF!</definedName>
    <definedName name="_10C_33" localSheetId="8">[1]Sheet1!#REF!</definedName>
    <definedName name="_10C_33" localSheetId="4">[1]Sheet1!#REF!</definedName>
    <definedName name="_10C_33" localSheetId="1">[1]Sheet1!#REF!</definedName>
    <definedName name="_10C_33">[1]Sheet1!#REF!</definedName>
    <definedName name="_10C_34" localSheetId="5">[1]Sheet1!#REF!</definedName>
    <definedName name="_10C_34" localSheetId="3">[1]Sheet1!#REF!</definedName>
    <definedName name="_10C_34" localSheetId="6">[1]Sheet1!#REF!</definedName>
    <definedName name="_10C_34" localSheetId="7">[1]Sheet1!#REF!</definedName>
    <definedName name="_10C_34" localSheetId="8">[1]Sheet1!#REF!</definedName>
    <definedName name="_10C_34" localSheetId="4">[1]Sheet1!#REF!</definedName>
    <definedName name="_10C_34" localSheetId="1">[1]Sheet1!#REF!</definedName>
    <definedName name="_10C_34">[1]Sheet1!#REF!</definedName>
    <definedName name="_10C_35" localSheetId="5">[1]Sheet1!#REF!</definedName>
    <definedName name="_10C_35" localSheetId="3">[1]Sheet1!#REF!</definedName>
    <definedName name="_10C_35" localSheetId="6">[1]Sheet1!#REF!</definedName>
    <definedName name="_10C_35" localSheetId="7">[1]Sheet1!#REF!</definedName>
    <definedName name="_10C_35" localSheetId="8">[1]Sheet1!#REF!</definedName>
    <definedName name="_10C_35" localSheetId="4">[1]Sheet1!#REF!</definedName>
    <definedName name="_10C_35" localSheetId="1">[1]Sheet1!#REF!</definedName>
    <definedName name="_10C_35">[1]Sheet1!#REF!</definedName>
    <definedName name="_10C_36" localSheetId="5">[1]Sheet1!#REF!</definedName>
    <definedName name="_10C_36" localSheetId="3">[1]Sheet1!#REF!</definedName>
    <definedName name="_10C_36" localSheetId="6">[1]Sheet1!#REF!</definedName>
    <definedName name="_10C_36" localSheetId="7">[1]Sheet1!#REF!</definedName>
    <definedName name="_10C_36" localSheetId="8">[1]Sheet1!#REF!</definedName>
    <definedName name="_10C_36" localSheetId="4">[1]Sheet1!#REF!</definedName>
    <definedName name="_10C_36" localSheetId="1">[1]Sheet1!#REF!</definedName>
    <definedName name="_10C_36">[1]Sheet1!#REF!</definedName>
    <definedName name="_10C_37" localSheetId="5">[1]Sheet1!#REF!</definedName>
    <definedName name="_10C_37" localSheetId="3">[1]Sheet1!#REF!</definedName>
    <definedName name="_10C_37" localSheetId="6">[1]Sheet1!#REF!</definedName>
    <definedName name="_10C_37" localSheetId="7">[1]Sheet1!#REF!</definedName>
    <definedName name="_10C_37" localSheetId="8">[1]Sheet1!#REF!</definedName>
    <definedName name="_10C_37" localSheetId="4">[1]Sheet1!#REF!</definedName>
    <definedName name="_10C_37" localSheetId="1">[1]Sheet1!#REF!</definedName>
    <definedName name="_10C_37">[1]Sheet1!#REF!</definedName>
    <definedName name="_10C_38" localSheetId="5">[1]Sheet1!#REF!</definedName>
    <definedName name="_10C_38" localSheetId="3">[1]Sheet1!#REF!</definedName>
    <definedName name="_10C_38" localSheetId="6">[1]Sheet1!#REF!</definedName>
    <definedName name="_10C_38" localSheetId="7">[1]Sheet1!#REF!</definedName>
    <definedName name="_10C_38" localSheetId="8">[1]Sheet1!#REF!</definedName>
    <definedName name="_10C_38" localSheetId="4">[1]Sheet1!#REF!</definedName>
    <definedName name="_10C_38" localSheetId="1">[1]Sheet1!#REF!</definedName>
    <definedName name="_10C_38">[1]Sheet1!#REF!</definedName>
    <definedName name="_10C_39" localSheetId="5">[1]Sheet1!#REF!</definedName>
    <definedName name="_10C_39" localSheetId="3">[1]Sheet1!#REF!</definedName>
    <definedName name="_10C_39" localSheetId="6">[1]Sheet1!#REF!</definedName>
    <definedName name="_10C_39" localSheetId="7">[1]Sheet1!#REF!</definedName>
    <definedName name="_10C_39" localSheetId="8">[1]Sheet1!#REF!</definedName>
    <definedName name="_10C_39" localSheetId="4">[1]Sheet1!#REF!</definedName>
    <definedName name="_10C_39" localSheetId="1">[1]Sheet1!#REF!</definedName>
    <definedName name="_10C_39">[1]Sheet1!#REF!</definedName>
    <definedName name="_10C_4" localSheetId="5">[1]Sheet1!#REF!</definedName>
    <definedName name="_10C_4" localSheetId="3">[1]Sheet1!#REF!</definedName>
    <definedName name="_10C_4" localSheetId="6">[1]Sheet1!#REF!</definedName>
    <definedName name="_10C_4" localSheetId="7">[1]Sheet1!#REF!</definedName>
    <definedName name="_10C_4" localSheetId="8">[1]Sheet1!#REF!</definedName>
    <definedName name="_10C_4" localSheetId="4">[1]Sheet1!#REF!</definedName>
    <definedName name="_10C_4" localSheetId="1">[1]Sheet1!#REF!</definedName>
    <definedName name="_10C_4">[1]Sheet1!#REF!</definedName>
    <definedName name="_10C_40" localSheetId="5">[1]Sheet1!#REF!</definedName>
    <definedName name="_10C_40" localSheetId="3">[1]Sheet1!#REF!</definedName>
    <definedName name="_10C_40" localSheetId="6">[1]Sheet1!#REF!</definedName>
    <definedName name="_10C_40" localSheetId="7">[1]Sheet1!#REF!</definedName>
    <definedName name="_10C_40" localSheetId="8">[1]Sheet1!#REF!</definedName>
    <definedName name="_10C_40" localSheetId="4">[1]Sheet1!#REF!</definedName>
    <definedName name="_10C_40" localSheetId="1">[1]Sheet1!#REF!</definedName>
    <definedName name="_10C_40">[1]Sheet1!#REF!</definedName>
    <definedName name="_10C_41" localSheetId="5">[1]Sheet1!#REF!</definedName>
    <definedName name="_10C_41" localSheetId="3">[1]Sheet1!#REF!</definedName>
    <definedName name="_10C_41" localSheetId="6">[1]Sheet1!#REF!</definedName>
    <definedName name="_10C_41" localSheetId="7">[1]Sheet1!#REF!</definedName>
    <definedName name="_10C_41" localSheetId="8">[1]Sheet1!#REF!</definedName>
    <definedName name="_10C_41" localSheetId="4">[1]Sheet1!#REF!</definedName>
    <definedName name="_10C_41" localSheetId="1">[1]Sheet1!#REF!</definedName>
    <definedName name="_10C_41">[1]Sheet1!#REF!</definedName>
    <definedName name="_10C_42" localSheetId="5">[1]Sheet1!#REF!</definedName>
    <definedName name="_10C_42" localSheetId="3">[1]Sheet1!#REF!</definedName>
    <definedName name="_10C_42" localSheetId="6">[1]Sheet1!#REF!</definedName>
    <definedName name="_10C_42" localSheetId="7">[1]Sheet1!#REF!</definedName>
    <definedName name="_10C_42" localSheetId="8">[1]Sheet1!#REF!</definedName>
    <definedName name="_10C_42" localSheetId="4">[1]Sheet1!#REF!</definedName>
    <definedName name="_10C_42" localSheetId="1">[1]Sheet1!#REF!</definedName>
    <definedName name="_10C_42">[1]Sheet1!#REF!</definedName>
    <definedName name="_10C_43" localSheetId="5">[1]Sheet1!#REF!</definedName>
    <definedName name="_10C_43" localSheetId="3">[1]Sheet1!#REF!</definedName>
    <definedName name="_10C_43" localSheetId="6">[1]Sheet1!#REF!</definedName>
    <definedName name="_10C_43" localSheetId="7">[1]Sheet1!#REF!</definedName>
    <definedName name="_10C_43" localSheetId="8">[1]Sheet1!#REF!</definedName>
    <definedName name="_10C_43" localSheetId="4">[1]Sheet1!#REF!</definedName>
    <definedName name="_10C_43" localSheetId="1">[1]Sheet1!#REF!</definedName>
    <definedName name="_10C_43">[1]Sheet1!#REF!</definedName>
    <definedName name="_10C_44" localSheetId="5">[1]Sheet1!#REF!</definedName>
    <definedName name="_10C_44" localSheetId="3">[1]Sheet1!#REF!</definedName>
    <definedName name="_10C_44" localSheetId="6">[1]Sheet1!#REF!</definedName>
    <definedName name="_10C_44" localSheetId="7">[1]Sheet1!#REF!</definedName>
    <definedName name="_10C_44" localSheetId="8">[1]Sheet1!#REF!</definedName>
    <definedName name="_10C_44" localSheetId="4">[1]Sheet1!#REF!</definedName>
    <definedName name="_10C_44" localSheetId="1">[1]Sheet1!#REF!</definedName>
    <definedName name="_10C_44">[1]Sheet1!#REF!</definedName>
    <definedName name="_10C_45" localSheetId="5">[1]Sheet1!#REF!</definedName>
    <definedName name="_10C_45" localSheetId="3">[1]Sheet1!#REF!</definedName>
    <definedName name="_10C_45" localSheetId="6">[1]Sheet1!#REF!</definedName>
    <definedName name="_10C_45" localSheetId="7">[1]Sheet1!#REF!</definedName>
    <definedName name="_10C_45" localSheetId="8">[1]Sheet1!#REF!</definedName>
    <definedName name="_10C_45" localSheetId="4">[1]Sheet1!#REF!</definedName>
    <definedName name="_10C_45" localSheetId="1">[1]Sheet1!#REF!</definedName>
    <definedName name="_10C_45">[1]Sheet1!#REF!</definedName>
    <definedName name="_10C_46" localSheetId="5">[1]Sheet1!#REF!</definedName>
    <definedName name="_10C_46" localSheetId="3">[1]Sheet1!#REF!</definedName>
    <definedName name="_10C_46" localSheetId="6">[1]Sheet1!#REF!</definedName>
    <definedName name="_10C_46" localSheetId="7">[1]Sheet1!#REF!</definedName>
    <definedName name="_10C_46" localSheetId="8">[1]Sheet1!#REF!</definedName>
    <definedName name="_10C_46" localSheetId="4">[1]Sheet1!#REF!</definedName>
    <definedName name="_10C_46" localSheetId="1">[1]Sheet1!#REF!</definedName>
    <definedName name="_10C_46">[1]Sheet1!#REF!</definedName>
    <definedName name="_10C_47" localSheetId="5">[1]Sheet1!#REF!</definedName>
    <definedName name="_10C_47" localSheetId="3">[1]Sheet1!#REF!</definedName>
    <definedName name="_10C_47" localSheetId="6">[1]Sheet1!#REF!</definedName>
    <definedName name="_10C_47" localSheetId="7">[1]Sheet1!#REF!</definedName>
    <definedName name="_10C_47" localSheetId="8">[1]Sheet1!#REF!</definedName>
    <definedName name="_10C_47" localSheetId="4">[1]Sheet1!#REF!</definedName>
    <definedName name="_10C_47" localSheetId="1">[1]Sheet1!#REF!</definedName>
    <definedName name="_10C_47">[1]Sheet1!#REF!</definedName>
    <definedName name="_10C_48" localSheetId="5">[1]Sheet1!#REF!</definedName>
    <definedName name="_10C_48" localSheetId="3">[1]Sheet1!#REF!</definedName>
    <definedName name="_10C_48" localSheetId="6">[1]Sheet1!#REF!</definedName>
    <definedName name="_10C_48" localSheetId="7">[1]Sheet1!#REF!</definedName>
    <definedName name="_10C_48" localSheetId="8">[1]Sheet1!#REF!</definedName>
    <definedName name="_10C_48" localSheetId="4">[1]Sheet1!#REF!</definedName>
    <definedName name="_10C_48" localSheetId="1">[1]Sheet1!#REF!</definedName>
    <definedName name="_10C_48">[1]Sheet1!#REF!</definedName>
    <definedName name="_10C_49" localSheetId="5">[1]Sheet1!#REF!</definedName>
    <definedName name="_10C_49" localSheetId="3">[1]Sheet1!#REF!</definedName>
    <definedName name="_10C_49" localSheetId="6">[1]Sheet1!#REF!</definedName>
    <definedName name="_10C_49" localSheetId="7">[1]Sheet1!#REF!</definedName>
    <definedName name="_10C_49" localSheetId="8">[1]Sheet1!#REF!</definedName>
    <definedName name="_10C_49" localSheetId="4">[1]Sheet1!#REF!</definedName>
    <definedName name="_10C_49" localSheetId="1">[1]Sheet1!#REF!</definedName>
    <definedName name="_10C_49">[1]Sheet1!#REF!</definedName>
    <definedName name="_10C_5" localSheetId="5">[1]Sheet1!#REF!</definedName>
    <definedName name="_10C_5" localSheetId="3">[1]Sheet1!#REF!</definedName>
    <definedName name="_10C_5" localSheetId="6">[1]Sheet1!#REF!</definedName>
    <definedName name="_10C_5" localSheetId="7">[1]Sheet1!#REF!</definedName>
    <definedName name="_10C_5" localSheetId="8">[1]Sheet1!#REF!</definedName>
    <definedName name="_10C_5" localSheetId="4">[1]Sheet1!#REF!</definedName>
    <definedName name="_10C_5" localSheetId="1">[1]Sheet1!#REF!</definedName>
    <definedName name="_10C_5">[1]Sheet1!#REF!</definedName>
    <definedName name="_10C_50" localSheetId="5">[1]Sheet1!#REF!</definedName>
    <definedName name="_10C_50" localSheetId="3">[1]Sheet1!#REF!</definedName>
    <definedName name="_10C_50" localSheetId="6">[1]Sheet1!#REF!</definedName>
    <definedName name="_10C_50" localSheetId="7">[1]Sheet1!#REF!</definedName>
    <definedName name="_10C_50" localSheetId="8">[1]Sheet1!#REF!</definedName>
    <definedName name="_10C_50" localSheetId="4">[1]Sheet1!#REF!</definedName>
    <definedName name="_10C_50" localSheetId="1">[1]Sheet1!#REF!</definedName>
    <definedName name="_10C_50">[1]Sheet1!#REF!</definedName>
    <definedName name="_10C_51" localSheetId="5">[1]Sheet1!#REF!</definedName>
    <definedName name="_10C_51" localSheetId="3">[1]Sheet1!#REF!</definedName>
    <definedName name="_10C_51" localSheetId="6">[1]Sheet1!#REF!</definedName>
    <definedName name="_10C_51" localSheetId="7">[1]Sheet1!#REF!</definedName>
    <definedName name="_10C_51" localSheetId="8">[1]Sheet1!#REF!</definedName>
    <definedName name="_10C_51" localSheetId="4">[1]Sheet1!#REF!</definedName>
    <definedName name="_10C_51" localSheetId="1">[1]Sheet1!#REF!</definedName>
    <definedName name="_10C_51">[1]Sheet1!#REF!</definedName>
    <definedName name="_10C_52" localSheetId="5">[1]Sheet1!#REF!</definedName>
    <definedName name="_10C_52" localSheetId="3">[1]Sheet1!#REF!</definedName>
    <definedName name="_10C_52" localSheetId="6">[1]Sheet1!#REF!</definedName>
    <definedName name="_10C_52" localSheetId="7">[1]Sheet1!#REF!</definedName>
    <definedName name="_10C_52" localSheetId="8">[1]Sheet1!#REF!</definedName>
    <definedName name="_10C_52" localSheetId="4">[1]Sheet1!#REF!</definedName>
    <definedName name="_10C_52" localSheetId="1">[1]Sheet1!#REF!</definedName>
    <definedName name="_10C_52">[1]Sheet1!#REF!</definedName>
    <definedName name="_10C_53" localSheetId="5">[1]Sheet1!#REF!</definedName>
    <definedName name="_10C_53" localSheetId="3">[1]Sheet1!#REF!</definedName>
    <definedName name="_10C_53" localSheetId="6">[1]Sheet1!#REF!</definedName>
    <definedName name="_10C_53" localSheetId="7">[1]Sheet1!#REF!</definedName>
    <definedName name="_10C_53" localSheetId="8">[1]Sheet1!#REF!</definedName>
    <definedName name="_10C_53" localSheetId="4">[1]Sheet1!#REF!</definedName>
    <definedName name="_10C_53" localSheetId="1">[1]Sheet1!#REF!</definedName>
    <definedName name="_10C_53">[1]Sheet1!#REF!</definedName>
    <definedName name="_10C_54" localSheetId="5">[1]Sheet1!#REF!</definedName>
    <definedName name="_10C_54" localSheetId="3">[1]Sheet1!#REF!</definedName>
    <definedName name="_10C_54" localSheetId="6">[1]Sheet1!#REF!</definedName>
    <definedName name="_10C_54" localSheetId="7">[1]Sheet1!#REF!</definedName>
    <definedName name="_10C_54" localSheetId="8">[1]Sheet1!#REF!</definedName>
    <definedName name="_10C_54" localSheetId="4">[1]Sheet1!#REF!</definedName>
    <definedName name="_10C_54" localSheetId="1">[1]Sheet1!#REF!</definedName>
    <definedName name="_10C_54">[1]Sheet1!#REF!</definedName>
    <definedName name="_10C_55" localSheetId="5">[1]Sheet1!#REF!</definedName>
    <definedName name="_10C_55" localSheetId="3">[1]Sheet1!#REF!</definedName>
    <definedName name="_10C_55" localSheetId="6">[1]Sheet1!#REF!</definedName>
    <definedName name="_10C_55" localSheetId="7">[1]Sheet1!#REF!</definedName>
    <definedName name="_10C_55" localSheetId="8">[1]Sheet1!#REF!</definedName>
    <definedName name="_10C_55" localSheetId="4">[1]Sheet1!#REF!</definedName>
    <definedName name="_10C_55" localSheetId="1">[1]Sheet1!#REF!</definedName>
    <definedName name="_10C_55">[1]Sheet1!#REF!</definedName>
    <definedName name="_10C_56" localSheetId="5">[1]Sheet1!#REF!</definedName>
    <definedName name="_10C_56" localSheetId="3">[1]Sheet1!#REF!</definedName>
    <definedName name="_10C_56" localSheetId="6">[1]Sheet1!#REF!</definedName>
    <definedName name="_10C_56" localSheetId="7">[1]Sheet1!#REF!</definedName>
    <definedName name="_10C_56" localSheetId="8">[1]Sheet1!#REF!</definedName>
    <definedName name="_10C_56" localSheetId="4">[1]Sheet1!#REF!</definedName>
    <definedName name="_10C_56" localSheetId="1">[1]Sheet1!#REF!</definedName>
    <definedName name="_10C_56">[1]Sheet1!#REF!</definedName>
    <definedName name="_10C_57" localSheetId="5">[1]Sheet1!#REF!</definedName>
    <definedName name="_10C_57" localSheetId="3">[1]Sheet1!#REF!</definedName>
    <definedName name="_10C_57" localSheetId="6">[1]Sheet1!#REF!</definedName>
    <definedName name="_10C_57" localSheetId="7">[1]Sheet1!#REF!</definedName>
    <definedName name="_10C_57" localSheetId="8">[1]Sheet1!#REF!</definedName>
    <definedName name="_10C_57" localSheetId="4">[1]Sheet1!#REF!</definedName>
    <definedName name="_10C_57" localSheetId="1">[1]Sheet1!#REF!</definedName>
    <definedName name="_10C_57">[1]Sheet1!#REF!</definedName>
    <definedName name="_10C_58" localSheetId="5">[1]Sheet1!#REF!</definedName>
    <definedName name="_10C_58" localSheetId="3">[1]Sheet1!#REF!</definedName>
    <definedName name="_10C_58" localSheetId="6">[1]Sheet1!#REF!</definedName>
    <definedName name="_10C_58" localSheetId="7">[1]Sheet1!#REF!</definedName>
    <definedName name="_10C_58" localSheetId="8">[1]Sheet1!#REF!</definedName>
    <definedName name="_10C_58" localSheetId="4">[1]Sheet1!#REF!</definedName>
    <definedName name="_10C_58" localSheetId="1">[1]Sheet1!#REF!</definedName>
    <definedName name="_10C_58">[1]Sheet1!#REF!</definedName>
    <definedName name="_10C_59" localSheetId="5">[1]Sheet1!#REF!</definedName>
    <definedName name="_10C_59" localSheetId="3">[1]Sheet1!#REF!</definedName>
    <definedName name="_10C_59" localSheetId="6">[1]Sheet1!#REF!</definedName>
    <definedName name="_10C_59" localSheetId="7">[1]Sheet1!#REF!</definedName>
    <definedName name="_10C_59" localSheetId="8">[1]Sheet1!#REF!</definedName>
    <definedName name="_10C_59" localSheetId="4">[1]Sheet1!#REF!</definedName>
    <definedName name="_10C_59" localSheetId="1">[1]Sheet1!#REF!</definedName>
    <definedName name="_10C_59">[1]Sheet1!#REF!</definedName>
    <definedName name="_10C_6" localSheetId="5">[1]Sheet1!#REF!</definedName>
    <definedName name="_10C_6" localSheetId="3">[1]Sheet1!#REF!</definedName>
    <definedName name="_10C_6" localSheetId="6">[1]Sheet1!#REF!</definedName>
    <definedName name="_10C_6" localSheetId="7">[1]Sheet1!#REF!</definedName>
    <definedName name="_10C_6" localSheetId="8">[1]Sheet1!#REF!</definedName>
    <definedName name="_10C_6" localSheetId="4">[1]Sheet1!#REF!</definedName>
    <definedName name="_10C_6" localSheetId="1">[1]Sheet1!#REF!</definedName>
    <definedName name="_10C_6">[1]Sheet1!#REF!</definedName>
    <definedName name="_10C_60" localSheetId="5">[1]Sheet1!#REF!</definedName>
    <definedName name="_10C_60" localSheetId="3">[1]Sheet1!#REF!</definedName>
    <definedName name="_10C_60" localSheetId="6">[1]Sheet1!#REF!</definedName>
    <definedName name="_10C_60" localSheetId="7">[1]Sheet1!#REF!</definedName>
    <definedName name="_10C_60" localSheetId="8">[1]Sheet1!#REF!</definedName>
    <definedName name="_10C_60" localSheetId="4">[1]Sheet1!#REF!</definedName>
    <definedName name="_10C_60" localSheetId="1">[1]Sheet1!#REF!</definedName>
    <definedName name="_10C_60">[1]Sheet1!#REF!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 localSheetId="5">[1]Sheet1!#REF!</definedName>
    <definedName name="_10C_7" localSheetId="3">[1]Sheet1!#REF!</definedName>
    <definedName name="_10C_7" localSheetId="6">[1]Sheet1!#REF!</definedName>
    <definedName name="_10C_7" localSheetId="7">[1]Sheet1!#REF!</definedName>
    <definedName name="_10C_7" localSheetId="8">[1]Sheet1!#REF!</definedName>
    <definedName name="_10C_7" localSheetId="4">[1]Sheet1!#REF!</definedName>
    <definedName name="_10C_7" localSheetId="1">[1]Sheet1!#REF!</definedName>
    <definedName name="_10C_7">[1]Sheet1!#REF!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 localSheetId="5">[1]Sheet1!#REF!</definedName>
    <definedName name="_10C_8" localSheetId="3">[1]Sheet1!#REF!</definedName>
    <definedName name="_10C_8" localSheetId="6">[1]Sheet1!#REF!</definedName>
    <definedName name="_10C_8" localSheetId="7">[1]Sheet1!#REF!</definedName>
    <definedName name="_10C_8" localSheetId="8">[1]Sheet1!#REF!</definedName>
    <definedName name="_10C_8" localSheetId="4">[1]Sheet1!#REF!</definedName>
    <definedName name="_10C_8" localSheetId="1">[1]Sheet1!#REF!</definedName>
    <definedName name="_10C_8">[1]Sheet1!#REF!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 localSheetId="5">[1]Sheet1!#REF!</definedName>
    <definedName name="_10C_9" localSheetId="3">[1]Sheet1!#REF!</definedName>
    <definedName name="_10C_9" localSheetId="6">[1]Sheet1!#REF!</definedName>
    <definedName name="_10C_9" localSheetId="7">[1]Sheet1!#REF!</definedName>
    <definedName name="_10C_9" localSheetId="8">[1]Sheet1!#REF!</definedName>
    <definedName name="_10C_9" localSheetId="4">[1]Sheet1!#REF!</definedName>
    <definedName name="_10C_9" localSheetId="1">[1]Sheet1!#REF!</definedName>
    <definedName name="_10C_9">[1]Sheet1!#REF!</definedName>
    <definedName name="_10C_90">#N/A</definedName>
    <definedName name="_11A_1" localSheetId="5">[1]Sheet1!#REF!</definedName>
    <definedName name="_11A_1" localSheetId="3">[1]Sheet1!#REF!</definedName>
    <definedName name="_11A_1" localSheetId="6">[1]Sheet1!#REF!</definedName>
    <definedName name="_11A_1" localSheetId="7">[1]Sheet1!#REF!</definedName>
    <definedName name="_11A_1" localSheetId="8">[1]Sheet1!#REF!</definedName>
    <definedName name="_11A_1" localSheetId="4">[1]Sheet1!#REF!</definedName>
    <definedName name="_11A_1" localSheetId="1">[1]Sheet1!#REF!</definedName>
    <definedName name="_11A_1">[1]Sheet1!#REF!</definedName>
    <definedName name="_11A_10" localSheetId="5">[1]Sheet1!#REF!</definedName>
    <definedName name="_11A_10" localSheetId="3">[1]Sheet1!#REF!</definedName>
    <definedName name="_11A_10" localSheetId="6">[1]Sheet1!#REF!</definedName>
    <definedName name="_11A_10" localSheetId="7">[1]Sheet1!#REF!</definedName>
    <definedName name="_11A_10" localSheetId="8">[1]Sheet1!#REF!</definedName>
    <definedName name="_11A_10" localSheetId="4">[1]Sheet1!#REF!</definedName>
    <definedName name="_11A_10" localSheetId="1">[1]Sheet1!#REF!</definedName>
    <definedName name="_11A_10">[1]Sheet1!#REF!</definedName>
    <definedName name="_11A_11" localSheetId="5">[1]Sheet1!#REF!</definedName>
    <definedName name="_11A_11" localSheetId="3">[1]Sheet1!#REF!</definedName>
    <definedName name="_11A_11" localSheetId="6">[1]Sheet1!#REF!</definedName>
    <definedName name="_11A_11" localSheetId="7">[1]Sheet1!#REF!</definedName>
    <definedName name="_11A_11" localSheetId="8">[1]Sheet1!#REF!</definedName>
    <definedName name="_11A_11" localSheetId="4">[1]Sheet1!#REF!</definedName>
    <definedName name="_11A_11" localSheetId="1">[1]Sheet1!#REF!</definedName>
    <definedName name="_11A_11">[1]Sheet1!#REF!</definedName>
    <definedName name="_11A_12" localSheetId="5">[1]Sheet1!#REF!</definedName>
    <definedName name="_11A_12" localSheetId="3">[1]Sheet1!#REF!</definedName>
    <definedName name="_11A_12" localSheetId="6">[1]Sheet1!#REF!</definedName>
    <definedName name="_11A_12" localSheetId="7">[1]Sheet1!#REF!</definedName>
    <definedName name="_11A_12" localSheetId="8">[1]Sheet1!#REF!</definedName>
    <definedName name="_11A_12" localSheetId="4">[1]Sheet1!#REF!</definedName>
    <definedName name="_11A_12" localSheetId="1">[1]Sheet1!#REF!</definedName>
    <definedName name="_11A_12">[1]Sheet1!#REF!</definedName>
    <definedName name="_11A_13" localSheetId="5">[1]Sheet1!#REF!</definedName>
    <definedName name="_11A_13" localSheetId="3">[1]Sheet1!#REF!</definedName>
    <definedName name="_11A_13" localSheetId="6">[1]Sheet1!#REF!</definedName>
    <definedName name="_11A_13" localSheetId="7">[1]Sheet1!#REF!</definedName>
    <definedName name="_11A_13" localSheetId="8">[1]Sheet1!#REF!</definedName>
    <definedName name="_11A_13" localSheetId="4">[1]Sheet1!#REF!</definedName>
    <definedName name="_11A_13" localSheetId="1">[1]Sheet1!#REF!</definedName>
    <definedName name="_11A_13">[1]Sheet1!#REF!</definedName>
    <definedName name="_11A_14" localSheetId="5">[1]Sheet1!#REF!</definedName>
    <definedName name="_11A_14" localSheetId="3">[1]Sheet1!#REF!</definedName>
    <definedName name="_11A_14" localSheetId="6">[1]Sheet1!#REF!</definedName>
    <definedName name="_11A_14" localSheetId="7">[1]Sheet1!#REF!</definedName>
    <definedName name="_11A_14" localSheetId="8">[1]Sheet1!#REF!</definedName>
    <definedName name="_11A_14" localSheetId="4">[1]Sheet1!#REF!</definedName>
    <definedName name="_11A_14" localSheetId="1">[1]Sheet1!#REF!</definedName>
    <definedName name="_11A_14">[1]Sheet1!#REF!</definedName>
    <definedName name="_11A_15" localSheetId="5">[1]Sheet1!#REF!</definedName>
    <definedName name="_11A_15" localSheetId="3">[1]Sheet1!#REF!</definedName>
    <definedName name="_11A_15" localSheetId="6">[1]Sheet1!#REF!</definedName>
    <definedName name="_11A_15" localSheetId="7">[1]Sheet1!#REF!</definedName>
    <definedName name="_11A_15" localSheetId="8">[1]Sheet1!#REF!</definedName>
    <definedName name="_11A_15" localSheetId="4">[1]Sheet1!#REF!</definedName>
    <definedName name="_11A_15" localSheetId="1">[1]Sheet1!#REF!</definedName>
    <definedName name="_11A_15">[1]Sheet1!#REF!</definedName>
    <definedName name="_11A_16" localSheetId="5">[1]Sheet1!#REF!</definedName>
    <definedName name="_11A_16" localSheetId="3">[1]Sheet1!#REF!</definedName>
    <definedName name="_11A_16" localSheetId="6">[1]Sheet1!#REF!</definedName>
    <definedName name="_11A_16" localSheetId="7">[1]Sheet1!#REF!</definedName>
    <definedName name="_11A_16" localSheetId="8">[1]Sheet1!#REF!</definedName>
    <definedName name="_11A_16" localSheetId="4">[1]Sheet1!#REF!</definedName>
    <definedName name="_11A_16" localSheetId="1">[1]Sheet1!#REF!</definedName>
    <definedName name="_11A_16">[1]Sheet1!#REF!</definedName>
    <definedName name="_11A_17" localSheetId="5">[1]Sheet1!#REF!</definedName>
    <definedName name="_11A_17" localSheetId="3">[1]Sheet1!#REF!</definedName>
    <definedName name="_11A_17" localSheetId="6">[1]Sheet1!#REF!</definedName>
    <definedName name="_11A_17" localSheetId="7">[1]Sheet1!#REF!</definedName>
    <definedName name="_11A_17" localSheetId="8">[1]Sheet1!#REF!</definedName>
    <definedName name="_11A_17" localSheetId="4">[1]Sheet1!#REF!</definedName>
    <definedName name="_11A_17" localSheetId="1">[1]Sheet1!#REF!</definedName>
    <definedName name="_11A_17">[1]Sheet1!#REF!</definedName>
    <definedName name="_11A_18" localSheetId="5">[1]Sheet1!#REF!</definedName>
    <definedName name="_11A_18" localSheetId="3">[1]Sheet1!#REF!</definedName>
    <definedName name="_11A_18" localSheetId="6">[1]Sheet1!#REF!</definedName>
    <definedName name="_11A_18" localSheetId="7">[1]Sheet1!#REF!</definedName>
    <definedName name="_11A_18" localSheetId="8">[1]Sheet1!#REF!</definedName>
    <definedName name="_11A_18" localSheetId="4">[1]Sheet1!#REF!</definedName>
    <definedName name="_11A_18" localSheetId="1">[1]Sheet1!#REF!</definedName>
    <definedName name="_11A_18">[1]Sheet1!#REF!</definedName>
    <definedName name="_11A_19" localSheetId="5">[1]Sheet1!#REF!</definedName>
    <definedName name="_11A_19" localSheetId="3">[1]Sheet1!#REF!</definedName>
    <definedName name="_11A_19" localSheetId="6">[1]Sheet1!#REF!</definedName>
    <definedName name="_11A_19" localSheetId="7">[1]Sheet1!#REF!</definedName>
    <definedName name="_11A_19" localSheetId="8">[1]Sheet1!#REF!</definedName>
    <definedName name="_11A_19" localSheetId="4">[1]Sheet1!#REF!</definedName>
    <definedName name="_11A_19" localSheetId="1">[1]Sheet1!#REF!</definedName>
    <definedName name="_11A_19">[1]Sheet1!#REF!</definedName>
    <definedName name="_11A_2" localSheetId="5">[1]Sheet1!#REF!</definedName>
    <definedName name="_11A_2" localSheetId="3">[1]Sheet1!#REF!</definedName>
    <definedName name="_11A_2" localSheetId="6">[1]Sheet1!#REF!</definedName>
    <definedName name="_11A_2" localSheetId="7">[1]Sheet1!#REF!</definedName>
    <definedName name="_11A_2" localSheetId="8">[1]Sheet1!#REF!</definedName>
    <definedName name="_11A_2" localSheetId="4">[1]Sheet1!#REF!</definedName>
    <definedName name="_11A_2" localSheetId="1">[1]Sheet1!#REF!</definedName>
    <definedName name="_11A_2">[1]Sheet1!#REF!</definedName>
    <definedName name="_11A_20" localSheetId="5">[1]Sheet1!#REF!</definedName>
    <definedName name="_11A_20" localSheetId="3">[1]Sheet1!#REF!</definedName>
    <definedName name="_11A_20" localSheetId="6">[1]Sheet1!#REF!</definedName>
    <definedName name="_11A_20" localSheetId="7">[1]Sheet1!#REF!</definedName>
    <definedName name="_11A_20" localSheetId="8">[1]Sheet1!#REF!</definedName>
    <definedName name="_11A_20" localSheetId="4">[1]Sheet1!#REF!</definedName>
    <definedName name="_11A_20" localSheetId="1">[1]Sheet1!#REF!</definedName>
    <definedName name="_11A_20">[1]Sheet1!#REF!</definedName>
    <definedName name="_11A_21" localSheetId="5">[1]Sheet1!#REF!</definedName>
    <definedName name="_11A_21" localSheetId="3">[1]Sheet1!#REF!</definedName>
    <definedName name="_11A_21" localSheetId="6">[1]Sheet1!#REF!</definedName>
    <definedName name="_11A_21" localSheetId="7">[1]Sheet1!#REF!</definedName>
    <definedName name="_11A_21" localSheetId="8">[1]Sheet1!#REF!</definedName>
    <definedName name="_11A_21" localSheetId="4">[1]Sheet1!#REF!</definedName>
    <definedName name="_11A_21" localSheetId="1">[1]Sheet1!#REF!</definedName>
    <definedName name="_11A_21">[1]Sheet1!#REF!</definedName>
    <definedName name="_11A_22" localSheetId="5">[1]Sheet1!#REF!</definedName>
    <definedName name="_11A_22" localSheetId="3">[1]Sheet1!#REF!</definedName>
    <definedName name="_11A_22" localSheetId="6">[1]Sheet1!#REF!</definedName>
    <definedName name="_11A_22" localSheetId="7">[1]Sheet1!#REF!</definedName>
    <definedName name="_11A_22" localSheetId="8">[1]Sheet1!#REF!</definedName>
    <definedName name="_11A_22" localSheetId="4">[1]Sheet1!#REF!</definedName>
    <definedName name="_11A_22" localSheetId="1">[1]Sheet1!#REF!</definedName>
    <definedName name="_11A_22">[1]Sheet1!#REF!</definedName>
    <definedName name="_11A_23" localSheetId="5">[1]Sheet1!#REF!</definedName>
    <definedName name="_11A_23" localSheetId="3">[1]Sheet1!#REF!</definedName>
    <definedName name="_11A_23" localSheetId="6">[1]Sheet1!#REF!</definedName>
    <definedName name="_11A_23" localSheetId="7">[1]Sheet1!#REF!</definedName>
    <definedName name="_11A_23" localSheetId="8">[1]Sheet1!#REF!</definedName>
    <definedName name="_11A_23" localSheetId="4">[1]Sheet1!#REF!</definedName>
    <definedName name="_11A_23" localSheetId="1">[1]Sheet1!#REF!</definedName>
    <definedName name="_11A_23">[1]Sheet1!#REF!</definedName>
    <definedName name="_11A_24" localSheetId="5">[1]Sheet1!#REF!</definedName>
    <definedName name="_11A_24" localSheetId="3">[1]Sheet1!#REF!</definedName>
    <definedName name="_11A_24" localSheetId="6">[1]Sheet1!#REF!</definedName>
    <definedName name="_11A_24" localSheetId="7">[1]Sheet1!#REF!</definedName>
    <definedName name="_11A_24" localSheetId="8">[1]Sheet1!#REF!</definedName>
    <definedName name="_11A_24" localSheetId="4">[1]Sheet1!#REF!</definedName>
    <definedName name="_11A_24" localSheetId="1">[1]Sheet1!#REF!</definedName>
    <definedName name="_11A_24">[1]Sheet1!#REF!</definedName>
    <definedName name="_11A_25" localSheetId="5">[1]Sheet1!#REF!</definedName>
    <definedName name="_11A_25" localSheetId="3">[1]Sheet1!#REF!</definedName>
    <definedName name="_11A_25" localSheetId="6">[1]Sheet1!#REF!</definedName>
    <definedName name="_11A_25" localSheetId="7">[1]Sheet1!#REF!</definedName>
    <definedName name="_11A_25" localSheetId="8">[1]Sheet1!#REF!</definedName>
    <definedName name="_11A_25" localSheetId="4">[1]Sheet1!#REF!</definedName>
    <definedName name="_11A_25" localSheetId="1">[1]Sheet1!#REF!</definedName>
    <definedName name="_11A_25">[1]Sheet1!#REF!</definedName>
    <definedName name="_11A_26" localSheetId="5">[1]Sheet1!#REF!</definedName>
    <definedName name="_11A_26" localSheetId="3">[1]Sheet1!#REF!</definedName>
    <definedName name="_11A_26" localSheetId="6">[1]Sheet1!#REF!</definedName>
    <definedName name="_11A_26" localSheetId="7">[1]Sheet1!#REF!</definedName>
    <definedName name="_11A_26" localSheetId="8">[1]Sheet1!#REF!</definedName>
    <definedName name="_11A_26" localSheetId="4">[1]Sheet1!#REF!</definedName>
    <definedName name="_11A_26" localSheetId="1">[1]Sheet1!#REF!</definedName>
    <definedName name="_11A_26">[1]Sheet1!#REF!</definedName>
    <definedName name="_11A_27" localSheetId="5">[1]Sheet1!#REF!</definedName>
    <definedName name="_11A_27" localSheetId="3">[1]Sheet1!#REF!</definedName>
    <definedName name="_11A_27" localSheetId="6">[1]Sheet1!#REF!</definedName>
    <definedName name="_11A_27" localSheetId="7">[1]Sheet1!#REF!</definedName>
    <definedName name="_11A_27" localSheetId="8">[1]Sheet1!#REF!</definedName>
    <definedName name="_11A_27" localSheetId="4">[1]Sheet1!#REF!</definedName>
    <definedName name="_11A_27" localSheetId="1">[1]Sheet1!#REF!</definedName>
    <definedName name="_11A_27">[1]Sheet1!#REF!</definedName>
    <definedName name="_11A_28" localSheetId="5">[1]Sheet1!#REF!</definedName>
    <definedName name="_11A_28" localSheetId="3">[1]Sheet1!#REF!</definedName>
    <definedName name="_11A_28" localSheetId="6">[1]Sheet1!#REF!</definedName>
    <definedName name="_11A_28" localSheetId="7">[1]Sheet1!#REF!</definedName>
    <definedName name="_11A_28" localSheetId="8">[1]Sheet1!#REF!</definedName>
    <definedName name="_11A_28" localSheetId="4">[1]Sheet1!#REF!</definedName>
    <definedName name="_11A_28" localSheetId="1">[1]Sheet1!#REF!</definedName>
    <definedName name="_11A_28">[1]Sheet1!#REF!</definedName>
    <definedName name="_11A_29" localSheetId="5">[1]Sheet1!#REF!</definedName>
    <definedName name="_11A_29" localSheetId="3">[1]Sheet1!#REF!</definedName>
    <definedName name="_11A_29" localSheetId="6">[1]Sheet1!#REF!</definedName>
    <definedName name="_11A_29" localSheetId="7">[1]Sheet1!#REF!</definedName>
    <definedName name="_11A_29" localSheetId="8">[1]Sheet1!#REF!</definedName>
    <definedName name="_11A_29" localSheetId="4">[1]Sheet1!#REF!</definedName>
    <definedName name="_11A_29" localSheetId="1">[1]Sheet1!#REF!</definedName>
    <definedName name="_11A_29">[1]Sheet1!#REF!</definedName>
    <definedName name="_11A_3" localSheetId="5">[1]Sheet1!#REF!</definedName>
    <definedName name="_11A_3" localSheetId="3">[1]Sheet1!#REF!</definedName>
    <definedName name="_11A_3" localSheetId="6">[1]Sheet1!#REF!</definedName>
    <definedName name="_11A_3" localSheetId="7">[1]Sheet1!#REF!</definedName>
    <definedName name="_11A_3" localSheetId="8">[1]Sheet1!#REF!</definedName>
    <definedName name="_11A_3" localSheetId="4">[1]Sheet1!#REF!</definedName>
    <definedName name="_11A_3" localSheetId="1">[1]Sheet1!#REF!</definedName>
    <definedName name="_11A_3">[1]Sheet1!#REF!</definedName>
    <definedName name="_11A_30" localSheetId="5">[1]Sheet1!#REF!</definedName>
    <definedName name="_11A_30" localSheetId="3">[1]Sheet1!#REF!</definedName>
    <definedName name="_11A_30" localSheetId="6">[1]Sheet1!#REF!</definedName>
    <definedName name="_11A_30" localSheetId="7">[1]Sheet1!#REF!</definedName>
    <definedName name="_11A_30" localSheetId="8">[1]Sheet1!#REF!</definedName>
    <definedName name="_11A_30" localSheetId="4">[1]Sheet1!#REF!</definedName>
    <definedName name="_11A_30" localSheetId="1">[1]Sheet1!#REF!</definedName>
    <definedName name="_11A_30">[1]Sheet1!#REF!</definedName>
    <definedName name="_11A_4" localSheetId="5">[1]Sheet1!#REF!</definedName>
    <definedName name="_11A_4" localSheetId="3">[1]Sheet1!#REF!</definedName>
    <definedName name="_11A_4" localSheetId="6">[1]Sheet1!#REF!</definedName>
    <definedName name="_11A_4" localSheetId="7">[1]Sheet1!#REF!</definedName>
    <definedName name="_11A_4" localSheetId="8">[1]Sheet1!#REF!</definedName>
    <definedName name="_11A_4" localSheetId="4">[1]Sheet1!#REF!</definedName>
    <definedName name="_11A_4" localSheetId="1">[1]Sheet1!#REF!</definedName>
    <definedName name="_11A_4">[1]Sheet1!#REF!</definedName>
    <definedName name="_11A_5" localSheetId="5">[1]Sheet1!#REF!</definedName>
    <definedName name="_11A_5" localSheetId="3">[1]Sheet1!#REF!</definedName>
    <definedName name="_11A_5" localSheetId="6">[1]Sheet1!#REF!</definedName>
    <definedName name="_11A_5" localSheetId="7">[1]Sheet1!#REF!</definedName>
    <definedName name="_11A_5" localSheetId="8">[1]Sheet1!#REF!</definedName>
    <definedName name="_11A_5" localSheetId="4">[1]Sheet1!#REF!</definedName>
    <definedName name="_11A_5" localSheetId="1">[1]Sheet1!#REF!</definedName>
    <definedName name="_11A_5">[1]Sheet1!#REF!</definedName>
    <definedName name="_11A_6" localSheetId="5">[1]Sheet1!#REF!</definedName>
    <definedName name="_11A_6" localSheetId="3">[1]Sheet1!#REF!</definedName>
    <definedName name="_11A_6" localSheetId="6">[1]Sheet1!#REF!</definedName>
    <definedName name="_11A_6" localSheetId="7">[1]Sheet1!#REF!</definedName>
    <definedName name="_11A_6" localSheetId="8">[1]Sheet1!#REF!</definedName>
    <definedName name="_11A_6" localSheetId="4">[1]Sheet1!#REF!</definedName>
    <definedName name="_11A_6" localSheetId="1">[1]Sheet1!#REF!</definedName>
    <definedName name="_11A_6">[1]Sheet1!#REF!</definedName>
    <definedName name="_11A_7" localSheetId="5">[1]Sheet1!#REF!</definedName>
    <definedName name="_11A_7" localSheetId="3">[1]Sheet1!#REF!</definedName>
    <definedName name="_11A_7" localSheetId="6">[1]Sheet1!#REF!</definedName>
    <definedName name="_11A_7" localSheetId="7">[1]Sheet1!#REF!</definedName>
    <definedName name="_11A_7" localSheetId="8">[1]Sheet1!#REF!</definedName>
    <definedName name="_11A_7" localSheetId="4">[1]Sheet1!#REF!</definedName>
    <definedName name="_11A_7" localSheetId="1">[1]Sheet1!#REF!</definedName>
    <definedName name="_11A_7">[1]Sheet1!#REF!</definedName>
    <definedName name="_11A_8" localSheetId="5">[1]Sheet1!#REF!</definedName>
    <definedName name="_11A_8" localSheetId="3">[1]Sheet1!#REF!</definedName>
    <definedName name="_11A_8" localSheetId="6">[1]Sheet1!#REF!</definedName>
    <definedName name="_11A_8" localSheetId="7">[1]Sheet1!#REF!</definedName>
    <definedName name="_11A_8" localSheetId="8">[1]Sheet1!#REF!</definedName>
    <definedName name="_11A_8" localSheetId="4">[1]Sheet1!#REF!</definedName>
    <definedName name="_11A_8" localSheetId="1">[1]Sheet1!#REF!</definedName>
    <definedName name="_11A_8">[1]Sheet1!#REF!</definedName>
    <definedName name="_11A_9" localSheetId="5">[1]Sheet1!#REF!</definedName>
    <definedName name="_11A_9" localSheetId="3">[1]Sheet1!#REF!</definedName>
    <definedName name="_11A_9" localSheetId="6">[1]Sheet1!#REF!</definedName>
    <definedName name="_11A_9" localSheetId="7">[1]Sheet1!#REF!</definedName>
    <definedName name="_11A_9" localSheetId="8">[1]Sheet1!#REF!</definedName>
    <definedName name="_11A_9" localSheetId="4">[1]Sheet1!#REF!</definedName>
    <definedName name="_11A_9" localSheetId="1">[1]Sheet1!#REF!</definedName>
    <definedName name="_11A_9">[1]Sheet1!#REF!</definedName>
    <definedName name="_11B_1" localSheetId="5">[1]Sheet1!#REF!</definedName>
    <definedName name="_11B_1" localSheetId="3">[1]Sheet1!#REF!</definedName>
    <definedName name="_11B_1" localSheetId="6">[1]Sheet1!#REF!</definedName>
    <definedName name="_11B_1" localSheetId="7">[1]Sheet1!#REF!</definedName>
    <definedName name="_11B_1" localSheetId="8">[1]Sheet1!#REF!</definedName>
    <definedName name="_11B_1" localSheetId="4">[1]Sheet1!#REF!</definedName>
    <definedName name="_11B_1" localSheetId="1">[1]Sheet1!#REF!</definedName>
    <definedName name="_11B_1">[1]Sheet1!#REF!</definedName>
    <definedName name="_11B_10" localSheetId="5">[1]Sheet1!#REF!</definedName>
    <definedName name="_11B_10" localSheetId="3">[1]Sheet1!#REF!</definedName>
    <definedName name="_11B_10" localSheetId="6">[1]Sheet1!#REF!</definedName>
    <definedName name="_11B_10" localSheetId="7">[1]Sheet1!#REF!</definedName>
    <definedName name="_11B_10" localSheetId="8">[1]Sheet1!#REF!</definedName>
    <definedName name="_11B_10" localSheetId="4">[1]Sheet1!#REF!</definedName>
    <definedName name="_11B_10" localSheetId="1">[1]Sheet1!#REF!</definedName>
    <definedName name="_11B_10">[1]Sheet1!#REF!</definedName>
    <definedName name="_11B_11" localSheetId="5">[1]Sheet1!#REF!</definedName>
    <definedName name="_11B_11" localSheetId="3">[1]Sheet1!#REF!</definedName>
    <definedName name="_11B_11" localSheetId="6">[1]Sheet1!#REF!</definedName>
    <definedName name="_11B_11" localSheetId="7">[1]Sheet1!#REF!</definedName>
    <definedName name="_11B_11" localSheetId="8">[1]Sheet1!#REF!</definedName>
    <definedName name="_11B_11" localSheetId="4">[1]Sheet1!#REF!</definedName>
    <definedName name="_11B_11" localSheetId="1">[1]Sheet1!#REF!</definedName>
    <definedName name="_11B_11">[1]Sheet1!#REF!</definedName>
    <definedName name="_11B_12" localSheetId="5">[1]Sheet1!#REF!</definedName>
    <definedName name="_11B_12" localSheetId="3">[1]Sheet1!#REF!</definedName>
    <definedName name="_11B_12" localSheetId="6">[1]Sheet1!#REF!</definedName>
    <definedName name="_11B_12" localSheetId="7">[1]Sheet1!#REF!</definedName>
    <definedName name="_11B_12" localSheetId="8">[1]Sheet1!#REF!</definedName>
    <definedName name="_11B_12" localSheetId="4">[1]Sheet1!#REF!</definedName>
    <definedName name="_11B_12" localSheetId="1">[1]Sheet1!#REF!</definedName>
    <definedName name="_11B_12">[1]Sheet1!#REF!</definedName>
    <definedName name="_11B_13" localSheetId="5">[1]Sheet1!#REF!</definedName>
    <definedName name="_11B_13" localSheetId="3">[1]Sheet1!#REF!</definedName>
    <definedName name="_11B_13" localSheetId="6">[1]Sheet1!#REF!</definedName>
    <definedName name="_11B_13" localSheetId="7">[1]Sheet1!#REF!</definedName>
    <definedName name="_11B_13" localSheetId="8">[1]Sheet1!#REF!</definedName>
    <definedName name="_11B_13" localSheetId="4">[1]Sheet1!#REF!</definedName>
    <definedName name="_11B_13" localSheetId="1">[1]Sheet1!#REF!</definedName>
    <definedName name="_11B_13">[1]Sheet1!#REF!</definedName>
    <definedName name="_11B_14" localSheetId="5">[1]Sheet1!#REF!</definedName>
    <definedName name="_11B_14" localSheetId="3">[1]Sheet1!#REF!</definedName>
    <definedName name="_11B_14" localSheetId="6">[1]Sheet1!#REF!</definedName>
    <definedName name="_11B_14" localSheetId="7">[1]Sheet1!#REF!</definedName>
    <definedName name="_11B_14" localSheetId="8">[1]Sheet1!#REF!</definedName>
    <definedName name="_11B_14" localSheetId="4">[1]Sheet1!#REF!</definedName>
    <definedName name="_11B_14" localSheetId="1">[1]Sheet1!#REF!</definedName>
    <definedName name="_11B_14">[1]Sheet1!#REF!</definedName>
    <definedName name="_11B_15" localSheetId="5">[1]Sheet1!#REF!</definedName>
    <definedName name="_11B_15" localSheetId="3">[1]Sheet1!#REF!</definedName>
    <definedName name="_11B_15" localSheetId="6">[1]Sheet1!#REF!</definedName>
    <definedName name="_11B_15" localSheetId="7">[1]Sheet1!#REF!</definedName>
    <definedName name="_11B_15" localSheetId="8">[1]Sheet1!#REF!</definedName>
    <definedName name="_11B_15" localSheetId="4">[1]Sheet1!#REF!</definedName>
    <definedName name="_11B_15" localSheetId="1">[1]Sheet1!#REF!</definedName>
    <definedName name="_11B_15">[1]Sheet1!#REF!</definedName>
    <definedName name="_11B_16" localSheetId="5">[1]Sheet1!#REF!</definedName>
    <definedName name="_11B_16" localSheetId="3">[1]Sheet1!#REF!</definedName>
    <definedName name="_11B_16" localSheetId="6">[1]Sheet1!#REF!</definedName>
    <definedName name="_11B_16" localSheetId="7">[1]Sheet1!#REF!</definedName>
    <definedName name="_11B_16" localSheetId="8">[1]Sheet1!#REF!</definedName>
    <definedName name="_11B_16" localSheetId="4">[1]Sheet1!#REF!</definedName>
    <definedName name="_11B_16" localSheetId="1">[1]Sheet1!#REF!</definedName>
    <definedName name="_11B_16">[1]Sheet1!#REF!</definedName>
    <definedName name="_11B_17" localSheetId="5">[1]Sheet1!#REF!</definedName>
    <definedName name="_11B_17" localSheetId="3">[1]Sheet1!#REF!</definedName>
    <definedName name="_11B_17" localSheetId="6">[1]Sheet1!#REF!</definedName>
    <definedName name="_11B_17" localSheetId="7">[1]Sheet1!#REF!</definedName>
    <definedName name="_11B_17" localSheetId="8">[1]Sheet1!#REF!</definedName>
    <definedName name="_11B_17" localSheetId="4">[1]Sheet1!#REF!</definedName>
    <definedName name="_11B_17" localSheetId="1">[1]Sheet1!#REF!</definedName>
    <definedName name="_11B_17">[1]Sheet1!#REF!</definedName>
    <definedName name="_11B_18" localSheetId="5">[1]Sheet1!#REF!</definedName>
    <definedName name="_11B_18" localSheetId="3">[1]Sheet1!#REF!</definedName>
    <definedName name="_11B_18" localSheetId="6">[1]Sheet1!#REF!</definedName>
    <definedName name="_11B_18" localSheetId="7">[1]Sheet1!#REF!</definedName>
    <definedName name="_11B_18" localSheetId="8">[1]Sheet1!#REF!</definedName>
    <definedName name="_11B_18" localSheetId="4">[1]Sheet1!#REF!</definedName>
    <definedName name="_11B_18" localSheetId="1">[1]Sheet1!#REF!</definedName>
    <definedName name="_11B_18">[1]Sheet1!#REF!</definedName>
    <definedName name="_11B_19" localSheetId="5">[1]Sheet1!#REF!</definedName>
    <definedName name="_11B_19" localSheetId="3">[1]Sheet1!#REF!</definedName>
    <definedName name="_11B_19" localSheetId="6">[1]Sheet1!#REF!</definedName>
    <definedName name="_11B_19" localSheetId="7">[1]Sheet1!#REF!</definedName>
    <definedName name="_11B_19" localSheetId="8">[1]Sheet1!#REF!</definedName>
    <definedName name="_11B_19" localSheetId="4">[1]Sheet1!#REF!</definedName>
    <definedName name="_11B_19" localSheetId="1">[1]Sheet1!#REF!</definedName>
    <definedName name="_11B_19">[1]Sheet1!#REF!</definedName>
    <definedName name="_11B_2" localSheetId="5">[1]Sheet1!#REF!</definedName>
    <definedName name="_11B_2" localSheetId="3">[1]Sheet1!#REF!</definedName>
    <definedName name="_11B_2" localSheetId="6">[1]Sheet1!#REF!</definedName>
    <definedName name="_11B_2" localSheetId="7">[1]Sheet1!#REF!</definedName>
    <definedName name="_11B_2" localSheetId="8">[1]Sheet1!#REF!</definedName>
    <definedName name="_11B_2" localSheetId="4">[1]Sheet1!#REF!</definedName>
    <definedName name="_11B_2" localSheetId="1">[1]Sheet1!#REF!</definedName>
    <definedName name="_11B_2">[1]Sheet1!#REF!</definedName>
    <definedName name="_11B_20" localSheetId="5">[1]Sheet1!#REF!</definedName>
    <definedName name="_11B_20" localSheetId="3">[1]Sheet1!#REF!</definedName>
    <definedName name="_11B_20" localSheetId="6">[1]Sheet1!#REF!</definedName>
    <definedName name="_11B_20" localSheetId="7">[1]Sheet1!#REF!</definedName>
    <definedName name="_11B_20" localSheetId="8">[1]Sheet1!#REF!</definedName>
    <definedName name="_11B_20" localSheetId="4">[1]Sheet1!#REF!</definedName>
    <definedName name="_11B_20" localSheetId="1">[1]Sheet1!#REF!</definedName>
    <definedName name="_11B_20">[1]Sheet1!#REF!</definedName>
    <definedName name="_11B_21" localSheetId="5">[1]Sheet1!#REF!</definedName>
    <definedName name="_11B_21" localSheetId="3">[1]Sheet1!#REF!</definedName>
    <definedName name="_11B_21" localSheetId="6">[1]Sheet1!#REF!</definedName>
    <definedName name="_11B_21" localSheetId="7">[1]Sheet1!#REF!</definedName>
    <definedName name="_11B_21" localSheetId="8">[1]Sheet1!#REF!</definedName>
    <definedName name="_11B_21" localSheetId="4">[1]Sheet1!#REF!</definedName>
    <definedName name="_11B_21" localSheetId="1">[1]Sheet1!#REF!</definedName>
    <definedName name="_11B_21">[1]Sheet1!#REF!</definedName>
    <definedName name="_11B_22" localSheetId="5">[1]Sheet1!#REF!</definedName>
    <definedName name="_11B_22" localSheetId="3">[1]Sheet1!#REF!</definedName>
    <definedName name="_11B_22" localSheetId="6">[1]Sheet1!#REF!</definedName>
    <definedName name="_11B_22" localSheetId="7">[1]Sheet1!#REF!</definedName>
    <definedName name="_11B_22" localSheetId="8">[1]Sheet1!#REF!</definedName>
    <definedName name="_11B_22" localSheetId="4">[1]Sheet1!#REF!</definedName>
    <definedName name="_11B_22" localSheetId="1">[1]Sheet1!#REF!</definedName>
    <definedName name="_11B_22">[1]Sheet1!#REF!</definedName>
    <definedName name="_11B_23" localSheetId="5">[1]Sheet1!#REF!</definedName>
    <definedName name="_11B_23" localSheetId="3">[1]Sheet1!#REF!</definedName>
    <definedName name="_11B_23" localSheetId="6">[1]Sheet1!#REF!</definedName>
    <definedName name="_11B_23" localSheetId="7">[1]Sheet1!#REF!</definedName>
    <definedName name="_11B_23" localSheetId="8">[1]Sheet1!#REF!</definedName>
    <definedName name="_11B_23" localSheetId="4">[1]Sheet1!#REF!</definedName>
    <definedName name="_11B_23" localSheetId="1">[1]Sheet1!#REF!</definedName>
    <definedName name="_11B_23">[1]Sheet1!#REF!</definedName>
    <definedName name="_11B_24" localSheetId="5">[1]Sheet1!#REF!</definedName>
    <definedName name="_11B_24" localSheetId="3">[1]Sheet1!#REF!</definedName>
    <definedName name="_11B_24" localSheetId="6">[1]Sheet1!#REF!</definedName>
    <definedName name="_11B_24" localSheetId="7">[1]Sheet1!#REF!</definedName>
    <definedName name="_11B_24" localSheetId="8">[1]Sheet1!#REF!</definedName>
    <definedName name="_11B_24" localSheetId="4">[1]Sheet1!#REF!</definedName>
    <definedName name="_11B_24" localSheetId="1">[1]Sheet1!#REF!</definedName>
    <definedName name="_11B_24">[1]Sheet1!#REF!</definedName>
    <definedName name="_11B_25" localSheetId="5">[1]Sheet1!#REF!</definedName>
    <definedName name="_11B_25" localSheetId="3">[1]Sheet1!#REF!</definedName>
    <definedName name="_11B_25" localSheetId="6">[1]Sheet1!#REF!</definedName>
    <definedName name="_11B_25" localSheetId="7">[1]Sheet1!#REF!</definedName>
    <definedName name="_11B_25" localSheetId="8">[1]Sheet1!#REF!</definedName>
    <definedName name="_11B_25" localSheetId="4">[1]Sheet1!#REF!</definedName>
    <definedName name="_11B_25" localSheetId="1">[1]Sheet1!#REF!</definedName>
    <definedName name="_11B_25">[1]Sheet1!#REF!</definedName>
    <definedName name="_11B_26" localSheetId="5">[1]Sheet1!#REF!</definedName>
    <definedName name="_11B_26" localSheetId="3">[1]Sheet1!#REF!</definedName>
    <definedName name="_11B_26" localSheetId="6">[1]Sheet1!#REF!</definedName>
    <definedName name="_11B_26" localSheetId="7">[1]Sheet1!#REF!</definedName>
    <definedName name="_11B_26" localSheetId="8">[1]Sheet1!#REF!</definedName>
    <definedName name="_11B_26" localSheetId="4">[1]Sheet1!#REF!</definedName>
    <definedName name="_11B_26" localSheetId="1">[1]Sheet1!#REF!</definedName>
    <definedName name="_11B_26">[1]Sheet1!#REF!</definedName>
    <definedName name="_11B_27" localSheetId="5">[1]Sheet1!#REF!</definedName>
    <definedName name="_11B_27" localSheetId="3">[1]Sheet1!#REF!</definedName>
    <definedName name="_11B_27" localSheetId="6">[1]Sheet1!#REF!</definedName>
    <definedName name="_11B_27" localSheetId="7">[1]Sheet1!#REF!</definedName>
    <definedName name="_11B_27" localSheetId="8">[1]Sheet1!#REF!</definedName>
    <definedName name="_11B_27" localSheetId="4">[1]Sheet1!#REF!</definedName>
    <definedName name="_11B_27" localSheetId="1">[1]Sheet1!#REF!</definedName>
    <definedName name="_11B_27">[1]Sheet1!#REF!</definedName>
    <definedName name="_11B_28" localSheetId="5">[1]Sheet1!#REF!</definedName>
    <definedName name="_11B_28" localSheetId="3">[1]Sheet1!#REF!</definedName>
    <definedName name="_11B_28" localSheetId="6">[1]Sheet1!#REF!</definedName>
    <definedName name="_11B_28" localSheetId="7">[1]Sheet1!#REF!</definedName>
    <definedName name="_11B_28" localSheetId="8">[1]Sheet1!#REF!</definedName>
    <definedName name="_11B_28" localSheetId="4">[1]Sheet1!#REF!</definedName>
    <definedName name="_11B_28" localSheetId="1">[1]Sheet1!#REF!</definedName>
    <definedName name="_11B_28">[1]Sheet1!#REF!</definedName>
    <definedName name="_11B_29" localSheetId="5">[1]Sheet1!#REF!</definedName>
    <definedName name="_11B_29" localSheetId="3">[1]Sheet1!#REF!</definedName>
    <definedName name="_11B_29" localSheetId="6">[1]Sheet1!#REF!</definedName>
    <definedName name="_11B_29" localSheetId="7">[1]Sheet1!#REF!</definedName>
    <definedName name="_11B_29" localSheetId="8">[1]Sheet1!#REF!</definedName>
    <definedName name="_11B_29" localSheetId="4">[1]Sheet1!#REF!</definedName>
    <definedName name="_11B_29" localSheetId="1">[1]Sheet1!#REF!</definedName>
    <definedName name="_11B_29">[1]Sheet1!#REF!</definedName>
    <definedName name="_11B_3" localSheetId="5">[1]Sheet1!#REF!</definedName>
    <definedName name="_11B_3" localSheetId="3">[1]Sheet1!#REF!</definedName>
    <definedName name="_11B_3" localSheetId="6">[1]Sheet1!#REF!</definedName>
    <definedName name="_11B_3" localSheetId="7">[1]Sheet1!#REF!</definedName>
    <definedName name="_11B_3" localSheetId="8">[1]Sheet1!#REF!</definedName>
    <definedName name="_11B_3" localSheetId="4">[1]Sheet1!#REF!</definedName>
    <definedName name="_11B_3" localSheetId="1">[1]Sheet1!#REF!</definedName>
    <definedName name="_11B_3">[1]Sheet1!#REF!</definedName>
    <definedName name="_11B_30" localSheetId="5">[1]Sheet1!#REF!</definedName>
    <definedName name="_11B_30" localSheetId="3">[1]Sheet1!#REF!</definedName>
    <definedName name="_11B_30" localSheetId="6">[1]Sheet1!#REF!</definedName>
    <definedName name="_11B_30" localSheetId="7">[1]Sheet1!#REF!</definedName>
    <definedName name="_11B_30" localSheetId="8">[1]Sheet1!#REF!</definedName>
    <definedName name="_11B_30" localSheetId="4">[1]Sheet1!#REF!</definedName>
    <definedName name="_11B_30" localSheetId="1">[1]Sheet1!#REF!</definedName>
    <definedName name="_11B_30">[1]Sheet1!#REF!</definedName>
    <definedName name="_11B_4" localSheetId="5">[1]Sheet1!#REF!</definedName>
    <definedName name="_11B_4" localSheetId="3">[1]Sheet1!#REF!</definedName>
    <definedName name="_11B_4" localSheetId="6">[1]Sheet1!#REF!</definedName>
    <definedName name="_11B_4" localSheetId="7">[1]Sheet1!#REF!</definedName>
    <definedName name="_11B_4" localSheetId="8">[1]Sheet1!#REF!</definedName>
    <definedName name="_11B_4" localSheetId="4">[1]Sheet1!#REF!</definedName>
    <definedName name="_11B_4" localSheetId="1">[1]Sheet1!#REF!</definedName>
    <definedName name="_11B_4">[1]Sheet1!#REF!</definedName>
    <definedName name="_11B_5" localSheetId="5">[1]Sheet1!#REF!</definedName>
    <definedName name="_11B_5" localSheetId="3">[1]Sheet1!#REF!</definedName>
    <definedName name="_11B_5" localSheetId="6">[1]Sheet1!#REF!</definedName>
    <definedName name="_11B_5" localSheetId="7">[1]Sheet1!#REF!</definedName>
    <definedName name="_11B_5" localSheetId="8">[1]Sheet1!#REF!</definedName>
    <definedName name="_11B_5" localSheetId="4">[1]Sheet1!#REF!</definedName>
    <definedName name="_11B_5" localSheetId="1">[1]Sheet1!#REF!</definedName>
    <definedName name="_11B_5">[1]Sheet1!#REF!</definedName>
    <definedName name="_11B_6" localSheetId="5">[1]Sheet1!#REF!</definedName>
    <definedName name="_11B_6" localSheetId="3">[1]Sheet1!#REF!</definedName>
    <definedName name="_11B_6" localSheetId="6">[1]Sheet1!#REF!</definedName>
    <definedName name="_11B_6" localSheetId="7">[1]Sheet1!#REF!</definedName>
    <definedName name="_11B_6" localSheetId="8">[1]Sheet1!#REF!</definedName>
    <definedName name="_11B_6" localSheetId="4">[1]Sheet1!#REF!</definedName>
    <definedName name="_11B_6" localSheetId="1">[1]Sheet1!#REF!</definedName>
    <definedName name="_11B_6">[1]Sheet1!#REF!</definedName>
    <definedName name="_11B_7" localSheetId="5">[1]Sheet1!#REF!</definedName>
    <definedName name="_11B_7" localSheetId="3">[1]Sheet1!#REF!</definedName>
    <definedName name="_11B_7" localSheetId="6">[1]Sheet1!#REF!</definedName>
    <definedName name="_11B_7" localSheetId="7">[1]Sheet1!#REF!</definedName>
    <definedName name="_11B_7" localSheetId="8">[1]Sheet1!#REF!</definedName>
    <definedName name="_11B_7" localSheetId="4">[1]Sheet1!#REF!</definedName>
    <definedName name="_11B_7" localSheetId="1">[1]Sheet1!#REF!</definedName>
    <definedName name="_11B_7">[1]Sheet1!#REF!</definedName>
    <definedName name="_11B_8" localSheetId="5">[1]Sheet1!#REF!</definedName>
    <definedName name="_11B_8" localSheetId="3">[1]Sheet1!#REF!</definedName>
    <definedName name="_11B_8" localSheetId="6">[1]Sheet1!#REF!</definedName>
    <definedName name="_11B_8" localSheetId="7">[1]Sheet1!#REF!</definedName>
    <definedName name="_11B_8" localSheetId="8">[1]Sheet1!#REF!</definedName>
    <definedName name="_11B_8" localSheetId="4">[1]Sheet1!#REF!</definedName>
    <definedName name="_11B_8" localSheetId="1">[1]Sheet1!#REF!</definedName>
    <definedName name="_11B_8">[1]Sheet1!#REF!</definedName>
    <definedName name="_11B_9" localSheetId="5">[1]Sheet1!#REF!</definedName>
    <definedName name="_11B_9" localSheetId="3">[1]Sheet1!#REF!</definedName>
    <definedName name="_11B_9" localSheetId="6">[1]Sheet1!#REF!</definedName>
    <definedName name="_11B_9" localSheetId="7">[1]Sheet1!#REF!</definedName>
    <definedName name="_11B_9" localSheetId="8">[1]Sheet1!#REF!</definedName>
    <definedName name="_11B_9" localSheetId="4">[1]Sheet1!#REF!</definedName>
    <definedName name="_11B_9" localSheetId="1">[1]Sheet1!#REF!</definedName>
    <definedName name="_11B_9">[1]Sheet1!#REF!</definedName>
    <definedName name="_11C_1" localSheetId="5">[1]Sheet1!#REF!</definedName>
    <definedName name="_11C_1" localSheetId="3">[1]Sheet1!#REF!</definedName>
    <definedName name="_11C_1" localSheetId="6">[1]Sheet1!#REF!</definedName>
    <definedName name="_11C_1" localSheetId="7">[1]Sheet1!#REF!</definedName>
    <definedName name="_11C_1" localSheetId="8">[1]Sheet1!#REF!</definedName>
    <definedName name="_11C_1" localSheetId="4">[1]Sheet1!#REF!</definedName>
    <definedName name="_11C_1" localSheetId="1">[1]Sheet1!#REF!</definedName>
    <definedName name="_11C_1">[1]Sheet1!#REF!</definedName>
    <definedName name="_11C_10" localSheetId="5">[1]Sheet1!#REF!</definedName>
    <definedName name="_11C_10" localSheetId="3">[1]Sheet1!#REF!</definedName>
    <definedName name="_11C_10" localSheetId="6">[1]Sheet1!#REF!</definedName>
    <definedName name="_11C_10" localSheetId="7">[1]Sheet1!#REF!</definedName>
    <definedName name="_11C_10" localSheetId="8">[1]Sheet1!#REF!</definedName>
    <definedName name="_11C_10" localSheetId="4">[1]Sheet1!#REF!</definedName>
    <definedName name="_11C_10" localSheetId="1">[1]Sheet1!#REF!</definedName>
    <definedName name="_11C_10">[1]Sheet1!#REF!</definedName>
    <definedName name="_11C_11" localSheetId="5">[1]Sheet1!#REF!</definedName>
    <definedName name="_11C_11" localSheetId="3">[1]Sheet1!#REF!</definedName>
    <definedName name="_11C_11" localSheetId="6">[1]Sheet1!#REF!</definedName>
    <definedName name="_11C_11" localSheetId="7">[1]Sheet1!#REF!</definedName>
    <definedName name="_11C_11" localSheetId="8">[1]Sheet1!#REF!</definedName>
    <definedName name="_11C_11" localSheetId="4">[1]Sheet1!#REF!</definedName>
    <definedName name="_11C_11" localSheetId="1">[1]Sheet1!#REF!</definedName>
    <definedName name="_11C_11">[1]Sheet1!#REF!</definedName>
    <definedName name="_11C_12" localSheetId="5">[1]Sheet1!#REF!</definedName>
    <definedName name="_11C_12" localSheetId="3">[1]Sheet1!#REF!</definedName>
    <definedName name="_11C_12" localSheetId="6">[1]Sheet1!#REF!</definedName>
    <definedName name="_11C_12" localSheetId="7">[1]Sheet1!#REF!</definedName>
    <definedName name="_11C_12" localSheetId="8">[1]Sheet1!#REF!</definedName>
    <definedName name="_11C_12" localSheetId="4">[1]Sheet1!#REF!</definedName>
    <definedName name="_11C_12" localSheetId="1">[1]Sheet1!#REF!</definedName>
    <definedName name="_11C_12">[1]Sheet1!#REF!</definedName>
    <definedName name="_11C_13" localSheetId="5">[1]Sheet1!#REF!</definedName>
    <definedName name="_11C_13" localSheetId="3">[1]Sheet1!#REF!</definedName>
    <definedName name="_11C_13" localSheetId="6">[1]Sheet1!#REF!</definedName>
    <definedName name="_11C_13" localSheetId="7">[1]Sheet1!#REF!</definedName>
    <definedName name="_11C_13" localSheetId="8">[1]Sheet1!#REF!</definedName>
    <definedName name="_11C_13" localSheetId="4">[1]Sheet1!#REF!</definedName>
    <definedName name="_11C_13" localSheetId="1">[1]Sheet1!#REF!</definedName>
    <definedName name="_11C_13">[1]Sheet1!#REF!</definedName>
    <definedName name="_11C_14" localSheetId="5">[1]Sheet1!#REF!</definedName>
    <definedName name="_11C_14" localSheetId="3">[1]Sheet1!#REF!</definedName>
    <definedName name="_11C_14" localSheetId="6">[1]Sheet1!#REF!</definedName>
    <definedName name="_11C_14" localSheetId="7">[1]Sheet1!#REF!</definedName>
    <definedName name="_11C_14" localSheetId="8">[1]Sheet1!#REF!</definedName>
    <definedName name="_11C_14" localSheetId="4">[1]Sheet1!#REF!</definedName>
    <definedName name="_11C_14" localSheetId="1">[1]Sheet1!#REF!</definedName>
    <definedName name="_11C_14">[1]Sheet1!#REF!</definedName>
    <definedName name="_11C_15" localSheetId="5">[1]Sheet1!#REF!</definedName>
    <definedName name="_11C_15" localSheetId="3">[1]Sheet1!#REF!</definedName>
    <definedName name="_11C_15" localSheetId="6">[1]Sheet1!#REF!</definedName>
    <definedName name="_11C_15" localSheetId="7">[1]Sheet1!#REF!</definedName>
    <definedName name="_11C_15" localSheetId="8">[1]Sheet1!#REF!</definedName>
    <definedName name="_11C_15" localSheetId="4">[1]Sheet1!#REF!</definedName>
    <definedName name="_11C_15" localSheetId="1">[1]Sheet1!#REF!</definedName>
    <definedName name="_11C_15">[1]Sheet1!#REF!</definedName>
    <definedName name="_11C_16" localSheetId="5">[1]Sheet1!#REF!</definedName>
    <definedName name="_11C_16" localSheetId="3">[1]Sheet1!#REF!</definedName>
    <definedName name="_11C_16" localSheetId="6">[1]Sheet1!#REF!</definedName>
    <definedName name="_11C_16" localSheetId="7">[1]Sheet1!#REF!</definedName>
    <definedName name="_11C_16" localSheetId="8">[1]Sheet1!#REF!</definedName>
    <definedName name="_11C_16" localSheetId="4">[1]Sheet1!#REF!</definedName>
    <definedName name="_11C_16" localSheetId="1">[1]Sheet1!#REF!</definedName>
    <definedName name="_11C_16">[1]Sheet1!#REF!</definedName>
    <definedName name="_11C_17" localSheetId="5">[1]Sheet1!#REF!</definedName>
    <definedName name="_11C_17" localSheetId="3">[1]Sheet1!#REF!</definedName>
    <definedName name="_11C_17" localSheetId="6">[1]Sheet1!#REF!</definedName>
    <definedName name="_11C_17" localSheetId="7">[1]Sheet1!#REF!</definedName>
    <definedName name="_11C_17" localSheetId="8">[1]Sheet1!#REF!</definedName>
    <definedName name="_11C_17" localSheetId="4">[1]Sheet1!#REF!</definedName>
    <definedName name="_11C_17" localSheetId="1">[1]Sheet1!#REF!</definedName>
    <definedName name="_11C_17">[1]Sheet1!#REF!</definedName>
    <definedName name="_11C_18" localSheetId="5">[1]Sheet1!#REF!</definedName>
    <definedName name="_11C_18" localSheetId="3">[1]Sheet1!#REF!</definedName>
    <definedName name="_11C_18" localSheetId="6">[1]Sheet1!#REF!</definedName>
    <definedName name="_11C_18" localSheetId="7">[1]Sheet1!#REF!</definedName>
    <definedName name="_11C_18" localSheetId="8">[1]Sheet1!#REF!</definedName>
    <definedName name="_11C_18" localSheetId="4">[1]Sheet1!#REF!</definedName>
    <definedName name="_11C_18" localSheetId="1">[1]Sheet1!#REF!</definedName>
    <definedName name="_11C_18">[1]Sheet1!#REF!</definedName>
    <definedName name="_11C_19" localSheetId="5">[1]Sheet1!#REF!</definedName>
    <definedName name="_11C_19" localSheetId="3">[1]Sheet1!#REF!</definedName>
    <definedName name="_11C_19" localSheetId="6">[1]Sheet1!#REF!</definedName>
    <definedName name="_11C_19" localSheetId="7">[1]Sheet1!#REF!</definedName>
    <definedName name="_11C_19" localSheetId="8">[1]Sheet1!#REF!</definedName>
    <definedName name="_11C_19" localSheetId="4">[1]Sheet1!#REF!</definedName>
    <definedName name="_11C_19" localSheetId="1">[1]Sheet1!#REF!</definedName>
    <definedName name="_11C_19">[1]Sheet1!#REF!</definedName>
    <definedName name="_11C_2" localSheetId="5">[1]Sheet1!#REF!</definedName>
    <definedName name="_11C_2" localSheetId="3">[1]Sheet1!#REF!</definedName>
    <definedName name="_11C_2" localSheetId="6">[1]Sheet1!#REF!</definedName>
    <definedName name="_11C_2" localSheetId="7">[1]Sheet1!#REF!</definedName>
    <definedName name="_11C_2" localSheetId="8">[1]Sheet1!#REF!</definedName>
    <definedName name="_11C_2" localSheetId="4">[1]Sheet1!#REF!</definedName>
    <definedName name="_11C_2" localSheetId="1">[1]Sheet1!#REF!</definedName>
    <definedName name="_11C_2">[1]Sheet1!#REF!</definedName>
    <definedName name="_11C_20" localSheetId="5">[1]Sheet1!#REF!</definedName>
    <definedName name="_11C_20" localSheetId="3">[1]Sheet1!#REF!</definedName>
    <definedName name="_11C_20" localSheetId="6">[1]Sheet1!#REF!</definedName>
    <definedName name="_11C_20" localSheetId="7">[1]Sheet1!#REF!</definedName>
    <definedName name="_11C_20" localSheetId="8">[1]Sheet1!#REF!</definedName>
    <definedName name="_11C_20" localSheetId="4">[1]Sheet1!#REF!</definedName>
    <definedName name="_11C_20" localSheetId="1">[1]Sheet1!#REF!</definedName>
    <definedName name="_11C_20">[1]Sheet1!#REF!</definedName>
    <definedName name="_11C_21" localSheetId="5">[1]Sheet1!#REF!</definedName>
    <definedName name="_11C_21" localSheetId="3">[1]Sheet1!#REF!</definedName>
    <definedName name="_11C_21" localSheetId="6">[1]Sheet1!#REF!</definedName>
    <definedName name="_11C_21" localSheetId="7">[1]Sheet1!#REF!</definedName>
    <definedName name="_11C_21" localSheetId="8">[1]Sheet1!#REF!</definedName>
    <definedName name="_11C_21" localSheetId="4">[1]Sheet1!#REF!</definedName>
    <definedName name="_11C_21" localSheetId="1">[1]Sheet1!#REF!</definedName>
    <definedName name="_11C_21">[1]Sheet1!#REF!</definedName>
    <definedName name="_11C_22" localSheetId="5">[1]Sheet1!#REF!</definedName>
    <definedName name="_11C_22" localSheetId="3">[1]Sheet1!#REF!</definedName>
    <definedName name="_11C_22" localSheetId="6">[1]Sheet1!#REF!</definedName>
    <definedName name="_11C_22" localSheetId="7">[1]Sheet1!#REF!</definedName>
    <definedName name="_11C_22" localSheetId="8">[1]Sheet1!#REF!</definedName>
    <definedName name="_11C_22" localSheetId="4">[1]Sheet1!#REF!</definedName>
    <definedName name="_11C_22" localSheetId="1">[1]Sheet1!#REF!</definedName>
    <definedName name="_11C_22">[1]Sheet1!#REF!</definedName>
    <definedName name="_11C_23" localSheetId="5">[1]Sheet1!#REF!</definedName>
    <definedName name="_11C_23" localSheetId="3">[1]Sheet1!#REF!</definedName>
    <definedName name="_11C_23" localSheetId="6">[1]Sheet1!#REF!</definedName>
    <definedName name="_11C_23" localSheetId="7">[1]Sheet1!#REF!</definedName>
    <definedName name="_11C_23" localSheetId="8">[1]Sheet1!#REF!</definedName>
    <definedName name="_11C_23" localSheetId="4">[1]Sheet1!#REF!</definedName>
    <definedName name="_11C_23" localSheetId="1">[1]Sheet1!#REF!</definedName>
    <definedName name="_11C_23">[1]Sheet1!#REF!</definedName>
    <definedName name="_11C_24" localSheetId="5">[1]Sheet1!#REF!</definedName>
    <definedName name="_11C_24" localSheetId="3">[1]Sheet1!#REF!</definedName>
    <definedName name="_11C_24" localSheetId="6">[1]Sheet1!#REF!</definedName>
    <definedName name="_11C_24" localSheetId="7">[1]Sheet1!#REF!</definedName>
    <definedName name="_11C_24" localSheetId="8">[1]Sheet1!#REF!</definedName>
    <definedName name="_11C_24" localSheetId="4">[1]Sheet1!#REF!</definedName>
    <definedName name="_11C_24" localSheetId="1">[1]Sheet1!#REF!</definedName>
    <definedName name="_11C_24">[1]Sheet1!#REF!</definedName>
    <definedName name="_11C_25" localSheetId="5">[1]Sheet1!#REF!</definedName>
    <definedName name="_11C_25" localSheetId="3">[1]Sheet1!#REF!</definedName>
    <definedName name="_11C_25" localSheetId="6">[1]Sheet1!#REF!</definedName>
    <definedName name="_11C_25" localSheetId="7">[1]Sheet1!#REF!</definedName>
    <definedName name="_11C_25" localSheetId="8">[1]Sheet1!#REF!</definedName>
    <definedName name="_11C_25" localSheetId="4">[1]Sheet1!#REF!</definedName>
    <definedName name="_11C_25" localSheetId="1">[1]Sheet1!#REF!</definedName>
    <definedName name="_11C_25">[1]Sheet1!#REF!</definedName>
    <definedName name="_11C_26" localSheetId="5">[1]Sheet1!#REF!</definedName>
    <definedName name="_11C_26" localSheetId="3">[1]Sheet1!#REF!</definedName>
    <definedName name="_11C_26" localSheetId="6">[1]Sheet1!#REF!</definedName>
    <definedName name="_11C_26" localSheetId="7">[1]Sheet1!#REF!</definedName>
    <definedName name="_11C_26" localSheetId="8">[1]Sheet1!#REF!</definedName>
    <definedName name="_11C_26" localSheetId="4">[1]Sheet1!#REF!</definedName>
    <definedName name="_11C_26" localSheetId="1">[1]Sheet1!#REF!</definedName>
    <definedName name="_11C_26">[1]Sheet1!#REF!</definedName>
    <definedName name="_11C_27" localSheetId="5">[1]Sheet1!#REF!</definedName>
    <definedName name="_11C_27" localSheetId="3">[1]Sheet1!#REF!</definedName>
    <definedName name="_11C_27" localSheetId="6">[1]Sheet1!#REF!</definedName>
    <definedName name="_11C_27" localSheetId="7">[1]Sheet1!#REF!</definedName>
    <definedName name="_11C_27" localSheetId="8">[1]Sheet1!#REF!</definedName>
    <definedName name="_11C_27" localSheetId="4">[1]Sheet1!#REF!</definedName>
    <definedName name="_11C_27" localSheetId="1">[1]Sheet1!#REF!</definedName>
    <definedName name="_11C_27">[1]Sheet1!#REF!</definedName>
    <definedName name="_11C_28" localSheetId="5">[1]Sheet1!#REF!</definedName>
    <definedName name="_11C_28" localSheetId="3">[1]Sheet1!#REF!</definedName>
    <definedName name="_11C_28" localSheetId="6">[1]Sheet1!#REF!</definedName>
    <definedName name="_11C_28" localSheetId="7">[1]Sheet1!#REF!</definedName>
    <definedName name="_11C_28" localSheetId="8">[1]Sheet1!#REF!</definedName>
    <definedName name="_11C_28" localSheetId="4">[1]Sheet1!#REF!</definedName>
    <definedName name="_11C_28" localSheetId="1">[1]Sheet1!#REF!</definedName>
    <definedName name="_11C_28">[1]Sheet1!#REF!</definedName>
    <definedName name="_11C_29" localSheetId="5">[1]Sheet1!#REF!</definedName>
    <definedName name="_11C_29" localSheetId="3">[1]Sheet1!#REF!</definedName>
    <definedName name="_11C_29" localSheetId="6">[1]Sheet1!#REF!</definedName>
    <definedName name="_11C_29" localSheetId="7">[1]Sheet1!#REF!</definedName>
    <definedName name="_11C_29" localSheetId="8">[1]Sheet1!#REF!</definedName>
    <definedName name="_11C_29" localSheetId="4">[1]Sheet1!#REF!</definedName>
    <definedName name="_11C_29" localSheetId="1">[1]Sheet1!#REF!</definedName>
    <definedName name="_11C_29">[1]Sheet1!#REF!</definedName>
    <definedName name="_11C_3" localSheetId="5">[1]Sheet1!#REF!</definedName>
    <definedName name="_11C_3" localSheetId="3">[1]Sheet1!#REF!</definedName>
    <definedName name="_11C_3" localSheetId="6">[1]Sheet1!#REF!</definedName>
    <definedName name="_11C_3" localSheetId="7">[1]Sheet1!#REF!</definedName>
    <definedName name="_11C_3" localSheetId="8">[1]Sheet1!#REF!</definedName>
    <definedName name="_11C_3" localSheetId="4">[1]Sheet1!#REF!</definedName>
    <definedName name="_11C_3" localSheetId="1">[1]Sheet1!#REF!</definedName>
    <definedName name="_11C_3">[1]Sheet1!#REF!</definedName>
    <definedName name="_11C_30" localSheetId="5">[1]Sheet1!#REF!</definedName>
    <definedName name="_11C_30" localSheetId="3">[1]Sheet1!#REF!</definedName>
    <definedName name="_11C_30" localSheetId="6">[1]Sheet1!#REF!</definedName>
    <definedName name="_11C_30" localSheetId="7">[1]Sheet1!#REF!</definedName>
    <definedName name="_11C_30" localSheetId="8">[1]Sheet1!#REF!</definedName>
    <definedName name="_11C_30" localSheetId="4">[1]Sheet1!#REF!</definedName>
    <definedName name="_11C_30" localSheetId="1">[1]Sheet1!#REF!</definedName>
    <definedName name="_11C_30">[1]Sheet1!#REF!</definedName>
    <definedName name="_11C_4" localSheetId="5">[1]Sheet1!#REF!</definedName>
    <definedName name="_11C_4" localSheetId="3">[1]Sheet1!#REF!</definedName>
    <definedName name="_11C_4" localSheetId="6">[1]Sheet1!#REF!</definedName>
    <definedName name="_11C_4" localSheetId="7">[1]Sheet1!#REF!</definedName>
    <definedName name="_11C_4" localSheetId="8">[1]Sheet1!#REF!</definedName>
    <definedName name="_11C_4" localSheetId="4">[1]Sheet1!#REF!</definedName>
    <definedName name="_11C_4" localSheetId="1">[1]Sheet1!#REF!</definedName>
    <definedName name="_11C_4">[1]Sheet1!#REF!</definedName>
    <definedName name="_11C_5" localSheetId="5">[1]Sheet1!#REF!</definedName>
    <definedName name="_11C_5" localSheetId="3">[1]Sheet1!#REF!</definedName>
    <definedName name="_11C_5" localSheetId="6">[1]Sheet1!#REF!</definedName>
    <definedName name="_11C_5" localSheetId="7">[1]Sheet1!#REF!</definedName>
    <definedName name="_11C_5" localSheetId="8">[1]Sheet1!#REF!</definedName>
    <definedName name="_11C_5" localSheetId="4">[1]Sheet1!#REF!</definedName>
    <definedName name="_11C_5" localSheetId="1">[1]Sheet1!#REF!</definedName>
    <definedName name="_11C_5">[1]Sheet1!#REF!</definedName>
    <definedName name="_11C_6" localSheetId="5">[1]Sheet1!#REF!</definedName>
    <definedName name="_11C_6" localSheetId="3">[1]Sheet1!#REF!</definedName>
    <definedName name="_11C_6" localSheetId="6">[1]Sheet1!#REF!</definedName>
    <definedName name="_11C_6" localSheetId="7">[1]Sheet1!#REF!</definedName>
    <definedName name="_11C_6" localSheetId="8">[1]Sheet1!#REF!</definedName>
    <definedName name="_11C_6" localSheetId="4">[1]Sheet1!#REF!</definedName>
    <definedName name="_11C_6" localSheetId="1">[1]Sheet1!#REF!</definedName>
    <definedName name="_11C_6">[1]Sheet1!#REF!</definedName>
    <definedName name="_11C_7" localSheetId="5">[1]Sheet1!#REF!</definedName>
    <definedName name="_11C_7" localSheetId="3">[1]Sheet1!#REF!</definedName>
    <definedName name="_11C_7" localSheetId="6">[1]Sheet1!#REF!</definedName>
    <definedName name="_11C_7" localSheetId="7">[1]Sheet1!#REF!</definedName>
    <definedName name="_11C_7" localSheetId="8">[1]Sheet1!#REF!</definedName>
    <definedName name="_11C_7" localSheetId="4">[1]Sheet1!#REF!</definedName>
    <definedName name="_11C_7" localSheetId="1">[1]Sheet1!#REF!</definedName>
    <definedName name="_11C_7">[1]Sheet1!#REF!</definedName>
    <definedName name="_11C_8" localSheetId="5">[1]Sheet1!#REF!</definedName>
    <definedName name="_11C_8" localSheetId="3">[1]Sheet1!#REF!</definedName>
    <definedName name="_11C_8" localSheetId="6">[1]Sheet1!#REF!</definedName>
    <definedName name="_11C_8" localSheetId="7">[1]Sheet1!#REF!</definedName>
    <definedName name="_11C_8" localSheetId="8">[1]Sheet1!#REF!</definedName>
    <definedName name="_11C_8" localSheetId="4">[1]Sheet1!#REF!</definedName>
    <definedName name="_11C_8" localSheetId="1">[1]Sheet1!#REF!</definedName>
    <definedName name="_11C_8">[1]Sheet1!#REF!</definedName>
    <definedName name="_11C_9" localSheetId="5">[1]Sheet1!#REF!</definedName>
    <definedName name="_11C_9" localSheetId="3">[1]Sheet1!#REF!</definedName>
    <definedName name="_11C_9" localSheetId="6">[1]Sheet1!#REF!</definedName>
    <definedName name="_11C_9" localSheetId="7">[1]Sheet1!#REF!</definedName>
    <definedName name="_11C_9" localSheetId="8">[1]Sheet1!#REF!</definedName>
    <definedName name="_11C_9" localSheetId="4">[1]Sheet1!#REF!</definedName>
    <definedName name="_11C_9" localSheetId="1">[1]Sheet1!#REF!</definedName>
    <definedName name="_11C_9">[1]Sheet1!#REF!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 localSheetId="5">[1]Sheet1!#REF!</definedName>
    <definedName name="_13A_1" localSheetId="3">[1]Sheet1!#REF!</definedName>
    <definedName name="_13A_1" localSheetId="6">[1]Sheet1!#REF!</definedName>
    <definedName name="_13A_1" localSheetId="7">[1]Sheet1!#REF!</definedName>
    <definedName name="_13A_1" localSheetId="8">[1]Sheet1!#REF!</definedName>
    <definedName name="_13A_1" localSheetId="4">[1]Sheet1!#REF!</definedName>
    <definedName name="_13A_1" localSheetId="1">[1]Sheet1!#REF!</definedName>
    <definedName name="_13A_1">[1]Sheet1!#REF!</definedName>
    <definedName name="_13A_10" localSheetId="5">[1]Sheet1!#REF!</definedName>
    <definedName name="_13A_10" localSheetId="3">[1]Sheet1!#REF!</definedName>
    <definedName name="_13A_10" localSheetId="6">[1]Sheet1!#REF!</definedName>
    <definedName name="_13A_10" localSheetId="7">[1]Sheet1!#REF!</definedName>
    <definedName name="_13A_10" localSheetId="8">[1]Sheet1!#REF!</definedName>
    <definedName name="_13A_10" localSheetId="4">[1]Sheet1!#REF!</definedName>
    <definedName name="_13A_10" localSheetId="1">[1]Sheet1!#REF!</definedName>
    <definedName name="_13A_10">[1]Sheet1!#REF!</definedName>
    <definedName name="_13A_11" localSheetId="5">[1]Sheet1!#REF!</definedName>
    <definedName name="_13A_11" localSheetId="3">[1]Sheet1!#REF!</definedName>
    <definedName name="_13A_11" localSheetId="6">[1]Sheet1!#REF!</definedName>
    <definedName name="_13A_11" localSheetId="7">[1]Sheet1!#REF!</definedName>
    <definedName name="_13A_11" localSheetId="8">[1]Sheet1!#REF!</definedName>
    <definedName name="_13A_11" localSheetId="4">[1]Sheet1!#REF!</definedName>
    <definedName name="_13A_11" localSheetId="1">[1]Sheet1!#REF!</definedName>
    <definedName name="_13A_11">[1]Sheet1!#REF!</definedName>
    <definedName name="_13A_12" localSheetId="5">[1]Sheet1!#REF!</definedName>
    <definedName name="_13A_12" localSheetId="3">[1]Sheet1!#REF!</definedName>
    <definedName name="_13A_12" localSheetId="6">[1]Sheet1!#REF!</definedName>
    <definedName name="_13A_12" localSheetId="7">[1]Sheet1!#REF!</definedName>
    <definedName name="_13A_12" localSheetId="8">[1]Sheet1!#REF!</definedName>
    <definedName name="_13A_12" localSheetId="4">[1]Sheet1!#REF!</definedName>
    <definedName name="_13A_12" localSheetId="1">[1]Sheet1!#REF!</definedName>
    <definedName name="_13A_12">[1]Sheet1!#REF!</definedName>
    <definedName name="_13A_13" localSheetId="5">[1]Sheet1!#REF!</definedName>
    <definedName name="_13A_13" localSheetId="3">[1]Sheet1!#REF!</definedName>
    <definedName name="_13A_13" localSheetId="6">[1]Sheet1!#REF!</definedName>
    <definedName name="_13A_13" localSheetId="7">[1]Sheet1!#REF!</definedName>
    <definedName name="_13A_13" localSheetId="8">[1]Sheet1!#REF!</definedName>
    <definedName name="_13A_13" localSheetId="4">[1]Sheet1!#REF!</definedName>
    <definedName name="_13A_13" localSheetId="1">[1]Sheet1!#REF!</definedName>
    <definedName name="_13A_13">[1]Sheet1!#REF!</definedName>
    <definedName name="_13A_14" localSheetId="5">[1]Sheet1!#REF!</definedName>
    <definedName name="_13A_14" localSheetId="3">[1]Sheet1!#REF!</definedName>
    <definedName name="_13A_14" localSheetId="6">[1]Sheet1!#REF!</definedName>
    <definedName name="_13A_14" localSheetId="7">[1]Sheet1!#REF!</definedName>
    <definedName name="_13A_14" localSheetId="8">[1]Sheet1!#REF!</definedName>
    <definedName name="_13A_14" localSheetId="4">[1]Sheet1!#REF!</definedName>
    <definedName name="_13A_14" localSheetId="1">[1]Sheet1!#REF!</definedName>
    <definedName name="_13A_14">[1]Sheet1!#REF!</definedName>
    <definedName name="_13A_15" localSheetId="5">[1]Sheet1!#REF!</definedName>
    <definedName name="_13A_15" localSheetId="3">[1]Sheet1!#REF!</definedName>
    <definedName name="_13A_15" localSheetId="6">[1]Sheet1!#REF!</definedName>
    <definedName name="_13A_15" localSheetId="7">[1]Sheet1!#REF!</definedName>
    <definedName name="_13A_15" localSheetId="8">[1]Sheet1!#REF!</definedName>
    <definedName name="_13A_15" localSheetId="4">[1]Sheet1!#REF!</definedName>
    <definedName name="_13A_15" localSheetId="1">[1]Sheet1!#REF!</definedName>
    <definedName name="_13A_15">[1]Sheet1!#REF!</definedName>
    <definedName name="_13A_16" localSheetId="5">[1]Sheet1!#REF!</definedName>
    <definedName name="_13A_16" localSheetId="3">[1]Sheet1!#REF!</definedName>
    <definedName name="_13A_16" localSheetId="6">[1]Sheet1!#REF!</definedName>
    <definedName name="_13A_16" localSheetId="7">[1]Sheet1!#REF!</definedName>
    <definedName name="_13A_16" localSheetId="8">[1]Sheet1!#REF!</definedName>
    <definedName name="_13A_16" localSheetId="4">[1]Sheet1!#REF!</definedName>
    <definedName name="_13A_16" localSheetId="1">[1]Sheet1!#REF!</definedName>
    <definedName name="_13A_16">[1]Sheet1!#REF!</definedName>
    <definedName name="_13A_17" localSheetId="5">[1]Sheet1!#REF!</definedName>
    <definedName name="_13A_17" localSheetId="3">[1]Sheet1!#REF!</definedName>
    <definedName name="_13A_17" localSheetId="6">[1]Sheet1!#REF!</definedName>
    <definedName name="_13A_17" localSheetId="7">[1]Sheet1!#REF!</definedName>
    <definedName name="_13A_17" localSheetId="8">[1]Sheet1!#REF!</definedName>
    <definedName name="_13A_17" localSheetId="4">[1]Sheet1!#REF!</definedName>
    <definedName name="_13A_17" localSheetId="1">[1]Sheet1!#REF!</definedName>
    <definedName name="_13A_17">[1]Sheet1!#REF!</definedName>
    <definedName name="_13A_18" localSheetId="5">[1]Sheet1!#REF!</definedName>
    <definedName name="_13A_18" localSheetId="3">[1]Sheet1!#REF!</definedName>
    <definedName name="_13A_18" localSheetId="6">[1]Sheet1!#REF!</definedName>
    <definedName name="_13A_18" localSheetId="7">[1]Sheet1!#REF!</definedName>
    <definedName name="_13A_18" localSheetId="8">[1]Sheet1!#REF!</definedName>
    <definedName name="_13A_18" localSheetId="4">[1]Sheet1!#REF!</definedName>
    <definedName name="_13A_18" localSheetId="1">[1]Sheet1!#REF!</definedName>
    <definedName name="_13A_18">[1]Sheet1!#REF!</definedName>
    <definedName name="_13A_19" localSheetId="5">[1]Sheet1!#REF!</definedName>
    <definedName name="_13A_19" localSheetId="3">[1]Sheet1!#REF!</definedName>
    <definedName name="_13A_19" localSheetId="6">[1]Sheet1!#REF!</definedName>
    <definedName name="_13A_19" localSheetId="7">[1]Sheet1!#REF!</definedName>
    <definedName name="_13A_19" localSheetId="8">[1]Sheet1!#REF!</definedName>
    <definedName name="_13A_19" localSheetId="4">[1]Sheet1!#REF!</definedName>
    <definedName name="_13A_19" localSheetId="1">[1]Sheet1!#REF!</definedName>
    <definedName name="_13A_19">[1]Sheet1!#REF!</definedName>
    <definedName name="_13A_2" localSheetId="5">[1]Sheet1!#REF!</definedName>
    <definedName name="_13A_2" localSheetId="3">[1]Sheet1!#REF!</definedName>
    <definedName name="_13A_2" localSheetId="6">[1]Sheet1!#REF!</definedName>
    <definedName name="_13A_2" localSheetId="7">[1]Sheet1!#REF!</definedName>
    <definedName name="_13A_2" localSheetId="8">[1]Sheet1!#REF!</definedName>
    <definedName name="_13A_2" localSheetId="4">[1]Sheet1!#REF!</definedName>
    <definedName name="_13A_2" localSheetId="1">[1]Sheet1!#REF!</definedName>
    <definedName name="_13A_2">[1]Sheet1!#REF!</definedName>
    <definedName name="_13A_20" localSheetId="5">[1]Sheet1!#REF!</definedName>
    <definedName name="_13A_20" localSheetId="3">[1]Sheet1!#REF!</definedName>
    <definedName name="_13A_20" localSheetId="6">[1]Sheet1!#REF!</definedName>
    <definedName name="_13A_20" localSheetId="7">[1]Sheet1!#REF!</definedName>
    <definedName name="_13A_20" localSheetId="8">[1]Sheet1!#REF!</definedName>
    <definedName name="_13A_20" localSheetId="4">[1]Sheet1!#REF!</definedName>
    <definedName name="_13A_20" localSheetId="1">[1]Sheet1!#REF!</definedName>
    <definedName name="_13A_20">[1]Sheet1!#REF!</definedName>
    <definedName name="_13A_21" localSheetId="5">[1]Sheet1!#REF!</definedName>
    <definedName name="_13A_21" localSheetId="3">[1]Sheet1!#REF!</definedName>
    <definedName name="_13A_21" localSheetId="6">[1]Sheet1!#REF!</definedName>
    <definedName name="_13A_21" localSheetId="7">[1]Sheet1!#REF!</definedName>
    <definedName name="_13A_21" localSheetId="8">[1]Sheet1!#REF!</definedName>
    <definedName name="_13A_21" localSheetId="4">[1]Sheet1!#REF!</definedName>
    <definedName name="_13A_21" localSheetId="1">[1]Sheet1!#REF!</definedName>
    <definedName name="_13A_21">[1]Sheet1!#REF!</definedName>
    <definedName name="_13A_22" localSheetId="5">[1]Sheet1!#REF!</definedName>
    <definedName name="_13A_22" localSheetId="3">[1]Sheet1!#REF!</definedName>
    <definedName name="_13A_22" localSheetId="6">[1]Sheet1!#REF!</definedName>
    <definedName name="_13A_22" localSheetId="7">[1]Sheet1!#REF!</definedName>
    <definedName name="_13A_22" localSheetId="8">[1]Sheet1!#REF!</definedName>
    <definedName name="_13A_22" localSheetId="4">[1]Sheet1!#REF!</definedName>
    <definedName name="_13A_22" localSheetId="1">[1]Sheet1!#REF!</definedName>
    <definedName name="_13A_22">[1]Sheet1!#REF!</definedName>
    <definedName name="_13A_23" localSheetId="5">[1]Sheet1!#REF!</definedName>
    <definedName name="_13A_23" localSheetId="3">[1]Sheet1!#REF!</definedName>
    <definedName name="_13A_23" localSheetId="6">[1]Sheet1!#REF!</definedName>
    <definedName name="_13A_23" localSheetId="7">[1]Sheet1!#REF!</definedName>
    <definedName name="_13A_23" localSheetId="8">[1]Sheet1!#REF!</definedName>
    <definedName name="_13A_23" localSheetId="4">[1]Sheet1!#REF!</definedName>
    <definedName name="_13A_23" localSheetId="1">[1]Sheet1!#REF!</definedName>
    <definedName name="_13A_23">[1]Sheet1!#REF!</definedName>
    <definedName name="_13A_24" localSheetId="5">[1]Sheet1!#REF!</definedName>
    <definedName name="_13A_24" localSheetId="3">[1]Sheet1!#REF!</definedName>
    <definedName name="_13A_24" localSheetId="6">[1]Sheet1!#REF!</definedName>
    <definedName name="_13A_24" localSheetId="7">[1]Sheet1!#REF!</definedName>
    <definedName name="_13A_24" localSheetId="8">[1]Sheet1!#REF!</definedName>
    <definedName name="_13A_24" localSheetId="4">[1]Sheet1!#REF!</definedName>
    <definedName name="_13A_24" localSheetId="1">[1]Sheet1!#REF!</definedName>
    <definedName name="_13A_24">[1]Sheet1!#REF!</definedName>
    <definedName name="_13A_25" localSheetId="5">[1]Sheet1!#REF!</definedName>
    <definedName name="_13A_25" localSheetId="3">[1]Sheet1!#REF!</definedName>
    <definedName name="_13A_25" localSheetId="6">[1]Sheet1!#REF!</definedName>
    <definedName name="_13A_25" localSheetId="7">[1]Sheet1!#REF!</definedName>
    <definedName name="_13A_25" localSheetId="8">[1]Sheet1!#REF!</definedName>
    <definedName name="_13A_25" localSheetId="4">[1]Sheet1!#REF!</definedName>
    <definedName name="_13A_25" localSheetId="1">[1]Sheet1!#REF!</definedName>
    <definedName name="_13A_25">[1]Sheet1!#REF!</definedName>
    <definedName name="_13A_26" localSheetId="5">[1]Sheet1!#REF!</definedName>
    <definedName name="_13A_26" localSheetId="3">[1]Sheet1!#REF!</definedName>
    <definedName name="_13A_26" localSheetId="6">[1]Sheet1!#REF!</definedName>
    <definedName name="_13A_26" localSheetId="7">[1]Sheet1!#REF!</definedName>
    <definedName name="_13A_26" localSheetId="8">[1]Sheet1!#REF!</definedName>
    <definedName name="_13A_26" localSheetId="4">[1]Sheet1!#REF!</definedName>
    <definedName name="_13A_26" localSheetId="1">[1]Sheet1!#REF!</definedName>
    <definedName name="_13A_26">[1]Sheet1!#REF!</definedName>
    <definedName name="_13A_27" localSheetId="5">[1]Sheet1!#REF!</definedName>
    <definedName name="_13A_27" localSheetId="3">[1]Sheet1!#REF!</definedName>
    <definedName name="_13A_27" localSheetId="6">[1]Sheet1!#REF!</definedName>
    <definedName name="_13A_27" localSheetId="7">[1]Sheet1!#REF!</definedName>
    <definedName name="_13A_27" localSheetId="8">[1]Sheet1!#REF!</definedName>
    <definedName name="_13A_27" localSheetId="4">[1]Sheet1!#REF!</definedName>
    <definedName name="_13A_27" localSheetId="1">[1]Sheet1!#REF!</definedName>
    <definedName name="_13A_27">[1]Sheet1!#REF!</definedName>
    <definedName name="_13A_28" localSheetId="5">[1]Sheet1!#REF!</definedName>
    <definedName name="_13A_28" localSheetId="3">[1]Sheet1!#REF!</definedName>
    <definedName name="_13A_28" localSheetId="6">[1]Sheet1!#REF!</definedName>
    <definedName name="_13A_28" localSheetId="7">[1]Sheet1!#REF!</definedName>
    <definedName name="_13A_28" localSheetId="8">[1]Sheet1!#REF!</definedName>
    <definedName name="_13A_28" localSheetId="4">[1]Sheet1!#REF!</definedName>
    <definedName name="_13A_28" localSheetId="1">[1]Sheet1!#REF!</definedName>
    <definedName name="_13A_28">[1]Sheet1!#REF!</definedName>
    <definedName name="_13A_29" localSheetId="5">[1]Sheet1!#REF!</definedName>
    <definedName name="_13A_29" localSheetId="3">[1]Sheet1!#REF!</definedName>
    <definedName name="_13A_29" localSheetId="6">[1]Sheet1!#REF!</definedName>
    <definedName name="_13A_29" localSheetId="7">[1]Sheet1!#REF!</definedName>
    <definedName name="_13A_29" localSheetId="8">[1]Sheet1!#REF!</definedName>
    <definedName name="_13A_29" localSheetId="4">[1]Sheet1!#REF!</definedName>
    <definedName name="_13A_29" localSheetId="1">[1]Sheet1!#REF!</definedName>
    <definedName name="_13A_29">[1]Sheet1!#REF!</definedName>
    <definedName name="_13A_3" localSheetId="5">[1]Sheet1!#REF!</definedName>
    <definedName name="_13A_3" localSheetId="3">[1]Sheet1!#REF!</definedName>
    <definedName name="_13A_3" localSheetId="6">[1]Sheet1!#REF!</definedName>
    <definedName name="_13A_3" localSheetId="7">[1]Sheet1!#REF!</definedName>
    <definedName name="_13A_3" localSheetId="8">[1]Sheet1!#REF!</definedName>
    <definedName name="_13A_3" localSheetId="4">[1]Sheet1!#REF!</definedName>
    <definedName name="_13A_3" localSheetId="1">[1]Sheet1!#REF!</definedName>
    <definedName name="_13A_3">[1]Sheet1!#REF!</definedName>
    <definedName name="_13A_30" localSheetId="5">[1]Sheet1!#REF!</definedName>
    <definedName name="_13A_30" localSheetId="3">[1]Sheet1!#REF!</definedName>
    <definedName name="_13A_30" localSheetId="6">[1]Sheet1!#REF!</definedName>
    <definedName name="_13A_30" localSheetId="7">[1]Sheet1!#REF!</definedName>
    <definedName name="_13A_30" localSheetId="8">[1]Sheet1!#REF!</definedName>
    <definedName name="_13A_30" localSheetId="4">[1]Sheet1!#REF!</definedName>
    <definedName name="_13A_30" localSheetId="1">[1]Sheet1!#REF!</definedName>
    <definedName name="_13A_30">[1]Sheet1!#REF!</definedName>
    <definedName name="_13A_31" localSheetId="5">[1]Sheet1!#REF!</definedName>
    <definedName name="_13A_31" localSheetId="3">[1]Sheet1!#REF!</definedName>
    <definedName name="_13A_31" localSheetId="6">[1]Sheet1!#REF!</definedName>
    <definedName name="_13A_31" localSheetId="7">[1]Sheet1!#REF!</definedName>
    <definedName name="_13A_31" localSheetId="8">[1]Sheet1!#REF!</definedName>
    <definedName name="_13A_31" localSheetId="4">[1]Sheet1!#REF!</definedName>
    <definedName name="_13A_31" localSheetId="1">[1]Sheet1!#REF!</definedName>
    <definedName name="_13A_31">[1]Sheet1!#REF!</definedName>
    <definedName name="_13A_32" localSheetId="5">[1]Sheet1!#REF!</definedName>
    <definedName name="_13A_32" localSheetId="3">[1]Sheet1!#REF!</definedName>
    <definedName name="_13A_32" localSheetId="6">[1]Sheet1!#REF!</definedName>
    <definedName name="_13A_32" localSheetId="7">[1]Sheet1!#REF!</definedName>
    <definedName name="_13A_32" localSheetId="8">[1]Sheet1!#REF!</definedName>
    <definedName name="_13A_32" localSheetId="4">[1]Sheet1!#REF!</definedName>
    <definedName name="_13A_32" localSheetId="1">[1]Sheet1!#REF!</definedName>
    <definedName name="_13A_32">[1]Sheet1!#REF!</definedName>
    <definedName name="_13A_33" localSheetId="5">[1]Sheet1!#REF!</definedName>
    <definedName name="_13A_33" localSheetId="3">[1]Sheet1!#REF!</definedName>
    <definedName name="_13A_33" localSheetId="6">[1]Sheet1!#REF!</definedName>
    <definedName name="_13A_33" localSheetId="7">[1]Sheet1!#REF!</definedName>
    <definedName name="_13A_33" localSheetId="8">[1]Sheet1!#REF!</definedName>
    <definedName name="_13A_33" localSheetId="4">[1]Sheet1!#REF!</definedName>
    <definedName name="_13A_33" localSheetId="1">[1]Sheet1!#REF!</definedName>
    <definedName name="_13A_33">[1]Sheet1!#REF!</definedName>
    <definedName name="_13A_34" localSheetId="5">[1]Sheet1!#REF!</definedName>
    <definedName name="_13A_34" localSheetId="3">[1]Sheet1!#REF!</definedName>
    <definedName name="_13A_34" localSheetId="6">[1]Sheet1!#REF!</definedName>
    <definedName name="_13A_34" localSheetId="7">[1]Sheet1!#REF!</definedName>
    <definedName name="_13A_34" localSheetId="8">[1]Sheet1!#REF!</definedName>
    <definedName name="_13A_34" localSheetId="4">[1]Sheet1!#REF!</definedName>
    <definedName name="_13A_34" localSheetId="1">[1]Sheet1!#REF!</definedName>
    <definedName name="_13A_34">[1]Sheet1!#REF!</definedName>
    <definedName name="_13A_35" localSheetId="5">[1]Sheet1!#REF!</definedName>
    <definedName name="_13A_35" localSheetId="3">[1]Sheet1!#REF!</definedName>
    <definedName name="_13A_35" localSheetId="6">[1]Sheet1!#REF!</definedName>
    <definedName name="_13A_35" localSheetId="7">[1]Sheet1!#REF!</definedName>
    <definedName name="_13A_35" localSheetId="8">[1]Sheet1!#REF!</definedName>
    <definedName name="_13A_35" localSheetId="4">[1]Sheet1!#REF!</definedName>
    <definedName name="_13A_35" localSheetId="1">[1]Sheet1!#REF!</definedName>
    <definedName name="_13A_35">[1]Sheet1!#REF!</definedName>
    <definedName name="_13A_36" localSheetId="5">[1]Sheet1!#REF!</definedName>
    <definedName name="_13A_36" localSheetId="3">[1]Sheet1!#REF!</definedName>
    <definedName name="_13A_36" localSheetId="6">[1]Sheet1!#REF!</definedName>
    <definedName name="_13A_36" localSheetId="7">[1]Sheet1!#REF!</definedName>
    <definedName name="_13A_36" localSheetId="8">[1]Sheet1!#REF!</definedName>
    <definedName name="_13A_36" localSheetId="4">[1]Sheet1!#REF!</definedName>
    <definedName name="_13A_36" localSheetId="1">[1]Sheet1!#REF!</definedName>
    <definedName name="_13A_36">[1]Sheet1!#REF!</definedName>
    <definedName name="_13A_37" localSheetId="5">[1]Sheet1!#REF!</definedName>
    <definedName name="_13A_37" localSheetId="3">[1]Sheet1!#REF!</definedName>
    <definedName name="_13A_37" localSheetId="6">[1]Sheet1!#REF!</definedName>
    <definedName name="_13A_37" localSheetId="7">[1]Sheet1!#REF!</definedName>
    <definedName name="_13A_37" localSheetId="8">[1]Sheet1!#REF!</definedName>
    <definedName name="_13A_37" localSheetId="4">[1]Sheet1!#REF!</definedName>
    <definedName name="_13A_37" localSheetId="1">[1]Sheet1!#REF!</definedName>
    <definedName name="_13A_37">[1]Sheet1!#REF!</definedName>
    <definedName name="_13A_38" localSheetId="5">[1]Sheet1!#REF!</definedName>
    <definedName name="_13A_38" localSheetId="3">[1]Sheet1!#REF!</definedName>
    <definedName name="_13A_38" localSheetId="6">[1]Sheet1!#REF!</definedName>
    <definedName name="_13A_38" localSheetId="7">[1]Sheet1!#REF!</definedName>
    <definedName name="_13A_38" localSheetId="8">[1]Sheet1!#REF!</definedName>
    <definedName name="_13A_38" localSheetId="4">[1]Sheet1!#REF!</definedName>
    <definedName name="_13A_38" localSheetId="1">[1]Sheet1!#REF!</definedName>
    <definedName name="_13A_38">[1]Sheet1!#REF!</definedName>
    <definedName name="_13A_39" localSheetId="5">[1]Sheet1!#REF!</definedName>
    <definedName name="_13A_39" localSheetId="3">[1]Sheet1!#REF!</definedName>
    <definedName name="_13A_39" localSheetId="6">[1]Sheet1!#REF!</definedName>
    <definedName name="_13A_39" localSheetId="7">[1]Sheet1!#REF!</definedName>
    <definedName name="_13A_39" localSheetId="8">[1]Sheet1!#REF!</definedName>
    <definedName name="_13A_39" localSheetId="4">[1]Sheet1!#REF!</definedName>
    <definedName name="_13A_39" localSheetId="1">[1]Sheet1!#REF!</definedName>
    <definedName name="_13A_39">[1]Sheet1!#REF!</definedName>
    <definedName name="_13A_4" localSheetId="5">[1]Sheet1!#REF!</definedName>
    <definedName name="_13A_4" localSheetId="3">[1]Sheet1!#REF!</definedName>
    <definedName name="_13A_4" localSheetId="6">[1]Sheet1!#REF!</definedName>
    <definedName name="_13A_4" localSheetId="7">[1]Sheet1!#REF!</definedName>
    <definedName name="_13A_4" localSheetId="8">[1]Sheet1!#REF!</definedName>
    <definedName name="_13A_4" localSheetId="4">[1]Sheet1!#REF!</definedName>
    <definedName name="_13A_4" localSheetId="1">[1]Sheet1!#REF!</definedName>
    <definedName name="_13A_4">[1]Sheet1!#REF!</definedName>
    <definedName name="_13A_40" localSheetId="5">[1]Sheet1!#REF!</definedName>
    <definedName name="_13A_40" localSheetId="3">[1]Sheet1!#REF!</definedName>
    <definedName name="_13A_40" localSheetId="6">[1]Sheet1!#REF!</definedName>
    <definedName name="_13A_40" localSheetId="7">[1]Sheet1!#REF!</definedName>
    <definedName name="_13A_40" localSheetId="8">[1]Sheet1!#REF!</definedName>
    <definedName name="_13A_40" localSheetId="4">[1]Sheet1!#REF!</definedName>
    <definedName name="_13A_40" localSheetId="1">[1]Sheet1!#REF!</definedName>
    <definedName name="_13A_40">[1]Sheet1!#REF!</definedName>
    <definedName name="_13A_41" localSheetId="5">[1]Sheet1!#REF!</definedName>
    <definedName name="_13A_41" localSheetId="3">[1]Sheet1!#REF!</definedName>
    <definedName name="_13A_41" localSheetId="6">[1]Sheet1!#REF!</definedName>
    <definedName name="_13A_41" localSheetId="7">[1]Sheet1!#REF!</definedName>
    <definedName name="_13A_41" localSheetId="8">[1]Sheet1!#REF!</definedName>
    <definedName name="_13A_41" localSheetId="4">[1]Sheet1!#REF!</definedName>
    <definedName name="_13A_41" localSheetId="1">[1]Sheet1!#REF!</definedName>
    <definedName name="_13A_41">[1]Sheet1!#REF!</definedName>
    <definedName name="_13A_42" localSheetId="5">[1]Sheet1!#REF!</definedName>
    <definedName name="_13A_42" localSheetId="3">[1]Sheet1!#REF!</definedName>
    <definedName name="_13A_42" localSheetId="6">[1]Sheet1!#REF!</definedName>
    <definedName name="_13A_42" localSheetId="7">[1]Sheet1!#REF!</definedName>
    <definedName name="_13A_42" localSheetId="8">[1]Sheet1!#REF!</definedName>
    <definedName name="_13A_42" localSheetId="4">[1]Sheet1!#REF!</definedName>
    <definedName name="_13A_42" localSheetId="1">[1]Sheet1!#REF!</definedName>
    <definedName name="_13A_42">[1]Sheet1!#REF!</definedName>
    <definedName name="_13A_43" localSheetId="5">[1]Sheet1!#REF!</definedName>
    <definedName name="_13A_43" localSheetId="3">[1]Sheet1!#REF!</definedName>
    <definedName name="_13A_43" localSheetId="6">[1]Sheet1!#REF!</definedName>
    <definedName name="_13A_43" localSheetId="7">[1]Sheet1!#REF!</definedName>
    <definedName name="_13A_43" localSheetId="8">[1]Sheet1!#REF!</definedName>
    <definedName name="_13A_43" localSheetId="4">[1]Sheet1!#REF!</definedName>
    <definedName name="_13A_43" localSheetId="1">[1]Sheet1!#REF!</definedName>
    <definedName name="_13A_43">[1]Sheet1!#REF!</definedName>
    <definedName name="_13A_44" localSheetId="5">[1]Sheet1!#REF!</definedName>
    <definedName name="_13A_44" localSheetId="3">[1]Sheet1!#REF!</definedName>
    <definedName name="_13A_44" localSheetId="6">[1]Sheet1!#REF!</definedName>
    <definedName name="_13A_44" localSheetId="7">[1]Sheet1!#REF!</definedName>
    <definedName name="_13A_44" localSheetId="8">[1]Sheet1!#REF!</definedName>
    <definedName name="_13A_44" localSheetId="4">[1]Sheet1!#REF!</definedName>
    <definedName name="_13A_44" localSheetId="1">[1]Sheet1!#REF!</definedName>
    <definedName name="_13A_44">[1]Sheet1!#REF!</definedName>
    <definedName name="_13A_45" localSheetId="5">[1]Sheet1!#REF!</definedName>
    <definedName name="_13A_45" localSheetId="3">[1]Sheet1!#REF!</definedName>
    <definedName name="_13A_45" localSheetId="6">[1]Sheet1!#REF!</definedName>
    <definedName name="_13A_45" localSheetId="7">[1]Sheet1!#REF!</definedName>
    <definedName name="_13A_45" localSheetId="8">[1]Sheet1!#REF!</definedName>
    <definedName name="_13A_45" localSheetId="4">[1]Sheet1!#REF!</definedName>
    <definedName name="_13A_45" localSheetId="1">[1]Sheet1!#REF!</definedName>
    <definedName name="_13A_45">[1]Sheet1!#REF!</definedName>
    <definedName name="_13A_46" localSheetId="5">[1]Sheet1!#REF!</definedName>
    <definedName name="_13A_46" localSheetId="3">[1]Sheet1!#REF!</definedName>
    <definedName name="_13A_46" localSheetId="6">[1]Sheet1!#REF!</definedName>
    <definedName name="_13A_46" localSheetId="7">[1]Sheet1!#REF!</definedName>
    <definedName name="_13A_46" localSheetId="8">[1]Sheet1!#REF!</definedName>
    <definedName name="_13A_46" localSheetId="4">[1]Sheet1!#REF!</definedName>
    <definedName name="_13A_46" localSheetId="1">[1]Sheet1!#REF!</definedName>
    <definedName name="_13A_46">[1]Sheet1!#REF!</definedName>
    <definedName name="_13A_47" localSheetId="5">[1]Sheet1!#REF!</definedName>
    <definedName name="_13A_47" localSheetId="3">[1]Sheet1!#REF!</definedName>
    <definedName name="_13A_47" localSheetId="6">[1]Sheet1!#REF!</definedName>
    <definedName name="_13A_47" localSheetId="7">[1]Sheet1!#REF!</definedName>
    <definedName name="_13A_47" localSheetId="8">[1]Sheet1!#REF!</definedName>
    <definedName name="_13A_47" localSheetId="4">[1]Sheet1!#REF!</definedName>
    <definedName name="_13A_47" localSheetId="1">[1]Sheet1!#REF!</definedName>
    <definedName name="_13A_47">[1]Sheet1!#REF!</definedName>
    <definedName name="_13A_48" localSheetId="5">[1]Sheet1!#REF!</definedName>
    <definedName name="_13A_48" localSheetId="3">[1]Sheet1!#REF!</definedName>
    <definedName name="_13A_48" localSheetId="6">[1]Sheet1!#REF!</definedName>
    <definedName name="_13A_48" localSheetId="7">[1]Sheet1!#REF!</definedName>
    <definedName name="_13A_48" localSheetId="8">[1]Sheet1!#REF!</definedName>
    <definedName name="_13A_48" localSheetId="4">[1]Sheet1!#REF!</definedName>
    <definedName name="_13A_48" localSheetId="1">[1]Sheet1!#REF!</definedName>
    <definedName name="_13A_48">[1]Sheet1!#REF!</definedName>
    <definedName name="_13A_49" localSheetId="5">[1]Sheet1!#REF!</definedName>
    <definedName name="_13A_49" localSheetId="3">[1]Sheet1!#REF!</definedName>
    <definedName name="_13A_49" localSheetId="6">[1]Sheet1!#REF!</definedName>
    <definedName name="_13A_49" localSheetId="7">[1]Sheet1!#REF!</definedName>
    <definedName name="_13A_49" localSheetId="8">[1]Sheet1!#REF!</definedName>
    <definedName name="_13A_49" localSheetId="4">[1]Sheet1!#REF!</definedName>
    <definedName name="_13A_49" localSheetId="1">[1]Sheet1!#REF!</definedName>
    <definedName name="_13A_49">[1]Sheet1!#REF!</definedName>
    <definedName name="_13A_5" localSheetId="5">[1]Sheet1!#REF!</definedName>
    <definedName name="_13A_5" localSheetId="3">[1]Sheet1!#REF!</definedName>
    <definedName name="_13A_5" localSheetId="6">[1]Sheet1!#REF!</definedName>
    <definedName name="_13A_5" localSheetId="7">[1]Sheet1!#REF!</definedName>
    <definedName name="_13A_5" localSheetId="8">[1]Sheet1!#REF!</definedName>
    <definedName name="_13A_5" localSheetId="4">[1]Sheet1!#REF!</definedName>
    <definedName name="_13A_5" localSheetId="1">[1]Sheet1!#REF!</definedName>
    <definedName name="_13A_5">[1]Sheet1!#REF!</definedName>
    <definedName name="_13A_50" localSheetId="5">[1]Sheet1!#REF!</definedName>
    <definedName name="_13A_50" localSheetId="3">[1]Sheet1!#REF!</definedName>
    <definedName name="_13A_50" localSheetId="6">[1]Sheet1!#REF!</definedName>
    <definedName name="_13A_50" localSheetId="7">[1]Sheet1!#REF!</definedName>
    <definedName name="_13A_50" localSheetId="8">[1]Sheet1!#REF!</definedName>
    <definedName name="_13A_50" localSheetId="4">[1]Sheet1!#REF!</definedName>
    <definedName name="_13A_50" localSheetId="1">[1]Sheet1!#REF!</definedName>
    <definedName name="_13A_50">[1]Sheet1!#REF!</definedName>
    <definedName name="_13A_51" localSheetId="5">[1]Sheet1!#REF!</definedName>
    <definedName name="_13A_51" localSheetId="3">[1]Sheet1!#REF!</definedName>
    <definedName name="_13A_51" localSheetId="6">[1]Sheet1!#REF!</definedName>
    <definedName name="_13A_51" localSheetId="7">[1]Sheet1!#REF!</definedName>
    <definedName name="_13A_51" localSheetId="8">[1]Sheet1!#REF!</definedName>
    <definedName name="_13A_51" localSheetId="4">[1]Sheet1!#REF!</definedName>
    <definedName name="_13A_51" localSheetId="1">[1]Sheet1!#REF!</definedName>
    <definedName name="_13A_51">[1]Sheet1!#REF!</definedName>
    <definedName name="_13A_52" localSheetId="5">[1]Sheet1!#REF!</definedName>
    <definedName name="_13A_52" localSheetId="3">[1]Sheet1!#REF!</definedName>
    <definedName name="_13A_52" localSheetId="6">[1]Sheet1!#REF!</definedName>
    <definedName name="_13A_52" localSheetId="7">[1]Sheet1!#REF!</definedName>
    <definedName name="_13A_52" localSheetId="8">[1]Sheet1!#REF!</definedName>
    <definedName name="_13A_52" localSheetId="4">[1]Sheet1!#REF!</definedName>
    <definedName name="_13A_52" localSheetId="1">[1]Sheet1!#REF!</definedName>
    <definedName name="_13A_52">[1]Sheet1!#REF!</definedName>
    <definedName name="_13A_53" localSheetId="5">[1]Sheet1!#REF!</definedName>
    <definedName name="_13A_53" localSheetId="3">[1]Sheet1!#REF!</definedName>
    <definedName name="_13A_53" localSheetId="6">[1]Sheet1!#REF!</definedName>
    <definedName name="_13A_53" localSheetId="7">[1]Sheet1!#REF!</definedName>
    <definedName name="_13A_53" localSheetId="8">[1]Sheet1!#REF!</definedName>
    <definedName name="_13A_53" localSheetId="4">[1]Sheet1!#REF!</definedName>
    <definedName name="_13A_53" localSheetId="1">[1]Sheet1!#REF!</definedName>
    <definedName name="_13A_53">[1]Sheet1!#REF!</definedName>
    <definedName name="_13A_54" localSheetId="5">[1]Sheet1!#REF!</definedName>
    <definedName name="_13A_54" localSheetId="3">[1]Sheet1!#REF!</definedName>
    <definedName name="_13A_54" localSheetId="6">[1]Sheet1!#REF!</definedName>
    <definedName name="_13A_54" localSheetId="7">[1]Sheet1!#REF!</definedName>
    <definedName name="_13A_54" localSheetId="8">[1]Sheet1!#REF!</definedName>
    <definedName name="_13A_54" localSheetId="4">[1]Sheet1!#REF!</definedName>
    <definedName name="_13A_54" localSheetId="1">[1]Sheet1!#REF!</definedName>
    <definedName name="_13A_54">[1]Sheet1!#REF!</definedName>
    <definedName name="_13A_55" localSheetId="5">[1]Sheet1!#REF!</definedName>
    <definedName name="_13A_55" localSheetId="3">[1]Sheet1!#REF!</definedName>
    <definedName name="_13A_55" localSheetId="6">[1]Sheet1!#REF!</definedName>
    <definedName name="_13A_55" localSheetId="7">[1]Sheet1!#REF!</definedName>
    <definedName name="_13A_55" localSheetId="8">[1]Sheet1!#REF!</definedName>
    <definedName name="_13A_55" localSheetId="4">[1]Sheet1!#REF!</definedName>
    <definedName name="_13A_55" localSheetId="1">[1]Sheet1!#REF!</definedName>
    <definedName name="_13A_55">[1]Sheet1!#REF!</definedName>
    <definedName name="_13A_56" localSheetId="5">[1]Sheet1!#REF!</definedName>
    <definedName name="_13A_56" localSheetId="3">[1]Sheet1!#REF!</definedName>
    <definedName name="_13A_56" localSheetId="6">[1]Sheet1!#REF!</definedName>
    <definedName name="_13A_56" localSheetId="7">[1]Sheet1!#REF!</definedName>
    <definedName name="_13A_56" localSheetId="8">[1]Sheet1!#REF!</definedName>
    <definedName name="_13A_56" localSheetId="4">[1]Sheet1!#REF!</definedName>
    <definedName name="_13A_56" localSheetId="1">[1]Sheet1!#REF!</definedName>
    <definedName name="_13A_56">[1]Sheet1!#REF!</definedName>
    <definedName name="_13A_57" localSheetId="5">[1]Sheet1!#REF!</definedName>
    <definedName name="_13A_57" localSheetId="3">[1]Sheet1!#REF!</definedName>
    <definedName name="_13A_57" localSheetId="6">[1]Sheet1!#REF!</definedName>
    <definedName name="_13A_57" localSheetId="7">[1]Sheet1!#REF!</definedName>
    <definedName name="_13A_57" localSheetId="8">[1]Sheet1!#REF!</definedName>
    <definedName name="_13A_57" localSheetId="4">[1]Sheet1!#REF!</definedName>
    <definedName name="_13A_57" localSheetId="1">[1]Sheet1!#REF!</definedName>
    <definedName name="_13A_57">[1]Sheet1!#REF!</definedName>
    <definedName name="_13A_58" localSheetId="5">[1]Sheet1!#REF!</definedName>
    <definedName name="_13A_58" localSheetId="3">[1]Sheet1!#REF!</definedName>
    <definedName name="_13A_58" localSheetId="6">[1]Sheet1!#REF!</definedName>
    <definedName name="_13A_58" localSheetId="7">[1]Sheet1!#REF!</definedName>
    <definedName name="_13A_58" localSheetId="8">[1]Sheet1!#REF!</definedName>
    <definedName name="_13A_58" localSheetId="4">[1]Sheet1!#REF!</definedName>
    <definedName name="_13A_58" localSheetId="1">[1]Sheet1!#REF!</definedName>
    <definedName name="_13A_58">[1]Sheet1!#REF!</definedName>
    <definedName name="_13A_59" localSheetId="5">[1]Sheet1!#REF!</definedName>
    <definedName name="_13A_59" localSheetId="3">[1]Sheet1!#REF!</definedName>
    <definedName name="_13A_59" localSheetId="6">[1]Sheet1!#REF!</definedName>
    <definedName name="_13A_59" localSheetId="7">[1]Sheet1!#REF!</definedName>
    <definedName name="_13A_59" localSheetId="8">[1]Sheet1!#REF!</definedName>
    <definedName name="_13A_59" localSheetId="4">[1]Sheet1!#REF!</definedName>
    <definedName name="_13A_59" localSheetId="1">[1]Sheet1!#REF!</definedName>
    <definedName name="_13A_59">[1]Sheet1!#REF!</definedName>
    <definedName name="_13A_6" localSheetId="5">[1]Sheet1!#REF!</definedName>
    <definedName name="_13A_6" localSheetId="3">[1]Sheet1!#REF!</definedName>
    <definedName name="_13A_6" localSheetId="6">[1]Sheet1!#REF!</definedName>
    <definedName name="_13A_6" localSheetId="7">[1]Sheet1!#REF!</definedName>
    <definedName name="_13A_6" localSheetId="8">[1]Sheet1!#REF!</definedName>
    <definedName name="_13A_6" localSheetId="4">[1]Sheet1!#REF!</definedName>
    <definedName name="_13A_6" localSheetId="1">[1]Sheet1!#REF!</definedName>
    <definedName name="_13A_6">[1]Sheet1!#REF!</definedName>
    <definedName name="_13A_60" localSheetId="5">[1]Sheet1!#REF!</definedName>
    <definedName name="_13A_60" localSheetId="3">[1]Sheet1!#REF!</definedName>
    <definedName name="_13A_60" localSheetId="6">[1]Sheet1!#REF!</definedName>
    <definedName name="_13A_60" localSheetId="7">[1]Sheet1!#REF!</definedName>
    <definedName name="_13A_60" localSheetId="8">[1]Sheet1!#REF!</definedName>
    <definedName name="_13A_60" localSheetId="4">[1]Sheet1!#REF!</definedName>
    <definedName name="_13A_60" localSheetId="1">[1]Sheet1!#REF!</definedName>
    <definedName name="_13A_60">[1]Sheet1!#REF!</definedName>
    <definedName name="_13A_7" localSheetId="5">[1]Sheet1!#REF!</definedName>
    <definedName name="_13A_7" localSheetId="3">[1]Sheet1!#REF!</definedName>
    <definedName name="_13A_7" localSheetId="6">[1]Sheet1!#REF!</definedName>
    <definedName name="_13A_7" localSheetId="7">[1]Sheet1!#REF!</definedName>
    <definedName name="_13A_7" localSheetId="8">[1]Sheet1!#REF!</definedName>
    <definedName name="_13A_7" localSheetId="4">[1]Sheet1!#REF!</definedName>
    <definedName name="_13A_7" localSheetId="1">[1]Sheet1!#REF!</definedName>
    <definedName name="_13A_7">[1]Sheet1!#REF!</definedName>
    <definedName name="_13A_8" localSheetId="5">[1]Sheet1!#REF!</definedName>
    <definedName name="_13A_8" localSheetId="3">[1]Sheet1!#REF!</definedName>
    <definedName name="_13A_8" localSheetId="6">[1]Sheet1!#REF!</definedName>
    <definedName name="_13A_8" localSheetId="7">[1]Sheet1!#REF!</definedName>
    <definedName name="_13A_8" localSheetId="8">[1]Sheet1!#REF!</definedName>
    <definedName name="_13A_8" localSheetId="4">[1]Sheet1!#REF!</definedName>
    <definedName name="_13A_8" localSheetId="1">[1]Sheet1!#REF!</definedName>
    <definedName name="_13A_8">[1]Sheet1!#REF!</definedName>
    <definedName name="_13A_9" localSheetId="5">[1]Sheet1!#REF!</definedName>
    <definedName name="_13A_9" localSheetId="3">[1]Sheet1!#REF!</definedName>
    <definedName name="_13A_9" localSheetId="6">[1]Sheet1!#REF!</definedName>
    <definedName name="_13A_9" localSheetId="7">[1]Sheet1!#REF!</definedName>
    <definedName name="_13A_9" localSheetId="8">[1]Sheet1!#REF!</definedName>
    <definedName name="_13A_9" localSheetId="4">[1]Sheet1!#REF!</definedName>
    <definedName name="_13A_9" localSheetId="1">[1]Sheet1!#REF!</definedName>
    <definedName name="_13A_9">[1]Sheet1!#REF!</definedName>
    <definedName name="_13B_1" localSheetId="5">[1]Sheet1!#REF!</definedName>
    <definedName name="_13B_1" localSheetId="3">[1]Sheet1!#REF!</definedName>
    <definedName name="_13B_1" localSheetId="6">[1]Sheet1!#REF!</definedName>
    <definedName name="_13B_1" localSheetId="7">[1]Sheet1!#REF!</definedName>
    <definedName name="_13B_1" localSheetId="8">[1]Sheet1!#REF!</definedName>
    <definedName name="_13B_1" localSheetId="4">[1]Sheet1!#REF!</definedName>
    <definedName name="_13B_1" localSheetId="1">[1]Sheet1!#REF!</definedName>
    <definedName name="_13B_1">[1]Sheet1!#REF!</definedName>
    <definedName name="_13B_10" localSheetId="5">[1]Sheet1!#REF!</definedName>
    <definedName name="_13B_10" localSheetId="3">[1]Sheet1!#REF!</definedName>
    <definedName name="_13B_10" localSheetId="6">[1]Sheet1!#REF!</definedName>
    <definedName name="_13B_10" localSheetId="7">[1]Sheet1!#REF!</definedName>
    <definedName name="_13B_10" localSheetId="8">[1]Sheet1!#REF!</definedName>
    <definedName name="_13B_10" localSheetId="4">[1]Sheet1!#REF!</definedName>
    <definedName name="_13B_10" localSheetId="1">[1]Sheet1!#REF!</definedName>
    <definedName name="_13B_10">[1]Sheet1!#REF!</definedName>
    <definedName name="_13B_11" localSheetId="5">[1]Sheet1!#REF!</definedName>
    <definedName name="_13B_11" localSheetId="3">[1]Sheet1!#REF!</definedName>
    <definedName name="_13B_11" localSheetId="6">[1]Sheet1!#REF!</definedName>
    <definedName name="_13B_11" localSheetId="7">[1]Sheet1!#REF!</definedName>
    <definedName name="_13B_11" localSheetId="8">[1]Sheet1!#REF!</definedName>
    <definedName name="_13B_11" localSheetId="4">[1]Sheet1!#REF!</definedName>
    <definedName name="_13B_11" localSheetId="1">[1]Sheet1!#REF!</definedName>
    <definedName name="_13B_11">[1]Sheet1!#REF!</definedName>
    <definedName name="_13B_12" localSheetId="5">[1]Sheet1!#REF!</definedName>
    <definedName name="_13B_12" localSheetId="3">[1]Sheet1!#REF!</definedName>
    <definedName name="_13B_12" localSheetId="6">[1]Sheet1!#REF!</definedName>
    <definedName name="_13B_12" localSheetId="7">[1]Sheet1!#REF!</definedName>
    <definedName name="_13B_12" localSheetId="8">[1]Sheet1!#REF!</definedName>
    <definedName name="_13B_12" localSheetId="4">[1]Sheet1!#REF!</definedName>
    <definedName name="_13B_12" localSheetId="1">[1]Sheet1!#REF!</definedName>
    <definedName name="_13B_12">[1]Sheet1!#REF!</definedName>
    <definedName name="_13B_13" localSheetId="5">[1]Sheet1!#REF!</definedName>
    <definedName name="_13B_13" localSheetId="3">[1]Sheet1!#REF!</definedName>
    <definedName name="_13B_13" localSheetId="6">[1]Sheet1!#REF!</definedName>
    <definedName name="_13B_13" localSheetId="7">[1]Sheet1!#REF!</definedName>
    <definedName name="_13B_13" localSheetId="8">[1]Sheet1!#REF!</definedName>
    <definedName name="_13B_13" localSheetId="4">[1]Sheet1!#REF!</definedName>
    <definedName name="_13B_13" localSheetId="1">[1]Sheet1!#REF!</definedName>
    <definedName name="_13B_13">[1]Sheet1!#REF!</definedName>
    <definedName name="_13B_14" localSheetId="5">[1]Sheet1!#REF!</definedName>
    <definedName name="_13B_14" localSheetId="3">[1]Sheet1!#REF!</definedName>
    <definedName name="_13B_14" localSheetId="6">[1]Sheet1!#REF!</definedName>
    <definedName name="_13B_14" localSheetId="7">[1]Sheet1!#REF!</definedName>
    <definedName name="_13B_14" localSheetId="8">[1]Sheet1!#REF!</definedName>
    <definedName name="_13B_14" localSheetId="4">[1]Sheet1!#REF!</definedName>
    <definedName name="_13B_14" localSheetId="1">[1]Sheet1!#REF!</definedName>
    <definedName name="_13B_14">[1]Sheet1!#REF!</definedName>
    <definedName name="_13B_15" localSheetId="5">[1]Sheet1!#REF!</definedName>
    <definedName name="_13B_15" localSheetId="3">[1]Sheet1!#REF!</definedName>
    <definedName name="_13B_15" localSheetId="6">[1]Sheet1!#REF!</definedName>
    <definedName name="_13B_15" localSheetId="7">[1]Sheet1!#REF!</definedName>
    <definedName name="_13B_15" localSheetId="8">[1]Sheet1!#REF!</definedName>
    <definedName name="_13B_15" localSheetId="4">[1]Sheet1!#REF!</definedName>
    <definedName name="_13B_15" localSheetId="1">[1]Sheet1!#REF!</definedName>
    <definedName name="_13B_15">[1]Sheet1!#REF!</definedName>
    <definedName name="_13B_16" localSheetId="5">[1]Sheet1!#REF!</definedName>
    <definedName name="_13B_16" localSheetId="3">[1]Sheet1!#REF!</definedName>
    <definedName name="_13B_16" localSheetId="6">[1]Sheet1!#REF!</definedName>
    <definedName name="_13B_16" localSheetId="7">[1]Sheet1!#REF!</definedName>
    <definedName name="_13B_16" localSheetId="8">[1]Sheet1!#REF!</definedName>
    <definedName name="_13B_16" localSheetId="4">[1]Sheet1!#REF!</definedName>
    <definedName name="_13B_16" localSheetId="1">[1]Sheet1!#REF!</definedName>
    <definedName name="_13B_16">[1]Sheet1!#REF!</definedName>
    <definedName name="_13B_17" localSheetId="5">[1]Sheet1!#REF!</definedName>
    <definedName name="_13B_17" localSheetId="3">[1]Sheet1!#REF!</definedName>
    <definedName name="_13B_17" localSheetId="6">[1]Sheet1!#REF!</definedName>
    <definedName name="_13B_17" localSheetId="7">[1]Sheet1!#REF!</definedName>
    <definedName name="_13B_17" localSheetId="8">[1]Sheet1!#REF!</definedName>
    <definedName name="_13B_17" localSheetId="4">[1]Sheet1!#REF!</definedName>
    <definedName name="_13B_17" localSheetId="1">[1]Sheet1!#REF!</definedName>
    <definedName name="_13B_17">[1]Sheet1!#REF!</definedName>
    <definedName name="_13B_18" localSheetId="5">[1]Sheet1!#REF!</definedName>
    <definedName name="_13B_18" localSheetId="3">[1]Sheet1!#REF!</definedName>
    <definedName name="_13B_18" localSheetId="6">[1]Sheet1!#REF!</definedName>
    <definedName name="_13B_18" localSheetId="7">[1]Sheet1!#REF!</definedName>
    <definedName name="_13B_18" localSheetId="8">[1]Sheet1!#REF!</definedName>
    <definedName name="_13B_18" localSheetId="4">[1]Sheet1!#REF!</definedName>
    <definedName name="_13B_18" localSheetId="1">[1]Sheet1!#REF!</definedName>
    <definedName name="_13B_18">[1]Sheet1!#REF!</definedName>
    <definedName name="_13B_19" localSheetId="5">[1]Sheet1!#REF!</definedName>
    <definedName name="_13B_19" localSheetId="3">[1]Sheet1!#REF!</definedName>
    <definedName name="_13B_19" localSheetId="6">[1]Sheet1!#REF!</definedName>
    <definedName name="_13B_19" localSheetId="7">[1]Sheet1!#REF!</definedName>
    <definedName name="_13B_19" localSheetId="8">[1]Sheet1!#REF!</definedName>
    <definedName name="_13B_19" localSheetId="4">[1]Sheet1!#REF!</definedName>
    <definedName name="_13B_19" localSheetId="1">[1]Sheet1!#REF!</definedName>
    <definedName name="_13B_19">[1]Sheet1!#REF!</definedName>
    <definedName name="_13B_2" localSheetId="5">[1]Sheet1!#REF!</definedName>
    <definedName name="_13B_2" localSheetId="3">[1]Sheet1!#REF!</definedName>
    <definedName name="_13B_2" localSheetId="6">[1]Sheet1!#REF!</definedName>
    <definedName name="_13B_2" localSheetId="7">[1]Sheet1!#REF!</definedName>
    <definedName name="_13B_2" localSheetId="8">[1]Sheet1!#REF!</definedName>
    <definedName name="_13B_2" localSheetId="4">[1]Sheet1!#REF!</definedName>
    <definedName name="_13B_2" localSheetId="1">[1]Sheet1!#REF!</definedName>
    <definedName name="_13B_2">[1]Sheet1!#REF!</definedName>
    <definedName name="_13B_20" localSheetId="5">[1]Sheet1!#REF!</definedName>
    <definedName name="_13B_20" localSheetId="3">[1]Sheet1!#REF!</definedName>
    <definedName name="_13B_20" localSheetId="6">[1]Sheet1!#REF!</definedName>
    <definedName name="_13B_20" localSheetId="7">[1]Sheet1!#REF!</definedName>
    <definedName name="_13B_20" localSheetId="8">[1]Sheet1!#REF!</definedName>
    <definedName name="_13B_20" localSheetId="4">[1]Sheet1!#REF!</definedName>
    <definedName name="_13B_20" localSheetId="1">[1]Sheet1!#REF!</definedName>
    <definedName name="_13B_20">[1]Sheet1!#REF!</definedName>
    <definedName name="_13B_21" localSheetId="5">[1]Sheet1!#REF!</definedName>
    <definedName name="_13B_21" localSheetId="3">[1]Sheet1!#REF!</definedName>
    <definedName name="_13B_21" localSheetId="6">[1]Sheet1!#REF!</definedName>
    <definedName name="_13B_21" localSheetId="7">[1]Sheet1!#REF!</definedName>
    <definedName name="_13B_21" localSheetId="8">[1]Sheet1!#REF!</definedName>
    <definedName name="_13B_21" localSheetId="4">[1]Sheet1!#REF!</definedName>
    <definedName name="_13B_21" localSheetId="1">[1]Sheet1!#REF!</definedName>
    <definedName name="_13B_21">[1]Sheet1!#REF!</definedName>
    <definedName name="_13B_22" localSheetId="5">[1]Sheet1!#REF!</definedName>
    <definedName name="_13B_22" localSheetId="3">[1]Sheet1!#REF!</definedName>
    <definedName name="_13B_22" localSheetId="6">[1]Sheet1!#REF!</definedName>
    <definedName name="_13B_22" localSheetId="7">[1]Sheet1!#REF!</definedName>
    <definedName name="_13B_22" localSheetId="8">[1]Sheet1!#REF!</definedName>
    <definedName name="_13B_22" localSheetId="4">[1]Sheet1!#REF!</definedName>
    <definedName name="_13B_22" localSheetId="1">[1]Sheet1!#REF!</definedName>
    <definedName name="_13B_22">[1]Sheet1!#REF!</definedName>
    <definedName name="_13B_23" localSheetId="5">[1]Sheet1!#REF!</definedName>
    <definedName name="_13B_23" localSheetId="3">[1]Sheet1!#REF!</definedName>
    <definedName name="_13B_23" localSheetId="6">[1]Sheet1!#REF!</definedName>
    <definedName name="_13B_23" localSheetId="7">[1]Sheet1!#REF!</definedName>
    <definedName name="_13B_23" localSheetId="8">[1]Sheet1!#REF!</definedName>
    <definedName name="_13B_23" localSheetId="4">[1]Sheet1!#REF!</definedName>
    <definedName name="_13B_23" localSheetId="1">[1]Sheet1!#REF!</definedName>
    <definedName name="_13B_23">[1]Sheet1!#REF!</definedName>
    <definedName name="_13B_24" localSheetId="5">[1]Sheet1!#REF!</definedName>
    <definedName name="_13B_24" localSheetId="3">[1]Sheet1!#REF!</definedName>
    <definedName name="_13B_24" localSheetId="6">[1]Sheet1!#REF!</definedName>
    <definedName name="_13B_24" localSheetId="7">[1]Sheet1!#REF!</definedName>
    <definedName name="_13B_24" localSheetId="8">[1]Sheet1!#REF!</definedName>
    <definedName name="_13B_24" localSheetId="4">[1]Sheet1!#REF!</definedName>
    <definedName name="_13B_24" localSheetId="1">[1]Sheet1!#REF!</definedName>
    <definedName name="_13B_24">[1]Sheet1!#REF!</definedName>
    <definedName name="_13B_25" localSheetId="5">[1]Sheet1!#REF!</definedName>
    <definedName name="_13B_25" localSheetId="3">[1]Sheet1!#REF!</definedName>
    <definedName name="_13B_25" localSheetId="6">[1]Sheet1!#REF!</definedName>
    <definedName name="_13B_25" localSheetId="7">[1]Sheet1!#REF!</definedName>
    <definedName name="_13B_25" localSheetId="8">[1]Sheet1!#REF!</definedName>
    <definedName name="_13B_25" localSheetId="4">[1]Sheet1!#REF!</definedName>
    <definedName name="_13B_25" localSheetId="1">[1]Sheet1!#REF!</definedName>
    <definedName name="_13B_25">[1]Sheet1!#REF!</definedName>
    <definedName name="_13B_26" localSheetId="5">[1]Sheet1!#REF!</definedName>
    <definedName name="_13B_26" localSheetId="3">[1]Sheet1!#REF!</definedName>
    <definedName name="_13B_26" localSheetId="6">[1]Sheet1!#REF!</definedName>
    <definedName name="_13B_26" localSheetId="7">[1]Sheet1!#REF!</definedName>
    <definedName name="_13B_26" localSheetId="8">[1]Sheet1!#REF!</definedName>
    <definedName name="_13B_26" localSheetId="4">[1]Sheet1!#REF!</definedName>
    <definedName name="_13B_26" localSheetId="1">[1]Sheet1!#REF!</definedName>
    <definedName name="_13B_26">[1]Sheet1!#REF!</definedName>
    <definedName name="_13B_27" localSheetId="5">[1]Sheet1!#REF!</definedName>
    <definedName name="_13B_27" localSheetId="3">[1]Sheet1!#REF!</definedName>
    <definedName name="_13B_27" localSheetId="6">[1]Sheet1!#REF!</definedName>
    <definedName name="_13B_27" localSheetId="7">[1]Sheet1!#REF!</definedName>
    <definedName name="_13B_27" localSheetId="8">[1]Sheet1!#REF!</definedName>
    <definedName name="_13B_27" localSheetId="4">[1]Sheet1!#REF!</definedName>
    <definedName name="_13B_27" localSheetId="1">[1]Sheet1!#REF!</definedName>
    <definedName name="_13B_27">[1]Sheet1!#REF!</definedName>
    <definedName name="_13B_28" localSheetId="5">[1]Sheet1!#REF!</definedName>
    <definedName name="_13B_28" localSheetId="3">[1]Sheet1!#REF!</definedName>
    <definedName name="_13B_28" localSheetId="6">[1]Sheet1!#REF!</definedName>
    <definedName name="_13B_28" localSheetId="7">[1]Sheet1!#REF!</definedName>
    <definedName name="_13B_28" localSheetId="8">[1]Sheet1!#REF!</definedName>
    <definedName name="_13B_28" localSheetId="4">[1]Sheet1!#REF!</definedName>
    <definedName name="_13B_28" localSheetId="1">[1]Sheet1!#REF!</definedName>
    <definedName name="_13B_28">[1]Sheet1!#REF!</definedName>
    <definedName name="_13B_29" localSheetId="5">[1]Sheet1!#REF!</definedName>
    <definedName name="_13B_29" localSheetId="3">[1]Sheet1!#REF!</definedName>
    <definedName name="_13B_29" localSheetId="6">[1]Sheet1!#REF!</definedName>
    <definedName name="_13B_29" localSheetId="7">[1]Sheet1!#REF!</definedName>
    <definedName name="_13B_29" localSheetId="8">[1]Sheet1!#REF!</definedName>
    <definedName name="_13B_29" localSheetId="4">[1]Sheet1!#REF!</definedName>
    <definedName name="_13B_29" localSheetId="1">[1]Sheet1!#REF!</definedName>
    <definedName name="_13B_29">[1]Sheet1!#REF!</definedName>
    <definedName name="_13B_3" localSheetId="5">[1]Sheet1!#REF!</definedName>
    <definedName name="_13B_3" localSheetId="3">[1]Sheet1!#REF!</definedName>
    <definedName name="_13B_3" localSheetId="6">[1]Sheet1!#REF!</definedName>
    <definedName name="_13B_3" localSheetId="7">[1]Sheet1!#REF!</definedName>
    <definedName name="_13B_3" localSheetId="8">[1]Sheet1!#REF!</definedName>
    <definedName name="_13B_3" localSheetId="4">[1]Sheet1!#REF!</definedName>
    <definedName name="_13B_3" localSheetId="1">[1]Sheet1!#REF!</definedName>
    <definedName name="_13B_3">[1]Sheet1!#REF!</definedName>
    <definedName name="_13B_30" localSheetId="5">[1]Sheet1!#REF!</definedName>
    <definedName name="_13B_30" localSheetId="3">[1]Sheet1!#REF!</definedName>
    <definedName name="_13B_30" localSheetId="6">[1]Sheet1!#REF!</definedName>
    <definedName name="_13B_30" localSheetId="7">[1]Sheet1!#REF!</definedName>
    <definedName name="_13B_30" localSheetId="8">[1]Sheet1!#REF!</definedName>
    <definedName name="_13B_30" localSheetId="4">[1]Sheet1!#REF!</definedName>
    <definedName name="_13B_30" localSheetId="1">[1]Sheet1!#REF!</definedName>
    <definedName name="_13B_30">[1]Sheet1!#REF!</definedName>
    <definedName name="_13B_31" localSheetId="5">[1]Sheet1!#REF!</definedName>
    <definedName name="_13B_31" localSheetId="3">[1]Sheet1!#REF!</definedName>
    <definedName name="_13B_31" localSheetId="6">[1]Sheet1!#REF!</definedName>
    <definedName name="_13B_31" localSheetId="7">[1]Sheet1!#REF!</definedName>
    <definedName name="_13B_31" localSheetId="8">[1]Sheet1!#REF!</definedName>
    <definedName name="_13B_31" localSheetId="4">[1]Sheet1!#REF!</definedName>
    <definedName name="_13B_31" localSheetId="1">[1]Sheet1!#REF!</definedName>
    <definedName name="_13B_31">[1]Sheet1!#REF!</definedName>
    <definedName name="_13B_32" localSheetId="5">[1]Sheet1!#REF!</definedName>
    <definedName name="_13B_32" localSheetId="3">[1]Sheet1!#REF!</definedName>
    <definedName name="_13B_32" localSheetId="6">[1]Sheet1!#REF!</definedName>
    <definedName name="_13B_32" localSheetId="7">[1]Sheet1!#REF!</definedName>
    <definedName name="_13B_32" localSheetId="8">[1]Sheet1!#REF!</definedName>
    <definedName name="_13B_32" localSheetId="4">[1]Sheet1!#REF!</definedName>
    <definedName name="_13B_32" localSheetId="1">[1]Sheet1!#REF!</definedName>
    <definedName name="_13B_32">[1]Sheet1!#REF!</definedName>
    <definedName name="_13B_33" localSheetId="5">[1]Sheet1!#REF!</definedName>
    <definedName name="_13B_33" localSheetId="3">[1]Sheet1!#REF!</definedName>
    <definedName name="_13B_33" localSheetId="6">[1]Sheet1!#REF!</definedName>
    <definedName name="_13B_33" localSheetId="7">[1]Sheet1!#REF!</definedName>
    <definedName name="_13B_33" localSheetId="8">[1]Sheet1!#REF!</definedName>
    <definedName name="_13B_33" localSheetId="4">[1]Sheet1!#REF!</definedName>
    <definedName name="_13B_33" localSheetId="1">[1]Sheet1!#REF!</definedName>
    <definedName name="_13B_33">[1]Sheet1!#REF!</definedName>
    <definedName name="_13B_34" localSheetId="5">[1]Sheet1!#REF!</definedName>
    <definedName name="_13B_34" localSheetId="3">[1]Sheet1!#REF!</definedName>
    <definedName name="_13B_34" localSheetId="6">[1]Sheet1!#REF!</definedName>
    <definedName name="_13B_34" localSheetId="7">[1]Sheet1!#REF!</definedName>
    <definedName name="_13B_34" localSheetId="8">[1]Sheet1!#REF!</definedName>
    <definedName name="_13B_34" localSheetId="4">[1]Sheet1!#REF!</definedName>
    <definedName name="_13B_34" localSheetId="1">[1]Sheet1!#REF!</definedName>
    <definedName name="_13B_34">[1]Sheet1!#REF!</definedName>
    <definedName name="_13B_35" localSheetId="5">[1]Sheet1!#REF!</definedName>
    <definedName name="_13B_35" localSheetId="3">[1]Sheet1!#REF!</definedName>
    <definedName name="_13B_35" localSheetId="6">[1]Sheet1!#REF!</definedName>
    <definedName name="_13B_35" localSheetId="7">[1]Sheet1!#REF!</definedName>
    <definedName name="_13B_35" localSheetId="8">[1]Sheet1!#REF!</definedName>
    <definedName name="_13B_35" localSheetId="4">[1]Sheet1!#REF!</definedName>
    <definedName name="_13B_35" localSheetId="1">[1]Sheet1!#REF!</definedName>
    <definedName name="_13B_35">[1]Sheet1!#REF!</definedName>
    <definedName name="_13B_36" localSheetId="5">[1]Sheet1!#REF!</definedName>
    <definedName name="_13B_36" localSheetId="3">[1]Sheet1!#REF!</definedName>
    <definedName name="_13B_36" localSheetId="6">[1]Sheet1!#REF!</definedName>
    <definedName name="_13B_36" localSheetId="7">[1]Sheet1!#REF!</definedName>
    <definedName name="_13B_36" localSheetId="8">[1]Sheet1!#REF!</definedName>
    <definedName name="_13B_36" localSheetId="4">[1]Sheet1!#REF!</definedName>
    <definedName name="_13B_36" localSheetId="1">[1]Sheet1!#REF!</definedName>
    <definedName name="_13B_36">[1]Sheet1!#REF!</definedName>
    <definedName name="_13B_37" localSheetId="5">[1]Sheet1!#REF!</definedName>
    <definedName name="_13B_37" localSheetId="3">[1]Sheet1!#REF!</definedName>
    <definedName name="_13B_37" localSheetId="6">[1]Sheet1!#REF!</definedName>
    <definedName name="_13B_37" localSheetId="7">[1]Sheet1!#REF!</definedName>
    <definedName name="_13B_37" localSheetId="8">[1]Sheet1!#REF!</definedName>
    <definedName name="_13B_37" localSheetId="4">[1]Sheet1!#REF!</definedName>
    <definedName name="_13B_37" localSheetId="1">[1]Sheet1!#REF!</definedName>
    <definedName name="_13B_37">[1]Sheet1!#REF!</definedName>
    <definedName name="_13B_38" localSheetId="5">[1]Sheet1!#REF!</definedName>
    <definedName name="_13B_38" localSheetId="3">[1]Sheet1!#REF!</definedName>
    <definedName name="_13B_38" localSheetId="6">[1]Sheet1!#REF!</definedName>
    <definedName name="_13B_38" localSheetId="7">[1]Sheet1!#REF!</definedName>
    <definedName name="_13B_38" localSheetId="8">[1]Sheet1!#REF!</definedName>
    <definedName name="_13B_38" localSheetId="4">[1]Sheet1!#REF!</definedName>
    <definedName name="_13B_38" localSheetId="1">[1]Sheet1!#REF!</definedName>
    <definedName name="_13B_38">[1]Sheet1!#REF!</definedName>
    <definedName name="_13B_39" localSheetId="5">[1]Sheet1!#REF!</definedName>
    <definedName name="_13B_39" localSheetId="3">[1]Sheet1!#REF!</definedName>
    <definedName name="_13B_39" localSheetId="6">[1]Sheet1!#REF!</definedName>
    <definedName name="_13B_39" localSheetId="7">[1]Sheet1!#REF!</definedName>
    <definedName name="_13B_39" localSheetId="8">[1]Sheet1!#REF!</definedName>
    <definedName name="_13B_39" localSheetId="4">[1]Sheet1!#REF!</definedName>
    <definedName name="_13B_39" localSheetId="1">[1]Sheet1!#REF!</definedName>
    <definedName name="_13B_39">[1]Sheet1!#REF!</definedName>
    <definedName name="_13B_4" localSheetId="5">[1]Sheet1!#REF!</definedName>
    <definedName name="_13B_4" localSheetId="3">[1]Sheet1!#REF!</definedName>
    <definedName name="_13B_4" localSheetId="6">[1]Sheet1!#REF!</definedName>
    <definedName name="_13B_4" localSheetId="7">[1]Sheet1!#REF!</definedName>
    <definedName name="_13B_4" localSheetId="8">[1]Sheet1!#REF!</definedName>
    <definedName name="_13B_4" localSheetId="4">[1]Sheet1!#REF!</definedName>
    <definedName name="_13B_4" localSheetId="1">[1]Sheet1!#REF!</definedName>
    <definedName name="_13B_4">[1]Sheet1!#REF!</definedName>
    <definedName name="_13B_40" localSheetId="5">[1]Sheet1!#REF!</definedName>
    <definedName name="_13B_40" localSheetId="3">[1]Sheet1!#REF!</definedName>
    <definedName name="_13B_40" localSheetId="6">[1]Sheet1!#REF!</definedName>
    <definedName name="_13B_40" localSheetId="7">[1]Sheet1!#REF!</definedName>
    <definedName name="_13B_40" localSheetId="8">[1]Sheet1!#REF!</definedName>
    <definedName name="_13B_40" localSheetId="4">[1]Sheet1!#REF!</definedName>
    <definedName name="_13B_40" localSheetId="1">[1]Sheet1!#REF!</definedName>
    <definedName name="_13B_40">[1]Sheet1!#REF!</definedName>
    <definedName name="_13B_41" localSheetId="5">[1]Sheet1!#REF!</definedName>
    <definedName name="_13B_41" localSheetId="3">[1]Sheet1!#REF!</definedName>
    <definedName name="_13B_41" localSheetId="6">[1]Sheet1!#REF!</definedName>
    <definedName name="_13B_41" localSheetId="7">[1]Sheet1!#REF!</definedName>
    <definedName name="_13B_41" localSheetId="8">[1]Sheet1!#REF!</definedName>
    <definedName name="_13B_41" localSheetId="4">[1]Sheet1!#REF!</definedName>
    <definedName name="_13B_41" localSheetId="1">[1]Sheet1!#REF!</definedName>
    <definedName name="_13B_41">[1]Sheet1!#REF!</definedName>
    <definedName name="_13B_42" localSheetId="5">[1]Sheet1!#REF!</definedName>
    <definedName name="_13B_42" localSheetId="3">[1]Sheet1!#REF!</definedName>
    <definedName name="_13B_42" localSheetId="6">[1]Sheet1!#REF!</definedName>
    <definedName name="_13B_42" localSheetId="7">[1]Sheet1!#REF!</definedName>
    <definedName name="_13B_42" localSheetId="8">[1]Sheet1!#REF!</definedName>
    <definedName name="_13B_42" localSheetId="4">[1]Sheet1!#REF!</definedName>
    <definedName name="_13B_42" localSheetId="1">[1]Sheet1!#REF!</definedName>
    <definedName name="_13B_42">[1]Sheet1!#REF!</definedName>
    <definedName name="_13B_43" localSheetId="5">[1]Sheet1!#REF!</definedName>
    <definedName name="_13B_43" localSheetId="3">[1]Sheet1!#REF!</definedName>
    <definedName name="_13B_43" localSheetId="6">[1]Sheet1!#REF!</definedName>
    <definedName name="_13B_43" localSheetId="7">[1]Sheet1!#REF!</definedName>
    <definedName name="_13B_43" localSheetId="8">[1]Sheet1!#REF!</definedName>
    <definedName name="_13B_43" localSheetId="4">[1]Sheet1!#REF!</definedName>
    <definedName name="_13B_43" localSheetId="1">[1]Sheet1!#REF!</definedName>
    <definedName name="_13B_43">[1]Sheet1!#REF!</definedName>
    <definedName name="_13B_44" localSheetId="5">[1]Sheet1!#REF!</definedName>
    <definedName name="_13B_44" localSheetId="3">[1]Sheet1!#REF!</definedName>
    <definedName name="_13B_44" localSheetId="6">[1]Sheet1!#REF!</definedName>
    <definedName name="_13B_44" localSheetId="7">[1]Sheet1!#REF!</definedName>
    <definedName name="_13B_44" localSheetId="8">[1]Sheet1!#REF!</definedName>
    <definedName name="_13B_44" localSheetId="4">[1]Sheet1!#REF!</definedName>
    <definedName name="_13B_44" localSheetId="1">[1]Sheet1!#REF!</definedName>
    <definedName name="_13B_44">[1]Sheet1!#REF!</definedName>
    <definedName name="_13B_45" localSheetId="5">[1]Sheet1!#REF!</definedName>
    <definedName name="_13B_45" localSheetId="3">[1]Sheet1!#REF!</definedName>
    <definedName name="_13B_45" localSheetId="6">[1]Sheet1!#REF!</definedName>
    <definedName name="_13B_45" localSheetId="7">[1]Sheet1!#REF!</definedName>
    <definedName name="_13B_45" localSheetId="8">[1]Sheet1!#REF!</definedName>
    <definedName name="_13B_45" localSheetId="4">[1]Sheet1!#REF!</definedName>
    <definedName name="_13B_45" localSheetId="1">[1]Sheet1!#REF!</definedName>
    <definedName name="_13B_45">[1]Sheet1!#REF!</definedName>
    <definedName name="_13B_46" localSheetId="5">[1]Sheet1!#REF!</definedName>
    <definedName name="_13B_46" localSheetId="3">[1]Sheet1!#REF!</definedName>
    <definedName name="_13B_46" localSheetId="6">[1]Sheet1!#REF!</definedName>
    <definedName name="_13B_46" localSheetId="7">[1]Sheet1!#REF!</definedName>
    <definedName name="_13B_46" localSheetId="8">[1]Sheet1!#REF!</definedName>
    <definedName name="_13B_46" localSheetId="4">[1]Sheet1!#REF!</definedName>
    <definedName name="_13B_46" localSheetId="1">[1]Sheet1!#REF!</definedName>
    <definedName name="_13B_46">[1]Sheet1!#REF!</definedName>
    <definedName name="_13B_47" localSheetId="5">[1]Sheet1!#REF!</definedName>
    <definedName name="_13B_47" localSheetId="3">[1]Sheet1!#REF!</definedName>
    <definedName name="_13B_47" localSheetId="6">[1]Sheet1!#REF!</definedName>
    <definedName name="_13B_47" localSheetId="7">[1]Sheet1!#REF!</definedName>
    <definedName name="_13B_47" localSheetId="8">[1]Sheet1!#REF!</definedName>
    <definedName name="_13B_47" localSheetId="4">[1]Sheet1!#REF!</definedName>
    <definedName name="_13B_47" localSheetId="1">[1]Sheet1!#REF!</definedName>
    <definedName name="_13B_47">[1]Sheet1!#REF!</definedName>
    <definedName name="_13B_48" localSheetId="5">[1]Sheet1!#REF!</definedName>
    <definedName name="_13B_48" localSheetId="3">[1]Sheet1!#REF!</definedName>
    <definedName name="_13B_48" localSheetId="6">[1]Sheet1!#REF!</definedName>
    <definedName name="_13B_48" localSheetId="7">[1]Sheet1!#REF!</definedName>
    <definedName name="_13B_48" localSheetId="8">[1]Sheet1!#REF!</definedName>
    <definedName name="_13B_48" localSheetId="4">[1]Sheet1!#REF!</definedName>
    <definedName name="_13B_48" localSheetId="1">[1]Sheet1!#REF!</definedName>
    <definedName name="_13B_48">[1]Sheet1!#REF!</definedName>
    <definedName name="_13B_49" localSheetId="5">[1]Sheet1!#REF!</definedName>
    <definedName name="_13B_49" localSheetId="3">[1]Sheet1!#REF!</definedName>
    <definedName name="_13B_49" localSheetId="6">[1]Sheet1!#REF!</definedName>
    <definedName name="_13B_49" localSheetId="7">[1]Sheet1!#REF!</definedName>
    <definedName name="_13B_49" localSheetId="8">[1]Sheet1!#REF!</definedName>
    <definedName name="_13B_49" localSheetId="4">[1]Sheet1!#REF!</definedName>
    <definedName name="_13B_49" localSheetId="1">[1]Sheet1!#REF!</definedName>
    <definedName name="_13B_49">[1]Sheet1!#REF!</definedName>
    <definedName name="_13B_5" localSheetId="5">[1]Sheet1!#REF!</definedName>
    <definedName name="_13B_5" localSheetId="3">[1]Sheet1!#REF!</definedName>
    <definedName name="_13B_5" localSheetId="6">[1]Sheet1!#REF!</definedName>
    <definedName name="_13B_5" localSheetId="7">[1]Sheet1!#REF!</definedName>
    <definedName name="_13B_5" localSheetId="8">[1]Sheet1!#REF!</definedName>
    <definedName name="_13B_5" localSheetId="4">[1]Sheet1!#REF!</definedName>
    <definedName name="_13B_5" localSheetId="1">[1]Sheet1!#REF!</definedName>
    <definedName name="_13B_5">[1]Sheet1!#REF!</definedName>
    <definedName name="_13B_50" localSheetId="5">[1]Sheet1!#REF!</definedName>
    <definedName name="_13B_50" localSheetId="3">[1]Sheet1!#REF!</definedName>
    <definedName name="_13B_50" localSheetId="6">[1]Sheet1!#REF!</definedName>
    <definedName name="_13B_50" localSheetId="7">[1]Sheet1!#REF!</definedName>
    <definedName name="_13B_50" localSheetId="8">[1]Sheet1!#REF!</definedName>
    <definedName name="_13B_50" localSheetId="4">[1]Sheet1!#REF!</definedName>
    <definedName name="_13B_50" localSheetId="1">[1]Sheet1!#REF!</definedName>
    <definedName name="_13B_50">[1]Sheet1!#REF!</definedName>
    <definedName name="_13B_51" localSheetId="5">[1]Sheet1!#REF!</definedName>
    <definedName name="_13B_51" localSheetId="3">[1]Sheet1!#REF!</definedName>
    <definedName name="_13B_51" localSheetId="6">[1]Sheet1!#REF!</definedName>
    <definedName name="_13B_51" localSheetId="7">[1]Sheet1!#REF!</definedName>
    <definedName name="_13B_51" localSheetId="8">[1]Sheet1!#REF!</definedName>
    <definedName name="_13B_51" localSheetId="4">[1]Sheet1!#REF!</definedName>
    <definedName name="_13B_51" localSheetId="1">[1]Sheet1!#REF!</definedName>
    <definedName name="_13B_51">[1]Sheet1!#REF!</definedName>
    <definedName name="_13B_52" localSheetId="5">[1]Sheet1!#REF!</definedName>
    <definedName name="_13B_52" localSheetId="3">[1]Sheet1!#REF!</definedName>
    <definedName name="_13B_52" localSheetId="6">[1]Sheet1!#REF!</definedName>
    <definedName name="_13B_52" localSheetId="7">[1]Sheet1!#REF!</definedName>
    <definedName name="_13B_52" localSheetId="8">[1]Sheet1!#REF!</definedName>
    <definedName name="_13B_52" localSheetId="4">[1]Sheet1!#REF!</definedName>
    <definedName name="_13B_52" localSheetId="1">[1]Sheet1!#REF!</definedName>
    <definedName name="_13B_52">[1]Sheet1!#REF!</definedName>
    <definedName name="_13B_53" localSheetId="5">[1]Sheet1!#REF!</definedName>
    <definedName name="_13B_53" localSheetId="3">[1]Sheet1!#REF!</definedName>
    <definedName name="_13B_53" localSheetId="6">[1]Sheet1!#REF!</definedName>
    <definedName name="_13B_53" localSheetId="7">[1]Sheet1!#REF!</definedName>
    <definedName name="_13B_53" localSheetId="8">[1]Sheet1!#REF!</definedName>
    <definedName name="_13B_53" localSheetId="4">[1]Sheet1!#REF!</definedName>
    <definedName name="_13B_53" localSheetId="1">[1]Sheet1!#REF!</definedName>
    <definedName name="_13B_53">[1]Sheet1!#REF!</definedName>
    <definedName name="_13B_54" localSheetId="5">[1]Sheet1!#REF!</definedName>
    <definedName name="_13B_54" localSheetId="3">[1]Sheet1!#REF!</definedName>
    <definedName name="_13B_54" localSheetId="6">[1]Sheet1!#REF!</definedName>
    <definedName name="_13B_54" localSheetId="7">[1]Sheet1!#REF!</definedName>
    <definedName name="_13B_54" localSheetId="8">[1]Sheet1!#REF!</definedName>
    <definedName name="_13B_54" localSheetId="4">[1]Sheet1!#REF!</definedName>
    <definedName name="_13B_54" localSheetId="1">[1]Sheet1!#REF!</definedName>
    <definedName name="_13B_54">[1]Sheet1!#REF!</definedName>
    <definedName name="_13B_55" localSheetId="5">[1]Sheet1!#REF!</definedName>
    <definedName name="_13B_55" localSheetId="3">[1]Sheet1!#REF!</definedName>
    <definedName name="_13B_55" localSheetId="6">[1]Sheet1!#REF!</definedName>
    <definedName name="_13B_55" localSheetId="7">[1]Sheet1!#REF!</definedName>
    <definedName name="_13B_55" localSheetId="8">[1]Sheet1!#REF!</definedName>
    <definedName name="_13B_55" localSheetId="4">[1]Sheet1!#REF!</definedName>
    <definedName name="_13B_55" localSheetId="1">[1]Sheet1!#REF!</definedName>
    <definedName name="_13B_55">[1]Sheet1!#REF!</definedName>
    <definedName name="_13B_56" localSheetId="5">[1]Sheet1!#REF!</definedName>
    <definedName name="_13B_56" localSheetId="3">[1]Sheet1!#REF!</definedName>
    <definedName name="_13B_56" localSheetId="6">[1]Sheet1!#REF!</definedName>
    <definedName name="_13B_56" localSheetId="7">[1]Sheet1!#REF!</definedName>
    <definedName name="_13B_56" localSheetId="8">[1]Sheet1!#REF!</definedName>
    <definedName name="_13B_56" localSheetId="4">[1]Sheet1!#REF!</definedName>
    <definedName name="_13B_56" localSheetId="1">[1]Sheet1!#REF!</definedName>
    <definedName name="_13B_56">[1]Sheet1!#REF!</definedName>
    <definedName name="_13B_57" localSheetId="5">[1]Sheet1!#REF!</definedName>
    <definedName name="_13B_57" localSheetId="3">[1]Sheet1!#REF!</definedName>
    <definedName name="_13B_57" localSheetId="6">[1]Sheet1!#REF!</definedName>
    <definedName name="_13B_57" localSheetId="7">[1]Sheet1!#REF!</definedName>
    <definedName name="_13B_57" localSheetId="8">[1]Sheet1!#REF!</definedName>
    <definedName name="_13B_57" localSheetId="4">[1]Sheet1!#REF!</definedName>
    <definedName name="_13B_57" localSheetId="1">[1]Sheet1!#REF!</definedName>
    <definedName name="_13B_57">[1]Sheet1!#REF!</definedName>
    <definedName name="_13B_58" localSheetId="5">[1]Sheet1!#REF!</definedName>
    <definedName name="_13B_58" localSheetId="3">[1]Sheet1!#REF!</definedName>
    <definedName name="_13B_58" localSheetId="6">[1]Sheet1!#REF!</definedName>
    <definedName name="_13B_58" localSheetId="7">[1]Sheet1!#REF!</definedName>
    <definedName name="_13B_58" localSheetId="8">[1]Sheet1!#REF!</definedName>
    <definedName name="_13B_58" localSheetId="4">[1]Sheet1!#REF!</definedName>
    <definedName name="_13B_58" localSheetId="1">[1]Sheet1!#REF!</definedName>
    <definedName name="_13B_58">[1]Sheet1!#REF!</definedName>
    <definedName name="_13B_59" localSheetId="5">[1]Sheet1!#REF!</definedName>
    <definedName name="_13B_59" localSheetId="3">[1]Sheet1!#REF!</definedName>
    <definedName name="_13B_59" localSheetId="6">[1]Sheet1!#REF!</definedName>
    <definedName name="_13B_59" localSheetId="7">[1]Sheet1!#REF!</definedName>
    <definedName name="_13B_59" localSheetId="8">[1]Sheet1!#REF!</definedName>
    <definedName name="_13B_59" localSheetId="4">[1]Sheet1!#REF!</definedName>
    <definedName name="_13B_59" localSheetId="1">[1]Sheet1!#REF!</definedName>
    <definedName name="_13B_59">[1]Sheet1!#REF!</definedName>
    <definedName name="_13B_6" localSheetId="5">[1]Sheet1!#REF!</definedName>
    <definedName name="_13B_6" localSheetId="3">[1]Sheet1!#REF!</definedName>
    <definedName name="_13B_6" localSheetId="6">[1]Sheet1!#REF!</definedName>
    <definedName name="_13B_6" localSheetId="7">[1]Sheet1!#REF!</definedName>
    <definedName name="_13B_6" localSheetId="8">[1]Sheet1!#REF!</definedName>
    <definedName name="_13B_6" localSheetId="4">[1]Sheet1!#REF!</definedName>
    <definedName name="_13B_6" localSheetId="1">[1]Sheet1!#REF!</definedName>
    <definedName name="_13B_6">[1]Sheet1!#REF!</definedName>
    <definedName name="_13B_60" localSheetId="5">[1]Sheet1!#REF!</definedName>
    <definedName name="_13B_60" localSheetId="3">[1]Sheet1!#REF!</definedName>
    <definedName name="_13B_60" localSheetId="6">[1]Sheet1!#REF!</definedName>
    <definedName name="_13B_60" localSheetId="7">[1]Sheet1!#REF!</definedName>
    <definedName name="_13B_60" localSheetId="8">[1]Sheet1!#REF!</definedName>
    <definedName name="_13B_60" localSheetId="4">[1]Sheet1!#REF!</definedName>
    <definedName name="_13B_60" localSheetId="1">[1]Sheet1!#REF!</definedName>
    <definedName name="_13B_60">[1]Sheet1!#REF!</definedName>
    <definedName name="_13B_7" localSheetId="5">[1]Sheet1!#REF!</definedName>
    <definedName name="_13B_7" localSheetId="3">[1]Sheet1!#REF!</definedName>
    <definedName name="_13B_7" localSheetId="6">[1]Sheet1!#REF!</definedName>
    <definedName name="_13B_7" localSheetId="7">[1]Sheet1!#REF!</definedName>
    <definedName name="_13B_7" localSheetId="8">[1]Sheet1!#REF!</definedName>
    <definedName name="_13B_7" localSheetId="4">[1]Sheet1!#REF!</definedName>
    <definedName name="_13B_7" localSheetId="1">[1]Sheet1!#REF!</definedName>
    <definedName name="_13B_7">[1]Sheet1!#REF!</definedName>
    <definedName name="_13B_8" localSheetId="5">[1]Sheet1!#REF!</definedName>
    <definedName name="_13B_8" localSheetId="3">[1]Sheet1!#REF!</definedName>
    <definedName name="_13B_8" localSheetId="6">[1]Sheet1!#REF!</definedName>
    <definedName name="_13B_8" localSheetId="7">[1]Sheet1!#REF!</definedName>
    <definedName name="_13B_8" localSheetId="8">[1]Sheet1!#REF!</definedName>
    <definedName name="_13B_8" localSheetId="4">[1]Sheet1!#REF!</definedName>
    <definedName name="_13B_8" localSheetId="1">[1]Sheet1!#REF!</definedName>
    <definedName name="_13B_8">[1]Sheet1!#REF!</definedName>
    <definedName name="_13B_9" localSheetId="5">[1]Sheet1!#REF!</definedName>
    <definedName name="_13B_9" localSheetId="3">[1]Sheet1!#REF!</definedName>
    <definedName name="_13B_9" localSheetId="6">[1]Sheet1!#REF!</definedName>
    <definedName name="_13B_9" localSheetId="7">[1]Sheet1!#REF!</definedName>
    <definedName name="_13B_9" localSheetId="8">[1]Sheet1!#REF!</definedName>
    <definedName name="_13B_9" localSheetId="4">[1]Sheet1!#REF!</definedName>
    <definedName name="_13B_9" localSheetId="1">[1]Sheet1!#REF!</definedName>
    <definedName name="_13B_9">[1]Sheet1!#REF!</definedName>
    <definedName name="_13C_1" localSheetId="5">[1]Sheet1!#REF!</definedName>
    <definedName name="_13C_1" localSheetId="3">[1]Sheet1!#REF!</definedName>
    <definedName name="_13C_1" localSheetId="6">[1]Sheet1!#REF!</definedName>
    <definedName name="_13C_1" localSheetId="7">[1]Sheet1!#REF!</definedName>
    <definedName name="_13C_1" localSheetId="8">[1]Sheet1!#REF!</definedName>
    <definedName name="_13C_1" localSheetId="4">[1]Sheet1!#REF!</definedName>
    <definedName name="_13C_1" localSheetId="1">[1]Sheet1!#REF!</definedName>
    <definedName name="_13C_1">[1]Sheet1!#REF!</definedName>
    <definedName name="_13C_10" localSheetId="5">[1]Sheet1!#REF!</definedName>
    <definedName name="_13C_10" localSheetId="3">[1]Sheet1!#REF!</definedName>
    <definedName name="_13C_10" localSheetId="6">[1]Sheet1!#REF!</definedName>
    <definedName name="_13C_10" localSheetId="7">[1]Sheet1!#REF!</definedName>
    <definedName name="_13C_10" localSheetId="8">[1]Sheet1!#REF!</definedName>
    <definedName name="_13C_10" localSheetId="4">[1]Sheet1!#REF!</definedName>
    <definedName name="_13C_10" localSheetId="1">[1]Sheet1!#REF!</definedName>
    <definedName name="_13C_10">[1]Sheet1!#REF!</definedName>
    <definedName name="_13C_11" localSheetId="5">[1]Sheet1!#REF!</definedName>
    <definedName name="_13C_11" localSheetId="3">[1]Sheet1!#REF!</definedName>
    <definedName name="_13C_11" localSheetId="6">[1]Sheet1!#REF!</definedName>
    <definedName name="_13C_11" localSheetId="7">[1]Sheet1!#REF!</definedName>
    <definedName name="_13C_11" localSheetId="8">[1]Sheet1!#REF!</definedName>
    <definedName name="_13C_11" localSheetId="4">[1]Sheet1!#REF!</definedName>
    <definedName name="_13C_11" localSheetId="1">[1]Sheet1!#REF!</definedName>
    <definedName name="_13C_11">[1]Sheet1!#REF!</definedName>
    <definedName name="_13C_12" localSheetId="5">[1]Sheet1!#REF!</definedName>
    <definedName name="_13C_12" localSheetId="3">[1]Sheet1!#REF!</definedName>
    <definedName name="_13C_12" localSheetId="6">[1]Sheet1!#REF!</definedName>
    <definedName name="_13C_12" localSheetId="7">[1]Sheet1!#REF!</definedName>
    <definedName name="_13C_12" localSheetId="8">[1]Sheet1!#REF!</definedName>
    <definedName name="_13C_12" localSheetId="4">[1]Sheet1!#REF!</definedName>
    <definedName name="_13C_12" localSheetId="1">[1]Sheet1!#REF!</definedName>
    <definedName name="_13C_12">[1]Sheet1!#REF!</definedName>
    <definedName name="_13C_13" localSheetId="5">[1]Sheet1!#REF!</definedName>
    <definedName name="_13C_13" localSheetId="3">[1]Sheet1!#REF!</definedName>
    <definedName name="_13C_13" localSheetId="6">[1]Sheet1!#REF!</definedName>
    <definedName name="_13C_13" localSheetId="7">[1]Sheet1!#REF!</definedName>
    <definedName name="_13C_13" localSheetId="8">[1]Sheet1!#REF!</definedName>
    <definedName name="_13C_13" localSheetId="4">[1]Sheet1!#REF!</definedName>
    <definedName name="_13C_13" localSheetId="1">[1]Sheet1!#REF!</definedName>
    <definedName name="_13C_13">[1]Sheet1!#REF!</definedName>
    <definedName name="_13C_14" localSheetId="5">[1]Sheet1!#REF!</definedName>
    <definedName name="_13C_14" localSheetId="3">[1]Sheet1!#REF!</definedName>
    <definedName name="_13C_14" localSheetId="6">[1]Sheet1!#REF!</definedName>
    <definedName name="_13C_14" localSheetId="7">[1]Sheet1!#REF!</definedName>
    <definedName name="_13C_14" localSheetId="8">[1]Sheet1!#REF!</definedName>
    <definedName name="_13C_14" localSheetId="4">[1]Sheet1!#REF!</definedName>
    <definedName name="_13C_14" localSheetId="1">[1]Sheet1!#REF!</definedName>
    <definedName name="_13C_14">[1]Sheet1!#REF!</definedName>
    <definedName name="_13C_15" localSheetId="5">[1]Sheet1!#REF!</definedName>
    <definedName name="_13C_15" localSheetId="3">[1]Sheet1!#REF!</definedName>
    <definedName name="_13C_15" localSheetId="6">[1]Sheet1!#REF!</definedName>
    <definedName name="_13C_15" localSheetId="7">[1]Sheet1!#REF!</definedName>
    <definedName name="_13C_15" localSheetId="8">[1]Sheet1!#REF!</definedName>
    <definedName name="_13C_15" localSheetId="4">[1]Sheet1!#REF!</definedName>
    <definedName name="_13C_15" localSheetId="1">[1]Sheet1!#REF!</definedName>
    <definedName name="_13C_15">[1]Sheet1!#REF!</definedName>
    <definedName name="_13C_16" localSheetId="5">[1]Sheet1!#REF!</definedName>
    <definedName name="_13C_16" localSheetId="3">[1]Sheet1!#REF!</definedName>
    <definedName name="_13C_16" localSheetId="6">[1]Sheet1!#REF!</definedName>
    <definedName name="_13C_16" localSheetId="7">[1]Sheet1!#REF!</definedName>
    <definedName name="_13C_16" localSheetId="8">[1]Sheet1!#REF!</definedName>
    <definedName name="_13C_16" localSheetId="4">[1]Sheet1!#REF!</definedName>
    <definedName name="_13C_16" localSheetId="1">[1]Sheet1!#REF!</definedName>
    <definedName name="_13C_16">[1]Sheet1!#REF!</definedName>
    <definedName name="_13C_17" localSheetId="5">[1]Sheet1!#REF!</definedName>
    <definedName name="_13C_17" localSheetId="3">[1]Sheet1!#REF!</definedName>
    <definedName name="_13C_17" localSheetId="6">[1]Sheet1!#REF!</definedName>
    <definedName name="_13C_17" localSheetId="7">[1]Sheet1!#REF!</definedName>
    <definedName name="_13C_17" localSheetId="8">[1]Sheet1!#REF!</definedName>
    <definedName name="_13C_17" localSheetId="4">[1]Sheet1!#REF!</definedName>
    <definedName name="_13C_17" localSheetId="1">[1]Sheet1!#REF!</definedName>
    <definedName name="_13C_17">[1]Sheet1!#REF!</definedName>
    <definedName name="_13C_18" localSheetId="5">[1]Sheet1!#REF!</definedName>
    <definedName name="_13C_18" localSheetId="3">[1]Sheet1!#REF!</definedName>
    <definedName name="_13C_18" localSheetId="6">[1]Sheet1!#REF!</definedName>
    <definedName name="_13C_18" localSheetId="7">[1]Sheet1!#REF!</definedName>
    <definedName name="_13C_18" localSheetId="8">[1]Sheet1!#REF!</definedName>
    <definedName name="_13C_18" localSheetId="4">[1]Sheet1!#REF!</definedName>
    <definedName name="_13C_18" localSheetId="1">[1]Sheet1!#REF!</definedName>
    <definedName name="_13C_18">[1]Sheet1!#REF!</definedName>
    <definedName name="_13C_19" localSheetId="5">[1]Sheet1!#REF!</definedName>
    <definedName name="_13C_19" localSheetId="3">[1]Sheet1!#REF!</definedName>
    <definedName name="_13C_19" localSheetId="6">[1]Sheet1!#REF!</definedName>
    <definedName name="_13C_19" localSheetId="7">[1]Sheet1!#REF!</definedName>
    <definedName name="_13C_19" localSheetId="8">[1]Sheet1!#REF!</definedName>
    <definedName name="_13C_19" localSheetId="4">[1]Sheet1!#REF!</definedName>
    <definedName name="_13C_19" localSheetId="1">[1]Sheet1!#REF!</definedName>
    <definedName name="_13C_19">[1]Sheet1!#REF!</definedName>
    <definedName name="_13C_2" localSheetId="5">[1]Sheet1!#REF!</definedName>
    <definedName name="_13C_2" localSheetId="3">[1]Sheet1!#REF!</definedName>
    <definedName name="_13C_2" localSheetId="6">[1]Sheet1!#REF!</definedName>
    <definedName name="_13C_2" localSheetId="7">[1]Sheet1!#REF!</definedName>
    <definedName name="_13C_2" localSheetId="8">[1]Sheet1!#REF!</definedName>
    <definedName name="_13C_2" localSheetId="4">[1]Sheet1!#REF!</definedName>
    <definedName name="_13C_2" localSheetId="1">[1]Sheet1!#REF!</definedName>
    <definedName name="_13C_2">[1]Sheet1!#REF!</definedName>
    <definedName name="_13C_20" localSheetId="5">[1]Sheet1!#REF!</definedName>
    <definedName name="_13C_20" localSheetId="3">[1]Sheet1!#REF!</definedName>
    <definedName name="_13C_20" localSheetId="6">[1]Sheet1!#REF!</definedName>
    <definedName name="_13C_20" localSheetId="7">[1]Sheet1!#REF!</definedName>
    <definedName name="_13C_20" localSheetId="8">[1]Sheet1!#REF!</definedName>
    <definedName name="_13C_20" localSheetId="4">[1]Sheet1!#REF!</definedName>
    <definedName name="_13C_20" localSheetId="1">[1]Sheet1!#REF!</definedName>
    <definedName name="_13C_20">[1]Sheet1!#REF!</definedName>
    <definedName name="_13C_21" localSheetId="5">[1]Sheet1!#REF!</definedName>
    <definedName name="_13C_21" localSheetId="3">[1]Sheet1!#REF!</definedName>
    <definedName name="_13C_21" localSheetId="6">[1]Sheet1!#REF!</definedName>
    <definedName name="_13C_21" localSheetId="7">[1]Sheet1!#REF!</definedName>
    <definedName name="_13C_21" localSheetId="8">[1]Sheet1!#REF!</definedName>
    <definedName name="_13C_21" localSheetId="4">[1]Sheet1!#REF!</definedName>
    <definedName name="_13C_21" localSheetId="1">[1]Sheet1!#REF!</definedName>
    <definedName name="_13C_21">[1]Sheet1!#REF!</definedName>
    <definedName name="_13C_22" localSheetId="5">[1]Sheet1!#REF!</definedName>
    <definedName name="_13C_22" localSheetId="3">[1]Sheet1!#REF!</definedName>
    <definedName name="_13C_22" localSheetId="6">[1]Sheet1!#REF!</definedName>
    <definedName name="_13C_22" localSheetId="7">[1]Sheet1!#REF!</definedName>
    <definedName name="_13C_22" localSheetId="8">[1]Sheet1!#REF!</definedName>
    <definedName name="_13C_22" localSheetId="4">[1]Sheet1!#REF!</definedName>
    <definedName name="_13C_22" localSheetId="1">[1]Sheet1!#REF!</definedName>
    <definedName name="_13C_22">[1]Sheet1!#REF!</definedName>
    <definedName name="_13C_23" localSheetId="5">[1]Sheet1!#REF!</definedName>
    <definedName name="_13C_23" localSheetId="3">[1]Sheet1!#REF!</definedName>
    <definedName name="_13C_23" localSheetId="6">[1]Sheet1!#REF!</definedName>
    <definedName name="_13C_23" localSheetId="7">[1]Sheet1!#REF!</definedName>
    <definedName name="_13C_23" localSheetId="8">[1]Sheet1!#REF!</definedName>
    <definedName name="_13C_23" localSheetId="4">[1]Sheet1!#REF!</definedName>
    <definedName name="_13C_23" localSheetId="1">[1]Sheet1!#REF!</definedName>
    <definedName name="_13C_23">[1]Sheet1!#REF!</definedName>
    <definedName name="_13C_24" localSheetId="5">[1]Sheet1!#REF!</definedName>
    <definedName name="_13C_24" localSheetId="3">[1]Sheet1!#REF!</definedName>
    <definedName name="_13C_24" localSheetId="6">[1]Sheet1!#REF!</definedName>
    <definedName name="_13C_24" localSheetId="7">[1]Sheet1!#REF!</definedName>
    <definedName name="_13C_24" localSheetId="8">[1]Sheet1!#REF!</definedName>
    <definedName name="_13C_24" localSheetId="4">[1]Sheet1!#REF!</definedName>
    <definedName name="_13C_24" localSheetId="1">[1]Sheet1!#REF!</definedName>
    <definedName name="_13C_24">[1]Sheet1!#REF!</definedName>
    <definedName name="_13C_25" localSheetId="5">[1]Sheet1!#REF!</definedName>
    <definedName name="_13C_25" localSheetId="3">[1]Sheet1!#REF!</definedName>
    <definedName name="_13C_25" localSheetId="6">[1]Sheet1!#REF!</definedName>
    <definedName name="_13C_25" localSheetId="7">[1]Sheet1!#REF!</definedName>
    <definedName name="_13C_25" localSheetId="8">[1]Sheet1!#REF!</definedName>
    <definedName name="_13C_25" localSheetId="4">[1]Sheet1!#REF!</definedName>
    <definedName name="_13C_25" localSheetId="1">[1]Sheet1!#REF!</definedName>
    <definedName name="_13C_25">[1]Sheet1!#REF!</definedName>
    <definedName name="_13C_26" localSheetId="5">[1]Sheet1!#REF!</definedName>
    <definedName name="_13C_26" localSheetId="3">[1]Sheet1!#REF!</definedName>
    <definedName name="_13C_26" localSheetId="6">[1]Sheet1!#REF!</definedName>
    <definedName name="_13C_26" localSheetId="7">[1]Sheet1!#REF!</definedName>
    <definedName name="_13C_26" localSheetId="8">[1]Sheet1!#REF!</definedName>
    <definedName name="_13C_26" localSheetId="4">[1]Sheet1!#REF!</definedName>
    <definedName name="_13C_26" localSheetId="1">[1]Sheet1!#REF!</definedName>
    <definedName name="_13C_26">[1]Sheet1!#REF!</definedName>
    <definedName name="_13C_27" localSheetId="5">[1]Sheet1!#REF!</definedName>
    <definedName name="_13C_27" localSheetId="3">[1]Sheet1!#REF!</definedName>
    <definedName name="_13C_27" localSheetId="6">[1]Sheet1!#REF!</definedName>
    <definedName name="_13C_27" localSheetId="7">[1]Sheet1!#REF!</definedName>
    <definedName name="_13C_27" localSheetId="8">[1]Sheet1!#REF!</definedName>
    <definedName name="_13C_27" localSheetId="4">[1]Sheet1!#REF!</definedName>
    <definedName name="_13C_27" localSheetId="1">[1]Sheet1!#REF!</definedName>
    <definedName name="_13C_27">[1]Sheet1!#REF!</definedName>
    <definedName name="_13C_28" localSheetId="5">[1]Sheet1!#REF!</definedName>
    <definedName name="_13C_28" localSheetId="3">[1]Sheet1!#REF!</definedName>
    <definedName name="_13C_28" localSheetId="6">[1]Sheet1!#REF!</definedName>
    <definedName name="_13C_28" localSheetId="7">[1]Sheet1!#REF!</definedName>
    <definedName name="_13C_28" localSheetId="8">[1]Sheet1!#REF!</definedName>
    <definedName name="_13C_28" localSheetId="4">[1]Sheet1!#REF!</definedName>
    <definedName name="_13C_28" localSheetId="1">[1]Sheet1!#REF!</definedName>
    <definedName name="_13C_28">[1]Sheet1!#REF!</definedName>
    <definedName name="_13C_29" localSheetId="5">[1]Sheet1!#REF!</definedName>
    <definedName name="_13C_29" localSheetId="3">[1]Sheet1!#REF!</definedName>
    <definedName name="_13C_29" localSheetId="6">[1]Sheet1!#REF!</definedName>
    <definedName name="_13C_29" localSheetId="7">[1]Sheet1!#REF!</definedName>
    <definedName name="_13C_29" localSheetId="8">[1]Sheet1!#REF!</definedName>
    <definedName name="_13C_29" localSheetId="4">[1]Sheet1!#REF!</definedName>
    <definedName name="_13C_29" localSheetId="1">[1]Sheet1!#REF!</definedName>
    <definedName name="_13C_29">[1]Sheet1!#REF!</definedName>
    <definedName name="_13C_3" localSheetId="5">[1]Sheet1!#REF!</definedName>
    <definedName name="_13C_3" localSheetId="3">[1]Sheet1!#REF!</definedName>
    <definedName name="_13C_3" localSheetId="6">[1]Sheet1!#REF!</definedName>
    <definedName name="_13C_3" localSheetId="7">[1]Sheet1!#REF!</definedName>
    <definedName name="_13C_3" localSheetId="8">[1]Sheet1!#REF!</definedName>
    <definedName name="_13C_3" localSheetId="4">[1]Sheet1!#REF!</definedName>
    <definedName name="_13C_3" localSheetId="1">[1]Sheet1!#REF!</definedName>
    <definedName name="_13C_3">[1]Sheet1!#REF!</definedName>
    <definedName name="_13C_30" localSheetId="5">[1]Sheet1!#REF!</definedName>
    <definedName name="_13C_30" localSheetId="3">[1]Sheet1!#REF!</definedName>
    <definedName name="_13C_30" localSheetId="6">[1]Sheet1!#REF!</definedName>
    <definedName name="_13C_30" localSheetId="7">[1]Sheet1!#REF!</definedName>
    <definedName name="_13C_30" localSheetId="8">[1]Sheet1!#REF!</definedName>
    <definedName name="_13C_30" localSheetId="4">[1]Sheet1!#REF!</definedName>
    <definedName name="_13C_30" localSheetId="1">[1]Sheet1!#REF!</definedName>
    <definedName name="_13C_30">[1]Sheet1!#REF!</definedName>
    <definedName name="_13C_31" localSheetId="5">[1]Sheet1!#REF!</definedName>
    <definedName name="_13C_31" localSheetId="3">[1]Sheet1!#REF!</definedName>
    <definedName name="_13C_31" localSheetId="6">[1]Sheet1!#REF!</definedName>
    <definedName name="_13C_31" localSheetId="7">[1]Sheet1!#REF!</definedName>
    <definedName name="_13C_31" localSheetId="8">[1]Sheet1!#REF!</definedName>
    <definedName name="_13C_31" localSheetId="4">[1]Sheet1!#REF!</definedName>
    <definedName name="_13C_31" localSheetId="1">[1]Sheet1!#REF!</definedName>
    <definedName name="_13C_31">[1]Sheet1!#REF!</definedName>
    <definedName name="_13C_32" localSheetId="5">[1]Sheet1!#REF!</definedName>
    <definedName name="_13C_32" localSheetId="3">[1]Sheet1!#REF!</definedName>
    <definedName name="_13C_32" localSheetId="6">[1]Sheet1!#REF!</definedName>
    <definedName name="_13C_32" localSheetId="7">[1]Sheet1!#REF!</definedName>
    <definedName name="_13C_32" localSheetId="8">[1]Sheet1!#REF!</definedName>
    <definedName name="_13C_32" localSheetId="4">[1]Sheet1!#REF!</definedName>
    <definedName name="_13C_32" localSheetId="1">[1]Sheet1!#REF!</definedName>
    <definedName name="_13C_32">[1]Sheet1!#REF!</definedName>
    <definedName name="_13C_33" localSheetId="5">[1]Sheet1!#REF!</definedName>
    <definedName name="_13C_33" localSheetId="3">[1]Sheet1!#REF!</definedName>
    <definedName name="_13C_33" localSheetId="6">[1]Sheet1!#REF!</definedName>
    <definedName name="_13C_33" localSheetId="7">[1]Sheet1!#REF!</definedName>
    <definedName name="_13C_33" localSheetId="8">[1]Sheet1!#REF!</definedName>
    <definedName name="_13C_33" localSheetId="4">[1]Sheet1!#REF!</definedName>
    <definedName name="_13C_33" localSheetId="1">[1]Sheet1!#REF!</definedName>
    <definedName name="_13C_33">[1]Sheet1!#REF!</definedName>
    <definedName name="_13C_34" localSheetId="5">[1]Sheet1!#REF!</definedName>
    <definedName name="_13C_34" localSheetId="3">[1]Sheet1!#REF!</definedName>
    <definedName name="_13C_34" localSheetId="6">[1]Sheet1!#REF!</definedName>
    <definedName name="_13C_34" localSheetId="7">[1]Sheet1!#REF!</definedName>
    <definedName name="_13C_34" localSheetId="8">[1]Sheet1!#REF!</definedName>
    <definedName name="_13C_34" localSheetId="4">[1]Sheet1!#REF!</definedName>
    <definedName name="_13C_34" localSheetId="1">[1]Sheet1!#REF!</definedName>
    <definedName name="_13C_34">[1]Sheet1!#REF!</definedName>
    <definedName name="_13C_35" localSheetId="5">[1]Sheet1!#REF!</definedName>
    <definedName name="_13C_35" localSheetId="3">[1]Sheet1!#REF!</definedName>
    <definedName name="_13C_35" localSheetId="6">[1]Sheet1!#REF!</definedName>
    <definedName name="_13C_35" localSheetId="7">[1]Sheet1!#REF!</definedName>
    <definedName name="_13C_35" localSheetId="8">[1]Sheet1!#REF!</definedName>
    <definedName name="_13C_35" localSheetId="4">[1]Sheet1!#REF!</definedName>
    <definedName name="_13C_35" localSheetId="1">[1]Sheet1!#REF!</definedName>
    <definedName name="_13C_35">[1]Sheet1!#REF!</definedName>
    <definedName name="_13C_36" localSheetId="5">[1]Sheet1!#REF!</definedName>
    <definedName name="_13C_36" localSheetId="3">[1]Sheet1!#REF!</definedName>
    <definedName name="_13C_36" localSheetId="6">[1]Sheet1!#REF!</definedName>
    <definedName name="_13C_36" localSheetId="7">[1]Sheet1!#REF!</definedName>
    <definedName name="_13C_36" localSheetId="8">[1]Sheet1!#REF!</definedName>
    <definedName name="_13C_36" localSheetId="4">[1]Sheet1!#REF!</definedName>
    <definedName name="_13C_36" localSheetId="1">[1]Sheet1!#REF!</definedName>
    <definedName name="_13C_36">[1]Sheet1!#REF!</definedName>
    <definedName name="_13C_37" localSheetId="5">[1]Sheet1!#REF!</definedName>
    <definedName name="_13C_37" localSheetId="3">[1]Sheet1!#REF!</definedName>
    <definedName name="_13C_37" localSheetId="6">[1]Sheet1!#REF!</definedName>
    <definedName name="_13C_37" localSheetId="7">[1]Sheet1!#REF!</definedName>
    <definedName name="_13C_37" localSheetId="8">[1]Sheet1!#REF!</definedName>
    <definedName name="_13C_37" localSheetId="4">[1]Sheet1!#REF!</definedName>
    <definedName name="_13C_37" localSheetId="1">[1]Sheet1!#REF!</definedName>
    <definedName name="_13C_37">[1]Sheet1!#REF!</definedName>
    <definedName name="_13C_38" localSheetId="5">[1]Sheet1!#REF!</definedName>
    <definedName name="_13C_38" localSheetId="3">[1]Sheet1!#REF!</definedName>
    <definedName name="_13C_38" localSheetId="6">[1]Sheet1!#REF!</definedName>
    <definedName name="_13C_38" localSheetId="7">[1]Sheet1!#REF!</definedName>
    <definedName name="_13C_38" localSheetId="8">[1]Sheet1!#REF!</definedName>
    <definedName name="_13C_38" localSheetId="4">[1]Sheet1!#REF!</definedName>
    <definedName name="_13C_38" localSheetId="1">[1]Sheet1!#REF!</definedName>
    <definedName name="_13C_38">[1]Sheet1!#REF!</definedName>
    <definedName name="_13C_39" localSheetId="5">[1]Sheet1!#REF!</definedName>
    <definedName name="_13C_39" localSheetId="3">[1]Sheet1!#REF!</definedName>
    <definedName name="_13C_39" localSheetId="6">[1]Sheet1!#REF!</definedName>
    <definedName name="_13C_39" localSheetId="7">[1]Sheet1!#REF!</definedName>
    <definedName name="_13C_39" localSheetId="8">[1]Sheet1!#REF!</definedName>
    <definedName name="_13C_39" localSheetId="4">[1]Sheet1!#REF!</definedName>
    <definedName name="_13C_39" localSheetId="1">[1]Sheet1!#REF!</definedName>
    <definedName name="_13C_39">[1]Sheet1!#REF!</definedName>
    <definedName name="_13C_4" localSheetId="5">[1]Sheet1!#REF!</definedName>
    <definedName name="_13C_4" localSheetId="3">[1]Sheet1!#REF!</definedName>
    <definedName name="_13C_4" localSheetId="6">[1]Sheet1!#REF!</definedName>
    <definedName name="_13C_4" localSheetId="7">[1]Sheet1!#REF!</definedName>
    <definedName name="_13C_4" localSheetId="8">[1]Sheet1!#REF!</definedName>
    <definedName name="_13C_4" localSheetId="4">[1]Sheet1!#REF!</definedName>
    <definedName name="_13C_4" localSheetId="1">[1]Sheet1!#REF!</definedName>
    <definedName name="_13C_4">[1]Sheet1!#REF!</definedName>
    <definedName name="_13C_40" localSheetId="5">[1]Sheet1!#REF!</definedName>
    <definedName name="_13C_40" localSheetId="3">[1]Sheet1!#REF!</definedName>
    <definedName name="_13C_40" localSheetId="6">[1]Sheet1!#REF!</definedName>
    <definedName name="_13C_40" localSheetId="7">[1]Sheet1!#REF!</definedName>
    <definedName name="_13C_40" localSheetId="8">[1]Sheet1!#REF!</definedName>
    <definedName name="_13C_40" localSheetId="4">[1]Sheet1!#REF!</definedName>
    <definedName name="_13C_40" localSheetId="1">[1]Sheet1!#REF!</definedName>
    <definedName name="_13C_40">[1]Sheet1!#REF!</definedName>
    <definedName name="_13C_41" localSheetId="5">[1]Sheet1!#REF!</definedName>
    <definedName name="_13C_41" localSheetId="3">[1]Sheet1!#REF!</definedName>
    <definedName name="_13C_41" localSheetId="6">[1]Sheet1!#REF!</definedName>
    <definedName name="_13C_41" localSheetId="7">[1]Sheet1!#REF!</definedName>
    <definedName name="_13C_41" localSheetId="8">[1]Sheet1!#REF!</definedName>
    <definedName name="_13C_41" localSheetId="4">[1]Sheet1!#REF!</definedName>
    <definedName name="_13C_41" localSheetId="1">[1]Sheet1!#REF!</definedName>
    <definedName name="_13C_41">[1]Sheet1!#REF!</definedName>
    <definedName name="_13C_42" localSheetId="5">[1]Sheet1!#REF!</definedName>
    <definedName name="_13C_42" localSheetId="3">[1]Sheet1!#REF!</definedName>
    <definedName name="_13C_42" localSheetId="6">[1]Sheet1!#REF!</definedName>
    <definedName name="_13C_42" localSheetId="7">[1]Sheet1!#REF!</definedName>
    <definedName name="_13C_42" localSheetId="8">[1]Sheet1!#REF!</definedName>
    <definedName name="_13C_42" localSheetId="4">[1]Sheet1!#REF!</definedName>
    <definedName name="_13C_42" localSheetId="1">[1]Sheet1!#REF!</definedName>
    <definedName name="_13C_42">[1]Sheet1!#REF!</definedName>
    <definedName name="_13C_43" localSheetId="5">[1]Sheet1!#REF!</definedName>
    <definedName name="_13C_43" localSheetId="3">[1]Sheet1!#REF!</definedName>
    <definedName name="_13C_43" localSheetId="6">[1]Sheet1!#REF!</definedName>
    <definedName name="_13C_43" localSheetId="7">[1]Sheet1!#REF!</definedName>
    <definedName name="_13C_43" localSheetId="8">[1]Sheet1!#REF!</definedName>
    <definedName name="_13C_43" localSheetId="4">[1]Sheet1!#REF!</definedName>
    <definedName name="_13C_43" localSheetId="1">[1]Sheet1!#REF!</definedName>
    <definedName name="_13C_43">[1]Sheet1!#REF!</definedName>
    <definedName name="_13C_44" localSheetId="5">[1]Sheet1!#REF!</definedName>
    <definedName name="_13C_44" localSheetId="3">[1]Sheet1!#REF!</definedName>
    <definedName name="_13C_44" localSheetId="6">[1]Sheet1!#REF!</definedName>
    <definedName name="_13C_44" localSheetId="7">[1]Sheet1!#REF!</definedName>
    <definedName name="_13C_44" localSheetId="8">[1]Sheet1!#REF!</definedName>
    <definedName name="_13C_44" localSheetId="4">[1]Sheet1!#REF!</definedName>
    <definedName name="_13C_44" localSheetId="1">[1]Sheet1!#REF!</definedName>
    <definedName name="_13C_44">[1]Sheet1!#REF!</definedName>
    <definedName name="_13C_45" localSheetId="5">[1]Sheet1!#REF!</definedName>
    <definedName name="_13C_45" localSheetId="3">[1]Sheet1!#REF!</definedName>
    <definedName name="_13C_45" localSheetId="6">[1]Sheet1!#REF!</definedName>
    <definedName name="_13C_45" localSheetId="7">[1]Sheet1!#REF!</definedName>
    <definedName name="_13C_45" localSheetId="8">[1]Sheet1!#REF!</definedName>
    <definedName name="_13C_45" localSheetId="4">[1]Sheet1!#REF!</definedName>
    <definedName name="_13C_45" localSheetId="1">[1]Sheet1!#REF!</definedName>
    <definedName name="_13C_45">[1]Sheet1!#REF!</definedName>
    <definedName name="_13C_46" localSheetId="5">[1]Sheet1!#REF!</definedName>
    <definedName name="_13C_46" localSheetId="3">[1]Sheet1!#REF!</definedName>
    <definedName name="_13C_46" localSheetId="6">[1]Sheet1!#REF!</definedName>
    <definedName name="_13C_46" localSheetId="7">[1]Sheet1!#REF!</definedName>
    <definedName name="_13C_46" localSheetId="8">[1]Sheet1!#REF!</definedName>
    <definedName name="_13C_46" localSheetId="4">[1]Sheet1!#REF!</definedName>
    <definedName name="_13C_46" localSheetId="1">[1]Sheet1!#REF!</definedName>
    <definedName name="_13C_46">[1]Sheet1!#REF!</definedName>
    <definedName name="_13C_47" localSheetId="5">[1]Sheet1!#REF!</definedName>
    <definedName name="_13C_47" localSheetId="3">[1]Sheet1!#REF!</definedName>
    <definedName name="_13C_47" localSheetId="6">[1]Sheet1!#REF!</definedName>
    <definedName name="_13C_47" localSheetId="7">[1]Sheet1!#REF!</definedName>
    <definedName name="_13C_47" localSheetId="8">[1]Sheet1!#REF!</definedName>
    <definedName name="_13C_47" localSheetId="4">[1]Sheet1!#REF!</definedName>
    <definedName name="_13C_47" localSheetId="1">[1]Sheet1!#REF!</definedName>
    <definedName name="_13C_47">[1]Sheet1!#REF!</definedName>
    <definedName name="_13C_48" localSheetId="5">[1]Sheet1!#REF!</definedName>
    <definedName name="_13C_48" localSheetId="3">[1]Sheet1!#REF!</definedName>
    <definedName name="_13C_48" localSheetId="6">[1]Sheet1!#REF!</definedName>
    <definedName name="_13C_48" localSheetId="7">[1]Sheet1!#REF!</definedName>
    <definedName name="_13C_48" localSheetId="8">[1]Sheet1!#REF!</definedName>
    <definedName name="_13C_48" localSheetId="4">[1]Sheet1!#REF!</definedName>
    <definedName name="_13C_48" localSheetId="1">[1]Sheet1!#REF!</definedName>
    <definedName name="_13C_48">[1]Sheet1!#REF!</definedName>
    <definedName name="_13C_49" localSheetId="5">[1]Sheet1!#REF!</definedName>
    <definedName name="_13C_49" localSheetId="3">[1]Sheet1!#REF!</definedName>
    <definedName name="_13C_49" localSheetId="6">[1]Sheet1!#REF!</definedName>
    <definedName name="_13C_49" localSheetId="7">[1]Sheet1!#REF!</definedName>
    <definedName name="_13C_49" localSheetId="8">[1]Sheet1!#REF!</definedName>
    <definedName name="_13C_49" localSheetId="4">[1]Sheet1!#REF!</definedName>
    <definedName name="_13C_49" localSheetId="1">[1]Sheet1!#REF!</definedName>
    <definedName name="_13C_49">[1]Sheet1!#REF!</definedName>
    <definedName name="_13C_5" localSheetId="5">[1]Sheet1!#REF!</definedName>
    <definedName name="_13C_5" localSheetId="3">[1]Sheet1!#REF!</definedName>
    <definedName name="_13C_5" localSheetId="6">[1]Sheet1!#REF!</definedName>
    <definedName name="_13C_5" localSheetId="7">[1]Sheet1!#REF!</definedName>
    <definedName name="_13C_5" localSheetId="8">[1]Sheet1!#REF!</definedName>
    <definedName name="_13C_5" localSheetId="4">[1]Sheet1!#REF!</definedName>
    <definedName name="_13C_5" localSheetId="1">[1]Sheet1!#REF!</definedName>
    <definedName name="_13C_5">[1]Sheet1!#REF!</definedName>
    <definedName name="_13C_50" localSheetId="5">[1]Sheet1!#REF!</definedName>
    <definedName name="_13C_50" localSheetId="3">[1]Sheet1!#REF!</definedName>
    <definedName name="_13C_50" localSheetId="6">[1]Sheet1!#REF!</definedName>
    <definedName name="_13C_50" localSheetId="7">[1]Sheet1!#REF!</definedName>
    <definedName name="_13C_50" localSheetId="8">[1]Sheet1!#REF!</definedName>
    <definedName name="_13C_50" localSheetId="4">[1]Sheet1!#REF!</definedName>
    <definedName name="_13C_50" localSheetId="1">[1]Sheet1!#REF!</definedName>
    <definedName name="_13C_50">[1]Sheet1!#REF!</definedName>
    <definedName name="_13C_51" localSheetId="5">[1]Sheet1!#REF!</definedName>
    <definedName name="_13C_51" localSheetId="3">[1]Sheet1!#REF!</definedName>
    <definedName name="_13C_51" localSheetId="6">[1]Sheet1!#REF!</definedName>
    <definedName name="_13C_51" localSheetId="7">[1]Sheet1!#REF!</definedName>
    <definedName name="_13C_51" localSheetId="8">[1]Sheet1!#REF!</definedName>
    <definedName name="_13C_51" localSheetId="4">[1]Sheet1!#REF!</definedName>
    <definedName name="_13C_51" localSheetId="1">[1]Sheet1!#REF!</definedName>
    <definedName name="_13C_51">[1]Sheet1!#REF!</definedName>
    <definedName name="_13C_52" localSheetId="5">[1]Sheet1!#REF!</definedName>
    <definedName name="_13C_52" localSheetId="3">[1]Sheet1!#REF!</definedName>
    <definedName name="_13C_52" localSheetId="6">[1]Sheet1!#REF!</definedName>
    <definedName name="_13C_52" localSheetId="7">[1]Sheet1!#REF!</definedName>
    <definedName name="_13C_52" localSheetId="8">[1]Sheet1!#REF!</definedName>
    <definedName name="_13C_52" localSheetId="4">[1]Sheet1!#REF!</definedName>
    <definedName name="_13C_52" localSheetId="1">[1]Sheet1!#REF!</definedName>
    <definedName name="_13C_52">[1]Sheet1!#REF!</definedName>
    <definedName name="_13C_53" localSheetId="5">[1]Sheet1!#REF!</definedName>
    <definedName name="_13C_53" localSheetId="3">[1]Sheet1!#REF!</definedName>
    <definedName name="_13C_53" localSheetId="6">[1]Sheet1!#REF!</definedName>
    <definedName name="_13C_53" localSheetId="7">[1]Sheet1!#REF!</definedName>
    <definedName name="_13C_53" localSheetId="8">[1]Sheet1!#REF!</definedName>
    <definedName name="_13C_53" localSheetId="4">[1]Sheet1!#REF!</definedName>
    <definedName name="_13C_53" localSheetId="1">[1]Sheet1!#REF!</definedName>
    <definedName name="_13C_53">[1]Sheet1!#REF!</definedName>
    <definedName name="_13C_54" localSheetId="5">[1]Sheet1!#REF!</definedName>
    <definedName name="_13C_54" localSheetId="3">[1]Sheet1!#REF!</definedName>
    <definedName name="_13C_54" localSheetId="6">[1]Sheet1!#REF!</definedName>
    <definedName name="_13C_54" localSheetId="7">[1]Sheet1!#REF!</definedName>
    <definedName name="_13C_54" localSheetId="8">[1]Sheet1!#REF!</definedName>
    <definedName name="_13C_54" localSheetId="4">[1]Sheet1!#REF!</definedName>
    <definedName name="_13C_54" localSheetId="1">[1]Sheet1!#REF!</definedName>
    <definedName name="_13C_54">[1]Sheet1!#REF!</definedName>
    <definedName name="_13C_55" localSheetId="5">[1]Sheet1!#REF!</definedName>
    <definedName name="_13C_55" localSheetId="3">[1]Sheet1!#REF!</definedName>
    <definedName name="_13C_55" localSheetId="6">[1]Sheet1!#REF!</definedName>
    <definedName name="_13C_55" localSheetId="7">[1]Sheet1!#REF!</definedName>
    <definedName name="_13C_55" localSheetId="8">[1]Sheet1!#REF!</definedName>
    <definedName name="_13C_55" localSheetId="4">[1]Sheet1!#REF!</definedName>
    <definedName name="_13C_55" localSheetId="1">[1]Sheet1!#REF!</definedName>
    <definedName name="_13C_55">[1]Sheet1!#REF!</definedName>
    <definedName name="_13C_56" localSheetId="5">[1]Sheet1!#REF!</definedName>
    <definedName name="_13C_56" localSheetId="3">[1]Sheet1!#REF!</definedName>
    <definedName name="_13C_56" localSheetId="6">[1]Sheet1!#REF!</definedName>
    <definedName name="_13C_56" localSheetId="7">[1]Sheet1!#REF!</definedName>
    <definedName name="_13C_56" localSheetId="8">[1]Sheet1!#REF!</definedName>
    <definedName name="_13C_56" localSheetId="4">[1]Sheet1!#REF!</definedName>
    <definedName name="_13C_56" localSheetId="1">[1]Sheet1!#REF!</definedName>
    <definedName name="_13C_56">[1]Sheet1!#REF!</definedName>
    <definedName name="_13C_57" localSheetId="5">[1]Sheet1!#REF!</definedName>
    <definedName name="_13C_57" localSheetId="3">[1]Sheet1!#REF!</definedName>
    <definedName name="_13C_57" localSheetId="6">[1]Sheet1!#REF!</definedName>
    <definedName name="_13C_57" localSheetId="7">[1]Sheet1!#REF!</definedName>
    <definedName name="_13C_57" localSheetId="8">[1]Sheet1!#REF!</definedName>
    <definedName name="_13C_57" localSheetId="4">[1]Sheet1!#REF!</definedName>
    <definedName name="_13C_57" localSheetId="1">[1]Sheet1!#REF!</definedName>
    <definedName name="_13C_57">[1]Sheet1!#REF!</definedName>
    <definedName name="_13C_58" localSheetId="5">[1]Sheet1!#REF!</definedName>
    <definedName name="_13C_58" localSheetId="3">[1]Sheet1!#REF!</definedName>
    <definedName name="_13C_58" localSheetId="6">[1]Sheet1!#REF!</definedName>
    <definedName name="_13C_58" localSheetId="7">[1]Sheet1!#REF!</definedName>
    <definedName name="_13C_58" localSheetId="8">[1]Sheet1!#REF!</definedName>
    <definedName name="_13C_58" localSheetId="4">[1]Sheet1!#REF!</definedName>
    <definedName name="_13C_58" localSheetId="1">[1]Sheet1!#REF!</definedName>
    <definedName name="_13C_58">[1]Sheet1!#REF!</definedName>
    <definedName name="_13C_59" localSheetId="5">[1]Sheet1!#REF!</definedName>
    <definedName name="_13C_59" localSheetId="3">[1]Sheet1!#REF!</definedName>
    <definedName name="_13C_59" localSheetId="6">[1]Sheet1!#REF!</definedName>
    <definedName name="_13C_59" localSheetId="7">[1]Sheet1!#REF!</definedName>
    <definedName name="_13C_59" localSheetId="8">[1]Sheet1!#REF!</definedName>
    <definedName name="_13C_59" localSheetId="4">[1]Sheet1!#REF!</definedName>
    <definedName name="_13C_59" localSheetId="1">[1]Sheet1!#REF!</definedName>
    <definedName name="_13C_59">[1]Sheet1!#REF!</definedName>
    <definedName name="_13C_6" localSheetId="5">[1]Sheet1!#REF!</definedName>
    <definedName name="_13C_6" localSheetId="3">[1]Sheet1!#REF!</definedName>
    <definedName name="_13C_6" localSheetId="6">[1]Sheet1!#REF!</definedName>
    <definedName name="_13C_6" localSheetId="7">[1]Sheet1!#REF!</definedName>
    <definedName name="_13C_6" localSheetId="8">[1]Sheet1!#REF!</definedName>
    <definedName name="_13C_6" localSheetId="4">[1]Sheet1!#REF!</definedName>
    <definedName name="_13C_6" localSheetId="1">[1]Sheet1!#REF!</definedName>
    <definedName name="_13C_6">[1]Sheet1!#REF!</definedName>
    <definedName name="_13C_60" localSheetId="5">[1]Sheet1!#REF!</definedName>
    <definedName name="_13C_60" localSheetId="3">[1]Sheet1!#REF!</definedName>
    <definedName name="_13C_60" localSheetId="6">[1]Sheet1!#REF!</definedName>
    <definedName name="_13C_60" localSheetId="7">[1]Sheet1!#REF!</definedName>
    <definedName name="_13C_60" localSheetId="8">[1]Sheet1!#REF!</definedName>
    <definedName name="_13C_60" localSheetId="4">[1]Sheet1!#REF!</definedName>
    <definedName name="_13C_60" localSheetId="1">[1]Sheet1!#REF!</definedName>
    <definedName name="_13C_60">[1]Sheet1!#REF!</definedName>
    <definedName name="_13C_7" localSheetId="5">[1]Sheet1!#REF!</definedName>
    <definedName name="_13C_7" localSheetId="3">[1]Sheet1!#REF!</definedName>
    <definedName name="_13C_7" localSheetId="6">[1]Sheet1!#REF!</definedName>
    <definedName name="_13C_7" localSheetId="7">[1]Sheet1!#REF!</definedName>
    <definedName name="_13C_7" localSheetId="8">[1]Sheet1!#REF!</definedName>
    <definedName name="_13C_7" localSheetId="4">[1]Sheet1!#REF!</definedName>
    <definedName name="_13C_7" localSheetId="1">[1]Sheet1!#REF!</definedName>
    <definedName name="_13C_7">[1]Sheet1!#REF!</definedName>
    <definedName name="_13C_8" localSheetId="5">[1]Sheet1!#REF!</definedName>
    <definedName name="_13C_8" localSheetId="3">[1]Sheet1!#REF!</definedName>
    <definedName name="_13C_8" localSheetId="6">[1]Sheet1!#REF!</definedName>
    <definedName name="_13C_8" localSheetId="7">[1]Sheet1!#REF!</definedName>
    <definedName name="_13C_8" localSheetId="8">[1]Sheet1!#REF!</definedName>
    <definedName name="_13C_8" localSheetId="4">[1]Sheet1!#REF!</definedName>
    <definedName name="_13C_8" localSheetId="1">[1]Sheet1!#REF!</definedName>
    <definedName name="_13C_8">[1]Sheet1!#REF!</definedName>
    <definedName name="_13C_9" localSheetId="5">[1]Sheet1!#REF!</definedName>
    <definedName name="_13C_9" localSheetId="3">[1]Sheet1!#REF!</definedName>
    <definedName name="_13C_9" localSheetId="6">[1]Sheet1!#REF!</definedName>
    <definedName name="_13C_9" localSheetId="7">[1]Sheet1!#REF!</definedName>
    <definedName name="_13C_9" localSheetId="8">[1]Sheet1!#REF!</definedName>
    <definedName name="_13C_9" localSheetId="4">[1]Sheet1!#REF!</definedName>
    <definedName name="_13C_9" localSheetId="1">[1]Sheet1!#REF!</definedName>
    <definedName name="_13C_9">[1]Sheet1!#REF!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A_1" localSheetId="5">[1]Sheet1!#REF!</definedName>
    <definedName name="_16A_1" localSheetId="3">[1]Sheet1!#REF!</definedName>
    <definedName name="_16A_1" localSheetId="6">[1]Sheet1!#REF!</definedName>
    <definedName name="_16A_1" localSheetId="7">[1]Sheet1!#REF!</definedName>
    <definedName name="_16A_1" localSheetId="8">[1]Sheet1!#REF!</definedName>
    <definedName name="_16A_1" localSheetId="4">[1]Sheet1!#REF!</definedName>
    <definedName name="_16A_1" localSheetId="1">[1]Sheet1!#REF!</definedName>
    <definedName name="_16A_1">[1]Sheet1!#REF!</definedName>
    <definedName name="_16A_10" localSheetId="5">#REF!</definedName>
    <definedName name="_16A_10" localSheetId="3">#REF!</definedName>
    <definedName name="_16A_10" localSheetId="6">#REF!</definedName>
    <definedName name="_16A_10" localSheetId="7">#REF!</definedName>
    <definedName name="_16A_10" localSheetId="8">#REF!</definedName>
    <definedName name="_16A_10" localSheetId="4">#REF!</definedName>
    <definedName name="_16A_10" localSheetId="1">#REF!</definedName>
    <definedName name="_16A_10">#REF!</definedName>
    <definedName name="_16A_11" localSheetId="5">#REF!</definedName>
    <definedName name="_16A_11" localSheetId="3">#REF!</definedName>
    <definedName name="_16A_11" localSheetId="6">#REF!</definedName>
    <definedName name="_16A_11" localSheetId="7">#REF!</definedName>
    <definedName name="_16A_11" localSheetId="8">#REF!</definedName>
    <definedName name="_16A_11" localSheetId="4">#REF!</definedName>
    <definedName name="_16A_11" localSheetId="1">#REF!</definedName>
    <definedName name="_16A_11">#REF!</definedName>
    <definedName name="_16A_12" localSheetId="5">#REF!</definedName>
    <definedName name="_16A_12" localSheetId="3">#REF!</definedName>
    <definedName name="_16A_12" localSheetId="6">#REF!</definedName>
    <definedName name="_16A_12" localSheetId="7">#REF!</definedName>
    <definedName name="_16A_12" localSheetId="8">#REF!</definedName>
    <definedName name="_16A_12" localSheetId="4">#REF!</definedName>
    <definedName name="_16A_12" localSheetId="1">#REF!</definedName>
    <definedName name="_16A_12">#REF!</definedName>
    <definedName name="_16A_13" localSheetId="5">#REF!</definedName>
    <definedName name="_16A_13" localSheetId="3">#REF!</definedName>
    <definedName name="_16A_13" localSheetId="6">#REF!</definedName>
    <definedName name="_16A_13" localSheetId="7">#REF!</definedName>
    <definedName name="_16A_13" localSheetId="8">#REF!</definedName>
    <definedName name="_16A_13" localSheetId="4">#REF!</definedName>
    <definedName name="_16A_13" localSheetId="1">#REF!</definedName>
    <definedName name="_16A_13">#REF!</definedName>
    <definedName name="_16A_14" localSheetId="5">#REF!</definedName>
    <definedName name="_16A_14" localSheetId="3">#REF!</definedName>
    <definedName name="_16A_14" localSheetId="6">#REF!</definedName>
    <definedName name="_16A_14" localSheetId="7">#REF!</definedName>
    <definedName name="_16A_14" localSheetId="8">#REF!</definedName>
    <definedName name="_16A_14" localSheetId="4">#REF!</definedName>
    <definedName name="_16A_14" localSheetId="1">#REF!</definedName>
    <definedName name="_16A_14">#REF!</definedName>
    <definedName name="_16A_15" localSheetId="5">#REF!</definedName>
    <definedName name="_16A_15" localSheetId="3">#REF!</definedName>
    <definedName name="_16A_15" localSheetId="6">#REF!</definedName>
    <definedName name="_16A_15" localSheetId="7">#REF!</definedName>
    <definedName name="_16A_15" localSheetId="8">#REF!</definedName>
    <definedName name="_16A_15" localSheetId="4">#REF!</definedName>
    <definedName name="_16A_15" localSheetId="1">#REF!</definedName>
    <definedName name="_16A_15">#REF!</definedName>
    <definedName name="_16A_2" localSheetId="5">[1]Sheet1!#REF!</definedName>
    <definedName name="_16A_2" localSheetId="3">[1]Sheet1!#REF!</definedName>
    <definedName name="_16A_2" localSheetId="6">[1]Sheet1!#REF!</definedName>
    <definedName name="_16A_2" localSheetId="7">[1]Sheet1!#REF!</definedName>
    <definedName name="_16A_2" localSheetId="8">[1]Sheet1!#REF!</definedName>
    <definedName name="_16A_2" localSheetId="4">[1]Sheet1!#REF!</definedName>
    <definedName name="_16A_2" localSheetId="1">[1]Sheet1!#REF!</definedName>
    <definedName name="_16A_2">[1]Sheet1!#REF!</definedName>
    <definedName name="_16A_3" localSheetId="5">[1]Sheet1!#REF!</definedName>
    <definedName name="_16A_3" localSheetId="3">[1]Sheet1!#REF!</definedName>
    <definedName name="_16A_3" localSheetId="6">[1]Sheet1!#REF!</definedName>
    <definedName name="_16A_3" localSheetId="7">[1]Sheet1!#REF!</definedName>
    <definedName name="_16A_3" localSheetId="8">[1]Sheet1!#REF!</definedName>
    <definedName name="_16A_3" localSheetId="4">[1]Sheet1!#REF!</definedName>
    <definedName name="_16A_3" localSheetId="1">[1]Sheet1!#REF!</definedName>
    <definedName name="_16A_3">[1]Sheet1!#REF!</definedName>
    <definedName name="_16A_4" localSheetId="5">[1]Sheet1!#REF!</definedName>
    <definedName name="_16A_4" localSheetId="3">[1]Sheet1!#REF!</definedName>
    <definedName name="_16A_4" localSheetId="6">[1]Sheet1!#REF!</definedName>
    <definedName name="_16A_4" localSheetId="7">[1]Sheet1!#REF!</definedName>
    <definedName name="_16A_4" localSheetId="8">[1]Sheet1!#REF!</definedName>
    <definedName name="_16A_4" localSheetId="4">[1]Sheet1!#REF!</definedName>
    <definedName name="_16A_4" localSheetId="1">[1]Sheet1!#REF!</definedName>
    <definedName name="_16A_4">[1]Sheet1!#REF!</definedName>
    <definedName name="_16A_5" localSheetId="5">[1]Sheet1!#REF!</definedName>
    <definedName name="_16A_5" localSheetId="3">[1]Sheet1!#REF!</definedName>
    <definedName name="_16A_5" localSheetId="6">[1]Sheet1!#REF!</definedName>
    <definedName name="_16A_5" localSheetId="7">[1]Sheet1!#REF!</definedName>
    <definedName name="_16A_5" localSheetId="8">[1]Sheet1!#REF!</definedName>
    <definedName name="_16A_5" localSheetId="4">[1]Sheet1!#REF!</definedName>
    <definedName name="_16A_5" localSheetId="1">[1]Sheet1!#REF!</definedName>
    <definedName name="_16A_5">[1]Sheet1!#REF!</definedName>
    <definedName name="_16A_6" localSheetId="5">[1]Sheet1!#REF!</definedName>
    <definedName name="_16A_6" localSheetId="3">[1]Sheet1!#REF!</definedName>
    <definedName name="_16A_6" localSheetId="6">[1]Sheet1!#REF!</definedName>
    <definedName name="_16A_6" localSheetId="7">[1]Sheet1!#REF!</definedName>
    <definedName name="_16A_6" localSheetId="8">[1]Sheet1!#REF!</definedName>
    <definedName name="_16A_6" localSheetId="4">[1]Sheet1!#REF!</definedName>
    <definedName name="_16A_6" localSheetId="1">[1]Sheet1!#REF!</definedName>
    <definedName name="_16A_6">[1]Sheet1!#REF!</definedName>
    <definedName name="_16A_7" localSheetId="5">[1]Sheet1!#REF!</definedName>
    <definedName name="_16A_7" localSheetId="3">[1]Sheet1!#REF!</definedName>
    <definedName name="_16A_7" localSheetId="6">[1]Sheet1!#REF!</definedName>
    <definedName name="_16A_7" localSheetId="7">[1]Sheet1!#REF!</definedName>
    <definedName name="_16A_7" localSheetId="8">[1]Sheet1!#REF!</definedName>
    <definedName name="_16A_7" localSheetId="4">[1]Sheet1!#REF!</definedName>
    <definedName name="_16A_7" localSheetId="1">[1]Sheet1!#REF!</definedName>
    <definedName name="_16A_7">[1]Sheet1!#REF!</definedName>
    <definedName name="_16A_8" localSheetId="5">#REF!</definedName>
    <definedName name="_16A_8" localSheetId="3">#REF!</definedName>
    <definedName name="_16A_8" localSheetId="6">#REF!</definedName>
    <definedName name="_16A_8" localSheetId="7">#REF!</definedName>
    <definedName name="_16A_8" localSheetId="8">#REF!</definedName>
    <definedName name="_16A_8" localSheetId="4">#REF!</definedName>
    <definedName name="_16A_8" localSheetId="1">#REF!</definedName>
    <definedName name="_16A_8">#REF!</definedName>
    <definedName name="_16A_9" localSheetId="5">#REF!</definedName>
    <definedName name="_16A_9" localSheetId="3">#REF!</definedName>
    <definedName name="_16A_9" localSheetId="6">#REF!</definedName>
    <definedName name="_16A_9" localSheetId="7">#REF!</definedName>
    <definedName name="_16A_9" localSheetId="8">#REF!</definedName>
    <definedName name="_16A_9" localSheetId="4">#REF!</definedName>
    <definedName name="_16A_9" localSheetId="1">#REF!</definedName>
    <definedName name="_16A_9">#REF!</definedName>
    <definedName name="_16B_1" localSheetId="5">[1]Sheet1!#REF!</definedName>
    <definedName name="_16B_1" localSheetId="3">[1]Sheet1!#REF!</definedName>
    <definedName name="_16B_1" localSheetId="6">[1]Sheet1!#REF!</definedName>
    <definedName name="_16B_1" localSheetId="7">[1]Sheet1!#REF!</definedName>
    <definedName name="_16B_1" localSheetId="8">[1]Sheet1!#REF!</definedName>
    <definedName name="_16B_1" localSheetId="4">[1]Sheet1!#REF!</definedName>
    <definedName name="_16B_1" localSheetId="1">[1]Sheet1!#REF!</definedName>
    <definedName name="_16B_1">[1]Sheet1!#REF!</definedName>
    <definedName name="_16B_10" localSheetId="5">#REF!</definedName>
    <definedName name="_16B_10" localSheetId="3">#REF!</definedName>
    <definedName name="_16B_10" localSheetId="6">#REF!</definedName>
    <definedName name="_16B_10" localSheetId="7">#REF!</definedName>
    <definedName name="_16B_10" localSheetId="8">#REF!</definedName>
    <definedName name="_16B_10" localSheetId="4">#REF!</definedName>
    <definedName name="_16B_10" localSheetId="1">#REF!</definedName>
    <definedName name="_16B_10">#REF!</definedName>
    <definedName name="_16B_11" localSheetId="5">#REF!</definedName>
    <definedName name="_16B_11" localSheetId="3">#REF!</definedName>
    <definedName name="_16B_11" localSheetId="6">#REF!</definedName>
    <definedName name="_16B_11" localSheetId="7">#REF!</definedName>
    <definedName name="_16B_11" localSheetId="8">#REF!</definedName>
    <definedName name="_16B_11" localSheetId="4">#REF!</definedName>
    <definedName name="_16B_11" localSheetId="1">#REF!</definedName>
    <definedName name="_16B_11">#REF!</definedName>
    <definedName name="_16B_12" localSheetId="5">#REF!</definedName>
    <definedName name="_16B_12" localSheetId="3">#REF!</definedName>
    <definedName name="_16B_12" localSheetId="6">#REF!</definedName>
    <definedName name="_16B_12" localSheetId="7">#REF!</definedName>
    <definedName name="_16B_12" localSheetId="8">#REF!</definedName>
    <definedName name="_16B_12" localSheetId="4">#REF!</definedName>
    <definedName name="_16B_12" localSheetId="1">#REF!</definedName>
    <definedName name="_16B_12">#REF!</definedName>
    <definedName name="_16B_13" localSheetId="5">#REF!</definedName>
    <definedName name="_16B_13" localSheetId="3">#REF!</definedName>
    <definedName name="_16B_13" localSheetId="6">#REF!</definedName>
    <definedName name="_16B_13" localSheetId="7">#REF!</definedName>
    <definedName name="_16B_13" localSheetId="8">#REF!</definedName>
    <definedName name="_16B_13" localSheetId="4">#REF!</definedName>
    <definedName name="_16B_13" localSheetId="1">#REF!</definedName>
    <definedName name="_16B_13">#REF!</definedName>
    <definedName name="_16B_14" localSheetId="5">#REF!</definedName>
    <definedName name="_16B_14" localSheetId="3">#REF!</definedName>
    <definedName name="_16B_14" localSheetId="6">#REF!</definedName>
    <definedName name="_16B_14" localSheetId="7">#REF!</definedName>
    <definedName name="_16B_14" localSheetId="8">#REF!</definedName>
    <definedName name="_16B_14" localSheetId="4">#REF!</definedName>
    <definedName name="_16B_14" localSheetId="1">#REF!</definedName>
    <definedName name="_16B_14">#REF!</definedName>
    <definedName name="_16B_15" localSheetId="5">#REF!</definedName>
    <definedName name="_16B_15" localSheetId="3">#REF!</definedName>
    <definedName name="_16B_15" localSheetId="6">#REF!</definedName>
    <definedName name="_16B_15" localSheetId="7">#REF!</definedName>
    <definedName name="_16B_15" localSheetId="8">#REF!</definedName>
    <definedName name="_16B_15" localSheetId="4">#REF!</definedName>
    <definedName name="_16B_15" localSheetId="1">#REF!</definedName>
    <definedName name="_16B_15">#REF!</definedName>
    <definedName name="_16B_2" localSheetId="5">[1]Sheet1!#REF!</definedName>
    <definedName name="_16B_2" localSheetId="3">[1]Sheet1!#REF!</definedName>
    <definedName name="_16B_2" localSheetId="6">[1]Sheet1!#REF!</definedName>
    <definedName name="_16B_2" localSheetId="7">[1]Sheet1!#REF!</definedName>
    <definedName name="_16B_2" localSheetId="8">[1]Sheet1!#REF!</definedName>
    <definedName name="_16B_2" localSheetId="4">[1]Sheet1!#REF!</definedName>
    <definedName name="_16B_2" localSheetId="1">[1]Sheet1!#REF!</definedName>
    <definedName name="_16B_2">[1]Sheet1!#REF!</definedName>
    <definedName name="_16B_3" localSheetId="5">[1]Sheet1!#REF!</definedName>
    <definedName name="_16B_3" localSheetId="3">[1]Sheet1!#REF!</definedName>
    <definedName name="_16B_3" localSheetId="6">[1]Sheet1!#REF!</definedName>
    <definedName name="_16B_3" localSheetId="7">[1]Sheet1!#REF!</definedName>
    <definedName name="_16B_3" localSheetId="8">[1]Sheet1!#REF!</definedName>
    <definedName name="_16B_3" localSheetId="4">[1]Sheet1!#REF!</definedName>
    <definedName name="_16B_3" localSheetId="1">[1]Sheet1!#REF!</definedName>
    <definedName name="_16B_3">[1]Sheet1!#REF!</definedName>
    <definedName name="_16B_4" localSheetId="5">[1]Sheet1!#REF!</definedName>
    <definedName name="_16B_4" localSheetId="3">[1]Sheet1!#REF!</definedName>
    <definedName name="_16B_4" localSheetId="6">[1]Sheet1!#REF!</definedName>
    <definedName name="_16B_4" localSheetId="7">[1]Sheet1!#REF!</definedName>
    <definedName name="_16B_4" localSheetId="8">[1]Sheet1!#REF!</definedName>
    <definedName name="_16B_4" localSheetId="4">[1]Sheet1!#REF!</definedName>
    <definedName name="_16B_4" localSheetId="1">[1]Sheet1!#REF!</definedName>
    <definedName name="_16B_4">[1]Sheet1!#REF!</definedName>
    <definedName name="_16B_5" localSheetId="5">[1]Sheet1!#REF!</definedName>
    <definedName name="_16B_5" localSheetId="3">[1]Sheet1!#REF!</definedName>
    <definedName name="_16B_5" localSheetId="6">[1]Sheet1!#REF!</definedName>
    <definedName name="_16B_5" localSheetId="7">[1]Sheet1!#REF!</definedName>
    <definedName name="_16B_5" localSheetId="8">[1]Sheet1!#REF!</definedName>
    <definedName name="_16B_5" localSheetId="4">[1]Sheet1!#REF!</definedName>
    <definedName name="_16B_5" localSheetId="1">[1]Sheet1!#REF!</definedName>
    <definedName name="_16B_5">[1]Sheet1!#REF!</definedName>
    <definedName name="_16B_6" localSheetId="5">[1]Sheet1!#REF!</definedName>
    <definedName name="_16B_6" localSheetId="3">[1]Sheet1!#REF!</definedName>
    <definedName name="_16B_6" localSheetId="6">[1]Sheet1!#REF!</definedName>
    <definedName name="_16B_6" localSheetId="7">[1]Sheet1!#REF!</definedName>
    <definedName name="_16B_6" localSheetId="8">[1]Sheet1!#REF!</definedName>
    <definedName name="_16B_6" localSheetId="4">[1]Sheet1!#REF!</definedName>
    <definedName name="_16B_6" localSheetId="1">[1]Sheet1!#REF!</definedName>
    <definedName name="_16B_6">[1]Sheet1!#REF!</definedName>
    <definedName name="_16B_7" localSheetId="5">[1]Sheet1!#REF!</definedName>
    <definedName name="_16B_7" localSheetId="3">[1]Sheet1!#REF!</definedName>
    <definedName name="_16B_7" localSheetId="6">[1]Sheet1!#REF!</definedName>
    <definedName name="_16B_7" localSheetId="7">[1]Sheet1!#REF!</definedName>
    <definedName name="_16B_7" localSheetId="8">[1]Sheet1!#REF!</definedName>
    <definedName name="_16B_7" localSheetId="4">[1]Sheet1!#REF!</definedName>
    <definedName name="_16B_7" localSheetId="1">[1]Sheet1!#REF!</definedName>
    <definedName name="_16B_7">[1]Sheet1!#REF!</definedName>
    <definedName name="_16B_8" localSheetId="5">#REF!</definedName>
    <definedName name="_16B_8" localSheetId="3">#REF!</definedName>
    <definedName name="_16B_8" localSheetId="6">#REF!</definedName>
    <definedName name="_16B_8" localSheetId="7">#REF!</definedName>
    <definedName name="_16B_8" localSheetId="8">#REF!</definedName>
    <definedName name="_16B_8" localSheetId="4">#REF!</definedName>
    <definedName name="_16B_8" localSheetId="1">#REF!</definedName>
    <definedName name="_16B_8">#REF!</definedName>
    <definedName name="_16B_9" localSheetId="5">#REF!</definedName>
    <definedName name="_16B_9" localSheetId="3">#REF!</definedName>
    <definedName name="_16B_9" localSheetId="6">#REF!</definedName>
    <definedName name="_16B_9" localSheetId="7">#REF!</definedName>
    <definedName name="_16B_9" localSheetId="8">#REF!</definedName>
    <definedName name="_16B_9" localSheetId="4">#REF!</definedName>
    <definedName name="_16B_9" localSheetId="1">#REF!</definedName>
    <definedName name="_16B_9">#REF!</definedName>
    <definedName name="_16C_1" localSheetId="5">[1]Sheet1!#REF!</definedName>
    <definedName name="_16C_1" localSheetId="3">[1]Sheet1!#REF!</definedName>
    <definedName name="_16C_1" localSheetId="6">[1]Sheet1!#REF!</definedName>
    <definedName name="_16C_1" localSheetId="7">[1]Sheet1!#REF!</definedName>
    <definedName name="_16C_1" localSheetId="8">[1]Sheet1!#REF!</definedName>
    <definedName name="_16C_1" localSheetId="4">[1]Sheet1!#REF!</definedName>
    <definedName name="_16C_1" localSheetId="1">[1]Sheet1!#REF!</definedName>
    <definedName name="_16C_1">[1]Sheet1!#REF!</definedName>
    <definedName name="_16C_10" localSheetId="5">#REF!</definedName>
    <definedName name="_16C_10" localSheetId="3">#REF!</definedName>
    <definedName name="_16C_10" localSheetId="6">#REF!</definedName>
    <definedName name="_16C_10" localSheetId="7">#REF!</definedName>
    <definedName name="_16C_10" localSheetId="8">#REF!</definedName>
    <definedName name="_16C_10" localSheetId="4">#REF!</definedName>
    <definedName name="_16C_10" localSheetId="1">#REF!</definedName>
    <definedName name="_16C_10">#REF!</definedName>
    <definedName name="_16C_11" localSheetId="5">#REF!</definedName>
    <definedName name="_16C_11" localSheetId="3">#REF!</definedName>
    <definedName name="_16C_11" localSheetId="6">#REF!</definedName>
    <definedName name="_16C_11" localSheetId="7">#REF!</definedName>
    <definedName name="_16C_11" localSheetId="8">#REF!</definedName>
    <definedName name="_16C_11" localSheetId="4">#REF!</definedName>
    <definedName name="_16C_11" localSheetId="1">#REF!</definedName>
    <definedName name="_16C_11">#REF!</definedName>
    <definedName name="_16C_12" localSheetId="5">#REF!</definedName>
    <definedName name="_16C_12" localSheetId="3">#REF!</definedName>
    <definedName name="_16C_12" localSheetId="6">#REF!</definedName>
    <definedName name="_16C_12" localSheetId="7">#REF!</definedName>
    <definedName name="_16C_12" localSheetId="8">#REF!</definedName>
    <definedName name="_16C_12" localSheetId="4">#REF!</definedName>
    <definedName name="_16C_12" localSheetId="1">#REF!</definedName>
    <definedName name="_16C_12">#REF!</definedName>
    <definedName name="_16C_13" localSheetId="5">#REF!</definedName>
    <definedName name="_16C_13" localSheetId="3">#REF!</definedName>
    <definedName name="_16C_13" localSheetId="6">#REF!</definedName>
    <definedName name="_16C_13" localSheetId="7">#REF!</definedName>
    <definedName name="_16C_13" localSheetId="8">#REF!</definedName>
    <definedName name="_16C_13" localSheetId="4">#REF!</definedName>
    <definedName name="_16C_13" localSheetId="1">#REF!</definedName>
    <definedName name="_16C_13">#REF!</definedName>
    <definedName name="_16C_14" localSheetId="5">#REF!</definedName>
    <definedName name="_16C_14" localSheetId="3">#REF!</definedName>
    <definedName name="_16C_14" localSheetId="6">#REF!</definedName>
    <definedName name="_16C_14" localSheetId="7">#REF!</definedName>
    <definedName name="_16C_14" localSheetId="8">#REF!</definedName>
    <definedName name="_16C_14" localSheetId="4">#REF!</definedName>
    <definedName name="_16C_14" localSheetId="1">#REF!</definedName>
    <definedName name="_16C_14">#REF!</definedName>
    <definedName name="_16C_15" localSheetId="5">#REF!</definedName>
    <definedName name="_16C_15" localSheetId="3">#REF!</definedName>
    <definedName name="_16C_15" localSheetId="6">#REF!</definedName>
    <definedName name="_16C_15" localSheetId="7">#REF!</definedName>
    <definedName name="_16C_15" localSheetId="8">#REF!</definedName>
    <definedName name="_16C_15" localSheetId="4">#REF!</definedName>
    <definedName name="_16C_15" localSheetId="1">#REF!</definedName>
    <definedName name="_16C_15">#REF!</definedName>
    <definedName name="_16C_2" localSheetId="5">[1]Sheet1!#REF!</definedName>
    <definedName name="_16C_2" localSheetId="3">[1]Sheet1!#REF!</definedName>
    <definedName name="_16C_2" localSheetId="6">[1]Sheet1!#REF!</definedName>
    <definedName name="_16C_2" localSheetId="7">[1]Sheet1!#REF!</definedName>
    <definedName name="_16C_2" localSheetId="8">[1]Sheet1!#REF!</definedName>
    <definedName name="_16C_2" localSheetId="4">[1]Sheet1!#REF!</definedName>
    <definedName name="_16C_2" localSheetId="1">[1]Sheet1!#REF!</definedName>
    <definedName name="_16C_2">[1]Sheet1!#REF!</definedName>
    <definedName name="_16C_3" localSheetId="5">[1]Sheet1!#REF!</definedName>
    <definedName name="_16C_3" localSheetId="3">[1]Sheet1!#REF!</definedName>
    <definedName name="_16C_3" localSheetId="6">[1]Sheet1!#REF!</definedName>
    <definedName name="_16C_3" localSheetId="7">[1]Sheet1!#REF!</definedName>
    <definedName name="_16C_3" localSheetId="8">[1]Sheet1!#REF!</definedName>
    <definedName name="_16C_3" localSheetId="4">[1]Sheet1!#REF!</definedName>
    <definedName name="_16C_3" localSheetId="1">[1]Sheet1!#REF!</definedName>
    <definedName name="_16C_3">[1]Sheet1!#REF!</definedName>
    <definedName name="_16C_4" localSheetId="5">[1]Sheet1!#REF!</definedName>
    <definedName name="_16C_4" localSheetId="3">[1]Sheet1!#REF!</definedName>
    <definedName name="_16C_4" localSheetId="6">[1]Sheet1!#REF!</definedName>
    <definedName name="_16C_4" localSheetId="7">[1]Sheet1!#REF!</definedName>
    <definedName name="_16C_4" localSheetId="8">[1]Sheet1!#REF!</definedName>
    <definedName name="_16C_4" localSheetId="4">[1]Sheet1!#REF!</definedName>
    <definedName name="_16C_4" localSheetId="1">[1]Sheet1!#REF!</definedName>
    <definedName name="_16C_4">[1]Sheet1!#REF!</definedName>
    <definedName name="_16C_5" localSheetId="5">[1]Sheet1!#REF!</definedName>
    <definedName name="_16C_5" localSheetId="3">[1]Sheet1!#REF!</definedName>
    <definedName name="_16C_5" localSheetId="6">[1]Sheet1!#REF!</definedName>
    <definedName name="_16C_5" localSheetId="7">[1]Sheet1!#REF!</definedName>
    <definedName name="_16C_5" localSheetId="8">[1]Sheet1!#REF!</definedName>
    <definedName name="_16C_5" localSheetId="4">[1]Sheet1!#REF!</definedName>
    <definedName name="_16C_5" localSheetId="1">[1]Sheet1!#REF!</definedName>
    <definedName name="_16C_5">[1]Sheet1!#REF!</definedName>
    <definedName name="_16C_6" localSheetId="5">[1]Sheet1!#REF!</definedName>
    <definedName name="_16C_6" localSheetId="3">[1]Sheet1!#REF!</definedName>
    <definedName name="_16C_6" localSheetId="6">[1]Sheet1!#REF!</definedName>
    <definedName name="_16C_6" localSheetId="7">[1]Sheet1!#REF!</definedName>
    <definedName name="_16C_6" localSheetId="8">[1]Sheet1!#REF!</definedName>
    <definedName name="_16C_6" localSheetId="4">[1]Sheet1!#REF!</definedName>
    <definedName name="_16C_6" localSheetId="1">[1]Sheet1!#REF!</definedName>
    <definedName name="_16C_6">[1]Sheet1!#REF!</definedName>
    <definedName name="_16C_7" localSheetId="5">[1]Sheet1!#REF!</definedName>
    <definedName name="_16C_7" localSheetId="3">[1]Sheet1!#REF!</definedName>
    <definedName name="_16C_7" localSheetId="6">[1]Sheet1!#REF!</definedName>
    <definedName name="_16C_7" localSheetId="7">[1]Sheet1!#REF!</definedName>
    <definedName name="_16C_7" localSheetId="8">[1]Sheet1!#REF!</definedName>
    <definedName name="_16C_7" localSheetId="4">[1]Sheet1!#REF!</definedName>
    <definedName name="_16C_7" localSheetId="1">[1]Sheet1!#REF!</definedName>
    <definedName name="_16C_7">[1]Sheet1!#REF!</definedName>
    <definedName name="_16C_8" localSheetId="5">#REF!</definedName>
    <definedName name="_16C_8" localSheetId="3">#REF!</definedName>
    <definedName name="_16C_8" localSheetId="6">#REF!</definedName>
    <definedName name="_16C_8" localSheetId="7">#REF!</definedName>
    <definedName name="_16C_8" localSheetId="8">#REF!</definedName>
    <definedName name="_16C_8" localSheetId="4">#REF!</definedName>
    <definedName name="_16C_8" localSheetId="1">#REF!</definedName>
    <definedName name="_16C_8">#REF!</definedName>
    <definedName name="_16C_9" localSheetId="5">#REF!</definedName>
    <definedName name="_16C_9" localSheetId="3">#REF!</definedName>
    <definedName name="_16C_9" localSheetId="6">#REF!</definedName>
    <definedName name="_16C_9" localSheetId="7">#REF!</definedName>
    <definedName name="_16C_9" localSheetId="8">#REF!</definedName>
    <definedName name="_16C_9" localSheetId="4">#REF!</definedName>
    <definedName name="_16C_9" localSheetId="1">#REF!</definedName>
    <definedName name="_16C_9">#REF!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 localSheetId="5">[1]Sheet1!#REF!</definedName>
    <definedName name="_1A_1" localSheetId="3">[1]Sheet1!#REF!</definedName>
    <definedName name="_1A_1" localSheetId="6">[1]Sheet1!#REF!</definedName>
    <definedName name="_1A_1" localSheetId="7">[1]Sheet1!#REF!</definedName>
    <definedName name="_1A_1" localSheetId="8">[1]Sheet1!#REF!</definedName>
    <definedName name="_1A_1" localSheetId="4">[1]Sheet1!#REF!</definedName>
    <definedName name="_1A_1" localSheetId="1">[1]Sheet1!#REF!</definedName>
    <definedName name="_1A_1">[1]Sheet1!#REF!</definedName>
    <definedName name="_1A_10" localSheetId="5">[1]Sheet1!#REF!</definedName>
    <definedName name="_1A_10" localSheetId="3">[1]Sheet1!#REF!</definedName>
    <definedName name="_1A_10" localSheetId="6">[1]Sheet1!#REF!</definedName>
    <definedName name="_1A_10" localSheetId="7">[1]Sheet1!#REF!</definedName>
    <definedName name="_1A_10" localSheetId="8">[1]Sheet1!#REF!</definedName>
    <definedName name="_1A_10" localSheetId="4">[1]Sheet1!#REF!</definedName>
    <definedName name="_1A_10" localSheetId="1">[1]Sheet1!#REF!</definedName>
    <definedName name="_1A_10">[1]Sheet1!#REF!</definedName>
    <definedName name="_1A_11" localSheetId="5">[1]Sheet1!#REF!</definedName>
    <definedName name="_1A_11" localSheetId="3">[1]Sheet1!#REF!</definedName>
    <definedName name="_1A_11" localSheetId="6">[1]Sheet1!#REF!</definedName>
    <definedName name="_1A_11" localSheetId="7">[1]Sheet1!#REF!</definedName>
    <definedName name="_1A_11" localSheetId="8">[1]Sheet1!#REF!</definedName>
    <definedName name="_1A_11" localSheetId="4">[1]Sheet1!#REF!</definedName>
    <definedName name="_1A_11" localSheetId="1">[1]Sheet1!#REF!</definedName>
    <definedName name="_1A_11">[1]Sheet1!#REF!</definedName>
    <definedName name="_1A_12" localSheetId="5">[1]Sheet1!#REF!</definedName>
    <definedName name="_1A_12" localSheetId="3">[1]Sheet1!#REF!</definedName>
    <definedName name="_1A_12" localSheetId="6">[1]Sheet1!#REF!</definedName>
    <definedName name="_1A_12" localSheetId="7">[1]Sheet1!#REF!</definedName>
    <definedName name="_1A_12" localSheetId="8">[1]Sheet1!#REF!</definedName>
    <definedName name="_1A_12" localSheetId="4">[1]Sheet1!#REF!</definedName>
    <definedName name="_1A_12" localSheetId="1">[1]Sheet1!#REF!</definedName>
    <definedName name="_1A_12">[1]Sheet1!#REF!</definedName>
    <definedName name="_1A_13" localSheetId="5">[1]Sheet1!#REF!</definedName>
    <definedName name="_1A_13" localSheetId="3">[1]Sheet1!#REF!</definedName>
    <definedName name="_1A_13" localSheetId="6">[1]Sheet1!#REF!</definedName>
    <definedName name="_1A_13" localSheetId="7">[1]Sheet1!#REF!</definedName>
    <definedName name="_1A_13" localSheetId="8">[1]Sheet1!#REF!</definedName>
    <definedName name="_1A_13" localSheetId="4">[1]Sheet1!#REF!</definedName>
    <definedName name="_1A_13" localSheetId="1">[1]Sheet1!#REF!</definedName>
    <definedName name="_1A_13">[1]Sheet1!#REF!</definedName>
    <definedName name="_1A_14" localSheetId="5">[1]Sheet1!#REF!</definedName>
    <definedName name="_1A_14" localSheetId="3">[1]Sheet1!#REF!</definedName>
    <definedName name="_1A_14" localSheetId="6">[1]Sheet1!#REF!</definedName>
    <definedName name="_1A_14" localSheetId="7">[1]Sheet1!#REF!</definedName>
    <definedName name="_1A_14" localSheetId="8">[1]Sheet1!#REF!</definedName>
    <definedName name="_1A_14" localSheetId="4">[1]Sheet1!#REF!</definedName>
    <definedName name="_1A_14" localSheetId="1">[1]Sheet1!#REF!</definedName>
    <definedName name="_1A_14">[1]Sheet1!#REF!</definedName>
    <definedName name="_1A_15" localSheetId="5">[1]Sheet1!#REF!</definedName>
    <definedName name="_1A_15" localSheetId="3">[1]Sheet1!#REF!</definedName>
    <definedName name="_1A_15" localSheetId="6">[1]Sheet1!#REF!</definedName>
    <definedName name="_1A_15" localSheetId="7">[1]Sheet1!#REF!</definedName>
    <definedName name="_1A_15" localSheetId="8">[1]Sheet1!#REF!</definedName>
    <definedName name="_1A_15" localSheetId="4">[1]Sheet1!#REF!</definedName>
    <definedName name="_1A_15" localSheetId="1">[1]Sheet1!#REF!</definedName>
    <definedName name="_1A_15">[1]Sheet1!#REF!</definedName>
    <definedName name="_1A_16" localSheetId="5">[1]Sheet1!#REF!</definedName>
    <definedName name="_1A_16" localSheetId="3">[1]Sheet1!#REF!</definedName>
    <definedName name="_1A_16" localSheetId="6">[1]Sheet1!#REF!</definedName>
    <definedName name="_1A_16" localSheetId="7">[1]Sheet1!#REF!</definedName>
    <definedName name="_1A_16" localSheetId="8">[1]Sheet1!#REF!</definedName>
    <definedName name="_1A_16" localSheetId="4">[1]Sheet1!#REF!</definedName>
    <definedName name="_1A_16" localSheetId="1">[1]Sheet1!#REF!</definedName>
    <definedName name="_1A_16">[1]Sheet1!#REF!</definedName>
    <definedName name="_1A_17" localSheetId="5">[1]Sheet1!#REF!</definedName>
    <definedName name="_1A_17" localSheetId="3">[1]Sheet1!#REF!</definedName>
    <definedName name="_1A_17" localSheetId="6">[1]Sheet1!#REF!</definedName>
    <definedName name="_1A_17" localSheetId="7">[1]Sheet1!#REF!</definedName>
    <definedName name="_1A_17" localSheetId="8">[1]Sheet1!#REF!</definedName>
    <definedName name="_1A_17" localSheetId="4">[1]Sheet1!#REF!</definedName>
    <definedName name="_1A_17" localSheetId="1">[1]Sheet1!#REF!</definedName>
    <definedName name="_1A_17">[1]Sheet1!#REF!</definedName>
    <definedName name="_1A_18" localSheetId="5">[1]Sheet1!#REF!</definedName>
    <definedName name="_1A_18" localSheetId="3">[1]Sheet1!#REF!</definedName>
    <definedName name="_1A_18" localSheetId="6">[1]Sheet1!#REF!</definedName>
    <definedName name="_1A_18" localSheetId="7">[1]Sheet1!#REF!</definedName>
    <definedName name="_1A_18" localSheetId="8">[1]Sheet1!#REF!</definedName>
    <definedName name="_1A_18" localSheetId="4">[1]Sheet1!#REF!</definedName>
    <definedName name="_1A_18" localSheetId="1">[1]Sheet1!#REF!</definedName>
    <definedName name="_1A_18">[1]Sheet1!#REF!</definedName>
    <definedName name="_1A_19" localSheetId="5">[1]Sheet1!#REF!</definedName>
    <definedName name="_1A_19" localSheetId="3">[1]Sheet1!#REF!</definedName>
    <definedName name="_1A_19" localSheetId="6">[1]Sheet1!#REF!</definedName>
    <definedName name="_1A_19" localSheetId="7">[1]Sheet1!#REF!</definedName>
    <definedName name="_1A_19" localSheetId="8">[1]Sheet1!#REF!</definedName>
    <definedName name="_1A_19" localSheetId="4">[1]Sheet1!#REF!</definedName>
    <definedName name="_1A_19" localSheetId="1">[1]Sheet1!#REF!</definedName>
    <definedName name="_1A_19">[1]Sheet1!#REF!</definedName>
    <definedName name="_1A_2" localSheetId="5">[1]Sheet1!#REF!</definedName>
    <definedName name="_1A_2" localSheetId="3">[1]Sheet1!#REF!</definedName>
    <definedName name="_1A_2" localSheetId="6">[1]Sheet1!#REF!</definedName>
    <definedName name="_1A_2" localSheetId="7">[1]Sheet1!#REF!</definedName>
    <definedName name="_1A_2" localSheetId="8">[1]Sheet1!#REF!</definedName>
    <definedName name="_1A_2" localSheetId="4">[1]Sheet1!#REF!</definedName>
    <definedName name="_1A_2" localSheetId="1">[1]Sheet1!#REF!</definedName>
    <definedName name="_1A_2">[1]Sheet1!#REF!</definedName>
    <definedName name="_1A_20" localSheetId="5">[1]Sheet1!#REF!</definedName>
    <definedName name="_1A_20" localSheetId="3">[1]Sheet1!#REF!</definedName>
    <definedName name="_1A_20" localSheetId="6">[1]Sheet1!#REF!</definedName>
    <definedName name="_1A_20" localSheetId="7">[1]Sheet1!#REF!</definedName>
    <definedName name="_1A_20" localSheetId="8">[1]Sheet1!#REF!</definedName>
    <definedName name="_1A_20" localSheetId="4">[1]Sheet1!#REF!</definedName>
    <definedName name="_1A_20" localSheetId="1">[1]Sheet1!#REF!</definedName>
    <definedName name="_1A_20">[1]Sheet1!#REF!</definedName>
    <definedName name="_1A_21" localSheetId="5">[1]Sheet1!#REF!</definedName>
    <definedName name="_1A_21" localSheetId="3">[1]Sheet1!#REF!</definedName>
    <definedName name="_1A_21" localSheetId="6">[1]Sheet1!#REF!</definedName>
    <definedName name="_1A_21" localSheetId="7">[1]Sheet1!#REF!</definedName>
    <definedName name="_1A_21" localSheetId="8">[1]Sheet1!#REF!</definedName>
    <definedName name="_1A_21" localSheetId="4">[1]Sheet1!#REF!</definedName>
    <definedName name="_1A_21" localSheetId="1">[1]Sheet1!#REF!</definedName>
    <definedName name="_1A_21">[1]Sheet1!#REF!</definedName>
    <definedName name="_1A_22" localSheetId="5">[1]Sheet1!#REF!</definedName>
    <definedName name="_1A_22" localSheetId="3">[1]Sheet1!#REF!</definedName>
    <definedName name="_1A_22" localSheetId="6">[1]Sheet1!#REF!</definedName>
    <definedName name="_1A_22" localSheetId="7">[1]Sheet1!#REF!</definedName>
    <definedName name="_1A_22" localSheetId="8">[1]Sheet1!#REF!</definedName>
    <definedName name="_1A_22" localSheetId="4">[1]Sheet1!#REF!</definedName>
    <definedName name="_1A_22" localSheetId="1">[1]Sheet1!#REF!</definedName>
    <definedName name="_1A_22">[1]Sheet1!#REF!</definedName>
    <definedName name="_1A_23" localSheetId="5">[1]Sheet1!#REF!</definedName>
    <definedName name="_1A_23" localSheetId="3">[1]Sheet1!#REF!</definedName>
    <definedName name="_1A_23" localSheetId="6">[1]Sheet1!#REF!</definedName>
    <definedName name="_1A_23" localSheetId="7">[1]Sheet1!#REF!</definedName>
    <definedName name="_1A_23" localSheetId="8">[1]Sheet1!#REF!</definedName>
    <definedName name="_1A_23" localSheetId="4">[1]Sheet1!#REF!</definedName>
    <definedName name="_1A_23" localSheetId="1">[1]Sheet1!#REF!</definedName>
    <definedName name="_1A_23">[1]Sheet1!#REF!</definedName>
    <definedName name="_1A_24" localSheetId="5">[1]Sheet1!#REF!</definedName>
    <definedName name="_1A_24" localSheetId="3">[1]Sheet1!#REF!</definedName>
    <definedName name="_1A_24" localSheetId="6">[1]Sheet1!#REF!</definedName>
    <definedName name="_1A_24" localSheetId="7">[1]Sheet1!#REF!</definedName>
    <definedName name="_1A_24" localSheetId="8">[1]Sheet1!#REF!</definedName>
    <definedName name="_1A_24" localSheetId="4">[1]Sheet1!#REF!</definedName>
    <definedName name="_1A_24" localSheetId="1">[1]Sheet1!#REF!</definedName>
    <definedName name="_1A_24">[1]Sheet1!#REF!</definedName>
    <definedName name="_1A_25" localSheetId="5">[1]Sheet1!#REF!</definedName>
    <definedName name="_1A_25" localSheetId="3">[1]Sheet1!#REF!</definedName>
    <definedName name="_1A_25" localSheetId="6">[1]Sheet1!#REF!</definedName>
    <definedName name="_1A_25" localSheetId="7">[1]Sheet1!#REF!</definedName>
    <definedName name="_1A_25" localSheetId="8">[1]Sheet1!#REF!</definedName>
    <definedName name="_1A_25" localSheetId="4">[1]Sheet1!#REF!</definedName>
    <definedName name="_1A_25" localSheetId="1">[1]Sheet1!#REF!</definedName>
    <definedName name="_1A_25">[1]Sheet1!#REF!</definedName>
    <definedName name="_1A_26" localSheetId="5">[1]Sheet1!#REF!</definedName>
    <definedName name="_1A_26" localSheetId="3">[1]Sheet1!#REF!</definedName>
    <definedName name="_1A_26" localSheetId="6">[1]Sheet1!#REF!</definedName>
    <definedName name="_1A_26" localSheetId="7">[1]Sheet1!#REF!</definedName>
    <definedName name="_1A_26" localSheetId="8">[1]Sheet1!#REF!</definedName>
    <definedName name="_1A_26" localSheetId="4">[1]Sheet1!#REF!</definedName>
    <definedName name="_1A_26" localSheetId="1">[1]Sheet1!#REF!</definedName>
    <definedName name="_1A_26">[1]Sheet1!#REF!</definedName>
    <definedName name="_1A_27" localSheetId="5">[1]Sheet1!#REF!</definedName>
    <definedName name="_1A_27" localSheetId="3">[1]Sheet1!#REF!</definedName>
    <definedName name="_1A_27" localSheetId="6">[1]Sheet1!#REF!</definedName>
    <definedName name="_1A_27" localSheetId="7">[1]Sheet1!#REF!</definedName>
    <definedName name="_1A_27" localSheetId="8">[1]Sheet1!#REF!</definedName>
    <definedName name="_1A_27" localSheetId="4">[1]Sheet1!#REF!</definedName>
    <definedName name="_1A_27" localSheetId="1">[1]Sheet1!#REF!</definedName>
    <definedName name="_1A_27">[1]Sheet1!#REF!</definedName>
    <definedName name="_1A_28" localSheetId="5">[1]Sheet1!#REF!</definedName>
    <definedName name="_1A_28" localSheetId="3">[1]Sheet1!#REF!</definedName>
    <definedName name="_1A_28" localSheetId="6">[1]Sheet1!#REF!</definedName>
    <definedName name="_1A_28" localSheetId="7">[1]Sheet1!#REF!</definedName>
    <definedName name="_1A_28" localSheetId="8">[1]Sheet1!#REF!</definedName>
    <definedName name="_1A_28" localSheetId="4">[1]Sheet1!#REF!</definedName>
    <definedName name="_1A_28" localSheetId="1">[1]Sheet1!#REF!</definedName>
    <definedName name="_1A_28">[1]Sheet1!#REF!</definedName>
    <definedName name="_1A_29" localSheetId="5">[1]Sheet1!#REF!</definedName>
    <definedName name="_1A_29" localSheetId="3">[1]Sheet1!#REF!</definedName>
    <definedName name="_1A_29" localSheetId="6">[1]Sheet1!#REF!</definedName>
    <definedName name="_1A_29" localSheetId="7">[1]Sheet1!#REF!</definedName>
    <definedName name="_1A_29" localSheetId="8">[1]Sheet1!#REF!</definedName>
    <definedName name="_1A_29" localSheetId="4">[1]Sheet1!#REF!</definedName>
    <definedName name="_1A_29" localSheetId="1">[1]Sheet1!#REF!</definedName>
    <definedName name="_1A_29">[1]Sheet1!#REF!</definedName>
    <definedName name="_1A_3" localSheetId="5">[1]Sheet1!#REF!</definedName>
    <definedName name="_1A_3" localSheetId="3">[1]Sheet1!#REF!</definedName>
    <definedName name="_1A_3" localSheetId="6">[1]Sheet1!#REF!</definedName>
    <definedName name="_1A_3" localSheetId="7">[1]Sheet1!#REF!</definedName>
    <definedName name="_1A_3" localSheetId="8">[1]Sheet1!#REF!</definedName>
    <definedName name="_1A_3" localSheetId="4">[1]Sheet1!#REF!</definedName>
    <definedName name="_1A_3" localSheetId="1">[1]Sheet1!#REF!</definedName>
    <definedName name="_1A_3">[1]Sheet1!#REF!</definedName>
    <definedName name="_1A_30" localSheetId="5">[1]Sheet1!#REF!</definedName>
    <definedName name="_1A_30" localSheetId="3">[1]Sheet1!#REF!</definedName>
    <definedName name="_1A_30" localSheetId="6">[1]Sheet1!#REF!</definedName>
    <definedName name="_1A_30" localSheetId="7">[1]Sheet1!#REF!</definedName>
    <definedName name="_1A_30" localSheetId="8">[1]Sheet1!#REF!</definedName>
    <definedName name="_1A_30" localSheetId="4">[1]Sheet1!#REF!</definedName>
    <definedName name="_1A_30" localSheetId="1">[1]Sheet1!#REF!</definedName>
    <definedName name="_1A_30">[1]Sheet1!#REF!</definedName>
    <definedName name="_1A_4" localSheetId="5">[1]Sheet1!#REF!</definedName>
    <definedName name="_1A_4" localSheetId="3">[1]Sheet1!#REF!</definedName>
    <definedName name="_1A_4" localSheetId="6">[1]Sheet1!#REF!</definedName>
    <definedName name="_1A_4" localSheetId="7">[1]Sheet1!#REF!</definedName>
    <definedName name="_1A_4" localSheetId="8">[1]Sheet1!#REF!</definedName>
    <definedName name="_1A_4" localSheetId="4">[1]Sheet1!#REF!</definedName>
    <definedName name="_1A_4" localSheetId="1">[1]Sheet1!#REF!</definedName>
    <definedName name="_1A_4">[1]Sheet1!#REF!</definedName>
    <definedName name="_1A_5" localSheetId="5">[1]Sheet1!#REF!</definedName>
    <definedName name="_1A_5" localSheetId="3">[1]Sheet1!#REF!</definedName>
    <definedName name="_1A_5" localSheetId="6">[1]Sheet1!#REF!</definedName>
    <definedName name="_1A_5" localSheetId="7">[1]Sheet1!#REF!</definedName>
    <definedName name="_1A_5" localSheetId="8">[1]Sheet1!#REF!</definedName>
    <definedName name="_1A_5" localSheetId="4">[1]Sheet1!#REF!</definedName>
    <definedName name="_1A_5" localSheetId="1">[1]Sheet1!#REF!</definedName>
    <definedName name="_1A_5">[1]Sheet1!#REF!</definedName>
    <definedName name="_1A_6" localSheetId="5">[1]Sheet1!#REF!</definedName>
    <definedName name="_1A_6" localSheetId="3">[1]Sheet1!#REF!</definedName>
    <definedName name="_1A_6" localSheetId="6">[1]Sheet1!#REF!</definedName>
    <definedName name="_1A_6" localSheetId="7">[1]Sheet1!#REF!</definedName>
    <definedName name="_1A_6" localSheetId="8">[1]Sheet1!#REF!</definedName>
    <definedName name="_1A_6" localSheetId="4">[1]Sheet1!#REF!</definedName>
    <definedName name="_1A_6" localSheetId="1">[1]Sheet1!#REF!</definedName>
    <definedName name="_1A_6">[1]Sheet1!#REF!</definedName>
    <definedName name="_1A_7" localSheetId="5">[1]Sheet1!#REF!</definedName>
    <definedName name="_1A_7" localSheetId="3">[1]Sheet1!#REF!</definedName>
    <definedName name="_1A_7" localSheetId="6">[1]Sheet1!#REF!</definedName>
    <definedName name="_1A_7" localSheetId="7">[1]Sheet1!#REF!</definedName>
    <definedName name="_1A_7" localSheetId="8">[1]Sheet1!#REF!</definedName>
    <definedName name="_1A_7" localSheetId="4">[1]Sheet1!#REF!</definedName>
    <definedName name="_1A_7" localSheetId="1">[1]Sheet1!#REF!</definedName>
    <definedName name="_1A_7">[1]Sheet1!#REF!</definedName>
    <definedName name="_1A_8" localSheetId="5">[1]Sheet1!#REF!</definedName>
    <definedName name="_1A_8" localSheetId="3">[1]Sheet1!#REF!</definedName>
    <definedName name="_1A_8" localSheetId="6">[1]Sheet1!#REF!</definedName>
    <definedName name="_1A_8" localSheetId="7">[1]Sheet1!#REF!</definedName>
    <definedName name="_1A_8" localSheetId="8">[1]Sheet1!#REF!</definedName>
    <definedName name="_1A_8" localSheetId="4">[1]Sheet1!#REF!</definedName>
    <definedName name="_1A_8" localSheetId="1">[1]Sheet1!#REF!</definedName>
    <definedName name="_1A_8">[1]Sheet1!#REF!</definedName>
    <definedName name="_1A_9" localSheetId="5">[1]Sheet1!#REF!</definedName>
    <definedName name="_1A_9" localSheetId="3">[1]Sheet1!#REF!</definedName>
    <definedName name="_1A_9" localSheetId="6">[1]Sheet1!#REF!</definedName>
    <definedName name="_1A_9" localSheetId="7">[1]Sheet1!#REF!</definedName>
    <definedName name="_1A_9" localSheetId="8">[1]Sheet1!#REF!</definedName>
    <definedName name="_1A_9" localSheetId="4">[1]Sheet1!#REF!</definedName>
    <definedName name="_1A_9" localSheetId="1">[1]Sheet1!#REF!</definedName>
    <definedName name="_1A_9">[1]Sheet1!#REF!</definedName>
    <definedName name="_1B_1" localSheetId="5">[1]Sheet1!#REF!</definedName>
    <definedName name="_1B_1" localSheetId="3">[1]Sheet1!#REF!</definedName>
    <definedName name="_1B_1" localSheetId="6">[1]Sheet1!#REF!</definedName>
    <definedName name="_1B_1" localSheetId="7">[1]Sheet1!#REF!</definedName>
    <definedName name="_1B_1" localSheetId="8">[1]Sheet1!#REF!</definedName>
    <definedName name="_1B_1" localSheetId="4">[1]Sheet1!#REF!</definedName>
    <definedName name="_1B_1" localSheetId="1">[1]Sheet1!#REF!</definedName>
    <definedName name="_1B_1">[1]Sheet1!#REF!</definedName>
    <definedName name="_1B_10" localSheetId="5">[1]Sheet1!#REF!</definedName>
    <definedName name="_1B_10" localSheetId="3">[1]Sheet1!#REF!</definedName>
    <definedName name="_1B_10" localSheetId="6">[1]Sheet1!#REF!</definedName>
    <definedName name="_1B_10" localSheetId="7">[1]Sheet1!#REF!</definedName>
    <definedName name="_1B_10" localSheetId="8">[1]Sheet1!#REF!</definedName>
    <definedName name="_1B_10" localSheetId="4">[1]Sheet1!#REF!</definedName>
    <definedName name="_1B_10" localSheetId="1">[1]Sheet1!#REF!</definedName>
    <definedName name="_1B_10">[1]Sheet1!#REF!</definedName>
    <definedName name="_1B_11" localSheetId="5">[1]Sheet1!#REF!</definedName>
    <definedName name="_1B_11" localSheetId="3">[1]Sheet1!#REF!</definedName>
    <definedName name="_1B_11" localSheetId="6">[1]Sheet1!#REF!</definedName>
    <definedName name="_1B_11" localSheetId="7">[1]Sheet1!#REF!</definedName>
    <definedName name="_1B_11" localSheetId="8">[1]Sheet1!#REF!</definedName>
    <definedName name="_1B_11" localSheetId="4">[1]Sheet1!#REF!</definedName>
    <definedName name="_1B_11" localSheetId="1">[1]Sheet1!#REF!</definedName>
    <definedName name="_1B_11">[1]Sheet1!#REF!</definedName>
    <definedName name="_1B_12" localSheetId="5">[1]Sheet1!#REF!</definedName>
    <definedName name="_1B_12" localSheetId="3">[1]Sheet1!#REF!</definedName>
    <definedName name="_1B_12" localSheetId="6">[1]Sheet1!#REF!</definedName>
    <definedName name="_1B_12" localSheetId="7">[1]Sheet1!#REF!</definedName>
    <definedName name="_1B_12" localSheetId="8">[1]Sheet1!#REF!</definedName>
    <definedName name="_1B_12" localSheetId="4">[1]Sheet1!#REF!</definedName>
    <definedName name="_1B_12" localSheetId="1">[1]Sheet1!#REF!</definedName>
    <definedName name="_1B_12">[1]Sheet1!#REF!</definedName>
    <definedName name="_1B_13" localSheetId="5">[1]Sheet1!#REF!</definedName>
    <definedName name="_1B_13" localSheetId="3">[1]Sheet1!#REF!</definedName>
    <definedName name="_1B_13" localSheetId="6">[1]Sheet1!#REF!</definedName>
    <definedName name="_1B_13" localSheetId="7">[1]Sheet1!#REF!</definedName>
    <definedName name="_1B_13" localSheetId="8">[1]Sheet1!#REF!</definedName>
    <definedName name="_1B_13" localSheetId="4">[1]Sheet1!#REF!</definedName>
    <definedName name="_1B_13" localSheetId="1">[1]Sheet1!#REF!</definedName>
    <definedName name="_1B_13">[1]Sheet1!#REF!</definedName>
    <definedName name="_1B_14" localSheetId="5">[1]Sheet1!#REF!</definedName>
    <definedName name="_1B_14" localSheetId="3">[1]Sheet1!#REF!</definedName>
    <definedName name="_1B_14" localSheetId="6">[1]Sheet1!#REF!</definedName>
    <definedName name="_1B_14" localSheetId="7">[1]Sheet1!#REF!</definedName>
    <definedName name="_1B_14" localSheetId="8">[1]Sheet1!#REF!</definedName>
    <definedName name="_1B_14" localSheetId="4">[1]Sheet1!#REF!</definedName>
    <definedName name="_1B_14" localSheetId="1">[1]Sheet1!#REF!</definedName>
    <definedName name="_1B_14">[1]Sheet1!#REF!</definedName>
    <definedName name="_1B_15" localSheetId="5">[1]Sheet1!#REF!</definedName>
    <definedName name="_1B_15" localSheetId="3">[1]Sheet1!#REF!</definedName>
    <definedName name="_1B_15" localSheetId="6">[1]Sheet1!#REF!</definedName>
    <definedName name="_1B_15" localSheetId="7">[1]Sheet1!#REF!</definedName>
    <definedName name="_1B_15" localSheetId="8">[1]Sheet1!#REF!</definedName>
    <definedName name="_1B_15" localSheetId="4">[1]Sheet1!#REF!</definedName>
    <definedName name="_1B_15" localSheetId="1">[1]Sheet1!#REF!</definedName>
    <definedName name="_1B_15">[1]Sheet1!#REF!</definedName>
    <definedName name="_1B_16" localSheetId="5">[1]Sheet1!#REF!</definedName>
    <definedName name="_1B_16" localSheetId="3">[1]Sheet1!#REF!</definedName>
    <definedName name="_1B_16" localSheetId="6">[1]Sheet1!#REF!</definedName>
    <definedName name="_1B_16" localSheetId="7">[1]Sheet1!#REF!</definedName>
    <definedName name="_1B_16" localSheetId="8">[1]Sheet1!#REF!</definedName>
    <definedName name="_1B_16" localSheetId="4">[1]Sheet1!#REF!</definedName>
    <definedName name="_1B_16" localSheetId="1">[1]Sheet1!#REF!</definedName>
    <definedName name="_1B_16">[1]Sheet1!#REF!</definedName>
    <definedName name="_1B_17" localSheetId="5">[1]Sheet1!#REF!</definedName>
    <definedName name="_1B_17" localSheetId="3">[1]Sheet1!#REF!</definedName>
    <definedName name="_1B_17" localSheetId="6">[1]Sheet1!#REF!</definedName>
    <definedName name="_1B_17" localSheetId="7">[1]Sheet1!#REF!</definedName>
    <definedName name="_1B_17" localSheetId="8">[1]Sheet1!#REF!</definedName>
    <definedName name="_1B_17" localSheetId="4">[1]Sheet1!#REF!</definedName>
    <definedName name="_1B_17" localSheetId="1">[1]Sheet1!#REF!</definedName>
    <definedName name="_1B_17">[1]Sheet1!#REF!</definedName>
    <definedName name="_1B_18" localSheetId="5">[1]Sheet1!#REF!</definedName>
    <definedName name="_1B_18" localSheetId="3">[1]Sheet1!#REF!</definedName>
    <definedName name="_1B_18" localSheetId="6">[1]Sheet1!#REF!</definedName>
    <definedName name="_1B_18" localSheetId="7">[1]Sheet1!#REF!</definedName>
    <definedName name="_1B_18" localSheetId="8">[1]Sheet1!#REF!</definedName>
    <definedName name="_1B_18" localSheetId="4">[1]Sheet1!#REF!</definedName>
    <definedName name="_1B_18" localSheetId="1">[1]Sheet1!#REF!</definedName>
    <definedName name="_1B_18">[1]Sheet1!#REF!</definedName>
    <definedName name="_1B_19" localSheetId="5">[1]Sheet1!#REF!</definedName>
    <definedName name="_1B_19" localSheetId="3">[1]Sheet1!#REF!</definedName>
    <definedName name="_1B_19" localSheetId="6">[1]Sheet1!#REF!</definedName>
    <definedName name="_1B_19" localSheetId="7">[1]Sheet1!#REF!</definedName>
    <definedName name="_1B_19" localSheetId="8">[1]Sheet1!#REF!</definedName>
    <definedName name="_1B_19" localSheetId="4">[1]Sheet1!#REF!</definedName>
    <definedName name="_1B_19" localSheetId="1">[1]Sheet1!#REF!</definedName>
    <definedName name="_1B_19">[1]Sheet1!#REF!</definedName>
    <definedName name="_1B_2" localSheetId="5">[1]Sheet1!#REF!</definedName>
    <definedName name="_1B_2" localSheetId="3">[1]Sheet1!#REF!</definedName>
    <definedName name="_1B_2" localSheetId="6">[1]Sheet1!#REF!</definedName>
    <definedName name="_1B_2" localSheetId="7">[1]Sheet1!#REF!</definedName>
    <definedName name="_1B_2" localSheetId="8">[1]Sheet1!#REF!</definedName>
    <definedName name="_1B_2" localSheetId="4">[1]Sheet1!#REF!</definedName>
    <definedName name="_1B_2" localSheetId="1">[1]Sheet1!#REF!</definedName>
    <definedName name="_1B_2">[1]Sheet1!#REF!</definedName>
    <definedName name="_1B_20" localSheetId="5">[1]Sheet1!#REF!</definedName>
    <definedName name="_1B_20" localSheetId="3">[1]Sheet1!#REF!</definedName>
    <definedName name="_1B_20" localSheetId="6">[1]Sheet1!#REF!</definedName>
    <definedName name="_1B_20" localSheetId="7">[1]Sheet1!#REF!</definedName>
    <definedName name="_1B_20" localSheetId="8">[1]Sheet1!#REF!</definedName>
    <definedName name="_1B_20" localSheetId="4">[1]Sheet1!#REF!</definedName>
    <definedName name="_1B_20" localSheetId="1">[1]Sheet1!#REF!</definedName>
    <definedName name="_1B_20">[1]Sheet1!#REF!</definedName>
    <definedName name="_1B_21" localSheetId="5">[1]Sheet1!#REF!</definedName>
    <definedName name="_1B_21" localSheetId="3">[1]Sheet1!#REF!</definedName>
    <definedName name="_1B_21" localSheetId="6">[1]Sheet1!#REF!</definedName>
    <definedName name="_1B_21" localSheetId="7">[1]Sheet1!#REF!</definedName>
    <definedName name="_1B_21" localSheetId="8">[1]Sheet1!#REF!</definedName>
    <definedName name="_1B_21" localSheetId="4">[1]Sheet1!#REF!</definedName>
    <definedName name="_1B_21" localSheetId="1">[1]Sheet1!#REF!</definedName>
    <definedName name="_1B_21">[1]Sheet1!#REF!</definedName>
    <definedName name="_1B_22" localSheetId="5">[1]Sheet1!#REF!</definedName>
    <definedName name="_1B_22" localSheetId="3">[1]Sheet1!#REF!</definedName>
    <definedName name="_1B_22" localSheetId="6">[1]Sheet1!#REF!</definedName>
    <definedName name="_1B_22" localSheetId="7">[1]Sheet1!#REF!</definedName>
    <definedName name="_1B_22" localSheetId="8">[1]Sheet1!#REF!</definedName>
    <definedName name="_1B_22" localSheetId="4">[1]Sheet1!#REF!</definedName>
    <definedName name="_1B_22" localSheetId="1">[1]Sheet1!#REF!</definedName>
    <definedName name="_1B_22">[1]Sheet1!#REF!</definedName>
    <definedName name="_1B_23" localSheetId="5">[1]Sheet1!#REF!</definedName>
    <definedName name="_1B_23" localSheetId="3">[1]Sheet1!#REF!</definedName>
    <definedName name="_1B_23" localSheetId="6">[1]Sheet1!#REF!</definedName>
    <definedName name="_1B_23" localSheetId="7">[1]Sheet1!#REF!</definedName>
    <definedName name="_1B_23" localSheetId="8">[1]Sheet1!#REF!</definedName>
    <definedName name="_1B_23" localSheetId="4">[1]Sheet1!#REF!</definedName>
    <definedName name="_1B_23" localSheetId="1">[1]Sheet1!#REF!</definedName>
    <definedName name="_1B_23">[1]Sheet1!#REF!</definedName>
    <definedName name="_1B_24" localSheetId="5">[1]Sheet1!#REF!</definedName>
    <definedName name="_1B_24" localSheetId="3">[1]Sheet1!#REF!</definedName>
    <definedName name="_1B_24" localSheetId="6">[1]Sheet1!#REF!</definedName>
    <definedName name="_1B_24" localSheetId="7">[1]Sheet1!#REF!</definedName>
    <definedName name="_1B_24" localSheetId="8">[1]Sheet1!#REF!</definedName>
    <definedName name="_1B_24" localSheetId="4">[1]Sheet1!#REF!</definedName>
    <definedName name="_1B_24" localSheetId="1">[1]Sheet1!#REF!</definedName>
    <definedName name="_1B_24">[1]Sheet1!#REF!</definedName>
    <definedName name="_1B_25" localSheetId="5">[1]Sheet1!#REF!</definedName>
    <definedName name="_1B_25" localSheetId="3">[1]Sheet1!#REF!</definedName>
    <definedName name="_1B_25" localSheetId="6">[1]Sheet1!#REF!</definedName>
    <definedName name="_1B_25" localSheetId="7">[1]Sheet1!#REF!</definedName>
    <definedName name="_1B_25" localSheetId="8">[1]Sheet1!#REF!</definedName>
    <definedName name="_1B_25" localSheetId="4">[1]Sheet1!#REF!</definedName>
    <definedName name="_1B_25" localSheetId="1">[1]Sheet1!#REF!</definedName>
    <definedName name="_1B_25">[1]Sheet1!#REF!</definedName>
    <definedName name="_1B_26" localSheetId="5">[1]Sheet1!#REF!</definedName>
    <definedName name="_1B_26" localSheetId="3">[1]Sheet1!#REF!</definedName>
    <definedName name="_1B_26" localSheetId="6">[1]Sheet1!#REF!</definedName>
    <definedName name="_1B_26" localSheetId="7">[1]Sheet1!#REF!</definedName>
    <definedName name="_1B_26" localSheetId="8">[1]Sheet1!#REF!</definedName>
    <definedName name="_1B_26" localSheetId="4">[1]Sheet1!#REF!</definedName>
    <definedName name="_1B_26" localSheetId="1">[1]Sheet1!#REF!</definedName>
    <definedName name="_1B_26">[1]Sheet1!#REF!</definedName>
    <definedName name="_1B_27" localSheetId="5">[1]Sheet1!#REF!</definedName>
    <definedName name="_1B_27" localSheetId="3">[1]Sheet1!#REF!</definedName>
    <definedName name="_1B_27" localSheetId="6">[1]Sheet1!#REF!</definedName>
    <definedName name="_1B_27" localSheetId="7">[1]Sheet1!#REF!</definedName>
    <definedName name="_1B_27" localSheetId="8">[1]Sheet1!#REF!</definedName>
    <definedName name="_1B_27" localSheetId="4">[1]Sheet1!#REF!</definedName>
    <definedName name="_1B_27" localSheetId="1">[1]Sheet1!#REF!</definedName>
    <definedName name="_1B_27">[1]Sheet1!#REF!</definedName>
    <definedName name="_1B_28" localSheetId="5">[1]Sheet1!#REF!</definedName>
    <definedName name="_1B_28" localSheetId="3">[1]Sheet1!#REF!</definedName>
    <definedName name="_1B_28" localSheetId="6">[1]Sheet1!#REF!</definedName>
    <definedName name="_1B_28" localSheetId="7">[1]Sheet1!#REF!</definedName>
    <definedName name="_1B_28" localSheetId="8">[1]Sheet1!#REF!</definedName>
    <definedName name="_1B_28" localSheetId="4">[1]Sheet1!#REF!</definedName>
    <definedName name="_1B_28" localSheetId="1">[1]Sheet1!#REF!</definedName>
    <definedName name="_1B_28">[1]Sheet1!#REF!</definedName>
    <definedName name="_1B_29" localSheetId="5">[1]Sheet1!#REF!</definedName>
    <definedName name="_1B_29" localSheetId="3">[1]Sheet1!#REF!</definedName>
    <definedName name="_1B_29" localSheetId="6">[1]Sheet1!#REF!</definedName>
    <definedName name="_1B_29" localSheetId="7">[1]Sheet1!#REF!</definedName>
    <definedName name="_1B_29" localSheetId="8">[1]Sheet1!#REF!</definedName>
    <definedName name="_1B_29" localSheetId="4">[1]Sheet1!#REF!</definedName>
    <definedName name="_1B_29" localSheetId="1">[1]Sheet1!#REF!</definedName>
    <definedName name="_1B_29">[1]Sheet1!#REF!</definedName>
    <definedName name="_1B_3" localSheetId="5">[1]Sheet1!#REF!</definedName>
    <definedName name="_1B_3" localSheetId="3">[1]Sheet1!#REF!</definedName>
    <definedName name="_1B_3" localSheetId="6">[1]Sheet1!#REF!</definedName>
    <definedName name="_1B_3" localSheetId="7">[1]Sheet1!#REF!</definedName>
    <definedName name="_1B_3" localSheetId="8">[1]Sheet1!#REF!</definedName>
    <definedName name="_1B_3" localSheetId="4">[1]Sheet1!#REF!</definedName>
    <definedName name="_1B_3" localSheetId="1">[1]Sheet1!#REF!</definedName>
    <definedName name="_1B_3">[1]Sheet1!#REF!</definedName>
    <definedName name="_1B_30" localSheetId="5">[1]Sheet1!#REF!</definedName>
    <definedName name="_1B_30" localSheetId="3">[1]Sheet1!#REF!</definedName>
    <definedName name="_1B_30" localSheetId="6">[1]Sheet1!#REF!</definedName>
    <definedName name="_1B_30" localSheetId="7">[1]Sheet1!#REF!</definedName>
    <definedName name="_1B_30" localSheetId="8">[1]Sheet1!#REF!</definedName>
    <definedName name="_1B_30" localSheetId="4">[1]Sheet1!#REF!</definedName>
    <definedName name="_1B_30" localSheetId="1">[1]Sheet1!#REF!</definedName>
    <definedName name="_1B_30">[1]Sheet1!#REF!</definedName>
    <definedName name="_1B_4" localSheetId="5">[1]Sheet1!#REF!</definedName>
    <definedName name="_1B_4" localSheetId="3">[1]Sheet1!#REF!</definedName>
    <definedName name="_1B_4" localSheetId="6">[1]Sheet1!#REF!</definedName>
    <definedName name="_1B_4" localSheetId="7">[1]Sheet1!#REF!</definedName>
    <definedName name="_1B_4" localSheetId="8">[1]Sheet1!#REF!</definedName>
    <definedName name="_1B_4" localSheetId="4">[1]Sheet1!#REF!</definedName>
    <definedName name="_1B_4" localSheetId="1">[1]Sheet1!#REF!</definedName>
    <definedName name="_1B_4">[1]Sheet1!#REF!</definedName>
    <definedName name="_1B_5" localSheetId="5">[1]Sheet1!#REF!</definedName>
    <definedName name="_1B_5" localSheetId="3">[1]Sheet1!#REF!</definedName>
    <definedName name="_1B_5" localSheetId="6">[1]Sheet1!#REF!</definedName>
    <definedName name="_1B_5" localSheetId="7">[1]Sheet1!#REF!</definedName>
    <definedName name="_1B_5" localSheetId="8">[1]Sheet1!#REF!</definedName>
    <definedName name="_1B_5" localSheetId="4">[1]Sheet1!#REF!</definedName>
    <definedName name="_1B_5" localSheetId="1">[1]Sheet1!#REF!</definedName>
    <definedName name="_1B_5">[1]Sheet1!#REF!</definedName>
    <definedName name="_1B_6" localSheetId="5">[1]Sheet1!#REF!</definedName>
    <definedName name="_1B_6" localSheetId="3">[1]Sheet1!#REF!</definedName>
    <definedName name="_1B_6" localSheetId="6">[1]Sheet1!#REF!</definedName>
    <definedName name="_1B_6" localSheetId="7">[1]Sheet1!#REF!</definedName>
    <definedName name="_1B_6" localSheetId="8">[1]Sheet1!#REF!</definedName>
    <definedName name="_1B_6" localSheetId="4">[1]Sheet1!#REF!</definedName>
    <definedName name="_1B_6" localSheetId="1">[1]Sheet1!#REF!</definedName>
    <definedName name="_1B_6">[1]Sheet1!#REF!</definedName>
    <definedName name="_1B_7" localSheetId="5">[1]Sheet1!#REF!</definedName>
    <definedName name="_1B_7" localSheetId="3">[1]Sheet1!#REF!</definedName>
    <definedName name="_1B_7" localSheetId="6">[1]Sheet1!#REF!</definedName>
    <definedName name="_1B_7" localSheetId="7">[1]Sheet1!#REF!</definedName>
    <definedName name="_1B_7" localSheetId="8">[1]Sheet1!#REF!</definedName>
    <definedName name="_1B_7" localSheetId="4">[1]Sheet1!#REF!</definedName>
    <definedName name="_1B_7" localSheetId="1">[1]Sheet1!#REF!</definedName>
    <definedName name="_1B_7">[1]Sheet1!#REF!</definedName>
    <definedName name="_1B_8" localSheetId="5">[1]Sheet1!#REF!</definedName>
    <definedName name="_1B_8" localSheetId="3">[1]Sheet1!#REF!</definedName>
    <definedName name="_1B_8" localSheetId="6">[1]Sheet1!#REF!</definedName>
    <definedName name="_1B_8" localSheetId="7">[1]Sheet1!#REF!</definedName>
    <definedName name="_1B_8" localSheetId="8">[1]Sheet1!#REF!</definedName>
    <definedName name="_1B_8" localSheetId="4">[1]Sheet1!#REF!</definedName>
    <definedName name="_1B_8" localSheetId="1">[1]Sheet1!#REF!</definedName>
    <definedName name="_1B_8">[1]Sheet1!#REF!</definedName>
    <definedName name="_1B_9" localSheetId="5">[1]Sheet1!#REF!</definedName>
    <definedName name="_1B_9" localSheetId="3">[1]Sheet1!#REF!</definedName>
    <definedName name="_1B_9" localSheetId="6">[1]Sheet1!#REF!</definedName>
    <definedName name="_1B_9" localSheetId="7">[1]Sheet1!#REF!</definedName>
    <definedName name="_1B_9" localSheetId="8">[1]Sheet1!#REF!</definedName>
    <definedName name="_1B_9" localSheetId="4">[1]Sheet1!#REF!</definedName>
    <definedName name="_1B_9" localSheetId="1">[1]Sheet1!#REF!</definedName>
    <definedName name="_1B_9">[1]Sheet1!#REF!</definedName>
    <definedName name="_1C_1" localSheetId="5">[1]Sheet1!#REF!</definedName>
    <definedName name="_1C_1" localSheetId="3">[1]Sheet1!#REF!</definedName>
    <definedName name="_1C_1" localSheetId="6">[1]Sheet1!#REF!</definedName>
    <definedName name="_1C_1" localSheetId="7">[1]Sheet1!#REF!</definedName>
    <definedName name="_1C_1" localSheetId="8">[1]Sheet1!#REF!</definedName>
    <definedName name="_1C_1" localSheetId="4">[1]Sheet1!#REF!</definedName>
    <definedName name="_1C_1" localSheetId="1">[1]Sheet1!#REF!</definedName>
    <definedName name="_1C_1">[1]Sheet1!#REF!</definedName>
    <definedName name="_1C_10" localSheetId="5">[1]Sheet1!#REF!</definedName>
    <definedName name="_1C_10" localSheetId="3">[1]Sheet1!#REF!</definedName>
    <definedName name="_1C_10" localSheetId="6">[1]Sheet1!#REF!</definedName>
    <definedName name="_1C_10" localSheetId="7">[1]Sheet1!#REF!</definedName>
    <definedName name="_1C_10" localSheetId="8">[1]Sheet1!#REF!</definedName>
    <definedName name="_1C_10" localSheetId="4">[1]Sheet1!#REF!</definedName>
    <definedName name="_1C_10" localSheetId="1">[1]Sheet1!#REF!</definedName>
    <definedName name="_1C_10">[1]Sheet1!#REF!</definedName>
    <definedName name="_1C_11" localSheetId="5">[1]Sheet1!#REF!</definedName>
    <definedName name="_1C_11" localSheetId="3">[1]Sheet1!#REF!</definedName>
    <definedName name="_1C_11" localSheetId="6">[1]Sheet1!#REF!</definedName>
    <definedName name="_1C_11" localSheetId="7">[1]Sheet1!#REF!</definedName>
    <definedName name="_1C_11" localSheetId="8">[1]Sheet1!#REF!</definedName>
    <definedName name="_1C_11" localSheetId="4">[1]Sheet1!#REF!</definedName>
    <definedName name="_1C_11" localSheetId="1">[1]Sheet1!#REF!</definedName>
    <definedName name="_1C_11">[1]Sheet1!#REF!</definedName>
    <definedName name="_1C_12" localSheetId="5">[1]Sheet1!#REF!</definedName>
    <definedName name="_1C_12" localSheetId="3">[1]Sheet1!#REF!</definedName>
    <definedName name="_1C_12" localSheetId="6">[1]Sheet1!#REF!</definedName>
    <definedName name="_1C_12" localSheetId="7">[1]Sheet1!#REF!</definedName>
    <definedName name="_1C_12" localSheetId="8">[1]Sheet1!#REF!</definedName>
    <definedName name="_1C_12" localSheetId="4">[1]Sheet1!#REF!</definedName>
    <definedName name="_1C_12" localSheetId="1">[1]Sheet1!#REF!</definedName>
    <definedName name="_1C_12">[1]Sheet1!#REF!</definedName>
    <definedName name="_1C_13" localSheetId="5">[1]Sheet1!#REF!</definedName>
    <definedName name="_1C_13" localSheetId="3">[1]Sheet1!#REF!</definedName>
    <definedName name="_1C_13" localSheetId="6">[1]Sheet1!#REF!</definedName>
    <definedName name="_1C_13" localSheetId="7">[1]Sheet1!#REF!</definedName>
    <definedName name="_1C_13" localSheetId="8">[1]Sheet1!#REF!</definedName>
    <definedName name="_1C_13" localSheetId="4">[1]Sheet1!#REF!</definedName>
    <definedName name="_1C_13" localSheetId="1">[1]Sheet1!#REF!</definedName>
    <definedName name="_1C_13">[1]Sheet1!#REF!</definedName>
    <definedName name="_1C_14" localSheetId="5">[1]Sheet1!#REF!</definedName>
    <definedName name="_1C_14" localSheetId="3">[1]Sheet1!#REF!</definedName>
    <definedName name="_1C_14" localSheetId="6">[1]Sheet1!#REF!</definedName>
    <definedName name="_1C_14" localSheetId="7">[1]Sheet1!#REF!</definedName>
    <definedName name="_1C_14" localSheetId="8">[1]Sheet1!#REF!</definedName>
    <definedName name="_1C_14" localSheetId="4">[1]Sheet1!#REF!</definedName>
    <definedName name="_1C_14" localSheetId="1">[1]Sheet1!#REF!</definedName>
    <definedName name="_1C_14">[1]Sheet1!#REF!</definedName>
    <definedName name="_1C_15" localSheetId="5">[1]Sheet1!#REF!</definedName>
    <definedName name="_1C_15" localSheetId="3">[1]Sheet1!#REF!</definedName>
    <definedName name="_1C_15" localSheetId="6">[1]Sheet1!#REF!</definedName>
    <definedName name="_1C_15" localSheetId="7">[1]Sheet1!#REF!</definedName>
    <definedName name="_1C_15" localSheetId="8">[1]Sheet1!#REF!</definedName>
    <definedName name="_1C_15" localSheetId="4">[1]Sheet1!#REF!</definedName>
    <definedName name="_1C_15" localSheetId="1">[1]Sheet1!#REF!</definedName>
    <definedName name="_1C_15">[1]Sheet1!#REF!</definedName>
    <definedName name="_1C_16" localSheetId="5">[1]Sheet1!#REF!</definedName>
    <definedName name="_1C_16" localSheetId="3">[1]Sheet1!#REF!</definedName>
    <definedName name="_1C_16" localSheetId="6">[1]Sheet1!#REF!</definedName>
    <definedName name="_1C_16" localSheetId="7">[1]Sheet1!#REF!</definedName>
    <definedName name="_1C_16" localSheetId="8">[1]Sheet1!#REF!</definedName>
    <definedName name="_1C_16" localSheetId="4">[1]Sheet1!#REF!</definedName>
    <definedName name="_1C_16" localSheetId="1">[1]Sheet1!#REF!</definedName>
    <definedName name="_1C_16">[1]Sheet1!#REF!</definedName>
    <definedName name="_1C_17" localSheetId="5">[1]Sheet1!#REF!</definedName>
    <definedName name="_1C_17" localSheetId="3">[1]Sheet1!#REF!</definedName>
    <definedName name="_1C_17" localSheetId="6">[1]Sheet1!#REF!</definedName>
    <definedName name="_1C_17" localSheetId="7">[1]Sheet1!#REF!</definedName>
    <definedName name="_1C_17" localSheetId="8">[1]Sheet1!#REF!</definedName>
    <definedName name="_1C_17" localSheetId="4">[1]Sheet1!#REF!</definedName>
    <definedName name="_1C_17" localSheetId="1">[1]Sheet1!#REF!</definedName>
    <definedName name="_1C_17">[1]Sheet1!#REF!</definedName>
    <definedName name="_1C_18" localSheetId="5">[1]Sheet1!#REF!</definedName>
    <definedName name="_1C_18" localSheetId="3">[1]Sheet1!#REF!</definedName>
    <definedName name="_1C_18" localSheetId="6">[1]Sheet1!#REF!</definedName>
    <definedName name="_1C_18" localSheetId="7">[1]Sheet1!#REF!</definedName>
    <definedName name="_1C_18" localSheetId="8">[1]Sheet1!#REF!</definedName>
    <definedName name="_1C_18" localSheetId="4">[1]Sheet1!#REF!</definedName>
    <definedName name="_1C_18" localSheetId="1">[1]Sheet1!#REF!</definedName>
    <definedName name="_1C_18">[1]Sheet1!#REF!</definedName>
    <definedName name="_1C_19" localSheetId="5">[1]Sheet1!#REF!</definedName>
    <definedName name="_1C_19" localSheetId="3">[1]Sheet1!#REF!</definedName>
    <definedName name="_1C_19" localSheetId="6">[1]Sheet1!#REF!</definedName>
    <definedName name="_1C_19" localSheetId="7">[1]Sheet1!#REF!</definedName>
    <definedName name="_1C_19" localSheetId="8">[1]Sheet1!#REF!</definedName>
    <definedName name="_1C_19" localSheetId="4">[1]Sheet1!#REF!</definedName>
    <definedName name="_1C_19" localSheetId="1">[1]Sheet1!#REF!</definedName>
    <definedName name="_1C_19">[1]Sheet1!#REF!</definedName>
    <definedName name="_1C_2" localSheetId="5">[1]Sheet1!#REF!</definedName>
    <definedName name="_1C_2" localSheetId="3">[1]Sheet1!#REF!</definedName>
    <definedName name="_1C_2" localSheetId="6">[1]Sheet1!#REF!</definedName>
    <definedName name="_1C_2" localSheetId="7">[1]Sheet1!#REF!</definedName>
    <definedName name="_1C_2" localSheetId="8">[1]Sheet1!#REF!</definedName>
    <definedName name="_1C_2" localSheetId="4">[1]Sheet1!#REF!</definedName>
    <definedName name="_1C_2" localSheetId="1">[1]Sheet1!#REF!</definedName>
    <definedName name="_1C_2">[1]Sheet1!#REF!</definedName>
    <definedName name="_1C_20" localSheetId="5">[1]Sheet1!#REF!</definedName>
    <definedName name="_1C_20" localSheetId="3">[1]Sheet1!#REF!</definedName>
    <definedName name="_1C_20" localSheetId="6">[1]Sheet1!#REF!</definedName>
    <definedName name="_1C_20" localSheetId="7">[1]Sheet1!#REF!</definedName>
    <definedName name="_1C_20" localSheetId="8">[1]Sheet1!#REF!</definedName>
    <definedName name="_1C_20" localSheetId="4">[1]Sheet1!#REF!</definedName>
    <definedName name="_1C_20" localSheetId="1">[1]Sheet1!#REF!</definedName>
    <definedName name="_1C_20">[1]Sheet1!#REF!</definedName>
    <definedName name="_1C_21" localSheetId="5">[1]Sheet1!#REF!</definedName>
    <definedName name="_1C_21" localSheetId="3">[1]Sheet1!#REF!</definedName>
    <definedName name="_1C_21" localSheetId="6">[1]Sheet1!#REF!</definedName>
    <definedName name="_1C_21" localSheetId="7">[1]Sheet1!#REF!</definedName>
    <definedName name="_1C_21" localSheetId="8">[1]Sheet1!#REF!</definedName>
    <definedName name="_1C_21" localSheetId="4">[1]Sheet1!#REF!</definedName>
    <definedName name="_1C_21" localSheetId="1">[1]Sheet1!#REF!</definedName>
    <definedName name="_1C_21">[1]Sheet1!#REF!</definedName>
    <definedName name="_1C_22" localSheetId="5">[1]Sheet1!#REF!</definedName>
    <definedName name="_1C_22" localSheetId="3">[1]Sheet1!#REF!</definedName>
    <definedName name="_1C_22" localSheetId="6">[1]Sheet1!#REF!</definedName>
    <definedName name="_1C_22" localSheetId="7">[1]Sheet1!#REF!</definedName>
    <definedName name="_1C_22" localSheetId="8">[1]Sheet1!#REF!</definedName>
    <definedName name="_1C_22" localSheetId="4">[1]Sheet1!#REF!</definedName>
    <definedName name="_1C_22" localSheetId="1">[1]Sheet1!#REF!</definedName>
    <definedName name="_1C_22">[1]Sheet1!#REF!</definedName>
    <definedName name="_1C_23" localSheetId="5">[1]Sheet1!#REF!</definedName>
    <definedName name="_1C_23" localSheetId="3">[1]Sheet1!#REF!</definedName>
    <definedName name="_1C_23" localSheetId="6">[1]Sheet1!#REF!</definedName>
    <definedName name="_1C_23" localSheetId="7">[1]Sheet1!#REF!</definedName>
    <definedName name="_1C_23" localSheetId="8">[1]Sheet1!#REF!</definedName>
    <definedName name="_1C_23" localSheetId="4">[1]Sheet1!#REF!</definedName>
    <definedName name="_1C_23" localSheetId="1">[1]Sheet1!#REF!</definedName>
    <definedName name="_1C_23">[1]Sheet1!#REF!</definedName>
    <definedName name="_1C_24" localSheetId="5">[1]Sheet1!#REF!</definedName>
    <definedName name="_1C_24" localSheetId="3">[1]Sheet1!#REF!</definedName>
    <definedName name="_1C_24" localSheetId="6">[1]Sheet1!#REF!</definedName>
    <definedName name="_1C_24" localSheetId="7">[1]Sheet1!#REF!</definedName>
    <definedName name="_1C_24" localSheetId="8">[1]Sheet1!#REF!</definedName>
    <definedName name="_1C_24" localSheetId="4">[1]Sheet1!#REF!</definedName>
    <definedName name="_1C_24" localSheetId="1">[1]Sheet1!#REF!</definedName>
    <definedName name="_1C_24">[1]Sheet1!#REF!</definedName>
    <definedName name="_1C_25" localSheetId="5">[1]Sheet1!#REF!</definedName>
    <definedName name="_1C_25" localSheetId="3">[1]Sheet1!#REF!</definedName>
    <definedName name="_1C_25" localSheetId="6">[1]Sheet1!#REF!</definedName>
    <definedName name="_1C_25" localSheetId="7">[1]Sheet1!#REF!</definedName>
    <definedName name="_1C_25" localSheetId="8">[1]Sheet1!#REF!</definedName>
    <definedName name="_1C_25" localSheetId="4">[1]Sheet1!#REF!</definedName>
    <definedName name="_1C_25" localSheetId="1">[1]Sheet1!#REF!</definedName>
    <definedName name="_1C_25">[1]Sheet1!#REF!</definedName>
    <definedName name="_1C_26" localSheetId="5">[1]Sheet1!#REF!</definedName>
    <definedName name="_1C_26" localSheetId="3">[1]Sheet1!#REF!</definedName>
    <definedName name="_1C_26" localSheetId="6">[1]Sheet1!#REF!</definedName>
    <definedName name="_1C_26" localSheetId="7">[1]Sheet1!#REF!</definedName>
    <definedName name="_1C_26" localSheetId="8">[1]Sheet1!#REF!</definedName>
    <definedName name="_1C_26" localSheetId="4">[1]Sheet1!#REF!</definedName>
    <definedName name="_1C_26" localSheetId="1">[1]Sheet1!#REF!</definedName>
    <definedName name="_1C_26">[1]Sheet1!#REF!</definedName>
    <definedName name="_1C_27" localSheetId="5">[1]Sheet1!#REF!</definedName>
    <definedName name="_1C_27" localSheetId="3">[1]Sheet1!#REF!</definedName>
    <definedName name="_1C_27" localSheetId="6">[1]Sheet1!#REF!</definedName>
    <definedName name="_1C_27" localSheetId="7">[1]Sheet1!#REF!</definedName>
    <definedName name="_1C_27" localSheetId="8">[1]Sheet1!#REF!</definedName>
    <definedName name="_1C_27" localSheetId="4">[1]Sheet1!#REF!</definedName>
    <definedName name="_1C_27" localSheetId="1">[1]Sheet1!#REF!</definedName>
    <definedName name="_1C_27">[1]Sheet1!#REF!</definedName>
    <definedName name="_1C_28" localSheetId="5">[1]Sheet1!#REF!</definedName>
    <definedName name="_1C_28" localSheetId="3">[1]Sheet1!#REF!</definedName>
    <definedName name="_1C_28" localSheetId="6">[1]Sheet1!#REF!</definedName>
    <definedName name="_1C_28" localSheetId="7">[1]Sheet1!#REF!</definedName>
    <definedName name="_1C_28" localSheetId="8">[1]Sheet1!#REF!</definedName>
    <definedName name="_1C_28" localSheetId="4">[1]Sheet1!#REF!</definedName>
    <definedName name="_1C_28" localSheetId="1">[1]Sheet1!#REF!</definedName>
    <definedName name="_1C_28">[1]Sheet1!#REF!</definedName>
    <definedName name="_1C_29" localSheetId="5">[1]Sheet1!#REF!</definedName>
    <definedName name="_1C_29" localSheetId="3">[1]Sheet1!#REF!</definedName>
    <definedName name="_1C_29" localSheetId="6">[1]Sheet1!#REF!</definedName>
    <definedName name="_1C_29" localSheetId="7">[1]Sheet1!#REF!</definedName>
    <definedName name="_1C_29" localSheetId="8">[1]Sheet1!#REF!</definedName>
    <definedName name="_1C_29" localSheetId="4">[1]Sheet1!#REF!</definedName>
    <definedName name="_1C_29" localSheetId="1">[1]Sheet1!#REF!</definedName>
    <definedName name="_1C_29">[1]Sheet1!#REF!</definedName>
    <definedName name="_1C_3" localSheetId="5">[1]Sheet1!#REF!</definedName>
    <definedName name="_1C_3" localSheetId="3">[1]Sheet1!#REF!</definedName>
    <definedName name="_1C_3" localSheetId="6">[1]Sheet1!#REF!</definedName>
    <definedName name="_1C_3" localSheetId="7">[1]Sheet1!#REF!</definedName>
    <definedName name="_1C_3" localSheetId="8">[1]Sheet1!#REF!</definedName>
    <definedName name="_1C_3" localSheetId="4">[1]Sheet1!#REF!</definedName>
    <definedName name="_1C_3" localSheetId="1">[1]Sheet1!#REF!</definedName>
    <definedName name="_1C_3">[1]Sheet1!#REF!</definedName>
    <definedName name="_1C_30" localSheetId="5">[1]Sheet1!#REF!</definedName>
    <definedName name="_1C_30" localSheetId="3">[1]Sheet1!#REF!</definedName>
    <definedName name="_1C_30" localSheetId="6">[1]Sheet1!#REF!</definedName>
    <definedName name="_1C_30" localSheetId="7">[1]Sheet1!#REF!</definedName>
    <definedName name="_1C_30" localSheetId="8">[1]Sheet1!#REF!</definedName>
    <definedName name="_1C_30" localSheetId="4">[1]Sheet1!#REF!</definedName>
    <definedName name="_1C_30" localSheetId="1">[1]Sheet1!#REF!</definedName>
    <definedName name="_1C_30">[1]Sheet1!#REF!</definedName>
    <definedName name="_1C_4" localSheetId="5">[1]Sheet1!#REF!</definedName>
    <definedName name="_1C_4" localSheetId="3">[1]Sheet1!#REF!</definedName>
    <definedName name="_1C_4" localSheetId="6">[1]Sheet1!#REF!</definedName>
    <definedName name="_1C_4" localSheetId="7">[1]Sheet1!#REF!</definedName>
    <definedName name="_1C_4" localSheetId="8">[1]Sheet1!#REF!</definedName>
    <definedName name="_1C_4" localSheetId="4">[1]Sheet1!#REF!</definedName>
    <definedName name="_1C_4" localSheetId="1">[1]Sheet1!#REF!</definedName>
    <definedName name="_1C_4">[1]Sheet1!#REF!</definedName>
    <definedName name="_1C_5" localSheetId="5">[1]Sheet1!#REF!</definedName>
    <definedName name="_1C_5" localSheetId="3">[1]Sheet1!#REF!</definedName>
    <definedName name="_1C_5" localSheetId="6">[1]Sheet1!#REF!</definedName>
    <definedName name="_1C_5" localSheetId="7">[1]Sheet1!#REF!</definedName>
    <definedName name="_1C_5" localSheetId="8">[1]Sheet1!#REF!</definedName>
    <definedName name="_1C_5" localSheetId="4">[1]Sheet1!#REF!</definedName>
    <definedName name="_1C_5" localSheetId="1">[1]Sheet1!#REF!</definedName>
    <definedName name="_1C_5">[1]Sheet1!#REF!</definedName>
    <definedName name="_1C_6" localSheetId="5">[1]Sheet1!#REF!</definedName>
    <definedName name="_1C_6" localSheetId="3">[1]Sheet1!#REF!</definedName>
    <definedName name="_1C_6" localSheetId="6">[1]Sheet1!#REF!</definedName>
    <definedName name="_1C_6" localSheetId="7">[1]Sheet1!#REF!</definedName>
    <definedName name="_1C_6" localSheetId="8">[1]Sheet1!#REF!</definedName>
    <definedName name="_1C_6" localSheetId="4">[1]Sheet1!#REF!</definedName>
    <definedName name="_1C_6" localSheetId="1">[1]Sheet1!#REF!</definedName>
    <definedName name="_1C_6">[1]Sheet1!#REF!</definedName>
    <definedName name="_1C_7" localSheetId="5">[1]Sheet1!#REF!</definedName>
    <definedName name="_1C_7" localSheetId="3">[1]Sheet1!#REF!</definedName>
    <definedName name="_1C_7" localSheetId="6">[1]Sheet1!#REF!</definedName>
    <definedName name="_1C_7" localSheetId="7">[1]Sheet1!#REF!</definedName>
    <definedName name="_1C_7" localSheetId="8">[1]Sheet1!#REF!</definedName>
    <definedName name="_1C_7" localSheetId="4">[1]Sheet1!#REF!</definedName>
    <definedName name="_1C_7" localSheetId="1">[1]Sheet1!#REF!</definedName>
    <definedName name="_1C_7">[1]Sheet1!#REF!</definedName>
    <definedName name="_1C_8" localSheetId="5">[1]Sheet1!#REF!</definedName>
    <definedName name="_1C_8" localSheetId="3">[1]Sheet1!#REF!</definedName>
    <definedName name="_1C_8" localSheetId="6">[1]Sheet1!#REF!</definedName>
    <definedName name="_1C_8" localSheetId="7">[1]Sheet1!#REF!</definedName>
    <definedName name="_1C_8" localSheetId="8">[1]Sheet1!#REF!</definedName>
    <definedName name="_1C_8" localSheetId="4">[1]Sheet1!#REF!</definedName>
    <definedName name="_1C_8" localSheetId="1">[1]Sheet1!#REF!</definedName>
    <definedName name="_1C_8">[1]Sheet1!#REF!</definedName>
    <definedName name="_1C_9" localSheetId="5">[1]Sheet1!#REF!</definedName>
    <definedName name="_1C_9" localSheetId="3">[1]Sheet1!#REF!</definedName>
    <definedName name="_1C_9" localSheetId="6">[1]Sheet1!#REF!</definedName>
    <definedName name="_1C_9" localSheetId="7">[1]Sheet1!#REF!</definedName>
    <definedName name="_1C_9" localSheetId="8">[1]Sheet1!#REF!</definedName>
    <definedName name="_1C_9" localSheetId="4">[1]Sheet1!#REF!</definedName>
    <definedName name="_1C_9" localSheetId="1">[1]Sheet1!#REF!</definedName>
    <definedName name="_1C_9">[1]Sheet1!#REF!</definedName>
    <definedName name="_1공장" localSheetId="5">#REF!</definedName>
    <definedName name="_1공장" localSheetId="3">#REF!</definedName>
    <definedName name="_1공장" localSheetId="6">#REF!</definedName>
    <definedName name="_1공장" localSheetId="7">#REF!</definedName>
    <definedName name="_1공장" localSheetId="8">#REF!</definedName>
    <definedName name="_1공장" localSheetId="4">#REF!</definedName>
    <definedName name="_1공장" localSheetId="1">#REF!</definedName>
    <definedName name="_1공장">#REF!</definedName>
    <definedName name="_2A_1" localSheetId="5">[1]Sheet1!#REF!</definedName>
    <definedName name="_2A_1" localSheetId="3">[1]Sheet1!#REF!</definedName>
    <definedName name="_2A_1" localSheetId="6">[1]Sheet1!#REF!</definedName>
    <definedName name="_2A_1" localSheetId="7">[1]Sheet1!#REF!</definedName>
    <definedName name="_2A_1" localSheetId="8">[1]Sheet1!#REF!</definedName>
    <definedName name="_2A_1" localSheetId="4">[1]Sheet1!#REF!</definedName>
    <definedName name="_2A_1" localSheetId="1">[1]Sheet1!#REF!</definedName>
    <definedName name="_2A_1">[1]Sheet1!#REF!</definedName>
    <definedName name="_2A_10" localSheetId="5">[1]Sheet1!#REF!</definedName>
    <definedName name="_2A_10" localSheetId="3">[1]Sheet1!#REF!</definedName>
    <definedName name="_2A_10" localSheetId="6">[1]Sheet1!#REF!</definedName>
    <definedName name="_2A_10" localSheetId="7">[1]Sheet1!#REF!</definedName>
    <definedName name="_2A_10" localSheetId="8">[1]Sheet1!#REF!</definedName>
    <definedName name="_2A_10" localSheetId="4">[1]Sheet1!#REF!</definedName>
    <definedName name="_2A_10" localSheetId="1">[1]Sheet1!#REF!</definedName>
    <definedName name="_2A_10">[1]Sheet1!#REF!</definedName>
    <definedName name="_2A_11" localSheetId="5">[1]Sheet1!#REF!</definedName>
    <definedName name="_2A_11" localSheetId="3">[1]Sheet1!#REF!</definedName>
    <definedName name="_2A_11" localSheetId="6">[1]Sheet1!#REF!</definedName>
    <definedName name="_2A_11" localSheetId="7">[1]Sheet1!#REF!</definedName>
    <definedName name="_2A_11" localSheetId="8">[1]Sheet1!#REF!</definedName>
    <definedName name="_2A_11" localSheetId="4">[1]Sheet1!#REF!</definedName>
    <definedName name="_2A_11" localSheetId="1">[1]Sheet1!#REF!</definedName>
    <definedName name="_2A_11">[1]Sheet1!#REF!</definedName>
    <definedName name="_2A_12" localSheetId="5">[1]Sheet1!#REF!</definedName>
    <definedName name="_2A_12" localSheetId="3">[1]Sheet1!#REF!</definedName>
    <definedName name="_2A_12" localSheetId="6">[1]Sheet1!#REF!</definedName>
    <definedName name="_2A_12" localSheetId="7">[1]Sheet1!#REF!</definedName>
    <definedName name="_2A_12" localSheetId="8">[1]Sheet1!#REF!</definedName>
    <definedName name="_2A_12" localSheetId="4">[1]Sheet1!#REF!</definedName>
    <definedName name="_2A_12" localSheetId="1">[1]Sheet1!#REF!</definedName>
    <definedName name="_2A_12">[1]Sheet1!#REF!</definedName>
    <definedName name="_2A_13" localSheetId="5">[1]Sheet1!#REF!</definedName>
    <definedName name="_2A_13" localSheetId="3">[1]Sheet1!#REF!</definedName>
    <definedName name="_2A_13" localSheetId="6">[1]Sheet1!#REF!</definedName>
    <definedName name="_2A_13" localSheetId="7">[1]Sheet1!#REF!</definedName>
    <definedName name="_2A_13" localSheetId="8">[1]Sheet1!#REF!</definedName>
    <definedName name="_2A_13" localSheetId="4">[1]Sheet1!#REF!</definedName>
    <definedName name="_2A_13" localSheetId="1">[1]Sheet1!#REF!</definedName>
    <definedName name="_2A_13">[1]Sheet1!#REF!</definedName>
    <definedName name="_2A_14" localSheetId="5">[1]Sheet1!#REF!</definedName>
    <definedName name="_2A_14" localSheetId="3">[1]Sheet1!#REF!</definedName>
    <definedName name="_2A_14" localSheetId="6">[1]Sheet1!#REF!</definedName>
    <definedName name="_2A_14" localSheetId="7">[1]Sheet1!#REF!</definedName>
    <definedName name="_2A_14" localSheetId="8">[1]Sheet1!#REF!</definedName>
    <definedName name="_2A_14" localSheetId="4">[1]Sheet1!#REF!</definedName>
    <definedName name="_2A_14" localSheetId="1">[1]Sheet1!#REF!</definedName>
    <definedName name="_2A_14">[1]Sheet1!#REF!</definedName>
    <definedName name="_2A_15" localSheetId="5">[1]Sheet1!#REF!</definedName>
    <definedName name="_2A_15" localSheetId="3">[1]Sheet1!#REF!</definedName>
    <definedName name="_2A_15" localSheetId="6">[1]Sheet1!#REF!</definedName>
    <definedName name="_2A_15" localSheetId="7">[1]Sheet1!#REF!</definedName>
    <definedName name="_2A_15" localSheetId="8">[1]Sheet1!#REF!</definedName>
    <definedName name="_2A_15" localSheetId="4">[1]Sheet1!#REF!</definedName>
    <definedName name="_2A_15" localSheetId="1">[1]Sheet1!#REF!</definedName>
    <definedName name="_2A_15">[1]Sheet1!#REF!</definedName>
    <definedName name="_2A_16" localSheetId="5">[1]Sheet1!#REF!</definedName>
    <definedName name="_2A_16" localSheetId="3">[1]Sheet1!#REF!</definedName>
    <definedName name="_2A_16" localSheetId="6">[1]Sheet1!#REF!</definedName>
    <definedName name="_2A_16" localSheetId="7">[1]Sheet1!#REF!</definedName>
    <definedName name="_2A_16" localSheetId="8">[1]Sheet1!#REF!</definedName>
    <definedName name="_2A_16" localSheetId="4">[1]Sheet1!#REF!</definedName>
    <definedName name="_2A_16" localSheetId="1">[1]Sheet1!#REF!</definedName>
    <definedName name="_2A_16">[1]Sheet1!#REF!</definedName>
    <definedName name="_2A_17" localSheetId="5">[1]Sheet1!#REF!</definedName>
    <definedName name="_2A_17" localSheetId="3">[1]Sheet1!#REF!</definedName>
    <definedName name="_2A_17" localSheetId="6">[1]Sheet1!#REF!</definedName>
    <definedName name="_2A_17" localSheetId="7">[1]Sheet1!#REF!</definedName>
    <definedName name="_2A_17" localSheetId="8">[1]Sheet1!#REF!</definedName>
    <definedName name="_2A_17" localSheetId="4">[1]Sheet1!#REF!</definedName>
    <definedName name="_2A_17" localSheetId="1">[1]Sheet1!#REF!</definedName>
    <definedName name="_2A_17">[1]Sheet1!#REF!</definedName>
    <definedName name="_2A_18" localSheetId="5">[1]Sheet1!#REF!</definedName>
    <definedName name="_2A_18" localSheetId="3">[1]Sheet1!#REF!</definedName>
    <definedName name="_2A_18" localSheetId="6">[1]Sheet1!#REF!</definedName>
    <definedName name="_2A_18" localSheetId="7">[1]Sheet1!#REF!</definedName>
    <definedName name="_2A_18" localSheetId="8">[1]Sheet1!#REF!</definedName>
    <definedName name="_2A_18" localSheetId="4">[1]Sheet1!#REF!</definedName>
    <definedName name="_2A_18" localSheetId="1">[1]Sheet1!#REF!</definedName>
    <definedName name="_2A_18">[1]Sheet1!#REF!</definedName>
    <definedName name="_2A_19" localSheetId="5">[1]Sheet1!#REF!</definedName>
    <definedName name="_2A_19" localSheetId="3">[1]Sheet1!#REF!</definedName>
    <definedName name="_2A_19" localSheetId="6">[1]Sheet1!#REF!</definedName>
    <definedName name="_2A_19" localSheetId="7">[1]Sheet1!#REF!</definedName>
    <definedName name="_2A_19" localSheetId="8">[1]Sheet1!#REF!</definedName>
    <definedName name="_2A_19" localSheetId="4">[1]Sheet1!#REF!</definedName>
    <definedName name="_2A_19" localSheetId="1">[1]Sheet1!#REF!</definedName>
    <definedName name="_2A_19">[1]Sheet1!#REF!</definedName>
    <definedName name="_2A_2" localSheetId="5">[1]Sheet1!#REF!</definedName>
    <definedName name="_2A_2" localSheetId="3">[1]Sheet1!#REF!</definedName>
    <definedName name="_2A_2" localSheetId="6">[1]Sheet1!#REF!</definedName>
    <definedName name="_2A_2" localSheetId="7">[1]Sheet1!#REF!</definedName>
    <definedName name="_2A_2" localSheetId="8">[1]Sheet1!#REF!</definedName>
    <definedName name="_2A_2" localSheetId="4">[1]Sheet1!#REF!</definedName>
    <definedName name="_2A_2" localSheetId="1">[1]Sheet1!#REF!</definedName>
    <definedName name="_2A_2">[1]Sheet1!#REF!</definedName>
    <definedName name="_2A_20" localSheetId="5">[1]Sheet1!#REF!</definedName>
    <definedName name="_2A_20" localSheetId="3">[1]Sheet1!#REF!</definedName>
    <definedName name="_2A_20" localSheetId="6">[1]Sheet1!#REF!</definedName>
    <definedName name="_2A_20" localSheetId="7">[1]Sheet1!#REF!</definedName>
    <definedName name="_2A_20" localSheetId="8">[1]Sheet1!#REF!</definedName>
    <definedName name="_2A_20" localSheetId="4">[1]Sheet1!#REF!</definedName>
    <definedName name="_2A_20" localSheetId="1">[1]Sheet1!#REF!</definedName>
    <definedName name="_2A_20">[1]Sheet1!#REF!</definedName>
    <definedName name="_2A_21" localSheetId="5">[1]Sheet1!#REF!</definedName>
    <definedName name="_2A_21" localSheetId="3">[1]Sheet1!#REF!</definedName>
    <definedName name="_2A_21" localSheetId="6">[1]Sheet1!#REF!</definedName>
    <definedName name="_2A_21" localSheetId="7">[1]Sheet1!#REF!</definedName>
    <definedName name="_2A_21" localSheetId="8">[1]Sheet1!#REF!</definedName>
    <definedName name="_2A_21" localSheetId="4">[1]Sheet1!#REF!</definedName>
    <definedName name="_2A_21" localSheetId="1">[1]Sheet1!#REF!</definedName>
    <definedName name="_2A_21">[1]Sheet1!#REF!</definedName>
    <definedName name="_2A_22" localSheetId="5">[1]Sheet1!#REF!</definedName>
    <definedName name="_2A_22" localSheetId="3">[1]Sheet1!#REF!</definedName>
    <definedName name="_2A_22" localSheetId="6">[1]Sheet1!#REF!</definedName>
    <definedName name="_2A_22" localSheetId="7">[1]Sheet1!#REF!</definedName>
    <definedName name="_2A_22" localSheetId="8">[1]Sheet1!#REF!</definedName>
    <definedName name="_2A_22" localSheetId="4">[1]Sheet1!#REF!</definedName>
    <definedName name="_2A_22" localSheetId="1">[1]Sheet1!#REF!</definedName>
    <definedName name="_2A_22">[1]Sheet1!#REF!</definedName>
    <definedName name="_2A_23" localSheetId="5">[1]Sheet1!#REF!</definedName>
    <definedName name="_2A_23" localSheetId="3">[1]Sheet1!#REF!</definedName>
    <definedName name="_2A_23" localSheetId="6">[1]Sheet1!#REF!</definedName>
    <definedName name="_2A_23" localSheetId="7">[1]Sheet1!#REF!</definedName>
    <definedName name="_2A_23" localSheetId="8">[1]Sheet1!#REF!</definedName>
    <definedName name="_2A_23" localSheetId="4">[1]Sheet1!#REF!</definedName>
    <definedName name="_2A_23" localSheetId="1">[1]Sheet1!#REF!</definedName>
    <definedName name="_2A_23">[1]Sheet1!#REF!</definedName>
    <definedName name="_2A_24" localSheetId="5">[1]Sheet1!#REF!</definedName>
    <definedName name="_2A_24" localSheetId="3">[1]Sheet1!#REF!</definedName>
    <definedName name="_2A_24" localSheetId="6">[1]Sheet1!#REF!</definedName>
    <definedName name="_2A_24" localSheetId="7">[1]Sheet1!#REF!</definedName>
    <definedName name="_2A_24" localSheetId="8">[1]Sheet1!#REF!</definedName>
    <definedName name="_2A_24" localSheetId="4">[1]Sheet1!#REF!</definedName>
    <definedName name="_2A_24" localSheetId="1">[1]Sheet1!#REF!</definedName>
    <definedName name="_2A_24">[1]Sheet1!#REF!</definedName>
    <definedName name="_2A_25" localSheetId="5">[1]Sheet1!#REF!</definedName>
    <definedName name="_2A_25" localSheetId="3">[1]Sheet1!#REF!</definedName>
    <definedName name="_2A_25" localSheetId="6">[1]Sheet1!#REF!</definedName>
    <definedName name="_2A_25" localSheetId="7">[1]Sheet1!#REF!</definedName>
    <definedName name="_2A_25" localSheetId="8">[1]Sheet1!#REF!</definedName>
    <definedName name="_2A_25" localSheetId="4">[1]Sheet1!#REF!</definedName>
    <definedName name="_2A_25" localSheetId="1">[1]Sheet1!#REF!</definedName>
    <definedName name="_2A_25">[1]Sheet1!#REF!</definedName>
    <definedName name="_2A_26" localSheetId="5">[1]Sheet1!#REF!</definedName>
    <definedName name="_2A_26" localSheetId="3">[1]Sheet1!#REF!</definedName>
    <definedName name="_2A_26" localSheetId="6">[1]Sheet1!#REF!</definedName>
    <definedName name="_2A_26" localSheetId="7">[1]Sheet1!#REF!</definedName>
    <definedName name="_2A_26" localSheetId="8">[1]Sheet1!#REF!</definedName>
    <definedName name="_2A_26" localSheetId="4">[1]Sheet1!#REF!</definedName>
    <definedName name="_2A_26" localSheetId="1">[1]Sheet1!#REF!</definedName>
    <definedName name="_2A_26">[1]Sheet1!#REF!</definedName>
    <definedName name="_2A_27" localSheetId="5">[1]Sheet1!#REF!</definedName>
    <definedName name="_2A_27" localSheetId="3">[1]Sheet1!#REF!</definedName>
    <definedName name="_2A_27" localSheetId="6">[1]Sheet1!#REF!</definedName>
    <definedName name="_2A_27" localSheetId="7">[1]Sheet1!#REF!</definedName>
    <definedName name="_2A_27" localSheetId="8">[1]Sheet1!#REF!</definedName>
    <definedName name="_2A_27" localSheetId="4">[1]Sheet1!#REF!</definedName>
    <definedName name="_2A_27" localSheetId="1">[1]Sheet1!#REF!</definedName>
    <definedName name="_2A_27">[1]Sheet1!#REF!</definedName>
    <definedName name="_2A_28" localSheetId="5">[1]Sheet1!#REF!</definedName>
    <definedName name="_2A_28" localSheetId="3">[1]Sheet1!#REF!</definedName>
    <definedName name="_2A_28" localSheetId="6">[1]Sheet1!#REF!</definedName>
    <definedName name="_2A_28" localSheetId="7">[1]Sheet1!#REF!</definedName>
    <definedName name="_2A_28" localSheetId="8">[1]Sheet1!#REF!</definedName>
    <definedName name="_2A_28" localSheetId="4">[1]Sheet1!#REF!</definedName>
    <definedName name="_2A_28" localSheetId="1">[1]Sheet1!#REF!</definedName>
    <definedName name="_2A_28">[1]Sheet1!#REF!</definedName>
    <definedName name="_2A_29" localSheetId="5">[1]Sheet1!#REF!</definedName>
    <definedName name="_2A_29" localSheetId="3">[1]Sheet1!#REF!</definedName>
    <definedName name="_2A_29" localSheetId="6">[1]Sheet1!#REF!</definedName>
    <definedName name="_2A_29" localSheetId="7">[1]Sheet1!#REF!</definedName>
    <definedName name="_2A_29" localSheetId="8">[1]Sheet1!#REF!</definedName>
    <definedName name="_2A_29" localSheetId="4">[1]Sheet1!#REF!</definedName>
    <definedName name="_2A_29" localSheetId="1">[1]Sheet1!#REF!</definedName>
    <definedName name="_2A_29">[1]Sheet1!#REF!</definedName>
    <definedName name="_2A_3" localSheetId="5">[1]Sheet1!#REF!</definedName>
    <definedName name="_2A_3" localSheetId="3">[1]Sheet1!#REF!</definedName>
    <definedName name="_2A_3" localSheetId="6">[1]Sheet1!#REF!</definedName>
    <definedName name="_2A_3" localSheetId="7">[1]Sheet1!#REF!</definedName>
    <definedName name="_2A_3" localSheetId="8">[1]Sheet1!#REF!</definedName>
    <definedName name="_2A_3" localSheetId="4">[1]Sheet1!#REF!</definedName>
    <definedName name="_2A_3" localSheetId="1">[1]Sheet1!#REF!</definedName>
    <definedName name="_2A_3">[1]Sheet1!#REF!</definedName>
    <definedName name="_2A_30" localSheetId="5">[1]Sheet1!#REF!</definedName>
    <definedName name="_2A_30" localSheetId="3">[1]Sheet1!#REF!</definedName>
    <definedName name="_2A_30" localSheetId="6">[1]Sheet1!#REF!</definedName>
    <definedName name="_2A_30" localSheetId="7">[1]Sheet1!#REF!</definedName>
    <definedName name="_2A_30" localSheetId="8">[1]Sheet1!#REF!</definedName>
    <definedName name="_2A_30" localSheetId="4">[1]Sheet1!#REF!</definedName>
    <definedName name="_2A_30" localSheetId="1">[1]Sheet1!#REF!</definedName>
    <definedName name="_2A_30">[1]Sheet1!#REF!</definedName>
    <definedName name="_2A_4" localSheetId="5">[1]Sheet1!#REF!</definedName>
    <definedName name="_2A_4" localSheetId="3">[1]Sheet1!#REF!</definedName>
    <definedName name="_2A_4" localSheetId="6">[1]Sheet1!#REF!</definedName>
    <definedName name="_2A_4" localSheetId="7">[1]Sheet1!#REF!</definedName>
    <definedName name="_2A_4" localSheetId="8">[1]Sheet1!#REF!</definedName>
    <definedName name="_2A_4" localSheetId="4">[1]Sheet1!#REF!</definedName>
    <definedName name="_2A_4" localSheetId="1">[1]Sheet1!#REF!</definedName>
    <definedName name="_2A_4">[1]Sheet1!#REF!</definedName>
    <definedName name="_2A_5" localSheetId="5">[1]Sheet1!#REF!</definedName>
    <definedName name="_2A_5" localSheetId="3">[1]Sheet1!#REF!</definedName>
    <definedName name="_2A_5" localSheetId="6">[1]Sheet1!#REF!</definedName>
    <definedName name="_2A_5" localSheetId="7">[1]Sheet1!#REF!</definedName>
    <definedName name="_2A_5" localSheetId="8">[1]Sheet1!#REF!</definedName>
    <definedName name="_2A_5" localSheetId="4">[1]Sheet1!#REF!</definedName>
    <definedName name="_2A_5" localSheetId="1">[1]Sheet1!#REF!</definedName>
    <definedName name="_2A_5">[1]Sheet1!#REF!</definedName>
    <definedName name="_2A_6" localSheetId="5">[1]Sheet1!#REF!</definedName>
    <definedName name="_2A_6" localSheetId="3">[1]Sheet1!#REF!</definedName>
    <definedName name="_2A_6" localSheetId="6">[1]Sheet1!#REF!</definedName>
    <definedName name="_2A_6" localSheetId="7">[1]Sheet1!#REF!</definedName>
    <definedName name="_2A_6" localSheetId="8">[1]Sheet1!#REF!</definedName>
    <definedName name="_2A_6" localSheetId="4">[1]Sheet1!#REF!</definedName>
    <definedName name="_2A_6" localSheetId="1">[1]Sheet1!#REF!</definedName>
    <definedName name="_2A_6">[1]Sheet1!#REF!</definedName>
    <definedName name="_2A_7" localSheetId="5">[1]Sheet1!#REF!</definedName>
    <definedName name="_2A_7" localSheetId="3">[1]Sheet1!#REF!</definedName>
    <definedName name="_2A_7" localSheetId="6">[1]Sheet1!#REF!</definedName>
    <definedName name="_2A_7" localSheetId="7">[1]Sheet1!#REF!</definedName>
    <definedName name="_2A_7" localSheetId="8">[1]Sheet1!#REF!</definedName>
    <definedName name="_2A_7" localSheetId="4">[1]Sheet1!#REF!</definedName>
    <definedName name="_2A_7" localSheetId="1">[1]Sheet1!#REF!</definedName>
    <definedName name="_2A_7">[1]Sheet1!#REF!</definedName>
    <definedName name="_2A_8" localSheetId="5">[1]Sheet1!#REF!</definedName>
    <definedName name="_2A_8" localSheetId="3">[1]Sheet1!#REF!</definedName>
    <definedName name="_2A_8" localSheetId="6">[1]Sheet1!#REF!</definedName>
    <definedName name="_2A_8" localSheetId="7">[1]Sheet1!#REF!</definedName>
    <definedName name="_2A_8" localSheetId="8">[1]Sheet1!#REF!</definedName>
    <definedName name="_2A_8" localSheetId="4">[1]Sheet1!#REF!</definedName>
    <definedName name="_2A_8" localSheetId="1">[1]Sheet1!#REF!</definedName>
    <definedName name="_2A_8">[1]Sheet1!#REF!</definedName>
    <definedName name="_2A_9" localSheetId="5">[1]Sheet1!#REF!</definedName>
    <definedName name="_2A_9" localSheetId="3">[1]Sheet1!#REF!</definedName>
    <definedName name="_2A_9" localSheetId="6">[1]Sheet1!#REF!</definedName>
    <definedName name="_2A_9" localSheetId="7">[1]Sheet1!#REF!</definedName>
    <definedName name="_2A_9" localSheetId="8">[1]Sheet1!#REF!</definedName>
    <definedName name="_2A_9" localSheetId="4">[1]Sheet1!#REF!</definedName>
    <definedName name="_2A_9" localSheetId="1">[1]Sheet1!#REF!</definedName>
    <definedName name="_2A_9">[1]Sheet1!#REF!</definedName>
    <definedName name="_2B_1" localSheetId="5">[1]Sheet1!#REF!</definedName>
    <definedName name="_2B_1" localSheetId="3">[1]Sheet1!#REF!</definedName>
    <definedName name="_2B_1" localSheetId="6">[1]Sheet1!#REF!</definedName>
    <definedName name="_2B_1" localSheetId="7">[1]Sheet1!#REF!</definedName>
    <definedName name="_2B_1" localSheetId="8">[1]Sheet1!#REF!</definedName>
    <definedName name="_2B_1" localSheetId="4">[1]Sheet1!#REF!</definedName>
    <definedName name="_2B_1" localSheetId="1">[1]Sheet1!#REF!</definedName>
    <definedName name="_2B_1">[1]Sheet1!#REF!</definedName>
    <definedName name="_2B_10" localSheetId="5">[1]Sheet1!#REF!</definedName>
    <definedName name="_2B_10" localSheetId="3">[1]Sheet1!#REF!</definedName>
    <definedName name="_2B_10" localSheetId="6">[1]Sheet1!#REF!</definedName>
    <definedName name="_2B_10" localSheetId="7">[1]Sheet1!#REF!</definedName>
    <definedName name="_2B_10" localSheetId="8">[1]Sheet1!#REF!</definedName>
    <definedName name="_2B_10" localSheetId="4">[1]Sheet1!#REF!</definedName>
    <definedName name="_2B_10" localSheetId="1">[1]Sheet1!#REF!</definedName>
    <definedName name="_2B_10">[1]Sheet1!#REF!</definedName>
    <definedName name="_2B_11" localSheetId="5">[1]Sheet1!#REF!</definedName>
    <definedName name="_2B_11" localSheetId="3">[1]Sheet1!#REF!</definedName>
    <definedName name="_2B_11" localSheetId="6">[1]Sheet1!#REF!</definedName>
    <definedName name="_2B_11" localSheetId="7">[1]Sheet1!#REF!</definedName>
    <definedName name="_2B_11" localSheetId="8">[1]Sheet1!#REF!</definedName>
    <definedName name="_2B_11" localSheetId="4">[1]Sheet1!#REF!</definedName>
    <definedName name="_2B_11" localSheetId="1">[1]Sheet1!#REF!</definedName>
    <definedName name="_2B_11">[1]Sheet1!#REF!</definedName>
    <definedName name="_2B_12" localSheetId="5">[1]Sheet1!#REF!</definedName>
    <definedName name="_2B_12" localSheetId="3">[1]Sheet1!#REF!</definedName>
    <definedName name="_2B_12" localSheetId="6">[1]Sheet1!#REF!</definedName>
    <definedName name="_2B_12" localSheetId="7">[1]Sheet1!#REF!</definedName>
    <definedName name="_2B_12" localSheetId="8">[1]Sheet1!#REF!</definedName>
    <definedName name="_2B_12" localSheetId="4">[1]Sheet1!#REF!</definedName>
    <definedName name="_2B_12" localSheetId="1">[1]Sheet1!#REF!</definedName>
    <definedName name="_2B_12">[1]Sheet1!#REF!</definedName>
    <definedName name="_2B_13" localSheetId="5">[1]Sheet1!#REF!</definedName>
    <definedName name="_2B_13" localSheetId="3">[1]Sheet1!#REF!</definedName>
    <definedName name="_2B_13" localSheetId="6">[1]Sheet1!#REF!</definedName>
    <definedName name="_2B_13" localSheetId="7">[1]Sheet1!#REF!</definedName>
    <definedName name="_2B_13" localSheetId="8">[1]Sheet1!#REF!</definedName>
    <definedName name="_2B_13" localSheetId="4">[1]Sheet1!#REF!</definedName>
    <definedName name="_2B_13" localSheetId="1">[1]Sheet1!#REF!</definedName>
    <definedName name="_2B_13">[1]Sheet1!#REF!</definedName>
    <definedName name="_2B_14" localSheetId="5">[1]Sheet1!#REF!</definedName>
    <definedName name="_2B_14" localSheetId="3">[1]Sheet1!#REF!</definedName>
    <definedName name="_2B_14" localSheetId="6">[1]Sheet1!#REF!</definedName>
    <definedName name="_2B_14" localSheetId="7">[1]Sheet1!#REF!</definedName>
    <definedName name="_2B_14" localSheetId="8">[1]Sheet1!#REF!</definedName>
    <definedName name="_2B_14" localSheetId="4">[1]Sheet1!#REF!</definedName>
    <definedName name="_2B_14" localSheetId="1">[1]Sheet1!#REF!</definedName>
    <definedName name="_2B_14">[1]Sheet1!#REF!</definedName>
    <definedName name="_2B_15" localSheetId="5">[1]Sheet1!#REF!</definedName>
    <definedName name="_2B_15" localSheetId="3">[1]Sheet1!#REF!</definedName>
    <definedName name="_2B_15" localSheetId="6">[1]Sheet1!#REF!</definedName>
    <definedName name="_2B_15" localSheetId="7">[1]Sheet1!#REF!</definedName>
    <definedName name="_2B_15" localSheetId="8">[1]Sheet1!#REF!</definedName>
    <definedName name="_2B_15" localSheetId="4">[1]Sheet1!#REF!</definedName>
    <definedName name="_2B_15" localSheetId="1">[1]Sheet1!#REF!</definedName>
    <definedName name="_2B_15">[1]Sheet1!#REF!</definedName>
    <definedName name="_2B_16" localSheetId="5">[1]Sheet1!#REF!</definedName>
    <definedName name="_2B_16" localSheetId="3">[1]Sheet1!#REF!</definedName>
    <definedName name="_2B_16" localSheetId="6">[1]Sheet1!#REF!</definedName>
    <definedName name="_2B_16" localSheetId="7">[1]Sheet1!#REF!</definedName>
    <definedName name="_2B_16" localSheetId="8">[1]Sheet1!#REF!</definedName>
    <definedName name="_2B_16" localSheetId="4">[1]Sheet1!#REF!</definedName>
    <definedName name="_2B_16" localSheetId="1">[1]Sheet1!#REF!</definedName>
    <definedName name="_2B_16">[1]Sheet1!#REF!</definedName>
    <definedName name="_2B_17" localSheetId="5">[1]Sheet1!#REF!</definedName>
    <definedName name="_2B_17" localSheetId="3">[1]Sheet1!#REF!</definedName>
    <definedName name="_2B_17" localSheetId="6">[1]Sheet1!#REF!</definedName>
    <definedName name="_2B_17" localSheetId="7">[1]Sheet1!#REF!</definedName>
    <definedName name="_2B_17" localSheetId="8">[1]Sheet1!#REF!</definedName>
    <definedName name="_2B_17" localSheetId="4">[1]Sheet1!#REF!</definedName>
    <definedName name="_2B_17" localSheetId="1">[1]Sheet1!#REF!</definedName>
    <definedName name="_2B_17">[1]Sheet1!#REF!</definedName>
    <definedName name="_2B_18" localSheetId="5">[1]Sheet1!#REF!</definedName>
    <definedName name="_2B_18" localSheetId="3">[1]Sheet1!#REF!</definedName>
    <definedName name="_2B_18" localSheetId="6">[1]Sheet1!#REF!</definedName>
    <definedName name="_2B_18" localSheetId="7">[1]Sheet1!#REF!</definedName>
    <definedName name="_2B_18" localSheetId="8">[1]Sheet1!#REF!</definedName>
    <definedName name="_2B_18" localSheetId="4">[1]Sheet1!#REF!</definedName>
    <definedName name="_2B_18" localSheetId="1">[1]Sheet1!#REF!</definedName>
    <definedName name="_2B_18">[1]Sheet1!#REF!</definedName>
    <definedName name="_2B_19" localSheetId="5">[1]Sheet1!#REF!</definedName>
    <definedName name="_2B_19" localSheetId="3">[1]Sheet1!#REF!</definedName>
    <definedName name="_2B_19" localSheetId="6">[1]Sheet1!#REF!</definedName>
    <definedName name="_2B_19" localSheetId="7">[1]Sheet1!#REF!</definedName>
    <definedName name="_2B_19" localSheetId="8">[1]Sheet1!#REF!</definedName>
    <definedName name="_2B_19" localSheetId="4">[1]Sheet1!#REF!</definedName>
    <definedName name="_2B_19" localSheetId="1">[1]Sheet1!#REF!</definedName>
    <definedName name="_2B_19">[1]Sheet1!#REF!</definedName>
    <definedName name="_2B_2" localSheetId="5">[1]Sheet1!#REF!</definedName>
    <definedName name="_2B_2" localSheetId="3">[1]Sheet1!#REF!</definedName>
    <definedName name="_2B_2" localSheetId="6">[1]Sheet1!#REF!</definedName>
    <definedName name="_2B_2" localSheetId="7">[1]Sheet1!#REF!</definedName>
    <definedName name="_2B_2" localSheetId="8">[1]Sheet1!#REF!</definedName>
    <definedName name="_2B_2" localSheetId="4">[1]Sheet1!#REF!</definedName>
    <definedName name="_2B_2" localSheetId="1">[1]Sheet1!#REF!</definedName>
    <definedName name="_2B_2">[1]Sheet1!#REF!</definedName>
    <definedName name="_2B_20" localSheetId="5">[1]Sheet1!#REF!</definedName>
    <definedName name="_2B_20" localSheetId="3">[1]Sheet1!#REF!</definedName>
    <definedName name="_2B_20" localSheetId="6">[1]Sheet1!#REF!</definedName>
    <definedName name="_2B_20" localSheetId="7">[1]Sheet1!#REF!</definedName>
    <definedName name="_2B_20" localSheetId="8">[1]Sheet1!#REF!</definedName>
    <definedName name="_2B_20" localSheetId="4">[1]Sheet1!#REF!</definedName>
    <definedName name="_2B_20" localSheetId="1">[1]Sheet1!#REF!</definedName>
    <definedName name="_2B_20">[1]Sheet1!#REF!</definedName>
    <definedName name="_2B_21" localSheetId="5">[1]Sheet1!#REF!</definedName>
    <definedName name="_2B_21" localSheetId="3">[1]Sheet1!#REF!</definedName>
    <definedName name="_2B_21" localSheetId="6">[1]Sheet1!#REF!</definedName>
    <definedName name="_2B_21" localSheetId="7">[1]Sheet1!#REF!</definedName>
    <definedName name="_2B_21" localSheetId="8">[1]Sheet1!#REF!</definedName>
    <definedName name="_2B_21" localSheetId="4">[1]Sheet1!#REF!</definedName>
    <definedName name="_2B_21" localSheetId="1">[1]Sheet1!#REF!</definedName>
    <definedName name="_2B_21">[1]Sheet1!#REF!</definedName>
    <definedName name="_2B_22" localSheetId="5">[1]Sheet1!#REF!</definedName>
    <definedName name="_2B_22" localSheetId="3">[1]Sheet1!#REF!</definedName>
    <definedName name="_2B_22" localSheetId="6">[1]Sheet1!#REF!</definedName>
    <definedName name="_2B_22" localSheetId="7">[1]Sheet1!#REF!</definedName>
    <definedName name="_2B_22" localSheetId="8">[1]Sheet1!#REF!</definedName>
    <definedName name="_2B_22" localSheetId="4">[1]Sheet1!#REF!</definedName>
    <definedName name="_2B_22" localSheetId="1">[1]Sheet1!#REF!</definedName>
    <definedName name="_2B_22">[1]Sheet1!#REF!</definedName>
    <definedName name="_2B_23" localSheetId="5">[1]Sheet1!#REF!</definedName>
    <definedName name="_2B_23" localSheetId="3">[1]Sheet1!#REF!</definedName>
    <definedName name="_2B_23" localSheetId="6">[1]Sheet1!#REF!</definedName>
    <definedName name="_2B_23" localSheetId="7">[1]Sheet1!#REF!</definedName>
    <definedName name="_2B_23" localSheetId="8">[1]Sheet1!#REF!</definedName>
    <definedName name="_2B_23" localSheetId="4">[1]Sheet1!#REF!</definedName>
    <definedName name="_2B_23" localSheetId="1">[1]Sheet1!#REF!</definedName>
    <definedName name="_2B_23">[1]Sheet1!#REF!</definedName>
    <definedName name="_2B_24" localSheetId="5">[1]Sheet1!#REF!</definedName>
    <definedName name="_2B_24" localSheetId="3">[1]Sheet1!#REF!</definedName>
    <definedName name="_2B_24" localSheetId="6">[1]Sheet1!#REF!</definedName>
    <definedName name="_2B_24" localSheetId="7">[1]Sheet1!#REF!</definedName>
    <definedName name="_2B_24" localSheetId="8">[1]Sheet1!#REF!</definedName>
    <definedName name="_2B_24" localSheetId="4">[1]Sheet1!#REF!</definedName>
    <definedName name="_2B_24" localSheetId="1">[1]Sheet1!#REF!</definedName>
    <definedName name="_2B_24">[1]Sheet1!#REF!</definedName>
    <definedName name="_2B_25" localSheetId="5">[1]Sheet1!#REF!</definedName>
    <definedName name="_2B_25" localSheetId="3">[1]Sheet1!#REF!</definedName>
    <definedName name="_2B_25" localSheetId="6">[1]Sheet1!#REF!</definedName>
    <definedName name="_2B_25" localSheetId="7">[1]Sheet1!#REF!</definedName>
    <definedName name="_2B_25" localSheetId="8">[1]Sheet1!#REF!</definedName>
    <definedName name="_2B_25" localSheetId="4">[1]Sheet1!#REF!</definedName>
    <definedName name="_2B_25" localSheetId="1">[1]Sheet1!#REF!</definedName>
    <definedName name="_2B_25">[1]Sheet1!#REF!</definedName>
    <definedName name="_2B_26" localSheetId="5">[1]Sheet1!#REF!</definedName>
    <definedName name="_2B_26" localSheetId="3">[1]Sheet1!#REF!</definedName>
    <definedName name="_2B_26" localSheetId="6">[1]Sheet1!#REF!</definedName>
    <definedName name="_2B_26" localSheetId="7">[1]Sheet1!#REF!</definedName>
    <definedName name="_2B_26" localSheetId="8">[1]Sheet1!#REF!</definedName>
    <definedName name="_2B_26" localSheetId="4">[1]Sheet1!#REF!</definedName>
    <definedName name="_2B_26" localSheetId="1">[1]Sheet1!#REF!</definedName>
    <definedName name="_2B_26">[1]Sheet1!#REF!</definedName>
    <definedName name="_2B_27" localSheetId="5">[1]Sheet1!#REF!</definedName>
    <definedName name="_2B_27" localSheetId="3">[1]Sheet1!#REF!</definedName>
    <definedName name="_2B_27" localSheetId="6">[1]Sheet1!#REF!</definedName>
    <definedName name="_2B_27" localSheetId="7">[1]Sheet1!#REF!</definedName>
    <definedName name="_2B_27" localSheetId="8">[1]Sheet1!#REF!</definedName>
    <definedName name="_2B_27" localSheetId="4">[1]Sheet1!#REF!</definedName>
    <definedName name="_2B_27" localSheetId="1">[1]Sheet1!#REF!</definedName>
    <definedName name="_2B_27">[1]Sheet1!#REF!</definedName>
    <definedName name="_2B_28" localSheetId="5">[1]Sheet1!#REF!</definedName>
    <definedName name="_2B_28" localSheetId="3">[1]Sheet1!#REF!</definedName>
    <definedName name="_2B_28" localSheetId="6">[1]Sheet1!#REF!</definedName>
    <definedName name="_2B_28" localSheetId="7">[1]Sheet1!#REF!</definedName>
    <definedName name="_2B_28" localSheetId="8">[1]Sheet1!#REF!</definedName>
    <definedName name="_2B_28" localSheetId="4">[1]Sheet1!#REF!</definedName>
    <definedName name="_2B_28" localSheetId="1">[1]Sheet1!#REF!</definedName>
    <definedName name="_2B_28">[1]Sheet1!#REF!</definedName>
    <definedName name="_2B_29" localSheetId="5">[1]Sheet1!#REF!</definedName>
    <definedName name="_2B_29" localSheetId="3">[1]Sheet1!#REF!</definedName>
    <definedName name="_2B_29" localSheetId="6">[1]Sheet1!#REF!</definedName>
    <definedName name="_2B_29" localSheetId="7">[1]Sheet1!#REF!</definedName>
    <definedName name="_2B_29" localSheetId="8">[1]Sheet1!#REF!</definedName>
    <definedName name="_2B_29" localSheetId="4">[1]Sheet1!#REF!</definedName>
    <definedName name="_2B_29" localSheetId="1">[1]Sheet1!#REF!</definedName>
    <definedName name="_2B_29">[1]Sheet1!#REF!</definedName>
    <definedName name="_2B_3" localSheetId="5">[1]Sheet1!#REF!</definedName>
    <definedName name="_2B_3" localSheetId="3">[1]Sheet1!#REF!</definedName>
    <definedName name="_2B_3" localSheetId="6">[1]Sheet1!#REF!</definedName>
    <definedName name="_2B_3" localSheetId="7">[1]Sheet1!#REF!</definedName>
    <definedName name="_2B_3" localSheetId="8">[1]Sheet1!#REF!</definedName>
    <definedName name="_2B_3" localSheetId="4">[1]Sheet1!#REF!</definedName>
    <definedName name="_2B_3" localSheetId="1">[1]Sheet1!#REF!</definedName>
    <definedName name="_2B_3">[1]Sheet1!#REF!</definedName>
    <definedName name="_2B_30" localSheetId="5">[1]Sheet1!#REF!</definedName>
    <definedName name="_2B_30" localSheetId="3">[1]Sheet1!#REF!</definedName>
    <definedName name="_2B_30" localSheetId="6">[1]Sheet1!#REF!</definedName>
    <definedName name="_2B_30" localSheetId="7">[1]Sheet1!#REF!</definedName>
    <definedName name="_2B_30" localSheetId="8">[1]Sheet1!#REF!</definedName>
    <definedName name="_2B_30" localSheetId="4">[1]Sheet1!#REF!</definedName>
    <definedName name="_2B_30" localSheetId="1">[1]Sheet1!#REF!</definedName>
    <definedName name="_2B_30">[1]Sheet1!#REF!</definedName>
    <definedName name="_2B_4" localSheetId="5">[1]Sheet1!#REF!</definedName>
    <definedName name="_2B_4" localSheetId="3">[1]Sheet1!#REF!</definedName>
    <definedName name="_2B_4" localSheetId="6">[1]Sheet1!#REF!</definedName>
    <definedName name="_2B_4" localSheetId="7">[1]Sheet1!#REF!</definedName>
    <definedName name="_2B_4" localSheetId="8">[1]Sheet1!#REF!</definedName>
    <definedName name="_2B_4" localSheetId="4">[1]Sheet1!#REF!</definedName>
    <definedName name="_2B_4" localSheetId="1">[1]Sheet1!#REF!</definedName>
    <definedName name="_2B_4">[1]Sheet1!#REF!</definedName>
    <definedName name="_2B_5" localSheetId="5">[1]Sheet1!#REF!</definedName>
    <definedName name="_2B_5" localSheetId="3">[1]Sheet1!#REF!</definedName>
    <definedName name="_2B_5" localSheetId="6">[1]Sheet1!#REF!</definedName>
    <definedName name="_2B_5" localSheetId="7">[1]Sheet1!#REF!</definedName>
    <definedName name="_2B_5" localSheetId="8">[1]Sheet1!#REF!</definedName>
    <definedName name="_2B_5" localSheetId="4">[1]Sheet1!#REF!</definedName>
    <definedName name="_2B_5" localSheetId="1">[1]Sheet1!#REF!</definedName>
    <definedName name="_2B_5">[1]Sheet1!#REF!</definedName>
    <definedName name="_2B_6" localSheetId="5">[1]Sheet1!#REF!</definedName>
    <definedName name="_2B_6" localSheetId="3">[1]Sheet1!#REF!</definedName>
    <definedName name="_2B_6" localSheetId="6">[1]Sheet1!#REF!</definedName>
    <definedName name="_2B_6" localSheetId="7">[1]Sheet1!#REF!</definedName>
    <definedName name="_2B_6" localSheetId="8">[1]Sheet1!#REF!</definedName>
    <definedName name="_2B_6" localSheetId="4">[1]Sheet1!#REF!</definedName>
    <definedName name="_2B_6" localSheetId="1">[1]Sheet1!#REF!</definedName>
    <definedName name="_2B_6">[1]Sheet1!#REF!</definedName>
    <definedName name="_2B_7" localSheetId="5">[1]Sheet1!#REF!</definedName>
    <definedName name="_2B_7" localSheetId="3">[1]Sheet1!#REF!</definedName>
    <definedName name="_2B_7" localSheetId="6">[1]Sheet1!#REF!</definedName>
    <definedName name="_2B_7" localSheetId="7">[1]Sheet1!#REF!</definedName>
    <definedName name="_2B_7" localSheetId="8">[1]Sheet1!#REF!</definedName>
    <definedName name="_2B_7" localSheetId="4">[1]Sheet1!#REF!</definedName>
    <definedName name="_2B_7" localSheetId="1">[1]Sheet1!#REF!</definedName>
    <definedName name="_2B_7">[1]Sheet1!#REF!</definedName>
    <definedName name="_2B_8" localSheetId="5">[1]Sheet1!#REF!</definedName>
    <definedName name="_2B_8" localSheetId="3">[1]Sheet1!#REF!</definedName>
    <definedName name="_2B_8" localSheetId="6">[1]Sheet1!#REF!</definedName>
    <definedName name="_2B_8" localSheetId="7">[1]Sheet1!#REF!</definedName>
    <definedName name="_2B_8" localSheetId="8">[1]Sheet1!#REF!</definedName>
    <definedName name="_2B_8" localSheetId="4">[1]Sheet1!#REF!</definedName>
    <definedName name="_2B_8" localSheetId="1">[1]Sheet1!#REF!</definedName>
    <definedName name="_2B_8">[1]Sheet1!#REF!</definedName>
    <definedName name="_2B_9" localSheetId="5">[1]Sheet1!#REF!</definedName>
    <definedName name="_2B_9" localSheetId="3">[1]Sheet1!#REF!</definedName>
    <definedName name="_2B_9" localSheetId="6">[1]Sheet1!#REF!</definedName>
    <definedName name="_2B_9" localSheetId="7">[1]Sheet1!#REF!</definedName>
    <definedName name="_2B_9" localSheetId="8">[1]Sheet1!#REF!</definedName>
    <definedName name="_2B_9" localSheetId="4">[1]Sheet1!#REF!</definedName>
    <definedName name="_2B_9" localSheetId="1">[1]Sheet1!#REF!</definedName>
    <definedName name="_2B_9">[1]Sheet1!#REF!</definedName>
    <definedName name="_2C_1" localSheetId="5">[1]Sheet1!#REF!</definedName>
    <definedName name="_2C_1" localSheetId="3">[1]Sheet1!#REF!</definedName>
    <definedName name="_2C_1" localSheetId="6">[1]Sheet1!#REF!</definedName>
    <definedName name="_2C_1" localSheetId="7">[1]Sheet1!#REF!</definedName>
    <definedName name="_2C_1" localSheetId="8">[1]Sheet1!#REF!</definedName>
    <definedName name="_2C_1" localSheetId="4">[1]Sheet1!#REF!</definedName>
    <definedName name="_2C_1" localSheetId="1">[1]Sheet1!#REF!</definedName>
    <definedName name="_2C_1">[1]Sheet1!#REF!</definedName>
    <definedName name="_2C_10" localSheetId="5">[1]Sheet1!#REF!</definedName>
    <definedName name="_2C_10" localSheetId="3">[1]Sheet1!#REF!</definedName>
    <definedName name="_2C_10" localSheetId="6">[1]Sheet1!#REF!</definedName>
    <definedName name="_2C_10" localSheetId="7">[1]Sheet1!#REF!</definedName>
    <definedName name="_2C_10" localSheetId="8">[1]Sheet1!#REF!</definedName>
    <definedName name="_2C_10" localSheetId="4">[1]Sheet1!#REF!</definedName>
    <definedName name="_2C_10" localSheetId="1">[1]Sheet1!#REF!</definedName>
    <definedName name="_2C_10">[1]Sheet1!#REF!</definedName>
    <definedName name="_2C_11" localSheetId="5">[1]Sheet1!#REF!</definedName>
    <definedName name="_2C_11" localSheetId="3">[1]Sheet1!#REF!</definedName>
    <definedName name="_2C_11" localSheetId="6">[1]Sheet1!#REF!</definedName>
    <definedName name="_2C_11" localSheetId="7">[1]Sheet1!#REF!</definedName>
    <definedName name="_2C_11" localSheetId="8">[1]Sheet1!#REF!</definedName>
    <definedName name="_2C_11" localSheetId="4">[1]Sheet1!#REF!</definedName>
    <definedName name="_2C_11" localSheetId="1">[1]Sheet1!#REF!</definedName>
    <definedName name="_2C_11">[1]Sheet1!#REF!</definedName>
    <definedName name="_2C_12" localSheetId="5">[1]Sheet1!#REF!</definedName>
    <definedName name="_2C_12" localSheetId="3">[1]Sheet1!#REF!</definedName>
    <definedName name="_2C_12" localSheetId="6">[1]Sheet1!#REF!</definedName>
    <definedName name="_2C_12" localSheetId="7">[1]Sheet1!#REF!</definedName>
    <definedName name="_2C_12" localSheetId="8">[1]Sheet1!#REF!</definedName>
    <definedName name="_2C_12" localSheetId="4">[1]Sheet1!#REF!</definedName>
    <definedName name="_2C_12" localSheetId="1">[1]Sheet1!#REF!</definedName>
    <definedName name="_2C_12">[1]Sheet1!#REF!</definedName>
    <definedName name="_2C_13" localSheetId="5">[1]Sheet1!#REF!</definedName>
    <definedName name="_2C_13" localSheetId="3">[1]Sheet1!#REF!</definedName>
    <definedName name="_2C_13" localSheetId="6">[1]Sheet1!#REF!</definedName>
    <definedName name="_2C_13" localSheetId="7">[1]Sheet1!#REF!</definedName>
    <definedName name="_2C_13" localSheetId="8">[1]Sheet1!#REF!</definedName>
    <definedName name="_2C_13" localSheetId="4">[1]Sheet1!#REF!</definedName>
    <definedName name="_2C_13" localSheetId="1">[1]Sheet1!#REF!</definedName>
    <definedName name="_2C_13">[1]Sheet1!#REF!</definedName>
    <definedName name="_2C_14" localSheetId="5">[1]Sheet1!#REF!</definedName>
    <definedName name="_2C_14" localSheetId="3">[1]Sheet1!#REF!</definedName>
    <definedName name="_2C_14" localSheetId="6">[1]Sheet1!#REF!</definedName>
    <definedName name="_2C_14" localSheetId="7">[1]Sheet1!#REF!</definedName>
    <definedName name="_2C_14" localSheetId="8">[1]Sheet1!#REF!</definedName>
    <definedName name="_2C_14" localSheetId="4">[1]Sheet1!#REF!</definedName>
    <definedName name="_2C_14" localSheetId="1">[1]Sheet1!#REF!</definedName>
    <definedName name="_2C_14">[1]Sheet1!#REF!</definedName>
    <definedName name="_2C_15" localSheetId="5">[1]Sheet1!#REF!</definedName>
    <definedName name="_2C_15" localSheetId="3">[1]Sheet1!#REF!</definedName>
    <definedName name="_2C_15" localSheetId="6">[1]Sheet1!#REF!</definedName>
    <definedName name="_2C_15" localSheetId="7">[1]Sheet1!#REF!</definedName>
    <definedName name="_2C_15" localSheetId="8">[1]Sheet1!#REF!</definedName>
    <definedName name="_2C_15" localSheetId="4">[1]Sheet1!#REF!</definedName>
    <definedName name="_2C_15" localSheetId="1">[1]Sheet1!#REF!</definedName>
    <definedName name="_2C_15">[1]Sheet1!#REF!</definedName>
    <definedName name="_2C_16" localSheetId="5">[1]Sheet1!#REF!</definedName>
    <definedName name="_2C_16" localSheetId="3">[1]Sheet1!#REF!</definedName>
    <definedName name="_2C_16" localSheetId="6">[1]Sheet1!#REF!</definedName>
    <definedName name="_2C_16" localSheetId="7">[1]Sheet1!#REF!</definedName>
    <definedName name="_2C_16" localSheetId="8">[1]Sheet1!#REF!</definedName>
    <definedName name="_2C_16" localSheetId="4">[1]Sheet1!#REF!</definedName>
    <definedName name="_2C_16" localSheetId="1">[1]Sheet1!#REF!</definedName>
    <definedName name="_2C_16">[1]Sheet1!#REF!</definedName>
    <definedName name="_2C_17" localSheetId="5">[1]Sheet1!#REF!</definedName>
    <definedName name="_2C_17" localSheetId="3">[1]Sheet1!#REF!</definedName>
    <definedName name="_2C_17" localSheetId="6">[1]Sheet1!#REF!</definedName>
    <definedName name="_2C_17" localSheetId="7">[1]Sheet1!#REF!</definedName>
    <definedName name="_2C_17" localSheetId="8">[1]Sheet1!#REF!</definedName>
    <definedName name="_2C_17" localSheetId="4">[1]Sheet1!#REF!</definedName>
    <definedName name="_2C_17" localSheetId="1">[1]Sheet1!#REF!</definedName>
    <definedName name="_2C_17">[1]Sheet1!#REF!</definedName>
    <definedName name="_2C_18" localSheetId="5">[1]Sheet1!#REF!</definedName>
    <definedName name="_2C_18" localSheetId="3">[1]Sheet1!#REF!</definedName>
    <definedName name="_2C_18" localSheetId="6">[1]Sheet1!#REF!</definedName>
    <definedName name="_2C_18" localSheetId="7">[1]Sheet1!#REF!</definedName>
    <definedName name="_2C_18" localSheetId="8">[1]Sheet1!#REF!</definedName>
    <definedName name="_2C_18" localSheetId="4">[1]Sheet1!#REF!</definedName>
    <definedName name="_2C_18" localSheetId="1">[1]Sheet1!#REF!</definedName>
    <definedName name="_2C_18">[1]Sheet1!#REF!</definedName>
    <definedName name="_2C_19" localSheetId="5">[1]Sheet1!#REF!</definedName>
    <definedName name="_2C_19" localSheetId="3">[1]Sheet1!#REF!</definedName>
    <definedName name="_2C_19" localSheetId="6">[1]Sheet1!#REF!</definedName>
    <definedName name="_2C_19" localSheetId="7">[1]Sheet1!#REF!</definedName>
    <definedName name="_2C_19" localSheetId="8">[1]Sheet1!#REF!</definedName>
    <definedName name="_2C_19" localSheetId="4">[1]Sheet1!#REF!</definedName>
    <definedName name="_2C_19" localSheetId="1">[1]Sheet1!#REF!</definedName>
    <definedName name="_2C_19">[1]Sheet1!#REF!</definedName>
    <definedName name="_2C_2" localSheetId="5">[1]Sheet1!#REF!</definedName>
    <definedName name="_2C_2" localSheetId="3">[1]Sheet1!#REF!</definedName>
    <definedName name="_2C_2" localSheetId="6">[1]Sheet1!#REF!</definedName>
    <definedName name="_2C_2" localSheetId="7">[1]Sheet1!#REF!</definedName>
    <definedName name="_2C_2" localSheetId="8">[1]Sheet1!#REF!</definedName>
    <definedName name="_2C_2" localSheetId="4">[1]Sheet1!#REF!</definedName>
    <definedName name="_2C_2" localSheetId="1">[1]Sheet1!#REF!</definedName>
    <definedName name="_2C_2">[1]Sheet1!#REF!</definedName>
    <definedName name="_2C_20" localSheetId="5">[1]Sheet1!#REF!</definedName>
    <definedName name="_2C_20" localSheetId="3">[1]Sheet1!#REF!</definedName>
    <definedName name="_2C_20" localSheetId="6">[1]Sheet1!#REF!</definedName>
    <definedName name="_2C_20" localSheetId="7">[1]Sheet1!#REF!</definedName>
    <definedName name="_2C_20" localSheetId="8">[1]Sheet1!#REF!</definedName>
    <definedName name="_2C_20" localSheetId="4">[1]Sheet1!#REF!</definedName>
    <definedName name="_2C_20" localSheetId="1">[1]Sheet1!#REF!</definedName>
    <definedName name="_2C_20">[1]Sheet1!#REF!</definedName>
    <definedName name="_2C_21" localSheetId="5">[1]Sheet1!#REF!</definedName>
    <definedName name="_2C_21" localSheetId="3">[1]Sheet1!#REF!</definedName>
    <definedName name="_2C_21" localSheetId="6">[1]Sheet1!#REF!</definedName>
    <definedName name="_2C_21" localSheetId="7">[1]Sheet1!#REF!</definedName>
    <definedName name="_2C_21" localSheetId="8">[1]Sheet1!#REF!</definedName>
    <definedName name="_2C_21" localSheetId="4">[1]Sheet1!#REF!</definedName>
    <definedName name="_2C_21" localSheetId="1">[1]Sheet1!#REF!</definedName>
    <definedName name="_2C_21">[1]Sheet1!#REF!</definedName>
    <definedName name="_2C_22" localSheetId="5">[1]Sheet1!#REF!</definedName>
    <definedName name="_2C_22" localSheetId="3">[1]Sheet1!#REF!</definedName>
    <definedName name="_2C_22" localSheetId="6">[1]Sheet1!#REF!</definedName>
    <definedName name="_2C_22" localSheetId="7">[1]Sheet1!#REF!</definedName>
    <definedName name="_2C_22" localSheetId="8">[1]Sheet1!#REF!</definedName>
    <definedName name="_2C_22" localSheetId="4">[1]Sheet1!#REF!</definedName>
    <definedName name="_2C_22" localSheetId="1">[1]Sheet1!#REF!</definedName>
    <definedName name="_2C_22">[1]Sheet1!#REF!</definedName>
    <definedName name="_2C_23" localSheetId="5">[1]Sheet1!#REF!</definedName>
    <definedName name="_2C_23" localSheetId="3">[1]Sheet1!#REF!</definedName>
    <definedName name="_2C_23" localSheetId="6">[1]Sheet1!#REF!</definedName>
    <definedName name="_2C_23" localSheetId="7">[1]Sheet1!#REF!</definedName>
    <definedName name="_2C_23" localSheetId="8">[1]Sheet1!#REF!</definedName>
    <definedName name="_2C_23" localSheetId="4">[1]Sheet1!#REF!</definedName>
    <definedName name="_2C_23" localSheetId="1">[1]Sheet1!#REF!</definedName>
    <definedName name="_2C_23">[1]Sheet1!#REF!</definedName>
    <definedName name="_2C_24" localSheetId="5">[1]Sheet1!#REF!</definedName>
    <definedName name="_2C_24" localSheetId="3">[1]Sheet1!#REF!</definedName>
    <definedName name="_2C_24" localSheetId="6">[1]Sheet1!#REF!</definedName>
    <definedName name="_2C_24" localSheetId="7">[1]Sheet1!#REF!</definedName>
    <definedName name="_2C_24" localSheetId="8">[1]Sheet1!#REF!</definedName>
    <definedName name="_2C_24" localSheetId="4">[1]Sheet1!#REF!</definedName>
    <definedName name="_2C_24" localSheetId="1">[1]Sheet1!#REF!</definedName>
    <definedName name="_2C_24">[1]Sheet1!#REF!</definedName>
    <definedName name="_2C_25" localSheetId="5">[1]Sheet1!#REF!</definedName>
    <definedName name="_2C_25" localSheetId="3">[1]Sheet1!#REF!</definedName>
    <definedName name="_2C_25" localSheetId="6">[1]Sheet1!#REF!</definedName>
    <definedName name="_2C_25" localSheetId="7">[1]Sheet1!#REF!</definedName>
    <definedName name="_2C_25" localSheetId="8">[1]Sheet1!#REF!</definedName>
    <definedName name="_2C_25" localSheetId="4">[1]Sheet1!#REF!</definedName>
    <definedName name="_2C_25" localSheetId="1">[1]Sheet1!#REF!</definedName>
    <definedName name="_2C_25">[1]Sheet1!#REF!</definedName>
    <definedName name="_2C_26" localSheetId="5">[1]Sheet1!#REF!</definedName>
    <definedName name="_2C_26" localSheetId="3">[1]Sheet1!#REF!</definedName>
    <definedName name="_2C_26" localSheetId="6">[1]Sheet1!#REF!</definedName>
    <definedName name="_2C_26" localSheetId="7">[1]Sheet1!#REF!</definedName>
    <definedName name="_2C_26" localSheetId="8">[1]Sheet1!#REF!</definedName>
    <definedName name="_2C_26" localSheetId="4">[1]Sheet1!#REF!</definedName>
    <definedName name="_2C_26" localSheetId="1">[1]Sheet1!#REF!</definedName>
    <definedName name="_2C_26">[1]Sheet1!#REF!</definedName>
    <definedName name="_2C_27" localSheetId="5">[1]Sheet1!#REF!</definedName>
    <definedName name="_2C_27" localSheetId="3">[1]Sheet1!#REF!</definedName>
    <definedName name="_2C_27" localSheetId="6">[1]Sheet1!#REF!</definedName>
    <definedName name="_2C_27" localSheetId="7">[1]Sheet1!#REF!</definedName>
    <definedName name="_2C_27" localSheetId="8">[1]Sheet1!#REF!</definedName>
    <definedName name="_2C_27" localSheetId="4">[1]Sheet1!#REF!</definedName>
    <definedName name="_2C_27" localSheetId="1">[1]Sheet1!#REF!</definedName>
    <definedName name="_2C_27">[1]Sheet1!#REF!</definedName>
    <definedName name="_2C_28" localSheetId="5">[1]Sheet1!#REF!</definedName>
    <definedName name="_2C_28" localSheetId="3">[1]Sheet1!#REF!</definedName>
    <definedName name="_2C_28" localSheetId="6">[1]Sheet1!#REF!</definedName>
    <definedName name="_2C_28" localSheetId="7">[1]Sheet1!#REF!</definedName>
    <definedName name="_2C_28" localSheetId="8">[1]Sheet1!#REF!</definedName>
    <definedName name="_2C_28" localSheetId="4">[1]Sheet1!#REF!</definedName>
    <definedName name="_2C_28" localSheetId="1">[1]Sheet1!#REF!</definedName>
    <definedName name="_2C_28">[1]Sheet1!#REF!</definedName>
    <definedName name="_2C_29" localSheetId="5">[1]Sheet1!#REF!</definedName>
    <definedName name="_2C_29" localSheetId="3">[1]Sheet1!#REF!</definedName>
    <definedName name="_2C_29" localSheetId="6">[1]Sheet1!#REF!</definedName>
    <definedName name="_2C_29" localSheetId="7">[1]Sheet1!#REF!</definedName>
    <definedName name="_2C_29" localSheetId="8">[1]Sheet1!#REF!</definedName>
    <definedName name="_2C_29" localSheetId="4">[1]Sheet1!#REF!</definedName>
    <definedName name="_2C_29" localSheetId="1">[1]Sheet1!#REF!</definedName>
    <definedName name="_2C_29">[1]Sheet1!#REF!</definedName>
    <definedName name="_2C_3" localSheetId="5">[1]Sheet1!#REF!</definedName>
    <definedName name="_2C_3" localSheetId="3">[1]Sheet1!#REF!</definedName>
    <definedName name="_2C_3" localSheetId="6">[1]Sheet1!#REF!</definedName>
    <definedName name="_2C_3" localSheetId="7">[1]Sheet1!#REF!</definedName>
    <definedName name="_2C_3" localSheetId="8">[1]Sheet1!#REF!</definedName>
    <definedName name="_2C_3" localSheetId="4">[1]Sheet1!#REF!</definedName>
    <definedName name="_2C_3" localSheetId="1">[1]Sheet1!#REF!</definedName>
    <definedName name="_2C_3">[1]Sheet1!#REF!</definedName>
    <definedName name="_2C_30" localSheetId="5">[1]Sheet1!#REF!</definedName>
    <definedName name="_2C_30" localSheetId="3">[1]Sheet1!#REF!</definedName>
    <definedName name="_2C_30" localSheetId="6">[1]Sheet1!#REF!</definedName>
    <definedName name="_2C_30" localSheetId="7">[1]Sheet1!#REF!</definedName>
    <definedName name="_2C_30" localSheetId="8">[1]Sheet1!#REF!</definedName>
    <definedName name="_2C_30" localSheetId="4">[1]Sheet1!#REF!</definedName>
    <definedName name="_2C_30" localSheetId="1">[1]Sheet1!#REF!</definedName>
    <definedName name="_2C_30">[1]Sheet1!#REF!</definedName>
    <definedName name="_2C_4" localSheetId="5">[1]Sheet1!#REF!</definedName>
    <definedName name="_2C_4" localSheetId="3">[1]Sheet1!#REF!</definedName>
    <definedName name="_2C_4" localSheetId="6">[1]Sheet1!#REF!</definedName>
    <definedName name="_2C_4" localSheetId="7">[1]Sheet1!#REF!</definedName>
    <definedName name="_2C_4" localSheetId="8">[1]Sheet1!#REF!</definedName>
    <definedName name="_2C_4" localSheetId="4">[1]Sheet1!#REF!</definedName>
    <definedName name="_2C_4" localSheetId="1">[1]Sheet1!#REF!</definedName>
    <definedName name="_2C_4">[1]Sheet1!#REF!</definedName>
    <definedName name="_2C_5" localSheetId="5">[1]Sheet1!#REF!</definedName>
    <definedName name="_2C_5" localSheetId="3">[1]Sheet1!#REF!</definedName>
    <definedName name="_2C_5" localSheetId="6">[1]Sheet1!#REF!</definedName>
    <definedName name="_2C_5" localSheetId="7">[1]Sheet1!#REF!</definedName>
    <definedName name="_2C_5" localSheetId="8">[1]Sheet1!#REF!</definedName>
    <definedName name="_2C_5" localSheetId="4">[1]Sheet1!#REF!</definedName>
    <definedName name="_2C_5" localSheetId="1">[1]Sheet1!#REF!</definedName>
    <definedName name="_2C_5">[1]Sheet1!#REF!</definedName>
    <definedName name="_2C_6" localSheetId="5">[1]Sheet1!#REF!</definedName>
    <definedName name="_2C_6" localSheetId="3">[1]Sheet1!#REF!</definedName>
    <definedName name="_2C_6" localSheetId="6">[1]Sheet1!#REF!</definedName>
    <definedName name="_2C_6" localSheetId="7">[1]Sheet1!#REF!</definedName>
    <definedName name="_2C_6" localSheetId="8">[1]Sheet1!#REF!</definedName>
    <definedName name="_2C_6" localSheetId="4">[1]Sheet1!#REF!</definedName>
    <definedName name="_2C_6" localSheetId="1">[1]Sheet1!#REF!</definedName>
    <definedName name="_2C_6">[1]Sheet1!#REF!</definedName>
    <definedName name="_2C_7" localSheetId="5">[1]Sheet1!#REF!</definedName>
    <definedName name="_2C_7" localSheetId="3">[1]Sheet1!#REF!</definedName>
    <definedName name="_2C_7" localSheetId="6">[1]Sheet1!#REF!</definedName>
    <definedName name="_2C_7" localSheetId="7">[1]Sheet1!#REF!</definedName>
    <definedName name="_2C_7" localSheetId="8">[1]Sheet1!#REF!</definedName>
    <definedName name="_2C_7" localSheetId="4">[1]Sheet1!#REF!</definedName>
    <definedName name="_2C_7" localSheetId="1">[1]Sheet1!#REF!</definedName>
    <definedName name="_2C_7">[1]Sheet1!#REF!</definedName>
    <definedName name="_2C_8" localSheetId="5">[1]Sheet1!#REF!</definedName>
    <definedName name="_2C_8" localSheetId="3">[1]Sheet1!#REF!</definedName>
    <definedName name="_2C_8" localSheetId="6">[1]Sheet1!#REF!</definedName>
    <definedName name="_2C_8" localSheetId="7">[1]Sheet1!#REF!</definedName>
    <definedName name="_2C_8" localSheetId="8">[1]Sheet1!#REF!</definedName>
    <definedName name="_2C_8" localSheetId="4">[1]Sheet1!#REF!</definedName>
    <definedName name="_2C_8" localSheetId="1">[1]Sheet1!#REF!</definedName>
    <definedName name="_2C_8">[1]Sheet1!#REF!</definedName>
    <definedName name="_2C_9" localSheetId="5">[1]Sheet1!#REF!</definedName>
    <definedName name="_2C_9" localSheetId="3">[1]Sheet1!#REF!</definedName>
    <definedName name="_2C_9" localSheetId="6">[1]Sheet1!#REF!</definedName>
    <definedName name="_2C_9" localSheetId="7">[1]Sheet1!#REF!</definedName>
    <definedName name="_2C_9" localSheetId="8">[1]Sheet1!#REF!</definedName>
    <definedName name="_2C_9" localSheetId="4">[1]Sheet1!#REF!</definedName>
    <definedName name="_2C_9" localSheetId="1">[1]Sheet1!#REF!</definedName>
    <definedName name="_2C_9">[1]Sheet1!#REF!</definedName>
    <definedName name="_2공장" localSheetId="5">#REF!</definedName>
    <definedName name="_2공장" localSheetId="3">#REF!</definedName>
    <definedName name="_2공장" localSheetId="6">#REF!</definedName>
    <definedName name="_2공장" localSheetId="7">#REF!</definedName>
    <definedName name="_2공장" localSheetId="8">#REF!</definedName>
    <definedName name="_2공장" localSheetId="4">#REF!</definedName>
    <definedName name="_2공장" localSheetId="1">#REF!</definedName>
    <definedName name="_2공장">#REF!</definedName>
    <definedName name="_3A_1" localSheetId="5">[1]Sheet1!#REF!</definedName>
    <definedName name="_3A_1" localSheetId="3">[1]Sheet1!#REF!</definedName>
    <definedName name="_3A_1" localSheetId="6">[1]Sheet1!#REF!</definedName>
    <definedName name="_3A_1" localSheetId="7">[1]Sheet1!#REF!</definedName>
    <definedName name="_3A_1" localSheetId="8">[1]Sheet1!#REF!</definedName>
    <definedName name="_3A_1" localSheetId="4">[1]Sheet1!#REF!</definedName>
    <definedName name="_3A_1" localSheetId="1">[1]Sheet1!#REF!</definedName>
    <definedName name="_3A_1">[1]Sheet1!#REF!</definedName>
    <definedName name="_3A_10" localSheetId="5">[1]Sheet1!#REF!</definedName>
    <definedName name="_3A_10" localSheetId="3">[1]Sheet1!#REF!</definedName>
    <definedName name="_3A_10" localSheetId="6">[1]Sheet1!#REF!</definedName>
    <definedName name="_3A_10" localSheetId="7">[1]Sheet1!#REF!</definedName>
    <definedName name="_3A_10" localSheetId="8">[1]Sheet1!#REF!</definedName>
    <definedName name="_3A_10" localSheetId="4">[1]Sheet1!#REF!</definedName>
    <definedName name="_3A_10" localSheetId="1">[1]Sheet1!#REF!</definedName>
    <definedName name="_3A_10">[1]Sheet1!#REF!</definedName>
    <definedName name="_3A_11" localSheetId="5">[1]Sheet1!#REF!</definedName>
    <definedName name="_3A_11" localSheetId="3">[1]Sheet1!#REF!</definedName>
    <definedName name="_3A_11" localSheetId="6">[1]Sheet1!#REF!</definedName>
    <definedName name="_3A_11" localSheetId="7">[1]Sheet1!#REF!</definedName>
    <definedName name="_3A_11" localSheetId="8">[1]Sheet1!#REF!</definedName>
    <definedName name="_3A_11" localSheetId="4">[1]Sheet1!#REF!</definedName>
    <definedName name="_3A_11" localSheetId="1">[1]Sheet1!#REF!</definedName>
    <definedName name="_3A_11">[1]Sheet1!#REF!</definedName>
    <definedName name="_3A_12" localSheetId="5">[1]Sheet1!#REF!</definedName>
    <definedName name="_3A_12" localSheetId="3">[1]Sheet1!#REF!</definedName>
    <definedName name="_3A_12" localSheetId="6">[1]Sheet1!#REF!</definedName>
    <definedName name="_3A_12" localSheetId="7">[1]Sheet1!#REF!</definedName>
    <definedName name="_3A_12" localSheetId="8">[1]Sheet1!#REF!</definedName>
    <definedName name="_3A_12" localSheetId="4">[1]Sheet1!#REF!</definedName>
    <definedName name="_3A_12" localSheetId="1">[1]Sheet1!#REF!</definedName>
    <definedName name="_3A_12">[1]Sheet1!#REF!</definedName>
    <definedName name="_3A_13" localSheetId="5">[1]Sheet1!#REF!</definedName>
    <definedName name="_3A_13" localSheetId="3">[1]Sheet1!#REF!</definedName>
    <definedName name="_3A_13" localSheetId="6">[1]Sheet1!#REF!</definedName>
    <definedName name="_3A_13" localSheetId="7">[1]Sheet1!#REF!</definedName>
    <definedName name="_3A_13" localSheetId="8">[1]Sheet1!#REF!</definedName>
    <definedName name="_3A_13" localSheetId="4">[1]Sheet1!#REF!</definedName>
    <definedName name="_3A_13" localSheetId="1">[1]Sheet1!#REF!</definedName>
    <definedName name="_3A_13">[1]Sheet1!#REF!</definedName>
    <definedName name="_3A_14" localSheetId="5">[1]Sheet1!#REF!</definedName>
    <definedName name="_3A_14" localSheetId="3">[1]Sheet1!#REF!</definedName>
    <definedName name="_3A_14" localSheetId="6">[1]Sheet1!#REF!</definedName>
    <definedName name="_3A_14" localSheetId="7">[1]Sheet1!#REF!</definedName>
    <definedName name="_3A_14" localSheetId="8">[1]Sheet1!#REF!</definedName>
    <definedName name="_3A_14" localSheetId="4">[1]Sheet1!#REF!</definedName>
    <definedName name="_3A_14" localSheetId="1">[1]Sheet1!#REF!</definedName>
    <definedName name="_3A_14">[1]Sheet1!#REF!</definedName>
    <definedName name="_3A_15" localSheetId="5">[1]Sheet1!#REF!</definedName>
    <definedName name="_3A_15" localSheetId="3">[1]Sheet1!#REF!</definedName>
    <definedName name="_3A_15" localSheetId="6">[1]Sheet1!#REF!</definedName>
    <definedName name="_3A_15" localSheetId="7">[1]Sheet1!#REF!</definedName>
    <definedName name="_3A_15" localSheetId="8">[1]Sheet1!#REF!</definedName>
    <definedName name="_3A_15" localSheetId="4">[1]Sheet1!#REF!</definedName>
    <definedName name="_3A_15" localSheetId="1">[1]Sheet1!#REF!</definedName>
    <definedName name="_3A_15">[1]Sheet1!#REF!</definedName>
    <definedName name="_3A_16" localSheetId="5">[1]Sheet1!#REF!</definedName>
    <definedName name="_3A_16" localSheetId="3">[1]Sheet1!#REF!</definedName>
    <definedName name="_3A_16" localSheetId="6">[1]Sheet1!#REF!</definedName>
    <definedName name="_3A_16" localSheetId="7">[1]Sheet1!#REF!</definedName>
    <definedName name="_3A_16" localSheetId="8">[1]Sheet1!#REF!</definedName>
    <definedName name="_3A_16" localSheetId="4">[1]Sheet1!#REF!</definedName>
    <definedName name="_3A_16" localSheetId="1">[1]Sheet1!#REF!</definedName>
    <definedName name="_3A_16">[1]Sheet1!#REF!</definedName>
    <definedName name="_3A_17" localSheetId="5">[1]Sheet1!#REF!</definedName>
    <definedName name="_3A_17" localSheetId="3">[1]Sheet1!#REF!</definedName>
    <definedName name="_3A_17" localSheetId="6">[1]Sheet1!#REF!</definedName>
    <definedName name="_3A_17" localSheetId="7">[1]Sheet1!#REF!</definedName>
    <definedName name="_3A_17" localSheetId="8">[1]Sheet1!#REF!</definedName>
    <definedName name="_3A_17" localSheetId="4">[1]Sheet1!#REF!</definedName>
    <definedName name="_3A_17" localSheetId="1">[1]Sheet1!#REF!</definedName>
    <definedName name="_3A_17">[1]Sheet1!#REF!</definedName>
    <definedName name="_3A_18" localSheetId="5">[1]Sheet1!#REF!</definedName>
    <definedName name="_3A_18" localSheetId="3">[1]Sheet1!#REF!</definedName>
    <definedName name="_3A_18" localSheetId="6">[1]Sheet1!#REF!</definedName>
    <definedName name="_3A_18" localSheetId="7">[1]Sheet1!#REF!</definedName>
    <definedName name="_3A_18" localSheetId="8">[1]Sheet1!#REF!</definedName>
    <definedName name="_3A_18" localSheetId="4">[1]Sheet1!#REF!</definedName>
    <definedName name="_3A_18" localSheetId="1">[1]Sheet1!#REF!</definedName>
    <definedName name="_3A_18">[1]Sheet1!#REF!</definedName>
    <definedName name="_3A_19" localSheetId="5">[1]Sheet1!#REF!</definedName>
    <definedName name="_3A_19" localSheetId="3">[1]Sheet1!#REF!</definedName>
    <definedName name="_3A_19" localSheetId="6">[1]Sheet1!#REF!</definedName>
    <definedName name="_3A_19" localSheetId="7">[1]Sheet1!#REF!</definedName>
    <definedName name="_3A_19" localSheetId="8">[1]Sheet1!#REF!</definedName>
    <definedName name="_3A_19" localSheetId="4">[1]Sheet1!#REF!</definedName>
    <definedName name="_3A_19" localSheetId="1">[1]Sheet1!#REF!</definedName>
    <definedName name="_3A_19">[1]Sheet1!#REF!</definedName>
    <definedName name="_3A_2" localSheetId="5">[1]Sheet1!#REF!</definedName>
    <definedName name="_3A_2" localSheetId="3">[1]Sheet1!#REF!</definedName>
    <definedName name="_3A_2" localSheetId="6">[1]Sheet1!#REF!</definedName>
    <definedName name="_3A_2" localSheetId="7">[1]Sheet1!#REF!</definedName>
    <definedName name="_3A_2" localSheetId="8">[1]Sheet1!#REF!</definedName>
    <definedName name="_3A_2" localSheetId="4">[1]Sheet1!#REF!</definedName>
    <definedName name="_3A_2" localSheetId="1">[1]Sheet1!#REF!</definedName>
    <definedName name="_3A_2">[1]Sheet1!#REF!</definedName>
    <definedName name="_3A_20" localSheetId="5">[1]Sheet1!#REF!</definedName>
    <definedName name="_3A_20" localSheetId="3">[1]Sheet1!#REF!</definedName>
    <definedName name="_3A_20" localSheetId="6">[1]Sheet1!#REF!</definedName>
    <definedName name="_3A_20" localSheetId="7">[1]Sheet1!#REF!</definedName>
    <definedName name="_3A_20" localSheetId="8">[1]Sheet1!#REF!</definedName>
    <definedName name="_3A_20" localSheetId="4">[1]Sheet1!#REF!</definedName>
    <definedName name="_3A_20" localSheetId="1">[1]Sheet1!#REF!</definedName>
    <definedName name="_3A_20">[1]Sheet1!#REF!</definedName>
    <definedName name="_3A_21" localSheetId="5">[1]Sheet1!#REF!</definedName>
    <definedName name="_3A_21" localSheetId="3">[1]Sheet1!#REF!</definedName>
    <definedName name="_3A_21" localSheetId="6">[1]Sheet1!#REF!</definedName>
    <definedName name="_3A_21" localSheetId="7">[1]Sheet1!#REF!</definedName>
    <definedName name="_3A_21" localSheetId="8">[1]Sheet1!#REF!</definedName>
    <definedName name="_3A_21" localSheetId="4">[1]Sheet1!#REF!</definedName>
    <definedName name="_3A_21" localSheetId="1">[1]Sheet1!#REF!</definedName>
    <definedName name="_3A_21">[1]Sheet1!#REF!</definedName>
    <definedName name="_3A_22" localSheetId="5">[1]Sheet1!#REF!</definedName>
    <definedName name="_3A_22" localSheetId="3">[1]Sheet1!#REF!</definedName>
    <definedName name="_3A_22" localSheetId="6">[1]Sheet1!#REF!</definedName>
    <definedName name="_3A_22" localSheetId="7">[1]Sheet1!#REF!</definedName>
    <definedName name="_3A_22" localSheetId="8">[1]Sheet1!#REF!</definedName>
    <definedName name="_3A_22" localSheetId="4">[1]Sheet1!#REF!</definedName>
    <definedName name="_3A_22" localSheetId="1">[1]Sheet1!#REF!</definedName>
    <definedName name="_3A_22">[1]Sheet1!#REF!</definedName>
    <definedName name="_3A_23" localSheetId="5">[1]Sheet1!#REF!</definedName>
    <definedName name="_3A_23" localSheetId="3">[1]Sheet1!#REF!</definedName>
    <definedName name="_3A_23" localSheetId="6">[1]Sheet1!#REF!</definedName>
    <definedName name="_3A_23" localSheetId="7">[1]Sheet1!#REF!</definedName>
    <definedName name="_3A_23" localSheetId="8">[1]Sheet1!#REF!</definedName>
    <definedName name="_3A_23" localSheetId="4">[1]Sheet1!#REF!</definedName>
    <definedName name="_3A_23" localSheetId="1">[1]Sheet1!#REF!</definedName>
    <definedName name="_3A_23">[1]Sheet1!#REF!</definedName>
    <definedName name="_3A_24" localSheetId="5">[1]Sheet1!#REF!</definedName>
    <definedName name="_3A_24" localSheetId="3">[1]Sheet1!#REF!</definedName>
    <definedName name="_3A_24" localSheetId="6">[1]Sheet1!#REF!</definedName>
    <definedName name="_3A_24" localSheetId="7">[1]Sheet1!#REF!</definedName>
    <definedName name="_3A_24" localSheetId="8">[1]Sheet1!#REF!</definedName>
    <definedName name="_3A_24" localSheetId="4">[1]Sheet1!#REF!</definedName>
    <definedName name="_3A_24" localSheetId="1">[1]Sheet1!#REF!</definedName>
    <definedName name="_3A_24">[1]Sheet1!#REF!</definedName>
    <definedName name="_3A_25" localSheetId="5">[1]Sheet1!#REF!</definedName>
    <definedName name="_3A_25" localSheetId="3">[1]Sheet1!#REF!</definedName>
    <definedName name="_3A_25" localSheetId="6">[1]Sheet1!#REF!</definedName>
    <definedName name="_3A_25" localSheetId="7">[1]Sheet1!#REF!</definedName>
    <definedName name="_3A_25" localSheetId="8">[1]Sheet1!#REF!</definedName>
    <definedName name="_3A_25" localSheetId="4">[1]Sheet1!#REF!</definedName>
    <definedName name="_3A_25" localSheetId="1">[1]Sheet1!#REF!</definedName>
    <definedName name="_3A_25">[1]Sheet1!#REF!</definedName>
    <definedName name="_3A_26" localSheetId="5">[1]Sheet1!#REF!</definedName>
    <definedName name="_3A_26" localSheetId="3">[1]Sheet1!#REF!</definedName>
    <definedName name="_3A_26" localSheetId="6">[1]Sheet1!#REF!</definedName>
    <definedName name="_3A_26" localSheetId="7">[1]Sheet1!#REF!</definedName>
    <definedName name="_3A_26" localSheetId="8">[1]Sheet1!#REF!</definedName>
    <definedName name="_3A_26" localSheetId="4">[1]Sheet1!#REF!</definedName>
    <definedName name="_3A_26" localSheetId="1">[1]Sheet1!#REF!</definedName>
    <definedName name="_3A_26">[1]Sheet1!#REF!</definedName>
    <definedName name="_3A_27" localSheetId="5">[1]Sheet1!#REF!</definedName>
    <definedName name="_3A_27" localSheetId="3">[1]Sheet1!#REF!</definedName>
    <definedName name="_3A_27" localSheetId="6">[1]Sheet1!#REF!</definedName>
    <definedName name="_3A_27" localSheetId="7">[1]Sheet1!#REF!</definedName>
    <definedName name="_3A_27" localSheetId="8">[1]Sheet1!#REF!</definedName>
    <definedName name="_3A_27" localSheetId="4">[1]Sheet1!#REF!</definedName>
    <definedName name="_3A_27" localSheetId="1">[1]Sheet1!#REF!</definedName>
    <definedName name="_3A_27">[1]Sheet1!#REF!</definedName>
    <definedName name="_3A_28" localSheetId="5">[1]Sheet1!#REF!</definedName>
    <definedName name="_3A_28" localSheetId="3">[1]Sheet1!#REF!</definedName>
    <definedName name="_3A_28" localSheetId="6">[1]Sheet1!#REF!</definedName>
    <definedName name="_3A_28" localSheetId="7">[1]Sheet1!#REF!</definedName>
    <definedName name="_3A_28" localSheetId="8">[1]Sheet1!#REF!</definedName>
    <definedName name="_3A_28" localSheetId="4">[1]Sheet1!#REF!</definedName>
    <definedName name="_3A_28" localSheetId="1">[1]Sheet1!#REF!</definedName>
    <definedName name="_3A_28">[1]Sheet1!#REF!</definedName>
    <definedName name="_3A_29" localSheetId="5">[1]Sheet1!#REF!</definedName>
    <definedName name="_3A_29" localSheetId="3">[1]Sheet1!#REF!</definedName>
    <definedName name="_3A_29" localSheetId="6">[1]Sheet1!#REF!</definedName>
    <definedName name="_3A_29" localSheetId="7">[1]Sheet1!#REF!</definedName>
    <definedName name="_3A_29" localSheetId="8">[1]Sheet1!#REF!</definedName>
    <definedName name="_3A_29" localSheetId="4">[1]Sheet1!#REF!</definedName>
    <definedName name="_3A_29" localSheetId="1">[1]Sheet1!#REF!</definedName>
    <definedName name="_3A_29">[1]Sheet1!#REF!</definedName>
    <definedName name="_3A_3" localSheetId="5">[1]Sheet1!#REF!</definedName>
    <definedName name="_3A_3" localSheetId="3">[1]Sheet1!#REF!</definedName>
    <definedName name="_3A_3" localSheetId="6">[1]Sheet1!#REF!</definedName>
    <definedName name="_3A_3" localSheetId="7">[1]Sheet1!#REF!</definedName>
    <definedName name="_3A_3" localSheetId="8">[1]Sheet1!#REF!</definedName>
    <definedName name="_3A_3" localSheetId="4">[1]Sheet1!#REF!</definedName>
    <definedName name="_3A_3" localSheetId="1">[1]Sheet1!#REF!</definedName>
    <definedName name="_3A_3">[1]Sheet1!#REF!</definedName>
    <definedName name="_3A_30" localSheetId="5">[1]Sheet1!#REF!</definedName>
    <definedName name="_3A_30" localSheetId="3">[1]Sheet1!#REF!</definedName>
    <definedName name="_3A_30" localSheetId="6">[1]Sheet1!#REF!</definedName>
    <definedName name="_3A_30" localSheetId="7">[1]Sheet1!#REF!</definedName>
    <definedName name="_3A_30" localSheetId="8">[1]Sheet1!#REF!</definedName>
    <definedName name="_3A_30" localSheetId="4">[1]Sheet1!#REF!</definedName>
    <definedName name="_3A_30" localSheetId="1">[1]Sheet1!#REF!</definedName>
    <definedName name="_3A_30">[1]Sheet1!#REF!</definedName>
    <definedName name="_3A_4" localSheetId="5">[1]Sheet1!#REF!</definedName>
    <definedName name="_3A_4" localSheetId="3">[1]Sheet1!#REF!</definedName>
    <definedName name="_3A_4" localSheetId="6">[1]Sheet1!#REF!</definedName>
    <definedName name="_3A_4" localSheetId="7">[1]Sheet1!#REF!</definedName>
    <definedName name="_3A_4" localSheetId="8">[1]Sheet1!#REF!</definedName>
    <definedName name="_3A_4" localSheetId="4">[1]Sheet1!#REF!</definedName>
    <definedName name="_3A_4" localSheetId="1">[1]Sheet1!#REF!</definedName>
    <definedName name="_3A_4">[1]Sheet1!#REF!</definedName>
    <definedName name="_3A_5" localSheetId="5">[1]Sheet1!#REF!</definedName>
    <definedName name="_3A_5" localSheetId="3">[1]Sheet1!#REF!</definedName>
    <definedName name="_3A_5" localSheetId="6">[1]Sheet1!#REF!</definedName>
    <definedName name="_3A_5" localSheetId="7">[1]Sheet1!#REF!</definedName>
    <definedName name="_3A_5" localSheetId="8">[1]Sheet1!#REF!</definedName>
    <definedName name="_3A_5" localSheetId="4">[1]Sheet1!#REF!</definedName>
    <definedName name="_3A_5" localSheetId="1">[1]Sheet1!#REF!</definedName>
    <definedName name="_3A_5">[1]Sheet1!#REF!</definedName>
    <definedName name="_3A_6" localSheetId="5">[1]Sheet1!#REF!</definedName>
    <definedName name="_3A_6" localSheetId="3">[1]Sheet1!#REF!</definedName>
    <definedName name="_3A_6" localSheetId="6">[1]Sheet1!#REF!</definedName>
    <definedName name="_3A_6" localSheetId="7">[1]Sheet1!#REF!</definedName>
    <definedName name="_3A_6" localSheetId="8">[1]Sheet1!#REF!</definedName>
    <definedName name="_3A_6" localSheetId="4">[1]Sheet1!#REF!</definedName>
    <definedName name="_3A_6" localSheetId="1">[1]Sheet1!#REF!</definedName>
    <definedName name="_3A_6">[1]Sheet1!#REF!</definedName>
    <definedName name="_3A_7" localSheetId="5">[1]Sheet1!#REF!</definedName>
    <definedName name="_3A_7" localSheetId="3">[1]Sheet1!#REF!</definedName>
    <definedName name="_3A_7" localSheetId="6">[1]Sheet1!#REF!</definedName>
    <definedName name="_3A_7" localSheetId="7">[1]Sheet1!#REF!</definedName>
    <definedName name="_3A_7" localSheetId="8">[1]Sheet1!#REF!</definedName>
    <definedName name="_3A_7" localSheetId="4">[1]Sheet1!#REF!</definedName>
    <definedName name="_3A_7" localSheetId="1">[1]Sheet1!#REF!</definedName>
    <definedName name="_3A_7">[1]Sheet1!#REF!</definedName>
    <definedName name="_3A_8" localSheetId="5">[1]Sheet1!#REF!</definedName>
    <definedName name="_3A_8" localSheetId="3">[1]Sheet1!#REF!</definedName>
    <definedName name="_3A_8" localSheetId="6">[1]Sheet1!#REF!</definedName>
    <definedName name="_3A_8" localSheetId="7">[1]Sheet1!#REF!</definedName>
    <definedName name="_3A_8" localSheetId="8">[1]Sheet1!#REF!</definedName>
    <definedName name="_3A_8" localSheetId="4">[1]Sheet1!#REF!</definedName>
    <definedName name="_3A_8" localSheetId="1">[1]Sheet1!#REF!</definedName>
    <definedName name="_3A_8">[1]Sheet1!#REF!</definedName>
    <definedName name="_3A_9" localSheetId="5">[1]Sheet1!#REF!</definedName>
    <definedName name="_3A_9" localSheetId="3">[1]Sheet1!#REF!</definedName>
    <definedName name="_3A_9" localSheetId="6">[1]Sheet1!#REF!</definedName>
    <definedName name="_3A_9" localSheetId="7">[1]Sheet1!#REF!</definedName>
    <definedName name="_3A_9" localSheetId="8">[1]Sheet1!#REF!</definedName>
    <definedName name="_3A_9" localSheetId="4">[1]Sheet1!#REF!</definedName>
    <definedName name="_3A_9" localSheetId="1">[1]Sheet1!#REF!</definedName>
    <definedName name="_3A_9">[1]Sheet1!#REF!</definedName>
    <definedName name="_3B_1" localSheetId="5">[1]Sheet1!#REF!</definedName>
    <definedName name="_3B_1" localSheetId="3">[1]Sheet1!#REF!</definedName>
    <definedName name="_3B_1" localSheetId="6">[1]Sheet1!#REF!</definedName>
    <definedName name="_3B_1" localSheetId="7">[1]Sheet1!#REF!</definedName>
    <definedName name="_3B_1" localSheetId="8">[1]Sheet1!#REF!</definedName>
    <definedName name="_3B_1" localSheetId="4">[1]Sheet1!#REF!</definedName>
    <definedName name="_3B_1" localSheetId="1">[1]Sheet1!#REF!</definedName>
    <definedName name="_3B_1">[1]Sheet1!#REF!</definedName>
    <definedName name="_3B_10" localSheetId="5">[1]Sheet1!#REF!</definedName>
    <definedName name="_3B_10" localSheetId="3">[1]Sheet1!#REF!</definedName>
    <definedName name="_3B_10" localSheetId="6">[1]Sheet1!#REF!</definedName>
    <definedName name="_3B_10" localSheetId="7">[1]Sheet1!#REF!</definedName>
    <definedName name="_3B_10" localSheetId="8">[1]Sheet1!#REF!</definedName>
    <definedName name="_3B_10" localSheetId="4">[1]Sheet1!#REF!</definedName>
    <definedName name="_3B_10" localSheetId="1">[1]Sheet1!#REF!</definedName>
    <definedName name="_3B_10">[1]Sheet1!#REF!</definedName>
    <definedName name="_3B_11" localSheetId="5">[1]Sheet1!#REF!</definedName>
    <definedName name="_3B_11" localSheetId="3">[1]Sheet1!#REF!</definedName>
    <definedName name="_3B_11" localSheetId="6">[1]Sheet1!#REF!</definedName>
    <definedName name="_3B_11" localSheetId="7">[1]Sheet1!#REF!</definedName>
    <definedName name="_3B_11" localSheetId="8">[1]Sheet1!#REF!</definedName>
    <definedName name="_3B_11" localSheetId="4">[1]Sheet1!#REF!</definedName>
    <definedName name="_3B_11" localSheetId="1">[1]Sheet1!#REF!</definedName>
    <definedName name="_3B_11">[1]Sheet1!#REF!</definedName>
    <definedName name="_3B_12" localSheetId="5">[1]Sheet1!#REF!</definedName>
    <definedName name="_3B_12" localSheetId="3">[1]Sheet1!#REF!</definedName>
    <definedName name="_3B_12" localSheetId="6">[1]Sheet1!#REF!</definedName>
    <definedName name="_3B_12" localSheetId="7">[1]Sheet1!#REF!</definedName>
    <definedName name="_3B_12" localSheetId="8">[1]Sheet1!#REF!</definedName>
    <definedName name="_3B_12" localSheetId="4">[1]Sheet1!#REF!</definedName>
    <definedName name="_3B_12" localSheetId="1">[1]Sheet1!#REF!</definedName>
    <definedName name="_3B_12">[1]Sheet1!#REF!</definedName>
    <definedName name="_3B_13" localSheetId="5">[1]Sheet1!#REF!</definedName>
    <definedName name="_3B_13" localSheetId="3">[1]Sheet1!#REF!</definedName>
    <definedName name="_3B_13" localSheetId="6">[1]Sheet1!#REF!</definedName>
    <definedName name="_3B_13" localSheetId="7">[1]Sheet1!#REF!</definedName>
    <definedName name="_3B_13" localSheetId="8">[1]Sheet1!#REF!</definedName>
    <definedName name="_3B_13" localSheetId="4">[1]Sheet1!#REF!</definedName>
    <definedName name="_3B_13" localSheetId="1">[1]Sheet1!#REF!</definedName>
    <definedName name="_3B_13">[1]Sheet1!#REF!</definedName>
    <definedName name="_3B_14" localSheetId="5">[1]Sheet1!#REF!</definedName>
    <definedName name="_3B_14" localSheetId="3">[1]Sheet1!#REF!</definedName>
    <definedName name="_3B_14" localSheetId="6">[1]Sheet1!#REF!</definedName>
    <definedName name="_3B_14" localSheetId="7">[1]Sheet1!#REF!</definedName>
    <definedName name="_3B_14" localSheetId="8">[1]Sheet1!#REF!</definedName>
    <definedName name="_3B_14" localSheetId="4">[1]Sheet1!#REF!</definedName>
    <definedName name="_3B_14" localSheetId="1">[1]Sheet1!#REF!</definedName>
    <definedName name="_3B_14">[1]Sheet1!#REF!</definedName>
    <definedName name="_3B_15" localSheetId="5">[1]Sheet1!#REF!</definedName>
    <definedName name="_3B_15" localSheetId="3">[1]Sheet1!#REF!</definedName>
    <definedName name="_3B_15" localSheetId="6">[1]Sheet1!#REF!</definedName>
    <definedName name="_3B_15" localSheetId="7">[1]Sheet1!#REF!</definedName>
    <definedName name="_3B_15" localSheetId="8">[1]Sheet1!#REF!</definedName>
    <definedName name="_3B_15" localSheetId="4">[1]Sheet1!#REF!</definedName>
    <definedName name="_3B_15" localSheetId="1">[1]Sheet1!#REF!</definedName>
    <definedName name="_3B_15">[1]Sheet1!#REF!</definedName>
    <definedName name="_3B_16" localSheetId="5">[1]Sheet1!#REF!</definedName>
    <definedName name="_3B_16" localSheetId="3">[1]Sheet1!#REF!</definedName>
    <definedName name="_3B_16" localSheetId="6">[1]Sheet1!#REF!</definedName>
    <definedName name="_3B_16" localSheetId="7">[1]Sheet1!#REF!</definedName>
    <definedName name="_3B_16" localSheetId="8">[1]Sheet1!#REF!</definedName>
    <definedName name="_3B_16" localSheetId="4">[1]Sheet1!#REF!</definedName>
    <definedName name="_3B_16" localSheetId="1">[1]Sheet1!#REF!</definedName>
    <definedName name="_3B_16">[1]Sheet1!#REF!</definedName>
    <definedName name="_3B_17" localSheetId="5">[1]Sheet1!#REF!</definedName>
    <definedName name="_3B_17" localSheetId="3">[1]Sheet1!#REF!</definedName>
    <definedName name="_3B_17" localSheetId="6">[1]Sheet1!#REF!</definedName>
    <definedName name="_3B_17" localSheetId="7">[1]Sheet1!#REF!</definedName>
    <definedName name="_3B_17" localSheetId="8">[1]Sheet1!#REF!</definedName>
    <definedName name="_3B_17" localSheetId="4">[1]Sheet1!#REF!</definedName>
    <definedName name="_3B_17" localSheetId="1">[1]Sheet1!#REF!</definedName>
    <definedName name="_3B_17">[1]Sheet1!#REF!</definedName>
    <definedName name="_3B_18" localSheetId="5">[1]Sheet1!#REF!</definedName>
    <definedName name="_3B_18" localSheetId="3">[1]Sheet1!#REF!</definedName>
    <definedName name="_3B_18" localSheetId="6">[1]Sheet1!#REF!</definedName>
    <definedName name="_3B_18" localSheetId="7">[1]Sheet1!#REF!</definedName>
    <definedName name="_3B_18" localSheetId="8">[1]Sheet1!#REF!</definedName>
    <definedName name="_3B_18" localSheetId="4">[1]Sheet1!#REF!</definedName>
    <definedName name="_3B_18" localSheetId="1">[1]Sheet1!#REF!</definedName>
    <definedName name="_3B_18">[1]Sheet1!#REF!</definedName>
    <definedName name="_3B_19" localSheetId="5">[1]Sheet1!#REF!</definedName>
    <definedName name="_3B_19" localSheetId="3">[1]Sheet1!#REF!</definedName>
    <definedName name="_3B_19" localSheetId="6">[1]Sheet1!#REF!</definedName>
    <definedName name="_3B_19" localSheetId="7">[1]Sheet1!#REF!</definedName>
    <definedName name="_3B_19" localSheetId="8">[1]Sheet1!#REF!</definedName>
    <definedName name="_3B_19" localSheetId="4">[1]Sheet1!#REF!</definedName>
    <definedName name="_3B_19" localSheetId="1">[1]Sheet1!#REF!</definedName>
    <definedName name="_3B_19">[1]Sheet1!#REF!</definedName>
    <definedName name="_3B_2" localSheetId="5">[1]Sheet1!#REF!</definedName>
    <definedName name="_3B_2" localSheetId="3">[1]Sheet1!#REF!</definedName>
    <definedName name="_3B_2" localSheetId="6">[1]Sheet1!#REF!</definedName>
    <definedName name="_3B_2" localSheetId="7">[1]Sheet1!#REF!</definedName>
    <definedName name="_3B_2" localSheetId="8">[1]Sheet1!#REF!</definedName>
    <definedName name="_3B_2" localSheetId="4">[1]Sheet1!#REF!</definedName>
    <definedName name="_3B_2" localSheetId="1">[1]Sheet1!#REF!</definedName>
    <definedName name="_3B_2">[1]Sheet1!#REF!</definedName>
    <definedName name="_3B_20" localSheetId="5">[1]Sheet1!#REF!</definedName>
    <definedName name="_3B_20" localSheetId="3">[1]Sheet1!#REF!</definedName>
    <definedName name="_3B_20" localSheetId="6">[1]Sheet1!#REF!</definedName>
    <definedName name="_3B_20" localSheetId="7">[1]Sheet1!#REF!</definedName>
    <definedName name="_3B_20" localSheetId="8">[1]Sheet1!#REF!</definedName>
    <definedName name="_3B_20" localSheetId="4">[1]Sheet1!#REF!</definedName>
    <definedName name="_3B_20" localSheetId="1">[1]Sheet1!#REF!</definedName>
    <definedName name="_3B_20">[1]Sheet1!#REF!</definedName>
    <definedName name="_3B_21" localSheetId="5">[1]Sheet1!#REF!</definedName>
    <definedName name="_3B_21" localSheetId="3">[1]Sheet1!#REF!</definedName>
    <definedName name="_3B_21" localSheetId="6">[1]Sheet1!#REF!</definedName>
    <definedName name="_3B_21" localSheetId="7">[1]Sheet1!#REF!</definedName>
    <definedName name="_3B_21" localSheetId="8">[1]Sheet1!#REF!</definedName>
    <definedName name="_3B_21" localSheetId="4">[1]Sheet1!#REF!</definedName>
    <definedName name="_3B_21" localSheetId="1">[1]Sheet1!#REF!</definedName>
    <definedName name="_3B_21">[1]Sheet1!#REF!</definedName>
    <definedName name="_3B_22" localSheetId="5">[1]Sheet1!#REF!</definedName>
    <definedName name="_3B_22" localSheetId="3">[1]Sheet1!#REF!</definedName>
    <definedName name="_3B_22" localSheetId="6">[1]Sheet1!#REF!</definedName>
    <definedName name="_3B_22" localSheetId="7">[1]Sheet1!#REF!</definedName>
    <definedName name="_3B_22" localSheetId="8">[1]Sheet1!#REF!</definedName>
    <definedName name="_3B_22" localSheetId="4">[1]Sheet1!#REF!</definedName>
    <definedName name="_3B_22" localSheetId="1">[1]Sheet1!#REF!</definedName>
    <definedName name="_3B_22">[1]Sheet1!#REF!</definedName>
    <definedName name="_3B_23" localSheetId="5">[1]Sheet1!#REF!</definedName>
    <definedName name="_3B_23" localSheetId="3">[1]Sheet1!#REF!</definedName>
    <definedName name="_3B_23" localSheetId="6">[1]Sheet1!#REF!</definedName>
    <definedName name="_3B_23" localSheetId="7">[1]Sheet1!#REF!</definedName>
    <definedName name="_3B_23" localSheetId="8">[1]Sheet1!#REF!</definedName>
    <definedName name="_3B_23" localSheetId="4">[1]Sheet1!#REF!</definedName>
    <definedName name="_3B_23" localSheetId="1">[1]Sheet1!#REF!</definedName>
    <definedName name="_3B_23">[1]Sheet1!#REF!</definedName>
    <definedName name="_3B_24" localSheetId="5">[1]Sheet1!#REF!</definedName>
    <definedName name="_3B_24" localSheetId="3">[1]Sheet1!#REF!</definedName>
    <definedName name="_3B_24" localSheetId="6">[1]Sheet1!#REF!</definedName>
    <definedName name="_3B_24" localSheetId="7">[1]Sheet1!#REF!</definedName>
    <definedName name="_3B_24" localSheetId="8">[1]Sheet1!#REF!</definedName>
    <definedName name="_3B_24" localSheetId="4">[1]Sheet1!#REF!</definedName>
    <definedName name="_3B_24" localSheetId="1">[1]Sheet1!#REF!</definedName>
    <definedName name="_3B_24">[1]Sheet1!#REF!</definedName>
    <definedName name="_3B_25" localSheetId="5">[1]Sheet1!#REF!</definedName>
    <definedName name="_3B_25" localSheetId="3">[1]Sheet1!#REF!</definedName>
    <definedName name="_3B_25" localSheetId="6">[1]Sheet1!#REF!</definedName>
    <definedName name="_3B_25" localSheetId="7">[1]Sheet1!#REF!</definedName>
    <definedName name="_3B_25" localSheetId="8">[1]Sheet1!#REF!</definedName>
    <definedName name="_3B_25" localSheetId="4">[1]Sheet1!#REF!</definedName>
    <definedName name="_3B_25" localSheetId="1">[1]Sheet1!#REF!</definedName>
    <definedName name="_3B_25">[1]Sheet1!#REF!</definedName>
    <definedName name="_3B_26" localSheetId="5">[1]Sheet1!#REF!</definedName>
    <definedName name="_3B_26" localSheetId="3">[1]Sheet1!#REF!</definedName>
    <definedName name="_3B_26" localSheetId="6">[1]Sheet1!#REF!</definedName>
    <definedName name="_3B_26" localSheetId="7">[1]Sheet1!#REF!</definedName>
    <definedName name="_3B_26" localSheetId="8">[1]Sheet1!#REF!</definedName>
    <definedName name="_3B_26" localSheetId="4">[1]Sheet1!#REF!</definedName>
    <definedName name="_3B_26" localSheetId="1">[1]Sheet1!#REF!</definedName>
    <definedName name="_3B_26">[1]Sheet1!#REF!</definedName>
    <definedName name="_3B_27" localSheetId="5">[1]Sheet1!#REF!</definedName>
    <definedName name="_3B_27" localSheetId="3">[1]Sheet1!#REF!</definedName>
    <definedName name="_3B_27" localSheetId="6">[1]Sheet1!#REF!</definedName>
    <definedName name="_3B_27" localSheetId="7">[1]Sheet1!#REF!</definedName>
    <definedName name="_3B_27" localSheetId="8">[1]Sheet1!#REF!</definedName>
    <definedName name="_3B_27" localSheetId="4">[1]Sheet1!#REF!</definedName>
    <definedName name="_3B_27" localSheetId="1">[1]Sheet1!#REF!</definedName>
    <definedName name="_3B_27">[1]Sheet1!#REF!</definedName>
    <definedName name="_3B_28" localSheetId="5">[1]Sheet1!#REF!</definedName>
    <definedName name="_3B_28" localSheetId="3">[1]Sheet1!#REF!</definedName>
    <definedName name="_3B_28" localSheetId="6">[1]Sheet1!#REF!</definedName>
    <definedName name="_3B_28" localSheetId="7">[1]Sheet1!#REF!</definedName>
    <definedName name="_3B_28" localSheetId="8">[1]Sheet1!#REF!</definedName>
    <definedName name="_3B_28" localSheetId="4">[1]Sheet1!#REF!</definedName>
    <definedName name="_3B_28" localSheetId="1">[1]Sheet1!#REF!</definedName>
    <definedName name="_3B_28">[1]Sheet1!#REF!</definedName>
    <definedName name="_3B_29" localSheetId="5">[1]Sheet1!#REF!</definedName>
    <definedName name="_3B_29" localSheetId="3">[1]Sheet1!#REF!</definedName>
    <definedName name="_3B_29" localSheetId="6">[1]Sheet1!#REF!</definedName>
    <definedName name="_3B_29" localSheetId="7">[1]Sheet1!#REF!</definedName>
    <definedName name="_3B_29" localSheetId="8">[1]Sheet1!#REF!</definedName>
    <definedName name="_3B_29" localSheetId="4">[1]Sheet1!#REF!</definedName>
    <definedName name="_3B_29" localSheetId="1">[1]Sheet1!#REF!</definedName>
    <definedName name="_3B_29">[1]Sheet1!#REF!</definedName>
    <definedName name="_3B_3" localSheetId="5">[1]Sheet1!#REF!</definedName>
    <definedName name="_3B_3" localSheetId="3">[1]Sheet1!#REF!</definedName>
    <definedName name="_3B_3" localSheetId="6">[1]Sheet1!#REF!</definedName>
    <definedName name="_3B_3" localSheetId="7">[1]Sheet1!#REF!</definedName>
    <definedName name="_3B_3" localSheetId="8">[1]Sheet1!#REF!</definedName>
    <definedName name="_3B_3" localSheetId="4">[1]Sheet1!#REF!</definedName>
    <definedName name="_3B_3" localSheetId="1">[1]Sheet1!#REF!</definedName>
    <definedName name="_3B_3">[1]Sheet1!#REF!</definedName>
    <definedName name="_3B_30" localSheetId="5">[1]Sheet1!#REF!</definedName>
    <definedName name="_3B_30" localSheetId="3">[1]Sheet1!#REF!</definedName>
    <definedName name="_3B_30" localSheetId="6">[1]Sheet1!#REF!</definedName>
    <definedName name="_3B_30" localSheetId="7">[1]Sheet1!#REF!</definedName>
    <definedName name="_3B_30" localSheetId="8">[1]Sheet1!#REF!</definedName>
    <definedName name="_3B_30" localSheetId="4">[1]Sheet1!#REF!</definedName>
    <definedName name="_3B_30" localSheetId="1">[1]Sheet1!#REF!</definedName>
    <definedName name="_3B_30">[1]Sheet1!#REF!</definedName>
    <definedName name="_3B_4" localSheetId="5">[1]Sheet1!#REF!</definedName>
    <definedName name="_3B_4" localSheetId="3">[1]Sheet1!#REF!</definedName>
    <definedName name="_3B_4" localSheetId="6">[1]Sheet1!#REF!</definedName>
    <definedName name="_3B_4" localSheetId="7">[1]Sheet1!#REF!</definedName>
    <definedName name="_3B_4" localSheetId="8">[1]Sheet1!#REF!</definedName>
    <definedName name="_3B_4" localSheetId="4">[1]Sheet1!#REF!</definedName>
    <definedName name="_3B_4" localSheetId="1">[1]Sheet1!#REF!</definedName>
    <definedName name="_3B_4">[1]Sheet1!#REF!</definedName>
    <definedName name="_3B_5" localSheetId="5">[1]Sheet1!#REF!</definedName>
    <definedName name="_3B_5" localSheetId="3">[1]Sheet1!#REF!</definedName>
    <definedName name="_3B_5" localSheetId="6">[1]Sheet1!#REF!</definedName>
    <definedName name="_3B_5" localSheetId="7">[1]Sheet1!#REF!</definedName>
    <definedName name="_3B_5" localSheetId="8">[1]Sheet1!#REF!</definedName>
    <definedName name="_3B_5" localSheetId="4">[1]Sheet1!#REF!</definedName>
    <definedName name="_3B_5" localSheetId="1">[1]Sheet1!#REF!</definedName>
    <definedName name="_3B_5">[1]Sheet1!#REF!</definedName>
    <definedName name="_3B_6" localSheetId="5">[1]Sheet1!#REF!</definedName>
    <definedName name="_3B_6" localSheetId="3">[1]Sheet1!#REF!</definedName>
    <definedName name="_3B_6" localSheetId="6">[1]Sheet1!#REF!</definedName>
    <definedName name="_3B_6" localSheetId="7">[1]Sheet1!#REF!</definedName>
    <definedName name="_3B_6" localSheetId="8">[1]Sheet1!#REF!</definedName>
    <definedName name="_3B_6" localSheetId="4">[1]Sheet1!#REF!</definedName>
    <definedName name="_3B_6" localSheetId="1">[1]Sheet1!#REF!</definedName>
    <definedName name="_3B_6">[1]Sheet1!#REF!</definedName>
    <definedName name="_3B_7" localSheetId="5">[1]Sheet1!#REF!</definedName>
    <definedName name="_3B_7" localSheetId="3">[1]Sheet1!#REF!</definedName>
    <definedName name="_3B_7" localSheetId="6">[1]Sheet1!#REF!</definedName>
    <definedName name="_3B_7" localSheetId="7">[1]Sheet1!#REF!</definedName>
    <definedName name="_3B_7" localSheetId="8">[1]Sheet1!#REF!</definedName>
    <definedName name="_3B_7" localSheetId="4">[1]Sheet1!#REF!</definedName>
    <definedName name="_3B_7" localSheetId="1">[1]Sheet1!#REF!</definedName>
    <definedName name="_3B_7">[1]Sheet1!#REF!</definedName>
    <definedName name="_3B_8" localSheetId="5">[1]Sheet1!#REF!</definedName>
    <definedName name="_3B_8" localSheetId="3">[1]Sheet1!#REF!</definedName>
    <definedName name="_3B_8" localSheetId="6">[1]Sheet1!#REF!</definedName>
    <definedName name="_3B_8" localSheetId="7">[1]Sheet1!#REF!</definedName>
    <definedName name="_3B_8" localSheetId="8">[1]Sheet1!#REF!</definedName>
    <definedName name="_3B_8" localSheetId="4">[1]Sheet1!#REF!</definedName>
    <definedName name="_3B_8" localSheetId="1">[1]Sheet1!#REF!</definedName>
    <definedName name="_3B_8">[1]Sheet1!#REF!</definedName>
    <definedName name="_3B_9" localSheetId="5">[1]Sheet1!#REF!</definedName>
    <definedName name="_3B_9" localSheetId="3">[1]Sheet1!#REF!</definedName>
    <definedName name="_3B_9" localSheetId="6">[1]Sheet1!#REF!</definedName>
    <definedName name="_3B_9" localSheetId="7">[1]Sheet1!#REF!</definedName>
    <definedName name="_3B_9" localSheetId="8">[1]Sheet1!#REF!</definedName>
    <definedName name="_3B_9" localSheetId="4">[1]Sheet1!#REF!</definedName>
    <definedName name="_3B_9" localSheetId="1">[1]Sheet1!#REF!</definedName>
    <definedName name="_3B_9">[1]Sheet1!#REF!</definedName>
    <definedName name="_3C_1" localSheetId="5">[1]Sheet1!#REF!</definedName>
    <definedName name="_3C_1" localSheetId="3">[1]Sheet1!#REF!</definedName>
    <definedName name="_3C_1" localSheetId="6">[1]Sheet1!#REF!</definedName>
    <definedName name="_3C_1" localSheetId="7">[1]Sheet1!#REF!</definedName>
    <definedName name="_3C_1" localSheetId="8">[1]Sheet1!#REF!</definedName>
    <definedName name="_3C_1" localSheetId="4">[1]Sheet1!#REF!</definedName>
    <definedName name="_3C_1" localSheetId="1">[1]Sheet1!#REF!</definedName>
    <definedName name="_3C_1">[1]Sheet1!#REF!</definedName>
    <definedName name="_3C_10" localSheetId="5">[1]Sheet1!#REF!</definedName>
    <definedName name="_3C_10" localSheetId="3">[1]Sheet1!#REF!</definedName>
    <definedName name="_3C_10" localSheetId="6">[1]Sheet1!#REF!</definedName>
    <definedName name="_3C_10" localSheetId="7">[1]Sheet1!#REF!</definedName>
    <definedName name="_3C_10" localSheetId="8">[1]Sheet1!#REF!</definedName>
    <definedName name="_3C_10" localSheetId="4">[1]Sheet1!#REF!</definedName>
    <definedName name="_3C_10" localSheetId="1">[1]Sheet1!#REF!</definedName>
    <definedName name="_3C_10">[1]Sheet1!#REF!</definedName>
    <definedName name="_3C_11" localSheetId="5">[1]Sheet1!#REF!</definedName>
    <definedName name="_3C_11" localSheetId="3">[1]Sheet1!#REF!</definedName>
    <definedName name="_3C_11" localSheetId="6">[1]Sheet1!#REF!</definedName>
    <definedName name="_3C_11" localSheetId="7">[1]Sheet1!#REF!</definedName>
    <definedName name="_3C_11" localSheetId="8">[1]Sheet1!#REF!</definedName>
    <definedName name="_3C_11" localSheetId="4">[1]Sheet1!#REF!</definedName>
    <definedName name="_3C_11" localSheetId="1">[1]Sheet1!#REF!</definedName>
    <definedName name="_3C_11">[1]Sheet1!#REF!</definedName>
    <definedName name="_3C_12" localSheetId="5">[1]Sheet1!#REF!</definedName>
    <definedName name="_3C_12" localSheetId="3">[1]Sheet1!#REF!</definedName>
    <definedName name="_3C_12" localSheetId="6">[1]Sheet1!#REF!</definedName>
    <definedName name="_3C_12" localSheetId="7">[1]Sheet1!#REF!</definedName>
    <definedName name="_3C_12" localSheetId="8">[1]Sheet1!#REF!</definedName>
    <definedName name="_3C_12" localSheetId="4">[1]Sheet1!#REF!</definedName>
    <definedName name="_3C_12" localSheetId="1">[1]Sheet1!#REF!</definedName>
    <definedName name="_3C_12">[1]Sheet1!#REF!</definedName>
    <definedName name="_3C_13" localSheetId="5">[1]Sheet1!#REF!</definedName>
    <definedName name="_3C_13" localSheetId="3">[1]Sheet1!#REF!</definedName>
    <definedName name="_3C_13" localSheetId="6">[1]Sheet1!#REF!</definedName>
    <definedName name="_3C_13" localSheetId="7">[1]Sheet1!#REF!</definedName>
    <definedName name="_3C_13" localSheetId="8">[1]Sheet1!#REF!</definedName>
    <definedName name="_3C_13" localSheetId="4">[1]Sheet1!#REF!</definedName>
    <definedName name="_3C_13" localSheetId="1">[1]Sheet1!#REF!</definedName>
    <definedName name="_3C_13">[1]Sheet1!#REF!</definedName>
    <definedName name="_3C_14" localSheetId="5">[1]Sheet1!#REF!</definedName>
    <definedName name="_3C_14" localSheetId="3">[1]Sheet1!#REF!</definedName>
    <definedName name="_3C_14" localSheetId="6">[1]Sheet1!#REF!</definedName>
    <definedName name="_3C_14" localSheetId="7">[1]Sheet1!#REF!</definedName>
    <definedName name="_3C_14" localSheetId="8">[1]Sheet1!#REF!</definedName>
    <definedName name="_3C_14" localSheetId="4">[1]Sheet1!#REF!</definedName>
    <definedName name="_3C_14" localSheetId="1">[1]Sheet1!#REF!</definedName>
    <definedName name="_3C_14">[1]Sheet1!#REF!</definedName>
    <definedName name="_3C_15" localSheetId="5">[1]Sheet1!#REF!</definedName>
    <definedName name="_3C_15" localSheetId="3">[1]Sheet1!#REF!</definedName>
    <definedName name="_3C_15" localSheetId="6">[1]Sheet1!#REF!</definedName>
    <definedName name="_3C_15" localSheetId="7">[1]Sheet1!#REF!</definedName>
    <definedName name="_3C_15" localSheetId="8">[1]Sheet1!#REF!</definedName>
    <definedName name="_3C_15" localSheetId="4">[1]Sheet1!#REF!</definedName>
    <definedName name="_3C_15" localSheetId="1">[1]Sheet1!#REF!</definedName>
    <definedName name="_3C_15">[1]Sheet1!#REF!</definedName>
    <definedName name="_3C_16" localSheetId="5">[1]Sheet1!#REF!</definedName>
    <definedName name="_3C_16" localSheetId="3">[1]Sheet1!#REF!</definedName>
    <definedName name="_3C_16" localSheetId="6">[1]Sheet1!#REF!</definedName>
    <definedName name="_3C_16" localSheetId="7">[1]Sheet1!#REF!</definedName>
    <definedName name="_3C_16" localSheetId="8">[1]Sheet1!#REF!</definedName>
    <definedName name="_3C_16" localSheetId="4">[1]Sheet1!#REF!</definedName>
    <definedName name="_3C_16" localSheetId="1">[1]Sheet1!#REF!</definedName>
    <definedName name="_3C_16">[1]Sheet1!#REF!</definedName>
    <definedName name="_3C_17" localSheetId="5">[1]Sheet1!#REF!</definedName>
    <definedName name="_3C_17" localSheetId="3">[1]Sheet1!#REF!</definedName>
    <definedName name="_3C_17" localSheetId="6">[1]Sheet1!#REF!</definedName>
    <definedName name="_3C_17" localSheetId="7">[1]Sheet1!#REF!</definedName>
    <definedName name="_3C_17" localSheetId="8">[1]Sheet1!#REF!</definedName>
    <definedName name="_3C_17" localSheetId="4">[1]Sheet1!#REF!</definedName>
    <definedName name="_3C_17" localSheetId="1">[1]Sheet1!#REF!</definedName>
    <definedName name="_3C_17">[1]Sheet1!#REF!</definedName>
    <definedName name="_3C_18" localSheetId="5">[1]Sheet1!#REF!</definedName>
    <definedName name="_3C_18" localSheetId="3">[1]Sheet1!#REF!</definedName>
    <definedName name="_3C_18" localSheetId="6">[1]Sheet1!#REF!</definedName>
    <definedName name="_3C_18" localSheetId="7">[1]Sheet1!#REF!</definedName>
    <definedName name="_3C_18" localSheetId="8">[1]Sheet1!#REF!</definedName>
    <definedName name="_3C_18" localSheetId="4">[1]Sheet1!#REF!</definedName>
    <definedName name="_3C_18" localSheetId="1">[1]Sheet1!#REF!</definedName>
    <definedName name="_3C_18">[1]Sheet1!#REF!</definedName>
    <definedName name="_3C_19" localSheetId="5">[1]Sheet1!#REF!</definedName>
    <definedName name="_3C_19" localSheetId="3">[1]Sheet1!#REF!</definedName>
    <definedName name="_3C_19" localSheetId="6">[1]Sheet1!#REF!</definedName>
    <definedName name="_3C_19" localSheetId="7">[1]Sheet1!#REF!</definedName>
    <definedName name="_3C_19" localSheetId="8">[1]Sheet1!#REF!</definedName>
    <definedName name="_3C_19" localSheetId="4">[1]Sheet1!#REF!</definedName>
    <definedName name="_3C_19" localSheetId="1">[1]Sheet1!#REF!</definedName>
    <definedName name="_3C_19">[1]Sheet1!#REF!</definedName>
    <definedName name="_3C_2" localSheetId="5">[1]Sheet1!#REF!</definedName>
    <definedName name="_3C_2" localSheetId="3">[1]Sheet1!#REF!</definedName>
    <definedName name="_3C_2" localSheetId="6">[1]Sheet1!#REF!</definedName>
    <definedName name="_3C_2" localSheetId="7">[1]Sheet1!#REF!</definedName>
    <definedName name="_3C_2" localSheetId="8">[1]Sheet1!#REF!</definedName>
    <definedName name="_3C_2" localSheetId="4">[1]Sheet1!#REF!</definedName>
    <definedName name="_3C_2" localSheetId="1">[1]Sheet1!#REF!</definedName>
    <definedName name="_3C_2">[1]Sheet1!#REF!</definedName>
    <definedName name="_3C_20" localSheetId="5">[1]Sheet1!#REF!</definedName>
    <definedName name="_3C_20" localSheetId="3">[1]Sheet1!#REF!</definedName>
    <definedName name="_3C_20" localSheetId="6">[1]Sheet1!#REF!</definedName>
    <definedName name="_3C_20" localSheetId="7">[1]Sheet1!#REF!</definedName>
    <definedName name="_3C_20" localSheetId="8">[1]Sheet1!#REF!</definedName>
    <definedName name="_3C_20" localSheetId="4">[1]Sheet1!#REF!</definedName>
    <definedName name="_3C_20" localSheetId="1">[1]Sheet1!#REF!</definedName>
    <definedName name="_3C_20">[1]Sheet1!#REF!</definedName>
    <definedName name="_3C_21" localSheetId="5">[1]Sheet1!#REF!</definedName>
    <definedName name="_3C_21" localSheetId="3">[1]Sheet1!#REF!</definedName>
    <definedName name="_3C_21" localSheetId="6">[1]Sheet1!#REF!</definedName>
    <definedName name="_3C_21" localSheetId="7">[1]Sheet1!#REF!</definedName>
    <definedName name="_3C_21" localSheetId="8">[1]Sheet1!#REF!</definedName>
    <definedName name="_3C_21" localSheetId="4">[1]Sheet1!#REF!</definedName>
    <definedName name="_3C_21" localSheetId="1">[1]Sheet1!#REF!</definedName>
    <definedName name="_3C_21">[1]Sheet1!#REF!</definedName>
    <definedName name="_3C_22" localSheetId="5">[1]Sheet1!#REF!</definedName>
    <definedName name="_3C_22" localSheetId="3">[1]Sheet1!#REF!</definedName>
    <definedName name="_3C_22" localSheetId="6">[1]Sheet1!#REF!</definedName>
    <definedName name="_3C_22" localSheetId="7">[1]Sheet1!#REF!</definedName>
    <definedName name="_3C_22" localSheetId="8">[1]Sheet1!#REF!</definedName>
    <definedName name="_3C_22" localSheetId="4">[1]Sheet1!#REF!</definedName>
    <definedName name="_3C_22" localSheetId="1">[1]Sheet1!#REF!</definedName>
    <definedName name="_3C_22">[1]Sheet1!#REF!</definedName>
    <definedName name="_3C_23" localSheetId="5">[1]Sheet1!#REF!</definedName>
    <definedName name="_3C_23" localSheetId="3">[1]Sheet1!#REF!</definedName>
    <definedName name="_3C_23" localSheetId="6">[1]Sheet1!#REF!</definedName>
    <definedName name="_3C_23" localSheetId="7">[1]Sheet1!#REF!</definedName>
    <definedName name="_3C_23" localSheetId="8">[1]Sheet1!#REF!</definedName>
    <definedName name="_3C_23" localSheetId="4">[1]Sheet1!#REF!</definedName>
    <definedName name="_3C_23" localSheetId="1">[1]Sheet1!#REF!</definedName>
    <definedName name="_3C_23">[1]Sheet1!#REF!</definedName>
    <definedName name="_3C_24" localSheetId="5">[1]Sheet1!#REF!</definedName>
    <definedName name="_3C_24" localSheetId="3">[1]Sheet1!#REF!</definedName>
    <definedName name="_3C_24" localSheetId="6">[1]Sheet1!#REF!</definedName>
    <definedName name="_3C_24" localSheetId="7">[1]Sheet1!#REF!</definedName>
    <definedName name="_3C_24" localSheetId="8">[1]Sheet1!#REF!</definedName>
    <definedName name="_3C_24" localSheetId="4">[1]Sheet1!#REF!</definedName>
    <definedName name="_3C_24" localSheetId="1">[1]Sheet1!#REF!</definedName>
    <definedName name="_3C_24">[1]Sheet1!#REF!</definedName>
    <definedName name="_3C_25" localSheetId="5">[1]Sheet1!#REF!</definedName>
    <definedName name="_3C_25" localSheetId="3">[1]Sheet1!#REF!</definedName>
    <definedName name="_3C_25" localSheetId="6">[1]Sheet1!#REF!</definedName>
    <definedName name="_3C_25" localSheetId="7">[1]Sheet1!#REF!</definedName>
    <definedName name="_3C_25" localSheetId="8">[1]Sheet1!#REF!</definedName>
    <definedName name="_3C_25" localSheetId="4">[1]Sheet1!#REF!</definedName>
    <definedName name="_3C_25" localSheetId="1">[1]Sheet1!#REF!</definedName>
    <definedName name="_3C_25">[1]Sheet1!#REF!</definedName>
    <definedName name="_3C_26" localSheetId="5">[1]Sheet1!#REF!</definedName>
    <definedName name="_3C_26" localSheetId="3">[1]Sheet1!#REF!</definedName>
    <definedName name="_3C_26" localSheetId="6">[1]Sheet1!#REF!</definedName>
    <definedName name="_3C_26" localSheetId="7">[1]Sheet1!#REF!</definedName>
    <definedName name="_3C_26" localSheetId="8">[1]Sheet1!#REF!</definedName>
    <definedName name="_3C_26" localSheetId="4">[1]Sheet1!#REF!</definedName>
    <definedName name="_3C_26" localSheetId="1">[1]Sheet1!#REF!</definedName>
    <definedName name="_3C_26">[1]Sheet1!#REF!</definedName>
    <definedName name="_3C_27" localSheetId="5">[1]Sheet1!#REF!</definedName>
    <definedName name="_3C_27" localSheetId="3">[1]Sheet1!#REF!</definedName>
    <definedName name="_3C_27" localSheetId="6">[1]Sheet1!#REF!</definedName>
    <definedName name="_3C_27" localSheetId="7">[1]Sheet1!#REF!</definedName>
    <definedName name="_3C_27" localSheetId="8">[1]Sheet1!#REF!</definedName>
    <definedName name="_3C_27" localSheetId="4">[1]Sheet1!#REF!</definedName>
    <definedName name="_3C_27" localSheetId="1">[1]Sheet1!#REF!</definedName>
    <definedName name="_3C_27">[1]Sheet1!#REF!</definedName>
    <definedName name="_3C_28" localSheetId="5">[1]Sheet1!#REF!</definedName>
    <definedName name="_3C_28" localSheetId="3">[1]Sheet1!#REF!</definedName>
    <definedName name="_3C_28" localSheetId="6">[1]Sheet1!#REF!</definedName>
    <definedName name="_3C_28" localSheetId="7">[1]Sheet1!#REF!</definedName>
    <definedName name="_3C_28" localSheetId="8">[1]Sheet1!#REF!</definedName>
    <definedName name="_3C_28" localSheetId="4">[1]Sheet1!#REF!</definedName>
    <definedName name="_3C_28" localSheetId="1">[1]Sheet1!#REF!</definedName>
    <definedName name="_3C_28">[1]Sheet1!#REF!</definedName>
    <definedName name="_3C_29" localSheetId="5">[1]Sheet1!#REF!</definedName>
    <definedName name="_3C_29" localSheetId="3">[1]Sheet1!#REF!</definedName>
    <definedName name="_3C_29" localSheetId="6">[1]Sheet1!#REF!</definedName>
    <definedName name="_3C_29" localSheetId="7">[1]Sheet1!#REF!</definedName>
    <definedName name="_3C_29" localSheetId="8">[1]Sheet1!#REF!</definedName>
    <definedName name="_3C_29" localSheetId="4">[1]Sheet1!#REF!</definedName>
    <definedName name="_3C_29" localSheetId="1">[1]Sheet1!#REF!</definedName>
    <definedName name="_3C_29">[1]Sheet1!#REF!</definedName>
    <definedName name="_3C_3" localSheetId="5">[1]Sheet1!#REF!</definedName>
    <definedName name="_3C_3" localSheetId="3">[1]Sheet1!#REF!</definedName>
    <definedName name="_3C_3" localSheetId="6">[1]Sheet1!#REF!</definedName>
    <definedName name="_3C_3" localSheetId="7">[1]Sheet1!#REF!</definedName>
    <definedName name="_3C_3" localSheetId="8">[1]Sheet1!#REF!</definedName>
    <definedName name="_3C_3" localSheetId="4">[1]Sheet1!#REF!</definedName>
    <definedName name="_3C_3" localSheetId="1">[1]Sheet1!#REF!</definedName>
    <definedName name="_3C_3">[1]Sheet1!#REF!</definedName>
    <definedName name="_3C_30" localSheetId="5">[1]Sheet1!#REF!</definedName>
    <definedName name="_3C_30" localSheetId="3">[1]Sheet1!#REF!</definedName>
    <definedName name="_3C_30" localSheetId="6">[1]Sheet1!#REF!</definedName>
    <definedName name="_3C_30" localSheetId="7">[1]Sheet1!#REF!</definedName>
    <definedName name="_3C_30" localSheetId="8">[1]Sheet1!#REF!</definedName>
    <definedName name="_3C_30" localSheetId="4">[1]Sheet1!#REF!</definedName>
    <definedName name="_3C_30" localSheetId="1">[1]Sheet1!#REF!</definedName>
    <definedName name="_3C_30">[1]Sheet1!#REF!</definedName>
    <definedName name="_3C_4" localSheetId="5">[1]Sheet1!#REF!</definedName>
    <definedName name="_3C_4" localSheetId="3">[1]Sheet1!#REF!</definedName>
    <definedName name="_3C_4" localSheetId="6">[1]Sheet1!#REF!</definedName>
    <definedName name="_3C_4" localSheetId="7">[1]Sheet1!#REF!</definedName>
    <definedName name="_3C_4" localSheetId="8">[1]Sheet1!#REF!</definedName>
    <definedName name="_3C_4" localSheetId="4">[1]Sheet1!#REF!</definedName>
    <definedName name="_3C_4" localSheetId="1">[1]Sheet1!#REF!</definedName>
    <definedName name="_3C_4">[1]Sheet1!#REF!</definedName>
    <definedName name="_3C_5" localSheetId="5">[1]Sheet1!#REF!</definedName>
    <definedName name="_3C_5" localSheetId="3">[1]Sheet1!#REF!</definedName>
    <definedName name="_3C_5" localSheetId="6">[1]Sheet1!#REF!</definedName>
    <definedName name="_3C_5" localSheetId="7">[1]Sheet1!#REF!</definedName>
    <definedName name="_3C_5" localSheetId="8">[1]Sheet1!#REF!</definedName>
    <definedName name="_3C_5" localSheetId="4">[1]Sheet1!#REF!</definedName>
    <definedName name="_3C_5" localSheetId="1">[1]Sheet1!#REF!</definedName>
    <definedName name="_3C_5">[1]Sheet1!#REF!</definedName>
    <definedName name="_3C_6" localSheetId="5">[1]Sheet1!#REF!</definedName>
    <definedName name="_3C_6" localSheetId="3">[1]Sheet1!#REF!</definedName>
    <definedName name="_3C_6" localSheetId="6">[1]Sheet1!#REF!</definedName>
    <definedName name="_3C_6" localSheetId="7">[1]Sheet1!#REF!</definedName>
    <definedName name="_3C_6" localSheetId="8">[1]Sheet1!#REF!</definedName>
    <definedName name="_3C_6" localSheetId="4">[1]Sheet1!#REF!</definedName>
    <definedName name="_3C_6" localSheetId="1">[1]Sheet1!#REF!</definedName>
    <definedName name="_3C_6">[1]Sheet1!#REF!</definedName>
    <definedName name="_3C_7" localSheetId="5">[1]Sheet1!#REF!</definedName>
    <definedName name="_3C_7" localSheetId="3">[1]Sheet1!#REF!</definedName>
    <definedName name="_3C_7" localSheetId="6">[1]Sheet1!#REF!</definedName>
    <definedName name="_3C_7" localSheetId="7">[1]Sheet1!#REF!</definedName>
    <definedName name="_3C_7" localSheetId="8">[1]Sheet1!#REF!</definedName>
    <definedName name="_3C_7" localSheetId="4">[1]Sheet1!#REF!</definedName>
    <definedName name="_3C_7" localSheetId="1">[1]Sheet1!#REF!</definedName>
    <definedName name="_3C_7">[1]Sheet1!#REF!</definedName>
    <definedName name="_3C_8" localSheetId="5">[1]Sheet1!#REF!</definedName>
    <definedName name="_3C_8" localSheetId="3">[1]Sheet1!#REF!</definedName>
    <definedName name="_3C_8" localSheetId="6">[1]Sheet1!#REF!</definedName>
    <definedName name="_3C_8" localSheetId="7">[1]Sheet1!#REF!</definedName>
    <definedName name="_3C_8" localSheetId="8">[1]Sheet1!#REF!</definedName>
    <definedName name="_3C_8" localSheetId="4">[1]Sheet1!#REF!</definedName>
    <definedName name="_3C_8" localSheetId="1">[1]Sheet1!#REF!</definedName>
    <definedName name="_3C_8">[1]Sheet1!#REF!</definedName>
    <definedName name="_3C_9" localSheetId="5">[1]Sheet1!#REF!</definedName>
    <definedName name="_3C_9" localSheetId="3">[1]Sheet1!#REF!</definedName>
    <definedName name="_3C_9" localSheetId="6">[1]Sheet1!#REF!</definedName>
    <definedName name="_3C_9" localSheetId="7">[1]Sheet1!#REF!</definedName>
    <definedName name="_3C_9" localSheetId="8">[1]Sheet1!#REF!</definedName>
    <definedName name="_3C_9" localSheetId="4">[1]Sheet1!#REF!</definedName>
    <definedName name="_3C_9" localSheetId="1">[1]Sheet1!#REF!</definedName>
    <definedName name="_3C_9">[1]Sheet1!#REF!</definedName>
    <definedName name="_3경비" localSheetId="5">'[2]H-PILE 박기'!#REF!</definedName>
    <definedName name="_3경비" localSheetId="3">'[2]H-PILE 박기'!#REF!</definedName>
    <definedName name="_3경비" localSheetId="6">'[2]H-PILE 박기'!#REF!</definedName>
    <definedName name="_3경비" localSheetId="7">'[2]H-PILE 박기'!#REF!</definedName>
    <definedName name="_3경비" localSheetId="8">'[2]H-PILE 박기'!#REF!</definedName>
    <definedName name="_3경비" localSheetId="4">'[2]H-PILE 박기'!#REF!</definedName>
    <definedName name="_3경비" localSheetId="1">'[2]H-PILE 박기'!#REF!</definedName>
    <definedName name="_3경비">'[2]H-PILE 박기'!#REF!</definedName>
    <definedName name="_3공장" localSheetId="5">#REF!</definedName>
    <definedName name="_3공장" localSheetId="3">#REF!</definedName>
    <definedName name="_3공장" localSheetId="6">#REF!</definedName>
    <definedName name="_3공장" localSheetId="7">#REF!</definedName>
    <definedName name="_3공장" localSheetId="8">#REF!</definedName>
    <definedName name="_3공장" localSheetId="4">#REF!</definedName>
    <definedName name="_3공장" localSheetId="1">#REF!</definedName>
    <definedName name="_3공장">#REF!</definedName>
    <definedName name="_3노임" localSheetId="5">'[2]H-PILE 박기'!#REF!</definedName>
    <definedName name="_3노임" localSheetId="3">'[2]H-PILE 박기'!#REF!</definedName>
    <definedName name="_3노임" localSheetId="6">'[2]H-PILE 박기'!#REF!</definedName>
    <definedName name="_3노임" localSheetId="7">'[2]H-PILE 박기'!#REF!</definedName>
    <definedName name="_3노임" localSheetId="8">'[2]H-PILE 박기'!#REF!</definedName>
    <definedName name="_3노임" localSheetId="4">'[2]H-PILE 박기'!#REF!</definedName>
    <definedName name="_3노임" localSheetId="1">'[2]H-PILE 박기'!#REF!</definedName>
    <definedName name="_3노임">'[2]H-PILE 박기'!#REF!</definedName>
    <definedName name="_3재료" localSheetId="5">'[2]H-PILE 박기'!#REF!</definedName>
    <definedName name="_3재료" localSheetId="3">'[2]H-PILE 박기'!#REF!</definedName>
    <definedName name="_3재료" localSheetId="6">'[2]H-PILE 박기'!#REF!</definedName>
    <definedName name="_3재료" localSheetId="7">'[2]H-PILE 박기'!#REF!</definedName>
    <definedName name="_3재료" localSheetId="8">'[2]H-PILE 박기'!#REF!</definedName>
    <definedName name="_3재료" localSheetId="4">'[2]H-PILE 박기'!#REF!</definedName>
    <definedName name="_3재료" localSheetId="1">'[2]H-PILE 박기'!#REF!</definedName>
    <definedName name="_3재료">'[2]H-PILE 박기'!#REF!</definedName>
    <definedName name="_4A_1" localSheetId="5">[1]Sheet1!#REF!</definedName>
    <definedName name="_4A_1" localSheetId="3">[1]Sheet1!#REF!</definedName>
    <definedName name="_4A_1" localSheetId="6">[1]Sheet1!#REF!</definedName>
    <definedName name="_4A_1" localSheetId="7">[1]Sheet1!#REF!</definedName>
    <definedName name="_4A_1" localSheetId="8">[1]Sheet1!#REF!</definedName>
    <definedName name="_4A_1" localSheetId="4">[1]Sheet1!#REF!</definedName>
    <definedName name="_4A_1" localSheetId="1">[1]Sheet1!#REF!</definedName>
    <definedName name="_4A_1">[1]Sheet1!#REF!</definedName>
    <definedName name="_4A_10" localSheetId="5">[1]Sheet1!#REF!</definedName>
    <definedName name="_4A_10" localSheetId="3">[1]Sheet1!#REF!</definedName>
    <definedName name="_4A_10" localSheetId="6">[1]Sheet1!#REF!</definedName>
    <definedName name="_4A_10" localSheetId="7">[1]Sheet1!#REF!</definedName>
    <definedName name="_4A_10" localSheetId="8">[1]Sheet1!#REF!</definedName>
    <definedName name="_4A_10" localSheetId="4">[1]Sheet1!#REF!</definedName>
    <definedName name="_4A_10" localSheetId="1">[1]Sheet1!#REF!</definedName>
    <definedName name="_4A_10">[1]Sheet1!#REF!</definedName>
    <definedName name="_4A_11" localSheetId="5">[1]Sheet1!#REF!</definedName>
    <definedName name="_4A_11" localSheetId="3">[1]Sheet1!#REF!</definedName>
    <definedName name="_4A_11" localSheetId="6">[1]Sheet1!#REF!</definedName>
    <definedName name="_4A_11" localSheetId="7">[1]Sheet1!#REF!</definedName>
    <definedName name="_4A_11" localSheetId="8">[1]Sheet1!#REF!</definedName>
    <definedName name="_4A_11" localSheetId="4">[1]Sheet1!#REF!</definedName>
    <definedName name="_4A_11" localSheetId="1">[1]Sheet1!#REF!</definedName>
    <definedName name="_4A_11">[1]Sheet1!#REF!</definedName>
    <definedName name="_4A_12" localSheetId="5">[1]Sheet1!#REF!</definedName>
    <definedName name="_4A_12" localSheetId="3">[1]Sheet1!#REF!</definedName>
    <definedName name="_4A_12" localSheetId="6">[1]Sheet1!#REF!</definedName>
    <definedName name="_4A_12" localSheetId="7">[1]Sheet1!#REF!</definedName>
    <definedName name="_4A_12" localSheetId="8">[1]Sheet1!#REF!</definedName>
    <definedName name="_4A_12" localSheetId="4">[1]Sheet1!#REF!</definedName>
    <definedName name="_4A_12" localSheetId="1">[1]Sheet1!#REF!</definedName>
    <definedName name="_4A_12">[1]Sheet1!#REF!</definedName>
    <definedName name="_4A_13" localSheetId="5">[1]Sheet1!#REF!</definedName>
    <definedName name="_4A_13" localSheetId="3">[1]Sheet1!#REF!</definedName>
    <definedName name="_4A_13" localSheetId="6">[1]Sheet1!#REF!</definedName>
    <definedName name="_4A_13" localSheetId="7">[1]Sheet1!#REF!</definedName>
    <definedName name="_4A_13" localSheetId="8">[1]Sheet1!#REF!</definedName>
    <definedName name="_4A_13" localSheetId="4">[1]Sheet1!#REF!</definedName>
    <definedName name="_4A_13" localSheetId="1">[1]Sheet1!#REF!</definedName>
    <definedName name="_4A_13">[1]Sheet1!#REF!</definedName>
    <definedName name="_4A_14" localSheetId="5">[1]Sheet1!#REF!</definedName>
    <definedName name="_4A_14" localSheetId="3">[1]Sheet1!#REF!</definedName>
    <definedName name="_4A_14" localSheetId="6">[1]Sheet1!#REF!</definedName>
    <definedName name="_4A_14" localSheetId="7">[1]Sheet1!#REF!</definedName>
    <definedName name="_4A_14" localSheetId="8">[1]Sheet1!#REF!</definedName>
    <definedName name="_4A_14" localSheetId="4">[1]Sheet1!#REF!</definedName>
    <definedName name="_4A_14" localSheetId="1">[1]Sheet1!#REF!</definedName>
    <definedName name="_4A_14">[1]Sheet1!#REF!</definedName>
    <definedName name="_4A_15" localSheetId="5">[1]Sheet1!#REF!</definedName>
    <definedName name="_4A_15" localSheetId="3">[1]Sheet1!#REF!</definedName>
    <definedName name="_4A_15" localSheetId="6">[1]Sheet1!#REF!</definedName>
    <definedName name="_4A_15" localSheetId="7">[1]Sheet1!#REF!</definedName>
    <definedName name="_4A_15" localSheetId="8">[1]Sheet1!#REF!</definedName>
    <definedName name="_4A_15" localSheetId="4">[1]Sheet1!#REF!</definedName>
    <definedName name="_4A_15" localSheetId="1">[1]Sheet1!#REF!</definedName>
    <definedName name="_4A_15">[1]Sheet1!#REF!</definedName>
    <definedName name="_4A_16" localSheetId="5">[1]Sheet1!#REF!</definedName>
    <definedName name="_4A_16" localSheetId="3">[1]Sheet1!#REF!</definedName>
    <definedName name="_4A_16" localSheetId="6">[1]Sheet1!#REF!</definedName>
    <definedName name="_4A_16" localSheetId="7">[1]Sheet1!#REF!</definedName>
    <definedName name="_4A_16" localSheetId="8">[1]Sheet1!#REF!</definedName>
    <definedName name="_4A_16" localSheetId="4">[1]Sheet1!#REF!</definedName>
    <definedName name="_4A_16" localSheetId="1">[1]Sheet1!#REF!</definedName>
    <definedName name="_4A_16">[1]Sheet1!#REF!</definedName>
    <definedName name="_4A_17" localSheetId="5">[1]Sheet1!#REF!</definedName>
    <definedName name="_4A_17" localSheetId="3">[1]Sheet1!#REF!</definedName>
    <definedName name="_4A_17" localSheetId="6">[1]Sheet1!#REF!</definedName>
    <definedName name="_4A_17" localSheetId="7">[1]Sheet1!#REF!</definedName>
    <definedName name="_4A_17" localSheetId="8">[1]Sheet1!#REF!</definedName>
    <definedName name="_4A_17" localSheetId="4">[1]Sheet1!#REF!</definedName>
    <definedName name="_4A_17" localSheetId="1">[1]Sheet1!#REF!</definedName>
    <definedName name="_4A_17">[1]Sheet1!#REF!</definedName>
    <definedName name="_4A_18" localSheetId="5">[1]Sheet1!#REF!</definedName>
    <definedName name="_4A_18" localSheetId="3">[1]Sheet1!#REF!</definedName>
    <definedName name="_4A_18" localSheetId="6">[1]Sheet1!#REF!</definedName>
    <definedName name="_4A_18" localSheetId="7">[1]Sheet1!#REF!</definedName>
    <definedName name="_4A_18" localSheetId="8">[1]Sheet1!#REF!</definedName>
    <definedName name="_4A_18" localSheetId="4">[1]Sheet1!#REF!</definedName>
    <definedName name="_4A_18" localSheetId="1">[1]Sheet1!#REF!</definedName>
    <definedName name="_4A_18">[1]Sheet1!#REF!</definedName>
    <definedName name="_4A_19" localSheetId="5">[1]Sheet1!#REF!</definedName>
    <definedName name="_4A_19" localSheetId="3">[1]Sheet1!#REF!</definedName>
    <definedName name="_4A_19" localSheetId="6">[1]Sheet1!#REF!</definedName>
    <definedName name="_4A_19" localSheetId="7">[1]Sheet1!#REF!</definedName>
    <definedName name="_4A_19" localSheetId="8">[1]Sheet1!#REF!</definedName>
    <definedName name="_4A_19" localSheetId="4">[1]Sheet1!#REF!</definedName>
    <definedName name="_4A_19" localSheetId="1">[1]Sheet1!#REF!</definedName>
    <definedName name="_4A_19">[1]Sheet1!#REF!</definedName>
    <definedName name="_4A_2" localSheetId="5">[1]Sheet1!#REF!</definedName>
    <definedName name="_4A_2" localSheetId="3">[1]Sheet1!#REF!</definedName>
    <definedName name="_4A_2" localSheetId="6">[1]Sheet1!#REF!</definedName>
    <definedName name="_4A_2" localSheetId="7">[1]Sheet1!#REF!</definedName>
    <definedName name="_4A_2" localSheetId="8">[1]Sheet1!#REF!</definedName>
    <definedName name="_4A_2" localSheetId="4">[1]Sheet1!#REF!</definedName>
    <definedName name="_4A_2" localSheetId="1">[1]Sheet1!#REF!</definedName>
    <definedName name="_4A_2">[1]Sheet1!#REF!</definedName>
    <definedName name="_4A_20" localSheetId="5">[1]Sheet1!#REF!</definedName>
    <definedName name="_4A_20" localSheetId="3">[1]Sheet1!#REF!</definedName>
    <definedName name="_4A_20" localSheetId="6">[1]Sheet1!#REF!</definedName>
    <definedName name="_4A_20" localSheetId="7">[1]Sheet1!#REF!</definedName>
    <definedName name="_4A_20" localSheetId="8">[1]Sheet1!#REF!</definedName>
    <definedName name="_4A_20" localSheetId="4">[1]Sheet1!#REF!</definedName>
    <definedName name="_4A_20" localSheetId="1">[1]Sheet1!#REF!</definedName>
    <definedName name="_4A_20">[1]Sheet1!#REF!</definedName>
    <definedName name="_4A_21" localSheetId="5">[1]Sheet1!#REF!</definedName>
    <definedName name="_4A_21" localSheetId="3">[1]Sheet1!#REF!</definedName>
    <definedName name="_4A_21" localSheetId="6">[1]Sheet1!#REF!</definedName>
    <definedName name="_4A_21" localSheetId="7">[1]Sheet1!#REF!</definedName>
    <definedName name="_4A_21" localSheetId="8">[1]Sheet1!#REF!</definedName>
    <definedName name="_4A_21" localSheetId="4">[1]Sheet1!#REF!</definedName>
    <definedName name="_4A_21" localSheetId="1">[1]Sheet1!#REF!</definedName>
    <definedName name="_4A_21">[1]Sheet1!#REF!</definedName>
    <definedName name="_4A_22" localSheetId="5">[1]Sheet1!#REF!</definedName>
    <definedName name="_4A_22" localSheetId="3">[1]Sheet1!#REF!</definedName>
    <definedName name="_4A_22" localSheetId="6">[1]Sheet1!#REF!</definedName>
    <definedName name="_4A_22" localSheetId="7">[1]Sheet1!#REF!</definedName>
    <definedName name="_4A_22" localSheetId="8">[1]Sheet1!#REF!</definedName>
    <definedName name="_4A_22" localSheetId="4">[1]Sheet1!#REF!</definedName>
    <definedName name="_4A_22" localSheetId="1">[1]Sheet1!#REF!</definedName>
    <definedName name="_4A_22">[1]Sheet1!#REF!</definedName>
    <definedName name="_4A_23" localSheetId="5">[1]Sheet1!#REF!</definedName>
    <definedName name="_4A_23" localSheetId="3">[1]Sheet1!#REF!</definedName>
    <definedName name="_4A_23" localSheetId="6">[1]Sheet1!#REF!</definedName>
    <definedName name="_4A_23" localSheetId="7">[1]Sheet1!#REF!</definedName>
    <definedName name="_4A_23" localSheetId="8">[1]Sheet1!#REF!</definedName>
    <definedName name="_4A_23" localSheetId="4">[1]Sheet1!#REF!</definedName>
    <definedName name="_4A_23" localSheetId="1">[1]Sheet1!#REF!</definedName>
    <definedName name="_4A_23">[1]Sheet1!#REF!</definedName>
    <definedName name="_4A_24" localSheetId="5">[1]Sheet1!#REF!</definedName>
    <definedName name="_4A_24" localSheetId="3">[1]Sheet1!#REF!</definedName>
    <definedName name="_4A_24" localSheetId="6">[1]Sheet1!#REF!</definedName>
    <definedName name="_4A_24" localSheetId="7">[1]Sheet1!#REF!</definedName>
    <definedName name="_4A_24" localSheetId="8">[1]Sheet1!#REF!</definedName>
    <definedName name="_4A_24" localSheetId="4">[1]Sheet1!#REF!</definedName>
    <definedName name="_4A_24" localSheetId="1">[1]Sheet1!#REF!</definedName>
    <definedName name="_4A_24">[1]Sheet1!#REF!</definedName>
    <definedName name="_4A_25" localSheetId="5">[1]Sheet1!#REF!</definedName>
    <definedName name="_4A_25" localSheetId="3">[1]Sheet1!#REF!</definedName>
    <definedName name="_4A_25" localSheetId="6">[1]Sheet1!#REF!</definedName>
    <definedName name="_4A_25" localSheetId="7">[1]Sheet1!#REF!</definedName>
    <definedName name="_4A_25" localSheetId="8">[1]Sheet1!#REF!</definedName>
    <definedName name="_4A_25" localSheetId="4">[1]Sheet1!#REF!</definedName>
    <definedName name="_4A_25" localSheetId="1">[1]Sheet1!#REF!</definedName>
    <definedName name="_4A_25">[1]Sheet1!#REF!</definedName>
    <definedName name="_4A_26" localSheetId="5">[1]Sheet1!#REF!</definedName>
    <definedName name="_4A_26" localSheetId="3">[1]Sheet1!#REF!</definedName>
    <definedName name="_4A_26" localSheetId="6">[1]Sheet1!#REF!</definedName>
    <definedName name="_4A_26" localSheetId="7">[1]Sheet1!#REF!</definedName>
    <definedName name="_4A_26" localSheetId="8">[1]Sheet1!#REF!</definedName>
    <definedName name="_4A_26" localSheetId="4">[1]Sheet1!#REF!</definedName>
    <definedName name="_4A_26" localSheetId="1">[1]Sheet1!#REF!</definedName>
    <definedName name="_4A_26">[1]Sheet1!#REF!</definedName>
    <definedName name="_4A_27" localSheetId="5">[1]Sheet1!#REF!</definedName>
    <definedName name="_4A_27" localSheetId="3">[1]Sheet1!#REF!</definedName>
    <definedName name="_4A_27" localSheetId="6">[1]Sheet1!#REF!</definedName>
    <definedName name="_4A_27" localSheetId="7">[1]Sheet1!#REF!</definedName>
    <definedName name="_4A_27" localSheetId="8">[1]Sheet1!#REF!</definedName>
    <definedName name="_4A_27" localSheetId="4">[1]Sheet1!#REF!</definedName>
    <definedName name="_4A_27" localSheetId="1">[1]Sheet1!#REF!</definedName>
    <definedName name="_4A_27">[1]Sheet1!#REF!</definedName>
    <definedName name="_4A_28" localSheetId="5">[1]Sheet1!#REF!</definedName>
    <definedName name="_4A_28" localSheetId="3">[1]Sheet1!#REF!</definedName>
    <definedName name="_4A_28" localSheetId="6">[1]Sheet1!#REF!</definedName>
    <definedName name="_4A_28" localSheetId="7">[1]Sheet1!#REF!</definedName>
    <definedName name="_4A_28" localSheetId="8">[1]Sheet1!#REF!</definedName>
    <definedName name="_4A_28" localSheetId="4">[1]Sheet1!#REF!</definedName>
    <definedName name="_4A_28" localSheetId="1">[1]Sheet1!#REF!</definedName>
    <definedName name="_4A_28">[1]Sheet1!#REF!</definedName>
    <definedName name="_4A_29" localSheetId="5">[1]Sheet1!#REF!</definedName>
    <definedName name="_4A_29" localSheetId="3">[1]Sheet1!#REF!</definedName>
    <definedName name="_4A_29" localSheetId="6">[1]Sheet1!#REF!</definedName>
    <definedName name="_4A_29" localSheetId="7">[1]Sheet1!#REF!</definedName>
    <definedName name="_4A_29" localSheetId="8">[1]Sheet1!#REF!</definedName>
    <definedName name="_4A_29" localSheetId="4">[1]Sheet1!#REF!</definedName>
    <definedName name="_4A_29" localSheetId="1">[1]Sheet1!#REF!</definedName>
    <definedName name="_4A_29">[1]Sheet1!#REF!</definedName>
    <definedName name="_4A_3" localSheetId="5">[1]Sheet1!#REF!</definedName>
    <definedName name="_4A_3" localSheetId="3">[1]Sheet1!#REF!</definedName>
    <definedName name="_4A_3" localSheetId="6">[1]Sheet1!#REF!</definedName>
    <definedName name="_4A_3" localSheetId="7">[1]Sheet1!#REF!</definedName>
    <definedName name="_4A_3" localSheetId="8">[1]Sheet1!#REF!</definedName>
    <definedName name="_4A_3" localSheetId="4">[1]Sheet1!#REF!</definedName>
    <definedName name="_4A_3" localSheetId="1">[1]Sheet1!#REF!</definedName>
    <definedName name="_4A_3">[1]Sheet1!#REF!</definedName>
    <definedName name="_4A_30" localSheetId="5">[1]Sheet1!#REF!</definedName>
    <definedName name="_4A_30" localSheetId="3">[1]Sheet1!#REF!</definedName>
    <definedName name="_4A_30" localSheetId="6">[1]Sheet1!#REF!</definedName>
    <definedName name="_4A_30" localSheetId="7">[1]Sheet1!#REF!</definedName>
    <definedName name="_4A_30" localSheetId="8">[1]Sheet1!#REF!</definedName>
    <definedName name="_4A_30" localSheetId="4">[1]Sheet1!#REF!</definedName>
    <definedName name="_4A_30" localSheetId="1">[1]Sheet1!#REF!</definedName>
    <definedName name="_4A_30">[1]Sheet1!#REF!</definedName>
    <definedName name="_4A_4" localSheetId="5">[1]Sheet1!#REF!</definedName>
    <definedName name="_4A_4" localSheetId="3">[1]Sheet1!#REF!</definedName>
    <definedName name="_4A_4" localSheetId="6">[1]Sheet1!#REF!</definedName>
    <definedName name="_4A_4" localSheetId="7">[1]Sheet1!#REF!</definedName>
    <definedName name="_4A_4" localSheetId="8">[1]Sheet1!#REF!</definedName>
    <definedName name="_4A_4" localSheetId="4">[1]Sheet1!#REF!</definedName>
    <definedName name="_4A_4" localSheetId="1">[1]Sheet1!#REF!</definedName>
    <definedName name="_4A_4">[1]Sheet1!#REF!</definedName>
    <definedName name="_4A_5" localSheetId="5">[1]Sheet1!#REF!</definedName>
    <definedName name="_4A_5" localSheetId="3">[1]Sheet1!#REF!</definedName>
    <definedName name="_4A_5" localSheetId="6">[1]Sheet1!#REF!</definedName>
    <definedName name="_4A_5" localSheetId="7">[1]Sheet1!#REF!</definedName>
    <definedName name="_4A_5" localSheetId="8">[1]Sheet1!#REF!</definedName>
    <definedName name="_4A_5" localSheetId="4">[1]Sheet1!#REF!</definedName>
    <definedName name="_4A_5" localSheetId="1">[1]Sheet1!#REF!</definedName>
    <definedName name="_4A_5">[1]Sheet1!#REF!</definedName>
    <definedName name="_4A_6" localSheetId="5">[1]Sheet1!#REF!</definedName>
    <definedName name="_4A_6" localSheetId="3">[1]Sheet1!#REF!</definedName>
    <definedName name="_4A_6" localSheetId="6">[1]Sheet1!#REF!</definedName>
    <definedName name="_4A_6" localSheetId="7">[1]Sheet1!#REF!</definedName>
    <definedName name="_4A_6" localSheetId="8">[1]Sheet1!#REF!</definedName>
    <definedName name="_4A_6" localSheetId="4">[1]Sheet1!#REF!</definedName>
    <definedName name="_4A_6" localSheetId="1">[1]Sheet1!#REF!</definedName>
    <definedName name="_4A_6">[1]Sheet1!#REF!</definedName>
    <definedName name="_4A_7" localSheetId="5">[1]Sheet1!#REF!</definedName>
    <definedName name="_4A_7" localSheetId="3">[1]Sheet1!#REF!</definedName>
    <definedName name="_4A_7" localSheetId="6">[1]Sheet1!#REF!</definedName>
    <definedName name="_4A_7" localSheetId="7">[1]Sheet1!#REF!</definedName>
    <definedName name="_4A_7" localSheetId="8">[1]Sheet1!#REF!</definedName>
    <definedName name="_4A_7" localSheetId="4">[1]Sheet1!#REF!</definedName>
    <definedName name="_4A_7" localSheetId="1">[1]Sheet1!#REF!</definedName>
    <definedName name="_4A_7">[1]Sheet1!#REF!</definedName>
    <definedName name="_4A_8" localSheetId="5">[1]Sheet1!#REF!</definedName>
    <definedName name="_4A_8" localSheetId="3">[1]Sheet1!#REF!</definedName>
    <definedName name="_4A_8" localSheetId="6">[1]Sheet1!#REF!</definedName>
    <definedName name="_4A_8" localSheetId="7">[1]Sheet1!#REF!</definedName>
    <definedName name="_4A_8" localSheetId="8">[1]Sheet1!#REF!</definedName>
    <definedName name="_4A_8" localSheetId="4">[1]Sheet1!#REF!</definedName>
    <definedName name="_4A_8" localSheetId="1">[1]Sheet1!#REF!</definedName>
    <definedName name="_4A_8">[1]Sheet1!#REF!</definedName>
    <definedName name="_4A_9" localSheetId="5">[1]Sheet1!#REF!</definedName>
    <definedName name="_4A_9" localSheetId="3">[1]Sheet1!#REF!</definedName>
    <definedName name="_4A_9" localSheetId="6">[1]Sheet1!#REF!</definedName>
    <definedName name="_4A_9" localSheetId="7">[1]Sheet1!#REF!</definedName>
    <definedName name="_4A_9" localSheetId="8">[1]Sheet1!#REF!</definedName>
    <definedName name="_4A_9" localSheetId="4">[1]Sheet1!#REF!</definedName>
    <definedName name="_4A_9" localSheetId="1">[1]Sheet1!#REF!</definedName>
    <definedName name="_4A_9">[1]Sheet1!#REF!</definedName>
    <definedName name="_4B_1" localSheetId="5">[1]Sheet1!#REF!</definedName>
    <definedName name="_4B_1" localSheetId="3">[1]Sheet1!#REF!</definedName>
    <definedName name="_4B_1" localSheetId="6">[1]Sheet1!#REF!</definedName>
    <definedName name="_4B_1" localSheetId="7">[1]Sheet1!#REF!</definedName>
    <definedName name="_4B_1" localSheetId="8">[1]Sheet1!#REF!</definedName>
    <definedName name="_4B_1" localSheetId="4">[1]Sheet1!#REF!</definedName>
    <definedName name="_4B_1" localSheetId="1">[1]Sheet1!#REF!</definedName>
    <definedName name="_4B_1">[1]Sheet1!#REF!</definedName>
    <definedName name="_4B_10" localSheetId="5">[1]Sheet1!#REF!</definedName>
    <definedName name="_4B_10" localSheetId="3">[1]Sheet1!#REF!</definedName>
    <definedName name="_4B_10" localSheetId="6">[1]Sheet1!#REF!</definedName>
    <definedName name="_4B_10" localSheetId="7">[1]Sheet1!#REF!</definedName>
    <definedName name="_4B_10" localSheetId="8">[1]Sheet1!#REF!</definedName>
    <definedName name="_4B_10" localSheetId="4">[1]Sheet1!#REF!</definedName>
    <definedName name="_4B_10" localSheetId="1">[1]Sheet1!#REF!</definedName>
    <definedName name="_4B_10">[1]Sheet1!#REF!</definedName>
    <definedName name="_4B_11" localSheetId="5">[1]Sheet1!#REF!</definedName>
    <definedName name="_4B_11" localSheetId="3">[1]Sheet1!#REF!</definedName>
    <definedName name="_4B_11" localSheetId="6">[1]Sheet1!#REF!</definedName>
    <definedName name="_4B_11" localSheetId="7">[1]Sheet1!#REF!</definedName>
    <definedName name="_4B_11" localSheetId="8">[1]Sheet1!#REF!</definedName>
    <definedName name="_4B_11" localSheetId="4">[1]Sheet1!#REF!</definedName>
    <definedName name="_4B_11" localSheetId="1">[1]Sheet1!#REF!</definedName>
    <definedName name="_4B_11">[1]Sheet1!#REF!</definedName>
    <definedName name="_4B_12" localSheetId="5">[1]Sheet1!#REF!</definedName>
    <definedName name="_4B_12" localSheetId="3">[1]Sheet1!#REF!</definedName>
    <definedName name="_4B_12" localSheetId="6">[1]Sheet1!#REF!</definedName>
    <definedName name="_4B_12" localSheetId="7">[1]Sheet1!#REF!</definedName>
    <definedName name="_4B_12" localSheetId="8">[1]Sheet1!#REF!</definedName>
    <definedName name="_4B_12" localSheetId="4">[1]Sheet1!#REF!</definedName>
    <definedName name="_4B_12" localSheetId="1">[1]Sheet1!#REF!</definedName>
    <definedName name="_4B_12">[1]Sheet1!#REF!</definedName>
    <definedName name="_4B_13" localSheetId="5">[1]Sheet1!#REF!</definedName>
    <definedName name="_4B_13" localSheetId="3">[1]Sheet1!#REF!</definedName>
    <definedName name="_4B_13" localSheetId="6">[1]Sheet1!#REF!</definedName>
    <definedName name="_4B_13" localSheetId="7">[1]Sheet1!#REF!</definedName>
    <definedName name="_4B_13" localSheetId="8">[1]Sheet1!#REF!</definedName>
    <definedName name="_4B_13" localSheetId="4">[1]Sheet1!#REF!</definedName>
    <definedName name="_4B_13" localSheetId="1">[1]Sheet1!#REF!</definedName>
    <definedName name="_4B_13">[1]Sheet1!#REF!</definedName>
    <definedName name="_4B_14" localSheetId="5">[1]Sheet1!#REF!</definedName>
    <definedName name="_4B_14" localSheetId="3">[1]Sheet1!#REF!</definedName>
    <definedName name="_4B_14" localSheetId="6">[1]Sheet1!#REF!</definedName>
    <definedName name="_4B_14" localSheetId="7">[1]Sheet1!#REF!</definedName>
    <definedName name="_4B_14" localSheetId="8">[1]Sheet1!#REF!</definedName>
    <definedName name="_4B_14" localSheetId="4">[1]Sheet1!#REF!</definedName>
    <definedName name="_4B_14" localSheetId="1">[1]Sheet1!#REF!</definedName>
    <definedName name="_4B_14">[1]Sheet1!#REF!</definedName>
    <definedName name="_4B_15" localSheetId="5">[1]Sheet1!#REF!</definedName>
    <definedName name="_4B_15" localSheetId="3">[1]Sheet1!#REF!</definedName>
    <definedName name="_4B_15" localSheetId="6">[1]Sheet1!#REF!</definedName>
    <definedName name="_4B_15" localSheetId="7">[1]Sheet1!#REF!</definedName>
    <definedName name="_4B_15" localSheetId="8">[1]Sheet1!#REF!</definedName>
    <definedName name="_4B_15" localSheetId="4">[1]Sheet1!#REF!</definedName>
    <definedName name="_4B_15" localSheetId="1">[1]Sheet1!#REF!</definedName>
    <definedName name="_4B_15">[1]Sheet1!#REF!</definedName>
    <definedName name="_4B_16" localSheetId="5">[1]Sheet1!#REF!</definedName>
    <definedName name="_4B_16" localSheetId="3">[1]Sheet1!#REF!</definedName>
    <definedName name="_4B_16" localSheetId="6">[1]Sheet1!#REF!</definedName>
    <definedName name="_4B_16" localSheetId="7">[1]Sheet1!#REF!</definedName>
    <definedName name="_4B_16" localSheetId="8">[1]Sheet1!#REF!</definedName>
    <definedName name="_4B_16" localSheetId="4">[1]Sheet1!#REF!</definedName>
    <definedName name="_4B_16" localSheetId="1">[1]Sheet1!#REF!</definedName>
    <definedName name="_4B_16">[1]Sheet1!#REF!</definedName>
    <definedName name="_4B_17" localSheetId="5">[1]Sheet1!#REF!</definedName>
    <definedName name="_4B_17" localSheetId="3">[1]Sheet1!#REF!</definedName>
    <definedName name="_4B_17" localSheetId="6">[1]Sheet1!#REF!</definedName>
    <definedName name="_4B_17" localSheetId="7">[1]Sheet1!#REF!</definedName>
    <definedName name="_4B_17" localSheetId="8">[1]Sheet1!#REF!</definedName>
    <definedName name="_4B_17" localSheetId="4">[1]Sheet1!#REF!</definedName>
    <definedName name="_4B_17" localSheetId="1">[1]Sheet1!#REF!</definedName>
    <definedName name="_4B_17">[1]Sheet1!#REF!</definedName>
    <definedName name="_4B_18" localSheetId="5">[1]Sheet1!#REF!</definedName>
    <definedName name="_4B_18" localSheetId="3">[1]Sheet1!#REF!</definedName>
    <definedName name="_4B_18" localSheetId="6">[1]Sheet1!#REF!</definedName>
    <definedName name="_4B_18" localSheetId="7">[1]Sheet1!#REF!</definedName>
    <definedName name="_4B_18" localSheetId="8">[1]Sheet1!#REF!</definedName>
    <definedName name="_4B_18" localSheetId="4">[1]Sheet1!#REF!</definedName>
    <definedName name="_4B_18" localSheetId="1">[1]Sheet1!#REF!</definedName>
    <definedName name="_4B_18">[1]Sheet1!#REF!</definedName>
    <definedName name="_4B_19" localSheetId="5">[1]Sheet1!#REF!</definedName>
    <definedName name="_4B_19" localSheetId="3">[1]Sheet1!#REF!</definedName>
    <definedName name="_4B_19" localSheetId="6">[1]Sheet1!#REF!</definedName>
    <definedName name="_4B_19" localSheetId="7">[1]Sheet1!#REF!</definedName>
    <definedName name="_4B_19" localSheetId="8">[1]Sheet1!#REF!</definedName>
    <definedName name="_4B_19" localSheetId="4">[1]Sheet1!#REF!</definedName>
    <definedName name="_4B_19" localSheetId="1">[1]Sheet1!#REF!</definedName>
    <definedName name="_4B_19">[1]Sheet1!#REF!</definedName>
    <definedName name="_4B_2" localSheetId="5">[1]Sheet1!#REF!</definedName>
    <definedName name="_4B_2" localSheetId="3">[1]Sheet1!#REF!</definedName>
    <definedName name="_4B_2" localSheetId="6">[1]Sheet1!#REF!</definedName>
    <definedName name="_4B_2" localSheetId="7">[1]Sheet1!#REF!</definedName>
    <definedName name="_4B_2" localSheetId="8">[1]Sheet1!#REF!</definedName>
    <definedName name="_4B_2" localSheetId="4">[1]Sheet1!#REF!</definedName>
    <definedName name="_4B_2" localSheetId="1">[1]Sheet1!#REF!</definedName>
    <definedName name="_4B_2">[1]Sheet1!#REF!</definedName>
    <definedName name="_4B_20" localSheetId="5">[1]Sheet1!#REF!</definedName>
    <definedName name="_4B_20" localSheetId="3">[1]Sheet1!#REF!</definedName>
    <definedName name="_4B_20" localSheetId="6">[1]Sheet1!#REF!</definedName>
    <definedName name="_4B_20" localSheetId="7">[1]Sheet1!#REF!</definedName>
    <definedName name="_4B_20" localSheetId="8">[1]Sheet1!#REF!</definedName>
    <definedName name="_4B_20" localSheetId="4">[1]Sheet1!#REF!</definedName>
    <definedName name="_4B_20" localSheetId="1">[1]Sheet1!#REF!</definedName>
    <definedName name="_4B_20">[1]Sheet1!#REF!</definedName>
    <definedName name="_4B_21" localSheetId="5">[1]Sheet1!#REF!</definedName>
    <definedName name="_4B_21" localSheetId="3">[1]Sheet1!#REF!</definedName>
    <definedName name="_4B_21" localSheetId="6">[1]Sheet1!#REF!</definedName>
    <definedName name="_4B_21" localSheetId="7">[1]Sheet1!#REF!</definedName>
    <definedName name="_4B_21" localSheetId="8">[1]Sheet1!#REF!</definedName>
    <definedName name="_4B_21" localSheetId="4">[1]Sheet1!#REF!</definedName>
    <definedName name="_4B_21" localSheetId="1">[1]Sheet1!#REF!</definedName>
    <definedName name="_4B_21">[1]Sheet1!#REF!</definedName>
    <definedName name="_4B_22" localSheetId="5">[1]Sheet1!#REF!</definedName>
    <definedName name="_4B_22" localSheetId="3">[1]Sheet1!#REF!</definedName>
    <definedName name="_4B_22" localSheetId="6">[1]Sheet1!#REF!</definedName>
    <definedName name="_4B_22" localSheetId="7">[1]Sheet1!#REF!</definedName>
    <definedName name="_4B_22" localSheetId="8">[1]Sheet1!#REF!</definedName>
    <definedName name="_4B_22" localSheetId="4">[1]Sheet1!#REF!</definedName>
    <definedName name="_4B_22" localSheetId="1">[1]Sheet1!#REF!</definedName>
    <definedName name="_4B_22">[1]Sheet1!#REF!</definedName>
    <definedName name="_4B_23" localSheetId="5">[1]Sheet1!#REF!</definedName>
    <definedName name="_4B_23" localSheetId="3">[1]Sheet1!#REF!</definedName>
    <definedName name="_4B_23" localSheetId="6">[1]Sheet1!#REF!</definedName>
    <definedName name="_4B_23" localSheetId="7">[1]Sheet1!#REF!</definedName>
    <definedName name="_4B_23" localSheetId="8">[1]Sheet1!#REF!</definedName>
    <definedName name="_4B_23" localSheetId="4">[1]Sheet1!#REF!</definedName>
    <definedName name="_4B_23" localSheetId="1">[1]Sheet1!#REF!</definedName>
    <definedName name="_4B_23">[1]Sheet1!#REF!</definedName>
    <definedName name="_4B_24" localSheetId="5">[1]Sheet1!#REF!</definedName>
    <definedName name="_4B_24" localSheetId="3">[1]Sheet1!#REF!</definedName>
    <definedName name="_4B_24" localSheetId="6">[1]Sheet1!#REF!</definedName>
    <definedName name="_4B_24" localSheetId="7">[1]Sheet1!#REF!</definedName>
    <definedName name="_4B_24" localSheetId="8">[1]Sheet1!#REF!</definedName>
    <definedName name="_4B_24" localSheetId="4">[1]Sheet1!#REF!</definedName>
    <definedName name="_4B_24" localSheetId="1">[1]Sheet1!#REF!</definedName>
    <definedName name="_4B_24">[1]Sheet1!#REF!</definedName>
    <definedName name="_4B_25" localSheetId="5">[1]Sheet1!#REF!</definedName>
    <definedName name="_4B_25" localSheetId="3">[1]Sheet1!#REF!</definedName>
    <definedName name="_4B_25" localSheetId="6">[1]Sheet1!#REF!</definedName>
    <definedName name="_4B_25" localSheetId="7">[1]Sheet1!#REF!</definedName>
    <definedName name="_4B_25" localSheetId="8">[1]Sheet1!#REF!</definedName>
    <definedName name="_4B_25" localSheetId="4">[1]Sheet1!#REF!</definedName>
    <definedName name="_4B_25" localSheetId="1">[1]Sheet1!#REF!</definedName>
    <definedName name="_4B_25">[1]Sheet1!#REF!</definedName>
    <definedName name="_4B_26" localSheetId="5">[1]Sheet1!#REF!</definedName>
    <definedName name="_4B_26" localSheetId="3">[1]Sheet1!#REF!</definedName>
    <definedName name="_4B_26" localSheetId="6">[1]Sheet1!#REF!</definedName>
    <definedName name="_4B_26" localSheetId="7">[1]Sheet1!#REF!</definedName>
    <definedName name="_4B_26" localSheetId="8">[1]Sheet1!#REF!</definedName>
    <definedName name="_4B_26" localSheetId="4">[1]Sheet1!#REF!</definedName>
    <definedName name="_4B_26" localSheetId="1">[1]Sheet1!#REF!</definedName>
    <definedName name="_4B_26">[1]Sheet1!#REF!</definedName>
    <definedName name="_4B_27" localSheetId="5">[1]Sheet1!#REF!</definedName>
    <definedName name="_4B_27" localSheetId="3">[1]Sheet1!#REF!</definedName>
    <definedName name="_4B_27" localSheetId="6">[1]Sheet1!#REF!</definedName>
    <definedName name="_4B_27" localSheetId="7">[1]Sheet1!#REF!</definedName>
    <definedName name="_4B_27" localSheetId="8">[1]Sheet1!#REF!</definedName>
    <definedName name="_4B_27" localSheetId="4">[1]Sheet1!#REF!</definedName>
    <definedName name="_4B_27" localSheetId="1">[1]Sheet1!#REF!</definedName>
    <definedName name="_4B_27">[1]Sheet1!#REF!</definedName>
    <definedName name="_4B_28" localSheetId="5">[1]Sheet1!#REF!</definedName>
    <definedName name="_4B_28" localSheetId="3">[1]Sheet1!#REF!</definedName>
    <definedName name="_4B_28" localSheetId="6">[1]Sheet1!#REF!</definedName>
    <definedName name="_4B_28" localSheetId="7">[1]Sheet1!#REF!</definedName>
    <definedName name="_4B_28" localSheetId="8">[1]Sheet1!#REF!</definedName>
    <definedName name="_4B_28" localSheetId="4">[1]Sheet1!#REF!</definedName>
    <definedName name="_4B_28" localSheetId="1">[1]Sheet1!#REF!</definedName>
    <definedName name="_4B_28">[1]Sheet1!#REF!</definedName>
    <definedName name="_4B_29" localSheetId="5">[1]Sheet1!#REF!</definedName>
    <definedName name="_4B_29" localSheetId="3">[1]Sheet1!#REF!</definedName>
    <definedName name="_4B_29" localSheetId="6">[1]Sheet1!#REF!</definedName>
    <definedName name="_4B_29" localSheetId="7">[1]Sheet1!#REF!</definedName>
    <definedName name="_4B_29" localSheetId="8">[1]Sheet1!#REF!</definedName>
    <definedName name="_4B_29" localSheetId="4">[1]Sheet1!#REF!</definedName>
    <definedName name="_4B_29" localSheetId="1">[1]Sheet1!#REF!</definedName>
    <definedName name="_4B_29">[1]Sheet1!#REF!</definedName>
    <definedName name="_4B_3" localSheetId="5">[1]Sheet1!#REF!</definedName>
    <definedName name="_4B_3" localSheetId="3">[1]Sheet1!#REF!</definedName>
    <definedName name="_4B_3" localSheetId="6">[1]Sheet1!#REF!</definedName>
    <definedName name="_4B_3" localSheetId="7">[1]Sheet1!#REF!</definedName>
    <definedName name="_4B_3" localSheetId="8">[1]Sheet1!#REF!</definedName>
    <definedName name="_4B_3" localSheetId="4">[1]Sheet1!#REF!</definedName>
    <definedName name="_4B_3" localSheetId="1">[1]Sheet1!#REF!</definedName>
    <definedName name="_4B_3">[1]Sheet1!#REF!</definedName>
    <definedName name="_4B_30" localSheetId="5">[1]Sheet1!#REF!</definedName>
    <definedName name="_4B_30" localSheetId="3">[1]Sheet1!#REF!</definedName>
    <definedName name="_4B_30" localSheetId="6">[1]Sheet1!#REF!</definedName>
    <definedName name="_4B_30" localSheetId="7">[1]Sheet1!#REF!</definedName>
    <definedName name="_4B_30" localSheetId="8">[1]Sheet1!#REF!</definedName>
    <definedName name="_4B_30" localSheetId="4">[1]Sheet1!#REF!</definedName>
    <definedName name="_4B_30" localSheetId="1">[1]Sheet1!#REF!</definedName>
    <definedName name="_4B_30">[1]Sheet1!#REF!</definedName>
    <definedName name="_4B_4" localSheetId="5">[1]Sheet1!#REF!</definedName>
    <definedName name="_4B_4" localSheetId="3">[1]Sheet1!#REF!</definedName>
    <definedName name="_4B_4" localSheetId="6">[1]Sheet1!#REF!</definedName>
    <definedName name="_4B_4" localSheetId="7">[1]Sheet1!#REF!</definedName>
    <definedName name="_4B_4" localSheetId="8">[1]Sheet1!#REF!</definedName>
    <definedName name="_4B_4" localSheetId="4">[1]Sheet1!#REF!</definedName>
    <definedName name="_4B_4" localSheetId="1">[1]Sheet1!#REF!</definedName>
    <definedName name="_4B_4">[1]Sheet1!#REF!</definedName>
    <definedName name="_4B_5" localSheetId="5">[1]Sheet1!#REF!</definedName>
    <definedName name="_4B_5" localSheetId="3">[1]Sheet1!#REF!</definedName>
    <definedName name="_4B_5" localSheetId="6">[1]Sheet1!#REF!</definedName>
    <definedName name="_4B_5" localSheetId="7">[1]Sheet1!#REF!</definedName>
    <definedName name="_4B_5" localSheetId="8">[1]Sheet1!#REF!</definedName>
    <definedName name="_4B_5" localSheetId="4">[1]Sheet1!#REF!</definedName>
    <definedName name="_4B_5" localSheetId="1">[1]Sheet1!#REF!</definedName>
    <definedName name="_4B_5">[1]Sheet1!#REF!</definedName>
    <definedName name="_4B_6" localSheetId="5">[1]Sheet1!#REF!</definedName>
    <definedName name="_4B_6" localSheetId="3">[1]Sheet1!#REF!</definedName>
    <definedName name="_4B_6" localSheetId="6">[1]Sheet1!#REF!</definedName>
    <definedName name="_4B_6" localSheetId="7">[1]Sheet1!#REF!</definedName>
    <definedName name="_4B_6" localSheetId="8">[1]Sheet1!#REF!</definedName>
    <definedName name="_4B_6" localSheetId="4">[1]Sheet1!#REF!</definedName>
    <definedName name="_4B_6" localSheetId="1">[1]Sheet1!#REF!</definedName>
    <definedName name="_4B_6">[1]Sheet1!#REF!</definedName>
    <definedName name="_4B_7" localSheetId="5">[1]Sheet1!#REF!</definedName>
    <definedName name="_4B_7" localSheetId="3">[1]Sheet1!#REF!</definedName>
    <definedName name="_4B_7" localSheetId="6">[1]Sheet1!#REF!</definedName>
    <definedName name="_4B_7" localSheetId="7">[1]Sheet1!#REF!</definedName>
    <definedName name="_4B_7" localSheetId="8">[1]Sheet1!#REF!</definedName>
    <definedName name="_4B_7" localSheetId="4">[1]Sheet1!#REF!</definedName>
    <definedName name="_4B_7" localSheetId="1">[1]Sheet1!#REF!</definedName>
    <definedName name="_4B_7">[1]Sheet1!#REF!</definedName>
    <definedName name="_4B_8" localSheetId="5">[1]Sheet1!#REF!</definedName>
    <definedName name="_4B_8" localSheetId="3">[1]Sheet1!#REF!</definedName>
    <definedName name="_4B_8" localSheetId="6">[1]Sheet1!#REF!</definedName>
    <definedName name="_4B_8" localSheetId="7">[1]Sheet1!#REF!</definedName>
    <definedName name="_4B_8" localSheetId="8">[1]Sheet1!#REF!</definedName>
    <definedName name="_4B_8" localSheetId="4">[1]Sheet1!#REF!</definedName>
    <definedName name="_4B_8" localSheetId="1">[1]Sheet1!#REF!</definedName>
    <definedName name="_4B_8">[1]Sheet1!#REF!</definedName>
    <definedName name="_4B_9" localSheetId="5">[1]Sheet1!#REF!</definedName>
    <definedName name="_4B_9" localSheetId="3">[1]Sheet1!#REF!</definedName>
    <definedName name="_4B_9" localSheetId="6">[1]Sheet1!#REF!</definedName>
    <definedName name="_4B_9" localSheetId="7">[1]Sheet1!#REF!</definedName>
    <definedName name="_4B_9" localSheetId="8">[1]Sheet1!#REF!</definedName>
    <definedName name="_4B_9" localSheetId="4">[1]Sheet1!#REF!</definedName>
    <definedName name="_4B_9" localSheetId="1">[1]Sheet1!#REF!</definedName>
    <definedName name="_4B_9">[1]Sheet1!#REF!</definedName>
    <definedName name="_4C_1" localSheetId="5">[1]Sheet1!#REF!</definedName>
    <definedName name="_4C_1" localSheetId="3">[1]Sheet1!#REF!</definedName>
    <definedName name="_4C_1" localSheetId="6">[1]Sheet1!#REF!</definedName>
    <definedName name="_4C_1" localSheetId="7">[1]Sheet1!#REF!</definedName>
    <definedName name="_4C_1" localSheetId="8">[1]Sheet1!#REF!</definedName>
    <definedName name="_4C_1" localSheetId="4">[1]Sheet1!#REF!</definedName>
    <definedName name="_4C_1" localSheetId="1">[1]Sheet1!#REF!</definedName>
    <definedName name="_4C_1">[1]Sheet1!#REF!</definedName>
    <definedName name="_4C_10" localSheetId="5">[1]Sheet1!#REF!</definedName>
    <definedName name="_4C_10" localSheetId="3">[1]Sheet1!#REF!</definedName>
    <definedName name="_4C_10" localSheetId="6">[1]Sheet1!#REF!</definedName>
    <definedName name="_4C_10" localSheetId="7">[1]Sheet1!#REF!</definedName>
    <definedName name="_4C_10" localSheetId="8">[1]Sheet1!#REF!</definedName>
    <definedName name="_4C_10" localSheetId="4">[1]Sheet1!#REF!</definedName>
    <definedName name="_4C_10" localSheetId="1">[1]Sheet1!#REF!</definedName>
    <definedName name="_4C_10">[1]Sheet1!#REF!</definedName>
    <definedName name="_4C_11" localSheetId="5">[1]Sheet1!#REF!</definedName>
    <definedName name="_4C_11" localSheetId="3">[1]Sheet1!#REF!</definedName>
    <definedName name="_4C_11" localSheetId="6">[1]Sheet1!#REF!</definedName>
    <definedName name="_4C_11" localSheetId="7">[1]Sheet1!#REF!</definedName>
    <definedName name="_4C_11" localSheetId="8">[1]Sheet1!#REF!</definedName>
    <definedName name="_4C_11" localSheetId="4">[1]Sheet1!#REF!</definedName>
    <definedName name="_4C_11" localSheetId="1">[1]Sheet1!#REF!</definedName>
    <definedName name="_4C_11">[1]Sheet1!#REF!</definedName>
    <definedName name="_4C_12" localSheetId="5">[1]Sheet1!#REF!</definedName>
    <definedName name="_4C_12" localSheetId="3">[1]Sheet1!#REF!</definedName>
    <definedName name="_4C_12" localSheetId="6">[1]Sheet1!#REF!</definedName>
    <definedName name="_4C_12" localSheetId="7">[1]Sheet1!#REF!</definedName>
    <definedName name="_4C_12" localSheetId="8">[1]Sheet1!#REF!</definedName>
    <definedName name="_4C_12" localSheetId="4">[1]Sheet1!#REF!</definedName>
    <definedName name="_4C_12" localSheetId="1">[1]Sheet1!#REF!</definedName>
    <definedName name="_4C_12">[1]Sheet1!#REF!</definedName>
    <definedName name="_4C_13" localSheetId="5">[1]Sheet1!#REF!</definedName>
    <definedName name="_4C_13" localSheetId="3">[1]Sheet1!#REF!</definedName>
    <definedName name="_4C_13" localSheetId="6">[1]Sheet1!#REF!</definedName>
    <definedName name="_4C_13" localSheetId="7">[1]Sheet1!#REF!</definedName>
    <definedName name="_4C_13" localSheetId="8">[1]Sheet1!#REF!</definedName>
    <definedName name="_4C_13" localSheetId="4">[1]Sheet1!#REF!</definedName>
    <definedName name="_4C_13" localSheetId="1">[1]Sheet1!#REF!</definedName>
    <definedName name="_4C_13">[1]Sheet1!#REF!</definedName>
    <definedName name="_4C_14" localSheetId="5">[1]Sheet1!#REF!</definedName>
    <definedName name="_4C_14" localSheetId="3">[1]Sheet1!#REF!</definedName>
    <definedName name="_4C_14" localSheetId="6">[1]Sheet1!#REF!</definedName>
    <definedName name="_4C_14" localSheetId="7">[1]Sheet1!#REF!</definedName>
    <definedName name="_4C_14" localSheetId="8">[1]Sheet1!#REF!</definedName>
    <definedName name="_4C_14" localSheetId="4">[1]Sheet1!#REF!</definedName>
    <definedName name="_4C_14" localSheetId="1">[1]Sheet1!#REF!</definedName>
    <definedName name="_4C_14">[1]Sheet1!#REF!</definedName>
    <definedName name="_4C_15" localSheetId="5">[1]Sheet1!#REF!</definedName>
    <definedName name="_4C_15" localSheetId="3">[1]Sheet1!#REF!</definedName>
    <definedName name="_4C_15" localSheetId="6">[1]Sheet1!#REF!</definedName>
    <definedName name="_4C_15" localSheetId="7">[1]Sheet1!#REF!</definedName>
    <definedName name="_4C_15" localSheetId="8">[1]Sheet1!#REF!</definedName>
    <definedName name="_4C_15" localSheetId="4">[1]Sheet1!#REF!</definedName>
    <definedName name="_4C_15" localSheetId="1">[1]Sheet1!#REF!</definedName>
    <definedName name="_4C_15">[1]Sheet1!#REF!</definedName>
    <definedName name="_4C_16" localSheetId="5">[1]Sheet1!#REF!</definedName>
    <definedName name="_4C_16" localSheetId="3">[1]Sheet1!#REF!</definedName>
    <definedName name="_4C_16" localSheetId="6">[1]Sheet1!#REF!</definedName>
    <definedName name="_4C_16" localSheetId="7">[1]Sheet1!#REF!</definedName>
    <definedName name="_4C_16" localSheetId="8">[1]Sheet1!#REF!</definedName>
    <definedName name="_4C_16" localSheetId="4">[1]Sheet1!#REF!</definedName>
    <definedName name="_4C_16" localSheetId="1">[1]Sheet1!#REF!</definedName>
    <definedName name="_4C_16">[1]Sheet1!#REF!</definedName>
    <definedName name="_4C_17" localSheetId="5">[1]Sheet1!#REF!</definedName>
    <definedName name="_4C_17" localSheetId="3">[1]Sheet1!#REF!</definedName>
    <definedName name="_4C_17" localSheetId="6">[1]Sheet1!#REF!</definedName>
    <definedName name="_4C_17" localSheetId="7">[1]Sheet1!#REF!</definedName>
    <definedName name="_4C_17" localSheetId="8">[1]Sheet1!#REF!</definedName>
    <definedName name="_4C_17" localSheetId="4">[1]Sheet1!#REF!</definedName>
    <definedName name="_4C_17" localSheetId="1">[1]Sheet1!#REF!</definedName>
    <definedName name="_4C_17">[1]Sheet1!#REF!</definedName>
    <definedName name="_4C_18" localSheetId="5">[1]Sheet1!#REF!</definedName>
    <definedName name="_4C_18" localSheetId="3">[1]Sheet1!#REF!</definedName>
    <definedName name="_4C_18" localSheetId="6">[1]Sheet1!#REF!</definedName>
    <definedName name="_4C_18" localSheetId="7">[1]Sheet1!#REF!</definedName>
    <definedName name="_4C_18" localSheetId="8">[1]Sheet1!#REF!</definedName>
    <definedName name="_4C_18" localSheetId="4">[1]Sheet1!#REF!</definedName>
    <definedName name="_4C_18" localSheetId="1">[1]Sheet1!#REF!</definedName>
    <definedName name="_4C_18">[1]Sheet1!#REF!</definedName>
    <definedName name="_4C_19" localSheetId="5">[1]Sheet1!#REF!</definedName>
    <definedName name="_4C_19" localSheetId="3">[1]Sheet1!#REF!</definedName>
    <definedName name="_4C_19" localSheetId="6">[1]Sheet1!#REF!</definedName>
    <definedName name="_4C_19" localSheetId="7">[1]Sheet1!#REF!</definedName>
    <definedName name="_4C_19" localSheetId="8">[1]Sheet1!#REF!</definedName>
    <definedName name="_4C_19" localSheetId="4">[1]Sheet1!#REF!</definedName>
    <definedName name="_4C_19" localSheetId="1">[1]Sheet1!#REF!</definedName>
    <definedName name="_4C_19">[1]Sheet1!#REF!</definedName>
    <definedName name="_4C_2" localSheetId="5">[1]Sheet1!#REF!</definedName>
    <definedName name="_4C_2" localSheetId="3">[1]Sheet1!#REF!</definedName>
    <definedName name="_4C_2" localSheetId="6">[1]Sheet1!#REF!</definedName>
    <definedName name="_4C_2" localSheetId="7">[1]Sheet1!#REF!</definedName>
    <definedName name="_4C_2" localSheetId="8">[1]Sheet1!#REF!</definedName>
    <definedName name="_4C_2" localSheetId="4">[1]Sheet1!#REF!</definedName>
    <definedName name="_4C_2" localSheetId="1">[1]Sheet1!#REF!</definedName>
    <definedName name="_4C_2">[1]Sheet1!#REF!</definedName>
    <definedName name="_4C_20" localSheetId="5">[1]Sheet1!#REF!</definedName>
    <definedName name="_4C_20" localSheetId="3">[1]Sheet1!#REF!</definedName>
    <definedName name="_4C_20" localSheetId="6">[1]Sheet1!#REF!</definedName>
    <definedName name="_4C_20" localSheetId="7">[1]Sheet1!#REF!</definedName>
    <definedName name="_4C_20" localSheetId="8">[1]Sheet1!#REF!</definedName>
    <definedName name="_4C_20" localSheetId="4">[1]Sheet1!#REF!</definedName>
    <definedName name="_4C_20" localSheetId="1">[1]Sheet1!#REF!</definedName>
    <definedName name="_4C_20">[1]Sheet1!#REF!</definedName>
    <definedName name="_4C_21" localSheetId="5">[1]Sheet1!#REF!</definedName>
    <definedName name="_4C_21" localSheetId="3">[1]Sheet1!#REF!</definedName>
    <definedName name="_4C_21" localSheetId="6">[1]Sheet1!#REF!</definedName>
    <definedName name="_4C_21" localSheetId="7">[1]Sheet1!#REF!</definedName>
    <definedName name="_4C_21" localSheetId="8">[1]Sheet1!#REF!</definedName>
    <definedName name="_4C_21" localSheetId="4">[1]Sheet1!#REF!</definedName>
    <definedName name="_4C_21" localSheetId="1">[1]Sheet1!#REF!</definedName>
    <definedName name="_4C_21">[1]Sheet1!#REF!</definedName>
    <definedName name="_4C_22" localSheetId="5">[1]Sheet1!#REF!</definedName>
    <definedName name="_4C_22" localSheetId="3">[1]Sheet1!#REF!</definedName>
    <definedName name="_4C_22" localSheetId="6">[1]Sheet1!#REF!</definedName>
    <definedName name="_4C_22" localSheetId="7">[1]Sheet1!#REF!</definedName>
    <definedName name="_4C_22" localSheetId="8">[1]Sheet1!#REF!</definedName>
    <definedName name="_4C_22" localSheetId="4">[1]Sheet1!#REF!</definedName>
    <definedName name="_4C_22" localSheetId="1">[1]Sheet1!#REF!</definedName>
    <definedName name="_4C_22">[1]Sheet1!#REF!</definedName>
    <definedName name="_4C_23" localSheetId="5">[1]Sheet1!#REF!</definedName>
    <definedName name="_4C_23" localSheetId="3">[1]Sheet1!#REF!</definedName>
    <definedName name="_4C_23" localSheetId="6">[1]Sheet1!#REF!</definedName>
    <definedName name="_4C_23" localSheetId="7">[1]Sheet1!#REF!</definedName>
    <definedName name="_4C_23" localSheetId="8">[1]Sheet1!#REF!</definedName>
    <definedName name="_4C_23" localSheetId="4">[1]Sheet1!#REF!</definedName>
    <definedName name="_4C_23" localSheetId="1">[1]Sheet1!#REF!</definedName>
    <definedName name="_4C_23">[1]Sheet1!#REF!</definedName>
    <definedName name="_4C_24" localSheetId="5">[1]Sheet1!#REF!</definedName>
    <definedName name="_4C_24" localSheetId="3">[1]Sheet1!#REF!</definedName>
    <definedName name="_4C_24" localSheetId="6">[1]Sheet1!#REF!</definedName>
    <definedName name="_4C_24" localSheetId="7">[1]Sheet1!#REF!</definedName>
    <definedName name="_4C_24" localSheetId="8">[1]Sheet1!#REF!</definedName>
    <definedName name="_4C_24" localSheetId="4">[1]Sheet1!#REF!</definedName>
    <definedName name="_4C_24" localSheetId="1">[1]Sheet1!#REF!</definedName>
    <definedName name="_4C_24">[1]Sheet1!#REF!</definedName>
    <definedName name="_4C_25" localSheetId="5">[1]Sheet1!#REF!</definedName>
    <definedName name="_4C_25" localSheetId="3">[1]Sheet1!#REF!</definedName>
    <definedName name="_4C_25" localSheetId="6">[1]Sheet1!#REF!</definedName>
    <definedName name="_4C_25" localSheetId="7">[1]Sheet1!#REF!</definedName>
    <definedName name="_4C_25" localSheetId="8">[1]Sheet1!#REF!</definedName>
    <definedName name="_4C_25" localSheetId="4">[1]Sheet1!#REF!</definedName>
    <definedName name="_4C_25" localSheetId="1">[1]Sheet1!#REF!</definedName>
    <definedName name="_4C_25">[1]Sheet1!#REF!</definedName>
    <definedName name="_4C_26" localSheetId="5">[1]Sheet1!#REF!</definedName>
    <definedName name="_4C_26" localSheetId="3">[1]Sheet1!#REF!</definedName>
    <definedName name="_4C_26" localSheetId="6">[1]Sheet1!#REF!</definedName>
    <definedName name="_4C_26" localSheetId="7">[1]Sheet1!#REF!</definedName>
    <definedName name="_4C_26" localSheetId="8">[1]Sheet1!#REF!</definedName>
    <definedName name="_4C_26" localSheetId="4">[1]Sheet1!#REF!</definedName>
    <definedName name="_4C_26" localSheetId="1">[1]Sheet1!#REF!</definedName>
    <definedName name="_4C_26">[1]Sheet1!#REF!</definedName>
    <definedName name="_4C_27" localSheetId="5">[1]Sheet1!#REF!</definedName>
    <definedName name="_4C_27" localSheetId="3">[1]Sheet1!#REF!</definedName>
    <definedName name="_4C_27" localSheetId="6">[1]Sheet1!#REF!</definedName>
    <definedName name="_4C_27" localSheetId="7">[1]Sheet1!#REF!</definedName>
    <definedName name="_4C_27" localSheetId="8">[1]Sheet1!#REF!</definedName>
    <definedName name="_4C_27" localSheetId="4">[1]Sheet1!#REF!</definedName>
    <definedName name="_4C_27" localSheetId="1">[1]Sheet1!#REF!</definedName>
    <definedName name="_4C_27">[1]Sheet1!#REF!</definedName>
    <definedName name="_4C_28" localSheetId="5">[1]Sheet1!#REF!</definedName>
    <definedName name="_4C_28" localSheetId="3">[1]Sheet1!#REF!</definedName>
    <definedName name="_4C_28" localSheetId="6">[1]Sheet1!#REF!</definedName>
    <definedName name="_4C_28" localSheetId="7">[1]Sheet1!#REF!</definedName>
    <definedName name="_4C_28" localSheetId="8">[1]Sheet1!#REF!</definedName>
    <definedName name="_4C_28" localSheetId="4">[1]Sheet1!#REF!</definedName>
    <definedName name="_4C_28" localSheetId="1">[1]Sheet1!#REF!</definedName>
    <definedName name="_4C_28">[1]Sheet1!#REF!</definedName>
    <definedName name="_4C_29" localSheetId="5">[1]Sheet1!#REF!</definedName>
    <definedName name="_4C_29" localSheetId="3">[1]Sheet1!#REF!</definedName>
    <definedName name="_4C_29" localSheetId="6">[1]Sheet1!#REF!</definedName>
    <definedName name="_4C_29" localSheetId="7">[1]Sheet1!#REF!</definedName>
    <definedName name="_4C_29" localSheetId="8">[1]Sheet1!#REF!</definedName>
    <definedName name="_4C_29" localSheetId="4">[1]Sheet1!#REF!</definedName>
    <definedName name="_4C_29" localSheetId="1">[1]Sheet1!#REF!</definedName>
    <definedName name="_4C_29">[1]Sheet1!#REF!</definedName>
    <definedName name="_4C_3" localSheetId="5">[1]Sheet1!#REF!</definedName>
    <definedName name="_4C_3" localSheetId="3">[1]Sheet1!#REF!</definedName>
    <definedName name="_4C_3" localSheetId="6">[1]Sheet1!#REF!</definedName>
    <definedName name="_4C_3" localSheetId="7">[1]Sheet1!#REF!</definedName>
    <definedName name="_4C_3" localSheetId="8">[1]Sheet1!#REF!</definedName>
    <definedName name="_4C_3" localSheetId="4">[1]Sheet1!#REF!</definedName>
    <definedName name="_4C_3" localSheetId="1">[1]Sheet1!#REF!</definedName>
    <definedName name="_4C_3">[1]Sheet1!#REF!</definedName>
    <definedName name="_4C_30" localSheetId="5">[1]Sheet1!#REF!</definedName>
    <definedName name="_4C_30" localSheetId="3">[1]Sheet1!#REF!</definedName>
    <definedName name="_4C_30" localSheetId="6">[1]Sheet1!#REF!</definedName>
    <definedName name="_4C_30" localSheetId="7">[1]Sheet1!#REF!</definedName>
    <definedName name="_4C_30" localSheetId="8">[1]Sheet1!#REF!</definedName>
    <definedName name="_4C_30" localSheetId="4">[1]Sheet1!#REF!</definedName>
    <definedName name="_4C_30" localSheetId="1">[1]Sheet1!#REF!</definedName>
    <definedName name="_4C_30">[1]Sheet1!#REF!</definedName>
    <definedName name="_4C_4" localSheetId="5">[1]Sheet1!#REF!</definedName>
    <definedName name="_4C_4" localSheetId="3">[1]Sheet1!#REF!</definedName>
    <definedName name="_4C_4" localSheetId="6">[1]Sheet1!#REF!</definedName>
    <definedName name="_4C_4" localSheetId="7">[1]Sheet1!#REF!</definedName>
    <definedName name="_4C_4" localSheetId="8">[1]Sheet1!#REF!</definedName>
    <definedName name="_4C_4" localSheetId="4">[1]Sheet1!#REF!</definedName>
    <definedName name="_4C_4" localSheetId="1">[1]Sheet1!#REF!</definedName>
    <definedName name="_4C_4">[1]Sheet1!#REF!</definedName>
    <definedName name="_4C_5" localSheetId="5">[1]Sheet1!#REF!</definedName>
    <definedName name="_4C_5" localSheetId="3">[1]Sheet1!#REF!</definedName>
    <definedName name="_4C_5" localSheetId="6">[1]Sheet1!#REF!</definedName>
    <definedName name="_4C_5" localSheetId="7">[1]Sheet1!#REF!</definedName>
    <definedName name="_4C_5" localSheetId="8">[1]Sheet1!#REF!</definedName>
    <definedName name="_4C_5" localSheetId="4">[1]Sheet1!#REF!</definedName>
    <definedName name="_4C_5" localSheetId="1">[1]Sheet1!#REF!</definedName>
    <definedName name="_4C_5">[1]Sheet1!#REF!</definedName>
    <definedName name="_4C_6" localSheetId="5">[1]Sheet1!#REF!</definedName>
    <definedName name="_4C_6" localSheetId="3">[1]Sheet1!#REF!</definedName>
    <definedName name="_4C_6" localSheetId="6">[1]Sheet1!#REF!</definedName>
    <definedName name="_4C_6" localSheetId="7">[1]Sheet1!#REF!</definedName>
    <definedName name="_4C_6" localSheetId="8">[1]Sheet1!#REF!</definedName>
    <definedName name="_4C_6" localSheetId="4">[1]Sheet1!#REF!</definedName>
    <definedName name="_4C_6" localSheetId="1">[1]Sheet1!#REF!</definedName>
    <definedName name="_4C_6">[1]Sheet1!#REF!</definedName>
    <definedName name="_4C_7" localSheetId="5">[1]Sheet1!#REF!</definedName>
    <definedName name="_4C_7" localSheetId="3">[1]Sheet1!#REF!</definedName>
    <definedName name="_4C_7" localSheetId="6">[1]Sheet1!#REF!</definedName>
    <definedName name="_4C_7" localSheetId="7">[1]Sheet1!#REF!</definedName>
    <definedName name="_4C_7" localSheetId="8">[1]Sheet1!#REF!</definedName>
    <definedName name="_4C_7" localSheetId="4">[1]Sheet1!#REF!</definedName>
    <definedName name="_4C_7" localSheetId="1">[1]Sheet1!#REF!</definedName>
    <definedName name="_4C_7">[1]Sheet1!#REF!</definedName>
    <definedName name="_4C_8" localSheetId="5">[1]Sheet1!#REF!</definedName>
    <definedName name="_4C_8" localSheetId="3">[1]Sheet1!#REF!</definedName>
    <definedName name="_4C_8" localSheetId="6">[1]Sheet1!#REF!</definedName>
    <definedName name="_4C_8" localSheetId="7">[1]Sheet1!#REF!</definedName>
    <definedName name="_4C_8" localSheetId="8">[1]Sheet1!#REF!</definedName>
    <definedName name="_4C_8" localSheetId="4">[1]Sheet1!#REF!</definedName>
    <definedName name="_4C_8" localSheetId="1">[1]Sheet1!#REF!</definedName>
    <definedName name="_4C_8">[1]Sheet1!#REF!</definedName>
    <definedName name="_4C_9" localSheetId="5">[1]Sheet1!#REF!</definedName>
    <definedName name="_4C_9" localSheetId="3">[1]Sheet1!#REF!</definedName>
    <definedName name="_4C_9" localSheetId="6">[1]Sheet1!#REF!</definedName>
    <definedName name="_4C_9" localSheetId="7">[1]Sheet1!#REF!</definedName>
    <definedName name="_4C_9" localSheetId="8">[1]Sheet1!#REF!</definedName>
    <definedName name="_4C_9" localSheetId="4">[1]Sheet1!#REF!</definedName>
    <definedName name="_4C_9" localSheetId="1">[1]Sheet1!#REF!</definedName>
    <definedName name="_4C_9">[1]Sheet1!#REF!</definedName>
    <definedName name="_4경비" localSheetId="5">'[2]H-PILE 박기'!#REF!</definedName>
    <definedName name="_4경비" localSheetId="3">'[2]H-PILE 박기'!#REF!</definedName>
    <definedName name="_4경비" localSheetId="6">'[2]H-PILE 박기'!#REF!</definedName>
    <definedName name="_4경비" localSheetId="7">'[2]H-PILE 박기'!#REF!</definedName>
    <definedName name="_4경비" localSheetId="8">'[2]H-PILE 박기'!#REF!</definedName>
    <definedName name="_4경비" localSheetId="4">'[2]H-PILE 박기'!#REF!</definedName>
    <definedName name="_4경비" localSheetId="1">'[2]H-PILE 박기'!#REF!</definedName>
    <definedName name="_4경비">'[2]H-PILE 박기'!#REF!</definedName>
    <definedName name="_4노임" localSheetId="5">'[2]H-PILE 박기'!#REF!</definedName>
    <definedName name="_4노임" localSheetId="3">'[2]H-PILE 박기'!#REF!</definedName>
    <definedName name="_4노임" localSheetId="6">'[2]H-PILE 박기'!#REF!</definedName>
    <definedName name="_4노임" localSheetId="7">'[2]H-PILE 박기'!#REF!</definedName>
    <definedName name="_4노임" localSheetId="8">'[2]H-PILE 박기'!#REF!</definedName>
    <definedName name="_4노임" localSheetId="4">'[2]H-PILE 박기'!#REF!</definedName>
    <definedName name="_4노임" localSheetId="1">'[2]H-PILE 박기'!#REF!</definedName>
    <definedName name="_4노임">'[2]H-PILE 박기'!#REF!</definedName>
    <definedName name="_4재료" localSheetId="5">'[2]H-PILE 박기'!#REF!</definedName>
    <definedName name="_4재료" localSheetId="3">'[2]H-PILE 박기'!#REF!</definedName>
    <definedName name="_4재료" localSheetId="6">'[2]H-PILE 박기'!#REF!</definedName>
    <definedName name="_4재료" localSheetId="7">'[2]H-PILE 박기'!#REF!</definedName>
    <definedName name="_4재료" localSheetId="8">'[2]H-PILE 박기'!#REF!</definedName>
    <definedName name="_4재료" localSheetId="4">'[2]H-PILE 박기'!#REF!</definedName>
    <definedName name="_4재료" localSheetId="1">'[2]H-PILE 박기'!#REF!</definedName>
    <definedName name="_4재료">'[2]H-PILE 박기'!#REF!</definedName>
    <definedName name="_5A_1" localSheetId="5">[1]Sheet1!#REF!</definedName>
    <definedName name="_5A_1" localSheetId="3">[1]Sheet1!#REF!</definedName>
    <definedName name="_5A_1" localSheetId="6">[1]Sheet1!#REF!</definedName>
    <definedName name="_5A_1" localSheetId="7">[1]Sheet1!#REF!</definedName>
    <definedName name="_5A_1" localSheetId="8">[1]Sheet1!#REF!</definedName>
    <definedName name="_5A_1" localSheetId="4">[1]Sheet1!#REF!</definedName>
    <definedName name="_5A_1" localSheetId="1">[1]Sheet1!#REF!</definedName>
    <definedName name="_5A_1">[1]Sheet1!#REF!</definedName>
    <definedName name="_5A_10" localSheetId="5">[1]Sheet1!#REF!</definedName>
    <definedName name="_5A_10" localSheetId="3">[1]Sheet1!#REF!</definedName>
    <definedName name="_5A_10" localSheetId="6">[1]Sheet1!#REF!</definedName>
    <definedName name="_5A_10" localSheetId="7">[1]Sheet1!#REF!</definedName>
    <definedName name="_5A_10" localSheetId="8">[1]Sheet1!#REF!</definedName>
    <definedName name="_5A_10" localSheetId="4">[1]Sheet1!#REF!</definedName>
    <definedName name="_5A_10" localSheetId="1">[1]Sheet1!#REF!</definedName>
    <definedName name="_5A_10">[1]Sheet1!#REF!</definedName>
    <definedName name="_5A_11" localSheetId="5">[1]Sheet1!#REF!</definedName>
    <definedName name="_5A_11" localSheetId="3">[1]Sheet1!#REF!</definedName>
    <definedName name="_5A_11" localSheetId="6">[1]Sheet1!#REF!</definedName>
    <definedName name="_5A_11" localSheetId="7">[1]Sheet1!#REF!</definedName>
    <definedName name="_5A_11" localSheetId="8">[1]Sheet1!#REF!</definedName>
    <definedName name="_5A_11" localSheetId="4">[1]Sheet1!#REF!</definedName>
    <definedName name="_5A_11" localSheetId="1">[1]Sheet1!#REF!</definedName>
    <definedName name="_5A_11">[1]Sheet1!#REF!</definedName>
    <definedName name="_5A_12" localSheetId="5">[1]Sheet1!#REF!</definedName>
    <definedName name="_5A_12" localSheetId="3">[1]Sheet1!#REF!</definedName>
    <definedName name="_5A_12" localSheetId="6">[1]Sheet1!#REF!</definedName>
    <definedName name="_5A_12" localSheetId="7">[1]Sheet1!#REF!</definedName>
    <definedName name="_5A_12" localSheetId="8">[1]Sheet1!#REF!</definedName>
    <definedName name="_5A_12" localSheetId="4">[1]Sheet1!#REF!</definedName>
    <definedName name="_5A_12" localSheetId="1">[1]Sheet1!#REF!</definedName>
    <definedName name="_5A_12">[1]Sheet1!#REF!</definedName>
    <definedName name="_5A_13" localSheetId="5">[1]Sheet1!#REF!</definedName>
    <definedName name="_5A_13" localSheetId="3">[1]Sheet1!#REF!</definedName>
    <definedName name="_5A_13" localSheetId="6">[1]Sheet1!#REF!</definedName>
    <definedName name="_5A_13" localSheetId="7">[1]Sheet1!#REF!</definedName>
    <definedName name="_5A_13" localSheetId="8">[1]Sheet1!#REF!</definedName>
    <definedName name="_5A_13" localSheetId="4">[1]Sheet1!#REF!</definedName>
    <definedName name="_5A_13" localSheetId="1">[1]Sheet1!#REF!</definedName>
    <definedName name="_5A_13">[1]Sheet1!#REF!</definedName>
    <definedName name="_5A_14" localSheetId="5">[1]Sheet1!#REF!</definedName>
    <definedName name="_5A_14" localSheetId="3">[1]Sheet1!#REF!</definedName>
    <definedName name="_5A_14" localSheetId="6">[1]Sheet1!#REF!</definedName>
    <definedName name="_5A_14" localSheetId="7">[1]Sheet1!#REF!</definedName>
    <definedName name="_5A_14" localSheetId="8">[1]Sheet1!#REF!</definedName>
    <definedName name="_5A_14" localSheetId="4">[1]Sheet1!#REF!</definedName>
    <definedName name="_5A_14" localSheetId="1">[1]Sheet1!#REF!</definedName>
    <definedName name="_5A_14">[1]Sheet1!#REF!</definedName>
    <definedName name="_5A_15" localSheetId="5">[1]Sheet1!#REF!</definedName>
    <definedName name="_5A_15" localSheetId="3">[1]Sheet1!#REF!</definedName>
    <definedName name="_5A_15" localSheetId="6">[1]Sheet1!#REF!</definedName>
    <definedName name="_5A_15" localSheetId="7">[1]Sheet1!#REF!</definedName>
    <definedName name="_5A_15" localSheetId="8">[1]Sheet1!#REF!</definedName>
    <definedName name="_5A_15" localSheetId="4">[1]Sheet1!#REF!</definedName>
    <definedName name="_5A_15" localSheetId="1">[1]Sheet1!#REF!</definedName>
    <definedName name="_5A_15">[1]Sheet1!#REF!</definedName>
    <definedName name="_5A_16" localSheetId="5">[1]Sheet1!#REF!</definedName>
    <definedName name="_5A_16" localSheetId="3">[1]Sheet1!#REF!</definedName>
    <definedName name="_5A_16" localSheetId="6">[1]Sheet1!#REF!</definedName>
    <definedName name="_5A_16" localSheetId="7">[1]Sheet1!#REF!</definedName>
    <definedName name="_5A_16" localSheetId="8">[1]Sheet1!#REF!</definedName>
    <definedName name="_5A_16" localSheetId="4">[1]Sheet1!#REF!</definedName>
    <definedName name="_5A_16" localSheetId="1">[1]Sheet1!#REF!</definedName>
    <definedName name="_5A_16">[1]Sheet1!#REF!</definedName>
    <definedName name="_5A_17" localSheetId="5">[1]Sheet1!#REF!</definedName>
    <definedName name="_5A_17" localSheetId="3">[1]Sheet1!#REF!</definedName>
    <definedName name="_5A_17" localSheetId="6">[1]Sheet1!#REF!</definedName>
    <definedName name="_5A_17" localSheetId="7">[1]Sheet1!#REF!</definedName>
    <definedName name="_5A_17" localSheetId="8">[1]Sheet1!#REF!</definedName>
    <definedName name="_5A_17" localSheetId="4">[1]Sheet1!#REF!</definedName>
    <definedName name="_5A_17" localSheetId="1">[1]Sheet1!#REF!</definedName>
    <definedName name="_5A_17">[1]Sheet1!#REF!</definedName>
    <definedName name="_5A_18" localSheetId="5">[1]Sheet1!#REF!</definedName>
    <definedName name="_5A_18" localSheetId="3">[1]Sheet1!#REF!</definedName>
    <definedName name="_5A_18" localSheetId="6">[1]Sheet1!#REF!</definedName>
    <definedName name="_5A_18" localSheetId="7">[1]Sheet1!#REF!</definedName>
    <definedName name="_5A_18" localSheetId="8">[1]Sheet1!#REF!</definedName>
    <definedName name="_5A_18" localSheetId="4">[1]Sheet1!#REF!</definedName>
    <definedName name="_5A_18" localSheetId="1">[1]Sheet1!#REF!</definedName>
    <definedName name="_5A_18">[1]Sheet1!#REF!</definedName>
    <definedName name="_5A_19" localSheetId="5">[1]Sheet1!#REF!</definedName>
    <definedName name="_5A_19" localSheetId="3">[1]Sheet1!#REF!</definedName>
    <definedName name="_5A_19" localSheetId="6">[1]Sheet1!#REF!</definedName>
    <definedName name="_5A_19" localSheetId="7">[1]Sheet1!#REF!</definedName>
    <definedName name="_5A_19" localSheetId="8">[1]Sheet1!#REF!</definedName>
    <definedName name="_5A_19" localSheetId="4">[1]Sheet1!#REF!</definedName>
    <definedName name="_5A_19" localSheetId="1">[1]Sheet1!#REF!</definedName>
    <definedName name="_5A_19">[1]Sheet1!#REF!</definedName>
    <definedName name="_5A_2" localSheetId="5">[1]Sheet1!#REF!</definedName>
    <definedName name="_5A_2" localSheetId="3">[1]Sheet1!#REF!</definedName>
    <definedName name="_5A_2" localSheetId="6">[1]Sheet1!#REF!</definedName>
    <definedName name="_5A_2" localSheetId="7">[1]Sheet1!#REF!</definedName>
    <definedName name="_5A_2" localSheetId="8">[1]Sheet1!#REF!</definedName>
    <definedName name="_5A_2" localSheetId="4">[1]Sheet1!#REF!</definedName>
    <definedName name="_5A_2" localSheetId="1">[1]Sheet1!#REF!</definedName>
    <definedName name="_5A_2">[1]Sheet1!#REF!</definedName>
    <definedName name="_5A_20" localSheetId="5">[1]Sheet1!#REF!</definedName>
    <definedName name="_5A_20" localSheetId="3">[1]Sheet1!#REF!</definedName>
    <definedName name="_5A_20" localSheetId="6">[1]Sheet1!#REF!</definedName>
    <definedName name="_5A_20" localSheetId="7">[1]Sheet1!#REF!</definedName>
    <definedName name="_5A_20" localSheetId="8">[1]Sheet1!#REF!</definedName>
    <definedName name="_5A_20" localSheetId="4">[1]Sheet1!#REF!</definedName>
    <definedName name="_5A_20" localSheetId="1">[1]Sheet1!#REF!</definedName>
    <definedName name="_5A_20">[1]Sheet1!#REF!</definedName>
    <definedName name="_5A_21" localSheetId="5">[1]Sheet1!#REF!</definedName>
    <definedName name="_5A_21" localSheetId="3">[1]Sheet1!#REF!</definedName>
    <definedName name="_5A_21" localSheetId="6">[1]Sheet1!#REF!</definedName>
    <definedName name="_5A_21" localSheetId="7">[1]Sheet1!#REF!</definedName>
    <definedName name="_5A_21" localSheetId="8">[1]Sheet1!#REF!</definedName>
    <definedName name="_5A_21" localSheetId="4">[1]Sheet1!#REF!</definedName>
    <definedName name="_5A_21" localSheetId="1">[1]Sheet1!#REF!</definedName>
    <definedName name="_5A_21">[1]Sheet1!#REF!</definedName>
    <definedName name="_5A_22" localSheetId="5">[1]Sheet1!#REF!</definedName>
    <definedName name="_5A_22" localSheetId="3">[1]Sheet1!#REF!</definedName>
    <definedName name="_5A_22" localSheetId="6">[1]Sheet1!#REF!</definedName>
    <definedName name="_5A_22" localSheetId="7">[1]Sheet1!#REF!</definedName>
    <definedName name="_5A_22" localSheetId="8">[1]Sheet1!#REF!</definedName>
    <definedName name="_5A_22" localSheetId="4">[1]Sheet1!#REF!</definedName>
    <definedName name="_5A_22" localSheetId="1">[1]Sheet1!#REF!</definedName>
    <definedName name="_5A_22">[1]Sheet1!#REF!</definedName>
    <definedName name="_5A_23" localSheetId="5">[1]Sheet1!#REF!</definedName>
    <definedName name="_5A_23" localSheetId="3">[1]Sheet1!#REF!</definedName>
    <definedName name="_5A_23" localSheetId="6">[1]Sheet1!#REF!</definedName>
    <definedName name="_5A_23" localSheetId="7">[1]Sheet1!#REF!</definedName>
    <definedName name="_5A_23" localSheetId="8">[1]Sheet1!#REF!</definedName>
    <definedName name="_5A_23" localSheetId="4">[1]Sheet1!#REF!</definedName>
    <definedName name="_5A_23" localSheetId="1">[1]Sheet1!#REF!</definedName>
    <definedName name="_5A_23">[1]Sheet1!#REF!</definedName>
    <definedName name="_5A_24" localSheetId="5">[1]Sheet1!#REF!</definedName>
    <definedName name="_5A_24" localSheetId="3">[1]Sheet1!#REF!</definedName>
    <definedName name="_5A_24" localSheetId="6">[1]Sheet1!#REF!</definedName>
    <definedName name="_5A_24" localSheetId="7">[1]Sheet1!#REF!</definedName>
    <definedName name="_5A_24" localSheetId="8">[1]Sheet1!#REF!</definedName>
    <definedName name="_5A_24" localSheetId="4">[1]Sheet1!#REF!</definedName>
    <definedName name="_5A_24" localSheetId="1">[1]Sheet1!#REF!</definedName>
    <definedName name="_5A_24">[1]Sheet1!#REF!</definedName>
    <definedName name="_5A_25" localSheetId="5">[1]Sheet1!#REF!</definedName>
    <definedName name="_5A_25" localSheetId="3">[1]Sheet1!#REF!</definedName>
    <definedName name="_5A_25" localSheetId="6">[1]Sheet1!#REF!</definedName>
    <definedName name="_5A_25" localSheetId="7">[1]Sheet1!#REF!</definedName>
    <definedName name="_5A_25" localSheetId="8">[1]Sheet1!#REF!</definedName>
    <definedName name="_5A_25" localSheetId="4">[1]Sheet1!#REF!</definedName>
    <definedName name="_5A_25" localSheetId="1">[1]Sheet1!#REF!</definedName>
    <definedName name="_5A_25">[1]Sheet1!#REF!</definedName>
    <definedName name="_5A_26" localSheetId="5">[1]Sheet1!#REF!</definedName>
    <definedName name="_5A_26" localSheetId="3">[1]Sheet1!#REF!</definedName>
    <definedName name="_5A_26" localSheetId="6">[1]Sheet1!#REF!</definedName>
    <definedName name="_5A_26" localSheetId="7">[1]Sheet1!#REF!</definedName>
    <definedName name="_5A_26" localSheetId="8">[1]Sheet1!#REF!</definedName>
    <definedName name="_5A_26" localSheetId="4">[1]Sheet1!#REF!</definedName>
    <definedName name="_5A_26" localSheetId="1">[1]Sheet1!#REF!</definedName>
    <definedName name="_5A_26">[1]Sheet1!#REF!</definedName>
    <definedName name="_5A_27" localSheetId="5">[1]Sheet1!#REF!</definedName>
    <definedName name="_5A_27" localSheetId="3">[1]Sheet1!#REF!</definedName>
    <definedName name="_5A_27" localSheetId="6">[1]Sheet1!#REF!</definedName>
    <definedName name="_5A_27" localSheetId="7">[1]Sheet1!#REF!</definedName>
    <definedName name="_5A_27" localSheetId="8">[1]Sheet1!#REF!</definedName>
    <definedName name="_5A_27" localSheetId="4">[1]Sheet1!#REF!</definedName>
    <definedName name="_5A_27" localSheetId="1">[1]Sheet1!#REF!</definedName>
    <definedName name="_5A_27">[1]Sheet1!#REF!</definedName>
    <definedName name="_5A_28" localSheetId="5">[1]Sheet1!#REF!</definedName>
    <definedName name="_5A_28" localSheetId="3">[1]Sheet1!#REF!</definedName>
    <definedName name="_5A_28" localSheetId="6">[1]Sheet1!#REF!</definedName>
    <definedName name="_5A_28" localSheetId="7">[1]Sheet1!#REF!</definedName>
    <definedName name="_5A_28" localSheetId="8">[1]Sheet1!#REF!</definedName>
    <definedName name="_5A_28" localSheetId="4">[1]Sheet1!#REF!</definedName>
    <definedName name="_5A_28" localSheetId="1">[1]Sheet1!#REF!</definedName>
    <definedName name="_5A_28">[1]Sheet1!#REF!</definedName>
    <definedName name="_5A_29" localSheetId="5">[1]Sheet1!#REF!</definedName>
    <definedName name="_5A_29" localSheetId="3">[1]Sheet1!#REF!</definedName>
    <definedName name="_5A_29" localSheetId="6">[1]Sheet1!#REF!</definedName>
    <definedName name="_5A_29" localSheetId="7">[1]Sheet1!#REF!</definedName>
    <definedName name="_5A_29" localSheetId="8">[1]Sheet1!#REF!</definedName>
    <definedName name="_5A_29" localSheetId="4">[1]Sheet1!#REF!</definedName>
    <definedName name="_5A_29" localSheetId="1">[1]Sheet1!#REF!</definedName>
    <definedName name="_5A_29">[1]Sheet1!#REF!</definedName>
    <definedName name="_5A_3" localSheetId="5">[1]Sheet1!#REF!</definedName>
    <definedName name="_5A_3" localSheetId="3">[1]Sheet1!#REF!</definedName>
    <definedName name="_5A_3" localSheetId="6">[1]Sheet1!#REF!</definedName>
    <definedName name="_5A_3" localSheetId="7">[1]Sheet1!#REF!</definedName>
    <definedName name="_5A_3" localSheetId="8">[1]Sheet1!#REF!</definedName>
    <definedName name="_5A_3" localSheetId="4">[1]Sheet1!#REF!</definedName>
    <definedName name="_5A_3" localSheetId="1">[1]Sheet1!#REF!</definedName>
    <definedName name="_5A_3">[1]Sheet1!#REF!</definedName>
    <definedName name="_5A_30" localSheetId="5">[1]Sheet1!#REF!</definedName>
    <definedName name="_5A_30" localSheetId="3">[1]Sheet1!#REF!</definedName>
    <definedName name="_5A_30" localSheetId="6">[1]Sheet1!#REF!</definedName>
    <definedName name="_5A_30" localSheetId="7">[1]Sheet1!#REF!</definedName>
    <definedName name="_5A_30" localSheetId="8">[1]Sheet1!#REF!</definedName>
    <definedName name="_5A_30" localSheetId="4">[1]Sheet1!#REF!</definedName>
    <definedName name="_5A_30" localSheetId="1">[1]Sheet1!#REF!</definedName>
    <definedName name="_5A_30">[1]Sheet1!#REF!</definedName>
    <definedName name="_5A_4" localSheetId="5">[1]Sheet1!#REF!</definedName>
    <definedName name="_5A_4" localSheetId="3">[1]Sheet1!#REF!</definedName>
    <definedName name="_5A_4" localSheetId="6">[1]Sheet1!#REF!</definedName>
    <definedName name="_5A_4" localSheetId="7">[1]Sheet1!#REF!</definedName>
    <definedName name="_5A_4" localSheetId="8">[1]Sheet1!#REF!</definedName>
    <definedName name="_5A_4" localSheetId="4">[1]Sheet1!#REF!</definedName>
    <definedName name="_5A_4" localSheetId="1">[1]Sheet1!#REF!</definedName>
    <definedName name="_5A_4">[1]Sheet1!#REF!</definedName>
    <definedName name="_5A_5" localSheetId="5">[1]Sheet1!#REF!</definedName>
    <definedName name="_5A_5" localSheetId="3">[1]Sheet1!#REF!</definedName>
    <definedName name="_5A_5" localSheetId="6">[1]Sheet1!#REF!</definedName>
    <definedName name="_5A_5" localSheetId="7">[1]Sheet1!#REF!</definedName>
    <definedName name="_5A_5" localSheetId="8">[1]Sheet1!#REF!</definedName>
    <definedName name="_5A_5" localSheetId="4">[1]Sheet1!#REF!</definedName>
    <definedName name="_5A_5" localSheetId="1">[1]Sheet1!#REF!</definedName>
    <definedName name="_5A_5">[1]Sheet1!#REF!</definedName>
    <definedName name="_5A_6" localSheetId="5">[1]Sheet1!#REF!</definedName>
    <definedName name="_5A_6" localSheetId="3">[1]Sheet1!#REF!</definedName>
    <definedName name="_5A_6" localSheetId="6">[1]Sheet1!#REF!</definedName>
    <definedName name="_5A_6" localSheetId="7">[1]Sheet1!#REF!</definedName>
    <definedName name="_5A_6" localSheetId="8">[1]Sheet1!#REF!</definedName>
    <definedName name="_5A_6" localSheetId="4">[1]Sheet1!#REF!</definedName>
    <definedName name="_5A_6" localSheetId="1">[1]Sheet1!#REF!</definedName>
    <definedName name="_5A_6">[1]Sheet1!#REF!</definedName>
    <definedName name="_5A_7" localSheetId="5">[1]Sheet1!#REF!</definedName>
    <definedName name="_5A_7" localSheetId="3">[1]Sheet1!#REF!</definedName>
    <definedName name="_5A_7" localSheetId="6">[1]Sheet1!#REF!</definedName>
    <definedName name="_5A_7" localSheetId="7">[1]Sheet1!#REF!</definedName>
    <definedName name="_5A_7" localSheetId="8">[1]Sheet1!#REF!</definedName>
    <definedName name="_5A_7" localSheetId="4">[1]Sheet1!#REF!</definedName>
    <definedName name="_5A_7" localSheetId="1">[1]Sheet1!#REF!</definedName>
    <definedName name="_5A_7">[1]Sheet1!#REF!</definedName>
    <definedName name="_5A_8" localSheetId="5">[1]Sheet1!#REF!</definedName>
    <definedName name="_5A_8" localSheetId="3">[1]Sheet1!#REF!</definedName>
    <definedName name="_5A_8" localSheetId="6">[1]Sheet1!#REF!</definedName>
    <definedName name="_5A_8" localSheetId="7">[1]Sheet1!#REF!</definedName>
    <definedName name="_5A_8" localSheetId="8">[1]Sheet1!#REF!</definedName>
    <definedName name="_5A_8" localSheetId="4">[1]Sheet1!#REF!</definedName>
    <definedName name="_5A_8" localSheetId="1">[1]Sheet1!#REF!</definedName>
    <definedName name="_5A_8">[1]Sheet1!#REF!</definedName>
    <definedName name="_5A_9" localSheetId="5">[1]Sheet1!#REF!</definedName>
    <definedName name="_5A_9" localSheetId="3">[1]Sheet1!#REF!</definedName>
    <definedName name="_5A_9" localSheetId="6">[1]Sheet1!#REF!</definedName>
    <definedName name="_5A_9" localSheetId="7">[1]Sheet1!#REF!</definedName>
    <definedName name="_5A_9" localSheetId="8">[1]Sheet1!#REF!</definedName>
    <definedName name="_5A_9" localSheetId="4">[1]Sheet1!#REF!</definedName>
    <definedName name="_5A_9" localSheetId="1">[1]Sheet1!#REF!</definedName>
    <definedName name="_5A_9">[1]Sheet1!#REF!</definedName>
    <definedName name="_5B_1" localSheetId="5">[1]Sheet1!#REF!</definedName>
    <definedName name="_5B_1" localSheetId="3">[1]Sheet1!#REF!</definedName>
    <definedName name="_5B_1" localSheetId="6">[1]Sheet1!#REF!</definedName>
    <definedName name="_5B_1" localSheetId="7">[1]Sheet1!#REF!</definedName>
    <definedName name="_5B_1" localSheetId="8">[1]Sheet1!#REF!</definedName>
    <definedName name="_5B_1" localSheetId="4">[1]Sheet1!#REF!</definedName>
    <definedName name="_5B_1" localSheetId="1">[1]Sheet1!#REF!</definedName>
    <definedName name="_5B_1">[1]Sheet1!#REF!</definedName>
    <definedName name="_5B_10" localSheetId="5">[1]Sheet1!#REF!</definedName>
    <definedName name="_5B_10" localSheetId="3">[1]Sheet1!#REF!</definedName>
    <definedName name="_5B_10" localSheetId="6">[1]Sheet1!#REF!</definedName>
    <definedName name="_5B_10" localSheetId="7">[1]Sheet1!#REF!</definedName>
    <definedName name="_5B_10" localSheetId="8">[1]Sheet1!#REF!</definedName>
    <definedName name="_5B_10" localSheetId="4">[1]Sheet1!#REF!</definedName>
    <definedName name="_5B_10" localSheetId="1">[1]Sheet1!#REF!</definedName>
    <definedName name="_5B_10">[1]Sheet1!#REF!</definedName>
    <definedName name="_5B_11" localSheetId="5">[1]Sheet1!#REF!</definedName>
    <definedName name="_5B_11" localSheetId="3">[1]Sheet1!#REF!</definedName>
    <definedName name="_5B_11" localSheetId="6">[1]Sheet1!#REF!</definedName>
    <definedName name="_5B_11" localSheetId="7">[1]Sheet1!#REF!</definedName>
    <definedName name="_5B_11" localSheetId="8">[1]Sheet1!#REF!</definedName>
    <definedName name="_5B_11" localSheetId="4">[1]Sheet1!#REF!</definedName>
    <definedName name="_5B_11" localSheetId="1">[1]Sheet1!#REF!</definedName>
    <definedName name="_5B_11">[1]Sheet1!#REF!</definedName>
    <definedName name="_5B_12" localSheetId="5">[1]Sheet1!#REF!</definedName>
    <definedName name="_5B_12" localSheetId="3">[1]Sheet1!#REF!</definedName>
    <definedName name="_5B_12" localSheetId="6">[1]Sheet1!#REF!</definedName>
    <definedName name="_5B_12" localSheetId="7">[1]Sheet1!#REF!</definedName>
    <definedName name="_5B_12" localSheetId="8">[1]Sheet1!#REF!</definedName>
    <definedName name="_5B_12" localSheetId="4">[1]Sheet1!#REF!</definedName>
    <definedName name="_5B_12" localSheetId="1">[1]Sheet1!#REF!</definedName>
    <definedName name="_5B_12">[1]Sheet1!#REF!</definedName>
    <definedName name="_5B_13" localSheetId="5">[1]Sheet1!#REF!</definedName>
    <definedName name="_5B_13" localSheetId="3">[1]Sheet1!#REF!</definedName>
    <definedName name="_5B_13" localSheetId="6">[1]Sheet1!#REF!</definedName>
    <definedName name="_5B_13" localSheetId="7">[1]Sheet1!#REF!</definedName>
    <definedName name="_5B_13" localSheetId="8">[1]Sheet1!#REF!</definedName>
    <definedName name="_5B_13" localSheetId="4">[1]Sheet1!#REF!</definedName>
    <definedName name="_5B_13" localSheetId="1">[1]Sheet1!#REF!</definedName>
    <definedName name="_5B_13">[1]Sheet1!#REF!</definedName>
    <definedName name="_5B_14" localSheetId="5">[1]Sheet1!#REF!</definedName>
    <definedName name="_5B_14" localSheetId="3">[1]Sheet1!#REF!</definedName>
    <definedName name="_5B_14" localSheetId="6">[1]Sheet1!#REF!</definedName>
    <definedName name="_5B_14" localSheetId="7">[1]Sheet1!#REF!</definedName>
    <definedName name="_5B_14" localSheetId="8">[1]Sheet1!#REF!</definedName>
    <definedName name="_5B_14" localSheetId="4">[1]Sheet1!#REF!</definedName>
    <definedName name="_5B_14" localSheetId="1">[1]Sheet1!#REF!</definedName>
    <definedName name="_5B_14">[1]Sheet1!#REF!</definedName>
    <definedName name="_5B_15" localSheetId="5">[1]Sheet1!#REF!</definedName>
    <definedName name="_5B_15" localSheetId="3">[1]Sheet1!#REF!</definedName>
    <definedName name="_5B_15" localSheetId="6">[1]Sheet1!#REF!</definedName>
    <definedName name="_5B_15" localSheetId="7">[1]Sheet1!#REF!</definedName>
    <definedName name="_5B_15" localSheetId="8">[1]Sheet1!#REF!</definedName>
    <definedName name="_5B_15" localSheetId="4">[1]Sheet1!#REF!</definedName>
    <definedName name="_5B_15" localSheetId="1">[1]Sheet1!#REF!</definedName>
    <definedName name="_5B_15">[1]Sheet1!#REF!</definedName>
    <definedName name="_5B_16" localSheetId="5">[1]Sheet1!#REF!</definedName>
    <definedName name="_5B_16" localSheetId="3">[1]Sheet1!#REF!</definedName>
    <definedName name="_5B_16" localSheetId="6">[1]Sheet1!#REF!</definedName>
    <definedName name="_5B_16" localSheetId="7">[1]Sheet1!#REF!</definedName>
    <definedName name="_5B_16" localSheetId="8">[1]Sheet1!#REF!</definedName>
    <definedName name="_5B_16" localSheetId="4">[1]Sheet1!#REF!</definedName>
    <definedName name="_5B_16" localSheetId="1">[1]Sheet1!#REF!</definedName>
    <definedName name="_5B_16">[1]Sheet1!#REF!</definedName>
    <definedName name="_5B_17" localSheetId="5">[1]Sheet1!#REF!</definedName>
    <definedName name="_5B_17" localSheetId="3">[1]Sheet1!#REF!</definedName>
    <definedName name="_5B_17" localSheetId="6">[1]Sheet1!#REF!</definedName>
    <definedName name="_5B_17" localSheetId="7">[1]Sheet1!#REF!</definedName>
    <definedName name="_5B_17" localSheetId="8">[1]Sheet1!#REF!</definedName>
    <definedName name="_5B_17" localSheetId="4">[1]Sheet1!#REF!</definedName>
    <definedName name="_5B_17" localSheetId="1">[1]Sheet1!#REF!</definedName>
    <definedName name="_5B_17">[1]Sheet1!#REF!</definedName>
    <definedName name="_5B_18" localSheetId="5">[1]Sheet1!#REF!</definedName>
    <definedName name="_5B_18" localSheetId="3">[1]Sheet1!#REF!</definedName>
    <definedName name="_5B_18" localSheetId="6">[1]Sheet1!#REF!</definedName>
    <definedName name="_5B_18" localSheetId="7">[1]Sheet1!#REF!</definedName>
    <definedName name="_5B_18" localSheetId="8">[1]Sheet1!#REF!</definedName>
    <definedName name="_5B_18" localSheetId="4">[1]Sheet1!#REF!</definedName>
    <definedName name="_5B_18" localSheetId="1">[1]Sheet1!#REF!</definedName>
    <definedName name="_5B_18">[1]Sheet1!#REF!</definedName>
    <definedName name="_5B_19" localSheetId="5">[1]Sheet1!#REF!</definedName>
    <definedName name="_5B_19" localSheetId="3">[1]Sheet1!#REF!</definedName>
    <definedName name="_5B_19" localSheetId="6">[1]Sheet1!#REF!</definedName>
    <definedName name="_5B_19" localSheetId="7">[1]Sheet1!#REF!</definedName>
    <definedName name="_5B_19" localSheetId="8">[1]Sheet1!#REF!</definedName>
    <definedName name="_5B_19" localSheetId="4">[1]Sheet1!#REF!</definedName>
    <definedName name="_5B_19" localSheetId="1">[1]Sheet1!#REF!</definedName>
    <definedName name="_5B_19">[1]Sheet1!#REF!</definedName>
    <definedName name="_5B_2" localSheetId="5">[1]Sheet1!#REF!</definedName>
    <definedName name="_5B_2" localSheetId="3">[1]Sheet1!#REF!</definedName>
    <definedName name="_5B_2" localSheetId="6">[1]Sheet1!#REF!</definedName>
    <definedName name="_5B_2" localSheetId="7">[1]Sheet1!#REF!</definedName>
    <definedName name="_5B_2" localSheetId="8">[1]Sheet1!#REF!</definedName>
    <definedName name="_5B_2" localSheetId="4">[1]Sheet1!#REF!</definedName>
    <definedName name="_5B_2" localSheetId="1">[1]Sheet1!#REF!</definedName>
    <definedName name="_5B_2">[1]Sheet1!#REF!</definedName>
    <definedName name="_5B_20" localSheetId="5">[1]Sheet1!#REF!</definedName>
    <definedName name="_5B_20" localSheetId="3">[1]Sheet1!#REF!</definedName>
    <definedName name="_5B_20" localSheetId="6">[1]Sheet1!#REF!</definedName>
    <definedName name="_5B_20" localSheetId="7">[1]Sheet1!#REF!</definedName>
    <definedName name="_5B_20" localSheetId="8">[1]Sheet1!#REF!</definedName>
    <definedName name="_5B_20" localSheetId="4">[1]Sheet1!#REF!</definedName>
    <definedName name="_5B_20" localSheetId="1">[1]Sheet1!#REF!</definedName>
    <definedName name="_5B_20">[1]Sheet1!#REF!</definedName>
    <definedName name="_5B_21" localSheetId="5">[1]Sheet1!#REF!</definedName>
    <definedName name="_5B_21" localSheetId="3">[1]Sheet1!#REF!</definedName>
    <definedName name="_5B_21" localSheetId="6">[1]Sheet1!#REF!</definedName>
    <definedName name="_5B_21" localSheetId="7">[1]Sheet1!#REF!</definedName>
    <definedName name="_5B_21" localSheetId="8">[1]Sheet1!#REF!</definedName>
    <definedName name="_5B_21" localSheetId="4">[1]Sheet1!#REF!</definedName>
    <definedName name="_5B_21" localSheetId="1">[1]Sheet1!#REF!</definedName>
    <definedName name="_5B_21">[1]Sheet1!#REF!</definedName>
    <definedName name="_5B_22" localSheetId="5">[1]Sheet1!#REF!</definedName>
    <definedName name="_5B_22" localSheetId="3">[1]Sheet1!#REF!</definedName>
    <definedName name="_5B_22" localSheetId="6">[1]Sheet1!#REF!</definedName>
    <definedName name="_5B_22" localSheetId="7">[1]Sheet1!#REF!</definedName>
    <definedName name="_5B_22" localSheetId="8">[1]Sheet1!#REF!</definedName>
    <definedName name="_5B_22" localSheetId="4">[1]Sheet1!#REF!</definedName>
    <definedName name="_5B_22" localSheetId="1">[1]Sheet1!#REF!</definedName>
    <definedName name="_5B_22">[1]Sheet1!#REF!</definedName>
    <definedName name="_5B_23" localSheetId="5">[1]Sheet1!#REF!</definedName>
    <definedName name="_5B_23" localSheetId="3">[1]Sheet1!#REF!</definedName>
    <definedName name="_5B_23" localSheetId="6">[1]Sheet1!#REF!</definedName>
    <definedName name="_5B_23" localSheetId="7">[1]Sheet1!#REF!</definedName>
    <definedName name="_5B_23" localSheetId="8">[1]Sheet1!#REF!</definedName>
    <definedName name="_5B_23" localSheetId="4">[1]Sheet1!#REF!</definedName>
    <definedName name="_5B_23" localSheetId="1">[1]Sheet1!#REF!</definedName>
    <definedName name="_5B_23">[1]Sheet1!#REF!</definedName>
    <definedName name="_5B_24" localSheetId="5">[1]Sheet1!#REF!</definedName>
    <definedName name="_5B_24" localSheetId="3">[1]Sheet1!#REF!</definedName>
    <definedName name="_5B_24" localSheetId="6">[1]Sheet1!#REF!</definedName>
    <definedName name="_5B_24" localSheetId="7">[1]Sheet1!#REF!</definedName>
    <definedName name="_5B_24" localSheetId="8">[1]Sheet1!#REF!</definedName>
    <definedName name="_5B_24" localSheetId="4">[1]Sheet1!#REF!</definedName>
    <definedName name="_5B_24" localSheetId="1">[1]Sheet1!#REF!</definedName>
    <definedName name="_5B_24">[1]Sheet1!#REF!</definedName>
    <definedName name="_5B_25" localSheetId="5">[1]Sheet1!#REF!</definedName>
    <definedName name="_5B_25" localSheetId="3">[1]Sheet1!#REF!</definedName>
    <definedName name="_5B_25" localSheetId="6">[1]Sheet1!#REF!</definedName>
    <definedName name="_5B_25" localSheetId="7">[1]Sheet1!#REF!</definedName>
    <definedName name="_5B_25" localSheetId="8">[1]Sheet1!#REF!</definedName>
    <definedName name="_5B_25" localSheetId="4">[1]Sheet1!#REF!</definedName>
    <definedName name="_5B_25" localSheetId="1">[1]Sheet1!#REF!</definedName>
    <definedName name="_5B_25">[1]Sheet1!#REF!</definedName>
    <definedName name="_5B_26" localSheetId="5">[1]Sheet1!#REF!</definedName>
    <definedName name="_5B_26" localSheetId="3">[1]Sheet1!#REF!</definedName>
    <definedName name="_5B_26" localSheetId="6">[1]Sheet1!#REF!</definedName>
    <definedName name="_5B_26" localSheetId="7">[1]Sheet1!#REF!</definedName>
    <definedName name="_5B_26" localSheetId="8">[1]Sheet1!#REF!</definedName>
    <definedName name="_5B_26" localSheetId="4">[1]Sheet1!#REF!</definedName>
    <definedName name="_5B_26" localSheetId="1">[1]Sheet1!#REF!</definedName>
    <definedName name="_5B_26">[1]Sheet1!#REF!</definedName>
    <definedName name="_5B_27" localSheetId="5">[1]Sheet1!#REF!</definedName>
    <definedName name="_5B_27" localSheetId="3">[1]Sheet1!#REF!</definedName>
    <definedName name="_5B_27" localSheetId="6">[1]Sheet1!#REF!</definedName>
    <definedName name="_5B_27" localSheetId="7">[1]Sheet1!#REF!</definedName>
    <definedName name="_5B_27" localSheetId="8">[1]Sheet1!#REF!</definedName>
    <definedName name="_5B_27" localSheetId="4">[1]Sheet1!#REF!</definedName>
    <definedName name="_5B_27" localSheetId="1">[1]Sheet1!#REF!</definedName>
    <definedName name="_5B_27">[1]Sheet1!#REF!</definedName>
    <definedName name="_5B_28" localSheetId="5">[1]Sheet1!#REF!</definedName>
    <definedName name="_5B_28" localSheetId="3">[1]Sheet1!#REF!</definedName>
    <definedName name="_5B_28" localSheetId="6">[1]Sheet1!#REF!</definedName>
    <definedName name="_5B_28" localSheetId="7">[1]Sheet1!#REF!</definedName>
    <definedName name="_5B_28" localSheetId="8">[1]Sheet1!#REF!</definedName>
    <definedName name="_5B_28" localSheetId="4">[1]Sheet1!#REF!</definedName>
    <definedName name="_5B_28" localSheetId="1">[1]Sheet1!#REF!</definedName>
    <definedName name="_5B_28">[1]Sheet1!#REF!</definedName>
    <definedName name="_5B_29" localSheetId="5">[1]Sheet1!#REF!</definedName>
    <definedName name="_5B_29" localSheetId="3">[1]Sheet1!#REF!</definedName>
    <definedName name="_5B_29" localSheetId="6">[1]Sheet1!#REF!</definedName>
    <definedName name="_5B_29" localSheetId="7">[1]Sheet1!#REF!</definedName>
    <definedName name="_5B_29" localSheetId="8">[1]Sheet1!#REF!</definedName>
    <definedName name="_5B_29" localSheetId="4">[1]Sheet1!#REF!</definedName>
    <definedName name="_5B_29" localSheetId="1">[1]Sheet1!#REF!</definedName>
    <definedName name="_5B_29">[1]Sheet1!#REF!</definedName>
    <definedName name="_5B_3" localSheetId="5">[1]Sheet1!#REF!</definedName>
    <definedName name="_5B_3" localSheetId="3">[1]Sheet1!#REF!</definedName>
    <definedName name="_5B_3" localSheetId="6">[1]Sheet1!#REF!</definedName>
    <definedName name="_5B_3" localSheetId="7">[1]Sheet1!#REF!</definedName>
    <definedName name="_5B_3" localSheetId="8">[1]Sheet1!#REF!</definedName>
    <definedName name="_5B_3" localSheetId="4">[1]Sheet1!#REF!</definedName>
    <definedName name="_5B_3" localSheetId="1">[1]Sheet1!#REF!</definedName>
    <definedName name="_5B_3">[1]Sheet1!#REF!</definedName>
    <definedName name="_5B_30" localSheetId="5">[1]Sheet1!#REF!</definedName>
    <definedName name="_5B_30" localSheetId="3">[1]Sheet1!#REF!</definedName>
    <definedName name="_5B_30" localSheetId="6">[1]Sheet1!#REF!</definedName>
    <definedName name="_5B_30" localSheetId="7">[1]Sheet1!#REF!</definedName>
    <definedName name="_5B_30" localSheetId="8">[1]Sheet1!#REF!</definedName>
    <definedName name="_5B_30" localSheetId="4">[1]Sheet1!#REF!</definedName>
    <definedName name="_5B_30" localSheetId="1">[1]Sheet1!#REF!</definedName>
    <definedName name="_5B_30">[1]Sheet1!#REF!</definedName>
    <definedName name="_5B_4" localSheetId="5">[1]Sheet1!#REF!</definedName>
    <definedName name="_5B_4" localSheetId="3">[1]Sheet1!#REF!</definedName>
    <definedName name="_5B_4" localSheetId="6">[1]Sheet1!#REF!</definedName>
    <definedName name="_5B_4" localSheetId="7">[1]Sheet1!#REF!</definedName>
    <definedName name="_5B_4" localSheetId="8">[1]Sheet1!#REF!</definedName>
    <definedName name="_5B_4" localSheetId="4">[1]Sheet1!#REF!</definedName>
    <definedName name="_5B_4" localSheetId="1">[1]Sheet1!#REF!</definedName>
    <definedName name="_5B_4">[1]Sheet1!#REF!</definedName>
    <definedName name="_5B_5" localSheetId="5">[1]Sheet1!#REF!</definedName>
    <definedName name="_5B_5" localSheetId="3">[1]Sheet1!#REF!</definedName>
    <definedName name="_5B_5" localSheetId="6">[1]Sheet1!#REF!</definedName>
    <definedName name="_5B_5" localSheetId="7">[1]Sheet1!#REF!</definedName>
    <definedName name="_5B_5" localSheetId="8">[1]Sheet1!#REF!</definedName>
    <definedName name="_5B_5" localSheetId="4">[1]Sheet1!#REF!</definedName>
    <definedName name="_5B_5" localSheetId="1">[1]Sheet1!#REF!</definedName>
    <definedName name="_5B_5">[1]Sheet1!#REF!</definedName>
    <definedName name="_5B_6" localSheetId="5">[1]Sheet1!#REF!</definedName>
    <definedName name="_5B_6" localSheetId="3">[1]Sheet1!#REF!</definedName>
    <definedName name="_5B_6" localSheetId="6">[1]Sheet1!#REF!</definedName>
    <definedName name="_5B_6" localSheetId="7">[1]Sheet1!#REF!</definedName>
    <definedName name="_5B_6" localSheetId="8">[1]Sheet1!#REF!</definedName>
    <definedName name="_5B_6" localSheetId="4">[1]Sheet1!#REF!</definedName>
    <definedName name="_5B_6" localSheetId="1">[1]Sheet1!#REF!</definedName>
    <definedName name="_5B_6">[1]Sheet1!#REF!</definedName>
    <definedName name="_5B_7" localSheetId="5">[1]Sheet1!#REF!</definedName>
    <definedName name="_5B_7" localSheetId="3">[1]Sheet1!#REF!</definedName>
    <definedName name="_5B_7" localSheetId="6">[1]Sheet1!#REF!</definedName>
    <definedName name="_5B_7" localSheetId="7">[1]Sheet1!#REF!</definedName>
    <definedName name="_5B_7" localSheetId="8">[1]Sheet1!#REF!</definedName>
    <definedName name="_5B_7" localSheetId="4">[1]Sheet1!#REF!</definedName>
    <definedName name="_5B_7" localSheetId="1">[1]Sheet1!#REF!</definedName>
    <definedName name="_5B_7">[1]Sheet1!#REF!</definedName>
    <definedName name="_5B_8" localSheetId="5">[1]Sheet1!#REF!</definedName>
    <definedName name="_5B_8" localSheetId="3">[1]Sheet1!#REF!</definedName>
    <definedName name="_5B_8" localSheetId="6">[1]Sheet1!#REF!</definedName>
    <definedName name="_5B_8" localSheetId="7">[1]Sheet1!#REF!</definedName>
    <definedName name="_5B_8" localSheetId="8">[1]Sheet1!#REF!</definedName>
    <definedName name="_5B_8" localSheetId="4">[1]Sheet1!#REF!</definedName>
    <definedName name="_5B_8" localSheetId="1">[1]Sheet1!#REF!</definedName>
    <definedName name="_5B_8">[1]Sheet1!#REF!</definedName>
    <definedName name="_5B_9" localSheetId="5">[1]Sheet1!#REF!</definedName>
    <definedName name="_5B_9" localSheetId="3">[1]Sheet1!#REF!</definedName>
    <definedName name="_5B_9" localSheetId="6">[1]Sheet1!#REF!</definedName>
    <definedName name="_5B_9" localSheetId="7">[1]Sheet1!#REF!</definedName>
    <definedName name="_5B_9" localSheetId="8">[1]Sheet1!#REF!</definedName>
    <definedName name="_5B_9" localSheetId="4">[1]Sheet1!#REF!</definedName>
    <definedName name="_5B_9" localSheetId="1">[1]Sheet1!#REF!</definedName>
    <definedName name="_5B_9">[1]Sheet1!#REF!</definedName>
    <definedName name="_5C_1" localSheetId="5">[1]Sheet1!#REF!</definedName>
    <definedName name="_5C_1" localSheetId="3">[1]Sheet1!#REF!</definedName>
    <definedName name="_5C_1" localSheetId="6">[1]Sheet1!#REF!</definedName>
    <definedName name="_5C_1" localSheetId="7">[1]Sheet1!#REF!</definedName>
    <definedName name="_5C_1" localSheetId="8">[1]Sheet1!#REF!</definedName>
    <definedName name="_5C_1" localSheetId="4">[1]Sheet1!#REF!</definedName>
    <definedName name="_5C_1" localSheetId="1">[1]Sheet1!#REF!</definedName>
    <definedName name="_5C_1">[1]Sheet1!#REF!</definedName>
    <definedName name="_5C_10" localSheetId="5">[1]Sheet1!#REF!</definedName>
    <definedName name="_5C_10" localSheetId="3">[1]Sheet1!#REF!</definedName>
    <definedName name="_5C_10" localSheetId="6">[1]Sheet1!#REF!</definedName>
    <definedName name="_5C_10" localSheetId="7">[1]Sheet1!#REF!</definedName>
    <definedName name="_5C_10" localSheetId="8">[1]Sheet1!#REF!</definedName>
    <definedName name="_5C_10" localSheetId="4">[1]Sheet1!#REF!</definedName>
    <definedName name="_5C_10" localSheetId="1">[1]Sheet1!#REF!</definedName>
    <definedName name="_5C_10">[1]Sheet1!#REF!</definedName>
    <definedName name="_5C_11" localSheetId="5">[1]Sheet1!#REF!</definedName>
    <definedName name="_5C_11" localSheetId="3">[1]Sheet1!#REF!</definedName>
    <definedName name="_5C_11" localSheetId="6">[1]Sheet1!#REF!</definedName>
    <definedName name="_5C_11" localSheetId="7">[1]Sheet1!#REF!</definedName>
    <definedName name="_5C_11" localSheetId="8">[1]Sheet1!#REF!</definedName>
    <definedName name="_5C_11" localSheetId="4">[1]Sheet1!#REF!</definedName>
    <definedName name="_5C_11" localSheetId="1">[1]Sheet1!#REF!</definedName>
    <definedName name="_5C_11">[1]Sheet1!#REF!</definedName>
    <definedName name="_5C_12" localSheetId="5">[1]Sheet1!#REF!</definedName>
    <definedName name="_5C_12" localSheetId="3">[1]Sheet1!#REF!</definedName>
    <definedName name="_5C_12" localSheetId="6">[1]Sheet1!#REF!</definedName>
    <definedName name="_5C_12" localSheetId="7">[1]Sheet1!#REF!</definedName>
    <definedName name="_5C_12" localSheetId="8">[1]Sheet1!#REF!</definedName>
    <definedName name="_5C_12" localSheetId="4">[1]Sheet1!#REF!</definedName>
    <definedName name="_5C_12" localSheetId="1">[1]Sheet1!#REF!</definedName>
    <definedName name="_5C_12">[1]Sheet1!#REF!</definedName>
    <definedName name="_5C_13" localSheetId="5">[1]Sheet1!#REF!</definedName>
    <definedName name="_5C_13" localSheetId="3">[1]Sheet1!#REF!</definedName>
    <definedName name="_5C_13" localSheetId="6">[1]Sheet1!#REF!</definedName>
    <definedName name="_5C_13" localSheetId="7">[1]Sheet1!#REF!</definedName>
    <definedName name="_5C_13" localSheetId="8">[1]Sheet1!#REF!</definedName>
    <definedName name="_5C_13" localSheetId="4">[1]Sheet1!#REF!</definedName>
    <definedName name="_5C_13" localSheetId="1">[1]Sheet1!#REF!</definedName>
    <definedName name="_5C_13">[1]Sheet1!#REF!</definedName>
    <definedName name="_5C_14" localSheetId="5">[1]Sheet1!#REF!</definedName>
    <definedName name="_5C_14" localSheetId="3">[1]Sheet1!#REF!</definedName>
    <definedName name="_5C_14" localSheetId="6">[1]Sheet1!#REF!</definedName>
    <definedName name="_5C_14" localSheetId="7">[1]Sheet1!#REF!</definedName>
    <definedName name="_5C_14" localSheetId="8">[1]Sheet1!#REF!</definedName>
    <definedName name="_5C_14" localSheetId="4">[1]Sheet1!#REF!</definedName>
    <definedName name="_5C_14" localSheetId="1">[1]Sheet1!#REF!</definedName>
    <definedName name="_5C_14">[1]Sheet1!#REF!</definedName>
    <definedName name="_5C_15" localSheetId="5">[1]Sheet1!#REF!</definedName>
    <definedName name="_5C_15" localSheetId="3">[1]Sheet1!#REF!</definedName>
    <definedName name="_5C_15" localSheetId="6">[1]Sheet1!#REF!</definedName>
    <definedName name="_5C_15" localSheetId="7">[1]Sheet1!#REF!</definedName>
    <definedName name="_5C_15" localSheetId="8">[1]Sheet1!#REF!</definedName>
    <definedName name="_5C_15" localSheetId="4">[1]Sheet1!#REF!</definedName>
    <definedName name="_5C_15" localSheetId="1">[1]Sheet1!#REF!</definedName>
    <definedName name="_5C_15">[1]Sheet1!#REF!</definedName>
    <definedName name="_5C_16" localSheetId="5">[1]Sheet1!#REF!</definedName>
    <definedName name="_5C_16" localSheetId="3">[1]Sheet1!#REF!</definedName>
    <definedName name="_5C_16" localSheetId="6">[1]Sheet1!#REF!</definedName>
    <definedName name="_5C_16" localSheetId="7">[1]Sheet1!#REF!</definedName>
    <definedName name="_5C_16" localSheetId="8">[1]Sheet1!#REF!</definedName>
    <definedName name="_5C_16" localSheetId="4">[1]Sheet1!#REF!</definedName>
    <definedName name="_5C_16" localSheetId="1">[1]Sheet1!#REF!</definedName>
    <definedName name="_5C_16">[1]Sheet1!#REF!</definedName>
    <definedName name="_5C_17" localSheetId="5">[1]Sheet1!#REF!</definedName>
    <definedName name="_5C_17" localSheetId="3">[1]Sheet1!#REF!</definedName>
    <definedName name="_5C_17" localSheetId="6">[1]Sheet1!#REF!</definedName>
    <definedName name="_5C_17" localSheetId="7">[1]Sheet1!#REF!</definedName>
    <definedName name="_5C_17" localSheetId="8">[1]Sheet1!#REF!</definedName>
    <definedName name="_5C_17" localSheetId="4">[1]Sheet1!#REF!</definedName>
    <definedName name="_5C_17" localSheetId="1">[1]Sheet1!#REF!</definedName>
    <definedName name="_5C_17">[1]Sheet1!#REF!</definedName>
    <definedName name="_5C_18" localSheetId="5">[1]Sheet1!#REF!</definedName>
    <definedName name="_5C_18" localSheetId="3">[1]Sheet1!#REF!</definedName>
    <definedName name="_5C_18" localSheetId="6">[1]Sheet1!#REF!</definedName>
    <definedName name="_5C_18" localSheetId="7">[1]Sheet1!#REF!</definedName>
    <definedName name="_5C_18" localSheetId="8">[1]Sheet1!#REF!</definedName>
    <definedName name="_5C_18" localSheetId="4">[1]Sheet1!#REF!</definedName>
    <definedName name="_5C_18" localSheetId="1">[1]Sheet1!#REF!</definedName>
    <definedName name="_5C_18">[1]Sheet1!#REF!</definedName>
    <definedName name="_5C_19" localSheetId="5">[1]Sheet1!#REF!</definedName>
    <definedName name="_5C_19" localSheetId="3">[1]Sheet1!#REF!</definedName>
    <definedName name="_5C_19" localSheetId="6">[1]Sheet1!#REF!</definedName>
    <definedName name="_5C_19" localSheetId="7">[1]Sheet1!#REF!</definedName>
    <definedName name="_5C_19" localSheetId="8">[1]Sheet1!#REF!</definedName>
    <definedName name="_5C_19" localSheetId="4">[1]Sheet1!#REF!</definedName>
    <definedName name="_5C_19" localSheetId="1">[1]Sheet1!#REF!</definedName>
    <definedName name="_5C_19">[1]Sheet1!#REF!</definedName>
    <definedName name="_5C_2" localSheetId="5">[1]Sheet1!#REF!</definedName>
    <definedName name="_5C_2" localSheetId="3">[1]Sheet1!#REF!</definedName>
    <definedName name="_5C_2" localSheetId="6">[1]Sheet1!#REF!</definedName>
    <definedName name="_5C_2" localSheetId="7">[1]Sheet1!#REF!</definedName>
    <definedName name="_5C_2" localSheetId="8">[1]Sheet1!#REF!</definedName>
    <definedName name="_5C_2" localSheetId="4">[1]Sheet1!#REF!</definedName>
    <definedName name="_5C_2" localSheetId="1">[1]Sheet1!#REF!</definedName>
    <definedName name="_5C_2">[1]Sheet1!#REF!</definedName>
    <definedName name="_5C_20" localSheetId="5">[1]Sheet1!#REF!</definedName>
    <definedName name="_5C_20" localSheetId="3">[1]Sheet1!#REF!</definedName>
    <definedName name="_5C_20" localSheetId="6">[1]Sheet1!#REF!</definedName>
    <definedName name="_5C_20" localSheetId="7">[1]Sheet1!#REF!</definedName>
    <definedName name="_5C_20" localSheetId="8">[1]Sheet1!#REF!</definedName>
    <definedName name="_5C_20" localSheetId="4">[1]Sheet1!#REF!</definedName>
    <definedName name="_5C_20" localSheetId="1">[1]Sheet1!#REF!</definedName>
    <definedName name="_5C_20">[1]Sheet1!#REF!</definedName>
    <definedName name="_5C_21" localSheetId="5">[1]Sheet1!#REF!</definedName>
    <definedName name="_5C_21" localSheetId="3">[1]Sheet1!#REF!</definedName>
    <definedName name="_5C_21" localSheetId="6">[1]Sheet1!#REF!</definedName>
    <definedName name="_5C_21" localSheetId="7">[1]Sheet1!#REF!</definedName>
    <definedName name="_5C_21" localSheetId="8">[1]Sheet1!#REF!</definedName>
    <definedName name="_5C_21" localSheetId="4">[1]Sheet1!#REF!</definedName>
    <definedName name="_5C_21" localSheetId="1">[1]Sheet1!#REF!</definedName>
    <definedName name="_5C_21">[1]Sheet1!#REF!</definedName>
    <definedName name="_5C_22" localSheetId="5">[1]Sheet1!#REF!</definedName>
    <definedName name="_5C_22" localSheetId="3">[1]Sheet1!#REF!</definedName>
    <definedName name="_5C_22" localSheetId="6">[1]Sheet1!#REF!</definedName>
    <definedName name="_5C_22" localSheetId="7">[1]Sheet1!#REF!</definedName>
    <definedName name="_5C_22" localSheetId="8">[1]Sheet1!#REF!</definedName>
    <definedName name="_5C_22" localSheetId="4">[1]Sheet1!#REF!</definedName>
    <definedName name="_5C_22" localSheetId="1">[1]Sheet1!#REF!</definedName>
    <definedName name="_5C_22">[1]Sheet1!#REF!</definedName>
    <definedName name="_5C_23" localSheetId="5">[1]Sheet1!#REF!</definedName>
    <definedName name="_5C_23" localSheetId="3">[1]Sheet1!#REF!</definedName>
    <definedName name="_5C_23" localSheetId="6">[1]Sheet1!#REF!</definedName>
    <definedName name="_5C_23" localSheetId="7">[1]Sheet1!#REF!</definedName>
    <definedName name="_5C_23" localSheetId="8">[1]Sheet1!#REF!</definedName>
    <definedName name="_5C_23" localSheetId="4">[1]Sheet1!#REF!</definedName>
    <definedName name="_5C_23" localSheetId="1">[1]Sheet1!#REF!</definedName>
    <definedName name="_5C_23">[1]Sheet1!#REF!</definedName>
    <definedName name="_5C_24" localSheetId="5">[1]Sheet1!#REF!</definedName>
    <definedName name="_5C_24" localSheetId="3">[1]Sheet1!#REF!</definedName>
    <definedName name="_5C_24" localSheetId="6">[1]Sheet1!#REF!</definedName>
    <definedName name="_5C_24" localSheetId="7">[1]Sheet1!#REF!</definedName>
    <definedName name="_5C_24" localSheetId="8">[1]Sheet1!#REF!</definedName>
    <definedName name="_5C_24" localSheetId="4">[1]Sheet1!#REF!</definedName>
    <definedName name="_5C_24" localSheetId="1">[1]Sheet1!#REF!</definedName>
    <definedName name="_5C_24">[1]Sheet1!#REF!</definedName>
    <definedName name="_5C_25" localSheetId="5">[1]Sheet1!#REF!</definedName>
    <definedName name="_5C_25" localSheetId="3">[1]Sheet1!#REF!</definedName>
    <definedName name="_5C_25" localSheetId="6">[1]Sheet1!#REF!</definedName>
    <definedName name="_5C_25" localSheetId="7">[1]Sheet1!#REF!</definedName>
    <definedName name="_5C_25" localSheetId="8">[1]Sheet1!#REF!</definedName>
    <definedName name="_5C_25" localSheetId="4">[1]Sheet1!#REF!</definedName>
    <definedName name="_5C_25" localSheetId="1">[1]Sheet1!#REF!</definedName>
    <definedName name="_5C_25">[1]Sheet1!#REF!</definedName>
    <definedName name="_5C_26" localSheetId="5">[1]Sheet1!#REF!</definedName>
    <definedName name="_5C_26" localSheetId="3">[1]Sheet1!#REF!</definedName>
    <definedName name="_5C_26" localSheetId="6">[1]Sheet1!#REF!</definedName>
    <definedName name="_5C_26" localSheetId="7">[1]Sheet1!#REF!</definedName>
    <definedName name="_5C_26" localSheetId="8">[1]Sheet1!#REF!</definedName>
    <definedName name="_5C_26" localSheetId="4">[1]Sheet1!#REF!</definedName>
    <definedName name="_5C_26" localSheetId="1">[1]Sheet1!#REF!</definedName>
    <definedName name="_5C_26">[1]Sheet1!#REF!</definedName>
    <definedName name="_5C_27" localSheetId="5">[1]Sheet1!#REF!</definedName>
    <definedName name="_5C_27" localSheetId="3">[1]Sheet1!#REF!</definedName>
    <definedName name="_5C_27" localSheetId="6">[1]Sheet1!#REF!</definedName>
    <definedName name="_5C_27" localSheetId="7">[1]Sheet1!#REF!</definedName>
    <definedName name="_5C_27" localSheetId="8">[1]Sheet1!#REF!</definedName>
    <definedName name="_5C_27" localSheetId="4">[1]Sheet1!#REF!</definedName>
    <definedName name="_5C_27" localSheetId="1">[1]Sheet1!#REF!</definedName>
    <definedName name="_5C_27">[1]Sheet1!#REF!</definedName>
    <definedName name="_5C_28" localSheetId="5">[1]Sheet1!#REF!</definedName>
    <definedName name="_5C_28" localSheetId="3">[1]Sheet1!#REF!</definedName>
    <definedName name="_5C_28" localSheetId="6">[1]Sheet1!#REF!</definedName>
    <definedName name="_5C_28" localSheetId="7">[1]Sheet1!#REF!</definedName>
    <definedName name="_5C_28" localSheetId="8">[1]Sheet1!#REF!</definedName>
    <definedName name="_5C_28" localSheetId="4">[1]Sheet1!#REF!</definedName>
    <definedName name="_5C_28" localSheetId="1">[1]Sheet1!#REF!</definedName>
    <definedName name="_5C_28">[1]Sheet1!#REF!</definedName>
    <definedName name="_5C_29" localSheetId="5">[1]Sheet1!#REF!</definedName>
    <definedName name="_5C_29" localSheetId="3">[1]Sheet1!#REF!</definedName>
    <definedName name="_5C_29" localSheetId="6">[1]Sheet1!#REF!</definedName>
    <definedName name="_5C_29" localSheetId="7">[1]Sheet1!#REF!</definedName>
    <definedName name="_5C_29" localSheetId="8">[1]Sheet1!#REF!</definedName>
    <definedName name="_5C_29" localSheetId="4">[1]Sheet1!#REF!</definedName>
    <definedName name="_5C_29" localSheetId="1">[1]Sheet1!#REF!</definedName>
    <definedName name="_5C_29">[1]Sheet1!#REF!</definedName>
    <definedName name="_5C_3" localSheetId="5">[1]Sheet1!#REF!</definedName>
    <definedName name="_5C_3" localSheetId="3">[1]Sheet1!#REF!</definedName>
    <definedName name="_5C_3" localSheetId="6">[1]Sheet1!#REF!</definedName>
    <definedName name="_5C_3" localSheetId="7">[1]Sheet1!#REF!</definedName>
    <definedName name="_5C_3" localSheetId="8">[1]Sheet1!#REF!</definedName>
    <definedName name="_5C_3" localSheetId="4">[1]Sheet1!#REF!</definedName>
    <definedName name="_5C_3" localSheetId="1">[1]Sheet1!#REF!</definedName>
    <definedName name="_5C_3">[1]Sheet1!#REF!</definedName>
    <definedName name="_5C_30" localSheetId="5">[1]Sheet1!#REF!</definedName>
    <definedName name="_5C_30" localSheetId="3">[1]Sheet1!#REF!</definedName>
    <definedName name="_5C_30" localSheetId="6">[1]Sheet1!#REF!</definedName>
    <definedName name="_5C_30" localSheetId="7">[1]Sheet1!#REF!</definedName>
    <definedName name="_5C_30" localSheetId="8">[1]Sheet1!#REF!</definedName>
    <definedName name="_5C_30" localSheetId="4">[1]Sheet1!#REF!</definedName>
    <definedName name="_5C_30" localSheetId="1">[1]Sheet1!#REF!</definedName>
    <definedName name="_5C_30">[1]Sheet1!#REF!</definedName>
    <definedName name="_5C_4" localSheetId="5">[1]Sheet1!#REF!</definedName>
    <definedName name="_5C_4" localSheetId="3">[1]Sheet1!#REF!</definedName>
    <definedName name="_5C_4" localSheetId="6">[1]Sheet1!#REF!</definedName>
    <definedName name="_5C_4" localSheetId="7">[1]Sheet1!#REF!</definedName>
    <definedName name="_5C_4" localSheetId="8">[1]Sheet1!#REF!</definedName>
    <definedName name="_5C_4" localSheetId="4">[1]Sheet1!#REF!</definedName>
    <definedName name="_5C_4" localSheetId="1">[1]Sheet1!#REF!</definedName>
    <definedName name="_5C_4">[1]Sheet1!#REF!</definedName>
    <definedName name="_5C_5" localSheetId="5">[1]Sheet1!#REF!</definedName>
    <definedName name="_5C_5" localSheetId="3">[1]Sheet1!#REF!</definedName>
    <definedName name="_5C_5" localSheetId="6">[1]Sheet1!#REF!</definedName>
    <definedName name="_5C_5" localSheetId="7">[1]Sheet1!#REF!</definedName>
    <definedName name="_5C_5" localSheetId="8">[1]Sheet1!#REF!</definedName>
    <definedName name="_5C_5" localSheetId="4">[1]Sheet1!#REF!</definedName>
    <definedName name="_5C_5" localSheetId="1">[1]Sheet1!#REF!</definedName>
    <definedName name="_5C_5">[1]Sheet1!#REF!</definedName>
    <definedName name="_5C_6" localSheetId="5">[1]Sheet1!#REF!</definedName>
    <definedName name="_5C_6" localSheetId="3">[1]Sheet1!#REF!</definedName>
    <definedName name="_5C_6" localSheetId="6">[1]Sheet1!#REF!</definedName>
    <definedName name="_5C_6" localSheetId="7">[1]Sheet1!#REF!</definedName>
    <definedName name="_5C_6" localSheetId="8">[1]Sheet1!#REF!</definedName>
    <definedName name="_5C_6" localSheetId="4">[1]Sheet1!#REF!</definedName>
    <definedName name="_5C_6" localSheetId="1">[1]Sheet1!#REF!</definedName>
    <definedName name="_5C_6">[1]Sheet1!#REF!</definedName>
    <definedName name="_5C_7" localSheetId="5">[1]Sheet1!#REF!</definedName>
    <definedName name="_5C_7" localSheetId="3">[1]Sheet1!#REF!</definedName>
    <definedName name="_5C_7" localSheetId="6">[1]Sheet1!#REF!</definedName>
    <definedName name="_5C_7" localSheetId="7">[1]Sheet1!#REF!</definedName>
    <definedName name="_5C_7" localSheetId="8">[1]Sheet1!#REF!</definedName>
    <definedName name="_5C_7" localSheetId="4">[1]Sheet1!#REF!</definedName>
    <definedName name="_5C_7" localSheetId="1">[1]Sheet1!#REF!</definedName>
    <definedName name="_5C_7">[1]Sheet1!#REF!</definedName>
    <definedName name="_5C_8" localSheetId="5">[1]Sheet1!#REF!</definedName>
    <definedName name="_5C_8" localSheetId="3">[1]Sheet1!#REF!</definedName>
    <definedName name="_5C_8" localSheetId="6">[1]Sheet1!#REF!</definedName>
    <definedName name="_5C_8" localSheetId="7">[1]Sheet1!#REF!</definedName>
    <definedName name="_5C_8" localSheetId="8">[1]Sheet1!#REF!</definedName>
    <definedName name="_5C_8" localSheetId="4">[1]Sheet1!#REF!</definedName>
    <definedName name="_5C_8" localSheetId="1">[1]Sheet1!#REF!</definedName>
    <definedName name="_5C_8">[1]Sheet1!#REF!</definedName>
    <definedName name="_5C_9" localSheetId="5">[1]Sheet1!#REF!</definedName>
    <definedName name="_5C_9" localSheetId="3">[1]Sheet1!#REF!</definedName>
    <definedName name="_5C_9" localSheetId="6">[1]Sheet1!#REF!</definedName>
    <definedName name="_5C_9" localSheetId="7">[1]Sheet1!#REF!</definedName>
    <definedName name="_5C_9" localSheetId="8">[1]Sheet1!#REF!</definedName>
    <definedName name="_5C_9" localSheetId="4">[1]Sheet1!#REF!</definedName>
    <definedName name="_5C_9" localSheetId="1">[1]Sheet1!#REF!</definedName>
    <definedName name="_5C_9">[1]Sheet1!#REF!</definedName>
    <definedName name="_5경비" localSheetId="5">'[2]H-PILE 박기'!#REF!</definedName>
    <definedName name="_5경비" localSheetId="3">'[2]H-PILE 박기'!#REF!</definedName>
    <definedName name="_5경비" localSheetId="6">'[2]H-PILE 박기'!#REF!</definedName>
    <definedName name="_5경비" localSheetId="7">'[2]H-PILE 박기'!#REF!</definedName>
    <definedName name="_5경비" localSheetId="8">'[2]H-PILE 박기'!#REF!</definedName>
    <definedName name="_5경비" localSheetId="4">'[2]H-PILE 박기'!#REF!</definedName>
    <definedName name="_5경비" localSheetId="1">'[2]H-PILE 박기'!#REF!</definedName>
    <definedName name="_5경비">'[2]H-PILE 박기'!#REF!</definedName>
    <definedName name="_5노임" localSheetId="5">'[2]H-PILE 박기'!#REF!</definedName>
    <definedName name="_5노임" localSheetId="3">'[2]H-PILE 박기'!#REF!</definedName>
    <definedName name="_5노임" localSheetId="6">'[2]H-PILE 박기'!#REF!</definedName>
    <definedName name="_5노임" localSheetId="7">'[2]H-PILE 박기'!#REF!</definedName>
    <definedName name="_5노임" localSheetId="8">'[2]H-PILE 박기'!#REF!</definedName>
    <definedName name="_5노임" localSheetId="4">'[2]H-PILE 박기'!#REF!</definedName>
    <definedName name="_5노임" localSheetId="1">'[2]H-PILE 박기'!#REF!</definedName>
    <definedName name="_5노임">'[2]H-PILE 박기'!#REF!</definedName>
    <definedName name="_5재료" localSheetId="5">'[2]H-PILE 박기'!#REF!</definedName>
    <definedName name="_5재료" localSheetId="3">'[2]H-PILE 박기'!#REF!</definedName>
    <definedName name="_5재료" localSheetId="6">'[2]H-PILE 박기'!#REF!</definedName>
    <definedName name="_5재료" localSheetId="7">'[2]H-PILE 박기'!#REF!</definedName>
    <definedName name="_5재료" localSheetId="8">'[2]H-PILE 박기'!#REF!</definedName>
    <definedName name="_5재료" localSheetId="4">'[2]H-PILE 박기'!#REF!</definedName>
    <definedName name="_5재료" localSheetId="1">'[2]H-PILE 박기'!#REF!</definedName>
    <definedName name="_5재료">'[2]H-PILE 박기'!#REF!</definedName>
    <definedName name="_6A_1" localSheetId="5">[1]Sheet1!#REF!</definedName>
    <definedName name="_6A_1" localSheetId="3">[1]Sheet1!#REF!</definedName>
    <definedName name="_6A_1" localSheetId="6">[1]Sheet1!#REF!</definedName>
    <definedName name="_6A_1" localSheetId="7">[1]Sheet1!#REF!</definedName>
    <definedName name="_6A_1" localSheetId="8">[1]Sheet1!#REF!</definedName>
    <definedName name="_6A_1" localSheetId="4">[1]Sheet1!#REF!</definedName>
    <definedName name="_6A_1" localSheetId="1">[1]Sheet1!#REF!</definedName>
    <definedName name="_6A_1">[1]Sheet1!#REF!</definedName>
    <definedName name="_6A_10" localSheetId="5">[1]Sheet1!#REF!</definedName>
    <definedName name="_6A_10" localSheetId="3">[1]Sheet1!#REF!</definedName>
    <definedName name="_6A_10" localSheetId="6">[1]Sheet1!#REF!</definedName>
    <definedName name="_6A_10" localSheetId="7">[1]Sheet1!#REF!</definedName>
    <definedName name="_6A_10" localSheetId="8">[1]Sheet1!#REF!</definedName>
    <definedName name="_6A_10" localSheetId="4">[1]Sheet1!#REF!</definedName>
    <definedName name="_6A_10" localSheetId="1">[1]Sheet1!#REF!</definedName>
    <definedName name="_6A_10">[1]Sheet1!#REF!</definedName>
    <definedName name="_6A_11" localSheetId="5">[1]Sheet1!#REF!</definedName>
    <definedName name="_6A_11" localSheetId="3">[1]Sheet1!#REF!</definedName>
    <definedName name="_6A_11" localSheetId="6">[1]Sheet1!#REF!</definedName>
    <definedName name="_6A_11" localSheetId="7">[1]Sheet1!#REF!</definedName>
    <definedName name="_6A_11" localSheetId="8">[1]Sheet1!#REF!</definedName>
    <definedName name="_6A_11" localSheetId="4">[1]Sheet1!#REF!</definedName>
    <definedName name="_6A_11" localSheetId="1">[1]Sheet1!#REF!</definedName>
    <definedName name="_6A_11">[1]Sheet1!#REF!</definedName>
    <definedName name="_6A_12" localSheetId="5">[1]Sheet1!#REF!</definedName>
    <definedName name="_6A_12" localSheetId="3">[1]Sheet1!#REF!</definedName>
    <definedName name="_6A_12" localSheetId="6">[1]Sheet1!#REF!</definedName>
    <definedName name="_6A_12" localSheetId="7">[1]Sheet1!#REF!</definedName>
    <definedName name="_6A_12" localSheetId="8">[1]Sheet1!#REF!</definedName>
    <definedName name="_6A_12" localSheetId="4">[1]Sheet1!#REF!</definedName>
    <definedName name="_6A_12" localSheetId="1">[1]Sheet1!#REF!</definedName>
    <definedName name="_6A_12">[1]Sheet1!#REF!</definedName>
    <definedName name="_6A_13" localSheetId="5">[1]Sheet1!#REF!</definedName>
    <definedName name="_6A_13" localSheetId="3">[1]Sheet1!#REF!</definedName>
    <definedName name="_6A_13" localSheetId="6">[1]Sheet1!#REF!</definedName>
    <definedName name="_6A_13" localSheetId="7">[1]Sheet1!#REF!</definedName>
    <definedName name="_6A_13" localSheetId="8">[1]Sheet1!#REF!</definedName>
    <definedName name="_6A_13" localSheetId="4">[1]Sheet1!#REF!</definedName>
    <definedName name="_6A_13" localSheetId="1">[1]Sheet1!#REF!</definedName>
    <definedName name="_6A_13">[1]Sheet1!#REF!</definedName>
    <definedName name="_6A_14" localSheetId="5">[1]Sheet1!#REF!</definedName>
    <definedName name="_6A_14" localSheetId="3">[1]Sheet1!#REF!</definedName>
    <definedName name="_6A_14" localSheetId="6">[1]Sheet1!#REF!</definedName>
    <definedName name="_6A_14" localSheetId="7">[1]Sheet1!#REF!</definedName>
    <definedName name="_6A_14" localSheetId="8">[1]Sheet1!#REF!</definedName>
    <definedName name="_6A_14" localSheetId="4">[1]Sheet1!#REF!</definedName>
    <definedName name="_6A_14" localSheetId="1">[1]Sheet1!#REF!</definedName>
    <definedName name="_6A_14">[1]Sheet1!#REF!</definedName>
    <definedName name="_6A_15" localSheetId="5">[1]Sheet1!#REF!</definedName>
    <definedName name="_6A_15" localSheetId="3">[1]Sheet1!#REF!</definedName>
    <definedName name="_6A_15" localSheetId="6">[1]Sheet1!#REF!</definedName>
    <definedName name="_6A_15" localSheetId="7">[1]Sheet1!#REF!</definedName>
    <definedName name="_6A_15" localSheetId="8">[1]Sheet1!#REF!</definedName>
    <definedName name="_6A_15" localSheetId="4">[1]Sheet1!#REF!</definedName>
    <definedName name="_6A_15" localSheetId="1">[1]Sheet1!#REF!</definedName>
    <definedName name="_6A_15">[1]Sheet1!#REF!</definedName>
    <definedName name="_6A_16" localSheetId="5">[1]Sheet1!#REF!</definedName>
    <definedName name="_6A_16" localSheetId="3">[1]Sheet1!#REF!</definedName>
    <definedName name="_6A_16" localSheetId="6">[1]Sheet1!#REF!</definedName>
    <definedName name="_6A_16" localSheetId="7">[1]Sheet1!#REF!</definedName>
    <definedName name="_6A_16" localSheetId="8">[1]Sheet1!#REF!</definedName>
    <definedName name="_6A_16" localSheetId="4">[1]Sheet1!#REF!</definedName>
    <definedName name="_6A_16" localSheetId="1">[1]Sheet1!#REF!</definedName>
    <definedName name="_6A_16">[1]Sheet1!#REF!</definedName>
    <definedName name="_6A_17" localSheetId="5">[1]Sheet1!#REF!</definedName>
    <definedName name="_6A_17" localSheetId="3">[1]Sheet1!#REF!</definedName>
    <definedName name="_6A_17" localSheetId="6">[1]Sheet1!#REF!</definedName>
    <definedName name="_6A_17" localSheetId="7">[1]Sheet1!#REF!</definedName>
    <definedName name="_6A_17" localSheetId="8">[1]Sheet1!#REF!</definedName>
    <definedName name="_6A_17" localSheetId="4">[1]Sheet1!#REF!</definedName>
    <definedName name="_6A_17" localSheetId="1">[1]Sheet1!#REF!</definedName>
    <definedName name="_6A_17">[1]Sheet1!#REF!</definedName>
    <definedName name="_6A_18" localSheetId="5">[1]Sheet1!#REF!</definedName>
    <definedName name="_6A_18" localSheetId="3">[1]Sheet1!#REF!</definedName>
    <definedName name="_6A_18" localSheetId="6">[1]Sheet1!#REF!</definedName>
    <definedName name="_6A_18" localSheetId="7">[1]Sheet1!#REF!</definedName>
    <definedName name="_6A_18" localSheetId="8">[1]Sheet1!#REF!</definedName>
    <definedName name="_6A_18" localSheetId="4">[1]Sheet1!#REF!</definedName>
    <definedName name="_6A_18" localSheetId="1">[1]Sheet1!#REF!</definedName>
    <definedName name="_6A_18">[1]Sheet1!#REF!</definedName>
    <definedName name="_6A_19" localSheetId="5">[1]Sheet1!#REF!</definedName>
    <definedName name="_6A_19" localSheetId="3">[1]Sheet1!#REF!</definedName>
    <definedName name="_6A_19" localSheetId="6">[1]Sheet1!#REF!</definedName>
    <definedName name="_6A_19" localSheetId="7">[1]Sheet1!#REF!</definedName>
    <definedName name="_6A_19" localSheetId="8">[1]Sheet1!#REF!</definedName>
    <definedName name="_6A_19" localSheetId="4">[1]Sheet1!#REF!</definedName>
    <definedName name="_6A_19" localSheetId="1">[1]Sheet1!#REF!</definedName>
    <definedName name="_6A_19">[1]Sheet1!#REF!</definedName>
    <definedName name="_6A_2" localSheetId="5">[1]Sheet1!#REF!</definedName>
    <definedName name="_6A_2" localSheetId="3">[1]Sheet1!#REF!</definedName>
    <definedName name="_6A_2" localSheetId="6">[1]Sheet1!#REF!</definedName>
    <definedName name="_6A_2" localSheetId="7">[1]Sheet1!#REF!</definedName>
    <definedName name="_6A_2" localSheetId="8">[1]Sheet1!#REF!</definedName>
    <definedName name="_6A_2" localSheetId="4">[1]Sheet1!#REF!</definedName>
    <definedName name="_6A_2" localSheetId="1">[1]Sheet1!#REF!</definedName>
    <definedName name="_6A_2">[1]Sheet1!#REF!</definedName>
    <definedName name="_6A_20" localSheetId="5">[1]Sheet1!#REF!</definedName>
    <definedName name="_6A_20" localSheetId="3">[1]Sheet1!#REF!</definedName>
    <definedName name="_6A_20" localSheetId="6">[1]Sheet1!#REF!</definedName>
    <definedName name="_6A_20" localSheetId="7">[1]Sheet1!#REF!</definedName>
    <definedName name="_6A_20" localSheetId="8">[1]Sheet1!#REF!</definedName>
    <definedName name="_6A_20" localSheetId="4">[1]Sheet1!#REF!</definedName>
    <definedName name="_6A_20" localSheetId="1">[1]Sheet1!#REF!</definedName>
    <definedName name="_6A_20">[1]Sheet1!#REF!</definedName>
    <definedName name="_6A_21" localSheetId="5">[1]Sheet1!#REF!</definedName>
    <definedName name="_6A_21" localSheetId="3">[1]Sheet1!#REF!</definedName>
    <definedName name="_6A_21" localSheetId="6">[1]Sheet1!#REF!</definedName>
    <definedName name="_6A_21" localSheetId="7">[1]Sheet1!#REF!</definedName>
    <definedName name="_6A_21" localSheetId="8">[1]Sheet1!#REF!</definedName>
    <definedName name="_6A_21" localSheetId="4">[1]Sheet1!#REF!</definedName>
    <definedName name="_6A_21" localSheetId="1">[1]Sheet1!#REF!</definedName>
    <definedName name="_6A_21">[1]Sheet1!#REF!</definedName>
    <definedName name="_6A_22" localSheetId="5">[1]Sheet1!#REF!</definedName>
    <definedName name="_6A_22" localSheetId="3">[1]Sheet1!#REF!</definedName>
    <definedName name="_6A_22" localSheetId="6">[1]Sheet1!#REF!</definedName>
    <definedName name="_6A_22" localSheetId="7">[1]Sheet1!#REF!</definedName>
    <definedName name="_6A_22" localSheetId="8">[1]Sheet1!#REF!</definedName>
    <definedName name="_6A_22" localSheetId="4">[1]Sheet1!#REF!</definedName>
    <definedName name="_6A_22" localSheetId="1">[1]Sheet1!#REF!</definedName>
    <definedName name="_6A_22">[1]Sheet1!#REF!</definedName>
    <definedName name="_6A_23" localSheetId="5">[1]Sheet1!#REF!</definedName>
    <definedName name="_6A_23" localSheetId="3">[1]Sheet1!#REF!</definedName>
    <definedName name="_6A_23" localSheetId="6">[1]Sheet1!#REF!</definedName>
    <definedName name="_6A_23" localSheetId="7">[1]Sheet1!#REF!</definedName>
    <definedName name="_6A_23" localSheetId="8">[1]Sheet1!#REF!</definedName>
    <definedName name="_6A_23" localSheetId="4">[1]Sheet1!#REF!</definedName>
    <definedName name="_6A_23" localSheetId="1">[1]Sheet1!#REF!</definedName>
    <definedName name="_6A_23">[1]Sheet1!#REF!</definedName>
    <definedName name="_6A_24" localSheetId="5">[1]Sheet1!#REF!</definedName>
    <definedName name="_6A_24" localSheetId="3">[1]Sheet1!#REF!</definedName>
    <definedName name="_6A_24" localSheetId="6">[1]Sheet1!#REF!</definedName>
    <definedName name="_6A_24" localSheetId="7">[1]Sheet1!#REF!</definedName>
    <definedName name="_6A_24" localSheetId="8">[1]Sheet1!#REF!</definedName>
    <definedName name="_6A_24" localSheetId="4">[1]Sheet1!#REF!</definedName>
    <definedName name="_6A_24" localSheetId="1">[1]Sheet1!#REF!</definedName>
    <definedName name="_6A_24">[1]Sheet1!#REF!</definedName>
    <definedName name="_6A_25" localSheetId="5">[1]Sheet1!#REF!</definedName>
    <definedName name="_6A_25" localSheetId="3">[1]Sheet1!#REF!</definedName>
    <definedName name="_6A_25" localSheetId="6">[1]Sheet1!#REF!</definedName>
    <definedName name="_6A_25" localSheetId="7">[1]Sheet1!#REF!</definedName>
    <definedName name="_6A_25" localSheetId="8">[1]Sheet1!#REF!</definedName>
    <definedName name="_6A_25" localSheetId="4">[1]Sheet1!#REF!</definedName>
    <definedName name="_6A_25" localSheetId="1">[1]Sheet1!#REF!</definedName>
    <definedName name="_6A_25">[1]Sheet1!#REF!</definedName>
    <definedName name="_6A_26" localSheetId="5">[1]Sheet1!#REF!</definedName>
    <definedName name="_6A_26" localSheetId="3">[1]Sheet1!#REF!</definedName>
    <definedName name="_6A_26" localSheetId="6">[1]Sheet1!#REF!</definedName>
    <definedName name="_6A_26" localSheetId="7">[1]Sheet1!#REF!</definedName>
    <definedName name="_6A_26" localSheetId="8">[1]Sheet1!#REF!</definedName>
    <definedName name="_6A_26" localSheetId="4">[1]Sheet1!#REF!</definedName>
    <definedName name="_6A_26" localSheetId="1">[1]Sheet1!#REF!</definedName>
    <definedName name="_6A_26">[1]Sheet1!#REF!</definedName>
    <definedName name="_6A_27" localSheetId="5">[1]Sheet1!#REF!</definedName>
    <definedName name="_6A_27" localSheetId="3">[1]Sheet1!#REF!</definedName>
    <definedName name="_6A_27" localSheetId="6">[1]Sheet1!#REF!</definedName>
    <definedName name="_6A_27" localSheetId="7">[1]Sheet1!#REF!</definedName>
    <definedName name="_6A_27" localSheetId="8">[1]Sheet1!#REF!</definedName>
    <definedName name="_6A_27" localSheetId="4">[1]Sheet1!#REF!</definedName>
    <definedName name="_6A_27" localSheetId="1">[1]Sheet1!#REF!</definedName>
    <definedName name="_6A_27">[1]Sheet1!#REF!</definedName>
    <definedName name="_6A_28" localSheetId="5">[1]Sheet1!#REF!</definedName>
    <definedName name="_6A_28" localSheetId="3">[1]Sheet1!#REF!</definedName>
    <definedName name="_6A_28" localSheetId="6">[1]Sheet1!#REF!</definedName>
    <definedName name="_6A_28" localSheetId="7">[1]Sheet1!#REF!</definedName>
    <definedName name="_6A_28" localSheetId="8">[1]Sheet1!#REF!</definedName>
    <definedName name="_6A_28" localSheetId="4">[1]Sheet1!#REF!</definedName>
    <definedName name="_6A_28" localSheetId="1">[1]Sheet1!#REF!</definedName>
    <definedName name="_6A_28">[1]Sheet1!#REF!</definedName>
    <definedName name="_6A_29" localSheetId="5">[1]Sheet1!#REF!</definedName>
    <definedName name="_6A_29" localSheetId="3">[1]Sheet1!#REF!</definedName>
    <definedName name="_6A_29" localSheetId="6">[1]Sheet1!#REF!</definedName>
    <definedName name="_6A_29" localSheetId="7">[1]Sheet1!#REF!</definedName>
    <definedName name="_6A_29" localSheetId="8">[1]Sheet1!#REF!</definedName>
    <definedName name="_6A_29" localSheetId="4">[1]Sheet1!#REF!</definedName>
    <definedName name="_6A_29" localSheetId="1">[1]Sheet1!#REF!</definedName>
    <definedName name="_6A_29">[1]Sheet1!#REF!</definedName>
    <definedName name="_6A_3" localSheetId="5">[1]Sheet1!#REF!</definedName>
    <definedName name="_6A_3" localSheetId="3">[1]Sheet1!#REF!</definedName>
    <definedName name="_6A_3" localSheetId="6">[1]Sheet1!#REF!</definedName>
    <definedName name="_6A_3" localSheetId="7">[1]Sheet1!#REF!</definedName>
    <definedName name="_6A_3" localSheetId="8">[1]Sheet1!#REF!</definedName>
    <definedName name="_6A_3" localSheetId="4">[1]Sheet1!#REF!</definedName>
    <definedName name="_6A_3" localSheetId="1">[1]Sheet1!#REF!</definedName>
    <definedName name="_6A_3">[1]Sheet1!#REF!</definedName>
    <definedName name="_6A_30" localSheetId="5">[1]Sheet1!#REF!</definedName>
    <definedName name="_6A_30" localSheetId="3">[1]Sheet1!#REF!</definedName>
    <definedName name="_6A_30" localSheetId="6">[1]Sheet1!#REF!</definedName>
    <definedName name="_6A_30" localSheetId="7">[1]Sheet1!#REF!</definedName>
    <definedName name="_6A_30" localSheetId="8">[1]Sheet1!#REF!</definedName>
    <definedName name="_6A_30" localSheetId="4">[1]Sheet1!#REF!</definedName>
    <definedName name="_6A_30" localSheetId="1">[1]Sheet1!#REF!</definedName>
    <definedName name="_6A_30">[1]Sheet1!#REF!</definedName>
    <definedName name="_6A_4" localSheetId="5">[1]Sheet1!#REF!</definedName>
    <definedName name="_6A_4" localSheetId="3">[1]Sheet1!#REF!</definedName>
    <definedName name="_6A_4" localSheetId="6">[1]Sheet1!#REF!</definedName>
    <definedName name="_6A_4" localSheetId="7">[1]Sheet1!#REF!</definedName>
    <definedName name="_6A_4" localSheetId="8">[1]Sheet1!#REF!</definedName>
    <definedName name="_6A_4" localSheetId="4">[1]Sheet1!#REF!</definedName>
    <definedName name="_6A_4" localSheetId="1">[1]Sheet1!#REF!</definedName>
    <definedName name="_6A_4">[1]Sheet1!#REF!</definedName>
    <definedName name="_6A_5" localSheetId="5">[1]Sheet1!#REF!</definedName>
    <definedName name="_6A_5" localSheetId="3">[1]Sheet1!#REF!</definedName>
    <definedName name="_6A_5" localSheetId="6">[1]Sheet1!#REF!</definedName>
    <definedName name="_6A_5" localSheetId="7">[1]Sheet1!#REF!</definedName>
    <definedName name="_6A_5" localSheetId="8">[1]Sheet1!#REF!</definedName>
    <definedName name="_6A_5" localSheetId="4">[1]Sheet1!#REF!</definedName>
    <definedName name="_6A_5" localSheetId="1">[1]Sheet1!#REF!</definedName>
    <definedName name="_6A_5">[1]Sheet1!#REF!</definedName>
    <definedName name="_6A_6" localSheetId="5">[1]Sheet1!#REF!</definedName>
    <definedName name="_6A_6" localSheetId="3">[1]Sheet1!#REF!</definedName>
    <definedName name="_6A_6" localSheetId="6">[1]Sheet1!#REF!</definedName>
    <definedName name="_6A_6" localSheetId="7">[1]Sheet1!#REF!</definedName>
    <definedName name="_6A_6" localSheetId="8">[1]Sheet1!#REF!</definedName>
    <definedName name="_6A_6" localSheetId="4">[1]Sheet1!#REF!</definedName>
    <definedName name="_6A_6" localSheetId="1">[1]Sheet1!#REF!</definedName>
    <definedName name="_6A_6">[1]Sheet1!#REF!</definedName>
    <definedName name="_6A_7" localSheetId="5">[1]Sheet1!#REF!</definedName>
    <definedName name="_6A_7" localSheetId="3">[1]Sheet1!#REF!</definedName>
    <definedName name="_6A_7" localSheetId="6">[1]Sheet1!#REF!</definedName>
    <definedName name="_6A_7" localSheetId="7">[1]Sheet1!#REF!</definedName>
    <definedName name="_6A_7" localSheetId="8">[1]Sheet1!#REF!</definedName>
    <definedName name="_6A_7" localSheetId="4">[1]Sheet1!#REF!</definedName>
    <definedName name="_6A_7" localSheetId="1">[1]Sheet1!#REF!</definedName>
    <definedName name="_6A_7">[1]Sheet1!#REF!</definedName>
    <definedName name="_6A_8" localSheetId="5">[1]Sheet1!#REF!</definedName>
    <definedName name="_6A_8" localSheetId="3">[1]Sheet1!#REF!</definedName>
    <definedName name="_6A_8" localSheetId="6">[1]Sheet1!#REF!</definedName>
    <definedName name="_6A_8" localSheetId="7">[1]Sheet1!#REF!</definedName>
    <definedName name="_6A_8" localSheetId="8">[1]Sheet1!#REF!</definedName>
    <definedName name="_6A_8" localSheetId="4">[1]Sheet1!#REF!</definedName>
    <definedName name="_6A_8" localSheetId="1">[1]Sheet1!#REF!</definedName>
    <definedName name="_6A_8">[1]Sheet1!#REF!</definedName>
    <definedName name="_6A_9" localSheetId="5">[1]Sheet1!#REF!</definedName>
    <definedName name="_6A_9" localSheetId="3">[1]Sheet1!#REF!</definedName>
    <definedName name="_6A_9" localSheetId="6">[1]Sheet1!#REF!</definedName>
    <definedName name="_6A_9" localSheetId="7">[1]Sheet1!#REF!</definedName>
    <definedName name="_6A_9" localSheetId="8">[1]Sheet1!#REF!</definedName>
    <definedName name="_6A_9" localSheetId="4">[1]Sheet1!#REF!</definedName>
    <definedName name="_6A_9" localSheetId="1">[1]Sheet1!#REF!</definedName>
    <definedName name="_6A_9">[1]Sheet1!#REF!</definedName>
    <definedName name="_6B_1" localSheetId="5">[1]Sheet1!#REF!</definedName>
    <definedName name="_6B_1" localSheetId="3">[1]Sheet1!#REF!</definedName>
    <definedName name="_6B_1" localSheetId="6">[1]Sheet1!#REF!</definedName>
    <definedName name="_6B_1" localSheetId="7">[1]Sheet1!#REF!</definedName>
    <definedName name="_6B_1" localSheetId="8">[1]Sheet1!#REF!</definedName>
    <definedName name="_6B_1" localSheetId="4">[1]Sheet1!#REF!</definedName>
    <definedName name="_6B_1" localSheetId="1">[1]Sheet1!#REF!</definedName>
    <definedName name="_6B_1">[1]Sheet1!#REF!</definedName>
    <definedName name="_6B_10" localSheetId="5">[1]Sheet1!#REF!</definedName>
    <definedName name="_6B_10" localSheetId="3">[1]Sheet1!#REF!</definedName>
    <definedName name="_6B_10" localSheetId="6">[1]Sheet1!#REF!</definedName>
    <definedName name="_6B_10" localSheetId="7">[1]Sheet1!#REF!</definedName>
    <definedName name="_6B_10" localSheetId="8">[1]Sheet1!#REF!</definedName>
    <definedName name="_6B_10" localSheetId="4">[1]Sheet1!#REF!</definedName>
    <definedName name="_6B_10" localSheetId="1">[1]Sheet1!#REF!</definedName>
    <definedName name="_6B_10">[1]Sheet1!#REF!</definedName>
    <definedName name="_6B_11" localSheetId="5">[1]Sheet1!#REF!</definedName>
    <definedName name="_6B_11" localSheetId="3">[1]Sheet1!#REF!</definedName>
    <definedName name="_6B_11" localSheetId="6">[1]Sheet1!#REF!</definedName>
    <definedName name="_6B_11" localSheetId="7">[1]Sheet1!#REF!</definedName>
    <definedName name="_6B_11" localSheetId="8">[1]Sheet1!#REF!</definedName>
    <definedName name="_6B_11" localSheetId="4">[1]Sheet1!#REF!</definedName>
    <definedName name="_6B_11" localSheetId="1">[1]Sheet1!#REF!</definedName>
    <definedName name="_6B_11">[1]Sheet1!#REF!</definedName>
    <definedName name="_6B_12" localSheetId="5">[1]Sheet1!#REF!</definedName>
    <definedName name="_6B_12" localSheetId="3">[1]Sheet1!#REF!</definedName>
    <definedName name="_6B_12" localSheetId="6">[1]Sheet1!#REF!</definedName>
    <definedName name="_6B_12" localSheetId="7">[1]Sheet1!#REF!</definedName>
    <definedName name="_6B_12" localSheetId="8">[1]Sheet1!#REF!</definedName>
    <definedName name="_6B_12" localSheetId="4">[1]Sheet1!#REF!</definedName>
    <definedName name="_6B_12" localSheetId="1">[1]Sheet1!#REF!</definedName>
    <definedName name="_6B_12">[1]Sheet1!#REF!</definedName>
    <definedName name="_6B_13" localSheetId="5">[1]Sheet1!#REF!</definedName>
    <definedName name="_6B_13" localSheetId="3">[1]Sheet1!#REF!</definedName>
    <definedName name="_6B_13" localSheetId="6">[1]Sheet1!#REF!</definedName>
    <definedName name="_6B_13" localSheetId="7">[1]Sheet1!#REF!</definedName>
    <definedName name="_6B_13" localSheetId="8">[1]Sheet1!#REF!</definedName>
    <definedName name="_6B_13" localSheetId="4">[1]Sheet1!#REF!</definedName>
    <definedName name="_6B_13" localSheetId="1">[1]Sheet1!#REF!</definedName>
    <definedName name="_6B_13">[1]Sheet1!#REF!</definedName>
    <definedName name="_6B_14" localSheetId="5">[1]Sheet1!#REF!</definedName>
    <definedName name="_6B_14" localSheetId="3">[1]Sheet1!#REF!</definedName>
    <definedName name="_6B_14" localSheetId="6">[1]Sheet1!#REF!</definedName>
    <definedName name="_6B_14" localSheetId="7">[1]Sheet1!#REF!</definedName>
    <definedName name="_6B_14" localSheetId="8">[1]Sheet1!#REF!</definedName>
    <definedName name="_6B_14" localSheetId="4">[1]Sheet1!#REF!</definedName>
    <definedName name="_6B_14" localSheetId="1">[1]Sheet1!#REF!</definedName>
    <definedName name="_6B_14">[1]Sheet1!#REF!</definedName>
    <definedName name="_6B_15" localSheetId="5">[1]Sheet1!#REF!</definedName>
    <definedName name="_6B_15" localSheetId="3">[1]Sheet1!#REF!</definedName>
    <definedName name="_6B_15" localSheetId="6">[1]Sheet1!#REF!</definedName>
    <definedName name="_6B_15" localSheetId="7">[1]Sheet1!#REF!</definedName>
    <definedName name="_6B_15" localSheetId="8">[1]Sheet1!#REF!</definedName>
    <definedName name="_6B_15" localSheetId="4">[1]Sheet1!#REF!</definedName>
    <definedName name="_6B_15" localSheetId="1">[1]Sheet1!#REF!</definedName>
    <definedName name="_6B_15">[1]Sheet1!#REF!</definedName>
    <definedName name="_6B_16" localSheetId="5">[1]Sheet1!#REF!</definedName>
    <definedName name="_6B_16" localSheetId="3">[1]Sheet1!#REF!</definedName>
    <definedName name="_6B_16" localSheetId="6">[1]Sheet1!#REF!</definedName>
    <definedName name="_6B_16" localSheetId="7">[1]Sheet1!#REF!</definedName>
    <definedName name="_6B_16" localSheetId="8">[1]Sheet1!#REF!</definedName>
    <definedName name="_6B_16" localSheetId="4">[1]Sheet1!#REF!</definedName>
    <definedName name="_6B_16" localSheetId="1">[1]Sheet1!#REF!</definedName>
    <definedName name="_6B_16">[1]Sheet1!#REF!</definedName>
    <definedName name="_6B_17" localSheetId="5">[1]Sheet1!#REF!</definedName>
    <definedName name="_6B_17" localSheetId="3">[1]Sheet1!#REF!</definedName>
    <definedName name="_6B_17" localSheetId="6">[1]Sheet1!#REF!</definedName>
    <definedName name="_6B_17" localSheetId="7">[1]Sheet1!#REF!</definedName>
    <definedName name="_6B_17" localSheetId="8">[1]Sheet1!#REF!</definedName>
    <definedName name="_6B_17" localSheetId="4">[1]Sheet1!#REF!</definedName>
    <definedName name="_6B_17" localSheetId="1">[1]Sheet1!#REF!</definedName>
    <definedName name="_6B_17">[1]Sheet1!#REF!</definedName>
    <definedName name="_6B_18" localSheetId="5">[1]Sheet1!#REF!</definedName>
    <definedName name="_6B_18" localSheetId="3">[1]Sheet1!#REF!</definedName>
    <definedName name="_6B_18" localSheetId="6">[1]Sheet1!#REF!</definedName>
    <definedName name="_6B_18" localSheetId="7">[1]Sheet1!#REF!</definedName>
    <definedName name="_6B_18" localSheetId="8">[1]Sheet1!#REF!</definedName>
    <definedName name="_6B_18" localSheetId="4">[1]Sheet1!#REF!</definedName>
    <definedName name="_6B_18" localSheetId="1">[1]Sheet1!#REF!</definedName>
    <definedName name="_6B_18">[1]Sheet1!#REF!</definedName>
    <definedName name="_6B_19" localSheetId="5">[1]Sheet1!#REF!</definedName>
    <definedName name="_6B_19" localSheetId="3">[1]Sheet1!#REF!</definedName>
    <definedName name="_6B_19" localSheetId="6">[1]Sheet1!#REF!</definedName>
    <definedName name="_6B_19" localSheetId="7">[1]Sheet1!#REF!</definedName>
    <definedName name="_6B_19" localSheetId="8">[1]Sheet1!#REF!</definedName>
    <definedName name="_6B_19" localSheetId="4">[1]Sheet1!#REF!</definedName>
    <definedName name="_6B_19" localSheetId="1">[1]Sheet1!#REF!</definedName>
    <definedName name="_6B_19">[1]Sheet1!#REF!</definedName>
    <definedName name="_6B_2" localSheetId="5">[1]Sheet1!#REF!</definedName>
    <definedName name="_6B_2" localSheetId="3">[1]Sheet1!#REF!</definedName>
    <definedName name="_6B_2" localSheetId="6">[1]Sheet1!#REF!</definedName>
    <definedName name="_6B_2" localSheetId="7">[1]Sheet1!#REF!</definedName>
    <definedName name="_6B_2" localSheetId="8">[1]Sheet1!#REF!</definedName>
    <definedName name="_6B_2" localSheetId="4">[1]Sheet1!#REF!</definedName>
    <definedName name="_6B_2" localSheetId="1">[1]Sheet1!#REF!</definedName>
    <definedName name="_6B_2">[1]Sheet1!#REF!</definedName>
    <definedName name="_6B_20" localSheetId="5">[1]Sheet1!#REF!</definedName>
    <definedName name="_6B_20" localSheetId="3">[1]Sheet1!#REF!</definedName>
    <definedName name="_6B_20" localSheetId="6">[1]Sheet1!#REF!</definedName>
    <definedName name="_6B_20" localSheetId="7">[1]Sheet1!#REF!</definedName>
    <definedName name="_6B_20" localSheetId="8">[1]Sheet1!#REF!</definedName>
    <definedName name="_6B_20" localSheetId="4">[1]Sheet1!#REF!</definedName>
    <definedName name="_6B_20" localSheetId="1">[1]Sheet1!#REF!</definedName>
    <definedName name="_6B_20">[1]Sheet1!#REF!</definedName>
    <definedName name="_6B_21" localSheetId="5">[1]Sheet1!#REF!</definedName>
    <definedName name="_6B_21" localSheetId="3">[1]Sheet1!#REF!</definedName>
    <definedName name="_6B_21" localSheetId="6">[1]Sheet1!#REF!</definedName>
    <definedName name="_6B_21" localSheetId="7">[1]Sheet1!#REF!</definedName>
    <definedName name="_6B_21" localSheetId="8">[1]Sheet1!#REF!</definedName>
    <definedName name="_6B_21" localSheetId="4">[1]Sheet1!#REF!</definedName>
    <definedName name="_6B_21" localSheetId="1">[1]Sheet1!#REF!</definedName>
    <definedName name="_6B_21">[1]Sheet1!#REF!</definedName>
    <definedName name="_6B_22" localSheetId="5">[1]Sheet1!#REF!</definedName>
    <definedName name="_6B_22" localSheetId="3">[1]Sheet1!#REF!</definedName>
    <definedName name="_6B_22" localSheetId="6">[1]Sheet1!#REF!</definedName>
    <definedName name="_6B_22" localSheetId="7">[1]Sheet1!#REF!</definedName>
    <definedName name="_6B_22" localSheetId="8">[1]Sheet1!#REF!</definedName>
    <definedName name="_6B_22" localSheetId="4">[1]Sheet1!#REF!</definedName>
    <definedName name="_6B_22" localSheetId="1">[1]Sheet1!#REF!</definedName>
    <definedName name="_6B_22">[1]Sheet1!#REF!</definedName>
    <definedName name="_6B_23" localSheetId="5">[1]Sheet1!#REF!</definedName>
    <definedName name="_6B_23" localSheetId="3">[1]Sheet1!#REF!</definedName>
    <definedName name="_6B_23" localSheetId="6">[1]Sheet1!#REF!</definedName>
    <definedName name="_6B_23" localSheetId="7">[1]Sheet1!#REF!</definedName>
    <definedName name="_6B_23" localSheetId="8">[1]Sheet1!#REF!</definedName>
    <definedName name="_6B_23" localSheetId="4">[1]Sheet1!#REF!</definedName>
    <definedName name="_6B_23" localSheetId="1">[1]Sheet1!#REF!</definedName>
    <definedName name="_6B_23">[1]Sheet1!#REF!</definedName>
    <definedName name="_6B_24" localSheetId="5">[1]Sheet1!#REF!</definedName>
    <definedName name="_6B_24" localSheetId="3">[1]Sheet1!#REF!</definedName>
    <definedName name="_6B_24" localSheetId="6">[1]Sheet1!#REF!</definedName>
    <definedName name="_6B_24" localSheetId="7">[1]Sheet1!#REF!</definedName>
    <definedName name="_6B_24" localSheetId="8">[1]Sheet1!#REF!</definedName>
    <definedName name="_6B_24" localSheetId="4">[1]Sheet1!#REF!</definedName>
    <definedName name="_6B_24" localSheetId="1">[1]Sheet1!#REF!</definedName>
    <definedName name="_6B_24">[1]Sheet1!#REF!</definedName>
    <definedName name="_6B_25" localSheetId="5">[1]Sheet1!#REF!</definedName>
    <definedName name="_6B_25" localSheetId="3">[1]Sheet1!#REF!</definedName>
    <definedName name="_6B_25" localSheetId="6">[1]Sheet1!#REF!</definedName>
    <definedName name="_6B_25" localSheetId="7">[1]Sheet1!#REF!</definedName>
    <definedName name="_6B_25" localSheetId="8">[1]Sheet1!#REF!</definedName>
    <definedName name="_6B_25" localSheetId="4">[1]Sheet1!#REF!</definedName>
    <definedName name="_6B_25" localSheetId="1">[1]Sheet1!#REF!</definedName>
    <definedName name="_6B_25">[1]Sheet1!#REF!</definedName>
    <definedName name="_6B_26" localSheetId="5">[1]Sheet1!#REF!</definedName>
    <definedName name="_6B_26" localSheetId="3">[1]Sheet1!#REF!</definedName>
    <definedName name="_6B_26" localSheetId="6">[1]Sheet1!#REF!</definedName>
    <definedName name="_6B_26" localSheetId="7">[1]Sheet1!#REF!</definedName>
    <definedName name="_6B_26" localSheetId="8">[1]Sheet1!#REF!</definedName>
    <definedName name="_6B_26" localSheetId="4">[1]Sheet1!#REF!</definedName>
    <definedName name="_6B_26" localSheetId="1">[1]Sheet1!#REF!</definedName>
    <definedName name="_6B_26">[1]Sheet1!#REF!</definedName>
    <definedName name="_6B_27" localSheetId="5">[1]Sheet1!#REF!</definedName>
    <definedName name="_6B_27" localSheetId="3">[1]Sheet1!#REF!</definedName>
    <definedName name="_6B_27" localSheetId="6">[1]Sheet1!#REF!</definedName>
    <definedName name="_6B_27" localSheetId="7">[1]Sheet1!#REF!</definedName>
    <definedName name="_6B_27" localSheetId="8">[1]Sheet1!#REF!</definedName>
    <definedName name="_6B_27" localSheetId="4">[1]Sheet1!#REF!</definedName>
    <definedName name="_6B_27" localSheetId="1">[1]Sheet1!#REF!</definedName>
    <definedName name="_6B_27">[1]Sheet1!#REF!</definedName>
    <definedName name="_6B_28" localSheetId="5">[1]Sheet1!#REF!</definedName>
    <definedName name="_6B_28" localSheetId="3">[1]Sheet1!#REF!</definedName>
    <definedName name="_6B_28" localSheetId="6">[1]Sheet1!#REF!</definedName>
    <definedName name="_6B_28" localSheetId="7">[1]Sheet1!#REF!</definedName>
    <definedName name="_6B_28" localSheetId="8">[1]Sheet1!#REF!</definedName>
    <definedName name="_6B_28" localSheetId="4">[1]Sheet1!#REF!</definedName>
    <definedName name="_6B_28" localSheetId="1">[1]Sheet1!#REF!</definedName>
    <definedName name="_6B_28">[1]Sheet1!#REF!</definedName>
    <definedName name="_6B_29" localSheetId="5">[1]Sheet1!#REF!</definedName>
    <definedName name="_6B_29" localSheetId="3">[1]Sheet1!#REF!</definedName>
    <definedName name="_6B_29" localSheetId="6">[1]Sheet1!#REF!</definedName>
    <definedName name="_6B_29" localSheetId="7">[1]Sheet1!#REF!</definedName>
    <definedName name="_6B_29" localSheetId="8">[1]Sheet1!#REF!</definedName>
    <definedName name="_6B_29" localSheetId="4">[1]Sheet1!#REF!</definedName>
    <definedName name="_6B_29" localSheetId="1">[1]Sheet1!#REF!</definedName>
    <definedName name="_6B_29">[1]Sheet1!#REF!</definedName>
    <definedName name="_6B_3" localSheetId="5">[1]Sheet1!#REF!</definedName>
    <definedName name="_6B_3" localSheetId="3">[1]Sheet1!#REF!</definedName>
    <definedName name="_6B_3" localSheetId="6">[1]Sheet1!#REF!</definedName>
    <definedName name="_6B_3" localSheetId="7">[1]Sheet1!#REF!</definedName>
    <definedName name="_6B_3" localSheetId="8">[1]Sheet1!#REF!</definedName>
    <definedName name="_6B_3" localSheetId="4">[1]Sheet1!#REF!</definedName>
    <definedName name="_6B_3" localSheetId="1">[1]Sheet1!#REF!</definedName>
    <definedName name="_6B_3">[1]Sheet1!#REF!</definedName>
    <definedName name="_6B_30" localSheetId="5">[1]Sheet1!#REF!</definedName>
    <definedName name="_6B_30" localSheetId="3">[1]Sheet1!#REF!</definedName>
    <definedName name="_6B_30" localSheetId="6">[1]Sheet1!#REF!</definedName>
    <definedName name="_6B_30" localSheetId="7">[1]Sheet1!#REF!</definedName>
    <definedName name="_6B_30" localSheetId="8">[1]Sheet1!#REF!</definedName>
    <definedName name="_6B_30" localSheetId="4">[1]Sheet1!#REF!</definedName>
    <definedName name="_6B_30" localSheetId="1">[1]Sheet1!#REF!</definedName>
    <definedName name="_6B_30">[1]Sheet1!#REF!</definedName>
    <definedName name="_6B_4" localSheetId="5">[1]Sheet1!#REF!</definedName>
    <definedName name="_6B_4" localSheetId="3">[1]Sheet1!#REF!</definedName>
    <definedName name="_6B_4" localSheetId="6">[1]Sheet1!#REF!</definedName>
    <definedName name="_6B_4" localSheetId="7">[1]Sheet1!#REF!</definedName>
    <definedName name="_6B_4" localSheetId="8">[1]Sheet1!#REF!</definedName>
    <definedName name="_6B_4" localSheetId="4">[1]Sheet1!#REF!</definedName>
    <definedName name="_6B_4" localSheetId="1">[1]Sheet1!#REF!</definedName>
    <definedName name="_6B_4">[1]Sheet1!#REF!</definedName>
    <definedName name="_6B_5" localSheetId="5">[1]Sheet1!#REF!</definedName>
    <definedName name="_6B_5" localSheetId="3">[1]Sheet1!#REF!</definedName>
    <definedName name="_6B_5" localSheetId="6">[1]Sheet1!#REF!</definedName>
    <definedName name="_6B_5" localSheetId="7">[1]Sheet1!#REF!</definedName>
    <definedName name="_6B_5" localSheetId="8">[1]Sheet1!#REF!</definedName>
    <definedName name="_6B_5" localSheetId="4">[1]Sheet1!#REF!</definedName>
    <definedName name="_6B_5" localSheetId="1">[1]Sheet1!#REF!</definedName>
    <definedName name="_6B_5">[1]Sheet1!#REF!</definedName>
    <definedName name="_6B_6" localSheetId="5">[1]Sheet1!#REF!</definedName>
    <definedName name="_6B_6" localSheetId="3">[1]Sheet1!#REF!</definedName>
    <definedName name="_6B_6" localSheetId="6">[1]Sheet1!#REF!</definedName>
    <definedName name="_6B_6" localSheetId="7">[1]Sheet1!#REF!</definedName>
    <definedName name="_6B_6" localSheetId="8">[1]Sheet1!#REF!</definedName>
    <definedName name="_6B_6" localSheetId="4">[1]Sheet1!#REF!</definedName>
    <definedName name="_6B_6" localSheetId="1">[1]Sheet1!#REF!</definedName>
    <definedName name="_6B_6">[1]Sheet1!#REF!</definedName>
    <definedName name="_6B_7" localSheetId="5">[1]Sheet1!#REF!</definedName>
    <definedName name="_6B_7" localSheetId="3">[1]Sheet1!#REF!</definedName>
    <definedName name="_6B_7" localSheetId="6">[1]Sheet1!#REF!</definedName>
    <definedName name="_6B_7" localSheetId="7">[1]Sheet1!#REF!</definedName>
    <definedName name="_6B_7" localSheetId="8">[1]Sheet1!#REF!</definedName>
    <definedName name="_6B_7" localSheetId="4">[1]Sheet1!#REF!</definedName>
    <definedName name="_6B_7" localSheetId="1">[1]Sheet1!#REF!</definedName>
    <definedName name="_6B_7">[1]Sheet1!#REF!</definedName>
    <definedName name="_6B_8" localSheetId="5">[1]Sheet1!#REF!</definedName>
    <definedName name="_6B_8" localSheetId="3">[1]Sheet1!#REF!</definedName>
    <definedName name="_6B_8" localSheetId="6">[1]Sheet1!#REF!</definedName>
    <definedName name="_6B_8" localSheetId="7">[1]Sheet1!#REF!</definedName>
    <definedName name="_6B_8" localSheetId="8">[1]Sheet1!#REF!</definedName>
    <definedName name="_6B_8" localSheetId="4">[1]Sheet1!#REF!</definedName>
    <definedName name="_6B_8" localSheetId="1">[1]Sheet1!#REF!</definedName>
    <definedName name="_6B_8">[1]Sheet1!#REF!</definedName>
    <definedName name="_6B_9" localSheetId="5">[1]Sheet1!#REF!</definedName>
    <definedName name="_6B_9" localSheetId="3">[1]Sheet1!#REF!</definedName>
    <definedName name="_6B_9" localSheetId="6">[1]Sheet1!#REF!</definedName>
    <definedName name="_6B_9" localSheetId="7">[1]Sheet1!#REF!</definedName>
    <definedName name="_6B_9" localSheetId="8">[1]Sheet1!#REF!</definedName>
    <definedName name="_6B_9" localSheetId="4">[1]Sheet1!#REF!</definedName>
    <definedName name="_6B_9" localSheetId="1">[1]Sheet1!#REF!</definedName>
    <definedName name="_6B_9">[1]Sheet1!#REF!</definedName>
    <definedName name="_6C_1" localSheetId="5">[1]Sheet1!#REF!</definedName>
    <definedName name="_6C_1" localSheetId="3">[1]Sheet1!#REF!</definedName>
    <definedName name="_6C_1" localSheetId="6">[1]Sheet1!#REF!</definedName>
    <definedName name="_6C_1" localSheetId="7">[1]Sheet1!#REF!</definedName>
    <definedName name="_6C_1" localSheetId="8">[1]Sheet1!#REF!</definedName>
    <definedName name="_6C_1" localSheetId="4">[1]Sheet1!#REF!</definedName>
    <definedName name="_6C_1" localSheetId="1">[1]Sheet1!#REF!</definedName>
    <definedName name="_6C_1">[1]Sheet1!#REF!</definedName>
    <definedName name="_6C_10" localSheetId="5">[1]Sheet1!#REF!</definedName>
    <definedName name="_6C_10" localSheetId="3">[1]Sheet1!#REF!</definedName>
    <definedName name="_6C_10" localSheetId="6">[1]Sheet1!#REF!</definedName>
    <definedName name="_6C_10" localSheetId="7">[1]Sheet1!#REF!</definedName>
    <definedName name="_6C_10" localSheetId="8">[1]Sheet1!#REF!</definedName>
    <definedName name="_6C_10" localSheetId="4">[1]Sheet1!#REF!</definedName>
    <definedName name="_6C_10" localSheetId="1">[1]Sheet1!#REF!</definedName>
    <definedName name="_6C_10">[1]Sheet1!#REF!</definedName>
    <definedName name="_6C_11" localSheetId="5">[1]Sheet1!#REF!</definedName>
    <definedName name="_6C_11" localSheetId="3">[1]Sheet1!#REF!</definedName>
    <definedName name="_6C_11" localSheetId="6">[1]Sheet1!#REF!</definedName>
    <definedName name="_6C_11" localSheetId="7">[1]Sheet1!#REF!</definedName>
    <definedName name="_6C_11" localSheetId="8">[1]Sheet1!#REF!</definedName>
    <definedName name="_6C_11" localSheetId="4">[1]Sheet1!#REF!</definedName>
    <definedName name="_6C_11" localSheetId="1">[1]Sheet1!#REF!</definedName>
    <definedName name="_6C_11">[1]Sheet1!#REF!</definedName>
    <definedName name="_6C_12" localSheetId="5">[1]Sheet1!#REF!</definedName>
    <definedName name="_6C_12" localSheetId="3">[1]Sheet1!#REF!</definedName>
    <definedName name="_6C_12" localSheetId="6">[1]Sheet1!#REF!</definedName>
    <definedName name="_6C_12" localSheetId="7">[1]Sheet1!#REF!</definedName>
    <definedName name="_6C_12" localSheetId="8">[1]Sheet1!#REF!</definedName>
    <definedName name="_6C_12" localSheetId="4">[1]Sheet1!#REF!</definedName>
    <definedName name="_6C_12" localSheetId="1">[1]Sheet1!#REF!</definedName>
    <definedName name="_6C_12">[1]Sheet1!#REF!</definedName>
    <definedName name="_6C_13" localSheetId="5">[1]Sheet1!#REF!</definedName>
    <definedName name="_6C_13" localSheetId="3">[1]Sheet1!#REF!</definedName>
    <definedName name="_6C_13" localSheetId="6">[1]Sheet1!#REF!</definedName>
    <definedName name="_6C_13" localSheetId="7">[1]Sheet1!#REF!</definedName>
    <definedName name="_6C_13" localSheetId="8">[1]Sheet1!#REF!</definedName>
    <definedName name="_6C_13" localSheetId="4">[1]Sheet1!#REF!</definedName>
    <definedName name="_6C_13" localSheetId="1">[1]Sheet1!#REF!</definedName>
    <definedName name="_6C_13">[1]Sheet1!#REF!</definedName>
    <definedName name="_6C_14" localSheetId="5">[1]Sheet1!#REF!</definedName>
    <definedName name="_6C_14" localSheetId="3">[1]Sheet1!#REF!</definedName>
    <definedName name="_6C_14" localSheetId="6">[1]Sheet1!#REF!</definedName>
    <definedName name="_6C_14" localSheetId="7">[1]Sheet1!#REF!</definedName>
    <definedName name="_6C_14" localSheetId="8">[1]Sheet1!#REF!</definedName>
    <definedName name="_6C_14" localSheetId="4">[1]Sheet1!#REF!</definedName>
    <definedName name="_6C_14" localSheetId="1">[1]Sheet1!#REF!</definedName>
    <definedName name="_6C_14">[1]Sheet1!#REF!</definedName>
    <definedName name="_6C_15" localSheetId="5">[1]Sheet1!#REF!</definedName>
    <definedName name="_6C_15" localSheetId="3">[1]Sheet1!#REF!</definedName>
    <definedName name="_6C_15" localSheetId="6">[1]Sheet1!#REF!</definedName>
    <definedName name="_6C_15" localSheetId="7">[1]Sheet1!#REF!</definedName>
    <definedName name="_6C_15" localSheetId="8">[1]Sheet1!#REF!</definedName>
    <definedName name="_6C_15" localSheetId="4">[1]Sheet1!#REF!</definedName>
    <definedName name="_6C_15" localSheetId="1">[1]Sheet1!#REF!</definedName>
    <definedName name="_6C_15">[1]Sheet1!#REF!</definedName>
    <definedName name="_6C_16" localSheetId="5">[1]Sheet1!#REF!</definedName>
    <definedName name="_6C_16" localSheetId="3">[1]Sheet1!#REF!</definedName>
    <definedName name="_6C_16" localSheetId="6">[1]Sheet1!#REF!</definedName>
    <definedName name="_6C_16" localSheetId="7">[1]Sheet1!#REF!</definedName>
    <definedName name="_6C_16" localSheetId="8">[1]Sheet1!#REF!</definedName>
    <definedName name="_6C_16" localSheetId="4">[1]Sheet1!#REF!</definedName>
    <definedName name="_6C_16" localSheetId="1">[1]Sheet1!#REF!</definedName>
    <definedName name="_6C_16">[1]Sheet1!#REF!</definedName>
    <definedName name="_6C_17" localSheetId="5">[1]Sheet1!#REF!</definedName>
    <definedName name="_6C_17" localSheetId="3">[1]Sheet1!#REF!</definedName>
    <definedName name="_6C_17" localSheetId="6">[1]Sheet1!#REF!</definedName>
    <definedName name="_6C_17" localSheetId="7">[1]Sheet1!#REF!</definedName>
    <definedName name="_6C_17" localSheetId="8">[1]Sheet1!#REF!</definedName>
    <definedName name="_6C_17" localSheetId="4">[1]Sheet1!#REF!</definedName>
    <definedName name="_6C_17" localSheetId="1">[1]Sheet1!#REF!</definedName>
    <definedName name="_6C_17">[1]Sheet1!#REF!</definedName>
    <definedName name="_6C_18" localSheetId="5">[1]Sheet1!#REF!</definedName>
    <definedName name="_6C_18" localSheetId="3">[1]Sheet1!#REF!</definedName>
    <definedName name="_6C_18" localSheetId="6">[1]Sheet1!#REF!</definedName>
    <definedName name="_6C_18" localSheetId="7">[1]Sheet1!#REF!</definedName>
    <definedName name="_6C_18" localSheetId="8">[1]Sheet1!#REF!</definedName>
    <definedName name="_6C_18" localSheetId="4">[1]Sheet1!#REF!</definedName>
    <definedName name="_6C_18" localSheetId="1">[1]Sheet1!#REF!</definedName>
    <definedName name="_6C_18">[1]Sheet1!#REF!</definedName>
    <definedName name="_6C_19" localSheetId="5">[1]Sheet1!#REF!</definedName>
    <definedName name="_6C_19" localSheetId="3">[1]Sheet1!#REF!</definedName>
    <definedName name="_6C_19" localSheetId="6">[1]Sheet1!#REF!</definedName>
    <definedName name="_6C_19" localSheetId="7">[1]Sheet1!#REF!</definedName>
    <definedName name="_6C_19" localSheetId="8">[1]Sheet1!#REF!</definedName>
    <definedName name="_6C_19" localSheetId="4">[1]Sheet1!#REF!</definedName>
    <definedName name="_6C_19" localSheetId="1">[1]Sheet1!#REF!</definedName>
    <definedName name="_6C_19">[1]Sheet1!#REF!</definedName>
    <definedName name="_6C_2" localSheetId="5">[1]Sheet1!#REF!</definedName>
    <definedName name="_6C_2" localSheetId="3">[1]Sheet1!#REF!</definedName>
    <definedName name="_6C_2" localSheetId="6">[1]Sheet1!#REF!</definedName>
    <definedName name="_6C_2" localSheetId="7">[1]Sheet1!#REF!</definedName>
    <definedName name="_6C_2" localSheetId="8">[1]Sheet1!#REF!</definedName>
    <definedName name="_6C_2" localSheetId="4">[1]Sheet1!#REF!</definedName>
    <definedName name="_6C_2" localSheetId="1">[1]Sheet1!#REF!</definedName>
    <definedName name="_6C_2">[1]Sheet1!#REF!</definedName>
    <definedName name="_6C_20" localSheetId="5">[1]Sheet1!#REF!</definedName>
    <definedName name="_6C_20" localSheetId="3">[1]Sheet1!#REF!</definedName>
    <definedName name="_6C_20" localSheetId="6">[1]Sheet1!#REF!</definedName>
    <definedName name="_6C_20" localSheetId="7">[1]Sheet1!#REF!</definedName>
    <definedName name="_6C_20" localSheetId="8">[1]Sheet1!#REF!</definedName>
    <definedName name="_6C_20" localSheetId="4">[1]Sheet1!#REF!</definedName>
    <definedName name="_6C_20" localSheetId="1">[1]Sheet1!#REF!</definedName>
    <definedName name="_6C_20">[1]Sheet1!#REF!</definedName>
    <definedName name="_6C_21" localSheetId="5">[1]Sheet1!#REF!</definedName>
    <definedName name="_6C_21" localSheetId="3">[1]Sheet1!#REF!</definedName>
    <definedName name="_6C_21" localSheetId="6">[1]Sheet1!#REF!</definedName>
    <definedName name="_6C_21" localSheetId="7">[1]Sheet1!#REF!</definedName>
    <definedName name="_6C_21" localSheetId="8">[1]Sheet1!#REF!</definedName>
    <definedName name="_6C_21" localSheetId="4">[1]Sheet1!#REF!</definedName>
    <definedName name="_6C_21" localSheetId="1">[1]Sheet1!#REF!</definedName>
    <definedName name="_6C_21">[1]Sheet1!#REF!</definedName>
    <definedName name="_6C_22" localSheetId="5">[1]Sheet1!#REF!</definedName>
    <definedName name="_6C_22" localSheetId="3">[1]Sheet1!#REF!</definedName>
    <definedName name="_6C_22" localSheetId="6">[1]Sheet1!#REF!</definedName>
    <definedName name="_6C_22" localSheetId="7">[1]Sheet1!#REF!</definedName>
    <definedName name="_6C_22" localSheetId="8">[1]Sheet1!#REF!</definedName>
    <definedName name="_6C_22" localSheetId="4">[1]Sheet1!#REF!</definedName>
    <definedName name="_6C_22" localSheetId="1">[1]Sheet1!#REF!</definedName>
    <definedName name="_6C_22">[1]Sheet1!#REF!</definedName>
    <definedName name="_6C_23" localSheetId="5">[1]Sheet1!#REF!</definedName>
    <definedName name="_6C_23" localSheetId="3">[1]Sheet1!#REF!</definedName>
    <definedName name="_6C_23" localSheetId="6">[1]Sheet1!#REF!</definedName>
    <definedName name="_6C_23" localSheetId="7">[1]Sheet1!#REF!</definedName>
    <definedName name="_6C_23" localSheetId="8">[1]Sheet1!#REF!</definedName>
    <definedName name="_6C_23" localSheetId="4">[1]Sheet1!#REF!</definedName>
    <definedName name="_6C_23" localSheetId="1">[1]Sheet1!#REF!</definedName>
    <definedName name="_6C_23">[1]Sheet1!#REF!</definedName>
    <definedName name="_6C_24" localSheetId="5">[1]Sheet1!#REF!</definedName>
    <definedName name="_6C_24" localSheetId="3">[1]Sheet1!#REF!</definedName>
    <definedName name="_6C_24" localSheetId="6">[1]Sheet1!#REF!</definedName>
    <definedName name="_6C_24" localSheetId="7">[1]Sheet1!#REF!</definedName>
    <definedName name="_6C_24" localSheetId="8">[1]Sheet1!#REF!</definedName>
    <definedName name="_6C_24" localSheetId="4">[1]Sheet1!#REF!</definedName>
    <definedName name="_6C_24" localSheetId="1">[1]Sheet1!#REF!</definedName>
    <definedName name="_6C_24">[1]Sheet1!#REF!</definedName>
    <definedName name="_6C_25" localSheetId="5">[1]Sheet1!#REF!</definedName>
    <definedName name="_6C_25" localSheetId="3">[1]Sheet1!#REF!</definedName>
    <definedName name="_6C_25" localSheetId="6">[1]Sheet1!#REF!</definedName>
    <definedName name="_6C_25" localSheetId="7">[1]Sheet1!#REF!</definedName>
    <definedName name="_6C_25" localSheetId="8">[1]Sheet1!#REF!</definedName>
    <definedName name="_6C_25" localSheetId="4">[1]Sheet1!#REF!</definedName>
    <definedName name="_6C_25" localSheetId="1">[1]Sheet1!#REF!</definedName>
    <definedName name="_6C_25">[1]Sheet1!#REF!</definedName>
    <definedName name="_6C_26" localSheetId="5">[1]Sheet1!#REF!</definedName>
    <definedName name="_6C_26" localSheetId="3">[1]Sheet1!#REF!</definedName>
    <definedName name="_6C_26" localSheetId="6">[1]Sheet1!#REF!</definedName>
    <definedName name="_6C_26" localSheetId="7">[1]Sheet1!#REF!</definedName>
    <definedName name="_6C_26" localSheetId="8">[1]Sheet1!#REF!</definedName>
    <definedName name="_6C_26" localSheetId="4">[1]Sheet1!#REF!</definedName>
    <definedName name="_6C_26" localSheetId="1">[1]Sheet1!#REF!</definedName>
    <definedName name="_6C_26">[1]Sheet1!#REF!</definedName>
    <definedName name="_6C_27" localSheetId="5">[1]Sheet1!#REF!</definedName>
    <definedName name="_6C_27" localSheetId="3">[1]Sheet1!#REF!</definedName>
    <definedName name="_6C_27" localSheetId="6">[1]Sheet1!#REF!</definedName>
    <definedName name="_6C_27" localSheetId="7">[1]Sheet1!#REF!</definedName>
    <definedName name="_6C_27" localSheetId="8">[1]Sheet1!#REF!</definedName>
    <definedName name="_6C_27" localSheetId="4">[1]Sheet1!#REF!</definedName>
    <definedName name="_6C_27" localSheetId="1">[1]Sheet1!#REF!</definedName>
    <definedName name="_6C_27">[1]Sheet1!#REF!</definedName>
    <definedName name="_6C_28" localSheetId="5">[1]Sheet1!#REF!</definedName>
    <definedName name="_6C_28" localSheetId="3">[1]Sheet1!#REF!</definedName>
    <definedName name="_6C_28" localSheetId="6">[1]Sheet1!#REF!</definedName>
    <definedName name="_6C_28" localSheetId="7">[1]Sheet1!#REF!</definedName>
    <definedName name="_6C_28" localSheetId="8">[1]Sheet1!#REF!</definedName>
    <definedName name="_6C_28" localSheetId="4">[1]Sheet1!#REF!</definedName>
    <definedName name="_6C_28" localSheetId="1">[1]Sheet1!#REF!</definedName>
    <definedName name="_6C_28">[1]Sheet1!#REF!</definedName>
    <definedName name="_6C_29" localSheetId="5">[1]Sheet1!#REF!</definedName>
    <definedName name="_6C_29" localSheetId="3">[1]Sheet1!#REF!</definedName>
    <definedName name="_6C_29" localSheetId="6">[1]Sheet1!#REF!</definedName>
    <definedName name="_6C_29" localSheetId="7">[1]Sheet1!#REF!</definedName>
    <definedName name="_6C_29" localSheetId="8">[1]Sheet1!#REF!</definedName>
    <definedName name="_6C_29" localSheetId="4">[1]Sheet1!#REF!</definedName>
    <definedName name="_6C_29" localSheetId="1">[1]Sheet1!#REF!</definedName>
    <definedName name="_6C_29">[1]Sheet1!#REF!</definedName>
    <definedName name="_6C_3" localSheetId="5">[1]Sheet1!#REF!</definedName>
    <definedName name="_6C_3" localSheetId="3">[1]Sheet1!#REF!</definedName>
    <definedName name="_6C_3" localSheetId="6">[1]Sheet1!#REF!</definedName>
    <definedName name="_6C_3" localSheetId="7">[1]Sheet1!#REF!</definedName>
    <definedName name="_6C_3" localSheetId="8">[1]Sheet1!#REF!</definedName>
    <definedName name="_6C_3" localSheetId="4">[1]Sheet1!#REF!</definedName>
    <definedName name="_6C_3" localSheetId="1">[1]Sheet1!#REF!</definedName>
    <definedName name="_6C_3">[1]Sheet1!#REF!</definedName>
    <definedName name="_6C_30" localSheetId="5">[1]Sheet1!#REF!</definedName>
    <definedName name="_6C_30" localSheetId="3">[1]Sheet1!#REF!</definedName>
    <definedName name="_6C_30" localSheetId="6">[1]Sheet1!#REF!</definedName>
    <definedName name="_6C_30" localSheetId="7">[1]Sheet1!#REF!</definedName>
    <definedName name="_6C_30" localSheetId="8">[1]Sheet1!#REF!</definedName>
    <definedName name="_6C_30" localSheetId="4">[1]Sheet1!#REF!</definedName>
    <definedName name="_6C_30" localSheetId="1">[1]Sheet1!#REF!</definedName>
    <definedName name="_6C_30">[1]Sheet1!#REF!</definedName>
    <definedName name="_6C_4" localSheetId="5">[1]Sheet1!#REF!</definedName>
    <definedName name="_6C_4" localSheetId="3">[1]Sheet1!#REF!</definedName>
    <definedName name="_6C_4" localSheetId="6">[1]Sheet1!#REF!</definedName>
    <definedName name="_6C_4" localSheetId="7">[1]Sheet1!#REF!</definedName>
    <definedName name="_6C_4" localSheetId="8">[1]Sheet1!#REF!</definedName>
    <definedName name="_6C_4" localSheetId="4">[1]Sheet1!#REF!</definedName>
    <definedName name="_6C_4" localSheetId="1">[1]Sheet1!#REF!</definedName>
    <definedName name="_6C_4">[1]Sheet1!#REF!</definedName>
    <definedName name="_6C_5" localSheetId="5">[1]Sheet1!#REF!</definedName>
    <definedName name="_6C_5" localSheetId="3">[1]Sheet1!#REF!</definedName>
    <definedName name="_6C_5" localSheetId="6">[1]Sheet1!#REF!</definedName>
    <definedName name="_6C_5" localSheetId="7">[1]Sheet1!#REF!</definedName>
    <definedName name="_6C_5" localSheetId="8">[1]Sheet1!#REF!</definedName>
    <definedName name="_6C_5" localSheetId="4">[1]Sheet1!#REF!</definedName>
    <definedName name="_6C_5" localSheetId="1">[1]Sheet1!#REF!</definedName>
    <definedName name="_6C_5">[1]Sheet1!#REF!</definedName>
    <definedName name="_6C_6" localSheetId="5">[1]Sheet1!#REF!</definedName>
    <definedName name="_6C_6" localSheetId="3">[1]Sheet1!#REF!</definedName>
    <definedName name="_6C_6" localSheetId="6">[1]Sheet1!#REF!</definedName>
    <definedName name="_6C_6" localSheetId="7">[1]Sheet1!#REF!</definedName>
    <definedName name="_6C_6" localSheetId="8">[1]Sheet1!#REF!</definedName>
    <definedName name="_6C_6" localSheetId="4">[1]Sheet1!#REF!</definedName>
    <definedName name="_6C_6" localSheetId="1">[1]Sheet1!#REF!</definedName>
    <definedName name="_6C_6">[1]Sheet1!#REF!</definedName>
    <definedName name="_6C_7" localSheetId="5">[1]Sheet1!#REF!</definedName>
    <definedName name="_6C_7" localSheetId="3">[1]Sheet1!#REF!</definedName>
    <definedName name="_6C_7" localSheetId="6">[1]Sheet1!#REF!</definedName>
    <definedName name="_6C_7" localSheetId="7">[1]Sheet1!#REF!</definedName>
    <definedName name="_6C_7" localSheetId="8">[1]Sheet1!#REF!</definedName>
    <definedName name="_6C_7" localSheetId="4">[1]Sheet1!#REF!</definedName>
    <definedName name="_6C_7" localSheetId="1">[1]Sheet1!#REF!</definedName>
    <definedName name="_6C_7">[1]Sheet1!#REF!</definedName>
    <definedName name="_6C_8" localSheetId="5">[1]Sheet1!#REF!</definedName>
    <definedName name="_6C_8" localSheetId="3">[1]Sheet1!#REF!</definedName>
    <definedName name="_6C_8" localSheetId="6">[1]Sheet1!#REF!</definedName>
    <definedName name="_6C_8" localSheetId="7">[1]Sheet1!#REF!</definedName>
    <definedName name="_6C_8" localSheetId="8">[1]Sheet1!#REF!</definedName>
    <definedName name="_6C_8" localSheetId="4">[1]Sheet1!#REF!</definedName>
    <definedName name="_6C_8" localSheetId="1">[1]Sheet1!#REF!</definedName>
    <definedName name="_6C_8">[1]Sheet1!#REF!</definedName>
    <definedName name="_6C_9" localSheetId="5">[1]Sheet1!#REF!</definedName>
    <definedName name="_6C_9" localSheetId="3">[1]Sheet1!#REF!</definedName>
    <definedName name="_6C_9" localSheetId="6">[1]Sheet1!#REF!</definedName>
    <definedName name="_6C_9" localSheetId="7">[1]Sheet1!#REF!</definedName>
    <definedName name="_6C_9" localSheetId="8">[1]Sheet1!#REF!</definedName>
    <definedName name="_6C_9" localSheetId="4">[1]Sheet1!#REF!</definedName>
    <definedName name="_6C_9" localSheetId="1">[1]Sheet1!#REF!</definedName>
    <definedName name="_6C_9">[1]Sheet1!#REF!</definedName>
    <definedName name="_6경비" localSheetId="5">'[2]H-PILE 박기'!#REF!</definedName>
    <definedName name="_6경비" localSheetId="3">'[2]H-PILE 박기'!#REF!</definedName>
    <definedName name="_6경비" localSheetId="6">'[2]H-PILE 박기'!#REF!</definedName>
    <definedName name="_6경비" localSheetId="7">'[2]H-PILE 박기'!#REF!</definedName>
    <definedName name="_6경비" localSheetId="8">'[2]H-PILE 박기'!#REF!</definedName>
    <definedName name="_6경비" localSheetId="4">'[2]H-PILE 박기'!#REF!</definedName>
    <definedName name="_6경비" localSheetId="1">'[2]H-PILE 박기'!#REF!</definedName>
    <definedName name="_6경비">'[2]H-PILE 박기'!#REF!</definedName>
    <definedName name="_6노임" localSheetId="5">'[2]H-PILE 박기'!#REF!</definedName>
    <definedName name="_6노임" localSheetId="3">'[2]H-PILE 박기'!#REF!</definedName>
    <definedName name="_6노임" localSheetId="6">'[2]H-PILE 박기'!#REF!</definedName>
    <definedName name="_6노임" localSheetId="7">'[2]H-PILE 박기'!#REF!</definedName>
    <definedName name="_6노임" localSheetId="8">'[2]H-PILE 박기'!#REF!</definedName>
    <definedName name="_6노임" localSheetId="4">'[2]H-PILE 박기'!#REF!</definedName>
    <definedName name="_6노임" localSheetId="1">'[2]H-PILE 박기'!#REF!</definedName>
    <definedName name="_6노임">'[2]H-PILE 박기'!#REF!</definedName>
    <definedName name="_6재료" localSheetId="5">'[2]H-PILE 박기'!#REF!</definedName>
    <definedName name="_6재료" localSheetId="3">'[2]H-PILE 박기'!#REF!</definedName>
    <definedName name="_6재료" localSheetId="6">'[2]H-PILE 박기'!#REF!</definedName>
    <definedName name="_6재료" localSheetId="7">'[2]H-PILE 박기'!#REF!</definedName>
    <definedName name="_6재료" localSheetId="8">'[2]H-PILE 박기'!#REF!</definedName>
    <definedName name="_6재료" localSheetId="4">'[2]H-PILE 박기'!#REF!</definedName>
    <definedName name="_6재료" localSheetId="1">'[2]H-PILE 박기'!#REF!</definedName>
    <definedName name="_6재료">'[2]H-PILE 박기'!#REF!</definedName>
    <definedName name="_7A_1" localSheetId="5">[1]Sheet1!#REF!</definedName>
    <definedName name="_7A_1" localSheetId="3">[1]Sheet1!#REF!</definedName>
    <definedName name="_7A_1" localSheetId="6">[1]Sheet1!#REF!</definedName>
    <definedName name="_7A_1" localSheetId="7">[1]Sheet1!#REF!</definedName>
    <definedName name="_7A_1" localSheetId="8">[1]Sheet1!#REF!</definedName>
    <definedName name="_7A_1" localSheetId="4">[1]Sheet1!#REF!</definedName>
    <definedName name="_7A_1" localSheetId="1">[1]Sheet1!#REF!</definedName>
    <definedName name="_7A_1">[1]Sheet1!#REF!</definedName>
    <definedName name="_7A_10" localSheetId="5">[1]Sheet1!#REF!</definedName>
    <definedName name="_7A_10" localSheetId="3">[1]Sheet1!#REF!</definedName>
    <definedName name="_7A_10" localSheetId="6">[1]Sheet1!#REF!</definedName>
    <definedName name="_7A_10" localSheetId="7">[1]Sheet1!#REF!</definedName>
    <definedName name="_7A_10" localSheetId="8">[1]Sheet1!#REF!</definedName>
    <definedName name="_7A_10" localSheetId="4">[1]Sheet1!#REF!</definedName>
    <definedName name="_7A_10" localSheetId="1">[1]Sheet1!#REF!</definedName>
    <definedName name="_7A_10">[1]Sheet1!#REF!</definedName>
    <definedName name="_7A_11" localSheetId="5">[1]Sheet1!#REF!</definedName>
    <definedName name="_7A_11" localSheetId="3">[1]Sheet1!#REF!</definedName>
    <definedName name="_7A_11" localSheetId="6">[1]Sheet1!#REF!</definedName>
    <definedName name="_7A_11" localSheetId="7">[1]Sheet1!#REF!</definedName>
    <definedName name="_7A_11" localSheetId="8">[1]Sheet1!#REF!</definedName>
    <definedName name="_7A_11" localSheetId="4">[1]Sheet1!#REF!</definedName>
    <definedName name="_7A_11" localSheetId="1">[1]Sheet1!#REF!</definedName>
    <definedName name="_7A_11">[1]Sheet1!#REF!</definedName>
    <definedName name="_7A_12" localSheetId="5">[1]Sheet1!#REF!</definedName>
    <definedName name="_7A_12" localSheetId="3">[1]Sheet1!#REF!</definedName>
    <definedName name="_7A_12" localSheetId="6">[1]Sheet1!#REF!</definedName>
    <definedName name="_7A_12" localSheetId="7">[1]Sheet1!#REF!</definedName>
    <definedName name="_7A_12" localSheetId="8">[1]Sheet1!#REF!</definedName>
    <definedName name="_7A_12" localSheetId="4">[1]Sheet1!#REF!</definedName>
    <definedName name="_7A_12" localSheetId="1">[1]Sheet1!#REF!</definedName>
    <definedName name="_7A_12">[1]Sheet1!#REF!</definedName>
    <definedName name="_7A_13" localSheetId="5">[1]Sheet1!#REF!</definedName>
    <definedName name="_7A_13" localSheetId="3">[1]Sheet1!#REF!</definedName>
    <definedName name="_7A_13" localSheetId="6">[1]Sheet1!#REF!</definedName>
    <definedName name="_7A_13" localSheetId="7">[1]Sheet1!#REF!</definedName>
    <definedName name="_7A_13" localSheetId="8">[1]Sheet1!#REF!</definedName>
    <definedName name="_7A_13" localSheetId="4">[1]Sheet1!#REF!</definedName>
    <definedName name="_7A_13" localSheetId="1">[1]Sheet1!#REF!</definedName>
    <definedName name="_7A_13">[1]Sheet1!#REF!</definedName>
    <definedName name="_7A_14" localSheetId="5">[1]Sheet1!#REF!</definedName>
    <definedName name="_7A_14" localSheetId="3">[1]Sheet1!#REF!</definedName>
    <definedName name="_7A_14" localSheetId="6">[1]Sheet1!#REF!</definedName>
    <definedName name="_7A_14" localSheetId="7">[1]Sheet1!#REF!</definedName>
    <definedName name="_7A_14" localSheetId="8">[1]Sheet1!#REF!</definedName>
    <definedName name="_7A_14" localSheetId="4">[1]Sheet1!#REF!</definedName>
    <definedName name="_7A_14" localSheetId="1">[1]Sheet1!#REF!</definedName>
    <definedName name="_7A_14">[1]Sheet1!#REF!</definedName>
    <definedName name="_7A_15" localSheetId="5">[1]Sheet1!#REF!</definedName>
    <definedName name="_7A_15" localSheetId="3">[1]Sheet1!#REF!</definedName>
    <definedName name="_7A_15" localSheetId="6">[1]Sheet1!#REF!</definedName>
    <definedName name="_7A_15" localSheetId="7">[1]Sheet1!#REF!</definedName>
    <definedName name="_7A_15" localSheetId="8">[1]Sheet1!#REF!</definedName>
    <definedName name="_7A_15" localSheetId="4">[1]Sheet1!#REF!</definedName>
    <definedName name="_7A_15" localSheetId="1">[1]Sheet1!#REF!</definedName>
    <definedName name="_7A_15">[1]Sheet1!#REF!</definedName>
    <definedName name="_7A_16" localSheetId="5">[1]Sheet1!#REF!</definedName>
    <definedName name="_7A_16" localSheetId="3">[1]Sheet1!#REF!</definedName>
    <definedName name="_7A_16" localSheetId="6">[1]Sheet1!#REF!</definedName>
    <definedName name="_7A_16" localSheetId="7">[1]Sheet1!#REF!</definedName>
    <definedName name="_7A_16" localSheetId="8">[1]Sheet1!#REF!</definedName>
    <definedName name="_7A_16" localSheetId="4">[1]Sheet1!#REF!</definedName>
    <definedName name="_7A_16" localSheetId="1">[1]Sheet1!#REF!</definedName>
    <definedName name="_7A_16">[1]Sheet1!#REF!</definedName>
    <definedName name="_7A_17" localSheetId="5">[1]Sheet1!#REF!</definedName>
    <definedName name="_7A_17" localSheetId="3">[1]Sheet1!#REF!</definedName>
    <definedName name="_7A_17" localSheetId="6">[1]Sheet1!#REF!</definedName>
    <definedName name="_7A_17" localSheetId="7">[1]Sheet1!#REF!</definedName>
    <definedName name="_7A_17" localSheetId="8">[1]Sheet1!#REF!</definedName>
    <definedName name="_7A_17" localSheetId="4">[1]Sheet1!#REF!</definedName>
    <definedName name="_7A_17" localSheetId="1">[1]Sheet1!#REF!</definedName>
    <definedName name="_7A_17">[1]Sheet1!#REF!</definedName>
    <definedName name="_7A_18" localSheetId="5">[1]Sheet1!#REF!</definedName>
    <definedName name="_7A_18" localSheetId="3">[1]Sheet1!#REF!</definedName>
    <definedName name="_7A_18" localSheetId="6">[1]Sheet1!#REF!</definedName>
    <definedName name="_7A_18" localSheetId="7">[1]Sheet1!#REF!</definedName>
    <definedName name="_7A_18" localSheetId="8">[1]Sheet1!#REF!</definedName>
    <definedName name="_7A_18" localSheetId="4">[1]Sheet1!#REF!</definedName>
    <definedName name="_7A_18" localSheetId="1">[1]Sheet1!#REF!</definedName>
    <definedName name="_7A_18">[1]Sheet1!#REF!</definedName>
    <definedName name="_7A_19" localSheetId="5">[1]Sheet1!#REF!</definedName>
    <definedName name="_7A_19" localSheetId="3">[1]Sheet1!#REF!</definedName>
    <definedName name="_7A_19" localSheetId="6">[1]Sheet1!#REF!</definedName>
    <definedName name="_7A_19" localSheetId="7">[1]Sheet1!#REF!</definedName>
    <definedName name="_7A_19" localSheetId="8">[1]Sheet1!#REF!</definedName>
    <definedName name="_7A_19" localSheetId="4">[1]Sheet1!#REF!</definedName>
    <definedName name="_7A_19" localSheetId="1">[1]Sheet1!#REF!</definedName>
    <definedName name="_7A_19">[1]Sheet1!#REF!</definedName>
    <definedName name="_7A_2" localSheetId="5">[1]Sheet1!#REF!</definedName>
    <definedName name="_7A_2" localSheetId="3">[1]Sheet1!#REF!</definedName>
    <definedName name="_7A_2" localSheetId="6">[1]Sheet1!#REF!</definedName>
    <definedName name="_7A_2" localSheetId="7">[1]Sheet1!#REF!</definedName>
    <definedName name="_7A_2" localSheetId="8">[1]Sheet1!#REF!</definedName>
    <definedName name="_7A_2" localSheetId="4">[1]Sheet1!#REF!</definedName>
    <definedName name="_7A_2" localSheetId="1">[1]Sheet1!#REF!</definedName>
    <definedName name="_7A_2">[1]Sheet1!#REF!</definedName>
    <definedName name="_7A_20" localSheetId="5">[1]Sheet1!#REF!</definedName>
    <definedName name="_7A_20" localSheetId="3">[1]Sheet1!#REF!</definedName>
    <definedName name="_7A_20" localSheetId="6">[1]Sheet1!#REF!</definedName>
    <definedName name="_7A_20" localSheetId="7">[1]Sheet1!#REF!</definedName>
    <definedName name="_7A_20" localSheetId="8">[1]Sheet1!#REF!</definedName>
    <definedName name="_7A_20" localSheetId="4">[1]Sheet1!#REF!</definedName>
    <definedName name="_7A_20" localSheetId="1">[1]Sheet1!#REF!</definedName>
    <definedName name="_7A_20">[1]Sheet1!#REF!</definedName>
    <definedName name="_7A_21" localSheetId="5">[1]Sheet1!#REF!</definedName>
    <definedName name="_7A_21" localSheetId="3">[1]Sheet1!#REF!</definedName>
    <definedName name="_7A_21" localSheetId="6">[1]Sheet1!#REF!</definedName>
    <definedName name="_7A_21" localSheetId="7">[1]Sheet1!#REF!</definedName>
    <definedName name="_7A_21" localSheetId="8">[1]Sheet1!#REF!</definedName>
    <definedName name="_7A_21" localSheetId="4">[1]Sheet1!#REF!</definedName>
    <definedName name="_7A_21" localSheetId="1">[1]Sheet1!#REF!</definedName>
    <definedName name="_7A_21">[1]Sheet1!#REF!</definedName>
    <definedName name="_7A_22" localSheetId="5">[1]Sheet1!#REF!</definedName>
    <definedName name="_7A_22" localSheetId="3">[1]Sheet1!#REF!</definedName>
    <definedName name="_7A_22" localSheetId="6">[1]Sheet1!#REF!</definedName>
    <definedName name="_7A_22" localSheetId="7">[1]Sheet1!#REF!</definedName>
    <definedName name="_7A_22" localSheetId="8">[1]Sheet1!#REF!</definedName>
    <definedName name="_7A_22" localSheetId="4">[1]Sheet1!#REF!</definedName>
    <definedName name="_7A_22" localSheetId="1">[1]Sheet1!#REF!</definedName>
    <definedName name="_7A_22">[1]Sheet1!#REF!</definedName>
    <definedName name="_7A_23" localSheetId="5">[1]Sheet1!#REF!</definedName>
    <definedName name="_7A_23" localSheetId="3">[1]Sheet1!#REF!</definedName>
    <definedName name="_7A_23" localSheetId="6">[1]Sheet1!#REF!</definedName>
    <definedName name="_7A_23" localSheetId="7">[1]Sheet1!#REF!</definedName>
    <definedName name="_7A_23" localSheetId="8">[1]Sheet1!#REF!</definedName>
    <definedName name="_7A_23" localSheetId="4">[1]Sheet1!#REF!</definedName>
    <definedName name="_7A_23" localSheetId="1">[1]Sheet1!#REF!</definedName>
    <definedName name="_7A_23">[1]Sheet1!#REF!</definedName>
    <definedName name="_7A_24" localSheetId="5">[1]Sheet1!#REF!</definedName>
    <definedName name="_7A_24" localSheetId="3">[1]Sheet1!#REF!</definedName>
    <definedName name="_7A_24" localSheetId="6">[1]Sheet1!#REF!</definedName>
    <definedName name="_7A_24" localSheetId="7">[1]Sheet1!#REF!</definedName>
    <definedName name="_7A_24" localSheetId="8">[1]Sheet1!#REF!</definedName>
    <definedName name="_7A_24" localSheetId="4">[1]Sheet1!#REF!</definedName>
    <definedName name="_7A_24" localSheetId="1">[1]Sheet1!#REF!</definedName>
    <definedName name="_7A_24">[1]Sheet1!#REF!</definedName>
    <definedName name="_7A_25" localSheetId="5">[1]Sheet1!#REF!</definedName>
    <definedName name="_7A_25" localSheetId="3">[1]Sheet1!#REF!</definedName>
    <definedName name="_7A_25" localSheetId="6">[1]Sheet1!#REF!</definedName>
    <definedName name="_7A_25" localSheetId="7">[1]Sheet1!#REF!</definedName>
    <definedName name="_7A_25" localSheetId="8">[1]Sheet1!#REF!</definedName>
    <definedName name="_7A_25" localSheetId="4">[1]Sheet1!#REF!</definedName>
    <definedName name="_7A_25" localSheetId="1">[1]Sheet1!#REF!</definedName>
    <definedName name="_7A_25">[1]Sheet1!#REF!</definedName>
    <definedName name="_7A_26" localSheetId="5">[1]Sheet1!#REF!</definedName>
    <definedName name="_7A_26" localSheetId="3">[1]Sheet1!#REF!</definedName>
    <definedName name="_7A_26" localSheetId="6">[1]Sheet1!#REF!</definedName>
    <definedName name="_7A_26" localSheetId="7">[1]Sheet1!#REF!</definedName>
    <definedName name="_7A_26" localSheetId="8">[1]Sheet1!#REF!</definedName>
    <definedName name="_7A_26" localSheetId="4">[1]Sheet1!#REF!</definedName>
    <definedName name="_7A_26" localSheetId="1">[1]Sheet1!#REF!</definedName>
    <definedName name="_7A_26">[1]Sheet1!#REF!</definedName>
    <definedName name="_7A_27" localSheetId="5">[1]Sheet1!#REF!</definedName>
    <definedName name="_7A_27" localSheetId="3">[1]Sheet1!#REF!</definedName>
    <definedName name="_7A_27" localSheetId="6">[1]Sheet1!#REF!</definedName>
    <definedName name="_7A_27" localSheetId="7">[1]Sheet1!#REF!</definedName>
    <definedName name="_7A_27" localSheetId="8">[1]Sheet1!#REF!</definedName>
    <definedName name="_7A_27" localSheetId="4">[1]Sheet1!#REF!</definedName>
    <definedName name="_7A_27" localSheetId="1">[1]Sheet1!#REF!</definedName>
    <definedName name="_7A_27">[1]Sheet1!#REF!</definedName>
    <definedName name="_7A_28" localSheetId="5">[1]Sheet1!#REF!</definedName>
    <definedName name="_7A_28" localSheetId="3">[1]Sheet1!#REF!</definedName>
    <definedName name="_7A_28" localSheetId="6">[1]Sheet1!#REF!</definedName>
    <definedName name="_7A_28" localSheetId="7">[1]Sheet1!#REF!</definedName>
    <definedName name="_7A_28" localSheetId="8">[1]Sheet1!#REF!</definedName>
    <definedName name="_7A_28" localSheetId="4">[1]Sheet1!#REF!</definedName>
    <definedName name="_7A_28" localSheetId="1">[1]Sheet1!#REF!</definedName>
    <definedName name="_7A_28">[1]Sheet1!#REF!</definedName>
    <definedName name="_7A_29" localSheetId="5">[1]Sheet1!#REF!</definedName>
    <definedName name="_7A_29" localSheetId="3">[1]Sheet1!#REF!</definedName>
    <definedName name="_7A_29" localSheetId="6">[1]Sheet1!#REF!</definedName>
    <definedName name="_7A_29" localSheetId="7">[1]Sheet1!#REF!</definedName>
    <definedName name="_7A_29" localSheetId="8">[1]Sheet1!#REF!</definedName>
    <definedName name="_7A_29" localSheetId="4">[1]Sheet1!#REF!</definedName>
    <definedName name="_7A_29" localSheetId="1">[1]Sheet1!#REF!</definedName>
    <definedName name="_7A_29">[1]Sheet1!#REF!</definedName>
    <definedName name="_7A_3" localSheetId="5">[1]Sheet1!#REF!</definedName>
    <definedName name="_7A_3" localSheetId="3">[1]Sheet1!#REF!</definedName>
    <definedName name="_7A_3" localSheetId="6">[1]Sheet1!#REF!</definedName>
    <definedName name="_7A_3" localSheetId="7">[1]Sheet1!#REF!</definedName>
    <definedName name="_7A_3" localSheetId="8">[1]Sheet1!#REF!</definedName>
    <definedName name="_7A_3" localSheetId="4">[1]Sheet1!#REF!</definedName>
    <definedName name="_7A_3" localSheetId="1">[1]Sheet1!#REF!</definedName>
    <definedName name="_7A_3">[1]Sheet1!#REF!</definedName>
    <definedName name="_7A_30" localSheetId="5">[1]Sheet1!#REF!</definedName>
    <definedName name="_7A_30" localSheetId="3">[1]Sheet1!#REF!</definedName>
    <definedName name="_7A_30" localSheetId="6">[1]Sheet1!#REF!</definedName>
    <definedName name="_7A_30" localSheetId="7">[1]Sheet1!#REF!</definedName>
    <definedName name="_7A_30" localSheetId="8">[1]Sheet1!#REF!</definedName>
    <definedName name="_7A_30" localSheetId="4">[1]Sheet1!#REF!</definedName>
    <definedName name="_7A_30" localSheetId="1">[1]Sheet1!#REF!</definedName>
    <definedName name="_7A_30">[1]Sheet1!#REF!</definedName>
    <definedName name="_7A_4" localSheetId="5">[1]Sheet1!#REF!</definedName>
    <definedName name="_7A_4" localSheetId="3">[1]Sheet1!#REF!</definedName>
    <definedName name="_7A_4" localSheetId="6">[1]Sheet1!#REF!</definedName>
    <definedName name="_7A_4" localSheetId="7">[1]Sheet1!#REF!</definedName>
    <definedName name="_7A_4" localSheetId="8">[1]Sheet1!#REF!</definedName>
    <definedName name="_7A_4" localSheetId="4">[1]Sheet1!#REF!</definedName>
    <definedName name="_7A_4" localSheetId="1">[1]Sheet1!#REF!</definedName>
    <definedName name="_7A_4">[1]Sheet1!#REF!</definedName>
    <definedName name="_7A_5" localSheetId="5">[1]Sheet1!#REF!</definedName>
    <definedName name="_7A_5" localSheetId="3">[1]Sheet1!#REF!</definedName>
    <definedName name="_7A_5" localSheetId="6">[1]Sheet1!#REF!</definedName>
    <definedName name="_7A_5" localSheetId="7">[1]Sheet1!#REF!</definedName>
    <definedName name="_7A_5" localSheetId="8">[1]Sheet1!#REF!</definedName>
    <definedName name="_7A_5" localSheetId="4">[1]Sheet1!#REF!</definedName>
    <definedName name="_7A_5" localSheetId="1">[1]Sheet1!#REF!</definedName>
    <definedName name="_7A_5">[1]Sheet1!#REF!</definedName>
    <definedName name="_7A_6" localSheetId="5">[1]Sheet1!#REF!</definedName>
    <definedName name="_7A_6" localSheetId="3">[1]Sheet1!#REF!</definedName>
    <definedName name="_7A_6" localSheetId="6">[1]Sheet1!#REF!</definedName>
    <definedName name="_7A_6" localSheetId="7">[1]Sheet1!#REF!</definedName>
    <definedName name="_7A_6" localSheetId="8">[1]Sheet1!#REF!</definedName>
    <definedName name="_7A_6" localSheetId="4">[1]Sheet1!#REF!</definedName>
    <definedName name="_7A_6" localSheetId="1">[1]Sheet1!#REF!</definedName>
    <definedName name="_7A_6">[1]Sheet1!#REF!</definedName>
    <definedName name="_7A_7" localSheetId="5">[1]Sheet1!#REF!</definedName>
    <definedName name="_7A_7" localSheetId="3">[1]Sheet1!#REF!</definedName>
    <definedName name="_7A_7" localSheetId="6">[1]Sheet1!#REF!</definedName>
    <definedName name="_7A_7" localSheetId="7">[1]Sheet1!#REF!</definedName>
    <definedName name="_7A_7" localSheetId="8">[1]Sheet1!#REF!</definedName>
    <definedName name="_7A_7" localSheetId="4">[1]Sheet1!#REF!</definedName>
    <definedName name="_7A_7" localSheetId="1">[1]Sheet1!#REF!</definedName>
    <definedName name="_7A_7">[1]Sheet1!#REF!</definedName>
    <definedName name="_7A_8" localSheetId="5">[1]Sheet1!#REF!</definedName>
    <definedName name="_7A_8" localSheetId="3">[1]Sheet1!#REF!</definedName>
    <definedName name="_7A_8" localSheetId="6">[1]Sheet1!#REF!</definedName>
    <definedName name="_7A_8" localSheetId="7">[1]Sheet1!#REF!</definedName>
    <definedName name="_7A_8" localSheetId="8">[1]Sheet1!#REF!</definedName>
    <definedName name="_7A_8" localSheetId="4">[1]Sheet1!#REF!</definedName>
    <definedName name="_7A_8" localSheetId="1">[1]Sheet1!#REF!</definedName>
    <definedName name="_7A_8">[1]Sheet1!#REF!</definedName>
    <definedName name="_7A_9" localSheetId="5">[1]Sheet1!#REF!</definedName>
    <definedName name="_7A_9" localSheetId="3">[1]Sheet1!#REF!</definedName>
    <definedName name="_7A_9" localSheetId="6">[1]Sheet1!#REF!</definedName>
    <definedName name="_7A_9" localSheetId="7">[1]Sheet1!#REF!</definedName>
    <definedName name="_7A_9" localSheetId="8">[1]Sheet1!#REF!</definedName>
    <definedName name="_7A_9" localSheetId="4">[1]Sheet1!#REF!</definedName>
    <definedName name="_7A_9" localSheetId="1">[1]Sheet1!#REF!</definedName>
    <definedName name="_7A_9">[1]Sheet1!#REF!</definedName>
    <definedName name="_7B_1" localSheetId="5">[1]Sheet1!#REF!</definedName>
    <definedName name="_7B_1" localSheetId="3">[1]Sheet1!#REF!</definedName>
    <definedName name="_7B_1" localSheetId="6">[1]Sheet1!#REF!</definedName>
    <definedName name="_7B_1" localSheetId="7">[1]Sheet1!#REF!</definedName>
    <definedName name="_7B_1" localSheetId="8">[1]Sheet1!#REF!</definedName>
    <definedName name="_7B_1" localSheetId="4">[1]Sheet1!#REF!</definedName>
    <definedName name="_7B_1" localSheetId="1">[1]Sheet1!#REF!</definedName>
    <definedName name="_7B_1">[1]Sheet1!#REF!</definedName>
    <definedName name="_7B_10" localSheetId="5">[1]Sheet1!#REF!</definedName>
    <definedName name="_7B_10" localSheetId="3">[1]Sheet1!#REF!</definedName>
    <definedName name="_7B_10" localSheetId="6">[1]Sheet1!#REF!</definedName>
    <definedName name="_7B_10" localSheetId="7">[1]Sheet1!#REF!</definedName>
    <definedName name="_7B_10" localSheetId="8">[1]Sheet1!#REF!</definedName>
    <definedName name="_7B_10" localSheetId="4">[1]Sheet1!#REF!</definedName>
    <definedName name="_7B_10" localSheetId="1">[1]Sheet1!#REF!</definedName>
    <definedName name="_7B_10">[1]Sheet1!#REF!</definedName>
    <definedName name="_7B_11" localSheetId="5">[1]Sheet1!#REF!</definedName>
    <definedName name="_7B_11" localSheetId="3">[1]Sheet1!#REF!</definedName>
    <definedName name="_7B_11" localSheetId="6">[1]Sheet1!#REF!</definedName>
    <definedName name="_7B_11" localSheetId="7">[1]Sheet1!#REF!</definedName>
    <definedName name="_7B_11" localSheetId="8">[1]Sheet1!#REF!</definedName>
    <definedName name="_7B_11" localSheetId="4">[1]Sheet1!#REF!</definedName>
    <definedName name="_7B_11" localSheetId="1">[1]Sheet1!#REF!</definedName>
    <definedName name="_7B_11">[1]Sheet1!#REF!</definedName>
    <definedName name="_7B_12" localSheetId="5">[1]Sheet1!#REF!</definedName>
    <definedName name="_7B_12" localSheetId="3">[1]Sheet1!#REF!</definedName>
    <definedName name="_7B_12" localSheetId="6">[1]Sheet1!#REF!</definedName>
    <definedName name="_7B_12" localSheetId="7">[1]Sheet1!#REF!</definedName>
    <definedName name="_7B_12" localSheetId="8">[1]Sheet1!#REF!</definedName>
    <definedName name="_7B_12" localSheetId="4">[1]Sheet1!#REF!</definedName>
    <definedName name="_7B_12" localSheetId="1">[1]Sheet1!#REF!</definedName>
    <definedName name="_7B_12">[1]Sheet1!#REF!</definedName>
    <definedName name="_7B_13" localSheetId="5">[1]Sheet1!#REF!</definedName>
    <definedName name="_7B_13" localSheetId="3">[1]Sheet1!#REF!</definedName>
    <definedName name="_7B_13" localSheetId="6">[1]Sheet1!#REF!</definedName>
    <definedName name="_7B_13" localSheetId="7">[1]Sheet1!#REF!</definedName>
    <definedName name="_7B_13" localSheetId="8">[1]Sheet1!#REF!</definedName>
    <definedName name="_7B_13" localSheetId="4">[1]Sheet1!#REF!</definedName>
    <definedName name="_7B_13" localSheetId="1">[1]Sheet1!#REF!</definedName>
    <definedName name="_7B_13">[1]Sheet1!#REF!</definedName>
    <definedName name="_7B_14" localSheetId="5">[1]Sheet1!#REF!</definedName>
    <definedName name="_7B_14" localSheetId="3">[1]Sheet1!#REF!</definedName>
    <definedName name="_7B_14" localSheetId="6">[1]Sheet1!#REF!</definedName>
    <definedName name="_7B_14" localSheetId="7">[1]Sheet1!#REF!</definedName>
    <definedName name="_7B_14" localSheetId="8">[1]Sheet1!#REF!</definedName>
    <definedName name="_7B_14" localSheetId="4">[1]Sheet1!#REF!</definedName>
    <definedName name="_7B_14" localSheetId="1">[1]Sheet1!#REF!</definedName>
    <definedName name="_7B_14">[1]Sheet1!#REF!</definedName>
    <definedName name="_7B_15" localSheetId="5">[1]Sheet1!#REF!</definedName>
    <definedName name="_7B_15" localSheetId="3">[1]Sheet1!#REF!</definedName>
    <definedName name="_7B_15" localSheetId="6">[1]Sheet1!#REF!</definedName>
    <definedName name="_7B_15" localSheetId="7">[1]Sheet1!#REF!</definedName>
    <definedName name="_7B_15" localSheetId="8">[1]Sheet1!#REF!</definedName>
    <definedName name="_7B_15" localSheetId="4">[1]Sheet1!#REF!</definedName>
    <definedName name="_7B_15" localSheetId="1">[1]Sheet1!#REF!</definedName>
    <definedName name="_7B_15">[1]Sheet1!#REF!</definedName>
    <definedName name="_7B_16" localSheetId="5">[1]Sheet1!#REF!</definedName>
    <definedName name="_7B_16" localSheetId="3">[1]Sheet1!#REF!</definedName>
    <definedName name="_7B_16" localSheetId="6">[1]Sheet1!#REF!</definedName>
    <definedName name="_7B_16" localSheetId="7">[1]Sheet1!#REF!</definedName>
    <definedName name="_7B_16" localSheetId="8">[1]Sheet1!#REF!</definedName>
    <definedName name="_7B_16" localSheetId="4">[1]Sheet1!#REF!</definedName>
    <definedName name="_7B_16" localSheetId="1">[1]Sheet1!#REF!</definedName>
    <definedName name="_7B_16">[1]Sheet1!#REF!</definedName>
    <definedName name="_7B_17" localSheetId="5">[1]Sheet1!#REF!</definedName>
    <definedName name="_7B_17" localSheetId="3">[1]Sheet1!#REF!</definedName>
    <definedName name="_7B_17" localSheetId="6">[1]Sheet1!#REF!</definedName>
    <definedName name="_7B_17" localSheetId="7">[1]Sheet1!#REF!</definedName>
    <definedName name="_7B_17" localSheetId="8">[1]Sheet1!#REF!</definedName>
    <definedName name="_7B_17" localSheetId="4">[1]Sheet1!#REF!</definedName>
    <definedName name="_7B_17" localSheetId="1">[1]Sheet1!#REF!</definedName>
    <definedName name="_7B_17">[1]Sheet1!#REF!</definedName>
    <definedName name="_7B_18" localSheetId="5">[1]Sheet1!#REF!</definedName>
    <definedName name="_7B_18" localSheetId="3">[1]Sheet1!#REF!</definedName>
    <definedName name="_7B_18" localSheetId="6">[1]Sheet1!#REF!</definedName>
    <definedName name="_7B_18" localSheetId="7">[1]Sheet1!#REF!</definedName>
    <definedName name="_7B_18" localSheetId="8">[1]Sheet1!#REF!</definedName>
    <definedName name="_7B_18" localSheetId="4">[1]Sheet1!#REF!</definedName>
    <definedName name="_7B_18" localSheetId="1">[1]Sheet1!#REF!</definedName>
    <definedName name="_7B_18">[1]Sheet1!#REF!</definedName>
    <definedName name="_7B_19" localSheetId="5">[1]Sheet1!#REF!</definedName>
    <definedName name="_7B_19" localSheetId="3">[1]Sheet1!#REF!</definedName>
    <definedName name="_7B_19" localSheetId="6">[1]Sheet1!#REF!</definedName>
    <definedName name="_7B_19" localSheetId="7">[1]Sheet1!#REF!</definedName>
    <definedName name="_7B_19" localSheetId="8">[1]Sheet1!#REF!</definedName>
    <definedName name="_7B_19" localSheetId="4">[1]Sheet1!#REF!</definedName>
    <definedName name="_7B_19" localSheetId="1">[1]Sheet1!#REF!</definedName>
    <definedName name="_7B_19">[1]Sheet1!#REF!</definedName>
    <definedName name="_7B_2" localSheetId="5">[1]Sheet1!#REF!</definedName>
    <definedName name="_7B_2" localSheetId="3">[1]Sheet1!#REF!</definedName>
    <definedName name="_7B_2" localSheetId="6">[1]Sheet1!#REF!</definedName>
    <definedName name="_7B_2" localSheetId="7">[1]Sheet1!#REF!</definedName>
    <definedName name="_7B_2" localSheetId="8">[1]Sheet1!#REF!</definedName>
    <definedName name="_7B_2" localSheetId="4">[1]Sheet1!#REF!</definedName>
    <definedName name="_7B_2" localSheetId="1">[1]Sheet1!#REF!</definedName>
    <definedName name="_7B_2">[1]Sheet1!#REF!</definedName>
    <definedName name="_7B_20" localSheetId="5">[1]Sheet1!#REF!</definedName>
    <definedName name="_7B_20" localSheetId="3">[1]Sheet1!#REF!</definedName>
    <definedName name="_7B_20" localSheetId="6">[1]Sheet1!#REF!</definedName>
    <definedName name="_7B_20" localSheetId="7">[1]Sheet1!#REF!</definedName>
    <definedName name="_7B_20" localSheetId="8">[1]Sheet1!#REF!</definedName>
    <definedName name="_7B_20" localSheetId="4">[1]Sheet1!#REF!</definedName>
    <definedName name="_7B_20" localSheetId="1">[1]Sheet1!#REF!</definedName>
    <definedName name="_7B_20">[1]Sheet1!#REF!</definedName>
    <definedName name="_7B_21" localSheetId="5">[1]Sheet1!#REF!</definedName>
    <definedName name="_7B_21" localSheetId="3">[1]Sheet1!#REF!</definedName>
    <definedName name="_7B_21" localSheetId="6">[1]Sheet1!#REF!</definedName>
    <definedName name="_7B_21" localSheetId="7">[1]Sheet1!#REF!</definedName>
    <definedName name="_7B_21" localSheetId="8">[1]Sheet1!#REF!</definedName>
    <definedName name="_7B_21" localSheetId="4">[1]Sheet1!#REF!</definedName>
    <definedName name="_7B_21" localSheetId="1">[1]Sheet1!#REF!</definedName>
    <definedName name="_7B_21">[1]Sheet1!#REF!</definedName>
    <definedName name="_7B_22" localSheetId="5">[1]Sheet1!#REF!</definedName>
    <definedName name="_7B_22" localSheetId="3">[1]Sheet1!#REF!</definedName>
    <definedName name="_7B_22" localSheetId="6">[1]Sheet1!#REF!</definedName>
    <definedName name="_7B_22" localSheetId="7">[1]Sheet1!#REF!</definedName>
    <definedName name="_7B_22" localSheetId="8">[1]Sheet1!#REF!</definedName>
    <definedName name="_7B_22" localSheetId="4">[1]Sheet1!#REF!</definedName>
    <definedName name="_7B_22" localSheetId="1">[1]Sheet1!#REF!</definedName>
    <definedName name="_7B_22">[1]Sheet1!#REF!</definedName>
    <definedName name="_7B_23" localSheetId="5">[1]Sheet1!#REF!</definedName>
    <definedName name="_7B_23" localSheetId="3">[1]Sheet1!#REF!</definedName>
    <definedName name="_7B_23" localSheetId="6">[1]Sheet1!#REF!</definedName>
    <definedName name="_7B_23" localSheetId="7">[1]Sheet1!#REF!</definedName>
    <definedName name="_7B_23" localSheetId="8">[1]Sheet1!#REF!</definedName>
    <definedName name="_7B_23" localSheetId="4">[1]Sheet1!#REF!</definedName>
    <definedName name="_7B_23" localSheetId="1">[1]Sheet1!#REF!</definedName>
    <definedName name="_7B_23">[1]Sheet1!#REF!</definedName>
    <definedName name="_7B_24" localSheetId="5">[1]Sheet1!#REF!</definedName>
    <definedName name="_7B_24" localSheetId="3">[1]Sheet1!#REF!</definedName>
    <definedName name="_7B_24" localSheetId="6">[1]Sheet1!#REF!</definedName>
    <definedName name="_7B_24" localSheetId="7">[1]Sheet1!#REF!</definedName>
    <definedName name="_7B_24" localSheetId="8">[1]Sheet1!#REF!</definedName>
    <definedName name="_7B_24" localSheetId="4">[1]Sheet1!#REF!</definedName>
    <definedName name="_7B_24" localSheetId="1">[1]Sheet1!#REF!</definedName>
    <definedName name="_7B_24">[1]Sheet1!#REF!</definedName>
    <definedName name="_7B_25" localSheetId="5">[1]Sheet1!#REF!</definedName>
    <definedName name="_7B_25" localSheetId="3">[1]Sheet1!#REF!</definedName>
    <definedName name="_7B_25" localSheetId="6">[1]Sheet1!#REF!</definedName>
    <definedName name="_7B_25" localSheetId="7">[1]Sheet1!#REF!</definedName>
    <definedName name="_7B_25" localSheetId="8">[1]Sheet1!#REF!</definedName>
    <definedName name="_7B_25" localSheetId="4">[1]Sheet1!#REF!</definedName>
    <definedName name="_7B_25" localSheetId="1">[1]Sheet1!#REF!</definedName>
    <definedName name="_7B_25">[1]Sheet1!#REF!</definedName>
    <definedName name="_7B_26" localSheetId="5">[1]Sheet1!#REF!</definedName>
    <definedName name="_7B_26" localSheetId="3">[1]Sheet1!#REF!</definedName>
    <definedName name="_7B_26" localSheetId="6">[1]Sheet1!#REF!</definedName>
    <definedName name="_7B_26" localSheetId="7">[1]Sheet1!#REF!</definedName>
    <definedName name="_7B_26" localSheetId="8">[1]Sheet1!#REF!</definedName>
    <definedName name="_7B_26" localSheetId="4">[1]Sheet1!#REF!</definedName>
    <definedName name="_7B_26" localSheetId="1">[1]Sheet1!#REF!</definedName>
    <definedName name="_7B_26">[1]Sheet1!#REF!</definedName>
    <definedName name="_7B_27" localSheetId="5">[1]Sheet1!#REF!</definedName>
    <definedName name="_7B_27" localSheetId="3">[1]Sheet1!#REF!</definedName>
    <definedName name="_7B_27" localSheetId="6">[1]Sheet1!#REF!</definedName>
    <definedName name="_7B_27" localSheetId="7">[1]Sheet1!#REF!</definedName>
    <definedName name="_7B_27" localSheetId="8">[1]Sheet1!#REF!</definedName>
    <definedName name="_7B_27" localSheetId="4">[1]Sheet1!#REF!</definedName>
    <definedName name="_7B_27" localSheetId="1">[1]Sheet1!#REF!</definedName>
    <definedName name="_7B_27">[1]Sheet1!#REF!</definedName>
    <definedName name="_7B_28" localSheetId="5">[1]Sheet1!#REF!</definedName>
    <definedName name="_7B_28" localSheetId="3">[1]Sheet1!#REF!</definedName>
    <definedName name="_7B_28" localSheetId="6">[1]Sheet1!#REF!</definedName>
    <definedName name="_7B_28" localSheetId="7">[1]Sheet1!#REF!</definedName>
    <definedName name="_7B_28" localSheetId="8">[1]Sheet1!#REF!</definedName>
    <definedName name="_7B_28" localSheetId="4">[1]Sheet1!#REF!</definedName>
    <definedName name="_7B_28" localSheetId="1">[1]Sheet1!#REF!</definedName>
    <definedName name="_7B_28">[1]Sheet1!#REF!</definedName>
    <definedName name="_7B_29" localSheetId="5">[1]Sheet1!#REF!</definedName>
    <definedName name="_7B_29" localSheetId="3">[1]Sheet1!#REF!</definedName>
    <definedName name="_7B_29" localSheetId="6">[1]Sheet1!#REF!</definedName>
    <definedName name="_7B_29" localSheetId="7">[1]Sheet1!#REF!</definedName>
    <definedName name="_7B_29" localSheetId="8">[1]Sheet1!#REF!</definedName>
    <definedName name="_7B_29" localSheetId="4">[1]Sheet1!#REF!</definedName>
    <definedName name="_7B_29" localSheetId="1">[1]Sheet1!#REF!</definedName>
    <definedName name="_7B_29">[1]Sheet1!#REF!</definedName>
    <definedName name="_7B_3" localSheetId="5">[1]Sheet1!#REF!</definedName>
    <definedName name="_7B_3" localSheetId="3">[1]Sheet1!#REF!</definedName>
    <definedName name="_7B_3" localSheetId="6">[1]Sheet1!#REF!</definedName>
    <definedName name="_7B_3" localSheetId="7">[1]Sheet1!#REF!</definedName>
    <definedName name="_7B_3" localSheetId="8">[1]Sheet1!#REF!</definedName>
    <definedName name="_7B_3" localSheetId="4">[1]Sheet1!#REF!</definedName>
    <definedName name="_7B_3" localSheetId="1">[1]Sheet1!#REF!</definedName>
    <definedName name="_7B_3">[1]Sheet1!#REF!</definedName>
    <definedName name="_7B_30" localSheetId="5">[1]Sheet1!#REF!</definedName>
    <definedName name="_7B_30" localSheetId="3">[1]Sheet1!#REF!</definedName>
    <definedName name="_7B_30" localSheetId="6">[1]Sheet1!#REF!</definedName>
    <definedName name="_7B_30" localSheetId="7">[1]Sheet1!#REF!</definedName>
    <definedName name="_7B_30" localSheetId="8">[1]Sheet1!#REF!</definedName>
    <definedName name="_7B_30" localSheetId="4">[1]Sheet1!#REF!</definedName>
    <definedName name="_7B_30" localSheetId="1">[1]Sheet1!#REF!</definedName>
    <definedName name="_7B_30">[1]Sheet1!#REF!</definedName>
    <definedName name="_7B_4" localSheetId="5">[1]Sheet1!#REF!</definedName>
    <definedName name="_7B_4" localSheetId="3">[1]Sheet1!#REF!</definedName>
    <definedName name="_7B_4" localSheetId="6">[1]Sheet1!#REF!</definedName>
    <definedName name="_7B_4" localSheetId="7">[1]Sheet1!#REF!</definedName>
    <definedName name="_7B_4" localSheetId="8">[1]Sheet1!#REF!</definedName>
    <definedName name="_7B_4" localSheetId="4">[1]Sheet1!#REF!</definedName>
    <definedName name="_7B_4" localSheetId="1">[1]Sheet1!#REF!</definedName>
    <definedName name="_7B_4">[1]Sheet1!#REF!</definedName>
    <definedName name="_7B_5" localSheetId="5">[1]Sheet1!#REF!</definedName>
    <definedName name="_7B_5" localSheetId="3">[1]Sheet1!#REF!</definedName>
    <definedName name="_7B_5" localSheetId="6">[1]Sheet1!#REF!</definedName>
    <definedName name="_7B_5" localSheetId="7">[1]Sheet1!#REF!</definedName>
    <definedName name="_7B_5" localSheetId="8">[1]Sheet1!#REF!</definedName>
    <definedName name="_7B_5" localSheetId="4">[1]Sheet1!#REF!</definedName>
    <definedName name="_7B_5" localSheetId="1">[1]Sheet1!#REF!</definedName>
    <definedName name="_7B_5">[1]Sheet1!#REF!</definedName>
    <definedName name="_7B_6" localSheetId="5">[1]Sheet1!#REF!</definedName>
    <definedName name="_7B_6" localSheetId="3">[1]Sheet1!#REF!</definedName>
    <definedName name="_7B_6" localSheetId="6">[1]Sheet1!#REF!</definedName>
    <definedName name="_7B_6" localSheetId="7">[1]Sheet1!#REF!</definedName>
    <definedName name="_7B_6" localSheetId="8">[1]Sheet1!#REF!</definedName>
    <definedName name="_7B_6" localSheetId="4">[1]Sheet1!#REF!</definedName>
    <definedName name="_7B_6" localSheetId="1">[1]Sheet1!#REF!</definedName>
    <definedName name="_7B_6">[1]Sheet1!#REF!</definedName>
    <definedName name="_7B_7" localSheetId="5">[1]Sheet1!#REF!</definedName>
    <definedName name="_7B_7" localSheetId="3">[1]Sheet1!#REF!</definedName>
    <definedName name="_7B_7" localSheetId="6">[1]Sheet1!#REF!</definedName>
    <definedName name="_7B_7" localSheetId="7">[1]Sheet1!#REF!</definedName>
    <definedName name="_7B_7" localSheetId="8">[1]Sheet1!#REF!</definedName>
    <definedName name="_7B_7" localSheetId="4">[1]Sheet1!#REF!</definedName>
    <definedName name="_7B_7" localSheetId="1">[1]Sheet1!#REF!</definedName>
    <definedName name="_7B_7">[1]Sheet1!#REF!</definedName>
    <definedName name="_7B_8" localSheetId="5">[1]Sheet1!#REF!</definedName>
    <definedName name="_7B_8" localSheetId="3">[1]Sheet1!#REF!</definedName>
    <definedName name="_7B_8" localSheetId="6">[1]Sheet1!#REF!</definedName>
    <definedName name="_7B_8" localSheetId="7">[1]Sheet1!#REF!</definedName>
    <definedName name="_7B_8" localSheetId="8">[1]Sheet1!#REF!</definedName>
    <definedName name="_7B_8" localSheetId="4">[1]Sheet1!#REF!</definedName>
    <definedName name="_7B_8" localSheetId="1">[1]Sheet1!#REF!</definedName>
    <definedName name="_7B_8">[1]Sheet1!#REF!</definedName>
    <definedName name="_7B_9" localSheetId="5">[1]Sheet1!#REF!</definedName>
    <definedName name="_7B_9" localSheetId="3">[1]Sheet1!#REF!</definedName>
    <definedName name="_7B_9" localSheetId="6">[1]Sheet1!#REF!</definedName>
    <definedName name="_7B_9" localSheetId="7">[1]Sheet1!#REF!</definedName>
    <definedName name="_7B_9" localSheetId="8">[1]Sheet1!#REF!</definedName>
    <definedName name="_7B_9" localSheetId="4">[1]Sheet1!#REF!</definedName>
    <definedName name="_7B_9" localSheetId="1">[1]Sheet1!#REF!</definedName>
    <definedName name="_7B_9">[1]Sheet1!#REF!</definedName>
    <definedName name="_7C_1" localSheetId="5">[1]Sheet1!#REF!</definedName>
    <definedName name="_7C_1" localSheetId="3">[1]Sheet1!#REF!</definedName>
    <definedName name="_7C_1" localSheetId="6">[1]Sheet1!#REF!</definedName>
    <definedName name="_7C_1" localSheetId="7">[1]Sheet1!#REF!</definedName>
    <definedName name="_7C_1" localSheetId="8">[1]Sheet1!#REF!</definedName>
    <definedName name="_7C_1" localSheetId="4">[1]Sheet1!#REF!</definedName>
    <definedName name="_7C_1" localSheetId="1">[1]Sheet1!#REF!</definedName>
    <definedName name="_7C_1">[1]Sheet1!#REF!</definedName>
    <definedName name="_7C_10" localSheetId="5">[1]Sheet1!#REF!</definedName>
    <definedName name="_7C_10" localSheetId="3">[1]Sheet1!#REF!</definedName>
    <definedName name="_7C_10" localSheetId="6">[1]Sheet1!#REF!</definedName>
    <definedName name="_7C_10" localSheetId="7">[1]Sheet1!#REF!</definedName>
    <definedName name="_7C_10" localSheetId="8">[1]Sheet1!#REF!</definedName>
    <definedName name="_7C_10" localSheetId="4">[1]Sheet1!#REF!</definedName>
    <definedName name="_7C_10" localSheetId="1">[1]Sheet1!#REF!</definedName>
    <definedName name="_7C_10">[1]Sheet1!#REF!</definedName>
    <definedName name="_7C_11" localSheetId="5">[1]Sheet1!#REF!</definedName>
    <definedName name="_7C_11" localSheetId="3">[1]Sheet1!#REF!</definedName>
    <definedName name="_7C_11" localSheetId="6">[1]Sheet1!#REF!</definedName>
    <definedName name="_7C_11" localSheetId="7">[1]Sheet1!#REF!</definedName>
    <definedName name="_7C_11" localSheetId="8">[1]Sheet1!#REF!</definedName>
    <definedName name="_7C_11" localSheetId="4">[1]Sheet1!#REF!</definedName>
    <definedName name="_7C_11" localSheetId="1">[1]Sheet1!#REF!</definedName>
    <definedName name="_7C_11">[1]Sheet1!#REF!</definedName>
    <definedName name="_7C_12" localSheetId="5">[1]Sheet1!#REF!</definedName>
    <definedName name="_7C_12" localSheetId="3">[1]Sheet1!#REF!</definedName>
    <definedName name="_7C_12" localSheetId="6">[1]Sheet1!#REF!</definedName>
    <definedName name="_7C_12" localSheetId="7">[1]Sheet1!#REF!</definedName>
    <definedName name="_7C_12" localSheetId="8">[1]Sheet1!#REF!</definedName>
    <definedName name="_7C_12" localSheetId="4">[1]Sheet1!#REF!</definedName>
    <definedName name="_7C_12" localSheetId="1">[1]Sheet1!#REF!</definedName>
    <definedName name="_7C_12">[1]Sheet1!#REF!</definedName>
    <definedName name="_7C_13" localSheetId="5">[1]Sheet1!#REF!</definedName>
    <definedName name="_7C_13" localSheetId="3">[1]Sheet1!#REF!</definedName>
    <definedName name="_7C_13" localSheetId="6">[1]Sheet1!#REF!</definedName>
    <definedName name="_7C_13" localSheetId="7">[1]Sheet1!#REF!</definedName>
    <definedName name="_7C_13" localSheetId="8">[1]Sheet1!#REF!</definedName>
    <definedName name="_7C_13" localSheetId="4">[1]Sheet1!#REF!</definedName>
    <definedName name="_7C_13" localSheetId="1">[1]Sheet1!#REF!</definedName>
    <definedName name="_7C_13">[1]Sheet1!#REF!</definedName>
    <definedName name="_7C_14" localSheetId="5">[1]Sheet1!#REF!</definedName>
    <definedName name="_7C_14" localSheetId="3">[1]Sheet1!#REF!</definedName>
    <definedName name="_7C_14" localSheetId="6">[1]Sheet1!#REF!</definedName>
    <definedName name="_7C_14" localSheetId="7">[1]Sheet1!#REF!</definedName>
    <definedName name="_7C_14" localSheetId="8">[1]Sheet1!#REF!</definedName>
    <definedName name="_7C_14" localSheetId="4">[1]Sheet1!#REF!</definedName>
    <definedName name="_7C_14" localSheetId="1">[1]Sheet1!#REF!</definedName>
    <definedName name="_7C_14">[1]Sheet1!#REF!</definedName>
    <definedName name="_7C_15" localSheetId="5">[1]Sheet1!#REF!</definedName>
    <definedName name="_7C_15" localSheetId="3">[1]Sheet1!#REF!</definedName>
    <definedName name="_7C_15" localSheetId="6">[1]Sheet1!#REF!</definedName>
    <definedName name="_7C_15" localSheetId="7">[1]Sheet1!#REF!</definedName>
    <definedName name="_7C_15" localSheetId="8">[1]Sheet1!#REF!</definedName>
    <definedName name="_7C_15" localSheetId="4">[1]Sheet1!#REF!</definedName>
    <definedName name="_7C_15" localSheetId="1">[1]Sheet1!#REF!</definedName>
    <definedName name="_7C_15">[1]Sheet1!#REF!</definedName>
    <definedName name="_7C_16" localSheetId="5">[1]Sheet1!#REF!</definedName>
    <definedName name="_7C_16" localSheetId="3">[1]Sheet1!#REF!</definedName>
    <definedName name="_7C_16" localSheetId="6">[1]Sheet1!#REF!</definedName>
    <definedName name="_7C_16" localSheetId="7">[1]Sheet1!#REF!</definedName>
    <definedName name="_7C_16" localSheetId="8">[1]Sheet1!#REF!</definedName>
    <definedName name="_7C_16" localSheetId="4">[1]Sheet1!#REF!</definedName>
    <definedName name="_7C_16" localSheetId="1">[1]Sheet1!#REF!</definedName>
    <definedName name="_7C_16">[1]Sheet1!#REF!</definedName>
    <definedName name="_7C_17" localSheetId="5">[1]Sheet1!#REF!</definedName>
    <definedName name="_7C_17" localSheetId="3">[1]Sheet1!#REF!</definedName>
    <definedName name="_7C_17" localSheetId="6">[1]Sheet1!#REF!</definedName>
    <definedName name="_7C_17" localSheetId="7">[1]Sheet1!#REF!</definedName>
    <definedName name="_7C_17" localSheetId="8">[1]Sheet1!#REF!</definedName>
    <definedName name="_7C_17" localSheetId="4">[1]Sheet1!#REF!</definedName>
    <definedName name="_7C_17" localSheetId="1">[1]Sheet1!#REF!</definedName>
    <definedName name="_7C_17">[1]Sheet1!#REF!</definedName>
    <definedName name="_7C_18" localSheetId="5">[1]Sheet1!#REF!</definedName>
    <definedName name="_7C_18" localSheetId="3">[1]Sheet1!#REF!</definedName>
    <definedName name="_7C_18" localSheetId="6">[1]Sheet1!#REF!</definedName>
    <definedName name="_7C_18" localSheetId="7">[1]Sheet1!#REF!</definedName>
    <definedName name="_7C_18" localSheetId="8">[1]Sheet1!#REF!</definedName>
    <definedName name="_7C_18" localSheetId="4">[1]Sheet1!#REF!</definedName>
    <definedName name="_7C_18" localSheetId="1">[1]Sheet1!#REF!</definedName>
    <definedName name="_7C_18">[1]Sheet1!#REF!</definedName>
    <definedName name="_7C_19" localSheetId="5">[1]Sheet1!#REF!</definedName>
    <definedName name="_7C_19" localSheetId="3">[1]Sheet1!#REF!</definedName>
    <definedName name="_7C_19" localSheetId="6">[1]Sheet1!#REF!</definedName>
    <definedName name="_7C_19" localSheetId="7">[1]Sheet1!#REF!</definedName>
    <definedName name="_7C_19" localSheetId="8">[1]Sheet1!#REF!</definedName>
    <definedName name="_7C_19" localSheetId="4">[1]Sheet1!#REF!</definedName>
    <definedName name="_7C_19" localSheetId="1">[1]Sheet1!#REF!</definedName>
    <definedName name="_7C_19">[1]Sheet1!#REF!</definedName>
    <definedName name="_7C_2" localSheetId="5">[1]Sheet1!#REF!</definedName>
    <definedName name="_7C_2" localSheetId="3">[1]Sheet1!#REF!</definedName>
    <definedName name="_7C_2" localSheetId="6">[1]Sheet1!#REF!</definedName>
    <definedName name="_7C_2" localSheetId="7">[1]Sheet1!#REF!</definedName>
    <definedName name="_7C_2" localSheetId="8">[1]Sheet1!#REF!</definedName>
    <definedName name="_7C_2" localSheetId="4">[1]Sheet1!#REF!</definedName>
    <definedName name="_7C_2" localSheetId="1">[1]Sheet1!#REF!</definedName>
    <definedName name="_7C_2">[1]Sheet1!#REF!</definedName>
    <definedName name="_7C_20" localSheetId="5">[1]Sheet1!#REF!</definedName>
    <definedName name="_7C_20" localSheetId="3">[1]Sheet1!#REF!</definedName>
    <definedName name="_7C_20" localSheetId="6">[1]Sheet1!#REF!</definedName>
    <definedName name="_7C_20" localSheetId="7">[1]Sheet1!#REF!</definedName>
    <definedName name="_7C_20" localSheetId="8">[1]Sheet1!#REF!</definedName>
    <definedName name="_7C_20" localSheetId="4">[1]Sheet1!#REF!</definedName>
    <definedName name="_7C_20" localSheetId="1">[1]Sheet1!#REF!</definedName>
    <definedName name="_7C_20">[1]Sheet1!#REF!</definedName>
    <definedName name="_7C_21" localSheetId="5">[1]Sheet1!#REF!</definedName>
    <definedName name="_7C_21" localSheetId="3">[1]Sheet1!#REF!</definedName>
    <definedName name="_7C_21" localSheetId="6">[1]Sheet1!#REF!</definedName>
    <definedName name="_7C_21" localSheetId="7">[1]Sheet1!#REF!</definedName>
    <definedName name="_7C_21" localSheetId="8">[1]Sheet1!#REF!</definedName>
    <definedName name="_7C_21" localSheetId="4">[1]Sheet1!#REF!</definedName>
    <definedName name="_7C_21" localSheetId="1">[1]Sheet1!#REF!</definedName>
    <definedName name="_7C_21">[1]Sheet1!#REF!</definedName>
    <definedName name="_7C_22" localSheetId="5">[1]Sheet1!#REF!</definedName>
    <definedName name="_7C_22" localSheetId="3">[1]Sheet1!#REF!</definedName>
    <definedName name="_7C_22" localSheetId="6">[1]Sheet1!#REF!</definedName>
    <definedName name="_7C_22" localSheetId="7">[1]Sheet1!#REF!</definedName>
    <definedName name="_7C_22" localSheetId="8">[1]Sheet1!#REF!</definedName>
    <definedName name="_7C_22" localSheetId="4">[1]Sheet1!#REF!</definedName>
    <definedName name="_7C_22" localSheetId="1">[1]Sheet1!#REF!</definedName>
    <definedName name="_7C_22">[1]Sheet1!#REF!</definedName>
    <definedName name="_7C_23" localSheetId="5">[1]Sheet1!#REF!</definedName>
    <definedName name="_7C_23" localSheetId="3">[1]Sheet1!#REF!</definedName>
    <definedName name="_7C_23" localSheetId="6">[1]Sheet1!#REF!</definedName>
    <definedName name="_7C_23" localSheetId="7">[1]Sheet1!#REF!</definedName>
    <definedName name="_7C_23" localSheetId="8">[1]Sheet1!#REF!</definedName>
    <definedName name="_7C_23" localSheetId="4">[1]Sheet1!#REF!</definedName>
    <definedName name="_7C_23" localSheetId="1">[1]Sheet1!#REF!</definedName>
    <definedName name="_7C_23">[1]Sheet1!#REF!</definedName>
    <definedName name="_7C_24" localSheetId="5">[1]Sheet1!#REF!</definedName>
    <definedName name="_7C_24" localSheetId="3">[1]Sheet1!#REF!</definedName>
    <definedName name="_7C_24" localSheetId="6">[1]Sheet1!#REF!</definedName>
    <definedName name="_7C_24" localSheetId="7">[1]Sheet1!#REF!</definedName>
    <definedName name="_7C_24" localSheetId="8">[1]Sheet1!#REF!</definedName>
    <definedName name="_7C_24" localSheetId="4">[1]Sheet1!#REF!</definedName>
    <definedName name="_7C_24" localSheetId="1">[1]Sheet1!#REF!</definedName>
    <definedName name="_7C_24">[1]Sheet1!#REF!</definedName>
    <definedName name="_7C_25" localSheetId="5">[1]Sheet1!#REF!</definedName>
    <definedName name="_7C_25" localSheetId="3">[1]Sheet1!#REF!</definedName>
    <definedName name="_7C_25" localSheetId="6">[1]Sheet1!#REF!</definedName>
    <definedName name="_7C_25" localSheetId="7">[1]Sheet1!#REF!</definedName>
    <definedName name="_7C_25" localSheetId="8">[1]Sheet1!#REF!</definedName>
    <definedName name="_7C_25" localSheetId="4">[1]Sheet1!#REF!</definedName>
    <definedName name="_7C_25" localSheetId="1">[1]Sheet1!#REF!</definedName>
    <definedName name="_7C_25">[1]Sheet1!#REF!</definedName>
    <definedName name="_7C_26" localSheetId="5">[1]Sheet1!#REF!</definedName>
    <definedName name="_7C_26" localSheetId="3">[1]Sheet1!#REF!</definedName>
    <definedName name="_7C_26" localSheetId="6">[1]Sheet1!#REF!</definedName>
    <definedName name="_7C_26" localSheetId="7">[1]Sheet1!#REF!</definedName>
    <definedName name="_7C_26" localSheetId="8">[1]Sheet1!#REF!</definedName>
    <definedName name="_7C_26" localSheetId="4">[1]Sheet1!#REF!</definedName>
    <definedName name="_7C_26" localSheetId="1">[1]Sheet1!#REF!</definedName>
    <definedName name="_7C_26">[1]Sheet1!#REF!</definedName>
    <definedName name="_7C_27" localSheetId="5">[1]Sheet1!#REF!</definedName>
    <definedName name="_7C_27" localSheetId="3">[1]Sheet1!#REF!</definedName>
    <definedName name="_7C_27" localSheetId="6">[1]Sheet1!#REF!</definedName>
    <definedName name="_7C_27" localSheetId="7">[1]Sheet1!#REF!</definedName>
    <definedName name="_7C_27" localSheetId="8">[1]Sheet1!#REF!</definedName>
    <definedName name="_7C_27" localSheetId="4">[1]Sheet1!#REF!</definedName>
    <definedName name="_7C_27" localSheetId="1">[1]Sheet1!#REF!</definedName>
    <definedName name="_7C_27">[1]Sheet1!#REF!</definedName>
    <definedName name="_7C_28" localSheetId="5">[1]Sheet1!#REF!</definedName>
    <definedName name="_7C_28" localSheetId="3">[1]Sheet1!#REF!</definedName>
    <definedName name="_7C_28" localSheetId="6">[1]Sheet1!#REF!</definedName>
    <definedName name="_7C_28" localSheetId="7">[1]Sheet1!#REF!</definedName>
    <definedName name="_7C_28" localSheetId="8">[1]Sheet1!#REF!</definedName>
    <definedName name="_7C_28" localSheetId="4">[1]Sheet1!#REF!</definedName>
    <definedName name="_7C_28" localSheetId="1">[1]Sheet1!#REF!</definedName>
    <definedName name="_7C_28">[1]Sheet1!#REF!</definedName>
    <definedName name="_7C_29" localSheetId="5">[1]Sheet1!#REF!</definedName>
    <definedName name="_7C_29" localSheetId="3">[1]Sheet1!#REF!</definedName>
    <definedName name="_7C_29" localSheetId="6">[1]Sheet1!#REF!</definedName>
    <definedName name="_7C_29" localSheetId="7">[1]Sheet1!#REF!</definedName>
    <definedName name="_7C_29" localSheetId="8">[1]Sheet1!#REF!</definedName>
    <definedName name="_7C_29" localSheetId="4">[1]Sheet1!#REF!</definedName>
    <definedName name="_7C_29" localSheetId="1">[1]Sheet1!#REF!</definedName>
    <definedName name="_7C_29">[1]Sheet1!#REF!</definedName>
    <definedName name="_7C_3" localSheetId="5">[1]Sheet1!#REF!</definedName>
    <definedName name="_7C_3" localSheetId="3">[1]Sheet1!#REF!</definedName>
    <definedName name="_7C_3" localSheetId="6">[1]Sheet1!#REF!</definedName>
    <definedName name="_7C_3" localSheetId="7">[1]Sheet1!#REF!</definedName>
    <definedName name="_7C_3" localSheetId="8">[1]Sheet1!#REF!</definedName>
    <definedName name="_7C_3" localSheetId="4">[1]Sheet1!#REF!</definedName>
    <definedName name="_7C_3" localSheetId="1">[1]Sheet1!#REF!</definedName>
    <definedName name="_7C_3">[1]Sheet1!#REF!</definedName>
    <definedName name="_7C_30" localSheetId="5">[1]Sheet1!#REF!</definedName>
    <definedName name="_7C_30" localSheetId="3">[1]Sheet1!#REF!</definedName>
    <definedName name="_7C_30" localSheetId="6">[1]Sheet1!#REF!</definedName>
    <definedName name="_7C_30" localSheetId="7">[1]Sheet1!#REF!</definedName>
    <definedName name="_7C_30" localSheetId="8">[1]Sheet1!#REF!</definedName>
    <definedName name="_7C_30" localSheetId="4">[1]Sheet1!#REF!</definedName>
    <definedName name="_7C_30" localSheetId="1">[1]Sheet1!#REF!</definedName>
    <definedName name="_7C_30">[1]Sheet1!#REF!</definedName>
    <definedName name="_7C_4" localSheetId="5">[1]Sheet1!#REF!</definedName>
    <definedName name="_7C_4" localSheetId="3">[1]Sheet1!#REF!</definedName>
    <definedName name="_7C_4" localSheetId="6">[1]Sheet1!#REF!</definedName>
    <definedName name="_7C_4" localSheetId="7">[1]Sheet1!#REF!</definedName>
    <definedName name="_7C_4" localSheetId="8">[1]Sheet1!#REF!</definedName>
    <definedName name="_7C_4" localSheetId="4">[1]Sheet1!#REF!</definedName>
    <definedName name="_7C_4" localSheetId="1">[1]Sheet1!#REF!</definedName>
    <definedName name="_7C_4">[1]Sheet1!#REF!</definedName>
    <definedName name="_7C_5" localSheetId="5">[1]Sheet1!#REF!</definedName>
    <definedName name="_7C_5" localSheetId="3">[1]Sheet1!#REF!</definedName>
    <definedName name="_7C_5" localSheetId="6">[1]Sheet1!#REF!</definedName>
    <definedName name="_7C_5" localSheetId="7">[1]Sheet1!#REF!</definedName>
    <definedName name="_7C_5" localSheetId="8">[1]Sheet1!#REF!</definedName>
    <definedName name="_7C_5" localSheetId="4">[1]Sheet1!#REF!</definedName>
    <definedName name="_7C_5" localSheetId="1">[1]Sheet1!#REF!</definedName>
    <definedName name="_7C_5">[1]Sheet1!#REF!</definedName>
    <definedName name="_7C_6" localSheetId="5">[1]Sheet1!#REF!</definedName>
    <definedName name="_7C_6" localSheetId="3">[1]Sheet1!#REF!</definedName>
    <definedName name="_7C_6" localSheetId="6">[1]Sheet1!#REF!</definedName>
    <definedName name="_7C_6" localSheetId="7">[1]Sheet1!#REF!</definedName>
    <definedName name="_7C_6" localSheetId="8">[1]Sheet1!#REF!</definedName>
    <definedName name="_7C_6" localSheetId="4">[1]Sheet1!#REF!</definedName>
    <definedName name="_7C_6" localSheetId="1">[1]Sheet1!#REF!</definedName>
    <definedName name="_7C_6">[1]Sheet1!#REF!</definedName>
    <definedName name="_7C_7" localSheetId="5">[1]Sheet1!#REF!</definedName>
    <definedName name="_7C_7" localSheetId="3">[1]Sheet1!#REF!</definedName>
    <definedName name="_7C_7" localSheetId="6">[1]Sheet1!#REF!</definedName>
    <definedName name="_7C_7" localSheetId="7">[1]Sheet1!#REF!</definedName>
    <definedName name="_7C_7" localSheetId="8">[1]Sheet1!#REF!</definedName>
    <definedName name="_7C_7" localSheetId="4">[1]Sheet1!#REF!</definedName>
    <definedName name="_7C_7" localSheetId="1">[1]Sheet1!#REF!</definedName>
    <definedName name="_7C_7">[1]Sheet1!#REF!</definedName>
    <definedName name="_7C_8" localSheetId="5">[1]Sheet1!#REF!</definedName>
    <definedName name="_7C_8" localSheetId="3">[1]Sheet1!#REF!</definedName>
    <definedName name="_7C_8" localSheetId="6">[1]Sheet1!#REF!</definedName>
    <definedName name="_7C_8" localSheetId="7">[1]Sheet1!#REF!</definedName>
    <definedName name="_7C_8" localSheetId="8">[1]Sheet1!#REF!</definedName>
    <definedName name="_7C_8" localSheetId="4">[1]Sheet1!#REF!</definedName>
    <definedName name="_7C_8" localSheetId="1">[1]Sheet1!#REF!</definedName>
    <definedName name="_7C_8">[1]Sheet1!#REF!</definedName>
    <definedName name="_7C_9" localSheetId="5">[1]Sheet1!#REF!</definedName>
    <definedName name="_7C_9" localSheetId="3">[1]Sheet1!#REF!</definedName>
    <definedName name="_7C_9" localSheetId="6">[1]Sheet1!#REF!</definedName>
    <definedName name="_7C_9" localSheetId="7">[1]Sheet1!#REF!</definedName>
    <definedName name="_7C_9" localSheetId="8">[1]Sheet1!#REF!</definedName>
    <definedName name="_7C_9" localSheetId="4">[1]Sheet1!#REF!</definedName>
    <definedName name="_7C_9" localSheetId="1">[1]Sheet1!#REF!</definedName>
    <definedName name="_7C_9">[1]Sheet1!#REF!</definedName>
    <definedName name="_7경비" localSheetId="5">'[2]H-PILE 박기'!#REF!</definedName>
    <definedName name="_7경비" localSheetId="3">'[2]H-PILE 박기'!#REF!</definedName>
    <definedName name="_7경비" localSheetId="6">'[2]H-PILE 박기'!#REF!</definedName>
    <definedName name="_7경비" localSheetId="7">'[2]H-PILE 박기'!#REF!</definedName>
    <definedName name="_7경비" localSheetId="8">'[2]H-PILE 박기'!#REF!</definedName>
    <definedName name="_7경비" localSheetId="4">'[2]H-PILE 박기'!#REF!</definedName>
    <definedName name="_7경비" localSheetId="1">'[2]H-PILE 박기'!#REF!</definedName>
    <definedName name="_7경비">'[2]H-PILE 박기'!#REF!</definedName>
    <definedName name="_7노임" localSheetId="5">'[2]H-PILE 박기'!#REF!</definedName>
    <definedName name="_7노임" localSheetId="3">'[2]H-PILE 박기'!#REF!</definedName>
    <definedName name="_7노임" localSheetId="6">'[2]H-PILE 박기'!#REF!</definedName>
    <definedName name="_7노임" localSheetId="7">'[2]H-PILE 박기'!#REF!</definedName>
    <definedName name="_7노임" localSheetId="8">'[2]H-PILE 박기'!#REF!</definedName>
    <definedName name="_7노임" localSheetId="4">'[2]H-PILE 박기'!#REF!</definedName>
    <definedName name="_7노임" localSheetId="1">'[2]H-PILE 박기'!#REF!</definedName>
    <definedName name="_7노임">'[2]H-PILE 박기'!#REF!</definedName>
    <definedName name="_7재료" localSheetId="5">'[2]H-PILE 박기'!#REF!</definedName>
    <definedName name="_7재료" localSheetId="3">'[2]H-PILE 박기'!#REF!</definedName>
    <definedName name="_7재료" localSheetId="6">'[2]H-PILE 박기'!#REF!</definedName>
    <definedName name="_7재료" localSheetId="7">'[2]H-PILE 박기'!#REF!</definedName>
    <definedName name="_7재료" localSheetId="8">'[2]H-PILE 박기'!#REF!</definedName>
    <definedName name="_7재료" localSheetId="4">'[2]H-PILE 박기'!#REF!</definedName>
    <definedName name="_7재료" localSheetId="1">'[2]H-PILE 박기'!#REF!</definedName>
    <definedName name="_7재료">'[2]H-PILE 박기'!#REF!</definedName>
    <definedName name="_8A_1" localSheetId="5">[1]Sheet1!#REF!</definedName>
    <definedName name="_8A_1" localSheetId="3">[1]Sheet1!#REF!</definedName>
    <definedName name="_8A_1" localSheetId="6">[1]Sheet1!#REF!</definedName>
    <definedName name="_8A_1" localSheetId="7">[1]Sheet1!#REF!</definedName>
    <definedName name="_8A_1" localSheetId="8">[1]Sheet1!#REF!</definedName>
    <definedName name="_8A_1" localSheetId="4">[1]Sheet1!#REF!</definedName>
    <definedName name="_8A_1" localSheetId="1">[1]Sheet1!#REF!</definedName>
    <definedName name="_8A_1">[1]Sheet1!#REF!</definedName>
    <definedName name="_8A_10" localSheetId="5">[1]Sheet1!#REF!</definedName>
    <definedName name="_8A_10" localSheetId="3">[1]Sheet1!#REF!</definedName>
    <definedName name="_8A_10" localSheetId="6">[1]Sheet1!#REF!</definedName>
    <definedName name="_8A_10" localSheetId="7">[1]Sheet1!#REF!</definedName>
    <definedName name="_8A_10" localSheetId="8">[1]Sheet1!#REF!</definedName>
    <definedName name="_8A_10" localSheetId="4">[1]Sheet1!#REF!</definedName>
    <definedName name="_8A_10" localSheetId="1">[1]Sheet1!#REF!</definedName>
    <definedName name="_8A_10">[1]Sheet1!#REF!</definedName>
    <definedName name="_8A_11" localSheetId="5">[1]Sheet1!#REF!</definedName>
    <definedName name="_8A_11" localSheetId="3">[1]Sheet1!#REF!</definedName>
    <definedName name="_8A_11" localSheetId="6">[1]Sheet1!#REF!</definedName>
    <definedName name="_8A_11" localSheetId="7">[1]Sheet1!#REF!</definedName>
    <definedName name="_8A_11" localSheetId="8">[1]Sheet1!#REF!</definedName>
    <definedName name="_8A_11" localSheetId="4">[1]Sheet1!#REF!</definedName>
    <definedName name="_8A_11" localSheetId="1">[1]Sheet1!#REF!</definedName>
    <definedName name="_8A_11">[1]Sheet1!#REF!</definedName>
    <definedName name="_8A_12" localSheetId="5">[1]Sheet1!#REF!</definedName>
    <definedName name="_8A_12" localSheetId="3">[1]Sheet1!#REF!</definedName>
    <definedName name="_8A_12" localSheetId="6">[1]Sheet1!#REF!</definedName>
    <definedName name="_8A_12" localSheetId="7">[1]Sheet1!#REF!</definedName>
    <definedName name="_8A_12" localSheetId="8">[1]Sheet1!#REF!</definedName>
    <definedName name="_8A_12" localSheetId="4">[1]Sheet1!#REF!</definedName>
    <definedName name="_8A_12" localSheetId="1">[1]Sheet1!#REF!</definedName>
    <definedName name="_8A_12">[1]Sheet1!#REF!</definedName>
    <definedName name="_8A_13" localSheetId="5">[1]Sheet1!#REF!</definedName>
    <definedName name="_8A_13" localSheetId="3">[1]Sheet1!#REF!</definedName>
    <definedName name="_8A_13" localSheetId="6">[1]Sheet1!#REF!</definedName>
    <definedName name="_8A_13" localSheetId="7">[1]Sheet1!#REF!</definedName>
    <definedName name="_8A_13" localSheetId="8">[1]Sheet1!#REF!</definedName>
    <definedName name="_8A_13" localSheetId="4">[1]Sheet1!#REF!</definedName>
    <definedName name="_8A_13" localSheetId="1">[1]Sheet1!#REF!</definedName>
    <definedName name="_8A_13">[1]Sheet1!#REF!</definedName>
    <definedName name="_8A_14" localSheetId="5">[1]Sheet1!#REF!</definedName>
    <definedName name="_8A_14" localSheetId="3">[1]Sheet1!#REF!</definedName>
    <definedName name="_8A_14" localSheetId="6">[1]Sheet1!#REF!</definedName>
    <definedName name="_8A_14" localSheetId="7">[1]Sheet1!#REF!</definedName>
    <definedName name="_8A_14" localSheetId="8">[1]Sheet1!#REF!</definedName>
    <definedName name="_8A_14" localSheetId="4">[1]Sheet1!#REF!</definedName>
    <definedName name="_8A_14" localSheetId="1">[1]Sheet1!#REF!</definedName>
    <definedName name="_8A_14">[1]Sheet1!#REF!</definedName>
    <definedName name="_8A_15" localSheetId="5">[1]Sheet1!#REF!</definedName>
    <definedName name="_8A_15" localSheetId="3">[1]Sheet1!#REF!</definedName>
    <definedName name="_8A_15" localSheetId="6">[1]Sheet1!#REF!</definedName>
    <definedName name="_8A_15" localSheetId="7">[1]Sheet1!#REF!</definedName>
    <definedName name="_8A_15" localSheetId="8">[1]Sheet1!#REF!</definedName>
    <definedName name="_8A_15" localSheetId="4">[1]Sheet1!#REF!</definedName>
    <definedName name="_8A_15" localSheetId="1">[1]Sheet1!#REF!</definedName>
    <definedName name="_8A_15">[1]Sheet1!#REF!</definedName>
    <definedName name="_8A_16" localSheetId="5">[1]Sheet1!#REF!</definedName>
    <definedName name="_8A_16" localSheetId="3">[1]Sheet1!#REF!</definedName>
    <definedName name="_8A_16" localSheetId="6">[1]Sheet1!#REF!</definedName>
    <definedName name="_8A_16" localSheetId="7">[1]Sheet1!#REF!</definedName>
    <definedName name="_8A_16" localSheetId="8">[1]Sheet1!#REF!</definedName>
    <definedName name="_8A_16" localSheetId="4">[1]Sheet1!#REF!</definedName>
    <definedName name="_8A_16" localSheetId="1">[1]Sheet1!#REF!</definedName>
    <definedName name="_8A_16">[1]Sheet1!#REF!</definedName>
    <definedName name="_8A_17" localSheetId="5">[1]Sheet1!#REF!</definedName>
    <definedName name="_8A_17" localSheetId="3">[1]Sheet1!#REF!</definedName>
    <definedName name="_8A_17" localSheetId="6">[1]Sheet1!#REF!</definedName>
    <definedName name="_8A_17" localSheetId="7">[1]Sheet1!#REF!</definedName>
    <definedName name="_8A_17" localSheetId="8">[1]Sheet1!#REF!</definedName>
    <definedName name="_8A_17" localSheetId="4">[1]Sheet1!#REF!</definedName>
    <definedName name="_8A_17" localSheetId="1">[1]Sheet1!#REF!</definedName>
    <definedName name="_8A_17">[1]Sheet1!#REF!</definedName>
    <definedName name="_8A_18" localSheetId="5">[1]Sheet1!#REF!</definedName>
    <definedName name="_8A_18" localSheetId="3">[1]Sheet1!#REF!</definedName>
    <definedName name="_8A_18" localSheetId="6">[1]Sheet1!#REF!</definedName>
    <definedName name="_8A_18" localSheetId="7">[1]Sheet1!#REF!</definedName>
    <definedName name="_8A_18" localSheetId="8">[1]Sheet1!#REF!</definedName>
    <definedName name="_8A_18" localSheetId="4">[1]Sheet1!#REF!</definedName>
    <definedName name="_8A_18" localSheetId="1">[1]Sheet1!#REF!</definedName>
    <definedName name="_8A_18">[1]Sheet1!#REF!</definedName>
    <definedName name="_8A_19" localSheetId="5">[1]Sheet1!#REF!</definedName>
    <definedName name="_8A_19" localSheetId="3">[1]Sheet1!#REF!</definedName>
    <definedName name="_8A_19" localSheetId="6">[1]Sheet1!#REF!</definedName>
    <definedName name="_8A_19" localSheetId="7">[1]Sheet1!#REF!</definedName>
    <definedName name="_8A_19" localSheetId="8">[1]Sheet1!#REF!</definedName>
    <definedName name="_8A_19" localSheetId="4">[1]Sheet1!#REF!</definedName>
    <definedName name="_8A_19" localSheetId="1">[1]Sheet1!#REF!</definedName>
    <definedName name="_8A_19">[1]Sheet1!#REF!</definedName>
    <definedName name="_8A_2" localSheetId="5">[1]Sheet1!#REF!</definedName>
    <definedName name="_8A_2" localSheetId="3">[1]Sheet1!#REF!</definedName>
    <definedName name="_8A_2" localSheetId="6">[1]Sheet1!#REF!</definedName>
    <definedName name="_8A_2" localSheetId="7">[1]Sheet1!#REF!</definedName>
    <definedName name="_8A_2" localSheetId="8">[1]Sheet1!#REF!</definedName>
    <definedName name="_8A_2" localSheetId="4">[1]Sheet1!#REF!</definedName>
    <definedName name="_8A_2" localSheetId="1">[1]Sheet1!#REF!</definedName>
    <definedName name="_8A_2">[1]Sheet1!#REF!</definedName>
    <definedName name="_8A_20" localSheetId="5">[1]Sheet1!#REF!</definedName>
    <definedName name="_8A_20" localSheetId="3">[1]Sheet1!#REF!</definedName>
    <definedName name="_8A_20" localSheetId="6">[1]Sheet1!#REF!</definedName>
    <definedName name="_8A_20" localSheetId="7">[1]Sheet1!#REF!</definedName>
    <definedName name="_8A_20" localSheetId="8">[1]Sheet1!#REF!</definedName>
    <definedName name="_8A_20" localSheetId="4">[1]Sheet1!#REF!</definedName>
    <definedName name="_8A_20" localSheetId="1">[1]Sheet1!#REF!</definedName>
    <definedName name="_8A_20">[1]Sheet1!#REF!</definedName>
    <definedName name="_8A_21" localSheetId="5">[1]Sheet1!#REF!</definedName>
    <definedName name="_8A_21" localSheetId="3">[1]Sheet1!#REF!</definedName>
    <definedName name="_8A_21" localSheetId="6">[1]Sheet1!#REF!</definedName>
    <definedName name="_8A_21" localSheetId="7">[1]Sheet1!#REF!</definedName>
    <definedName name="_8A_21" localSheetId="8">[1]Sheet1!#REF!</definedName>
    <definedName name="_8A_21" localSheetId="4">[1]Sheet1!#REF!</definedName>
    <definedName name="_8A_21" localSheetId="1">[1]Sheet1!#REF!</definedName>
    <definedName name="_8A_21">[1]Sheet1!#REF!</definedName>
    <definedName name="_8A_22" localSheetId="5">[1]Sheet1!#REF!</definedName>
    <definedName name="_8A_22" localSheetId="3">[1]Sheet1!#REF!</definedName>
    <definedName name="_8A_22" localSheetId="6">[1]Sheet1!#REF!</definedName>
    <definedName name="_8A_22" localSheetId="7">[1]Sheet1!#REF!</definedName>
    <definedName name="_8A_22" localSheetId="8">[1]Sheet1!#REF!</definedName>
    <definedName name="_8A_22" localSheetId="4">[1]Sheet1!#REF!</definedName>
    <definedName name="_8A_22" localSheetId="1">[1]Sheet1!#REF!</definedName>
    <definedName name="_8A_22">[1]Sheet1!#REF!</definedName>
    <definedName name="_8A_23" localSheetId="5">[1]Sheet1!#REF!</definedName>
    <definedName name="_8A_23" localSheetId="3">[1]Sheet1!#REF!</definedName>
    <definedName name="_8A_23" localSheetId="6">[1]Sheet1!#REF!</definedName>
    <definedName name="_8A_23" localSheetId="7">[1]Sheet1!#REF!</definedName>
    <definedName name="_8A_23" localSheetId="8">[1]Sheet1!#REF!</definedName>
    <definedName name="_8A_23" localSheetId="4">[1]Sheet1!#REF!</definedName>
    <definedName name="_8A_23" localSheetId="1">[1]Sheet1!#REF!</definedName>
    <definedName name="_8A_23">[1]Sheet1!#REF!</definedName>
    <definedName name="_8A_24" localSheetId="5">[1]Sheet1!#REF!</definedName>
    <definedName name="_8A_24" localSheetId="3">[1]Sheet1!#REF!</definedName>
    <definedName name="_8A_24" localSheetId="6">[1]Sheet1!#REF!</definedName>
    <definedName name="_8A_24" localSheetId="7">[1]Sheet1!#REF!</definedName>
    <definedName name="_8A_24" localSheetId="8">[1]Sheet1!#REF!</definedName>
    <definedName name="_8A_24" localSheetId="4">[1]Sheet1!#REF!</definedName>
    <definedName name="_8A_24" localSheetId="1">[1]Sheet1!#REF!</definedName>
    <definedName name="_8A_24">[1]Sheet1!#REF!</definedName>
    <definedName name="_8A_25" localSheetId="5">[1]Sheet1!#REF!</definedName>
    <definedName name="_8A_25" localSheetId="3">[1]Sheet1!#REF!</definedName>
    <definedName name="_8A_25" localSheetId="6">[1]Sheet1!#REF!</definedName>
    <definedName name="_8A_25" localSheetId="7">[1]Sheet1!#REF!</definedName>
    <definedName name="_8A_25" localSheetId="8">[1]Sheet1!#REF!</definedName>
    <definedName name="_8A_25" localSheetId="4">[1]Sheet1!#REF!</definedName>
    <definedName name="_8A_25" localSheetId="1">[1]Sheet1!#REF!</definedName>
    <definedName name="_8A_25">[1]Sheet1!#REF!</definedName>
    <definedName name="_8A_26" localSheetId="5">[1]Sheet1!#REF!</definedName>
    <definedName name="_8A_26" localSheetId="3">[1]Sheet1!#REF!</definedName>
    <definedName name="_8A_26" localSheetId="6">[1]Sheet1!#REF!</definedName>
    <definedName name="_8A_26" localSheetId="7">[1]Sheet1!#REF!</definedName>
    <definedName name="_8A_26" localSheetId="8">[1]Sheet1!#REF!</definedName>
    <definedName name="_8A_26" localSheetId="4">[1]Sheet1!#REF!</definedName>
    <definedName name="_8A_26" localSheetId="1">[1]Sheet1!#REF!</definedName>
    <definedName name="_8A_26">[1]Sheet1!#REF!</definedName>
    <definedName name="_8A_27" localSheetId="5">[1]Sheet1!#REF!</definedName>
    <definedName name="_8A_27" localSheetId="3">[1]Sheet1!#REF!</definedName>
    <definedName name="_8A_27" localSheetId="6">[1]Sheet1!#REF!</definedName>
    <definedName name="_8A_27" localSheetId="7">[1]Sheet1!#REF!</definedName>
    <definedName name="_8A_27" localSheetId="8">[1]Sheet1!#REF!</definedName>
    <definedName name="_8A_27" localSheetId="4">[1]Sheet1!#REF!</definedName>
    <definedName name="_8A_27" localSheetId="1">[1]Sheet1!#REF!</definedName>
    <definedName name="_8A_27">[1]Sheet1!#REF!</definedName>
    <definedName name="_8A_28" localSheetId="5">[1]Sheet1!#REF!</definedName>
    <definedName name="_8A_28" localSheetId="3">[1]Sheet1!#REF!</definedName>
    <definedName name="_8A_28" localSheetId="6">[1]Sheet1!#REF!</definedName>
    <definedName name="_8A_28" localSheetId="7">[1]Sheet1!#REF!</definedName>
    <definedName name="_8A_28" localSheetId="8">[1]Sheet1!#REF!</definedName>
    <definedName name="_8A_28" localSheetId="4">[1]Sheet1!#REF!</definedName>
    <definedName name="_8A_28" localSheetId="1">[1]Sheet1!#REF!</definedName>
    <definedName name="_8A_28">[1]Sheet1!#REF!</definedName>
    <definedName name="_8A_29" localSheetId="5">[1]Sheet1!#REF!</definedName>
    <definedName name="_8A_29" localSheetId="3">[1]Sheet1!#REF!</definedName>
    <definedName name="_8A_29" localSheetId="6">[1]Sheet1!#REF!</definedName>
    <definedName name="_8A_29" localSheetId="7">[1]Sheet1!#REF!</definedName>
    <definedName name="_8A_29" localSheetId="8">[1]Sheet1!#REF!</definedName>
    <definedName name="_8A_29" localSheetId="4">[1]Sheet1!#REF!</definedName>
    <definedName name="_8A_29" localSheetId="1">[1]Sheet1!#REF!</definedName>
    <definedName name="_8A_29">[1]Sheet1!#REF!</definedName>
    <definedName name="_8A_3" localSheetId="5">[1]Sheet1!#REF!</definedName>
    <definedName name="_8A_3" localSheetId="3">[1]Sheet1!#REF!</definedName>
    <definedName name="_8A_3" localSheetId="6">[1]Sheet1!#REF!</definedName>
    <definedName name="_8A_3" localSheetId="7">[1]Sheet1!#REF!</definedName>
    <definedName name="_8A_3" localSheetId="8">[1]Sheet1!#REF!</definedName>
    <definedName name="_8A_3" localSheetId="4">[1]Sheet1!#REF!</definedName>
    <definedName name="_8A_3" localSheetId="1">[1]Sheet1!#REF!</definedName>
    <definedName name="_8A_3">[1]Sheet1!#REF!</definedName>
    <definedName name="_8A_30" localSheetId="5">[1]Sheet1!#REF!</definedName>
    <definedName name="_8A_30" localSheetId="3">[1]Sheet1!#REF!</definedName>
    <definedName name="_8A_30" localSheetId="6">[1]Sheet1!#REF!</definedName>
    <definedName name="_8A_30" localSheetId="7">[1]Sheet1!#REF!</definedName>
    <definedName name="_8A_30" localSheetId="8">[1]Sheet1!#REF!</definedName>
    <definedName name="_8A_30" localSheetId="4">[1]Sheet1!#REF!</definedName>
    <definedName name="_8A_30" localSheetId="1">[1]Sheet1!#REF!</definedName>
    <definedName name="_8A_30">[1]Sheet1!#REF!</definedName>
    <definedName name="_8A_4" localSheetId="5">[1]Sheet1!#REF!</definedName>
    <definedName name="_8A_4" localSheetId="3">[1]Sheet1!#REF!</definedName>
    <definedName name="_8A_4" localSheetId="6">[1]Sheet1!#REF!</definedName>
    <definedName name="_8A_4" localSheetId="7">[1]Sheet1!#REF!</definedName>
    <definedName name="_8A_4" localSheetId="8">[1]Sheet1!#REF!</definedName>
    <definedName name="_8A_4" localSheetId="4">[1]Sheet1!#REF!</definedName>
    <definedName name="_8A_4" localSheetId="1">[1]Sheet1!#REF!</definedName>
    <definedName name="_8A_4">[1]Sheet1!#REF!</definedName>
    <definedName name="_8A_5" localSheetId="5">[1]Sheet1!#REF!</definedName>
    <definedName name="_8A_5" localSheetId="3">[1]Sheet1!#REF!</definedName>
    <definedName name="_8A_5" localSheetId="6">[1]Sheet1!#REF!</definedName>
    <definedName name="_8A_5" localSheetId="7">[1]Sheet1!#REF!</definedName>
    <definedName name="_8A_5" localSheetId="8">[1]Sheet1!#REF!</definedName>
    <definedName name="_8A_5" localSheetId="4">[1]Sheet1!#REF!</definedName>
    <definedName name="_8A_5" localSheetId="1">[1]Sheet1!#REF!</definedName>
    <definedName name="_8A_5">[1]Sheet1!#REF!</definedName>
    <definedName name="_8A_6" localSheetId="5">[1]Sheet1!#REF!</definedName>
    <definedName name="_8A_6" localSheetId="3">[1]Sheet1!#REF!</definedName>
    <definedName name="_8A_6" localSheetId="6">[1]Sheet1!#REF!</definedName>
    <definedName name="_8A_6" localSheetId="7">[1]Sheet1!#REF!</definedName>
    <definedName name="_8A_6" localSheetId="8">[1]Sheet1!#REF!</definedName>
    <definedName name="_8A_6" localSheetId="4">[1]Sheet1!#REF!</definedName>
    <definedName name="_8A_6" localSheetId="1">[1]Sheet1!#REF!</definedName>
    <definedName name="_8A_6">[1]Sheet1!#REF!</definedName>
    <definedName name="_8A_7" localSheetId="5">[1]Sheet1!#REF!</definedName>
    <definedName name="_8A_7" localSheetId="3">[1]Sheet1!#REF!</definedName>
    <definedName name="_8A_7" localSheetId="6">[1]Sheet1!#REF!</definedName>
    <definedName name="_8A_7" localSheetId="7">[1]Sheet1!#REF!</definedName>
    <definedName name="_8A_7" localSheetId="8">[1]Sheet1!#REF!</definedName>
    <definedName name="_8A_7" localSheetId="4">[1]Sheet1!#REF!</definedName>
    <definedName name="_8A_7" localSheetId="1">[1]Sheet1!#REF!</definedName>
    <definedName name="_8A_7">[1]Sheet1!#REF!</definedName>
    <definedName name="_8A_8" localSheetId="5">[1]Sheet1!#REF!</definedName>
    <definedName name="_8A_8" localSheetId="3">[1]Sheet1!#REF!</definedName>
    <definedName name="_8A_8" localSheetId="6">[1]Sheet1!#REF!</definedName>
    <definedName name="_8A_8" localSheetId="7">[1]Sheet1!#REF!</definedName>
    <definedName name="_8A_8" localSheetId="8">[1]Sheet1!#REF!</definedName>
    <definedName name="_8A_8" localSheetId="4">[1]Sheet1!#REF!</definedName>
    <definedName name="_8A_8" localSheetId="1">[1]Sheet1!#REF!</definedName>
    <definedName name="_8A_8">[1]Sheet1!#REF!</definedName>
    <definedName name="_8A_9" localSheetId="5">[1]Sheet1!#REF!</definedName>
    <definedName name="_8A_9" localSheetId="3">[1]Sheet1!#REF!</definedName>
    <definedName name="_8A_9" localSheetId="6">[1]Sheet1!#REF!</definedName>
    <definedName name="_8A_9" localSheetId="7">[1]Sheet1!#REF!</definedName>
    <definedName name="_8A_9" localSheetId="8">[1]Sheet1!#REF!</definedName>
    <definedName name="_8A_9" localSheetId="4">[1]Sheet1!#REF!</definedName>
    <definedName name="_8A_9" localSheetId="1">[1]Sheet1!#REF!</definedName>
    <definedName name="_8A_9">[1]Sheet1!#REF!</definedName>
    <definedName name="_8B_1" localSheetId="5">[1]Sheet1!#REF!</definedName>
    <definedName name="_8B_1" localSheetId="3">[1]Sheet1!#REF!</definedName>
    <definedName name="_8B_1" localSheetId="6">[1]Sheet1!#REF!</definedName>
    <definedName name="_8B_1" localSheetId="7">[1]Sheet1!#REF!</definedName>
    <definedName name="_8B_1" localSheetId="8">[1]Sheet1!#REF!</definedName>
    <definedName name="_8B_1" localSheetId="4">[1]Sheet1!#REF!</definedName>
    <definedName name="_8B_1" localSheetId="1">[1]Sheet1!#REF!</definedName>
    <definedName name="_8B_1">[1]Sheet1!#REF!</definedName>
    <definedName name="_8B_10" localSheetId="5">[1]Sheet1!#REF!</definedName>
    <definedName name="_8B_10" localSheetId="3">[1]Sheet1!#REF!</definedName>
    <definedName name="_8B_10" localSheetId="6">[1]Sheet1!#REF!</definedName>
    <definedName name="_8B_10" localSheetId="7">[1]Sheet1!#REF!</definedName>
    <definedName name="_8B_10" localSheetId="8">[1]Sheet1!#REF!</definedName>
    <definedName name="_8B_10" localSheetId="4">[1]Sheet1!#REF!</definedName>
    <definedName name="_8B_10" localSheetId="1">[1]Sheet1!#REF!</definedName>
    <definedName name="_8B_10">[1]Sheet1!#REF!</definedName>
    <definedName name="_8B_11" localSheetId="5">[1]Sheet1!#REF!</definedName>
    <definedName name="_8B_11" localSheetId="3">[1]Sheet1!#REF!</definedName>
    <definedName name="_8B_11" localSheetId="6">[1]Sheet1!#REF!</definedName>
    <definedName name="_8B_11" localSheetId="7">[1]Sheet1!#REF!</definedName>
    <definedName name="_8B_11" localSheetId="8">[1]Sheet1!#REF!</definedName>
    <definedName name="_8B_11" localSheetId="4">[1]Sheet1!#REF!</definedName>
    <definedName name="_8B_11" localSheetId="1">[1]Sheet1!#REF!</definedName>
    <definedName name="_8B_11">[1]Sheet1!#REF!</definedName>
    <definedName name="_8B_12" localSheetId="5">[1]Sheet1!#REF!</definedName>
    <definedName name="_8B_12" localSheetId="3">[1]Sheet1!#REF!</definedName>
    <definedName name="_8B_12" localSheetId="6">[1]Sheet1!#REF!</definedName>
    <definedName name="_8B_12" localSheetId="7">[1]Sheet1!#REF!</definedName>
    <definedName name="_8B_12" localSheetId="8">[1]Sheet1!#REF!</definedName>
    <definedName name="_8B_12" localSheetId="4">[1]Sheet1!#REF!</definedName>
    <definedName name="_8B_12" localSheetId="1">[1]Sheet1!#REF!</definedName>
    <definedName name="_8B_12">[1]Sheet1!#REF!</definedName>
    <definedName name="_8B_13" localSheetId="5">[1]Sheet1!#REF!</definedName>
    <definedName name="_8B_13" localSheetId="3">[1]Sheet1!#REF!</definedName>
    <definedName name="_8B_13" localSheetId="6">[1]Sheet1!#REF!</definedName>
    <definedName name="_8B_13" localSheetId="7">[1]Sheet1!#REF!</definedName>
    <definedName name="_8B_13" localSheetId="8">[1]Sheet1!#REF!</definedName>
    <definedName name="_8B_13" localSheetId="4">[1]Sheet1!#REF!</definedName>
    <definedName name="_8B_13" localSheetId="1">[1]Sheet1!#REF!</definedName>
    <definedName name="_8B_13">[1]Sheet1!#REF!</definedName>
    <definedName name="_8B_14" localSheetId="5">[1]Sheet1!#REF!</definedName>
    <definedName name="_8B_14" localSheetId="3">[1]Sheet1!#REF!</definedName>
    <definedName name="_8B_14" localSheetId="6">[1]Sheet1!#REF!</definedName>
    <definedName name="_8B_14" localSheetId="7">[1]Sheet1!#REF!</definedName>
    <definedName name="_8B_14" localSheetId="8">[1]Sheet1!#REF!</definedName>
    <definedName name="_8B_14" localSheetId="4">[1]Sheet1!#REF!</definedName>
    <definedName name="_8B_14" localSheetId="1">[1]Sheet1!#REF!</definedName>
    <definedName name="_8B_14">[1]Sheet1!#REF!</definedName>
    <definedName name="_8B_15" localSheetId="5">[1]Sheet1!#REF!</definedName>
    <definedName name="_8B_15" localSheetId="3">[1]Sheet1!#REF!</definedName>
    <definedName name="_8B_15" localSheetId="6">[1]Sheet1!#REF!</definedName>
    <definedName name="_8B_15" localSheetId="7">[1]Sheet1!#REF!</definedName>
    <definedName name="_8B_15" localSheetId="8">[1]Sheet1!#REF!</definedName>
    <definedName name="_8B_15" localSheetId="4">[1]Sheet1!#REF!</definedName>
    <definedName name="_8B_15" localSheetId="1">[1]Sheet1!#REF!</definedName>
    <definedName name="_8B_15">[1]Sheet1!#REF!</definedName>
    <definedName name="_8B_16" localSheetId="5">[1]Sheet1!#REF!</definedName>
    <definedName name="_8B_16" localSheetId="3">[1]Sheet1!#REF!</definedName>
    <definedName name="_8B_16" localSheetId="6">[1]Sheet1!#REF!</definedName>
    <definedName name="_8B_16" localSheetId="7">[1]Sheet1!#REF!</definedName>
    <definedName name="_8B_16" localSheetId="8">[1]Sheet1!#REF!</definedName>
    <definedName name="_8B_16" localSheetId="4">[1]Sheet1!#REF!</definedName>
    <definedName name="_8B_16" localSheetId="1">[1]Sheet1!#REF!</definedName>
    <definedName name="_8B_16">[1]Sheet1!#REF!</definedName>
    <definedName name="_8B_17" localSheetId="5">[1]Sheet1!#REF!</definedName>
    <definedName name="_8B_17" localSheetId="3">[1]Sheet1!#REF!</definedName>
    <definedName name="_8B_17" localSheetId="6">[1]Sheet1!#REF!</definedName>
    <definedName name="_8B_17" localSheetId="7">[1]Sheet1!#REF!</definedName>
    <definedName name="_8B_17" localSheetId="8">[1]Sheet1!#REF!</definedName>
    <definedName name="_8B_17" localSheetId="4">[1]Sheet1!#REF!</definedName>
    <definedName name="_8B_17" localSheetId="1">[1]Sheet1!#REF!</definedName>
    <definedName name="_8B_17">[1]Sheet1!#REF!</definedName>
    <definedName name="_8B_18" localSheetId="5">[1]Sheet1!#REF!</definedName>
    <definedName name="_8B_18" localSheetId="3">[1]Sheet1!#REF!</definedName>
    <definedName name="_8B_18" localSheetId="6">[1]Sheet1!#REF!</definedName>
    <definedName name="_8B_18" localSheetId="7">[1]Sheet1!#REF!</definedName>
    <definedName name="_8B_18" localSheetId="8">[1]Sheet1!#REF!</definedName>
    <definedName name="_8B_18" localSheetId="4">[1]Sheet1!#REF!</definedName>
    <definedName name="_8B_18" localSheetId="1">[1]Sheet1!#REF!</definedName>
    <definedName name="_8B_18">[1]Sheet1!#REF!</definedName>
    <definedName name="_8B_19" localSheetId="5">[1]Sheet1!#REF!</definedName>
    <definedName name="_8B_19" localSheetId="3">[1]Sheet1!#REF!</definedName>
    <definedName name="_8B_19" localSheetId="6">[1]Sheet1!#REF!</definedName>
    <definedName name="_8B_19" localSheetId="7">[1]Sheet1!#REF!</definedName>
    <definedName name="_8B_19" localSheetId="8">[1]Sheet1!#REF!</definedName>
    <definedName name="_8B_19" localSheetId="4">[1]Sheet1!#REF!</definedName>
    <definedName name="_8B_19" localSheetId="1">[1]Sheet1!#REF!</definedName>
    <definedName name="_8B_19">[1]Sheet1!#REF!</definedName>
    <definedName name="_8B_2" localSheetId="5">[1]Sheet1!#REF!</definedName>
    <definedName name="_8B_2" localSheetId="3">[1]Sheet1!#REF!</definedName>
    <definedName name="_8B_2" localSheetId="6">[1]Sheet1!#REF!</definedName>
    <definedName name="_8B_2" localSheetId="7">[1]Sheet1!#REF!</definedName>
    <definedName name="_8B_2" localSheetId="8">[1]Sheet1!#REF!</definedName>
    <definedName name="_8B_2" localSheetId="4">[1]Sheet1!#REF!</definedName>
    <definedName name="_8B_2" localSheetId="1">[1]Sheet1!#REF!</definedName>
    <definedName name="_8B_2">[1]Sheet1!#REF!</definedName>
    <definedName name="_8B_20" localSheetId="5">[1]Sheet1!#REF!</definedName>
    <definedName name="_8B_20" localSheetId="3">[1]Sheet1!#REF!</definedName>
    <definedName name="_8B_20" localSheetId="6">[1]Sheet1!#REF!</definedName>
    <definedName name="_8B_20" localSheetId="7">[1]Sheet1!#REF!</definedName>
    <definedName name="_8B_20" localSheetId="8">[1]Sheet1!#REF!</definedName>
    <definedName name="_8B_20" localSheetId="4">[1]Sheet1!#REF!</definedName>
    <definedName name="_8B_20" localSheetId="1">[1]Sheet1!#REF!</definedName>
    <definedName name="_8B_20">[1]Sheet1!#REF!</definedName>
    <definedName name="_8B_21" localSheetId="5">[1]Sheet1!#REF!</definedName>
    <definedName name="_8B_21" localSheetId="3">[1]Sheet1!#REF!</definedName>
    <definedName name="_8B_21" localSheetId="6">[1]Sheet1!#REF!</definedName>
    <definedName name="_8B_21" localSheetId="7">[1]Sheet1!#REF!</definedName>
    <definedName name="_8B_21" localSheetId="8">[1]Sheet1!#REF!</definedName>
    <definedName name="_8B_21" localSheetId="4">[1]Sheet1!#REF!</definedName>
    <definedName name="_8B_21" localSheetId="1">[1]Sheet1!#REF!</definedName>
    <definedName name="_8B_21">[1]Sheet1!#REF!</definedName>
    <definedName name="_8B_22" localSheetId="5">[1]Sheet1!#REF!</definedName>
    <definedName name="_8B_22" localSheetId="3">[1]Sheet1!#REF!</definedName>
    <definedName name="_8B_22" localSheetId="6">[1]Sheet1!#REF!</definedName>
    <definedName name="_8B_22" localSheetId="7">[1]Sheet1!#REF!</definedName>
    <definedName name="_8B_22" localSheetId="8">[1]Sheet1!#REF!</definedName>
    <definedName name="_8B_22" localSheetId="4">[1]Sheet1!#REF!</definedName>
    <definedName name="_8B_22" localSheetId="1">[1]Sheet1!#REF!</definedName>
    <definedName name="_8B_22">[1]Sheet1!#REF!</definedName>
    <definedName name="_8B_23" localSheetId="5">[1]Sheet1!#REF!</definedName>
    <definedName name="_8B_23" localSheetId="3">[1]Sheet1!#REF!</definedName>
    <definedName name="_8B_23" localSheetId="6">[1]Sheet1!#REF!</definedName>
    <definedName name="_8B_23" localSheetId="7">[1]Sheet1!#REF!</definedName>
    <definedName name="_8B_23" localSheetId="8">[1]Sheet1!#REF!</definedName>
    <definedName name="_8B_23" localSheetId="4">[1]Sheet1!#REF!</definedName>
    <definedName name="_8B_23" localSheetId="1">[1]Sheet1!#REF!</definedName>
    <definedName name="_8B_23">[1]Sheet1!#REF!</definedName>
    <definedName name="_8B_24" localSheetId="5">[1]Sheet1!#REF!</definedName>
    <definedName name="_8B_24" localSheetId="3">[1]Sheet1!#REF!</definedName>
    <definedName name="_8B_24" localSheetId="6">[1]Sheet1!#REF!</definedName>
    <definedName name="_8B_24" localSheetId="7">[1]Sheet1!#REF!</definedName>
    <definedName name="_8B_24" localSheetId="8">[1]Sheet1!#REF!</definedName>
    <definedName name="_8B_24" localSheetId="4">[1]Sheet1!#REF!</definedName>
    <definedName name="_8B_24" localSheetId="1">[1]Sheet1!#REF!</definedName>
    <definedName name="_8B_24">[1]Sheet1!#REF!</definedName>
    <definedName name="_8B_25" localSheetId="5">[1]Sheet1!#REF!</definedName>
    <definedName name="_8B_25" localSheetId="3">[1]Sheet1!#REF!</definedName>
    <definedName name="_8B_25" localSheetId="6">[1]Sheet1!#REF!</definedName>
    <definedName name="_8B_25" localSheetId="7">[1]Sheet1!#REF!</definedName>
    <definedName name="_8B_25" localSheetId="8">[1]Sheet1!#REF!</definedName>
    <definedName name="_8B_25" localSheetId="4">[1]Sheet1!#REF!</definedName>
    <definedName name="_8B_25" localSheetId="1">[1]Sheet1!#REF!</definedName>
    <definedName name="_8B_25">[1]Sheet1!#REF!</definedName>
    <definedName name="_8B_26" localSheetId="5">[1]Sheet1!#REF!</definedName>
    <definedName name="_8B_26" localSheetId="3">[1]Sheet1!#REF!</definedName>
    <definedName name="_8B_26" localSheetId="6">[1]Sheet1!#REF!</definedName>
    <definedName name="_8B_26" localSheetId="7">[1]Sheet1!#REF!</definedName>
    <definedName name="_8B_26" localSheetId="8">[1]Sheet1!#REF!</definedName>
    <definedName name="_8B_26" localSheetId="4">[1]Sheet1!#REF!</definedName>
    <definedName name="_8B_26" localSheetId="1">[1]Sheet1!#REF!</definedName>
    <definedName name="_8B_26">[1]Sheet1!#REF!</definedName>
    <definedName name="_8B_27" localSheetId="5">[1]Sheet1!#REF!</definedName>
    <definedName name="_8B_27" localSheetId="3">[1]Sheet1!#REF!</definedName>
    <definedName name="_8B_27" localSheetId="6">[1]Sheet1!#REF!</definedName>
    <definedName name="_8B_27" localSheetId="7">[1]Sheet1!#REF!</definedName>
    <definedName name="_8B_27" localSheetId="8">[1]Sheet1!#REF!</definedName>
    <definedName name="_8B_27" localSheetId="4">[1]Sheet1!#REF!</definedName>
    <definedName name="_8B_27" localSheetId="1">[1]Sheet1!#REF!</definedName>
    <definedName name="_8B_27">[1]Sheet1!#REF!</definedName>
    <definedName name="_8B_28" localSheetId="5">[1]Sheet1!#REF!</definedName>
    <definedName name="_8B_28" localSheetId="3">[1]Sheet1!#REF!</definedName>
    <definedName name="_8B_28" localSheetId="6">[1]Sheet1!#REF!</definedName>
    <definedName name="_8B_28" localSheetId="7">[1]Sheet1!#REF!</definedName>
    <definedName name="_8B_28" localSheetId="8">[1]Sheet1!#REF!</definedName>
    <definedName name="_8B_28" localSheetId="4">[1]Sheet1!#REF!</definedName>
    <definedName name="_8B_28" localSheetId="1">[1]Sheet1!#REF!</definedName>
    <definedName name="_8B_28">[1]Sheet1!#REF!</definedName>
    <definedName name="_8B_29" localSheetId="5">[1]Sheet1!#REF!</definedName>
    <definedName name="_8B_29" localSheetId="3">[1]Sheet1!#REF!</definedName>
    <definedName name="_8B_29" localSheetId="6">[1]Sheet1!#REF!</definedName>
    <definedName name="_8B_29" localSheetId="7">[1]Sheet1!#REF!</definedName>
    <definedName name="_8B_29" localSheetId="8">[1]Sheet1!#REF!</definedName>
    <definedName name="_8B_29" localSheetId="4">[1]Sheet1!#REF!</definedName>
    <definedName name="_8B_29" localSheetId="1">[1]Sheet1!#REF!</definedName>
    <definedName name="_8B_29">[1]Sheet1!#REF!</definedName>
    <definedName name="_8B_3" localSheetId="5">[1]Sheet1!#REF!</definedName>
    <definedName name="_8B_3" localSheetId="3">[1]Sheet1!#REF!</definedName>
    <definedName name="_8B_3" localSheetId="6">[1]Sheet1!#REF!</definedName>
    <definedName name="_8B_3" localSheetId="7">[1]Sheet1!#REF!</definedName>
    <definedName name="_8B_3" localSheetId="8">[1]Sheet1!#REF!</definedName>
    <definedName name="_8B_3" localSheetId="4">[1]Sheet1!#REF!</definedName>
    <definedName name="_8B_3" localSheetId="1">[1]Sheet1!#REF!</definedName>
    <definedName name="_8B_3">[1]Sheet1!#REF!</definedName>
    <definedName name="_8B_30" localSheetId="5">[1]Sheet1!#REF!</definedName>
    <definedName name="_8B_30" localSheetId="3">[1]Sheet1!#REF!</definedName>
    <definedName name="_8B_30" localSheetId="6">[1]Sheet1!#REF!</definedName>
    <definedName name="_8B_30" localSheetId="7">[1]Sheet1!#REF!</definedName>
    <definedName name="_8B_30" localSheetId="8">[1]Sheet1!#REF!</definedName>
    <definedName name="_8B_30" localSheetId="4">[1]Sheet1!#REF!</definedName>
    <definedName name="_8B_30" localSheetId="1">[1]Sheet1!#REF!</definedName>
    <definedName name="_8B_30">[1]Sheet1!#REF!</definedName>
    <definedName name="_8B_4" localSheetId="5">[1]Sheet1!#REF!</definedName>
    <definedName name="_8B_4" localSheetId="3">[1]Sheet1!#REF!</definedName>
    <definedName name="_8B_4" localSheetId="6">[1]Sheet1!#REF!</definedName>
    <definedName name="_8B_4" localSheetId="7">[1]Sheet1!#REF!</definedName>
    <definedName name="_8B_4" localSheetId="8">[1]Sheet1!#REF!</definedName>
    <definedName name="_8B_4" localSheetId="4">[1]Sheet1!#REF!</definedName>
    <definedName name="_8B_4" localSheetId="1">[1]Sheet1!#REF!</definedName>
    <definedName name="_8B_4">[1]Sheet1!#REF!</definedName>
    <definedName name="_8B_5" localSheetId="5">[1]Sheet1!#REF!</definedName>
    <definedName name="_8B_5" localSheetId="3">[1]Sheet1!#REF!</definedName>
    <definedName name="_8B_5" localSheetId="6">[1]Sheet1!#REF!</definedName>
    <definedName name="_8B_5" localSheetId="7">[1]Sheet1!#REF!</definedName>
    <definedName name="_8B_5" localSheetId="8">[1]Sheet1!#REF!</definedName>
    <definedName name="_8B_5" localSheetId="4">[1]Sheet1!#REF!</definedName>
    <definedName name="_8B_5" localSheetId="1">[1]Sheet1!#REF!</definedName>
    <definedName name="_8B_5">[1]Sheet1!#REF!</definedName>
    <definedName name="_8B_6" localSheetId="5">[1]Sheet1!#REF!</definedName>
    <definedName name="_8B_6" localSheetId="3">[1]Sheet1!#REF!</definedName>
    <definedName name="_8B_6" localSheetId="6">[1]Sheet1!#REF!</definedName>
    <definedName name="_8B_6" localSheetId="7">[1]Sheet1!#REF!</definedName>
    <definedName name="_8B_6" localSheetId="8">[1]Sheet1!#REF!</definedName>
    <definedName name="_8B_6" localSheetId="4">[1]Sheet1!#REF!</definedName>
    <definedName name="_8B_6" localSheetId="1">[1]Sheet1!#REF!</definedName>
    <definedName name="_8B_6">[1]Sheet1!#REF!</definedName>
    <definedName name="_8B_7" localSheetId="5">[1]Sheet1!#REF!</definedName>
    <definedName name="_8B_7" localSheetId="3">[1]Sheet1!#REF!</definedName>
    <definedName name="_8B_7" localSheetId="6">[1]Sheet1!#REF!</definedName>
    <definedName name="_8B_7" localSheetId="7">[1]Sheet1!#REF!</definedName>
    <definedName name="_8B_7" localSheetId="8">[1]Sheet1!#REF!</definedName>
    <definedName name="_8B_7" localSheetId="4">[1]Sheet1!#REF!</definedName>
    <definedName name="_8B_7" localSheetId="1">[1]Sheet1!#REF!</definedName>
    <definedName name="_8B_7">[1]Sheet1!#REF!</definedName>
    <definedName name="_8B_8" localSheetId="5">[1]Sheet1!#REF!</definedName>
    <definedName name="_8B_8" localSheetId="3">[1]Sheet1!#REF!</definedName>
    <definedName name="_8B_8" localSheetId="6">[1]Sheet1!#REF!</definedName>
    <definedName name="_8B_8" localSheetId="7">[1]Sheet1!#REF!</definedName>
    <definedName name="_8B_8" localSheetId="8">[1]Sheet1!#REF!</definedName>
    <definedName name="_8B_8" localSheetId="4">[1]Sheet1!#REF!</definedName>
    <definedName name="_8B_8" localSheetId="1">[1]Sheet1!#REF!</definedName>
    <definedName name="_8B_8">[1]Sheet1!#REF!</definedName>
    <definedName name="_8B_9" localSheetId="5">[1]Sheet1!#REF!</definedName>
    <definedName name="_8B_9" localSheetId="3">[1]Sheet1!#REF!</definedName>
    <definedName name="_8B_9" localSheetId="6">[1]Sheet1!#REF!</definedName>
    <definedName name="_8B_9" localSheetId="7">[1]Sheet1!#REF!</definedName>
    <definedName name="_8B_9" localSheetId="8">[1]Sheet1!#REF!</definedName>
    <definedName name="_8B_9" localSheetId="4">[1]Sheet1!#REF!</definedName>
    <definedName name="_8B_9" localSheetId="1">[1]Sheet1!#REF!</definedName>
    <definedName name="_8B_9">[1]Sheet1!#REF!</definedName>
    <definedName name="_8C_1" localSheetId="5">[1]Sheet1!#REF!</definedName>
    <definedName name="_8C_1" localSheetId="3">[1]Sheet1!#REF!</definedName>
    <definedName name="_8C_1" localSheetId="6">[1]Sheet1!#REF!</definedName>
    <definedName name="_8C_1" localSheetId="7">[1]Sheet1!#REF!</definedName>
    <definedName name="_8C_1" localSheetId="8">[1]Sheet1!#REF!</definedName>
    <definedName name="_8C_1" localSheetId="4">[1]Sheet1!#REF!</definedName>
    <definedName name="_8C_1" localSheetId="1">[1]Sheet1!#REF!</definedName>
    <definedName name="_8C_1">[1]Sheet1!#REF!</definedName>
    <definedName name="_8C_10" localSheetId="5">[1]Sheet1!#REF!</definedName>
    <definedName name="_8C_10" localSheetId="3">[1]Sheet1!#REF!</definedName>
    <definedName name="_8C_10" localSheetId="6">[1]Sheet1!#REF!</definedName>
    <definedName name="_8C_10" localSheetId="7">[1]Sheet1!#REF!</definedName>
    <definedName name="_8C_10" localSheetId="8">[1]Sheet1!#REF!</definedName>
    <definedName name="_8C_10" localSheetId="4">[1]Sheet1!#REF!</definedName>
    <definedName name="_8C_10" localSheetId="1">[1]Sheet1!#REF!</definedName>
    <definedName name="_8C_10">[1]Sheet1!#REF!</definedName>
    <definedName name="_8C_11" localSheetId="5">[1]Sheet1!#REF!</definedName>
    <definedName name="_8C_11" localSheetId="3">[1]Sheet1!#REF!</definedName>
    <definedName name="_8C_11" localSheetId="6">[1]Sheet1!#REF!</definedName>
    <definedName name="_8C_11" localSheetId="7">[1]Sheet1!#REF!</definedName>
    <definedName name="_8C_11" localSheetId="8">[1]Sheet1!#REF!</definedName>
    <definedName name="_8C_11" localSheetId="4">[1]Sheet1!#REF!</definedName>
    <definedName name="_8C_11" localSheetId="1">[1]Sheet1!#REF!</definedName>
    <definedName name="_8C_11">[1]Sheet1!#REF!</definedName>
    <definedName name="_8C_12" localSheetId="5">[1]Sheet1!#REF!</definedName>
    <definedName name="_8C_12" localSheetId="3">[1]Sheet1!#REF!</definedName>
    <definedName name="_8C_12" localSheetId="6">[1]Sheet1!#REF!</definedName>
    <definedName name="_8C_12" localSheetId="7">[1]Sheet1!#REF!</definedName>
    <definedName name="_8C_12" localSheetId="8">[1]Sheet1!#REF!</definedName>
    <definedName name="_8C_12" localSheetId="4">[1]Sheet1!#REF!</definedName>
    <definedName name="_8C_12" localSheetId="1">[1]Sheet1!#REF!</definedName>
    <definedName name="_8C_12">[1]Sheet1!#REF!</definedName>
    <definedName name="_8C_13" localSheetId="5">[1]Sheet1!#REF!</definedName>
    <definedName name="_8C_13" localSheetId="3">[1]Sheet1!#REF!</definedName>
    <definedName name="_8C_13" localSheetId="6">[1]Sheet1!#REF!</definedName>
    <definedName name="_8C_13" localSheetId="7">[1]Sheet1!#REF!</definedName>
    <definedName name="_8C_13" localSheetId="8">[1]Sheet1!#REF!</definedName>
    <definedName name="_8C_13" localSheetId="4">[1]Sheet1!#REF!</definedName>
    <definedName name="_8C_13" localSheetId="1">[1]Sheet1!#REF!</definedName>
    <definedName name="_8C_13">[1]Sheet1!#REF!</definedName>
    <definedName name="_8C_14" localSheetId="5">[1]Sheet1!#REF!</definedName>
    <definedName name="_8C_14" localSheetId="3">[1]Sheet1!#REF!</definedName>
    <definedName name="_8C_14" localSheetId="6">[1]Sheet1!#REF!</definedName>
    <definedName name="_8C_14" localSheetId="7">[1]Sheet1!#REF!</definedName>
    <definedName name="_8C_14" localSheetId="8">[1]Sheet1!#REF!</definedName>
    <definedName name="_8C_14" localSheetId="4">[1]Sheet1!#REF!</definedName>
    <definedName name="_8C_14" localSheetId="1">[1]Sheet1!#REF!</definedName>
    <definedName name="_8C_14">[1]Sheet1!#REF!</definedName>
    <definedName name="_8C_15" localSheetId="5">[1]Sheet1!#REF!</definedName>
    <definedName name="_8C_15" localSheetId="3">[1]Sheet1!#REF!</definedName>
    <definedName name="_8C_15" localSheetId="6">[1]Sheet1!#REF!</definedName>
    <definedName name="_8C_15" localSheetId="7">[1]Sheet1!#REF!</definedName>
    <definedName name="_8C_15" localSheetId="8">[1]Sheet1!#REF!</definedName>
    <definedName name="_8C_15" localSheetId="4">[1]Sheet1!#REF!</definedName>
    <definedName name="_8C_15" localSheetId="1">[1]Sheet1!#REF!</definedName>
    <definedName name="_8C_15">[1]Sheet1!#REF!</definedName>
    <definedName name="_8C_16" localSheetId="5">[1]Sheet1!#REF!</definedName>
    <definedName name="_8C_16" localSheetId="3">[1]Sheet1!#REF!</definedName>
    <definedName name="_8C_16" localSheetId="6">[1]Sheet1!#REF!</definedName>
    <definedName name="_8C_16" localSheetId="7">[1]Sheet1!#REF!</definedName>
    <definedName name="_8C_16" localSheetId="8">[1]Sheet1!#REF!</definedName>
    <definedName name="_8C_16" localSheetId="4">[1]Sheet1!#REF!</definedName>
    <definedName name="_8C_16" localSheetId="1">[1]Sheet1!#REF!</definedName>
    <definedName name="_8C_16">[1]Sheet1!#REF!</definedName>
    <definedName name="_8C_17" localSheetId="5">[1]Sheet1!#REF!</definedName>
    <definedName name="_8C_17" localSheetId="3">[1]Sheet1!#REF!</definedName>
    <definedName name="_8C_17" localSheetId="6">[1]Sheet1!#REF!</definedName>
    <definedName name="_8C_17" localSheetId="7">[1]Sheet1!#REF!</definedName>
    <definedName name="_8C_17" localSheetId="8">[1]Sheet1!#REF!</definedName>
    <definedName name="_8C_17" localSheetId="4">[1]Sheet1!#REF!</definedName>
    <definedName name="_8C_17" localSheetId="1">[1]Sheet1!#REF!</definedName>
    <definedName name="_8C_17">[1]Sheet1!#REF!</definedName>
    <definedName name="_8C_18" localSheetId="5">[1]Sheet1!#REF!</definedName>
    <definedName name="_8C_18" localSheetId="3">[1]Sheet1!#REF!</definedName>
    <definedName name="_8C_18" localSheetId="6">[1]Sheet1!#REF!</definedName>
    <definedName name="_8C_18" localSheetId="7">[1]Sheet1!#REF!</definedName>
    <definedName name="_8C_18" localSheetId="8">[1]Sheet1!#REF!</definedName>
    <definedName name="_8C_18" localSheetId="4">[1]Sheet1!#REF!</definedName>
    <definedName name="_8C_18" localSheetId="1">[1]Sheet1!#REF!</definedName>
    <definedName name="_8C_18">[1]Sheet1!#REF!</definedName>
    <definedName name="_8C_19" localSheetId="5">[1]Sheet1!#REF!</definedName>
    <definedName name="_8C_19" localSheetId="3">[1]Sheet1!#REF!</definedName>
    <definedName name="_8C_19" localSheetId="6">[1]Sheet1!#REF!</definedName>
    <definedName name="_8C_19" localSheetId="7">[1]Sheet1!#REF!</definedName>
    <definedName name="_8C_19" localSheetId="8">[1]Sheet1!#REF!</definedName>
    <definedName name="_8C_19" localSheetId="4">[1]Sheet1!#REF!</definedName>
    <definedName name="_8C_19" localSheetId="1">[1]Sheet1!#REF!</definedName>
    <definedName name="_8C_19">[1]Sheet1!#REF!</definedName>
    <definedName name="_8C_2" localSheetId="5">[1]Sheet1!#REF!</definedName>
    <definedName name="_8C_2" localSheetId="3">[1]Sheet1!#REF!</definedName>
    <definedName name="_8C_2" localSheetId="6">[1]Sheet1!#REF!</definedName>
    <definedName name="_8C_2" localSheetId="7">[1]Sheet1!#REF!</definedName>
    <definedName name="_8C_2" localSheetId="8">[1]Sheet1!#REF!</definedName>
    <definedName name="_8C_2" localSheetId="4">[1]Sheet1!#REF!</definedName>
    <definedName name="_8C_2" localSheetId="1">[1]Sheet1!#REF!</definedName>
    <definedName name="_8C_2">[1]Sheet1!#REF!</definedName>
    <definedName name="_8C_20" localSheetId="5">[1]Sheet1!#REF!</definedName>
    <definedName name="_8C_20" localSheetId="3">[1]Sheet1!#REF!</definedName>
    <definedName name="_8C_20" localSheetId="6">[1]Sheet1!#REF!</definedName>
    <definedName name="_8C_20" localSheetId="7">[1]Sheet1!#REF!</definedName>
    <definedName name="_8C_20" localSheetId="8">[1]Sheet1!#REF!</definedName>
    <definedName name="_8C_20" localSheetId="4">[1]Sheet1!#REF!</definedName>
    <definedName name="_8C_20" localSheetId="1">[1]Sheet1!#REF!</definedName>
    <definedName name="_8C_20">[1]Sheet1!#REF!</definedName>
    <definedName name="_8C_21" localSheetId="5">[1]Sheet1!#REF!</definedName>
    <definedName name="_8C_21" localSheetId="3">[1]Sheet1!#REF!</definedName>
    <definedName name="_8C_21" localSheetId="6">[1]Sheet1!#REF!</definedName>
    <definedName name="_8C_21" localSheetId="7">[1]Sheet1!#REF!</definedName>
    <definedName name="_8C_21" localSheetId="8">[1]Sheet1!#REF!</definedName>
    <definedName name="_8C_21" localSheetId="4">[1]Sheet1!#REF!</definedName>
    <definedName name="_8C_21" localSheetId="1">[1]Sheet1!#REF!</definedName>
    <definedName name="_8C_21">[1]Sheet1!#REF!</definedName>
    <definedName name="_8C_22" localSheetId="5">[1]Sheet1!#REF!</definedName>
    <definedName name="_8C_22" localSheetId="3">[1]Sheet1!#REF!</definedName>
    <definedName name="_8C_22" localSheetId="6">[1]Sheet1!#REF!</definedName>
    <definedName name="_8C_22" localSheetId="7">[1]Sheet1!#REF!</definedName>
    <definedName name="_8C_22" localSheetId="8">[1]Sheet1!#REF!</definedName>
    <definedName name="_8C_22" localSheetId="4">[1]Sheet1!#REF!</definedName>
    <definedName name="_8C_22" localSheetId="1">[1]Sheet1!#REF!</definedName>
    <definedName name="_8C_22">[1]Sheet1!#REF!</definedName>
    <definedName name="_8C_23" localSheetId="5">[1]Sheet1!#REF!</definedName>
    <definedName name="_8C_23" localSheetId="3">[1]Sheet1!#REF!</definedName>
    <definedName name="_8C_23" localSheetId="6">[1]Sheet1!#REF!</definedName>
    <definedName name="_8C_23" localSheetId="7">[1]Sheet1!#REF!</definedName>
    <definedName name="_8C_23" localSheetId="8">[1]Sheet1!#REF!</definedName>
    <definedName name="_8C_23" localSheetId="4">[1]Sheet1!#REF!</definedName>
    <definedName name="_8C_23" localSheetId="1">[1]Sheet1!#REF!</definedName>
    <definedName name="_8C_23">[1]Sheet1!#REF!</definedName>
    <definedName name="_8C_24" localSheetId="5">[1]Sheet1!#REF!</definedName>
    <definedName name="_8C_24" localSheetId="3">[1]Sheet1!#REF!</definedName>
    <definedName name="_8C_24" localSheetId="6">[1]Sheet1!#REF!</definedName>
    <definedName name="_8C_24" localSheetId="7">[1]Sheet1!#REF!</definedName>
    <definedName name="_8C_24" localSheetId="8">[1]Sheet1!#REF!</definedName>
    <definedName name="_8C_24" localSheetId="4">[1]Sheet1!#REF!</definedName>
    <definedName name="_8C_24" localSheetId="1">[1]Sheet1!#REF!</definedName>
    <definedName name="_8C_24">[1]Sheet1!#REF!</definedName>
    <definedName name="_8C_25" localSheetId="5">[1]Sheet1!#REF!</definedName>
    <definedName name="_8C_25" localSheetId="3">[1]Sheet1!#REF!</definedName>
    <definedName name="_8C_25" localSheetId="6">[1]Sheet1!#REF!</definedName>
    <definedName name="_8C_25" localSheetId="7">[1]Sheet1!#REF!</definedName>
    <definedName name="_8C_25" localSheetId="8">[1]Sheet1!#REF!</definedName>
    <definedName name="_8C_25" localSheetId="4">[1]Sheet1!#REF!</definedName>
    <definedName name="_8C_25" localSheetId="1">[1]Sheet1!#REF!</definedName>
    <definedName name="_8C_25">[1]Sheet1!#REF!</definedName>
    <definedName name="_8C_26" localSheetId="5">[1]Sheet1!#REF!</definedName>
    <definedName name="_8C_26" localSheetId="3">[1]Sheet1!#REF!</definedName>
    <definedName name="_8C_26" localSheetId="6">[1]Sheet1!#REF!</definedName>
    <definedName name="_8C_26" localSheetId="7">[1]Sheet1!#REF!</definedName>
    <definedName name="_8C_26" localSheetId="8">[1]Sheet1!#REF!</definedName>
    <definedName name="_8C_26" localSheetId="4">[1]Sheet1!#REF!</definedName>
    <definedName name="_8C_26" localSheetId="1">[1]Sheet1!#REF!</definedName>
    <definedName name="_8C_26">[1]Sheet1!#REF!</definedName>
    <definedName name="_8C_27" localSheetId="5">[1]Sheet1!#REF!</definedName>
    <definedName name="_8C_27" localSheetId="3">[1]Sheet1!#REF!</definedName>
    <definedName name="_8C_27" localSheetId="6">[1]Sheet1!#REF!</definedName>
    <definedName name="_8C_27" localSheetId="7">[1]Sheet1!#REF!</definedName>
    <definedName name="_8C_27" localSheetId="8">[1]Sheet1!#REF!</definedName>
    <definedName name="_8C_27" localSheetId="4">[1]Sheet1!#REF!</definedName>
    <definedName name="_8C_27" localSheetId="1">[1]Sheet1!#REF!</definedName>
    <definedName name="_8C_27">[1]Sheet1!#REF!</definedName>
    <definedName name="_8C_28" localSheetId="5">[1]Sheet1!#REF!</definedName>
    <definedName name="_8C_28" localSheetId="3">[1]Sheet1!#REF!</definedName>
    <definedName name="_8C_28" localSheetId="6">[1]Sheet1!#REF!</definedName>
    <definedName name="_8C_28" localSheetId="7">[1]Sheet1!#REF!</definedName>
    <definedName name="_8C_28" localSheetId="8">[1]Sheet1!#REF!</definedName>
    <definedName name="_8C_28" localSheetId="4">[1]Sheet1!#REF!</definedName>
    <definedName name="_8C_28" localSheetId="1">[1]Sheet1!#REF!</definedName>
    <definedName name="_8C_28">[1]Sheet1!#REF!</definedName>
    <definedName name="_8C_29" localSheetId="5">[1]Sheet1!#REF!</definedName>
    <definedName name="_8C_29" localSheetId="3">[1]Sheet1!#REF!</definedName>
    <definedName name="_8C_29" localSheetId="6">[1]Sheet1!#REF!</definedName>
    <definedName name="_8C_29" localSheetId="7">[1]Sheet1!#REF!</definedName>
    <definedName name="_8C_29" localSheetId="8">[1]Sheet1!#REF!</definedName>
    <definedName name="_8C_29" localSheetId="4">[1]Sheet1!#REF!</definedName>
    <definedName name="_8C_29" localSheetId="1">[1]Sheet1!#REF!</definedName>
    <definedName name="_8C_29">[1]Sheet1!#REF!</definedName>
    <definedName name="_8C_3" localSheetId="5">[1]Sheet1!#REF!</definedName>
    <definedName name="_8C_3" localSheetId="3">[1]Sheet1!#REF!</definedName>
    <definedName name="_8C_3" localSheetId="6">[1]Sheet1!#REF!</definedName>
    <definedName name="_8C_3" localSheetId="7">[1]Sheet1!#REF!</definedName>
    <definedName name="_8C_3" localSheetId="8">[1]Sheet1!#REF!</definedName>
    <definedName name="_8C_3" localSheetId="4">[1]Sheet1!#REF!</definedName>
    <definedName name="_8C_3" localSheetId="1">[1]Sheet1!#REF!</definedName>
    <definedName name="_8C_3">[1]Sheet1!#REF!</definedName>
    <definedName name="_8C_30" localSheetId="5">[1]Sheet1!#REF!</definedName>
    <definedName name="_8C_30" localSheetId="3">[1]Sheet1!#REF!</definedName>
    <definedName name="_8C_30" localSheetId="6">[1]Sheet1!#REF!</definedName>
    <definedName name="_8C_30" localSheetId="7">[1]Sheet1!#REF!</definedName>
    <definedName name="_8C_30" localSheetId="8">[1]Sheet1!#REF!</definedName>
    <definedName name="_8C_30" localSheetId="4">[1]Sheet1!#REF!</definedName>
    <definedName name="_8C_30" localSheetId="1">[1]Sheet1!#REF!</definedName>
    <definedName name="_8C_30">[1]Sheet1!#REF!</definedName>
    <definedName name="_8C_4" localSheetId="5">[1]Sheet1!#REF!</definedName>
    <definedName name="_8C_4" localSheetId="3">[1]Sheet1!#REF!</definedName>
    <definedName name="_8C_4" localSheetId="6">[1]Sheet1!#REF!</definedName>
    <definedName name="_8C_4" localSheetId="7">[1]Sheet1!#REF!</definedName>
    <definedName name="_8C_4" localSheetId="8">[1]Sheet1!#REF!</definedName>
    <definedName name="_8C_4" localSheetId="4">[1]Sheet1!#REF!</definedName>
    <definedName name="_8C_4" localSheetId="1">[1]Sheet1!#REF!</definedName>
    <definedName name="_8C_4">[1]Sheet1!#REF!</definedName>
    <definedName name="_8C_5" localSheetId="5">[1]Sheet1!#REF!</definedName>
    <definedName name="_8C_5" localSheetId="3">[1]Sheet1!#REF!</definedName>
    <definedName name="_8C_5" localSheetId="6">[1]Sheet1!#REF!</definedName>
    <definedName name="_8C_5" localSheetId="7">[1]Sheet1!#REF!</definedName>
    <definedName name="_8C_5" localSheetId="8">[1]Sheet1!#REF!</definedName>
    <definedName name="_8C_5" localSheetId="4">[1]Sheet1!#REF!</definedName>
    <definedName name="_8C_5" localSheetId="1">[1]Sheet1!#REF!</definedName>
    <definedName name="_8C_5">[1]Sheet1!#REF!</definedName>
    <definedName name="_8C_6" localSheetId="5">[1]Sheet1!#REF!</definedName>
    <definedName name="_8C_6" localSheetId="3">[1]Sheet1!#REF!</definedName>
    <definedName name="_8C_6" localSheetId="6">[1]Sheet1!#REF!</definedName>
    <definedName name="_8C_6" localSheetId="7">[1]Sheet1!#REF!</definedName>
    <definedName name="_8C_6" localSheetId="8">[1]Sheet1!#REF!</definedName>
    <definedName name="_8C_6" localSheetId="4">[1]Sheet1!#REF!</definedName>
    <definedName name="_8C_6" localSheetId="1">[1]Sheet1!#REF!</definedName>
    <definedName name="_8C_6">[1]Sheet1!#REF!</definedName>
    <definedName name="_8C_7" localSheetId="5">[1]Sheet1!#REF!</definedName>
    <definedName name="_8C_7" localSheetId="3">[1]Sheet1!#REF!</definedName>
    <definedName name="_8C_7" localSheetId="6">[1]Sheet1!#REF!</definedName>
    <definedName name="_8C_7" localSheetId="7">[1]Sheet1!#REF!</definedName>
    <definedName name="_8C_7" localSheetId="8">[1]Sheet1!#REF!</definedName>
    <definedName name="_8C_7" localSheetId="4">[1]Sheet1!#REF!</definedName>
    <definedName name="_8C_7" localSheetId="1">[1]Sheet1!#REF!</definedName>
    <definedName name="_8C_7">[1]Sheet1!#REF!</definedName>
    <definedName name="_8C_8" localSheetId="5">[1]Sheet1!#REF!</definedName>
    <definedName name="_8C_8" localSheetId="3">[1]Sheet1!#REF!</definedName>
    <definedName name="_8C_8" localSheetId="6">[1]Sheet1!#REF!</definedName>
    <definedName name="_8C_8" localSheetId="7">[1]Sheet1!#REF!</definedName>
    <definedName name="_8C_8" localSheetId="8">[1]Sheet1!#REF!</definedName>
    <definedName name="_8C_8" localSheetId="4">[1]Sheet1!#REF!</definedName>
    <definedName name="_8C_8" localSheetId="1">[1]Sheet1!#REF!</definedName>
    <definedName name="_8C_8">[1]Sheet1!#REF!</definedName>
    <definedName name="_8C_9" localSheetId="5">[1]Sheet1!#REF!</definedName>
    <definedName name="_8C_9" localSheetId="3">[1]Sheet1!#REF!</definedName>
    <definedName name="_8C_9" localSheetId="6">[1]Sheet1!#REF!</definedName>
    <definedName name="_8C_9" localSheetId="7">[1]Sheet1!#REF!</definedName>
    <definedName name="_8C_9" localSheetId="8">[1]Sheet1!#REF!</definedName>
    <definedName name="_8C_9" localSheetId="4">[1]Sheet1!#REF!</definedName>
    <definedName name="_8C_9" localSheetId="1">[1]Sheet1!#REF!</definedName>
    <definedName name="_8C_9">[1]Sheet1!#REF!</definedName>
    <definedName name="_8경비" localSheetId="5">'[2]H-PILE 박기'!#REF!</definedName>
    <definedName name="_8경비" localSheetId="3">'[2]H-PILE 박기'!#REF!</definedName>
    <definedName name="_8경비" localSheetId="6">'[2]H-PILE 박기'!#REF!</definedName>
    <definedName name="_8경비" localSheetId="7">'[2]H-PILE 박기'!#REF!</definedName>
    <definedName name="_8경비" localSheetId="8">'[2]H-PILE 박기'!#REF!</definedName>
    <definedName name="_8경비" localSheetId="4">'[2]H-PILE 박기'!#REF!</definedName>
    <definedName name="_8경비" localSheetId="1">'[2]H-PILE 박기'!#REF!</definedName>
    <definedName name="_8경비">'[2]H-PILE 박기'!#REF!</definedName>
    <definedName name="_8노임" localSheetId="5">'[2]H-PILE 박기'!#REF!</definedName>
    <definedName name="_8노임" localSheetId="3">'[2]H-PILE 박기'!#REF!</definedName>
    <definedName name="_8노임" localSheetId="6">'[2]H-PILE 박기'!#REF!</definedName>
    <definedName name="_8노임" localSheetId="7">'[2]H-PILE 박기'!#REF!</definedName>
    <definedName name="_8노임" localSheetId="8">'[2]H-PILE 박기'!#REF!</definedName>
    <definedName name="_8노임" localSheetId="4">'[2]H-PILE 박기'!#REF!</definedName>
    <definedName name="_8노임" localSheetId="1">'[2]H-PILE 박기'!#REF!</definedName>
    <definedName name="_8노임">'[2]H-PILE 박기'!#REF!</definedName>
    <definedName name="_8재료" localSheetId="5">'[2]H-PILE 박기'!#REF!</definedName>
    <definedName name="_8재료" localSheetId="3">'[2]H-PILE 박기'!#REF!</definedName>
    <definedName name="_8재료" localSheetId="6">'[2]H-PILE 박기'!#REF!</definedName>
    <definedName name="_8재료" localSheetId="7">'[2]H-PILE 박기'!#REF!</definedName>
    <definedName name="_8재료" localSheetId="8">'[2]H-PILE 박기'!#REF!</definedName>
    <definedName name="_8재료" localSheetId="4">'[2]H-PILE 박기'!#REF!</definedName>
    <definedName name="_8재료" localSheetId="1">'[2]H-PILE 박기'!#REF!</definedName>
    <definedName name="_8재료">'[2]H-PILE 박기'!#REF!</definedName>
    <definedName name="_9A_1" localSheetId="5">[1]Sheet1!#REF!</definedName>
    <definedName name="_9A_1" localSheetId="3">[1]Sheet1!#REF!</definedName>
    <definedName name="_9A_1" localSheetId="6">[1]Sheet1!#REF!</definedName>
    <definedName name="_9A_1" localSheetId="7">[1]Sheet1!#REF!</definedName>
    <definedName name="_9A_1" localSheetId="8">[1]Sheet1!#REF!</definedName>
    <definedName name="_9A_1" localSheetId="4">[1]Sheet1!#REF!</definedName>
    <definedName name="_9A_1" localSheetId="1">[1]Sheet1!#REF!</definedName>
    <definedName name="_9A_1">[1]Sheet1!#REF!</definedName>
    <definedName name="_9A_10" localSheetId="5">[1]Sheet1!#REF!</definedName>
    <definedName name="_9A_10" localSheetId="3">[1]Sheet1!#REF!</definedName>
    <definedName name="_9A_10" localSheetId="6">[1]Sheet1!#REF!</definedName>
    <definedName name="_9A_10" localSheetId="7">[1]Sheet1!#REF!</definedName>
    <definedName name="_9A_10" localSheetId="8">[1]Sheet1!#REF!</definedName>
    <definedName name="_9A_10" localSheetId="4">[1]Sheet1!#REF!</definedName>
    <definedName name="_9A_10" localSheetId="1">[1]Sheet1!#REF!</definedName>
    <definedName name="_9A_10">[1]Sheet1!#REF!</definedName>
    <definedName name="_9A_11" localSheetId="5">[1]Sheet1!#REF!</definedName>
    <definedName name="_9A_11" localSheetId="3">[1]Sheet1!#REF!</definedName>
    <definedName name="_9A_11" localSheetId="6">[1]Sheet1!#REF!</definedName>
    <definedName name="_9A_11" localSheetId="7">[1]Sheet1!#REF!</definedName>
    <definedName name="_9A_11" localSheetId="8">[1]Sheet1!#REF!</definedName>
    <definedName name="_9A_11" localSheetId="4">[1]Sheet1!#REF!</definedName>
    <definedName name="_9A_11" localSheetId="1">[1]Sheet1!#REF!</definedName>
    <definedName name="_9A_11">[1]Sheet1!#REF!</definedName>
    <definedName name="_9A_12" localSheetId="5">[1]Sheet1!#REF!</definedName>
    <definedName name="_9A_12" localSheetId="3">[1]Sheet1!#REF!</definedName>
    <definedName name="_9A_12" localSheetId="6">[1]Sheet1!#REF!</definedName>
    <definedName name="_9A_12" localSheetId="7">[1]Sheet1!#REF!</definedName>
    <definedName name="_9A_12" localSheetId="8">[1]Sheet1!#REF!</definedName>
    <definedName name="_9A_12" localSheetId="4">[1]Sheet1!#REF!</definedName>
    <definedName name="_9A_12" localSheetId="1">[1]Sheet1!#REF!</definedName>
    <definedName name="_9A_12">[1]Sheet1!#REF!</definedName>
    <definedName name="_9A_13" localSheetId="5">[1]Sheet1!#REF!</definedName>
    <definedName name="_9A_13" localSheetId="3">[1]Sheet1!#REF!</definedName>
    <definedName name="_9A_13" localSheetId="6">[1]Sheet1!#REF!</definedName>
    <definedName name="_9A_13" localSheetId="7">[1]Sheet1!#REF!</definedName>
    <definedName name="_9A_13" localSheetId="8">[1]Sheet1!#REF!</definedName>
    <definedName name="_9A_13" localSheetId="4">[1]Sheet1!#REF!</definedName>
    <definedName name="_9A_13" localSheetId="1">[1]Sheet1!#REF!</definedName>
    <definedName name="_9A_13">[1]Sheet1!#REF!</definedName>
    <definedName name="_9A_14" localSheetId="5">[1]Sheet1!#REF!</definedName>
    <definedName name="_9A_14" localSheetId="3">[1]Sheet1!#REF!</definedName>
    <definedName name="_9A_14" localSheetId="6">[1]Sheet1!#REF!</definedName>
    <definedName name="_9A_14" localSheetId="7">[1]Sheet1!#REF!</definedName>
    <definedName name="_9A_14" localSheetId="8">[1]Sheet1!#REF!</definedName>
    <definedName name="_9A_14" localSheetId="4">[1]Sheet1!#REF!</definedName>
    <definedName name="_9A_14" localSheetId="1">[1]Sheet1!#REF!</definedName>
    <definedName name="_9A_14">[1]Sheet1!#REF!</definedName>
    <definedName name="_9A_15" localSheetId="5">[1]Sheet1!#REF!</definedName>
    <definedName name="_9A_15" localSheetId="3">[1]Sheet1!#REF!</definedName>
    <definedName name="_9A_15" localSheetId="6">[1]Sheet1!#REF!</definedName>
    <definedName name="_9A_15" localSheetId="7">[1]Sheet1!#REF!</definedName>
    <definedName name="_9A_15" localSheetId="8">[1]Sheet1!#REF!</definedName>
    <definedName name="_9A_15" localSheetId="4">[1]Sheet1!#REF!</definedName>
    <definedName name="_9A_15" localSheetId="1">[1]Sheet1!#REF!</definedName>
    <definedName name="_9A_15">[1]Sheet1!#REF!</definedName>
    <definedName name="_9A_16" localSheetId="5">[1]Sheet1!#REF!</definedName>
    <definedName name="_9A_16" localSheetId="3">[1]Sheet1!#REF!</definedName>
    <definedName name="_9A_16" localSheetId="6">[1]Sheet1!#REF!</definedName>
    <definedName name="_9A_16" localSheetId="7">[1]Sheet1!#REF!</definedName>
    <definedName name="_9A_16" localSheetId="8">[1]Sheet1!#REF!</definedName>
    <definedName name="_9A_16" localSheetId="4">[1]Sheet1!#REF!</definedName>
    <definedName name="_9A_16" localSheetId="1">[1]Sheet1!#REF!</definedName>
    <definedName name="_9A_16">[1]Sheet1!#REF!</definedName>
    <definedName name="_9A_17" localSheetId="5">[1]Sheet1!#REF!</definedName>
    <definedName name="_9A_17" localSheetId="3">[1]Sheet1!#REF!</definedName>
    <definedName name="_9A_17" localSheetId="6">[1]Sheet1!#REF!</definedName>
    <definedName name="_9A_17" localSheetId="7">[1]Sheet1!#REF!</definedName>
    <definedName name="_9A_17" localSheetId="8">[1]Sheet1!#REF!</definedName>
    <definedName name="_9A_17" localSheetId="4">[1]Sheet1!#REF!</definedName>
    <definedName name="_9A_17" localSheetId="1">[1]Sheet1!#REF!</definedName>
    <definedName name="_9A_17">[1]Sheet1!#REF!</definedName>
    <definedName name="_9A_18" localSheetId="5">[1]Sheet1!#REF!</definedName>
    <definedName name="_9A_18" localSheetId="3">[1]Sheet1!#REF!</definedName>
    <definedName name="_9A_18" localSheetId="6">[1]Sheet1!#REF!</definedName>
    <definedName name="_9A_18" localSheetId="7">[1]Sheet1!#REF!</definedName>
    <definedName name="_9A_18" localSheetId="8">[1]Sheet1!#REF!</definedName>
    <definedName name="_9A_18" localSheetId="4">[1]Sheet1!#REF!</definedName>
    <definedName name="_9A_18" localSheetId="1">[1]Sheet1!#REF!</definedName>
    <definedName name="_9A_18">[1]Sheet1!#REF!</definedName>
    <definedName name="_9A_19" localSheetId="5">[1]Sheet1!#REF!</definedName>
    <definedName name="_9A_19" localSheetId="3">[1]Sheet1!#REF!</definedName>
    <definedName name="_9A_19" localSheetId="6">[1]Sheet1!#REF!</definedName>
    <definedName name="_9A_19" localSheetId="7">[1]Sheet1!#REF!</definedName>
    <definedName name="_9A_19" localSheetId="8">[1]Sheet1!#REF!</definedName>
    <definedName name="_9A_19" localSheetId="4">[1]Sheet1!#REF!</definedName>
    <definedName name="_9A_19" localSheetId="1">[1]Sheet1!#REF!</definedName>
    <definedName name="_9A_19">[1]Sheet1!#REF!</definedName>
    <definedName name="_9A_2" localSheetId="5">[1]Sheet1!#REF!</definedName>
    <definedName name="_9A_2" localSheetId="3">[1]Sheet1!#REF!</definedName>
    <definedName name="_9A_2" localSheetId="6">[1]Sheet1!#REF!</definedName>
    <definedName name="_9A_2" localSheetId="7">[1]Sheet1!#REF!</definedName>
    <definedName name="_9A_2" localSheetId="8">[1]Sheet1!#REF!</definedName>
    <definedName name="_9A_2" localSheetId="4">[1]Sheet1!#REF!</definedName>
    <definedName name="_9A_2" localSheetId="1">[1]Sheet1!#REF!</definedName>
    <definedName name="_9A_2">[1]Sheet1!#REF!</definedName>
    <definedName name="_9A_20" localSheetId="5">[1]Sheet1!#REF!</definedName>
    <definedName name="_9A_20" localSheetId="3">[1]Sheet1!#REF!</definedName>
    <definedName name="_9A_20" localSheetId="6">[1]Sheet1!#REF!</definedName>
    <definedName name="_9A_20" localSheetId="7">[1]Sheet1!#REF!</definedName>
    <definedName name="_9A_20" localSheetId="8">[1]Sheet1!#REF!</definedName>
    <definedName name="_9A_20" localSheetId="4">[1]Sheet1!#REF!</definedName>
    <definedName name="_9A_20" localSheetId="1">[1]Sheet1!#REF!</definedName>
    <definedName name="_9A_20">[1]Sheet1!#REF!</definedName>
    <definedName name="_9A_21" localSheetId="5">[1]Sheet1!#REF!</definedName>
    <definedName name="_9A_21" localSheetId="3">[1]Sheet1!#REF!</definedName>
    <definedName name="_9A_21" localSheetId="6">[1]Sheet1!#REF!</definedName>
    <definedName name="_9A_21" localSheetId="7">[1]Sheet1!#REF!</definedName>
    <definedName name="_9A_21" localSheetId="8">[1]Sheet1!#REF!</definedName>
    <definedName name="_9A_21" localSheetId="4">[1]Sheet1!#REF!</definedName>
    <definedName name="_9A_21" localSheetId="1">[1]Sheet1!#REF!</definedName>
    <definedName name="_9A_21">[1]Sheet1!#REF!</definedName>
    <definedName name="_9A_22" localSheetId="5">[1]Sheet1!#REF!</definedName>
    <definedName name="_9A_22" localSheetId="3">[1]Sheet1!#REF!</definedName>
    <definedName name="_9A_22" localSheetId="6">[1]Sheet1!#REF!</definedName>
    <definedName name="_9A_22" localSheetId="7">[1]Sheet1!#REF!</definedName>
    <definedName name="_9A_22" localSheetId="8">[1]Sheet1!#REF!</definedName>
    <definedName name="_9A_22" localSheetId="4">[1]Sheet1!#REF!</definedName>
    <definedName name="_9A_22" localSheetId="1">[1]Sheet1!#REF!</definedName>
    <definedName name="_9A_22">[1]Sheet1!#REF!</definedName>
    <definedName name="_9A_23" localSheetId="5">[1]Sheet1!#REF!</definedName>
    <definedName name="_9A_23" localSheetId="3">[1]Sheet1!#REF!</definedName>
    <definedName name="_9A_23" localSheetId="6">[1]Sheet1!#REF!</definedName>
    <definedName name="_9A_23" localSheetId="7">[1]Sheet1!#REF!</definedName>
    <definedName name="_9A_23" localSheetId="8">[1]Sheet1!#REF!</definedName>
    <definedName name="_9A_23" localSheetId="4">[1]Sheet1!#REF!</definedName>
    <definedName name="_9A_23" localSheetId="1">[1]Sheet1!#REF!</definedName>
    <definedName name="_9A_23">[1]Sheet1!#REF!</definedName>
    <definedName name="_9A_24" localSheetId="5">[1]Sheet1!#REF!</definedName>
    <definedName name="_9A_24" localSheetId="3">[1]Sheet1!#REF!</definedName>
    <definedName name="_9A_24" localSheetId="6">[1]Sheet1!#REF!</definedName>
    <definedName name="_9A_24" localSheetId="7">[1]Sheet1!#REF!</definedName>
    <definedName name="_9A_24" localSheetId="8">[1]Sheet1!#REF!</definedName>
    <definedName name="_9A_24" localSheetId="4">[1]Sheet1!#REF!</definedName>
    <definedName name="_9A_24" localSheetId="1">[1]Sheet1!#REF!</definedName>
    <definedName name="_9A_24">[1]Sheet1!#REF!</definedName>
    <definedName name="_9A_25" localSheetId="5">[1]Sheet1!#REF!</definedName>
    <definedName name="_9A_25" localSheetId="3">[1]Sheet1!#REF!</definedName>
    <definedName name="_9A_25" localSheetId="6">[1]Sheet1!#REF!</definedName>
    <definedName name="_9A_25" localSheetId="7">[1]Sheet1!#REF!</definedName>
    <definedName name="_9A_25" localSheetId="8">[1]Sheet1!#REF!</definedName>
    <definedName name="_9A_25" localSheetId="4">[1]Sheet1!#REF!</definedName>
    <definedName name="_9A_25" localSheetId="1">[1]Sheet1!#REF!</definedName>
    <definedName name="_9A_25">[1]Sheet1!#REF!</definedName>
    <definedName name="_9A_26" localSheetId="5">[1]Sheet1!#REF!</definedName>
    <definedName name="_9A_26" localSheetId="3">[1]Sheet1!#REF!</definedName>
    <definedName name="_9A_26" localSheetId="6">[1]Sheet1!#REF!</definedName>
    <definedName name="_9A_26" localSheetId="7">[1]Sheet1!#REF!</definedName>
    <definedName name="_9A_26" localSheetId="8">[1]Sheet1!#REF!</definedName>
    <definedName name="_9A_26" localSheetId="4">[1]Sheet1!#REF!</definedName>
    <definedName name="_9A_26" localSheetId="1">[1]Sheet1!#REF!</definedName>
    <definedName name="_9A_26">[1]Sheet1!#REF!</definedName>
    <definedName name="_9A_27" localSheetId="5">[1]Sheet1!#REF!</definedName>
    <definedName name="_9A_27" localSheetId="3">[1]Sheet1!#REF!</definedName>
    <definedName name="_9A_27" localSheetId="6">[1]Sheet1!#REF!</definedName>
    <definedName name="_9A_27" localSheetId="7">[1]Sheet1!#REF!</definedName>
    <definedName name="_9A_27" localSheetId="8">[1]Sheet1!#REF!</definedName>
    <definedName name="_9A_27" localSheetId="4">[1]Sheet1!#REF!</definedName>
    <definedName name="_9A_27" localSheetId="1">[1]Sheet1!#REF!</definedName>
    <definedName name="_9A_27">[1]Sheet1!#REF!</definedName>
    <definedName name="_9A_28" localSheetId="5">[1]Sheet1!#REF!</definedName>
    <definedName name="_9A_28" localSheetId="3">[1]Sheet1!#REF!</definedName>
    <definedName name="_9A_28" localSheetId="6">[1]Sheet1!#REF!</definedName>
    <definedName name="_9A_28" localSheetId="7">[1]Sheet1!#REF!</definedName>
    <definedName name="_9A_28" localSheetId="8">[1]Sheet1!#REF!</definedName>
    <definedName name="_9A_28" localSheetId="4">[1]Sheet1!#REF!</definedName>
    <definedName name="_9A_28" localSheetId="1">[1]Sheet1!#REF!</definedName>
    <definedName name="_9A_28">[1]Sheet1!#REF!</definedName>
    <definedName name="_9A_29" localSheetId="5">[1]Sheet1!#REF!</definedName>
    <definedName name="_9A_29" localSheetId="3">[1]Sheet1!#REF!</definedName>
    <definedName name="_9A_29" localSheetId="6">[1]Sheet1!#REF!</definedName>
    <definedName name="_9A_29" localSheetId="7">[1]Sheet1!#REF!</definedName>
    <definedName name="_9A_29" localSheetId="8">[1]Sheet1!#REF!</definedName>
    <definedName name="_9A_29" localSheetId="4">[1]Sheet1!#REF!</definedName>
    <definedName name="_9A_29" localSheetId="1">[1]Sheet1!#REF!</definedName>
    <definedName name="_9A_29">[1]Sheet1!#REF!</definedName>
    <definedName name="_9A_3" localSheetId="5">[1]Sheet1!#REF!</definedName>
    <definedName name="_9A_3" localSheetId="3">[1]Sheet1!#REF!</definedName>
    <definedName name="_9A_3" localSheetId="6">[1]Sheet1!#REF!</definedName>
    <definedName name="_9A_3" localSheetId="7">[1]Sheet1!#REF!</definedName>
    <definedName name="_9A_3" localSheetId="8">[1]Sheet1!#REF!</definedName>
    <definedName name="_9A_3" localSheetId="4">[1]Sheet1!#REF!</definedName>
    <definedName name="_9A_3" localSheetId="1">[1]Sheet1!#REF!</definedName>
    <definedName name="_9A_3">[1]Sheet1!#REF!</definedName>
    <definedName name="_9A_30" localSheetId="5">[1]Sheet1!#REF!</definedName>
    <definedName name="_9A_30" localSheetId="3">[1]Sheet1!#REF!</definedName>
    <definedName name="_9A_30" localSheetId="6">[1]Sheet1!#REF!</definedName>
    <definedName name="_9A_30" localSheetId="7">[1]Sheet1!#REF!</definedName>
    <definedName name="_9A_30" localSheetId="8">[1]Sheet1!#REF!</definedName>
    <definedName name="_9A_30" localSheetId="4">[1]Sheet1!#REF!</definedName>
    <definedName name="_9A_30" localSheetId="1">[1]Sheet1!#REF!</definedName>
    <definedName name="_9A_30">[1]Sheet1!#REF!</definedName>
    <definedName name="_9A_4" localSheetId="5">[1]Sheet1!#REF!</definedName>
    <definedName name="_9A_4" localSheetId="3">[1]Sheet1!#REF!</definedName>
    <definedName name="_9A_4" localSheetId="6">[1]Sheet1!#REF!</definedName>
    <definedName name="_9A_4" localSheetId="7">[1]Sheet1!#REF!</definedName>
    <definedName name="_9A_4" localSheetId="8">[1]Sheet1!#REF!</definedName>
    <definedName name="_9A_4" localSheetId="4">[1]Sheet1!#REF!</definedName>
    <definedName name="_9A_4" localSheetId="1">[1]Sheet1!#REF!</definedName>
    <definedName name="_9A_4">[1]Sheet1!#REF!</definedName>
    <definedName name="_9A_5" localSheetId="5">[1]Sheet1!#REF!</definedName>
    <definedName name="_9A_5" localSheetId="3">[1]Sheet1!#REF!</definedName>
    <definedName name="_9A_5" localSheetId="6">[1]Sheet1!#REF!</definedName>
    <definedName name="_9A_5" localSheetId="7">[1]Sheet1!#REF!</definedName>
    <definedName name="_9A_5" localSheetId="8">[1]Sheet1!#REF!</definedName>
    <definedName name="_9A_5" localSheetId="4">[1]Sheet1!#REF!</definedName>
    <definedName name="_9A_5" localSheetId="1">[1]Sheet1!#REF!</definedName>
    <definedName name="_9A_5">[1]Sheet1!#REF!</definedName>
    <definedName name="_9A_6" localSheetId="5">[1]Sheet1!#REF!</definedName>
    <definedName name="_9A_6" localSheetId="3">[1]Sheet1!#REF!</definedName>
    <definedName name="_9A_6" localSheetId="6">[1]Sheet1!#REF!</definedName>
    <definedName name="_9A_6" localSheetId="7">[1]Sheet1!#REF!</definedName>
    <definedName name="_9A_6" localSheetId="8">[1]Sheet1!#REF!</definedName>
    <definedName name="_9A_6" localSheetId="4">[1]Sheet1!#REF!</definedName>
    <definedName name="_9A_6" localSheetId="1">[1]Sheet1!#REF!</definedName>
    <definedName name="_9A_6">[1]Sheet1!#REF!</definedName>
    <definedName name="_9A_7" localSheetId="5">[1]Sheet1!#REF!</definedName>
    <definedName name="_9A_7" localSheetId="3">[1]Sheet1!#REF!</definedName>
    <definedName name="_9A_7" localSheetId="6">[1]Sheet1!#REF!</definedName>
    <definedName name="_9A_7" localSheetId="7">[1]Sheet1!#REF!</definedName>
    <definedName name="_9A_7" localSheetId="8">[1]Sheet1!#REF!</definedName>
    <definedName name="_9A_7" localSheetId="4">[1]Sheet1!#REF!</definedName>
    <definedName name="_9A_7" localSheetId="1">[1]Sheet1!#REF!</definedName>
    <definedName name="_9A_7">[1]Sheet1!#REF!</definedName>
    <definedName name="_9A_8" localSheetId="5">[1]Sheet1!#REF!</definedName>
    <definedName name="_9A_8" localSheetId="3">[1]Sheet1!#REF!</definedName>
    <definedName name="_9A_8" localSheetId="6">[1]Sheet1!#REF!</definedName>
    <definedName name="_9A_8" localSheetId="7">[1]Sheet1!#REF!</definedName>
    <definedName name="_9A_8" localSheetId="8">[1]Sheet1!#REF!</definedName>
    <definedName name="_9A_8" localSheetId="4">[1]Sheet1!#REF!</definedName>
    <definedName name="_9A_8" localSheetId="1">[1]Sheet1!#REF!</definedName>
    <definedName name="_9A_8">[1]Sheet1!#REF!</definedName>
    <definedName name="_9A_9" localSheetId="5">[1]Sheet1!#REF!</definedName>
    <definedName name="_9A_9" localSheetId="3">[1]Sheet1!#REF!</definedName>
    <definedName name="_9A_9" localSheetId="6">[1]Sheet1!#REF!</definedName>
    <definedName name="_9A_9" localSheetId="7">[1]Sheet1!#REF!</definedName>
    <definedName name="_9A_9" localSheetId="8">[1]Sheet1!#REF!</definedName>
    <definedName name="_9A_9" localSheetId="4">[1]Sheet1!#REF!</definedName>
    <definedName name="_9A_9" localSheetId="1">[1]Sheet1!#REF!</definedName>
    <definedName name="_9A_9">[1]Sheet1!#REF!</definedName>
    <definedName name="_9B_1" localSheetId="5">[1]Sheet1!#REF!</definedName>
    <definedName name="_9B_1" localSheetId="3">[1]Sheet1!#REF!</definedName>
    <definedName name="_9B_1" localSheetId="6">[1]Sheet1!#REF!</definedName>
    <definedName name="_9B_1" localSheetId="7">[1]Sheet1!#REF!</definedName>
    <definedName name="_9B_1" localSheetId="8">[1]Sheet1!#REF!</definedName>
    <definedName name="_9B_1" localSheetId="4">[1]Sheet1!#REF!</definedName>
    <definedName name="_9B_1" localSheetId="1">[1]Sheet1!#REF!</definedName>
    <definedName name="_9B_1">[1]Sheet1!#REF!</definedName>
    <definedName name="_9B_10" localSheetId="5">[1]Sheet1!#REF!</definedName>
    <definedName name="_9B_10" localSheetId="3">[1]Sheet1!#REF!</definedName>
    <definedName name="_9B_10" localSheetId="6">[1]Sheet1!#REF!</definedName>
    <definedName name="_9B_10" localSheetId="7">[1]Sheet1!#REF!</definedName>
    <definedName name="_9B_10" localSheetId="8">[1]Sheet1!#REF!</definedName>
    <definedName name="_9B_10" localSheetId="4">[1]Sheet1!#REF!</definedName>
    <definedName name="_9B_10" localSheetId="1">[1]Sheet1!#REF!</definedName>
    <definedName name="_9B_10">[1]Sheet1!#REF!</definedName>
    <definedName name="_9B_11" localSheetId="5">[1]Sheet1!#REF!</definedName>
    <definedName name="_9B_11" localSheetId="3">[1]Sheet1!#REF!</definedName>
    <definedName name="_9B_11" localSheetId="6">[1]Sheet1!#REF!</definedName>
    <definedName name="_9B_11" localSheetId="7">[1]Sheet1!#REF!</definedName>
    <definedName name="_9B_11" localSheetId="8">[1]Sheet1!#REF!</definedName>
    <definedName name="_9B_11" localSheetId="4">[1]Sheet1!#REF!</definedName>
    <definedName name="_9B_11" localSheetId="1">[1]Sheet1!#REF!</definedName>
    <definedName name="_9B_11">[1]Sheet1!#REF!</definedName>
    <definedName name="_9B_12" localSheetId="5">[1]Sheet1!#REF!</definedName>
    <definedName name="_9B_12" localSheetId="3">[1]Sheet1!#REF!</definedName>
    <definedName name="_9B_12" localSheetId="6">[1]Sheet1!#REF!</definedName>
    <definedName name="_9B_12" localSheetId="7">[1]Sheet1!#REF!</definedName>
    <definedName name="_9B_12" localSheetId="8">[1]Sheet1!#REF!</definedName>
    <definedName name="_9B_12" localSheetId="4">[1]Sheet1!#REF!</definedName>
    <definedName name="_9B_12" localSheetId="1">[1]Sheet1!#REF!</definedName>
    <definedName name="_9B_12">[1]Sheet1!#REF!</definedName>
    <definedName name="_9B_13" localSheetId="5">[1]Sheet1!#REF!</definedName>
    <definedName name="_9B_13" localSheetId="3">[1]Sheet1!#REF!</definedName>
    <definedName name="_9B_13" localSheetId="6">[1]Sheet1!#REF!</definedName>
    <definedName name="_9B_13" localSheetId="7">[1]Sheet1!#REF!</definedName>
    <definedName name="_9B_13" localSheetId="8">[1]Sheet1!#REF!</definedName>
    <definedName name="_9B_13" localSheetId="4">[1]Sheet1!#REF!</definedName>
    <definedName name="_9B_13" localSheetId="1">[1]Sheet1!#REF!</definedName>
    <definedName name="_9B_13">[1]Sheet1!#REF!</definedName>
    <definedName name="_9B_14" localSheetId="5">[1]Sheet1!#REF!</definedName>
    <definedName name="_9B_14" localSheetId="3">[1]Sheet1!#REF!</definedName>
    <definedName name="_9B_14" localSheetId="6">[1]Sheet1!#REF!</definedName>
    <definedName name="_9B_14" localSheetId="7">[1]Sheet1!#REF!</definedName>
    <definedName name="_9B_14" localSheetId="8">[1]Sheet1!#REF!</definedName>
    <definedName name="_9B_14" localSheetId="4">[1]Sheet1!#REF!</definedName>
    <definedName name="_9B_14" localSheetId="1">[1]Sheet1!#REF!</definedName>
    <definedName name="_9B_14">[1]Sheet1!#REF!</definedName>
    <definedName name="_9B_15" localSheetId="5">[1]Sheet1!#REF!</definedName>
    <definedName name="_9B_15" localSheetId="3">[1]Sheet1!#REF!</definedName>
    <definedName name="_9B_15" localSheetId="6">[1]Sheet1!#REF!</definedName>
    <definedName name="_9B_15" localSheetId="7">[1]Sheet1!#REF!</definedName>
    <definedName name="_9B_15" localSheetId="8">[1]Sheet1!#REF!</definedName>
    <definedName name="_9B_15" localSheetId="4">[1]Sheet1!#REF!</definedName>
    <definedName name="_9B_15" localSheetId="1">[1]Sheet1!#REF!</definedName>
    <definedName name="_9B_15">[1]Sheet1!#REF!</definedName>
    <definedName name="_9B_16" localSheetId="5">[1]Sheet1!#REF!</definedName>
    <definedName name="_9B_16" localSheetId="3">[1]Sheet1!#REF!</definedName>
    <definedName name="_9B_16" localSheetId="6">[1]Sheet1!#REF!</definedName>
    <definedName name="_9B_16" localSheetId="7">[1]Sheet1!#REF!</definedName>
    <definedName name="_9B_16" localSheetId="8">[1]Sheet1!#REF!</definedName>
    <definedName name="_9B_16" localSheetId="4">[1]Sheet1!#REF!</definedName>
    <definedName name="_9B_16" localSheetId="1">[1]Sheet1!#REF!</definedName>
    <definedName name="_9B_16">[1]Sheet1!#REF!</definedName>
    <definedName name="_9B_17" localSheetId="5">[1]Sheet1!#REF!</definedName>
    <definedName name="_9B_17" localSheetId="3">[1]Sheet1!#REF!</definedName>
    <definedName name="_9B_17" localSheetId="6">[1]Sheet1!#REF!</definedName>
    <definedName name="_9B_17" localSheetId="7">[1]Sheet1!#REF!</definedName>
    <definedName name="_9B_17" localSheetId="8">[1]Sheet1!#REF!</definedName>
    <definedName name="_9B_17" localSheetId="4">[1]Sheet1!#REF!</definedName>
    <definedName name="_9B_17" localSheetId="1">[1]Sheet1!#REF!</definedName>
    <definedName name="_9B_17">[1]Sheet1!#REF!</definedName>
    <definedName name="_9B_18" localSheetId="5">[1]Sheet1!#REF!</definedName>
    <definedName name="_9B_18" localSheetId="3">[1]Sheet1!#REF!</definedName>
    <definedName name="_9B_18" localSheetId="6">[1]Sheet1!#REF!</definedName>
    <definedName name="_9B_18" localSheetId="7">[1]Sheet1!#REF!</definedName>
    <definedName name="_9B_18" localSheetId="8">[1]Sheet1!#REF!</definedName>
    <definedName name="_9B_18" localSheetId="4">[1]Sheet1!#REF!</definedName>
    <definedName name="_9B_18" localSheetId="1">[1]Sheet1!#REF!</definedName>
    <definedName name="_9B_18">[1]Sheet1!#REF!</definedName>
    <definedName name="_9B_19" localSheetId="5">[1]Sheet1!#REF!</definedName>
    <definedName name="_9B_19" localSheetId="3">[1]Sheet1!#REF!</definedName>
    <definedName name="_9B_19" localSheetId="6">[1]Sheet1!#REF!</definedName>
    <definedName name="_9B_19" localSheetId="7">[1]Sheet1!#REF!</definedName>
    <definedName name="_9B_19" localSheetId="8">[1]Sheet1!#REF!</definedName>
    <definedName name="_9B_19" localSheetId="4">[1]Sheet1!#REF!</definedName>
    <definedName name="_9B_19" localSheetId="1">[1]Sheet1!#REF!</definedName>
    <definedName name="_9B_19">[1]Sheet1!#REF!</definedName>
    <definedName name="_9B_2" localSheetId="5">[1]Sheet1!#REF!</definedName>
    <definedName name="_9B_2" localSheetId="3">[1]Sheet1!#REF!</definedName>
    <definedName name="_9B_2" localSheetId="6">[1]Sheet1!#REF!</definedName>
    <definedName name="_9B_2" localSheetId="7">[1]Sheet1!#REF!</definedName>
    <definedName name="_9B_2" localSheetId="8">[1]Sheet1!#REF!</definedName>
    <definedName name="_9B_2" localSheetId="4">[1]Sheet1!#REF!</definedName>
    <definedName name="_9B_2" localSheetId="1">[1]Sheet1!#REF!</definedName>
    <definedName name="_9B_2">[1]Sheet1!#REF!</definedName>
    <definedName name="_9B_20" localSheetId="5">[1]Sheet1!#REF!</definedName>
    <definedName name="_9B_20" localSheetId="3">[1]Sheet1!#REF!</definedName>
    <definedName name="_9B_20" localSheetId="6">[1]Sheet1!#REF!</definedName>
    <definedName name="_9B_20" localSheetId="7">[1]Sheet1!#REF!</definedName>
    <definedName name="_9B_20" localSheetId="8">[1]Sheet1!#REF!</definedName>
    <definedName name="_9B_20" localSheetId="4">[1]Sheet1!#REF!</definedName>
    <definedName name="_9B_20" localSheetId="1">[1]Sheet1!#REF!</definedName>
    <definedName name="_9B_20">[1]Sheet1!#REF!</definedName>
    <definedName name="_9B_21" localSheetId="5">[1]Sheet1!#REF!</definedName>
    <definedName name="_9B_21" localSheetId="3">[1]Sheet1!#REF!</definedName>
    <definedName name="_9B_21" localSheetId="6">[1]Sheet1!#REF!</definedName>
    <definedName name="_9B_21" localSheetId="7">[1]Sheet1!#REF!</definedName>
    <definedName name="_9B_21" localSheetId="8">[1]Sheet1!#REF!</definedName>
    <definedName name="_9B_21" localSheetId="4">[1]Sheet1!#REF!</definedName>
    <definedName name="_9B_21" localSheetId="1">[1]Sheet1!#REF!</definedName>
    <definedName name="_9B_21">[1]Sheet1!#REF!</definedName>
    <definedName name="_9B_22" localSheetId="5">[1]Sheet1!#REF!</definedName>
    <definedName name="_9B_22" localSheetId="3">[1]Sheet1!#REF!</definedName>
    <definedName name="_9B_22" localSheetId="6">[1]Sheet1!#REF!</definedName>
    <definedName name="_9B_22" localSheetId="7">[1]Sheet1!#REF!</definedName>
    <definedName name="_9B_22" localSheetId="8">[1]Sheet1!#REF!</definedName>
    <definedName name="_9B_22" localSheetId="4">[1]Sheet1!#REF!</definedName>
    <definedName name="_9B_22" localSheetId="1">[1]Sheet1!#REF!</definedName>
    <definedName name="_9B_22">[1]Sheet1!#REF!</definedName>
    <definedName name="_9B_23" localSheetId="5">[1]Sheet1!#REF!</definedName>
    <definedName name="_9B_23" localSheetId="3">[1]Sheet1!#REF!</definedName>
    <definedName name="_9B_23" localSheetId="6">[1]Sheet1!#REF!</definedName>
    <definedName name="_9B_23" localSheetId="7">[1]Sheet1!#REF!</definedName>
    <definedName name="_9B_23" localSheetId="8">[1]Sheet1!#REF!</definedName>
    <definedName name="_9B_23" localSheetId="4">[1]Sheet1!#REF!</definedName>
    <definedName name="_9B_23" localSheetId="1">[1]Sheet1!#REF!</definedName>
    <definedName name="_9B_23">[1]Sheet1!#REF!</definedName>
    <definedName name="_9B_24" localSheetId="5">[1]Sheet1!#REF!</definedName>
    <definedName name="_9B_24" localSheetId="3">[1]Sheet1!#REF!</definedName>
    <definedName name="_9B_24" localSheetId="6">[1]Sheet1!#REF!</definedName>
    <definedName name="_9B_24" localSheetId="7">[1]Sheet1!#REF!</definedName>
    <definedName name="_9B_24" localSheetId="8">[1]Sheet1!#REF!</definedName>
    <definedName name="_9B_24" localSheetId="4">[1]Sheet1!#REF!</definedName>
    <definedName name="_9B_24" localSheetId="1">[1]Sheet1!#REF!</definedName>
    <definedName name="_9B_24">[1]Sheet1!#REF!</definedName>
    <definedName name="_9B_25" localSheetId="5">[1]Sheet1!#REF!</definedName>
    <definedName name="_9B_25" localSheetId="3">[1]Sheet1!#REF!</definedName>
    <definedName name="_9B_25" localSheetId="6">[1]Sheet1!#REF!</definedName>
    <definedName name="_9B_25" localSheetId="7">[1]Sheet1!#REF!</definedName>
    <definedName name="_9B_25" localSheetId="8">[1]Sheet1!#REF!</definedName>
    <definedName name="_9B_25" localSheetId="4">[1]Sheet1!#REF!</definedName>
    <definedName name="_9B_25" localSheetId="1">[1]Sheet1!#REF!</definedName>
    <definedName name="_9B_25">[1]Sheet1!#REF!</definedName>
    <definedName name="_9B_26" localSheetId="5">[1]Sheet1!#REF!</definedName>
    <definedName name="_9B_26" localSheetId="3">[1]Sheet1!#REF!</definedName>
    <definedName name="_9B_26" localSheetId="6">[1]Sheet1!#REF!</definedName>
    <definedName name="_9B_26" localSheetId="7">[1]Sheet1!#REF!</definedName>
    <definedName name="_9B_26" localSheetId="8">[1]Sheet1!#REF!</definedName>
    <definedName name="_9B_26" localSheetId="4">[1]Sheet1!#REF!</definedName>
    <definedName name="_9B_26" localSheetId="1">[1]Sheet1!#REF!</definedName>
    <definedName name="_9B_26">[1]Sheet1!#REF!</definedName>
    <definedName name="_9B_27" localSheetId="5">[1]Sheet1!#REF!</definedName>
    <definedName name="_9B_27" localSheetId="3">[1]Sheet1!#REF!</definedName>
    <definedName name="_9B_27" localSheetId="6">[1]Sheet1!#REF!</definedName>
    <definedName name="_9B_27" localSheetId="7">[1]Sheet1!#REF!</definedName>
    <definedName name="_9B_27" localSheetId="8">[1]Sheet1!#REF!</definedName>
    <definedName name="_9B_27" localSheetId="4">[1]Sheet1!#REF!</definedName>
    <definedName name="_9B_27" localSheetId="1">[1]Sheet1!#REF!</definedName>
    <definedName name="_9B_27">[1]Sheet1!#REF!</definedName>
    <definedName name="_9B_28" localSheetId="5">[1]Sheet1!#REF!</definedName>
    <definedName name="_9B_28" localSheetId="3">[1]Sheet1!#REF!</definedName>
    <definedName name="_9B_28" localSheetId="6">[1]Sheet1!#REF!</definedName>
    <definedName name="_9B_28" localSheetId="7">[1]Sheet1!#REF!</definedName>
    <definedName name="_9B_28" localSheetId="8">[1]Sheet1!#REF!</definedName>
    <definedName name="_9B_28" localSheetId="4">[1]Sheet1!#REF!</definedName>
    <definedName name="_9B_28" localSheetId="1">[1]Sheet1!#REF!</definedName>
    <definedName name="_9B_28">[1]Sheet1!#REF!</definedName>
    <definedName name="_9B_29" localSheetId="5">[1]Sheet1!#REF!</definedName>
    <definedName name="_9B_29" localSheetId="3">[1]Sheet1!#REF!</definedName>
    <definedName name="_9B_29" localSheetId="6">[1]Sheet1!#REF!</definedName>
    <definedName name="_9B_29" localSheetId="7">[1]Sheet1!#REF!</definedName>
    <definedName name="_9B_29" localSheetId="8">[1]Sheet1!#REF!</definedName>
    <definedName name="_9B_29" localSheetId="4">[1]Sheet1!#REF!</definedName>
    <definedName name="_9B_29" localSheetId="1">[1]Sheet1!#REF!</definedName>
    <definedName name="_9B_29">[1]Sheet1!#REF!</definedName>
    <definedName name="_9B_3" localSheetId="5">[1]Sheet1!#REF!</definedName>
    <definedName name="_9B_3" localSheetId="3">[1]Sheet1!#REF!</definedName>
    <definedName name="_9B_3" localSheetId="6">[1]Sheet1!#REF!</definedName>
    <definedName name="_9B_3" localSheetId="7">[1]Sheet1!#REF!</definedName>
    <definedName name="_9B_3" localSheetId="8">[1]Sheet1!#REF!</definedName>
    <definedName name="_9B_3" localSheetId="4">[1]Sheet1!#REF!</definedName>
    <definedName name="_9B_3" localSheetId="1">[1]Sheet1!#REF!</definedName>
    <definedName name="_9B_3">[1]Sheet1!#REF!</definedName>
    <definedName name="_9B_30" localSheetId="5">[1]Sheet1!#REF!</definedName>
    <definedName name="_9B_30" localSheetId="3">[1]Sheet1!#REF!</definedName>
    <definedName name="_9B_30" localSheetId="6">[1]Sheet1!#REF!</definedName>
    <definedName name="_9B_30" localSheetId="7">[1]Sheet1!#REF!</definedName>
    <definedName name="_9B_30" localSheetId="8">[1]Sheet1!#REF!</definedName>
    <definedName name="_9B_30" localSheetId="4">[1]Sheet1!#REF!</definedName>
    <definedName name="_9B_30" localSheetId="1">[1]Sheet1!#REF!</definedName>
    <definedName name="_9B_30">[1]Sheet1!#REF!</definedName>
    <definedName name="_9B_4" localSheetId="5">[1]Sheet1!#REF!</definedName>
    <definedName name="_9B_4" localSheetId="3">[1]Sheet1!#REF!</definedName>
    <definedName name="_9B_4" localSheetId="6">[1]Sheet1!#REF!</definedName>
    <definedName name="_9B_4" localSheetId="7">[1]Sheet1!#REF!</definedName>
    <definedName name="_9B_4" localSheetId="8">[1]Sheet1!#REF!</definedName>
    <definedName name="_9B_4" localSheetId="4">[1]Sheet1!#REF!</definedName>
    <definedName name="_9B_4" localSheetId="1">[1]Sheet1!#REF!</definedName>
    <definedName name="_9B_4">[1]Sheet1!#REF!</definedName>
    <definedName name="_9B_5" localSheetId="5">[1]Sheet1!#REF!</definedName>
    <definedName name="_9B_5" localSheetId="3">[1]Sheet1!#REF!</definedName>
    <definedName name="_9B_5" localSheetId="6">[1]Sheet1!#REF!</definedName>
    <definedName name="_9B_5" localSheetId="7">[1]Sheet1!#REF!</definedName>
    <definedName name="_9B_5" localSheetId="8">[1]Sheet1!#REF!</definedName>
    <definedName name="_9B_5" localSheetId="4">[1]Sheet1!#REF!</definedName>
    <definedName name="_9B_5" localSheetId="1">[1]Sheet1!#REF!</definedName>
    <definedName name="_9B_5">[1]Sheet1!#REF!</definedName>
    <definedName name="_9B_6" localSheetId="5">[1]Sheet1!#REF!</definedName>
    <definedName name="_9B_6" localSheetId="3">[1]Sheet1!#REF!</definedName>
    <definedName name="_9B_6" localSheetId="6">[1]Sheet1!#REF!</definedName>
    <definedName name="_9B_6" localSheetId="7">[1]Sheet1!#REF!</definedName>
    <definedName name="_9B_6" localSheetId="8">[1]Sheet1!#REF!</definedName>
    <definedName name="_9B_6" localSheetId="4">[1]Sheet1!#REF!</definedName>
    <definedName name="_9B_6" localSheetId="1">[1]Sheet1!#REF!</definedName>
    <definedName name="_9B_6">[1]Sheet1!#REF!</definedName>
    <definedName name="_9B_7" localSheetId="5">[1]Sheet1!#REF!</definedName>
    <definedName name="_9B_7" localSheetId="3">[1]Sheet1!#REF!</definedName>
    <definedName name="_9B_7" localSheetId="6">[1]Sheet1!#REF!</definedName>
    <definedName name="_9B_7" localSheetId="7">[1]Sheet1!#REF!</definedName>
    <definedName name="_9B_7" localSheetId="8">[1]Sheet1!#REF!</definedName>
    <definedName name="_9B_7" localSheetId="4">[1]Sheet1!#REF!</definedName>
    <definedName name="_9B_7" localSheetId="1">[1]Sheet1!#REF!</definedName>
    <definedName name="_9B_7">[1]Sheet1!#REF!</definedName>
    <definedName name="_9B_8" localSheetId="5">[1]Sheet1!#REF!</definedName>
    <definedName name="_9B_8" localSheetId="3">[1]Sheet1!#REF!</definedName>
    <definedName name="_9B_8" localSheetId="6">[1]Sheet1!#REF!</definedName>
    <definedName name="_9B_8" localSheetId="7">[1]Sheet1!#REF!</definedName>
    <definedName name="_9B_8" localSheetId="8">[1]Sheet1!#REF!</definedName>
    <definedName name="_9B_8" localSheetId="4">[1]Sheet1!#REF!</definedName>
    <definedName name="_9B_8" localSheetId="1">[1]Sheet1!#REF!</definedName>
    <definedName name="_9B_8">[1]Sheet1!#REF!</definedName>
    <definedName name="_9B_9" localSheetId="5">[1]Sheet1!#REF!</definedName>
    <definedName name="_9B_9" localSheetId="3">[1]Sheet1!#REF!</definedName>
    <definedName name="_9B_9" localSheetId="6">[1]Sheet1!#REF!</definedName>
    <definedName name="_9B_9" localSheetId="7">[1]Sheet1!#REF!</definedName>
    <definedName name="_9B_9" localSheetId="8">[1]Sheet1!#REF!</definedName>
    <definedName name="_9B_9" localSheetId="4">[1]Sheet1!#REF!</definedName>
    <definedName name="_9B_9" localSheetId="1">[1]Sheet1!#REF!</definedName>
    <definedName name="_9B_9">[1]Sheet1!#REF!</definedName>
    <definedName name="_9C_1" localSheetId="5">[1]Sheet1!#REF!</definedName>
    <definedName name="_9C_1" localSheetId="3">[1]Sheet1!#REF!</definedName>
    <definedName name="_9C_1" localSheetId="6">[1]Sheet1!#REF!</definedName>
    <definedName name="_9C_1" localSheetId="7">[1]Sheet1!#REF!</definedName>
    <definedName name="_9C_1" localSheetId="8">[1]Sheet1!#REF!</definedName>
    <definedName name="_9C_1" localSheetId="4">[1]Sheet1!#REF!</definedName>
    <definedName name="_9C_1" localSheetId="1">[1]Sheet1!#REF!</definedName>
    <definedName name="_9C_1">[1]Sheet1!#REF!</definedName>
    <definedName name="_9C_10" localSheetId="5">[1]Sheet1!#REF!</definedName>
    <definedName name="_9C_10" localSheetId="3">[1]Sheet1!#REF!</definedName>
    <definedName name="_9C_10" localSheetId="6">[1]Sheet1!#REF!</definedName>
    <definedName name="_9C_10" localSheetId="7">[1]Sheet1!#REF!</definedName>
    <definedName name="_9C_10" localSheetId="8">[1]Sheet1!#REF!</definedName>
    <definedName name="_9C_10" localSheetId="4">[1]Sheet1!#REF!</definedName>
    <definedName name="_9C_10" localSheetId="1">[1]Sheet1!#REF!</definedName>
    <definedName name="_9C_10">[1]Sheet1!#REF!</definedName>
    <definedName name="_9C_11" localSheetId="5">[1]Sheet1!#REF!</definedName>
    <definedName name="_9C_11" localSheetId="3">[1]Sheet1!#REF!</definedName>
    <definedName name="_9C_11" localSheetId="6">[1]Sheet1!#REF!</definedName>
    <definedName name="_9C_11" localSheetId="7">[1]Sheet1!#REF!</definedName>
    <definedName name="_9C_11" localSheetId="8">[1]Sheet1!#REF!</definedName>
    <definedName name="_9C_11" localSheetId="4">[1]Sheet1!#REF!</definedName>
    <definedName name="_9C_11" localSheetId="1">[1]Sheet1!#REF!</definedName>
    <definedName name="_9C_11">[1]Sheet1!#REF!</definedName>
    <definedName name="_9C_12" localSheetId="5">[1]Sheet1!#REF!</definedName>
    <definedName name="_9C_12" localSheetId="3">[1]Sheet1!#REF!</definedName>
    <definedName name="_9C_12" localSheetId="6">[1]Sheet1!#REF!</definedName>
    <definedName name="_9C_12" localSheetId="7">[1]Sheet1!#REF!</definedName>
    <definedName name="_9C_12" localSheetId="8">[1]Sheet1!#REF!</definedName>
    <definedName name="_9C_12" localSheetId="4">[1]Sheet1!#REF!</definedName>
    <definedName name="_9C_12" localSheetId="1">[1]Sheet1!#REF!</definedName>
    <definedName name="_9C_12">[1]Sheet1!#REF!</definedName>
    <definedName name="_9C_13" localSheetId="5">[1]Sheet1!#REF!</definedName>
    <definedName name="_9C_13" localSheetId="3">[1]Sheet1!#REF!</definedName>
    <definedName name="_9C_13" localSheetId="6">[1]Sheet1!#REF!</definedName>
    <definedName name="_9C_13" localSheetId="7">[1]Sheet1!#REF!</definedName>
    <definedName name="_9C_13" localSheetId="8">[1]Sheet1!#REF!</definedName>
    <definedName name="_9C_13" localSheetId="4">[1]Sheet1!#REF!</definedName>
    <definedName name="_9C_13" localSheetId="1">[1]Sheet1!#REF!</definedName>
    <definedName name="_9C_13">[1]Sheet1!#REF!</definedName>
    <definedName name="_9C_14" localSheetId="5">[1]Sheet1!#REF!</definedName>
    <definedName name="_9C_14" localSheetId="3">[1]Sheet1!#REF!</definedName>
    <definedName name="_9C_14" localSheetId="6">[1]Sheet1!#REF!</definedName>
    <definedName name="_9C_14" localSheetId="7">[1]Sheet1!#REF!</definedName>
    <definedName name="_9C_14" localSheetId="8">[1]Sheet1!#REF!</definedName>
    <definedName name="_9C_14" localSheetId="4">[1]Sheet1!#REF!</definedName>
    <definedName name="_9C_14" localSheetId="1">[1]Sheet1!#REF!</definedName>
    <definedName name="_9C_14">[1]Sheet1!#REF!</definedName>
    <definedName name="_9C_15" localSheetId="5">[1]Sheet1!#REF!</definedName>
    <definedName name="_9C_15" localSheetId="3">[1]Sheet1!#REF!</definedName>
    <definedName name="_9C_15" localSheetId="6">[1]Sheet1!#REF!</definedName>
    <definedName name="_9C_15" localSheetId="7">[1]Sheet1!#REF!</definedName>
    <definedName name="_9C_15" localSheetId="8">[1]Sheet1!#REF!</definedName>
    <definedName name="_9C_15" localSheetId="4">[1]Sheet1!#REF!</definedName>
    <definedName name="_9C_15" localSheetId="1">[1]Sheet1!#REF!</definedName>
    <definedName name="_9C_15">[1]Sheet1!#REF!</definedName>
    <definedName name="_9C_16" localSheetId="5">[1]Sheet1!#REF!</definedName>
    <definedName name="_9C_16" localSheetId="3">[1]Sheet1!#REF!</definedName>
    <definedName name="_9C_16" localSheetId="6">[1]Sheet1!#REF!</definedName>
    <definedName name="_9C_16" localSheetId="7">[1]Sheet1!#REF!</definedName>
    <definedName name="_9C_16" localSheetId="8">[1]Sheet1!#REF!</definedName>
    <definedName name="_9C_16" localSheetId="4">[1]Sheet1!#REF!</definedName>
    <definedName name="_9C_16" localSheetId="1">[1]Sheet1!#REF!</definedName>
    <definedName name="_9C_16">[1]Sheet1!#REF!</definedName>
    <definedName name="_9C_17" localSheetId="5">[1]Sheet1!#REF!</definedName>
    <definedName name="_9C_17" localSheetId="3">[1]Sheet1!#REF!</definedName>
    <definedName name="_9C_17" localSheetId="6">[1]Sheet1!#REF!</definedName>
    <definedName name="_9C_17" localSheetId="7">[1]Sheet1!#REF!</definedName>
    <definedName name="_9C_17" localSheetId="8">[1]Sheet1!#REF!</definedName>
    <definedName name="_9C_17" localSheetId="4">[1]Sheet1!#REF!</definedName>
    <definedName name="_9C_17" localSheetId="1">[1]Sheet1!#REF!</definedName>
    <definedName name="_9C_17">[1]Sheet1!#REF!</definedName>
    <definedName name="_9C_18" localSheetId="5">[1]Sheet1!#REF!</definedName>
    <definedName name="_9C_18" localSheetId="3">[1]Sheet1!#REF!</definedName>
    <definedName name="_9C_18" localSheetId="6">[1]Sheet1!#REF!</definedName>
    <definedName name="_9C_18" localSheetId="7">[1]Sheet1!#REF!</definedName>
    <definedName name="_9C_18" localSheetId="8">[1]Sheet1!#REF!</definedName>
    <definedName name="_9C_18" localSheetId="4">[1]Sheet1!#REF!</definedName>
    <definedName name="_9C_18" localSheetId="1">[1]Sheet1!#REF!</definedName>
    <definedName name="_9C_18">[1]Sheet1!#REF!</definedName>
    <definedName name="_9C_19" localSheetId="5">[1]Sheet1!#REF!</definedName>
    <definedName name="_9C_19" localSheetId="3">[1]Sheet1!#REF!</definedName>
    <definedName name="_9C_19" localSheetId="6">[1]Sheet1!#REF!</definedName>
    <definedName name="_9C_19" localSheetId="7">[1]Sheet1!#REF!</definedName>
    <definedName name="_9C_19" localSheetId="8">[1]Sheet1!#REF!</definedName>
    <definedName name="_9C_19" localSheetId="4">[1]Sheet1!#REF!</definedName>
    <definedName name="_9C_19" localSheetId="1">[1]Sheet1!#REF!</definedName>
    <definedName name="_9C_19">[1]Sheet1!#REF!</definedName>
    <definedName name="_9C_2" localSheetId="5">[1]Sheet1!#REF!</definedName>
    <definedName name="_9C_2" localSheetId="3">[1]Sheet1!#REF!</definedName>
    <definedName name="_9C_2" localSheetId="6">[1]Sheet1!#REF!</definedName>
    <definedName name="_9C_2" localSheetId="7">[1]Sheet1!#REF!</definedName>
    <definedName name="_9C_2" localSheetId="8">[1]Sheet1!#REF!</definedName>
    <definedName name="_9C_2" localSheetId="4">[1]Sheet1!#REF!</definedName>
    <definedName name="_9C_2" localSheetId="1">[1]Sheet1!#REF!</definedName>
    <definedName name="_9C_2">[1]Sheet1!#REF!</definedName>
    <definedName name="_9C_20" localSheetId="5">[1]Sheet1!#REF!</definedName>
    <definedName name="_9C_20" localSheetId="3">[1]Sheet1!#REF!</definedName>
    <definedName name="_9C_20" localSheetId="6">[1]Sheet1!#REF!</definedName>
    <definedName name="_9C_20" localSheetId="7">[1]Sheet1!#REF!</definedName>
    <definedName name="_9C_20" localSheetId="8">[1]Sheet1!#REF!</definedName>
    <definedName name="_9C_20" localSheetId="4">[1]Sheet1!#REF!</definedName>
    <definedName name="_9C_20" localSheetId="1">[1]Sheet1!#REF!</definedName>
    <definedName name="_9C_20">[1]Sheet1!#REF!</definedName>
    <definedName name="_9C_21" localSheetId="5">[1]Sheet1!#REF!</definedName>
    <definedName name="_9C_21" localSheetId="3">[1]Sheet1!#REF!</definedName>
    <definedName name="_9C_21" localSheetId="6">[1]Sheet1!#REF!</definedName>
    <definedName name="_9C_21" localSheetId="7">[1]Sheet1!#REF!</definedName>
    <definedName name="_9C_21" localSheetId="8">[1]Sheet1!#REF!</definedName>
    <definedName name="_9C_21" localSheetId="4">[1]Sheet1!#REF!</definedName>
    <definedName name="_9C_21" localSheetId="1">[1]Sheet1!#REF!</definedName>
    <definedName name="_9C_21">[1]Sheet1!#REF!</definedName>
    <definedName name="_9C_22" localSheetId="5">[1]Sheet1!#REF!</definedName>
    <definedName name="_9C_22" localSheetId="3">[1]Sheet1!#REF!</definedName>
    <definedName name="_9C_22" localSheetId="6">[1]Sheet1!#REF!</definedName>
    <definedName name="_9C_22" localSheetId="7">[1]Sheet1!#REF!</definedName>
    <definedName name="_9C_22" localSheetId="8">[1]Sheet1!#REF!</definedName>
    <definedName name="_9C_22" localSheetId="4">[1]Sheet1!#REF!</definedName>
    <definedName name="_9C_22" localSheetId="1">[1]Sheet1!#REF!</definedName>
    <definedName name="_9C_22">[1]Sheet1!#REF!</definedName>
    <definedName name="_9C_23" localSheetId="5">[1]Sheet1!#REF!</definedName>
    <definedName name="_9C_23" localSheetId="3">[1]Sheet1!#REF!</definedName>
    <definedName name="_9C_23" localSheetId="6">[1]Sheet1!#REF!</definedName>
    <definedName name="_9C_23" localSheetId="7">[1]Sheet1!#REF!</definedName>
    <definedName name="_9C_23" localSheetId="8">[1]Sheet1!#REF!</definedName>
    <definedName name="_9C_23" localSheetId="4">[1]Sheet1!#REF!</definedName>
    <definedName name="_9C_23" localSheetId="1">[1]Sheet1!#REF!</definedName>
    <definedName name="_9C_23">[1]Sheet1!#REF!</definedName>
    <definedName name="_9C_24" localSheetId="5">[1]Sheet1!#REF!</definedName>
    <definedName name="_9C_24" localSheetId="3">[1]Sheet1!#REF!</definedName>
    <definedName name="_9C_24" localSheetId="6">[1]Sheet1!#REF!</definedName>
    <definedName name="_9C_24" localSheetId="7">[1]Sheet1!#REF!</definedName>
    <definedName name="_9C_24" localSheetId="8">[1]Sheet1!#REF!</definedName>
    <definedName name="_9C_24" localSheetId="4">[1]Sheet1!#REF!</definedName>
    <definedName name="_9C_24" localSheetId="1">[1]Sheet1!#REF!</definedName>
    <definedName name="_9C_24">[1]Sheet1!#REF!</definedName>
    <definedName name="_9C_25" localSheetId="5">[1]Sheet1!#REF!</definedName>
    <definedName name="_9C_25" localSheetId="3">[1]Sheet1!#REF!</definedName>
    <definedName name="_9C_25" localSheetId="6">[1]Sheet1!#REF!</definedName>
    <definedName name="_9C_25" localSheetId="7">[1]Sheet1!#REF!</definedName>
    <definedName name="_9C_25" localSheetId="8">[1]Sheet1!#REF!</definedName>
    <definedName name="_9C_25" localSheetId="4">[1]Sheet1!#REF!</definedName>
    <definedName name="_9C_25" localSheetId="1">[1]Sheet1!#REF!</definedName>
    <definedName name="_9C_25">[1]Sheet1!#REF!</definedName>
    <definedName name="_9C_26" localSheetId="5">[1]Sheet1!#REF!</definedName>
    <definedName name="_9C_26" localSheetId="3">[1]Sheet1!#REF!</definedName>
    <definedName name="_9C_26" localSheetId="6">[1]Sheet1!#REF!</definedName>
    <definedName name="_9C_26" localSheetId="7">[1]Sheet1!#REF!</definedName>
    <definedName name="_9C_26" localSheetId="8">[1]Sheet1!#REF!</definedName>
    <definedName name="_9C_26" localSheetId="4">[1]Sheet1!#REF!</definedName>
    <definedName name="_9C_26" localSheetId="1">[1]Sheet1!#REF!</definedName>
    <definedName name="_9C_26">[1]Sheet1!#REF!</definedName>
    <definedName name="_9C_27" localSheetId="5">[1]Sheet1!#REF!</definedName>
    <definedName name="_9C_27" localSheetId="3">[1]Sheet1!#REF!</definedName>
    <definedName name="_9C_27" localSheetId="6">[1]Sheet1!#REF!</definedName>
    <definedName name="_9C_27" localSheetId="7">[1]Sheet1!#REF!</definedName>
    <definedName name="_9C_27" localSheetId="8">[1]Sheet1!#REF!</definedName>
    <definedName name="_9C_27" localSheetId="4">[1]Sheet1!#REF!</definedName>
    <definedName name="_9C_27" localSheetId="1">[1]Sheet1!#REF!</definedName>
    <definedName name="_9C_27">[1]Sheet1!#REF!</definedName>
    <definedName name="_9C_28" localSheetId="5">[1]Sheet1!#REF!</definedName>
    <definedName name="_9C_28" localSheetId="3">[1]Sheet1!#REF!</definedName>
    <definedName name="_9C_28" localSheetId="6">[1]Sheet1!#REF!</definedName>
    <definedName name="_9C_28" localSheetId="7">[1]Sheet1!#REF!</definedName>
    <definedName name="_9C_28" localSheetId="8">[1]Sheet1!#REF!</definedName>
    <definedName name="_9C_28" localSheetId="4">[1]Sheet1!#REF!</definedName>
    <definedName name="_9C_28" localSheetId="1">[1]Sheet1!#REF!</definedName>
    <definedName name="_9C_28">[1]Sheet1!#REF!</definedName>
    <definedName name="_9C_29" localSheetId="5">[1]Sheet1!#REF!</definedName>
    <definedName name="_9C_29" localSheetId="3">[1]Sheet1!#REF!</definedName>
    <definedName name="_9C_29" localSheetId="6">[1]Sheet1!#REF!</definedName>
    <definedName name="_9C_29" localSheetId="7">[1]Sheet1!#REF!</definedName>
    <definedName name="_9C_29" localSheetId="8">[1]Sheet1!#REF!</definedName>
    <definedName name="_9C_29" localSheetId="4">[1]Sheet1!#REF!</definedName>
    <definedName name="_9C_29" localSheetId="1">[1]Sheet1!#REF!</definedName>
    <definedName name="_9C_29">[1]Sheet1!#REF!</definedName>
    <definedName name="_9C_3" localSheetId="5">[1]Sheet1!#REF!</definedName>
    <definedName name="_9C_3" localSheetId="3">[1]Sheet1!#REF!</definedName>
    <definedName name="_9C_3" localSheetId="6">[1]Sheet1!#REF!</definedName>
    <definedName name="_9C_3" localSheetId="7">[1]Sheet1!#REF!</definedName>
    <definedName name="_9C_3" localSheetId="8">[1]Sheet1!#REF!</definedName>
    <definedName name="_9C_3" localSheetId="4">[1]Sheet1!#REF!</definedName>
    <definedName name="_9C_3" localSheetId="1">[1]Sheet1!#REF!</definedName>
    <definedName name="_9C_3">[1]Sheet1!#REF!</definedName>
    <definedName name="_9C_30" localSheetId="5">[1]Sheet1!#REF!</definedName>
    <definedName name="_9C_30" localSheetId="3">[1]Sheet1!#REF!</definedName>
    <definedName name="_9C_30" localSheetId="6">[1]Sheet1!#REF!</definedName>
    <definedName name="_9C_30" localSheetId="7">[1]Sheet1!#REF!</definedName>
    <definedName name="_9C_30" localSheetId="8">[1]Sheet1!#REF!</definedName>
    <definedName name="_9C_30" localSheetId="4">[1]Sheet1!#REF!</definedName>
    <definedName name="_9C_30" localSheetId="1">[1]Sheet1!#REF!</definedName>
    <definedName name="_9C_30">[1]Sheet1!#REF!</definedName>
    <definedName name="_9C_4" localSheetId="5">[1]Sheet1!#REF!</definedName>
    <definedName name="_9C_4" localSheetId="3">[1]Sheet1!#REF!</definedName>
    <definedName name="_9C_4" localSheetId="6">[1]Sheet1!#REF!</definedName>
    <definedName name="_9C_4" localSheetId="7">[1]Sheet1!#REF!</definedName>
    <definedName name="_9C_4" localSheetId="8">[1]Sheet1!#REF!</definedName>
    <definedName name="_9C_4" localSheetId="4">[1]Sheet1!#REF!</definedName>
    <definedName name="_9C_4" localSheetId="1">[1]Sheet1!#REF!</definedName>
    <definedName name="_9C_4">[1]Sheet1!#REF!</definedName>
    <definedName name="_9C_5" localSheetId="5">[1]Sheet1!#REF!</definedName>
    <definedName name="_9C_5" localSheetId="3">[1]Sheet1!#REF!</definedName>
    <definedName name="_9C_5" localSheetId="6">[1]Sheet1!#REF!</definedName>
    <definedName name="_9C_5" localSheetId="7">[1]Sheet1!#REF!</definedName>
    <definedName name="_9C_5" localSheetId="8">[1]Sheet1!#REF!</definedName>
    <definedName name="_9C_5" localSheetId="4">[1]Sheet1!#REF!</definedName>
    <definedName name="_9C_5" localSheetId="1">[1]Sheet1!#REF!</definedName>
    <definedName name="_9C_5">[1]Sheet1!#REF!</definedName>
    <definedName name="_9C_6" localSheetId="5">[1]Sheet1!#REF!</definedName>
    <definedName name="_9C_6" localSheetId="3">[1]Sheet1!#REF!</definedName>
    <definedName name="_9C_6" localSheetId="6">[1]Sheet1!#REF!</definedName>
    <definedName name="_9C_6" localSheetId="7">[1]Sheet1!#REF!</definedName>
    <definedName name="_9C_6" localSheetId="8">[1]Sheet1!#REF!</definedName>
    <definedName name="_9C_6" localSheetId="4">[1]Sheet1!#REF!</definedName>
    <definedName name="_9C_6" localSheetId="1">[1]Sheet1!#REF!</definedName>
    <definedName name="_9C_6">[1]Sheet1!#REF!</definedName>
    <definedName name="_9C_7" localSheetId="5">[1]Sheet1!#REF!</definedName>
    <definedName name="_9C_7" localSheetId="3">[1]Sheet1!#REF!</definedName>
    <definedName name="_9C_7" localSheetId="6">[1]Sheet1!#REF!</definedName>
    <definedName name="_9C_7" localSheetId="7">[1]Sheet1!#REF!</definedName>
    <definedName name="_9C_7" localSheetId="8">[1]Sheet1!#REF!</definedName>
    <definedName name="_9C_7" localSheetId="4">[1]Sheet1!#REF!</definedName>
    <definedName name="_9C_7" localSheetId="1">[1]Sheet1!#REF!</definedName>
    <definedName name="_9C_7">[1]Sheet1!#REF!</definedName>
    <definedName name="_9C_8" localSheetId="5">[1]Sheet1!#REF!</definedName>
    <definedName name="_9C_8" localSheetId="3">[1]Sheet1!#REF!</definedName>
    <definedName name="_9C_8" localSheetId="6">[1]Sheet1!#REF!</definedName>
    <definedName name="_9C_8" localSheetId="7">[1]Sheet1!#REF!</definedName>
    <definedName name="_9C_8" localSheetId="8">[1]Sheet1!#REF!</definedName>
    <definedName name="_9C_8" localSheetId="4">[1]Sheet1!#REF!</definedName>
    <definedName name="_9C_8" localSheetId="1">[1]Sheet1!#REF!</definedName>
    <definedName name="_9C_8">[1]Sheet1!#REF!</definedName>
    <definedName name="_9C_9" localSheetId="5">[1]Sheet1!#REF!</definedName>
    <definedName name="_9C_9" localSheetId="3">[1]Sheet1!#REF!</definedName>
    <definedName name="_9C_9" localSheetId="6">[1]Sheet1!#REF!</definedName>
    <definedName name="_9C_9" localSheetId="7">[1]Sheet1!#REF!</definedName>
    <definedName name="_9C_9" localSheetId="8">[1]Sheet1!#REF!</definedName>
    <definedName name="_9C_9" localSheetId="4">[1]Sheet1!#REF!</definedName>
    <definedName name="_9C_9" localSheetId="1">[1]Sheet1!#REF!</definedName>
    <definedName name="_9C_9">[1]Sheet1!#REF!</definedName>
    <definedName name="_Fill" localSheetId="5" hidden="1">#REF!</definedName>
    <definedName name="_Fill" localSheetId="3" hidden="1">#REF!</definedName>
    <definedName name="_Fill" localSheetId="6" hidden="1">#REF!</definedName>
    <definedName name="_Fill" localSheetId="7" hidden="1">#REF!</definedName>
    <definedName name="_Fill" localSheetId="8" hidden="1">#REF!</definedName>
    <definedName name="_Fill" localSheetId="4" hidden="1">#REF!</definedName>
    <definedName name="_Fill" localSheetId="1" hidden="1">#REF!</definedName>
    <definedName name="_Fill" hidden="1">#REF!</definedName>
    <definedName name="_xlnm._FilterDatabase" localSheetId="5" hidden="1">'(2024공사外발행 )'!$A$4:$AC$4</definedName>
    <definedName name="_xlnm._FilterDatabase" localSheetId="0" hidden="1">'2021'!$A$3:$U$832</definedName>
    <definedName name="_xlnm._FilterDatabase" localSheetId="3" hidden="1">관로공사매출!$U$2:$U$541</definedName>
    <definedName name="_xlnm._FilterDatabase" localSheetId="6" hidden="1">'대호E&amp;C'!$A$3:$W$486</definedName>
    <definedName name="_xlnm._FilterDatabase" localSheetId="7" hidden="1">동진산업!$A$3:$P$327</definedName>
    <definedName name="_xlnm._FilterDatabase" localSheetId="8" hidden="1">'동진산업 (2)'!$A$3:$P$328</definedName>
    <definedName name="_xlnm._FilterDatabase" localSheetId="4" hidden="1">동진산업2024!$A$3:$V$334</definedName>
    <definedName name="_xlnm._FilterDatabase" localSheetId="1" hidden="1">미수금!$A$4:$AC$409</definedName>
    <definedName name="_JJ1" localSheetId="5">#REF!</definedName>
    <definedName name="_JJ1" localSheetId="3">#REF!</definedName>
    <definedName name="_JJ1" localSheetId="6">#REF!</definedName>
    <definedName name="_JJ1" localSheetId="7">#REF!</definedName>
    <definedName name="_JJ1" localSheetId="8">#REF!</definedName>
    <definedName name="_JJ1" localSheetId="4">#REF!</definedName>
    <definedName name="_JJ1" localSheetId="1">#REF!</definedName>
    <definedName name="_JJ1">#REF!</definedName>
    <definedName name="_JJ10" localSheetId="5">#REF!</definedName>
    <definedName name="_JJ10" localSheetId="3">#REF!</definedName>
    <definedName name="_JJ10" localSheetId="6">#REF!</definedName>
    <definedName name="_JJ10" localSheetId="7">#REF!</definedName>
    <definedName name="_JJ10" localSheetId="8">#REF!</definedName>
    <definedName name="_JJ10" localSheetId="4">#REF!</definedName>
    <definedName name="_JJ10" localSheetId="1">#REF!</definedName>
    <definedName name="_JJ10">#REF!</definedName>
    <definedName name="_JJ11" localSheetId="5">#REF!</definedName>
    <definedName name="_JJ11" localSheetId="3">#REF!</definedName>
    <definedName name="_JJ11" localSheetId="6">#REF!</definedName>
    <definedName name="_JJ11" localSheetId="7">#REF!</definedName>
    <definedName name="_JJ11" localSheetId="8">#REF!</definedName>
    <definedName name="_JJ11" localSheetId="4">#REF!</definedName>
    <definedName name="_JJ11" localSheetId="1">#REF!</definedName>
    <definedName name="_JJ11">#REF!</definedName>
    <definedName name="_JJ113" localSheetId="5">#REF!</definedName>
    <definedName name="_JJ113" localSheetId="3">#REF!</definedName>
    <definedName name="_JJ113" localSheetId="6">#REF!</definedName>
    <definedName name="_JJ113" localSheetId="7">#REF!</definedName>
    <definedName name="_JJ113" localSheetId="8">#REF!</definedName>
    <definedName name="_JJ113" localSheetId="4">#REF!</definedName>
    <definedName name="_JJ113" localSheetId="1">#REF!</definedName>
    <definedName name="_JJ113">#REF!</definedName>
    <definedName name="_JJ114" localSheetId="5">#REF!</definedName>
    <definedName name="_JJ114" localSheetId="3">#REF!</definedName>
    <definedName name="_JJ114" localSheetId="6">#REF!</definedName>
    <definedName name="_JJ114" localSheetId="7">#REF!</definedName>
    <definedName name="_JJ114" localSheetId="8">#REF!</definedName>
    <definedName name="_JJ114" localSheetId="4">#REF!</definedName>
    <definedName name="_JJ114" localSheetId="1">#REF!</definedName>
    <definedName name="_JJ114">#REF!</definedName>
    <definedName name="_JJ115" localSheetId="5">#REF!</definedName>
    <definedName name="_JJ115" localSheetId="3">#REF!</definedName>
    <definedName name="_JJ115" localSheetId="6">#REF!</definedName>
    <definedName name="_JJ115" localSheetId="7">#REF!</definedName>
    <definedName name="_JJ115" localSheetId="8">#REF!</definedName>
    <definedName name="_JJ115" localSheetId="4">#REF!</definedName>
    <definedName name="_JJ115" localSheetId="1">#REF!</definedName>
    <definedName name="_JJ115">#REF!</definedName>
    <definedName name="_JJ116" localSheetId="5">#REF!</definedName>
    <definedName name="_JJ116" localSheetId="3">#REF!</definedName>
    <definedName name="_JJ116" localSheetId="6">#REF!</definedName>
    <definedName name="_JJ116" localSheetId="7">#REF!</definedName>
    <definedName name="_JJ116" localSheetId="8">#REF!</definedName>
    <definedName name="_JJ116" localSheetId="4">#REF!</definedName>
    <definedName name="_JJ116" localSheetId="1">#REF!</definedName>
    <definedName name="_JJ116">#REF!</definedName>
    <definedName name="_JJ117" localSheetId="5">#REF!</definedName>
    <definedName name="_JJ117" localSheetId="3">#REF!</definedName>
    <definedName name="_JJ117" localSheetId="6">#REF!</definedName>
    <definedName name="_JJ117" localSheetId="7">#REF!</definedName>
    <definedName name="_JJ117" localSheetId="8">#REF!</definedName>
    <definedName name="_JJ117" localSheetId="4">#REF!</definedName>
    <definedName name="_JJ117" localSheetId="1">#REF!</definedName>
    <definedName name="_JJ117">#REF!</definedName>
    <definedName name="_JJ118" localSheetId="5">#REF!</definedName>
    <definedName name="_JJ118" localSheetId="3">#REF!</definedName>
    <definedName name="_JJ118" localSheetId="6">#REF!</definedName>
    <definedName name="_JJ118" localSheetId="7">#REF!</definedName>
    <definedName name="_JJ118" localSheetId="8">#REF!</definedName>
    <definedName name="_JJ118" localSheetId="4">#REF!</definedName>
    <definedName name="_JJ118" localSheetId="1">#REF!</definedName>
    <definedName name="_JJ118">#REF!</definedName>
    <definedName name="_JJ119" localSheetId="5">#REF!</definedName>
    <definedName name="_JJ119" localSheetId="3">#REF!</definedName>
    <definedName name="_JJ119" localSheetId="6">#REF!</definedName>
    <definedName name="_JJ119" localSheetId="7">#REF!</definedName>
    <definedName name="_JJ119" localSheetId="8">#REF!</definedName>
    <definedName name="_JJ119" localSheetId="4">#REF!</definedName>
    <definedName name="_JJ119" localSheetId="1">#REF!</definedName>
    <definedName name="_JJ119">#REF!</definedName>
    <definedName name="_JJ12" localSheetId="5">#REF!</definedName>
    <definedName name="_JJ12" localSheetId="3">#REF!</definedName>
    <definedName name="_JJ12" localSheetId="6">#REF!</definedName>
    <definedName name="_JJ12" localSheetId="7">#REF!</definedName>
    <definedName name="_JJ12" localSheetId="8">#REF!</definedName>
    <definedName name="_JJ12" localSheetId="4">#REF!</definedName>
    <definedName name="_JJ12" localSheetId="1">#REF!</definedName>
    <definedName name="_JJ12">#REF!</definedName>
    <definedName name="_JJ120" localSheetId="5">#REF!</definedName>
    <definedName name="_JJ120" localSheetId="3">#REF!</definedName>
    <definedName name="_JJ120" localSheetId="6">#REF!</definedName>
    <definedName name="_JJ120" localSheetId="7">#REF!</definedName>
    <definedName name="_JJ120" localSheetId="8">#REF!</definedName>
    <definedName name="_JJ120" localSheetId="4">#REF!</definedName>
    <definedName name="_JJ120" localSheetId="1">#REF!</definedName>
    <definedName name="_JJ120">#REF!</definedName>
    <definedName name="_JJ121" localSheetId="5">#REF!</definedName>
    <definedName name="_JJ121" localSheetId="3">#REF!</definedName>
    <definedName name="_JJ121" localSheetId="6">#REF!</definedName>
    <definedName name="_JJ121" localSheetId="7">#REF!</definedName>
    <definedName name="_JJ121" localSheetId="8">#REF!</definedName>
    <definedName name="_JJ121" localSheetId="4">#REF!</definedName>
    <definedName name="_JJ121" localSheetId="1">#REF!</definedName>
    <definedName name="_JJ121">#REF!</definedName>
    <definedName name="_JJ122" localSheetId="5">#REF!</definedName>
    <definedName name="_JJ122" localSheetId="3">#REF!</definedName>
    <definedName name="_JJ122" localSheetId="6">#REF!</definedName>
    <definedName name="_JJ122" localSheetId="7">#REF!</definedName>
    <definedName name="_JJ122" localSheetId="8">#REF!</definedName>
    <definedName name="_JJ122" localSheetId="4">#REF!</definedName>
    <definedName name="_JJ122" localSheetId="1">#REF!</definedName>
    <definedName name="_JJ122">#REF!</definedName>
    <definedName name="_JJ123" localSheetId="5">#REF!</definedName>
    <definedName name="_JJ123" localSheetId="3">#REF!</definedName>
    <definedName name="_JJ123" localSheetId="6">#REF!</definedName>
    <definedName name="_JJ123" localSheetId="7">#REF!</definedName>
    <definedName name="_JJ123" localSheetId="8">#REF!</definedName>
    <definedName name="_JJ123" localSheetId="4">#REF!</definedName>
    <definedName name="_JJ123" localSheetId="1">#REF!</definedName>
    <definedName name="_JJ123">#REF!</definedName>
    <definedName name="_JJ124" localSheetId="5">#REF!</definedName>
    <definedName name="_JJ124" localSheetId="3">#REF!</definedName>
    <definedName name="_JJ124" localSheetId="6">#REF!</definedName>
    <definedName name="_JJ124" localSheetId="7">#REF!</definedName>
    <definedName name="_JJ124" localSheetId="8">#REF!</definedName>
    <definedName name="_JJ124" localSheetId="4">#REF!</definedName>
    <definedName name="_JJ124" localSheetId="1">#REF!</definedName>
    <definedName name="_JJ124">#REF!</definedName>
    <definedName name="_JJ125" localSheetId="5">#REF!</definedName>
    <definedName name="_JJ125" localSheetId="3">#REF!</definedName>
    <definedName name="_JJ125" localSheetId="6">#REF!</definedName>
    <definedName name="_JJ125" localSheetId="7">#REF!</definedName>
    <definedName name="_JJ125" localSheetId="8">#REF!</definedName>
    <definedName name="_JJ125" localSheetId="4">#REF!</definedName>
    <definedName name="_JJ125" localSheetId="1">#REF!</definedName>
    <definedName name="_JJ125">#REF!</definedName>
    <definedName name="_JJ126" localSheetId="5">#REF!</definedName>
    <definedName name="_JJ126" localSheetId="3">#REF!</definedName>
    <definedName name="_JJ126" localSheetId="6">#REF!</definedName>
    <definedName name="_JJ126" localSheetId="7">#REF!</definedName>
    <definedName name="_JJ126" localSheetId="8">#REF!</definedName>
    <definedName name="_JJ126" localSheetId="4">#REF!</definedName>
    <definedName name="_JJ126" localSheetId="1">#REF!</definedName>
    <definedName name="_JJ126">#REF!</definedName>
    <definedName name="_JJ127" localSheetId="5">#REF!</definedName>
    <definedName name="_JJ127" localSheetId="3">#REF!</definedName>
    <definedName name="_JJ127" localSheetId="6">#REF!</definedName>
    <definedName name="_JJ127" localSheetId="7">#REF!</definedName>
    <definedName name="_JJ127" localSheetId="8">#REF!</definedName>
    <definedName name="_JJ127" localSheetId="4">#REF!</definedName>
    <definedName name="_JJ127" localSheetId="1">#REF!</definedName>
    <definedName name="_JJ127">#REF!</definedName>
    <definedName name="_JJ128" localSheetId="5">#REF!</definedName>
    <definedName name="_JJ128" localSheetId="3">#REF!</definedName>
    <definedName name="_JJ128" localSheetId="6">#REF!</definedName>
    <definedName name="_JJ128" localSheetId="7">#REF!</definedName>
    <definedName name="_JJ128" localSheetId="8">#REF!</definedName>
    <definedName name="_JJ128" localSheetId="4">#REF!</definedName>
    <definedName name="_JJ128" localSheetId="1">#REF!</definedName>
    <definedName name="_JJ128">#REF!</definedName>
    <definedName name="_JJ129" localSheetId="5">#REF!</definedName>
    <definedName name="_JJ129" localSheetId="3">#REF!</definedName>
    <definedName name="_JJ129" localSheetId="6">#REF!</definedName>
    <definedName name="_JJ129" localSheetId="7">#REF!</definedName>
    <definedName name="_JJ129" localSheetId="8">#REF!</definedName>
    <definedName name="_JJ129" localSheetId="4">#REF!</definedName>
    <definedName name="_JJ129" localSheetId="1">#REF!</definedName>
    <definedName name="_JJ129">#REF!</definedName>
    <definedName name="_JJ13" localSheetId="5">#REF!</definedName>
    <definedName name="_JJ13" localSheetId="3">#REF!</definedName>
    <definedName name="_JJ13" localSheetId="6">#REF!</definedName>
    <definedName name="_JJ13" localSheetId="7">#REF!</definedName>
    <definedName name="_JJ13" localSheetId="8">#REF!</definedName>
    <definedName name="_JJ13" localSheetId="4">#REF!</definedName>
    <definedName name="_JJ13" localSheetId="1">#REF!</definedName>
    <definedName name="_JJ13">#REF!</definedName>
    <definedName name="_JJ130" localSheetId="5">#REF!</definedName>
    <definedName name="_JJ130" localSheetId="3">#REF!</definedName>
    <definedName name="_JJ130" localSheetId="6">#REF!</definedName>
    <definedName name="_JJ130" localSheetId="7">#REF!</definedName>
    <definedName name="_JJ130" localSheetId="8">#REF!</definedName>
    <definedName name="_JJ130" localSheetId="4">#REF!</definedName>
    <definedName name="_JJ130" localSheetId="1">#REF!</definedName>
    <definedName name="_JJ130">#REF!</definedName>
    <definedName name="_JJ131" localSheetId="5">#REF!</definedName>
    <definedName name="_JJ131" localSheetId="3">#REF!</definedName>
    <definedName name="_JJ131" localSheetId="6">#REF!</definedName>
    <definedName name="_JJ131" localSheetId="7">#REF!</definedName>
    <definedName name="_JJ131" localSheetId="8">#REF!</definedName>
    <definedName name="_JJ131" localSheetId="4">#REF!</definedName>
    <definedName name="_JJ131" localSheetId="1">#REF!</definedName>
    <definedName name="_JJ131">#REF!</definedName>
    <definedName name="_JJ132" localSheetId="5">#REF!</definedName>
    <definedName name="_JJ132" localSheetId="3">#REF!</definedName>
    <definedName name="_JJ132" localSheetId="6">#REF!</definedName>
    <definedName name="_JJ132" localSheetId="7">#REF!</definedName>
    <definedName name="_JJ132" localSheetId="8">#REF!</definedName>
    <definedName name="_JJ132" localSheetId="4">#REF!</definedName>
    <definedName name="_JJ132" localSheetId="1">#REF!</definedName>
    <definedName name="_JJ132">#REF!</definedName>
    <definedName name="_JJ133" localSheetId="5">#REF!</definedName>
    <definedName name="_JJ133" localSheetId="3">#REF!</definedName>
    <definedName name="_JJ133" localSheetId="6">#REF!</definedName>
    <definedName name="_JJ133" localSheetId="7">#REF!</definedName>
    <definedName name="_JJ133" localSheetId="8">#REF!</definedName>
    <definedName name="_JJ133" localSheetId="4">#REF!</definedName>
    <definedName name="_JJ133" localSheetId="1">#REF!</definedName>
    <definedName name="_JJ133">#REF!</definedName>
    <definedName name="_JJ134" localSheetId="5">#REF!</definedName>
    <definedName name="_JJ134" localSheetId="3">#REF!</definedName>
    <definedName name="_JJ134" localSheetId="6">#REF!</definedName>
    <definedName name="_JJ134" localSheetId="7">#REF!</definedName>
    <definedName name="_JJ134" localSheetId="8">#REF!</definedName>
    <definedName name="_JJ134" localSheetId="4">#REF!</definedName>
    <definedName name="_JJ134" localSheetId="1">#REF!</definedName>
    <definedName name="_JJ134">#REF!</definedName>
    <definedName name="_JJ135" localSheetId="5">#REF!</definedName>
    <definedName name="_JJ135" localSheetId="3">#REF!</definedName>
    <definedName name="_JJ135" localSheetId="6">#REF!</definedName>
    <definedName name="_JJ135" localSheetId="7">#REF!</definedName>
    <definedName name="_JJ135" localSheetId="8">#REF!</definedName>
    <definedName name="_JJ135" localSheetId="4">#REF!</definedName>
    <definedName name="_JJ135" localSheetId="1">#REF!</definedName>
    <definedName name="_JJ135">#REF!</definedName>
    <definedName name="_JJ136" localSheetId="5">#REF!</definedName>
    <definedName name="_JJ136" localSheetId="3">#REF!</definedName>
    <definedName name="_JJ136" localSheetId="6">#REF!</definedName>
    <definedName name="_JJ136" localSheetId="7">#REF!</definedName>
    <definedName name="_JJ136" localSheetId="8">#REF!</definedName>
    <definedName name="_JJ136" localSheetId="4">#REF!</definedName>
    <definedName name="_JJ136" localSheetId="1">#REF!</definedName>
    <definedName name="_JJ136">#REF!</definedName>
    <definedName name="_JJ137" localSheetId="5">#REF!</definedName>
    <definedName name="_JJ137" localSheetId="3">#REF!</definedName>
    <definedName name="_JJ137" localSheetId="6">#REF!</definedName>
    <definedName name="_JJ137" localSheetId="7">#REF!</definedName>
    <definedName name="_JJ137" localSheetId="8">#REF!</definedName>
    <definedName name="_JJ137" localSheetId="4">#REF!</definedName>
    <definedName name="_JJ137" localSheetId="1">#REF!</definedName>
    <definedName name="_JJ137">#REF!</definedName>
    <definedName name="_JJ138" localSheetId="5">#REF!</definedName>
    <definedName name="_JJ138" localSheetId="3">#REF!</definedName>
    <definedName name="_JJ138" localSheetId="6">#REF!</definedName>
    <definedName name="_JJ138" localSheetId="7">#REF!</definedName>
    <definedName name="_JJ138" localSheetId="8">#REF!</definedName>
    <definedName name="_JJ138" localSheetId="4">#REF!</definedName>
    <definedName name="_JJ138" localSheetId="1">#REF!</definedName>
    <definedName name="_JJ138">#REF!</definedName>
    <definedName name="_JJ139" localSheetId="5">#REF!</definedName>
    <definedName name="_JJ139" localSheetId="3">#REF!</definedName>
    <definedName name="_JJ139" localSheetId="6">#REF!</definedName>
    <definedName name="_JJ139" localSheetId="7">#REF!</definedName>
    <definedName name="_JJ139" localSheetId="8">#REF!</definedName>
    <definedName name="_JJ139" localSheetId="4">#REF!</definedName>
    <definedName name="_JJ139" localSheetId="1">#REF!</definedName>
    <definedName name="_JJ139">#REF!</definedName>
    <definedName name="_JJ14" localSheetId="5">#REF!</definedName>
    <definedName name="_JJ14" localSheetId="3">#REF!</definedName>
    <definedName name="_JJ14" localSheetId="6">#REF!</definedName>
    <definedName name="_JJ14" localSheetId="7">#REF!</definedName>
    <definedName name="_JJ14" localSheetId="8">#REF!</definedName>
    <definedName name="_JJ14" localSheetId="4">#REF!</definedName>
    <definedName name="_JJ14" localSheetId="1">#REF!</definedName>
    <definedName name="_JJ14">#REF!</definedName>
    <definedName name="_JJ140" localSheetId="5">#REF!</definedName>
    <definedName name="_JJ140" localSheetId="3">#REF!</definedName>
    <definedName name="_JJ140" localSheetId="6">#REF!</definedName>
    <definedName name="_JJ140" localSheetId="7">#REF!</definedName>
    <definedName name="_JJ140" localSheetId="8">#REF!</definedName>
    <definedName name="_JJ140" localSheetId="4">#REF!</definedName>
    <definedName name="_JJ140" localSheetId="1">#REF!</definedName>
    <definedName name="_JJ140">#REF!</definedName>
    <definedName name="_JJ17" localSheetId="5">#REF!</definedName>
    <definedName name="_JJ17" localSheetId="3">#REF!</definedName>
    <definedName name="_JJ17" localSheetId="6">#REF!</definedName>
    <definedName name="_JJ17" localSheetId="7">#REF!</definedName>
    <definedName name="_JJ17" localSheetId="8">#REF!</definedName>
    <definedName name="_JJ17" localSheetId="4">#REF!</definedName>
    <definedName name="_JJ17" localSheetId="1">#REF!</definedName>
    <definedName name="_JJ17">#REF!</definedName>
    <definedName name="_JJ18" localSheetId="5">#REF!</definedName>
    <definedName name="_JJ18" localSheetId="3">#REF!</definedName>
    <definedName name="_JJ18" localSheetId="6">#REF!</definedName>
    <definedName name="_JJ18" localSheetId="7">#REF!</definedName>
    <definedName name="_JJ18" localSheetId="8">#REF!</definedName>
    <definedName name="_JJ18" localSheetId="4">#REF!</definedName>
    <definedName name="_JJ18" localSheetId="1">#REF!</definedName>
    <definedName name="_JJ18">#REF!</definedName>
    <definedName name="_JJ183" localSheetId="5">#REF!</definedName>
    <definedName name="_JJ183" localSheetId="3">#REF!</definedName>
    <definedName name="_JJ183" localSheetId="6">#REF!</definedName>
    <definedName name="_JJ183" localSheetId="7">#REF!</definedName>
    <definedName name="_JJ183" localSheetId="8">#REF!</definedName>
    <definedName name="_JJ183" localSheetId="4">#REF!</definedName>
    <definedName name="_JJ183" localSheetId="1">#REF!</definedName>
    <definedName name="_JJ183">#REF!</definedName>
    <definedName name="_JJ184" localSheetId="5">#REF!</definedName>
    <definedName name="_JJ184" localSheetId="3">#REF!</definedName>
    <definedName name="_JJ184" localSheetId="6">#REF!</definedName>
    <definedName name="_JJ184" localSheetId="7">#REF!</definedName>
    <definedName name="_JJ184" localSheetId="8">#REF!</definedName>
    <definedName name="_JJ184" localSheetId="4">#REF!</definedName>
    <definedName name="_JJ184" localSheetId="1">#REF!</definedName>
    <definedName name="_JJ184">#REF!</definedName>
    <definedName name="_JJ185" localSheetId="5">#REF!</definedName>
    <definedName name="_JJ185" localSheetId="3">#REF!</definedName>
    <definedName name="_JJ185" localSheetId="6">#REF!</definedName>
    <definedName name="_JJ185" localSheetId="7">#REF!</definedName>
    <definedName name="_JJ185" localSheetId="8">#REF!</definedName>
    <definedName name="_JJ185" localSheetId="4">#REF!</definedName>
    <definedName name="_JJ185" localSheetId="1">#REF!</definedName>
    <definedName name="_JJ185">#REF!</definedName>
    <definedName name="_JJ186" localSheetId="5">#REF!</definedName>
    <definedName name="_JJ186" localSheetId="3">#REF!</definedName>
    <definedName name="_JJ186" localSheetId="6">#REF!</definedName>
    <definedName name="_JJ186" localSheetId="7">#REF!</definedName>
    <definedName name="_JJ186" localSheetId="8">#REF!</definedName>
    <definedName name="_JJ186" localSheetId="4">#REF!</definedName>
    <definedName name="_JJ186" localSheetId="1">#REF!</definedName>
    <definedName name="_JJ186">#REF!</definedName>
    <definedName name="_JJ187" localSheetId="5">#REF!</definedName>
    <definedName name="_JJ187" localSheetId="3">#REF!</definedName>
    <definedName name="_JJ187" localSheetId="6">#REF!</definedName>
    <definedName name="_JJ187" localSheetId="7">#REF!</definedName>
    <definedName name="_JJ187" localSheetId="8">#REF!</definedName>
    <definedName name="_JJ187" localSheetId="4">#REF!</definedName>
    <definedName name="_JJ187" localSheetId="1">#REF!</definedName>
    <definedName name="_JJ187">#REF!</definedName>
    <definedName name="_JJ188" localSheetId="5">#REF!</definedName>
    <definedName name="_JJ188" localSheetId="3">#REF!</definedName>
    <definedName name="_JJ188" localSheetId="6">#REF!</definedName>
    <definedName name="_JJ188" localSheetId="7">#REF!</definedName>
    <definedName name="_JJ188" localSheetId="8">#REF!</definedName>
    <definedName name="_JJ188" localSheetId="4">#REF!</definedName>
    <definedName name="_JJ188" localSheetId="1">#REF!</definedName>
    <definedName name="_JJ188">#REF!</definedName>
    <definedName name="_JJ189" localSheetId="5">#REF!</definedName>
    <definedName name="_JJ189" localSheetId="3">#REF!</definedName>
    <definedName name="_JJ189" localSheetId="6">#REF!</definedName>
    <definedName name="_JJ189" localSheetId="7">#REF!</definedName>
    <definedName name="_JJ189" localSheetId="8">#REF!</definedName>
    <definedName name="_JJ189" localSheetId="4">#REF!</definedName>
    <definedName name="_JJ189" localSheetId="1">#REF!</definedName>
    <definedName name="_JJ189">#REF!</definedName>
    <definedName name="_JJ19" localSheetId="5">#REF!</definedName>
    <definedName name="_JJ19" localSheetId="3">#REF!</definedName>
    <definedName name="_JJ19" localSheetId="6">#REF!</definedName>
    <definedName name="_JJ19" localSheetId="7">#REF!</definedName>
    <definedName name="_JJ19" localSheetId="8">#REF!</definedName>
    <definedName name="_JJ19" localSheetId="4">#REF!</definedName>
    <definedName name="_JJ19" localSheetId="1">#REF!</definedName>
    <definedName name="_JJ19">#REF!</definedName>
    <definedName name="_JJ190" localSheetId="5">#REF!</definedName>
    <definedName name="_JJ190" localSheetId="3">#REF!</definedName>
    <definedName name="_JJ190" localSheetId="6">#REF!</definedName>
    <definedName name="_JJ190" localSheetId="7">#REF!</definedName>
    <definedName name="_JJ190" localSheetId="8">#REF!</definedName>
    <definedName name="_JJ190" localSheetId="4">#REF!</definedName>
    <definedName name="_JJ190" localSheetId="1">#REF!</definedName>
    <definedName name="_JJ190">#REF!</definedName>
    <definedName name="_JJ191" localSheetId="5">#REF!</definedName>
    <definedName name="_JJ191" localSheetId="3">#REF!</definedName>
    <definedName name="_JJ191" localSheetId="6">#REF!</definedName>
    <definedName name="_JJ191" localSheetId="7">#REF!</definedName>
    <definedName name="_JJ191" localSheetId="8">#REF!</definedName>
    <definedName name="_JJ191" localSheetId="4">#REF!</definedName>
    <definedName name="_JJ191" localSheetId="1">#REF!</definedName>
    <definedName name="_JJ191">#REF!</definedName>
    <definedName name="_JJ192" localSheetId="5">#REF!</definedName>
    <definedName name="_JJ192" localSheetId="3">#REF!</definedName>
    <definedName name="_JJ192" localSheetId="6">#REF!</definedName>
    <definedName name="_JJ192" localSheetId="7">#REF!</definedName>
    <definedName name="_JJ192" localSheetId="8">#REF!</definedName>
    <definedName name="_JJ192" localSheetId="4">#REF!</definedName>
    <definedName name="_JJ192" localSheetId="1">#REF!</definedName>
    <definedName name="_JJ192">#REF!</definedName>
    <definedName name="_JJ193" localSheetId="5">#REF!</definedName>
    <definedName name="_JJ193" localSheetId="3">#REF!</definedName>
    <definedName name="_JJ193" localSheetId="6">#REF!</definedName>
    <definedName name="_JJ193" localSheetId="7">#REF!</definedName>
    <definedName name="_JJ193" localSheetId="8">#REF!</definedName>
    <definedName name="_JJ193" localSheetId="4">#REF!</definedName>
    <definedName name="_JJ193" localSheetId="1">#REF!</definedName>
    <definedName name="_JJ193">#REF!</definedName>
    <definedName name="_JJ194" localSheetId="5">#REF!</definedName>
    <definedName name="_JJ194" localSheetId="3">#REF!</definedName>
    <definedName name="_JJ194" localSheetId="6">#REF!</definedName>
    <definedName name="_JJ194" localSheetId="7">#REF!</definedName>
    <definedName name="_JJ194" localSheetId="8">#REF!</definedName>
    <definedName name="_JJ194" localSheetId="4">#REF!</definedName>
    <definedName name="_JJ194" localSheetId="1">#REF!</definedName>
    <definedName name="_JJ194">#REF!</definedName>
    <definedName name="_JJ195" localSheetId="5">#REF!</definedName>
    <definedName name="_JJ195" localSheetId="3">#REF!</definedName>
    <definedName name="_JJ195" localSheetId="6">#REF!</definedName>
    <definedName name="_JJ195" localSheetId="7">#REF!</definedName>
    <definedName name="_JJ195" localSheetId="8">#REF!</definedName>
    <definedName name="_JJ195" localSheetId="4">#REF!</definedName>
    <definedName name="_JJ195" localSheetId="1">#REF!</definedName>
    <definedName name="_JJ195">#REF!</definedName>
    <definedName name="_JJ196" localSheetId="5">#REF!</definedName>
    <definedName name="_JJ196" localSheetId="3">#REF!</definedName>
    <definedName name="_JJ196" localSheetId="6">#REF!</definedName>
    <definedName name="_JJ196" localSheetId="7">#REF!</definedName>
    <definedName name="_JJ196" localSheetId="8">#REF!</definedName>
    <definedName name="_JJ196" localSheetId="4">#REF!</definedName>
    <definedName name="_JJ196" localSheetId="1">#REF!</definedName>
    <definedName name="_JJ196">#REF!</definedName>
    <definedName name="_JJ2" localSheetId="5">#REF!</definedName>
    <definedName name="_JJ2" localSheetId="3">#REF!</definedName>
    <definedName name="_JJ2" localSheetId="6">#REF!</definedName>
    <definedName name="_JJ2" localSheetId="7">#REF!</definedName>
    <definedName name="_JJ2" localSheetId="8">#REF!</definedName>
    <definedName name="_JJ2" localSheetId="4">#REF!</definedName>
    <definedName name="_JJ2" localSheetId="1">#REF!</definedName>
    <definedName name="_JJ2">#REF!</definedName>
    <definedName name="_JJ20" localSheetId="5">#REF!</definedName>
    <definedName name="_JJ20" localSheetId="3">#REF!</definedName>
    <definedName name="_JJ20" localSheetId="6">#REF!</definedName>
    <definedName name="_JJ20" localSheetId="7">#REF!</definedName>
    <definedName name="_JJ20" localSheetId="8">#REF!</definedName>
    <definedName name="_JJ20" localSheetId="4">#REF!</definedName>
    <definedName name="_JJ20" localSheetId="1">#REF!</definedName>
    <definedName name="_JJ20">#REF!</definedName>
    <definedName name="_JJ21" localSheetId="5">#REF!</definedName>
    <definedName name="_JJ21" localSheetId="3">#REF!</definedName>
    <definedName name="_JJ21" localSheetId="6">#REF!</definedName>
    <definedName name="_JJ21" localSheetId="7">#REF!</definedName>
    <definedName name="_JJ21" localSheetId="8">#REF!</definedName>
    <definedName name="_JJ21" localSheetId="4">#REF!</definedName>
    <definedName name="_JJ21" localSheetId="1">#REF!</definedName>
    <definedName name="_JJ21">#REF!</definedName>
    <definedName name="_JJ211" localSheetId="5">#REF!</definedName>
    <definedName name="_JJ211" localSheetId="3">#REF!</definedName>
    <definedName name="_JJ211" localSheetId="6">#REF!</definedName>
    <definedName name="_JJ211" localSheetId="7">#REF!</definedName>
    <definedName name="_JJ211" localSheetId="8">#REF!</definedName>
    <definedName name="_JJ211" localSheetId="4">#REF!</definedName>
    <definedName name="_JJ211" localSheetId="1">#REF!</definedName>
    <definedName name="_JJ211">#REF!</definedName>
    <definedName name="_JJ212" localSheetId="5">#REF!</definedName>
    <definedName name="_JJ212" localSheetId="3">#REF!</definedName>
    <definedName name="_JJ212" localSheetId="6">#REF!</definedName>
    <definedName name="_JJ212" localSheetId="7">#REF!</definedName>
    <definedName name="_JJ212" localSheetId="8">#REF!</definedName>
    <definedName name="_JJ212" localSheetId="4">#REF!</definedName>
    <definedName name="_JJ212" localSheetId="1">#REF!</definedName>
    <definedName name="_JJ212">#REF!</definedName>
    <definedName name="_JJ213" localSheetId="5">#REF!</definedName>
    <definedName name="_JJ213" localSheetId="3">#REF!</definedName>
    <definedName name="_JJ213" localSheetId="6">#REF!</definedName>
    <definedName name="_JJ213" localSheetId="7">#REF!</definedName>
    <definedName name="_JJ213" localSheetId="8">#REF!</definedName>
    <definedName name="_JJ213" localSheetId="4">#REF!</definedName>
    <definedName name="_JJ213" localSheetId="1">#REF!</definedName>
    <definedName name="_JJ213">#REF!</definedName>
    <definedName name="_JJ214" localSheetId="5">#REF!</definedName>
    <definedName name="_JJ214" localSheetId="3">#REF!</definedName>
    <definedName name="_JJ214" localSheetId="6">#REF!</definedName>
    <definedName name="_JJ214" localSheetId="7">#REF!</definedName>
    <definedName name="_JJ214" localSheetId="8">#REF!</definedName>
    <definedName name="_JJ214" localSheetId="4">#REF!</definedName>
    <definedName name="_JJ214" localSheetId="1">#REF!</definedName>
    <definedName name="_JJ214">#REF!</definedName>
    <definedName name="_JJ215" localSheetId="5">#REF!</definedName>
    <definedName name="_JJ215" localSheetId="3">#REF!</definedName>
    <definedName name="_JJ215" localSheetId="6">#REF!</definedName>
    <definedName name="_JJ215" localSheetId="7">#REF!</definedName>
    <definedName name="_JJ215" localSheetId="8">#REF!</definedName>
    <definedName name="_JJ215" localSheetId="4">#REF!</definedName>
    <definedName name="_JJ215" localSheetId="1">#REF!</definedName>
    <definedName name="_JJ215">#REF!</definedName>
    <definedName name="_JJ216" localSheetId="5">#REF!</definedName>
    <definedName name="_JJ216" localSheetId="3">#REF!</definedName>
    <definedName name="_JJ216" localSheetId="6">#REF!</definedName>
    <definedName name="_JJ216" localSheetId="7">#REF!</definedName>
    <definedName name="_JJ216" localSheetId="8">#REF!</definedName>
    <definedName name="_JJ216" localSheetId="4">#REF!</definedName>
    <definedName name="_JJ216" localSheetId="1">#REF!</definedName>
    <definedName name="_JJ216">#REF!</definedName>
    <definedName name="_JJ217" localSheetId="5">#REF!</definedName>
    <definedName name="_JJ217" localSheetId="3">#REF!</definedName>
    <definedName name="_JJ217" localSheetId="6">#REF!</definedName>
    <definedName name="_JJ217" localSheetId="7">#REF!</definedName>
    <definedName name="_JJ217" localSheetId="8">#REF!</definedName>
    <definedName name="_JJ217" localSheetId="4">#REF!</definedName>
    <definedName name="_JJ217" localSheetId="1">#REF!</definedName>
    <definedName name="_JJ217">#REF!</definedName>
    <definedName name="_JJ218" localSheetId="5">#REF!</definedName>
    <definedName name="_JJ218" localSheetId="3">#REF!</definedName>
    <definedName name="_JJ218" localSheetId="6">#REF!</definedName>
    <definedName name="_JJ218" localSheetId="7">#REF!</definedName>
    <definedName name="_JJ218" localSheetId="8">#REF!</definedName>
    <definedName name="_JJ218" localSheetId="4">#REF!</definedName>
    <definedName name="_JJ218" localSheetId="1">#REF!</definedName>
    <definedName name="_JJ218">#REF!</definedName>
    <definedName name="_JJ219" localSheetId="5">#REF!</definedName>
    <definedName name="_JJ219" localSheetId="3">#REF!</definedName>
    <definedName name="_JJ219" localSheetId="6">#REF!</definedName>
    <definedName name="_JJ219" localSheetId="7">#REF!</definedName>
    <definedName name="_JJ219" localSheetId="8">#REF!</definedName>
    <definedName name="_JJ219" localSheetId="4">#REF!</definedName>
    <definedName name="_JJ219" localSheetId="1">#REF!</definedName>
    <definedName name="_JJ219">#REF!</definedName>
    <definedName name="_JJ22" localSheetId="5">#REF!</definedName>
    <definedName name="_JJ22" localSheetId="3">#REF!</definedName>
    <definedName name="_JJ22" localSheetId="6">#REF!</definedName>
    <definedName name="_JJ22" localSheetId="7">#REF!</definedName>
    <definedName name="_JJ22" localSheetId="8">#REF!</definedName>
    <definedName name="_JJ22" localSheetId="4">#REF!</definedName>
    <definedName name="_JJ22" localSheetId="1">#REF!</definedName>
    <definedName name="_JJ22">#REF!</definedName>
    <definedName name="_JJ220" localSheetId="5">#REF!</definedName>
    <definedName name="_JJ220" localSheetId="3">#REF!</definedName>
    <definedName name="_JJ220" localSheetId="6">#REF!</definedName>
    <definedName name="_JJ220" localSheetId="7">#REF!</definedName>
    <definedName name="_JJ220" localSheetId="8">#REF!</definedName>
    <definedName name="_JJ220" localSheetId="4">#REF!</definedName>
    <definedName name="_JJ220" localSheetId="1">#REF!</definedName>
    <definedName name="_JJ220">#REF!</definedName>
    <definedName name="_JJ221" localSheetId="5">#REF!</definedName>
    <definedName name="_JJ221" localSheetId="3">#REF!</definedName>
    <definedName name="_JJ221" localSheetId="6">#REF!</definedName>
    <definedName name="_JJ221" localSheetId="7">#REF!</definedName>
    <definedName name="_JJ221" localSheetId="8">#REF!</definedName>
    <definedName name="_JJ221" localSheetId="4">#REF!</definedName>
    <definedName name="_JJ221" localSheetId="1">#REF!</definedName>
    <definedName name="_JJ221">#REF!</definedName>
    <definedName name="_JJ222" localSheetId="5">#REF!</definedName>
    <definedName name="_JJ222" localSheetId="3">#REF!</definedName>
    <definedName name="_JJ222" localSheetId="6">#REF!</definedName>
    <definedName name="_JJ222" localSheetId="7">#REF!</definedName>
    <definedName name="_JJ222" localSheetId="8">#REF!</definedName>
    <definedName name="_JJ222" localSheetId="4">#REF!</definedName>
    <definedName name="_JJ222" localSheetId="1">#REF!</definedName>
    <definedName name="_JJ222">#REF!</definedName>
    <definedName name="_JJ223" localSheetId="5">#REF!</definedName>
    <definedName name="_JJ223" localSheetId="3">#REF!</definedName>
    <definedName name="_JJ223" localSheetId="6">#REF!</definedName>
    <definedName name="_JJ223" localSheetId="7">#REF!</definedName>
    <definedName name="_JJ223" localSheetId="8">#REF!</definedName>
    <definedName name="_JJ223" localSheetId="4">#REF!</definedName>
    <definedName name="_JJ223" localSheetId="1">#REF!</definedName>
    <definedName name="_JJ223">#REF!</definedName>
    <definedName name="_JJ224" localSheetId="5">#REF!</definedName>
    <definedName name="_JJ224" localSheetId="3">#REF!</definedName>
    <definedName name="_JJ224" localSheetId="6">#REF!</definedName>
    <definedName name="_JJ224" localSheetId="7">#REF!</definedName>
    <definedName name="_JJ224" localSheetId="8">#REF!</definedName>
    <definedName name="_JJ224" localSheetId="4">#REF!</definedName>
    <definedName name="_JJ224" localSheetId="1">#REF!</definedName>
    <definedName name="_JJ224">#REF!</definedName>
    <definedName name="_JJ225" localSheetId="5">#REF!</definedName>
    <definedName name="_JJ225" localSheetId="3">#REF!</definedName>
    <definedName name="_JJ225" localSheetId="6">#REF!</definedName>
    <definedName name="_JJ225" localSheetId="7">#REF!</definedName>
    <definedName name="_JJ225" localSheetId="8">#REF!</definedName>
    <definedName name="_JJ225" localSheetId="4">#REF!</definedName>
    <definedName name="_JJ225" localSheetId="1">#REF!</definedName>
    <definedName name="_JJ225">#REF!</definedName>
    <definedName name="_JJ226" localSheetId="5">#REF!</definedName>
    <definedName name="_JJ226" localSheetId="3">#REF!</definedName>
    <definedName name="_JJ226" localSheetId="6">#REF!</definedName>
    <definedName name="_JJ226" localSheetId="7">#REF!</definedName>
    <definedName name="_JJ226" localSheetId="8">#REF!</definedName>
    <definedName name="_JJ226" localSheetId="4">#REF!</definedName>
    <definedName name="_JJ226" localSheetId="1">#REF!</definedName>
    <definedName name="_JJ226">#REF!</definedName>
    <definedName name="_JJ227" localSheetId="5">#REF!</definedName>
    <definedName name="_JJ227" localSheetId="3">#REF!</definedName>
    <definedName name="_JJ227" localSheetId="6">#REF!</definedName>
    <definedName name="_JJ227" localSheetId="7">#REF!</definedName>
    <definedName name="_JJ227" localSheetId="8">#REF!</definedName>
    <definedName name="_JJ227" localSheetId="4">#REF!</definedName>
    <definedName name="_JJ227" localSheetId="1">#REF!</definedName>
    <definedName name="_JJ227">#REF!</definedName>
    <definedName name="_JJ228" localSheetId="5">#REF!</definedName>
    <definedName name="_JJ228" localSheetId="3">#REF!</definedName>
    <definedName name="_JJ228" localSheetId="6">#REF!</definedName>
    <definedName name="_JJ228" localSheetId="7">#REF!</definedName>
    <definedName name="_JJ228" localSheetId="8">#REF!</definedName>
    <definedName name="_JJ228" localSheetId="4">#REF!</definedName>
    <definedName name="_JJ228" localSheetId="1">#REF!</definedName>
    <definedName name="_JJ228">#REF!</definedName>
    <definedName name="_JJ229" localSheetId="5">#REF!</definedName>
    <definedName name="_JJ229" localSheetId="3">#REF!</definedName>
    <definedName name="_JJ229" localSheetId="6">#REF!</definedName>
    <definedName name="_JJ229" localSheetId="7">#REF!</definedName>
    <definedName name="_JJ229" localSheetId="8">#REF!</definedName>
    <definedName name="_JJ229" localSheetId="4">#REF!</definedName>
    <definedName name="_JJ229" localSheetId="1">#REF!</definedName>
    <definedName name="_JJ229">#REF!</definedName>
    <definedName name="_JJ23" localSheetId="5">#REF!</definedName>
    <definedName name="_JJ23" localSheetId="3">#REF!</definedName>
    <definedName name="_JJ23" localSheetId="6">#REF!</definedName>
    <definedName name="_JJ23" localSheetId="7">#REF!</definedName>
    <definedName name="_JJ23" localSheetId="8">#REF!</definedName>
    <definedName name="_JJ23" localSheetId="4">#REF!</definedName>
    <definedName name="_JJ23" localSheetId="1">#REF!</definedName>
    <definedName name="_JJ23">#REF!</definedName>
    <definedName name="_JJ230" localSheetId="5">#REF!</definedName>
    <definedName name="_JJ230" localSheetId="3">#REF!</definedName>
    <definedName name="_JJ230" localSheetId="6">#REF!</definedName>
    <definedName name="_JJ230" localSheetId="7">#REF!</definedName>
    <definedName name="_JJ230" localSheetId="8">#REF!</definedName>
    <definedName name="_JJ230" localSheetId="4">#REF!</definedName>
    <definedName name="_JJ230" localSheetId="1">#REF!</definedName>
    <definedName name="_JJ230">#REF!</definedName>
    <definedName name="_JJ231" localSheetId="5">#REF!</definedName>
    <definedName name="_JJ231" localSheetId="3">#REF!</definedName>
    <definedName name="_JJ231" localSheetId="6">#REF!</definedName>
    <definedName name="_JJ231" localSheetId="7">#REF!</definedName>
    <definedName name="_JJ231" localSheetId="8">#REF!</definedName>
    <definedName name="_JJ231" localSheetId="4">#REF!</definedName>
    <definedName name="_JJ231" localSheetId="1">#REF!</definedName>
    <definedName name="_JJ231">#REF!</definedName>
    <definedName name="_JJ232" localSheetId="5">#REF!</definedName>
    <definedName name="_JJ232" localSheetId="3">#REF!</definedName>
    <definedName name="_JJ232" localSheetId="6">#REF!</definedName>
    <definedName name="_JJ232" localSheetId="7">#REF!</definedName>
    <definedName name="_JJ232" localSheetId="8">#REF!</definedName>
    <definedName name="_JJ232" localSheetId="4">#REF!</definedName>
    <definedName name="_JJ232" localSheetId="1">#REF!</definedName>
    <definedName name="_JJ232">#REF!</definedName>
    <definedName name="_JJ233" localSheetId="5">#REF!</definedName>
    <definedName name="_JJ233" localSheetId="3">#REF!</definedName>
    <definedName name="_JJ233" localSheetId="6">#REF!</definedName>
    <definedName name="_JJ233" localSheetId="7">#REF!</definedName>
    <definedName name="_JJ233" localSheetId="8">#REF!</definedName>
    <definedName name="_JJ233" localSheetId="4">#REF!</definedName>
    <definedName name="_JJ233" localSheetId="1">#REF!</definedName>
    <definedName name="_JJ233">#REF!</definedName>
    <definedName name="_JJ234" localSheetId="5">#REF!</definedName>
    <definedName name="_JJ234" localSheetId="3">#REF!</definedName>
    <definedName name="_JJ234" localSheetId="6">#REF!</definedName>
    <definedName name="_JJ234" localSheetId="7">#REF!</definedName>
    <definedName name="_JJ234" localSheetId="8">#REF!</definedName>
    <definedName name="_JJ234" localSheetId="4">#REF!</definedName>
    <definedName name="_JJ234" localSheetId="1">#REF!</definedName>
    <definedName name="_JJ234">#REF!</definedName>
    <definedName name="_JJ235" localSheetId="5">#REF!</definedName>
    <definedName name="_JJ235" localSheetId="3">#REF!</definedName>
    <definedName name="_JJ235" localSheetId="6">#REF!</definedName>
    <definedName name="_JJ235" localSheetId="7">#REF!</definedName>
    <definedName name="_JJ235" localSheetId="8">#REF!</definedName>
    <definedName name="_JJ235" localSheetId="4">#REF!</definedName>
    <definedName name="_JJ235" localSheetId="1">#REF!</definedName>
    <definedName name="_JJ235">#REF!</definedName>
    <definedName name="_JJ236" localSheetId="5">#REF!</definedName>
    <definedName name="_JJ236" localSheetId="3">#REF!</definedName>
    <definedName name="_JJ236" localSheetId="6">#REF!</definedName>
    <definedName name="_JJ236" localSheetId="7">#REF!</definedName>
    <definedName name="_JJ236" localSheetId="8">#REF!</definedName>
    <definedName name="_JJ236" localSheetId="4">#REF!</definedName>
    <definedName name="_JJ236" localSheetId="1">#REF!</definedName>
    <definedName name="_JJ236">#REF!</definedName>
    <definedName name="_JJ237" localSheetId="5">#REF!</definedName>
    <definedName name="_JJ237" localSheetId="3">#REF!</definedName>
    <definedName name="_JJ237" localSheetId="6">#REF!</definedName>
    <definedName name="_JJ237" localSheetId="7">#REF!</definedName>
    <definedName name="_JJ237" localSheetId="8">#REF!</definedName>
    <definedName name="_JJ237" localSheetId="4">#REF!</definedName>
    <definedName name="_JJ237" localSheetId="1">#REF!</definedName>
    <definedName name="_JJ237">#REF!</definedName>
    <definedName name="_JJ238" localSheetId="5">#REF!</definedName>
    <definedName name="_JJ238" localSheetId="3">#REF!</definedName>
    <definedName name="_JJ238" localSheetId="6">#REF!</definedName>
    <definedName name="_JJ238" localSheetId="7">#REF!</definedName>
    <definedName name="_JJ238" localSheetId="8">#REF!</definedName>
    <definedName name="_JJ238" localSheetId="4">#REF!</definedName>
    <definedName name="_JJ238" localSheetId="1">#REF!</definedName>
    <definedName name="_JJ238">#REF!</definedName>
    <definedName name="_JJ239" localSheetId="5">#REF!</definedName>
    <definedName name="_JJ239" localSheetId="3">#REF!</definedName>
    <definedName name="_JJ239" localSheetId="6">#REF!</definedName>
    <definedName name="_JJ239" localSheetId="7">#REF!</definedName>
    <definedName name="_JJ239" localSheetId="8">#REF!</definedName>
    <definedName name="_JJ239" localSheetId="4">#REF!</definedName>
    <definedName name="_JJ239" localSheetId="1">#REF!</definedName>
    <definedName name="_JJ239">#REF!</definedName>
    <definedName name="_JJ24" localSheetId="5">#REF!</definedName>
    <definedName name="_JJ24" localSheetId="3">#REF!</definedName>
    <definedName name="_JJ24" localSheetId="6">#REF!</definedName>
    <definedName name="_JJ24" localSheetId="7">#REF!</definedName>
    <definedName name="_JJ24" localSheetId="8">#REF!</definedName>
    <definedName name="_JJ24" localSheetId="4">#REF!</definedName>
    <definedName name="_JJ24" localSheetId="1">#REF!</definedName>
    <definedName name="_JJ24">#REF!</definedName>
    <definedName name="_JJ240" localSheetId="5">#REF!</definedName>
    <definedName name="_JJ240" localSheetId="3">#REF!</definedName>
    <definedName name="_JJ240" localSheetId="6">#REF!</definedName>
    <definedName name="_JJ240" localSheetId="7">#REF!</definedName>
    <definedName name="_JJ240" localSheetId="8">#REF!</definedName>
    <definedName name="_JJ240" localSheetId="4">#REF!</definedName>
    <definedName name="_JJ240" localSheetId="1">#REF!</definedName>
    <definedName name="_JJ240">#REF!</definedName>
    <definedName name="_JJ241" localSheetId="5">#REF!</definedName>
    <definedName name="_JJ241" localSheetId="3">#REF!</definedName>
    <definedName name="_JJ241" localSheetId="6">#REF!</definedName>
    <definedName name="_JJ241" localSheetId="7">#REF!</definedName>
    <definedName name="_JJ241" localSheetId="8">#REF!</definedName>
    <definedName name="_JJ241" localSheetId="4">#REF!</definedName>
    <definedName name="_JJ241" localSheetId="1">#REF!</definedName>
    <definedName name="_JJ241">#REF!</definedName>
    <definedName name="_JJ242" localSheetId="5">#REF!</definedName>
    <definedName name="_JJ242" localSheetId="3">#REF!</definedName>
    <definedName name="_JJ242" localSheetId="6">#REF!</definedName>
    <definedName name="_JJ242" localSheetId="7">#REF!</definedName>
    <definedName name="_JJ242" localSheetId="8">#REF!</definedName>
    <definedName name="_JJ242" localSheetId="4">#REF!</definedName>
    <definedName name="_JJ242" localSheetId="1">#REF!</definedName>
    <definedName name="_JJ242">#REF!</definedName>
    <definedName name="_JJ243" localSheetId="5">#REF!</definedName>
    <definedName name="_JJ243" localSheetId="3">#REF!</definedName>
    <definedName name="_JJ243" localSheetId="6">#REF!</definedName>
    <definedName name="_JJ243" localSheetId="7">#REF!</definedName>
    <definedName name="_JJ243" localSheetId="8">#REF!</definedName>
    <definedName name="_JJ243" localSheetId="4">#REF!</definedName>
    <definedName name="_JJ243" localSheetId="1">#REF!</definedName>
    <definedName name="_JJ243">#REF!</definedName>
    <definedName name="_JJ244" localSheetId="5">#REF!</definedName>
    <definedName name="_JJ244" localSheetId="3">#REF!</definedName>
    <definedName name="_JJ244" localSheetId="6">#REF!</definedName>
    <definedName name="_JJ244" localSheetId="7">#REF!</definedName>
    <definedName name="_JJ244" localSheetId="8">#REF!</definedName>
    <definedName name="_JJ244" localSheetId="4">#REF!</definedName>
    <definedName name="_JJ244" localSheetId="1">#REF!</definedName>
    <definedName name="_JJ244">#REF!</definedName>
    <definedName name="_JJ245" localSheetId="5">#REF!</definedName>
    <definedName name="_JJ245" localSheetId="3">#REF!</definedName>
    <definedName name="_JJ245" localSheetId="6">#REF!</definedName>
    <definedName name="_JJ245" localSheetId="7">#REF!</definedName>
    <definedName name="_JJ245" localSheetId="8">#REF!</definedName>
    <definedName name="_JJ245" localSheetId="4">#REF!</definedName>
    <definedName name="_JJ245" localSheetId="1">#REF!</definedName>
    <definedName name="_JJ245">#REF!</definedName>
    <definedName name="_JJ248" localSheetId="5">#REF!</definedName>
    <definedName name="_JJ248" localSheetId="3">#REF!</definedName>
    <definedName name="_JJ248" localSheetId="6">#REF!</definedName>
    <definedName name="_JJ248" localSheetId="7">#REF!</definedName>
    <definedName name="_JJ248" localSheetId="8">#REF!</definedName>
    <definedName name="_JJ248" localSheetId="4">#REF!</definedName>
    <definedName name="_JJ248" localSheetId="1">#REF!</definedName>
    <definedName name="_JJ248">#REF!</definedName>
    <definedName name="_JJ249" localSheetId="5">#REF!</definedName>
    <definedName name="_JJ249" localSheetId="3">#REF!</definedName>
    <definedName name="_JJ249" localSheetId="6">#REF!</definedName>
    <definedName name="_JJ249" localSheetId="7">#REF!</definedName>
    <definedName name="_JJ249" localSheetId="8">#REF!</definedName>
    <definedName name="_JJ249" localSheetId="4">#REF!</definedName>
    <definedName name="_JJ249" localSheetId="1">#REF!</definedName>
    <definedName name="_JJ249">#REF!</definedName>
    <definedName name="_JJ25" localSheetId="5">#REF!</definedName>
    <definedName name="_JJ25" localSheetId="3">#REF!</definedName>
    <definedName name="_JJ25" localSheetId="6">#REF!</definedName>
    <definedName name="_JJ25" localSheetId="7">#REF!</definedName>
    <definedName name="_JJ25" localSheetId="8">#REF!</definedName>
    <definedName name="_JJ25" localSheetId="4">#REF!</definedName>
    <definedName name="_JJ25" localSheetId="1">#REF!</definedName>
    <definedName name="_JJ25">#REF!</definedName>
    <definedName name="_JJ250" localSheetId="5">#REF!</definedName>
    <definedName name="_JJ250" localSheetId="3">#REF!</definedName>
    <definedName name="_JJ250" localSheetId="6">#REF!</definedName>
    <definedName name="_JJ250" localSheetId="7">#REF!</definedName>
    <definedName name="_JJ250" localSheetId="8">#REF!</definedName>
    <definedName name="_JJ250" localSheetId="4">#REF!</definedName>
    <definedName name="_JJ250" localSheetId="1">#REF!</definedName>
    <definedName name="_JJ250">#REF!</definedName>
    <definedName name="_JJ251" localSheetId="5">#REF!</definedName>
    <definedName name="_JJ251" localSheetId="3">#REF!</definedName>
    <definedName name="_JJ251" localSheetId="6">#REF!</definedName>
    <definedName name="_JJ251" localSheetId="7">#REF!</definedName>
    <definedName name="_JJ251" localSheetId="8">#REF!</definedName>
    <definedName name="_JJ251" localSheetId="4">#REF!</definedName>
    <definedName name="_JJ251" localSheetId="1">#REF!</definedName>
    <definedName name="_JJ251">#REF!</definedName>
    <definedName name="_JJ252" localSheetId="5">#REF!</definedName>
    <definedName name="_JJ252" localSheetId="3">#REF!</definedName>
    <definedName name="_JJ252" localSheetId="6">#REF!</definedName>
    <definedName name="_JJ252" localSheetId="7">#REF!</definedName>
    <definedName name="_JJ252" localSheetId="8">#REF!</definedName>
    <definedName name="_JJ252" localSheetId="4">#REF!</definedName>
    <definedName name="_JJ252" localSheetId="1">#REF!</definedName>
    <definedName name="_JJ252">#REF!</definedName>
    <definedName name="_JJ253" localSheetId="5">#REF!</definedName>
    <definedName name="_JJ253" localSheetId="3">#REF!</definedName>
    <definedName name="_JJ253" localSheetId="6">#REF!</definedName>
    <definedName name="_JJ253" localSheetId="7">#REF!</definedName>
    <definedName name="_JJ253" localSheetId="8">#REF!</definedName>
    <definedName name="_JJ253" localSheetId="4">#REF!</definedName>
    <definedName name="_JJ253" localSheetId="1">#REF!</definedName>
    <definedName name="_JJ253">#REF!</definedName>
    <definedName name="_JJ254" localSheetId="5">#REF!</definedName>
    <definedName name="_JJ254" localSheetId="3">#REF!</definedName>
    <definedName name="_JJ254" localSheetId="6">#REF!</definedName>
    <definedName name="_JJ254" localSheetId="7">#REF!</definedName>
    <definedName name="_JJ254" localSheetId="8">#REF!</definedName>
    <definedName name="_JJ254" localSheetId="4">#REF!</definedName>
    <definedName name="_JJ254" localSheetId="1">#REF!</definedName>
    <definedName name="_JJ254">#REF!</definedName>
    <definedName name="_JJ255" localSheetId="5">#REF!</definedName>
    <definedName name="_JJ255" localSheetId="3">#REF!</definedName>
    <definedName name="_JJ255" localSheetId="6">#REF!</definedName>
    <definedName name="_JJ255" localSheetId="7">#REF!</definedName>
    <definedName name="_JJ255" localSheetId="8">#REF!</definedName>
    <definedName name="_JJ255" localSheetId="4">#REF!</definedName>
    <definedName name="_JJ255" localSheetId="1">#REF!</definedName>
    <definedName name="_JJ255">#REF!</definedName>
    <definedName name="_JJ256" localSheetId="5">#REF!</definedName>
    <definedName name="_JJ256" localSheetId="3">#REF!</definedName>
    <definedName name="_JJ256" localSheetId="6">#REF!</definedName>
    <definedName name="_JJ256" localSheetId="7">#REF!</definedName>
    <definedName name="_JJ256" localSheetId="8">#REF!</definedName>
    <definedName name="_JJ256" localSheetId="4">#REF!</definedName>
    <definedName name="_JJ256" localSheetId="1">#REF!</definedName>
    <definedName name="_JJ256">#REF!</definedName>
    <definedName name="_JJ257" localSheetId="5">#REF!</definedName>
    <definedName name="_JJ257" localSheetId="3">#REF!</definedName>
    <definedName name="_JJ257" localSheetId="6">#REF!</definedName>
    <definedName name="_JJ257" localSheetId="7">#REF!</definedName>
    <definedName name="_JJ257" localSheetId="8">#REF!</definedName>
    <definedName name="_JJ257" localSheetId="4">#REF!</definedName>
    <definedName name="_JJ257" localSheetId="1">#REF!</definedName>
    <definedName name="_JJ257">#REF!</definedName>
    <definedName name="_JJ258" localSheetId="5">#REF!</definedName>
    <definedName name="_JJ258" localSheetId="3">#REF!</definedName>
    <definedName name="_JJ258" localSheetId="6">#REF!</definedName>
    <definedName name="_JJ258" localSheetId="7">#REF!</definedName>
    <definedName name="_JJ258" localSheetId="8">#REF!</definedName>
    <definedName name="_JJ258" localSheetId="4">#REF!</definedName>
    <definedName name="_JJ258" localSheetId="1">#REF!</definedName>
    <definedName name="_JJ258">#REF!</definedName>
    <definedName name="_JJ259" localSheetId="5">#REF!</definedName>
    <definedName name="_JJ259" localSheetId="3">#REF!</definedName>
    <definedName name="_JJ259" localSheetId="6">#REF!</definedName>
    <definedName name="_JJ259" localSheetId="7">#REF!</definedName>
    <definedName name="_JJ259" localSheetId="8">#REF!</definedName>
    <definedName name="_JJ259" localSheetId="4">#REF!</definedName>
    <definedName name="_JJ259" localSheetId="1">#REF!</definedName>
    <definedName name="_JJ259">#REF!</definedName>
    <definedName name="_JJ26" localSheetId="5">#REF!</definedName>
    <definedName name="_JJ26" localSheetId="3">#REF!</definedName>
    <definedName name="_JJ26" localSheetId="6">#REF!</definedName>
    <definedName name="_JJ26" localSheetId="7">#REF!</definedName>
    <definedName name="_JJ26" localSheetId="8">#REF!</definedName>
    <definedName name="_JJ26" localSheetId="4">#REF!</definedName>
    <definedName name="_JJ26" localSheetId="1">#REF!</definedName>
    <definedName name="_JJ26">#REF!</definedName>
    <definedName name="_JJ260" localSheetId="5">#REF!</definedName>
    <definedName name="_JJ260" localSheetId="3">#REF!</definedName>
    <definedName name="_JJ260" localSheetId="6">#REF!</definedName>
    <definedName name="_JJ260" localSheetId="7">#REF!</definedName>
    <definedName name="_JJ260" localSheetId="8">#REF!</definedName>
    <definedName name="_JJ260" localSheetId="4">#REF!</definedName>
    <definedName name="_JJ260" localSheetId="1">#REF!</definedName>
    <definedName name="_JJ260">#REF!</definedName>
    <definedName name="_JJ261" localSheetId="5">#REF!</definedName>
    <definedName name="_JJ261" localSheetId="3">#REF!</definedName>
    <definedName name="_JJ261" localSheetId="6">#REF!</definedName>
    <definedName name="_JJ261" localSheetId="7">#REF!</definedName>
    <definedName name="_JJ261" localSheetId="8">#REF!</definedName>
    <definedName name="_JJ261" localSheetId="4">#REF!</definedName>
    <definedName name="_JJ261" localSheetId="1">#REF!</definedName>
    <definedName name="_JJ261">#REF!</definedName>
    <definedName name="_JJ262" localSheetId="5">#REF!</definedName>
    <definedName name="_JJ262" localSheetId="3">#REF!</definedName>
    <definedName name="_JJ262" localSheetId="6">#REF!</definedName>
    <definedName name="_JJ262" localSheetId="7">#REF!</definedName>
    <definedName name="_JJ262" localSheetId="8">#REF!</definedName>
    <definedName name="_JJ262" localSheetId="4">#REF!</definedName>
    <definedName name="_JJ262" localSheetId="1">#REF!</definedName>
    <definedName name="_JJ262">#REF!</definedName>
    <definedName name="_JJ263" localSheetId="5">#REF!</definedName>
    <definedName name="_JJ263" localSheetId="3">#REF!</definedName>
    <definedName name="_JJ263" localSheetId="6">#REF!</definedName>
    <definedName name="_JJ263" localSheetId="7">#REF!</definedName>
    <definedName name="_JJ263" localSheetId="8">#REF!</definedName>
    <definedName name="_JJ263" localSheetId="4">#REF!</definedName>
    <definedName name="_JJ263" localSheetId="1">#REF!</definedName>
    <definedName name="_JJ263">#REF!</definedName>
    <definedName name="_JJ264" localSheetId="5">#REF!</definedName>
    <definedName name="_JJ264" localSheetId="3">#REF!</definedName>
    <definedName name="_JJ264" localSheetId="6">#REF!</definedName>
    <definedName name="_JJ264" localSheetId="7">#REF!</definedName>
    <definedName name="_JJ264" localSheetId="8">#REF!</definedName>
    <definedName name="_JJ264" localSheetId="4">#REF!</definedName>
    <definedName name="_JJ264" localSheetId="1">#REF!</definedName>
    <definedName name="_JJ264">#REF!</definedName>
    <definedName name="_JJ265" localSheetId="5">#REF!</definedName>
    <definedName name="_JJ265" localSheetId="3">#REF!</definedName>
    <definedName name="_JJ265" localSheetId="6">#REF!</definedName>
    <definedName name="_JJ265" localSheetId="7">#REF!</definedName>
    <definedName name="_JJ265" localSheetId="8">#REF!</definedName>
    <definedName name="_JJ265" localSheetId="4">#REF!</definedName>
    <definedName name="_JJ265" localSheetId="1">#REF!</definedName>
    <definedName name="_JJ265">#REF!</definedName>
    <definedName name="_JJ266" localSheetId="5">#REF!</definedName>
    <definedName name="_JJ266" localSheetId="3">#REF!</definedName>
    <definedName name="_JJ266" localSheetId="6">#REF!</definedName>
    <definedName name="_JJ266" localSheetId="7">#REF!</definedName>
    <definedName name="_JJ266" localSheetId="8">#REF!</definedName>
    <definedName name="_JJ266" localSheetId="4">#REF!</definedName>
    <definedName name="_JJ266" localSheetId="1">#REF!</definedName>
    <definedName name="_JJ266">#REF!</definedName>
    <definedName name="_JJ267" localSheetId="5">#REF!</definedName>
    <definedName name="_JJ267" localSheetId="3">#REF!</definedName>
    <definedName name="_JJ267" localSheetId="6">#REF!</definedName>
    <definedName name="_JJ267" localSheetId="7">#REF!</definedName>
    <definedName name="_JJ267" localSheetId="8">#REF!</definedName>
    <definedName name="_JJ267" localSheetId="4">#REF!</definedName>
    <definedName name="_JJ267" localSheetId="1">#REF!</definedName>
    <definedName name="_JJ267">#REF!</definedName>
    <definedName name="_JJ268" localSheetId="5">#REF!</definedName>
    <definedName name="_JJ268" localSheetId="3">#REF!</definedName>
    <definedName name="_JJ268" localSheetId="6">#REF!</definedName>
    <definedName name="_JJ268" localSheetId="7">#REF!</definedName>
    <definedName name="_JJ268" localSheetId="8">#REF!</definedName>
    <definedName name="_JJ268" localSheetId="4">#REF!</definedName>
    <definedName name="_JJ268" localSheetId="1">#REF!</definedName>
    <definedName name="_JJ268">#REF!</definedName>
    <definedName name="_JJ269" localSheetId="5">#REF!</definedName>
    <definedName name="_JJ269" localSheetId="3">#REF!</definedName>
    <definedName name="_JJ269" localSheetId="6">#REF!</definedName>
    <definedName name="_JJ269" localSheetId="7">#REF!</definedName>
    <definedName name="_JJ269" localSheetId="8">#REF!</definedName>
    <definedName name="_JJ269" localSheetId="4">#REF!</definedName>
    <definedName name="_JJ269" localSheetId="1">#REF!</definedName>
    <definedName name="_JJ269">#REF!</definedName>
    <definedName name="_JJ27" localSheetId="5">#REF!</definedName>
    <definedName name="_JJ27" localSheetId="3">#REF!</definedName>
    <definedName name="_JJ27" localSheetId="6">#REF!</definedName>
    <definedName name="_JJ27" localSheetId="7">#REF!</definedName>
    <definedName name="_JJ27" localSheetId="8">#REF!</definedName>
    <definedName name="_JJ27" localSheetId="4">#REF!</definedName>
    <definedName name="_JJ27" localSheetId="1">#REF!</definedName>
    <definedName name="_JJ27">#REF!</definedName>
    <definedName name="_JJ270" localSheetId="5">#REF!</definedName>
    <definedName name="_JJ270" localSheetId="3">#REF!</definedName>
    <definedName name="_JJ270" localSheetId="6">#REF!</definedName>
    <definedName name="_JJ270" localSheetId="7">#REF!</definedName>
    <definedName name="_JJ270" localSheetId="8">#REF!</definedName>
    <definedName name="_JJ270" localSheetId="4">#REF!</definedName>
    <definedName name="_JJ270" localSheetId="1">#REF!</definedName>
    <definedName name="_JJ270">#REF!</definedName>
    <definedName name="_JJ271" localSheetId="5">#REF!</definedName>
    <definedName name="_JJ271" localSheetId="3">#REF!</definedName>
    <definedName name="_JJ271" localSheetId="6">#REF!</definedName>
    <definedName name="_JJ271" localSheetId="7">#REF!</definedName>
    <definedName name="_JJ271" localSheetId="8">#REF!</definedName>
    <definedName name="_JJ271" localSheetId="4">#REF!</definedName>
    <definedName name="_JJ271" localSheetId="1">#REF!</definedName>
    <definedName name="_JJ271">#REF!</definedName>
    <definedName name="_JJ272" localSheetId="5">#REF!</definedName>
    <definedName name="_JJ272" localSheetId="3">#REF!</definedName>
    <definedName name="_JJ272" localSheetId="6">#REF!</definedName>
    <definedName name="_JJ272" localSheetId="7">#REF!</definedName>
    <definedName name="_JJ272" localSheetId="8">#REF!</definedName>
    <definedName name="_JJ272" localSheetId="4">#REF!</definedName>
    <definedName name="_JJ272" localSheetId="1">#REF!</definedName>
    <definedName name="_JJ272">#REF!</definedName>
    <definedName name="_JJ273" localSheetId="5">#REF!</definedName>
    <definedName name="_JJ273" localSheetId="3">#REF!</definedName>
    <definedName name="_JJ273" localSheetId="6">#REF!</definedName>
    <definedName name="_JJ273" localSheetId="7">#REF!</definedName>
    <definedName name="_JJ273" localSheetId="8">#REF!</definedName>
    <definedName name="_JJ273" localSheetId="4">#REF!</definedName>
    <definedName name="_JJ273" localSheetId="1">#REF!</definedName>
    <definedName name="_JJ273">#REF!</definedName>
    <definedName name="_JJ274" localSheetId="5">#REF!</definedName>
    <definedName name="_JJ274" localSheetId="3">#REF!</definedName>
    <definedName name="_JJ274" localSheetId="6">#REF!</definedName>
    <definedName name="_JJ274" localSheetId="7">#REF!</definedName>
    <definedName name="_JJ274" localSheetId="8">#REF!</definedName>
    <definedName name="_JJ274" localSheetId="4">#REF!</definedName>
    <definedName name="_JJ274" localSheetId="1">#REF!</definedName>
    <definedName name="_JJ274">#REF!</definedName>
    <definedName name="_JJ275" localSheetId="5">#REF!</definedName>
    <definedName name="_JJ275" localSheetId="3">#REF!</definedName>
    <definedName name="_JJ275" localSheetId="6">#REF!</definedName>
    <definedName name="_JJ275" localSheetId="7">#REF!</definedName>
    <definedName name="_JJ275" localSheetId="8">#REF!</definedName>
    <definedName name="_JJ275" localSheetId="4">#REF!</definedName>
    <definedName name="_JJ275" localSheetId="1">#REF!</definedName>
    <definedName name="_JJ275">#REF!</definedName>
    <definedName name="_JJ276" localSheetId="5">#REF!</definedName>
    <definedName name="_JJ276" localSheetId="3">#REF!</definedName>
    <definedName name="_JJ276" localSheetId="6">#REF!</definedName>
    <definedName name="_JJ276" localSheetId="7">#REF!</definedName>
    <definedName name="_JJ276" localSheetId="8">#REF!</definedName>
    <definedName name="_JJ276" localSheetId="4">#REF!</definedName>
    <definedName name="_JJ276" localSheetId="1">#REF!</definedName>
    <definedName name="_JJ276">#REF!</definedName>
    <definedName name="_JJ277" localSheetId="5">#REF!</definedName>
    <definedName name="_JJ277" localSheetId="3">#REF!</definedName>
    <definedName name="_JJ277" localSheetId="6">#REF!</definedName>
    <definedName name="_JJ277" localSheetId="7">#REF!</definedName>
    <definedName name="_JJ277" localSheetId="8">#REF!</definedName>
    <definedName name="_JJ277" localSheetId="4">#REF!</definedName>
    <definedName name="_JJ277" localSheetId="1">#REF!</definedName>
    <definedName name="_JJ277">#REF!</definedName>
    <definedName name="_JJ278" localSheetId="5">#REF!</definedName>
    <definedName name="_JJ278" localSheetId="3">#REF!</definedName>
    <definedName name="_JJ278" localSheetId="6">#REF!</definedName>
    <definedName name="_JJ278" localSheetId="7">#REF!</definedName>
    <definedName name="_JJ278" localSheetId="8">#REF!</definedName>
    <definedName name="_JJ278" localSheetId="4">#REF!</definedName>
    <definedName name="_JJ278" localSheetId="1">#REF!</definedName>
    <definedName name="_JJ278">#REF!</definedName>
    <definedName name="_JJ279" localSheetId="5">#REF!</definedName>
    <definedName name="_JJ279" localSheetId="3">#REF!</definedName>
    <definedName name="_JJ279" localSheetId="6">#REF!</definedName>
    <definedName name="_JJ279" localSheetId="7">#REF!</definedName>
    <definedName name="_JJ279" localSheetId="8">#REF!</definedName>
    <definedName name="_JJ279" localSheetId="4">#REF!</definedName>
    <definedName name="_JJ279" localSheetId="1">#REF!</definedName>
    <definedName name="_JJ279">#REF!</definedName>
    <definedName name="_JJ28" localSheetId="5">#REF!</definedName>
    <definedName name="_JJ28" localSheetId="3">#REF!</definedName>
    <definedName name="_JJ28" localSheetId="6">#REF!</definedName>
    <definedName name="_JJ28" localSheetId="7">#REF!</definedName>
    <definedName name="_JJ28" localSheetId="8">#REF!</definedName>
    <definedName name="_JJ28" localSheetId="4">#REF!</definedName>
    <definedName name="_JJ28" localSheetId="1">#REF!</definedName>
    <definedName name="_JJ28">#REF!</definedName>
    <definedName name="_JJ280" localSheetId="5">#REF!</definedName>
    <definedName name="_JJ280" localSheetId="3">#REF!</definedName>
    <definedName name="_JJ280" localSheetId="6">#REF!</definedName>
    <definedName name="_JJ280" localSheetId="7">#REF!</definedName>
    <definedName name="_JJ280" localSheetId="8">#REF!</definedName>
    <definedName name="_JJ280" localSheetId="4">#REF!</definedName>
    <definedName name="_JJ280" localSheetId="1">#REF!</definedName>
    <definedName name="_JJ280">#REF!</definedName>
    <definedName name="_JJ281" localSheetId="5">#REF!</definedName>
    <definedName name="_JJ281" localSheetId="3">#REF!</definedName>
    <definedName name="_JJ281" localSheetId="6">#REF!</definedName>
    <definedName name="_JJ281" localSheetId="7">#REF!</definedName>
    <definedName name="_JJ281" localSheetId="8">#REF!</definedName>
    <definedName name="_JJ281" localSheetId="4">#REF!</definedName>
    <definedName name="_JJ281" localSheetId="1">#REF!</definedName>
    <definedName name="_JJ281">#REF!</definedName>
    <definedName name="_JJ282" localSheetId="5">#REF!</definedName>
    <definedName name="_JJ282" localSheetId="3">#REF!</definedName>
    <definedName name="_JJ282" localSheetId="6">#REF!</definedName>
    <definedName name="_JJ282" localSheetId="7">#REF!</definedName>
    <definedName name="_JJ282" localSheetId="8">#REF!</definedName>
    <definedName name="_JJ282" localSheetId="4">#REF!</definedName>
    <definedName name="_JJ282" localSheetId="1">#REF!</definedName>
    <definedName name="_JJ282">#REF!</definedName>
    <definedName name="_JJ283" localSheetId="5">#REF!</definedName>
    <definedName name="_JJ283" localSheetId="3">#REF!</definedName>
    <definedName name="_JJ283" localSheetId="6">#REF!</definedName>
    <definedName name="_JJ283" localSheetId="7">#REF!</definedName>
    <definedName name="_JJ283" localSheetId="8">#REF!</definedName>
    <definedName name="_JJ283" localSheetId="4">#REF!</definedName>
    <definedName name="_JJ283" localSheetId="1">#REF!</definedName>
    <definedName name="_JJ283">#REF!</definedName>
    <definedName name="_JJ284" localSheetId="5">#REF!</definedName>
    <definedName name="_JJ284" localSheetId="3">#REF!</definedName>
    <definedName name="_JJ284" localSheetId="6">#REF!</definedName>
    <definedName name="_JJ284" localSheetId="7">#REF!</definedName>
    <definedName name="_JJ284" localSheetId="8">#REF!</definedName>
    <definedName name="_JJ284" localSheetId="4">#REF!</definedName>
    <definedName name="_JJ284" localSheetId="1">#REF!</definedName>
    <definedName name="_JJ284">#REF!</definedName>
    <definedName name="_JJ285" localSheetId="5">#REF!</definedName>
    <definedName name="_JJ285" localSheetId="3">#REF!</definedName>
    <definedName name="_JJ285" localSheetId="6">#REF!</definedName>
    <definedName name="_JJ285" localSheetId="7">#REF!</definedName>
    <definedName name="_JJ285" localSheetId="8">#REF!</definedName>
    <definedName name="_JJ285" localSheetId="4">#REF!</definedName>
    <definedName name="_JJ285" localSheetId="1">#REF!</definedName>
    <definedName name="_JJ285">#REF!</definedName>
    <definedName name="_JJ286" localSheetId="5">#REF!</definedName>
    <definedName name="_JJ286" localSheetId="3">#REF!</definedName>
    <definedName name="_JJ286" localSheetId="6">#REF!</definedName>
    <definedName name="_JJ286" localSheetId="7">#REF!</definedName>
    <definedName name="_JJ286" localSheetId="8">#REF!</definedName>
    <definedName name="_JJ286" localSheetId="4">#REF!</definedName>
    <definedName name="_JJ286" localSheetId="1">#REF!</definedName>
    <definedName name="_JJ286">#REF!</definedName>
    <definedName name="_JJ287" localSheetId="5">#REF!</definedName>
    <definedName name="_JJ287" localSheetId="3">#REF!</definedName>
    <definedName name="_JJ287" localSheetId="6">#REF!</definedName>
    <definedName name="_JJ287" localSheetId="7">#REF!</definedName>
    <definedName name="_JJ287" localSheetId="8">#REF!</definedName>
    <definedName name="_JJ287" localSheetId="4">#REF!</definedName>
    <definedName name="_JJ287" localSheetId="1">#REF!</definedName>
    <definedName name="_JJ287">#REF!</definedName>
    <definedName name="_JJ288" localSheetId="5">#REF!</definedName>
    <definedName name="_JJ288" localSheetId="3">#REF!</definedName>
    <definedName name="_JJ288" localSheetId="6">#REF!</definedName>
    <definedName name="_JJ288" localSheetId="7">#REF!</definedName>
    <definedName name="_JJ288" localSheetId="8">#REF!</definedName>
    <definedName name="_JJ288" localSheetId="4">#REF!</definedName>
    <definedName name="_JJ288" localSheetId="1">#REF!</definedName>
    <definedName name="_JJ288">#REF!</definedName>
    <definedName name="_JJ289" localSheetId="5">#REF!</definedName>
    <definedName name="_JJ289" localSheetId="3">#REF!</definedName>
    <definedName name="_JJ289" localSheetId="6">#REF!</definedName>
    <definedName name="_JJ289" localSheetId="7">#REF!</definedName>
    <definedName name="_JJ289" localSheetId="8">#REF!</definedName>
    <definedName name="_JJ289" localSheetId="4">#REF!</definedName>
    <definedName name="_JJ289" localSheetId="1">#REF!</definedName>
    <definedName name="_JJ289">#REF!</definedName>
    <definedName name="_JJ290" localSheetId="5">#REF!</definedName>
    <definedName name="_JJ290" localSheetId="3">#REF!</definedName>
    <definedName name="_JJ290" localSheetId="6">#REF!</definedName>
    <definedName name="_JJ290" localSheetId="7">#REF!</definedName>
    <definedName name="_JJ290" localSheetId="8">#REF!</definedName>
    <definedName name="_JJ290" localSheetId="4">#REF!</definedName>
    <definedName name="_JJ290" localSheetId="1">#REF!</definedName>
    <definedName name="_JJ290">#REF!</definedName>
    <definedName name="_JJ291" localSheetId="5">#REF!</definedName>
    <definedName name="_JJ291" localSheetId="3">#REF!</definedName>
    <definedName name="_JJ291" localSheetId="6">#REF!</definedName>
    <definedName name="_JJ291" localSheetId="7">#REF!</definedName>
    <definedName name="_JJ291" localSheetId="8">#REF!</definedName>
    <definedName name="_JJ291" localSheetId="4">#REF!</definedName>
    <definedName name="_JJ291" localSheetId="1">#REF!</definedName>
    <definedName name="_JJ291">#REF!</definedName>
    <definedName name="_JJ292" localSheetId="5">#REF!</definedName>
    <definedName name="_JJ292" localSheetId="3">#REF!</definedName>
    <definedName name="_JJ292" localSheetId="6">#REF!</definedName>
    <definedName name="_JJ292" localSheetId="7">#REF!</definedName>
    <definedName name="_JJ292" localSheetId="8">#REF!</definedName>
    <definedName name="_JJ292" localSheetId="4">#REF!</definedName>
    <definedName name="_JJ292" localSheetId="1">#REF!</definedName>
    <definedName name="_JJ292">#REF!</definedName>
    <definedName name="_JJ293" localSheetId="5">#REF!</definedName>
    <definedName name="_JJ293" localSheetId="3">#REF!</definedName>
    <definedName name="_JJ293" localSheetId="6">#REF!</definedName>
    <definedName name="_JJ293" localSheetId="7">#REF!</definedName>
    <definedName name="_JJ293" localSheetId="8">#REF!</definedName>
    <definedName name="_JJ293" localSheetId="4">#REF!</definedName>
    <definedName name="_JJ293" localSheetId="1">#REF!</definedName>
    <definedName name="_JJ293">#REF!</definedName>
    <definedName name="_JJ294" localSheetId="5">#REF!</definedName>
    <definedName name="_JJ294" localSheetId="3">#REF!</definedName>
    <definedName name="_JJ294" localSheetId="6">#REF!</definedName>
    <definedName name="_JJ294" localSheetId="7">#REF!</definedName>
    <definedName name="_JJ294" localSheetId="8">#REF!</definedName>
    <definedName name="_JJ294" localSheetId="4">#REF!</definedName>
    <definedName name="_JJ294" localSheetId="1">#REF!</definedName>
    <definedName name="_JJ294">#REF!</definedName>
    <definedName name="_JJ295" localSheetId="5">#REF!</definedName>
    <definedName name="_JJ295" localSheetId="3">#REF!</definedName>
    <definedName name="_JJ295" localSheetId="6">#REF!</definedName>
    <definedName name="_JJ295" localSheetId="7">#REF!</definedName>
    <definedName name="_JJ295" localSheetId="8">#REF!</definedName>
    <definedName name="_JJ295" localSheetId="4">#REF!</definedName>
    <definedName name="_JJ295" localSheetId="1">#REF!</definedName>
    <definedName name="_JJ295">#REF!</definedName>
    <definedName name="_JJ296" localSheetId="5">#REF!</definedName>
    <definedName name="_JJ296" localSheetId="3">#REF!</definedName>
    <definedName name="_JJ296" localSheetId="6">#REF!</definedName>
    <definedName name="_JJ296" localSheetId="7">#REF!</definedName>
    <definedName name="_JJ296" localSheetId="8">#REF!</definedName>
    <definedName name="_JJ296" localSheetId="4">#REF!</definedName>
    <definedName name="_JJ296" localSheetId="1">#REF!</definedName>
    <definedName name="_JJ296">#REF!</definedName>
    <definedName name="_JJ297" localSheetId="5">#REF!</definedName>
    <definedName name="_JJ297" localSheetId="3">#REF!</definedName>
    <definedName name="_JJ297" localSheetId="6">#REF!</definedName>
    <definedName name="_JJ297" localSheetId="7">#REF!</definedName>
    <definedName name="_JJ297" localSheetId="8">#REF!</definedName>
    <definedName name="_JJ297" localSheetId="4">#REF!</definedName>
    <definedName name="_JJ297" localSheetId="1">#REF!</definedName>
    <definedName name="_JJ297">#REF!</definedName>
    <definedName name="_JJ298" localSheetId="5">#REF!</definedName>
    <definedName name="_JJ298" localSheetId="3">#REF!</definedName>
    <definedName name="_JJ298" localSheetId="6">#REF!</definedName>
    <definedName name="_JJ298" localSheetId="7">#REF!</definedName>
    <definedName name="_JJ298" localSheetId="8">#REF!</definedName>
    <definedName name="_JJ298" localSheetId="4">#REF!</definedName>
    <definedName name="_JJ298" localSheetId="1">#REF!</definedName>
    <definedName name="_JJ298">#REF!</definedName>
    <definedName name="_JJ299" localSheetId="5">#REF!</definedName>
    <definedName name="_JJ299" localSheetId="3">#REF!</definedName>
    <definedName name="_JJ299" localSheetId="6">#REF!</definedName>
    <definedName name="_JJ299" localSheetId="7">#REF!</definedName>
    <definedName name="_JJ299" localSheetId="8">#REF!</definedName>
    <definedName name="_JJ299" localSheetId="4">#REF!</definedName>
    <definedName name="_JJ299" localSheetId="1">#REF!</definedName>
    <definedName name="_JJ299">#REF!</definedName>
    <definedName name="_JJ3" localSheetId="5">#REF!</definedName>
    <definedName name="_JJ3" localSheetId="3">#REF!</definedName>
    <definedName name="_JJ3" localSheetId="6">#REF!</definedName>
    <definedName name="_JJ3" localSheetId="7">#REF!</definedName>
    <definedName name="_JJ3" localSheetId="8">#REF!</definedName>
    <definedName name="_JJ3" localSheetId="4">#REF!</definedName>
    <definedName name="_JJ3" localSheetId="1">#REF!</definedName>
    <definedName name="_JJ3">#REF!</definedName>
    <definedName name="_JJ300" localSheetId="5">#REF!</definedName>
    <definedName name="_JJ300" localSheetId="3">#REF!</definedName>
    <definedName name="_JJ300" localSheetId="6">#REF!</definedName>
    <definedName name="_JJ300" localSheetId="7">#REF!</definedName>
    <definedName name="_JJ300" localSheetId="8">#REF!</definedName>
    <definedName name="_JJ300" localSheetId="4">#REF!</definedName>
    <definedName name="_JJ300" localSheetId="1">#REF!</definedName>
    <definedName name="_JJ300">#REF!</definedName>
    <definedName name="_JJ301" localSheetId="5">#REF!</definedName>
    <definedName name="_JJ301" localSheetId="3">#REF!</definedName>
    <definedName name="_JJ301" localSheetId="6">#REF!</definedName>
    <definedName name="_JJ301" localSheetId="7">#REF!</definedName>
    <definedName name="_JJ301" localSheetId="8">#REF!</definedName>
    <definedName name="_JJ301" localSheetId="4">#REF!</definedName>
    <definedName name="_JJ301" localSheetId="1">#REF!</definedName>
    <definedName name="_JJ301">#REF!</definedName>
    <definedName name="_JJ302" localSheetId="5">#REF!</definedName>
    <definedName name="_JJ302" localSheetId="3">#REF!</definedName>
    <definedName name="_JJ302" localSheetId="6">#REF!</definedName>
    <definedName name="_JJ302" localSheetId="7">#REF!</definedName>
    <definedName name="_JJ302" localSheetId="8">#REF!</definedName>
    <definedName name="_JJ302" localSheetId="4">#REF!</definedName>
    <definedName name="_JJ302" localSheetId="1">#REF!</definedName>
    <definedName name="_JJ302">#REF!</definedName>
    <definedName name="_JJ303" localSheetId="5">#REF!</definedName>
    <definedName name="_JJ303" localSheetId="3">#REF!</definedName>
    <definedName name="_JJ303" localSheetId="6">#REF!</definedName>
    <definedName name="_JJ303" localSheetId="7">#REF!</definedName>
    <definedName name="_JJ303" localSheetId="8">#REF!</definedName>
    <definedName name="_JJ303" localSheetId="4">#REF!</definedName>
    <definedName name="_JJ303" localSheetId="1">#REF!</definedName>
    <definedName name="_JJ303">#REF!</definedName>
    <definedName name="_JJ304" localSheetId="5">#REF!</definedName>
    <definedName name="_JJ304" localSheetId="3">#REF!</definedName>
    <definedName name="_JJ304" localSheetId="6">#REF!</definedName>
    <definedName name="_JJ304" localSheetId="7">#REF!</definedName>
    <definedName name="_JJ304" localSheetId="8">#REF!</definedName>
    <definedName name="_JJ304" localSheetId="4">#REF!</definedName>
    <definedName name="_JJ304" localSheetId="1">#REF!</definedName>
    <definedName name="_JJ304">#REF!</definedName>
    <definedName name="_JJ305" localSheetId="5">#REF!</definedName>
    <definedName name="_JJ305" localSheetId="3">#REF!</definedName>
    <definedName name="_JJ305" localSheetId="6">#REF!</definedName>
    <definedName name="_JJ305" localSheetId="7">#REF!</definedName>
    <definedName name="_JJ305" localSheetId="8">#REF!</definedName>
    <definedName name="_JJ305" localSheetId="4">#REF!</definedName>
    <definedName name="_JJ305" localSheetId="1">#REF!</definedName>
    <definedName name="_JJ305">#REF!</definedName>
    <definedName name="_JJ306" localSheetId="5">#REF!</definedName>
    <definedName name="_JJ306" localSheetId="3">#REF!</definedName>
    <definedName name="_JJ306" localSheetId="6">#REF!</definedName>
    <definedName name="_JJ306" localSheetId="7">#REF!</definedName>
    <definedName name="_JJ306" localSheetId="8">#REF!</definedName>
    <definedName name="_JJ306" localSheetId="4">#REF!</definedName>
    <definedName name="_JJ306" localSheetId="1">#REF!</definedName>
    <definedName name="_JJ306">#REF!</definedName>
    <definedName name="_JJ307" localSheetId="5">#REF!</definedName>
    <definedName name="_JJ307" localSheetId="3">#REF!</definedName>
    <definedName name="_JJ307" localSheetId="6">#REF!</definedName>
    <definedName name="_JJ307" localSheetId="7">#REF!</definedName>
    <definedName name="_JJ307" localSheetId="8">#REF!</definedName>
    <definedName name="_JJ307" localSheetId="4">#REF!</definedName>
    <definedName name="_JJ307" localSheetId="1">#REF!</definedName>
    <definedName name="_JJ307">#REF!</definedName>
    <definedName name="_JJ308" localSheetId="5">#REF!</definedName>
    <definedName name="_JJ308" localSheetId="3">#REF!</definedName>
    <definedName name="_JJ308" localSheetId="6">#REF!</definedName>
    <definedName name="_JJ308" localSheetId="7">#REF!</definedName>
    <definedName name="_JJ308" localSheetId="8">#REF!</definedName>
    <definedName name="_JJ308" localSheetId="4">#REF!</definedName>
    <definedName name="_JJ308" localSheetId="1">#REF!</definedName>
    <definedName name="_JJ308">#REF!</definedName>
    <definedName name="_JJ323" localSheetId="5">#REF!</definedName>
    <definedName name="_JJ323" localSheetId="3">#REF!</definedName>
    <definedName name="_JJ323" localSheetId="6">#REF!</definedName>
    <definedName name="_JJ323" localSheetId="7">#REF!</definedName>
    <definedName name="_JJ323" localSheetId="8">#REF!</definedName>
    <definedName name="_JJ323" localSheetId="4">#REF!</definedName>
    <definedName name="_JJ323" localSheetId="1">#REF!</definedName>
    <definedName name="_JJ323">#REF!</definedName>
    <definedName name="_JJ324" localSheetId="5">#REF!</definedName>
    <definedName name="_JJ324" localSheetId="3">#REF!</definedName>
    <definedName name="_JJ324" localSheetId="6">#REF!</definedName>
    <definedName name="_JJ324" localSheetId="7">#REF!</definedName>
    <definedName name="_JJ324" localSheetId="8">#REF!</definedName>
    <definedName name="_JJ324" localSheetId="4">#REF!</definedName>
    <definedName name="_JJ324" localSheetId="1">#REF!</definedName>
    <definedName name="_JJ324">#REF!</definedName>
    <definedName name="_JJ326" localSheetId="5">#REF!</definedName>
    <definedName name="_JJ326" localSheetId="3">#REF!</definedName>
    <definedName name="_JJ326" localSheetId="6">#REF!</definedName>
    <definedName name="_JJ326" localSheetId="7">#REF!</definedName>
    <definedName name="_JJ326" localSheetId="8">#REF!</definedName>
    <definedName name="_JJ326" localSheetId="4">#REF!</definedName>
    <definedName name="_JJ326" localSheetId="1">#REF!</definedName>
    <definedName name="_JJ326">#REF!</definedName>
    <definedName name="_JJ327" localSheetId="5">#REF!</definedName>
    <definedName name="_JJ327" localSheetId="3">#REF!</definedName>
    <definedName name="_JJ327" localSheetId="6">#REF!</definedName>
    <definedName name="_JJ327" localSheetId="7">#REF!</definedName>
    <definedName name="_JJ327" localSheetId="8">#REF!</definedName>
    <definedName name="_JJ327" localSheetId="4">#REF!</definedName>
    <definedName name="_JJ327" localSheetId="1">#REF!</definedName>
    <definedName name="_JJ327">#REF!</definedName>
    <definedName name="_JJ328" localSheetId="5">#REF!</definedName>
    <definedName name="_JJ328" localSheetId="3">#REF!</definedName>
    <definedName name="_JJ328" localSheetId="6">#REF!</definedName>
    <definedName name="_JJ328" localSheetId="7">#REF!</definedName>
    <definedName name="_JJ328" localSheetId="8">#REF!</definedName>
    <definedName name="_JJ328" localSheetId="4">#REF!</definedName>
    <definedName name="_JJ328" localSheetId="1">#REF!</definedName>
    <definedName name="_JJ328">#REF!</definedName>
    <definedName name="_JJ329" localSheetId="5">#REF!</definedName>
    <definedName name="_JJ329" localSheetId="3">#REF!</definedName>
    <definedName name="_JJ329" localSheetId="6">#REF!</definedName>
    <definedName name="_JJ329" localSheetId="7">#REF!</definedName>
    <definedName name="_JJ329" localSheetId="8">#REF!</definedName>
    <definedName name="_JJ329" localSheetId="4">#REF!</definedName>
    <definedName name="_JJ329" localSheetId="1">#REF!</definedName>
    <definedName name="_JJ329">#REF!</definedName>
    <definedName name="_JJ330" localSheetId="5">#REF!</definedName>
    <definedName name="_JJ330" localSheetId="3">#REF!</definedName>
    <definedName name="_JJ330" localSheetId="6">#REF!</definedName>
    <definedName name="_JJ330" localSheetId="7">#REF!</definedName>
    <definedName name="_JJ330" localSheetId="8">#REF!</definedName>
    <definedName name="_JJ330" localSheetId="4">#REF!</definedName>
    <definedName name="_JJ330" localSheetId="1">#REF!</definedName>
    <definedName name="_JJ330">#REF!</definedName>
    <definedName name="_JJ331" localSheetId="5">#REF!</definedName>
    <definedName name="_JJ331" localSheetId="3">#REF!</definedName>
    <definedName name="_JJ331" localSheetId="6">#REF!</definedName>
    <definedName name="_JJ331" localSheetId="7">#REF!</definedName>
    <definedName name="_JJ331" localSheetId="8">#REF!</definedName>
    <definedName name="_JJ331" localSheetId="4">#REF!</definedName>
    <definedName name="_JJ331" localSheetId="1">#REF!</definedName>
    <definedName name="_JJ331">#REF!</definedName>
    <definedName name="_JJ332" localSheetId="5">#REF!</definedName>
    <definedName name="_JJ332" localSheetId="3">#REF!</definedName>
    <definedName name="_JJ332" localSheetId="6">#REF!</definedName>
    <definedName name="_JJ332" localSheetId="7">#REF!</definedName>
    <definedName name="_JJ332" localSheetId="8">#REF!</definedName>
    <definedName name="_JJ332" localSheetId="4">#REF!</definedName>
    <definedName name="_JJ332" localSheetId="1">#REF!</definedName>
    <definedName name="_JJ332">#REF!</definedName>
    <definedName name="_JJ333" localSheetId="5">#REF!</definedName>
    <definedName name="_JJ333" localSheetId="3">#REF!</definedName>
    <definedName name="_JJ333" localSheetId="6">#REF!</definedName>
    <definedName name="_JJ333" localSheetId="7">#REF!</definedName>
    <definedName name="_JJ333" localSheetId="8">#REF!</definedName>
    <definedName name="_JJ333" localSheetId="4">#REF!</definedName>
    <definedName name="_JJ333" localSheetId="1">#REF!</definedName>
    <definedName name="_JJ333">#REF!</definedName>
    <definedName name="_JJ334" localSheetId="5">#REF!</definedName>
    <definedName name="_JJ334" localSheetId="3">#REF!</definedName>
    <definedName name="_JJ334" localSheetId="6">#REF!</definedName>
    <definedName name="_JJ334" localSheetId="7">#REF!</definedName>
    <definedName name="_JJ334" localSheetId="8">#REF!</definedName>
    <definedName name="_JJ334" localSheetId="4">#REF!</definedName>
    <definedName name="_JJ334" localSheetId="1">#REF!</definedName>
    <definedName name="_JJ334">#REF!</definedName>
    <definedName name="_JJ335" localSheetId="5">#REF!</definedName>
    <definedName name="_JJ335" localSheetId="3">#REF!</definedName>
    <definedName name="_JJ335" localSheetId="6">#REF!</definedName>
    <definedName name="_JJ335" localSheetId="7">#REF!</definedName>
    <definedName name="_JJ335" localSheetId="8">#REF!</definedName>
    <definedName name="_JJ335" localSheetId="4">#REF!</definedName>
    <definedName name="_JJ335" localSheetId="1">#REF!</definedName>
    <definedName name="_JJ335">#REF!</definedName>
    <definedName name="_JJ336" localSheetId="5">#REF!</definedName>
    <definedName name="_JJ336" localSheetId="3">#REF!</definedName>
    <definedName name="_JJ336" localSheetId="6">#REF!</definedName>
    <definedName name="_JJ336" localSheetId="7">#REF!</definedName>
    <definedName name="_JJ336" localSheetId="8">#REF!</definedName>
    <definedName name="_JJ336" localSheetId="4">#REF!</definedName>
    <definedName name="_JJ336" localSheetId="1">#REF!</definedName>
    <definedName name="_JJ336">#REF!</definedName>
    <definedName name="_JJ337" localSheetId="5">#REF!</definedName>
    <definedName name="_JJ337" localSheetId="3">#REF!</definedName>
    <definedName name="_JJ337" localSheetId="6">#REF!</definedName>
    <definedName name="_JJ337" localSheetId="7">#REF!</definedName>
    <definedName name="_JJ337" localSheetId="8">#REF!</definedName>
    <definedName name="_JJ337" localSheetId="4">#REF!</definedName>
    <definedName name="_JJ337" localSheetId="1">#REF!</definedName>
    <definedName name="_JJ337">#REF!</definedName>
    <definedName name="_JJ338" localSheetId="5">#REF!</definedName>
    <definedName name="_JJ338" localSheetId="3">#REF!</definedName>
    <definedName name="_JJ338" localSheetId="6">#REF!</definedName>
    <definedName name="_JJ338" localSheetId="7">#REF!</definedName>
    <definedName name="_JJ338" localSheetId="8">#REF!</definedName>
    <definedName name="_JJ338" localSheetId="4">#REF!</definedName>
    <definedName name="_JJ338" localSheetId="1">#REF!</definedName>
    <definedName name="_JJ338">#REF!</definedName>
    <definedName name="_JJ339" localSheetId="5">#REF!</definedName>
    <definedName name="_JJ339" localSheetId="3">#REF!</definedName>
    <definedName name="_JJ339" localSheetId="6">#REF!</definedName>
    <definedName name="_JJ339" localSheetId="7">#REF!</definedName>
    <definedName name="_JJ339" localSheetId="8">#REF!</definedName>
    <definedName name="_JJ339" localSheetId="4">#REF!</definedName>
    <definedName name="_JJ339" localSheetId="1">#REF!</definedName>
    <definedName name="_JJ339">#REF!</definedName>
    <definedName name="_JJ340" localSheetId="5">#REF!</definedName>
    <definedName name="_JJ340" localSheetId="3">#REF!</definedName>
    <definedName name="_JJ340" localSheetId="6">#REF!</definedName>
    <definedName name="_JJ340" localSheetId="7">#REF!</definedName>
    <definedName name="_JJ340" localSheetId="8">#REF!</definedName>
    <definedName name="_JJ340" localSheetId="4">#REF!</definedName>
    <definedName name="_JJ340" localSheetId="1">#REF!</definedName>
    <definedName name="_JJ340">#REF!</definedName>
    <definedName name="_JJ341" localSheetId="5">#REF!</definedName>
    <definedName name="_JJ341" localSheetId="3">#REF!</definedName>
    <definedName name="_JJ341" localSheetId="6">#REF!</definedName>
    <definedName name="_JJ341" localSheetId="7">#REF!</definedName>
    <definedName name="_JJ341" localSheetId="8">#REF!</definedName>
    <definedName name="_JJ341" localSheetId="4">#REF!</definedName>
    <definedName name="_JJ341" localSheetId="1">#REF!</definedName>
    <definedName name="_JJ341">#REF!</definedName>
    <definedName name="_JJ342" localSheetId="5">#REF!</definedName>
    <definedName name="_JJ342" localSheetId="3">#REF!</definedName>
    <definedName name="_JJ342" localSheetId="6">#REF!</definedName>
    <definedName name="_JJ342" localSheetId="7">#REF!</definedName>
    <definedName name="_JJ342" localSheetId="8">#REF!</definedName>
    <definedName name="_JJ342" localSheetId="4">#REF!</definedName>
    <definedName name="_JJ342" localSheetId="1">#REF!</definedName>
    <definedName name="_JJ342">#REF!</definedName>
    <definedName name="_JJ343" localSheetId="5">#REF!</definedName>
    <definedName name="_JJ343" localSheetId="3">#REF!</definedName>
    <definedName name="_JJ343" localSheetId="6">#REF!</definedName>
    <definedName name="_JJ343" localSheetId="7">#REF!</definedName>
    <definedName name="_JJ343" localSheetId="8">#REF!</definedName>
    <definedName name="_JJ343" localSheetId="4">#REF!</definedName>
    <definedName name="_JJ343" localSheetId="1">#REF!</definedName>
    <definedName name="_JJ343">#REF!</definedName>
    <definedName name="_JJ344" localSheetId="5">#REF!</definedName>
    <definedName name="_JJ344" localSheetId="3">#REF!</definedName>
    <definedName name="_JJ344" localSheetId="6">#REF!</definedName>
    <definedName name="_JJ344" localSheetId="7">#REF!</definedName>
    <definedName name="_JJ344" localSheetId="8">#REF!</definedName>
    <definedName name="_JJ344" localSheetId="4">#REF!</definedName>
    <definedName name="_JJ344" localSheetId="1">#REF!</definedName>
    <definedName name="_JJ344">#REF!</definedName>
    <definedName name="_JJ345" localSheetId="5">#REF!</definedName>
    <definedName name="_JJ345" localSheetId="3">#REF!</definedName>
    <definedName name="_JJ345" localSheetId="6">#REF!</definedName>
    <definedName name="_JJ345" localSheetId="7">#REF!</definedName>
    <definedName name="_JJ345" localSheetId="8">#REF!</definedName>
    <definedName name="_JJ345" localSheetId="4">#REF!</definedName>
    <definedName name="_JJ345" localSheetId="1">#REF!</definedName>
    <definedName name="_JJ345">#REF!</definedName>
    <definedName name="_JJ346" localSheetId="5">#REF!</definedName>
    <definedName name="_JJ346" localSheetId="3">#REF!</definedName>
    <definedName name="_JJ346" localSheetId="6">#REF!</definedName>
    <definedName name="_JJ346" localSheetId="7">#REF!</definedName>
    <definedName name="_JJ346" localSheetId="8">#REF!</definedName>
    <definedName name="_JJ346" localSheetId="4">#REF!</definedName>
    <definedName name="_JJ346" localSheetId="1">#REF!</definedName>
    <definedName name="_JJ346">#REF!</definedName>
    <definedName name="_JJ347" localSheetId="5">#REF!</definedName>
    <definedName name="_JJ347" localSheetId="3">#REF!</definedName>
    <definedName name="_JJ347" localSheetId="6">#REF!</definedName>
    <definedName name="_JJ347" localSheetId="7">#REF!</definedName>
    <definedName name="_JJ347" localSheetId="8">#REF!</definedName>
    <definedName name="_JJ347" localSheetId="4">#REF!</definedName>
    <definedName name="_JJ347" localSheetId="1">#REF!</definedName>
    <definedName name="_JJ347">#REF!</definedName>
    <definedName name="_JJ348" localSheetId="5">#REF!</definedName>
    <definedName name="_JJ348" localSheetId="3">#REF!</definedName>
    <definedName name="_JJ348" localSheetId="6">#REF!</definedName>
    <definedName name="_JJ348" localSheetId="7">#REF!</definedName>
    <definedName name="_JJ348" localSheetId="8">#REF!</definedName>
    <definedName name="_JJ348" localSheetId="4">#REF!</definedName>
    <definedName name="_JJ348" localSheetId="1">#REF!</definedName>
    <definedName name="_JJ348">#REF!</definedName>
    <definedName name="_JJ349" localSheetId="5">#REF!</definedName>
    <definedName name="_JJ349" localSheetId="3">#REF!</definedName>
    <definedName name="_JJ349" localSheetId="6">#REF!</definedName>
    <definedName name="_JJ349" localSheetId="7">#REF!</definedName>
    <definedName name="_JJ349" localSheetId="8">#REF!</definedName>
    <definedName name="_JJ349" localSheetId="4">#REF!</definedName>
    <definedName name="_JJ349" localSheetId="1">#REF!</definedName>
    <definedName name="_JJ349">#REF!</definedName>
    <definedName name="_JJ350" localSheetId="5">#REF!</definedName>
    <definedName name="_JJ350" localSheetId="3">#REF!</definedName>
    <definedName name="_JJ350" localSheetId="6">#REF!</definedName>
    <definedName name="_JJ350" localSheetId="7">#REF!</definedName>
    <definedName name="_JJ350" localSheetId="8">#REF!</definedName>
    <definedName name="_JJ350" localSheetId="4">#REF!</definedName>
    <definedName name="_JJ350" localSheetId="1">#REF!</definedName>
    <definedName name="_JJ350">#REF!</definedName>
    <definedName name="_JJ351" localSheetId="5">#REF!</definedName>
    <definedName name="_JJ351" localSheetId="3">#REF!</definedName>
    <definedName name="_JJ351" localSheetId="6">#REF!</definedName>
    <definedName name="_JJ351" localSheetId="7">#REF!</definedName>
    <definedName name="_JJ351" localSheetId="8">#REF!</definedName>
    <definedName name="_JJ351" localSheetId="4">#REF!</definedName>
    <definedName name="_JJ351" localSheetId="1">#REF!</definedName>
    <definedName name="_JJ351">#REF!</definedName>
    <definedName name="_JJ352" localSheetId="5">#REF!</definedName>
    <definedName name="_JJ352" localSheetId="3">#REF!</definedName>
    <definedName name="_JJ352" localSheetId="6">#REF!</definedName>
    <definedName name="_JJ352" localSheetId="7">#REF!</definedName>
    <definedName name="_JJ352" localSheetId="8">#REF!</definedName>
    <definedName name="_JJ352" localSheetId="4">#REF!</definedName>
    <definedName name="_JJ352" localSheetId="1">#REF!</definedName>
    <definedName name="_JJ352">#REF!</definedName>
    <definedName name="_JJ353" localSheetId="5">#REF!</definedName>
    <definedName name="_JJ353" localSheetId="3">#REF!</definedName>
    <definedName name="_JJ353" localSheetId="6">#REF!</definedName>
    <definedName name="_JJ353" localSheetId="7">#REF!</definedName>
    <definedName name="_JJ353" localSheetId="8">#REF!</definedName>
    <definedName name="_JJ353" localSheetId="4">#REF!</definedName>
    <definedName name="_JJ353" localSheetId="1">#REF!</definedName>
    <definedName name="_JJ353">#REF!</definedName>
    <definedName name="_JJ354" localSheetId="5">#REF!</definedName>
    <definedName name="_JJ354" localSheetId="3">#REF!</definedName>
    <definedName name="_JJ354" localSheetId="6">#REF!</definedName>
    <definedName name="_JJ354" localSheetId="7">#REF!</definedName>
    <definedName name="_JJ354" localSheetId="8">#REF!</definedName>
    <definedName name="_JJ354" localSheetId="4">#REF!</definedName>
    <definedName name="_JJ354" localSheetId="1">#REF!</definedName>
    <definedName name="_JJ354">#REF!</definedName>
    <definedName name="_JJ355" localSheetId="5">#REF!</definedName>
    <definedName name="_JJ355" localSheetId="3">#REF!</definedName>
    <definedName name="_JJ355" localSheetId="6">#REF!</definedName>
    <definedName name="_JJ355" localSheetId="7">#REF!</definedName>
    <definedName name="_JJ355" localSheetId="8">#REF!</definedName>
    <definedName name="_JJ355" localSheetId="4">#REF!</definedName>
    <definedName name="_JJ355" localSheetId="1">#REF!</definedName>
    <definedName name="_JJ355">#REF!</definedName>
    <definedName name="_JJ356" localSheetId="5">#REF!</definedName>
    <definedName name="_JJ356" localSheetId="3">#REF!</definedName>
    <definedName name="_JJ356" localSheetId="6">#REF!</definedName>
    <definedName name="_JJ356" localSheetId="7">#REF!</definedName>
    <definedName name="_JJ356" localSheetId="8">#REF!</definedName>
    <definedName name="_JJ356" localSheetId="4">#REF!</definedName>
    <definedName name="_JJ356" localSheetId="1">#REF!</definedName>
    <definedName name="_JJ356">#REF!</definedName>
    <definedName name="_JJ357" localSheetId="5">#REF!</definedName>
    <definedName name="_JJ357" localSheetId="3">#REF!</definedName>
    <definedName name="_JJ357" localSheetId="6">#REF!</definedName>
    <definedName name="_JJ357" localSheetId="7">#REF!</definedName>
    <definedName name="_JJ357" localSheetId="8">#REF!</definedName>
    <definedName name="_JJ357" localSheetId="4">#REF!</definedName>
    <definedName name="_JJ357" localSheetId="1">#REF!</definedName>
    <definedName name="_JJ357">#REF!</definedName>
    <definedName name="_JJ358" localSheetId="5">#REF!</definedName>
    <definedName name="_JJ358" localSheetId="3">#REF!</definedName>
    <definedName name="_JJ358" localSheetId="6">#REF!</definedName>
    <definedName name="_JJ358" localSheetId="7">#REF!</definedName>
    <definedName name="_JJ358" localSheetId="8">#REF!</definedName>
    <definedName name="_JJ358" localSheetId="4">#REF!</definedName>
    <definedName name="_JJ358" localSheetId="1">#REF!</definedName>
    <definedName name="_JJ358">#REF!</definedName>
    <definedName name="_JJ359" localSheetId="5">#REF!</definedName>
    <definedName name="_JJ359" localSheetId="3">#REF!</definedName>
    <definedName name="_JJ359" localSheetId="6">#REF!</definedName>
    <definedName name="_JJ359" localSheetId="7">#REF!</definedName>
    <definedName name="_JJ359" localSheetId="8">#REF!</definedName>
    <definedName name="_JJ359" localSheetId="4">#REF!</definedName>
    <definedName name="_JJ359" localSheetId="1">#REF!</definedName>
    <definedName name="_JJ359">#REF!</definedName>
    <definedName name="_JJ360" localSheetId="5">#REF!</definedName>
    <definedName name="_JJ360" localSheetId="3">#REF!</definedName>
    <definedName name="_JJ360" localSheetId="6">#REF!</definedName>
    <definedName name="_JJ360" localSheetId="7">#REF!</definedName>
    <definedName name="_JJ360" localSheetId="8">#REF!</definedName>
    <definedName name="_JJ360" localSheetId="4">#REF!</definedName>
    <definedName name="_JJ360" localSheetId="1">#REF!</definedName>
    <definedName name="_JJ360">#REF!</definedName>
    <definedName name="_JJ361" localSheetId="5">#REF!</definedName>
    <definedName name="_JJ361" localSheetId="3">#REF!</definedName>
    <definedName name="_JJ361" localSheetId="6">#REF!</definedName>
    <definedName name="_JJ361" localSheetId="7">#REF!</definedName>
    <definedName name="_JJ361" localSheetId="8">#REF!</definedName>
    <definedName name="_JJ361" localSheetId="4">#REF!</definedName>
    <definedName name="_JJ361" localSheetId="1">#REF!</definedName>
    <definedName name="_JJ361">#REF!</definedName>
    <definedName name="_JJ362" localSheetId="5">#REF!</definedName>
    <definedName name="_JJ362" localSheetId="3">#REF!</definedName>
    <definedName name="_JJ362" localSheetId="6">#REF!</definedName>
    <definedName name="_JJ362" localSheetId="7">#REF!</definedName>
    <definedName name="_JJ362" localSheetId="8">#REF!</definedName>
    <definedName name="_JJ362" localSheetId="4">#REF!</definedName>
    <definedName name="_JJ362" localSheetId="1">#REF!</definedName>
    <definedName name="_JJ362">#REF!</definedName>
    <definedName name="_JJ363" localSheetId="5">#REF!</definedName>
    <definedName name="_JJ363" localSheetId="3">#REF!</definedName>
    <definedName name="_JJ363" localSheetId="6">#REF!</definedName>
    <definedName name="_JJ363" localSheetId="7">#REF!</definedName>
    <definedName name="_JJ363" localSheetId="8">#REF!</definedName>
    <definedName name="_JJ363" localSheetId="4">#REF!</definedName>
    <definedName name="_JJ363" localSheetId="1">#REF!</definedName>
    <definedName name="_JJ363">#REF!</definedName>
    <definedName name="_JJ364" localSheetId="5">#REF!</definedName>
    <definedName name="_JJ364" localSheetId="3">#REF!</definedName>
    <definedName name="_JJ364" localSheetId="6">#REF!</definedName>
    <definedName name="_JJ364" localSheetId="7">#REF!</definedName>
    <definedName name="_JJ364" localSheetId="8">#REF!</definedName>
    <definedName name="_JJ364" localSheetId="4">#REF!</definedName>
    <definedName name="_JJ364" localSheetId="1">#REF!</definedName>
    <definedName name="_JJ364">#REF!</definedName>
    <definedName name="_JJ365" localSheetId="5">#REF!</definedName>
    <definedName name="_JJ365" localSheetId="3">#REF!</definedName>
    <definedName name="_JJ365" localSheetId="6">#REF!</definedName>
    <definedName name="_JJ365" localSheetId="7">#REF!</definedName>
    <definedName name="_JJ365" localSheetId="8">#REF!</definedName>
    <definedName name="_JJ365" localSheetId="4">#REF!</definedName>
    <definedName name="_JJ365" localSheetId="1">#REF!</definedName>
    <definedName name="_JJ365">#REF!</definedName>
    <definedName name="_JJ366" localSheetId="5">#REF!</definedName>
    <definedName name="_JJ366" localSheetId="3">#REF!</definedName>
    <definedName name="_JJ366" localSheetId="6">#REF!</definedName>
    <definedName name="_JJ366" localSheetId="7">#REF!</definedName>
    <definedName name="_JJ366" localSheetId="8">#REF!</definedName>
    <definedName name="_JJ366" localSheetId="4">#REF!</definedName>
    <definedName name="_JJ366" localSheetId="1">#REF!</definedName>
    <definedName name="_JJ366">#REF!</definedName>
    <definedName name="_JJ367" localSheetId="5">#REF!</definedName>
    <definedName name="_JJ367" localSheetId="3">#REF!</definedName>
    <definedName name="_JJ367" localSheetId="6">#REF!</definedName>
    <definedName name="_JJ367" localSheetId="7">#REF!</definedName>
    <definedName name="_JJ367" localSheetId="8">#REF!</definedName>
    <definedName name="_JJ367" localSheetId="4">#REF!</definedName>
    <definedName name="_JJ367" localSheetId="1">#REF!</definedName>
    <definedName name="_JJ367">#REF!</definedName>
    <definedName name="_JJ368" localSheetId="5">#REF!</definedName>
    <definedName name="_JJ368" localSheetId="3">#REF!</definedName>
    <definedName name="_JJ368" localSheetId="6">#REF!</definedName>
    <definedName name="_JJ368" localSheetId="7">#REF!</definedName>
    <definedName name="_JJ368" localSheetId="8">#REF!</definedName>
    <definedName name="_JJ368" localSheetId="4">#REF!</definedName>
    <definedName name="_JJ368" localSheetId="1">#REF!</definedName>
    <definedName name="_JJ368">#REF!</definedName>
    <definedName name="_JJ369" localSheetId="5">#REF!</definedName>
    <definedName name="_JJ369" localSheetId="3">#REF!</definedName>
    <definedName name="_JJ369" localSheetId="6">#REF!</definedName>
    <definedName name="_JJ369" localSheetId="7">#REF!</definedName>
    <definedName name="_JJ369" localSheetId="8">#REF!</definedName>
    <definedName name="_JJ369" localSheetId="4">#REF!</definedName>
    <definedName name="_JJ369" localSheetId="1">#REF!</definedName>
    <definedName name="_JJ369">#REF!</definedName>
    <definedName name="_JJ370" localSheetId="5">#REF!</definedName>
    <definedName name="_JJ370" localSheetId="3">#REF!</definedName>
    <definedName name="_JJ370" localSheetId="6">#REF!</definedName>
    <definedName name="_JJ370" localSheetId="7">#REF!</definedName>
    <definedName name="_JJ370" localSheetId="8">#REF!</definedName>
    <definedName name="_JJ370" localSheetId="4">#REF!</definedName>
    <definedName name="_JJ370" localSheetId="1">#REF!</definedName>
    <definedName name="_JJ370">#REF!</definedName>
    <definedName name="_JJ371" localSheetId="5">#REF!</definedName>
    <definedName name="_JJ371" localSheetId="3">#REF!</definedName>
    <definedName name="_JJ371" localSheetId="6">#REF!</definedName>
    <definedName name="_JJ371" localSheetId="7">#REF!</definedName>
    <definedName name="_JJ371" localSheetId="8">#REF!</definedName>
    <definedName name="_JJ371" localSheetId="4">#REF!</definedName>
    <definedName name="_JJ371" localSheetId="1">#REF!</definedName>
    <definedName name="_JJ371">#REF!</definedName>
    <definedName name="_JJ372" localSheetId="5">#REF!</definedName>
    <definedName name="_JJ372" localSheetId="3">#REF!</definedName>
    <definedName name="_JJ372" localSheetId="6">#REF!</definedName>
    <definedName name="_JJ372" localSheetId="7">#REF!</definedName>
    <definedName name="_JJ372" localSheetId="8">#REF!</definedName>
    <definedName name="_JJ372" localSheetId="4">#REF!</definedName>
    <definedName name="_JJ372" localSheetId="1">#REF!</definedName>
    <definedName name="_JJ372">#REF!</definedName>
    <definedName name="_JJ373" localSheetId="5">#REF!</definedName>
    <definedName name="_JJ373" localSheetId="3">#REF!</definedName>
    <definedName name="_JJ373" localSheetId="6">#REF!</definedName>
    <definedName name="_JJ373" localSheetId="7">#REF!</definedName>
    <definedName name="_JJ373" localSheetId="8">#REF!</definedName>
    <definedName name="_JJ373" localSheetId="4">#REF!</definedName>
    <definedName name="_JJ373" localSheetId="1">#REF!</definedName>
    <definedName name="_JJ373">#REF!</definedName>
    <definedName name="_JJ374" localSheetId="5">#REF!</definedName>
    <definedName name="_JJ374" localSheetId="3">#REF!</definedName>
    <definedName name="_JJ374" localSheetId="6">#REF!</definedName>
    <definedName name="_JJ374" localSheetId="7">#REF!</definedName>
    <definedName name="_JJ374" localSheetId="8">#REF!</definedName>
    <definedName name="_JJ374" localSheetId="4">#REF!</definedName>
    <definedName name="_JJ374" localSheetId="1">#REF!</definedName>
    <definedName name="_JJ374">#REF!</definedName>
    <definedName name="_JJ375" localSheetId="5">#REF!</definedName>
    <definedName name="_JJ375" localSheetId="3">#REF!</definedName>
    <definedName name="_JJ375" localSheetId="6">#REF!</definedName>
    <definedName name="_JJ375" localSheetId="7">#REF!</definedName>
    <definedName name="_JJ375" localSheetId="8">#REF!</definedName>
    <definedName name="_JJ375" localSheetId="4">#REF!</definedName>
    <definedName name="_JJ375" localSheetId="1">#REF!</definedName>
    <definedName name="_JJ375">#REF!</definedName>
    <definedName name="_JJ376" localSheetId="5">#REF!</definedName>
    <definedName name="_JJ376" localSheetId="3">#REF!</definedName>
    <definedName name="_JJ376" localSheetId="6">#REF!</definedName>
    <definedName name="_JJ376" localSheetId="7">#REF!</definedName>
    <definedName name="_JJ376" localSheetId="8">#REF!</definedName>
    <definedName name="_JJ376" localSheetId="4">#REF!</definedName>
    <definedName name="_JJ376" localSheetId="1">#REF!</definedName>
    <definedName name="_JJ376">#REF!</definedName>
    <definedName name="_JJ377" localSheetId="5">#REF!</definedName>
    <definedName name="_JJ377" localSheetId="3">#REF!</definedName>
    <definedName name="_JJ377" localSheetId="6">#REF!</definedName>
    <definedName name="_JJ377" localSheetId="7">#REF!</definedName>
    <definedName name="_JJ377" localSheetId="8">#REF!</definedName>
    <definedName name="_JJ377" localSheetId="4">#REF!</definedName>
    <definedName name="_JJ377" localSheetId="1">#REF!</definedName>
    <definedName name="_JJ377">#REF!</definedName>
    <definedName name="_JJ378" localSheetId="5">#REF!</definedName>
    <definedName name="_JJ378" localSheetId="3">#REF!</definedName>
    <definedName name="_JJ378" localSheetId="6">#REF!</definedName>
    <definedName name="_JJ378" localSheetId="7">#REF!</definedName>
    <definedName name="_JJ378" localSheetId="8">#REF!</definedName>
    <definedName name="_JJ378" localSheetId="4">#REF!</definedName>
    <definedName name="_JJ378" localSheetId="1">#REF!</definedName>
    <definedName name="_JJ378">#REF!</definedName>
    <definedName name="_JJ393" localSheetId="5">#REF!</definedName>
    <definedName name="_JJ393" localSheetId="3">#REF!</definedName>
    <definedName name="_JJ393" localSheetId="6">#REF!</definedName>
    <definedName name="_JJ393" localSheetId="7">#REF!</definedName>
    <definedName name="_JJ393" localSheetId="8">#REF!</definedName>
    <definedName name="_JJ393" localSheetId="4">#REF!</definedName>
    <definedName name="_JJ393" localSheetId="1">#REF!</definedName>
    <definedName name="_JJ393">#REF!</definedName>
    <definedName name="_JJ394" localSheetId="5">#REF!</definedName>
    <definedName name="_JJ394" localSheetId="3">#REF!</definedName>
    <definedName name="_JJ394" localSheetId="6">#REF!</definedName>
    <definedName name="_JJ394" localSheetId="7">#REF!</definedName>
    <definedName name="_JJ394" localSheetId="8">#REF!</definedName>
    <definedName name="_JJ394" localSheetId="4">#REF!</definedName>
    <definedName name="_JJ394" localSheetId="1">#REF!</definedName>
    <definedName name="_JJ394">#REF!</definedName>
    <definedName name="_JJ395" localSheetId="5">#REF!</definedName>
    <definedName name="_JJ395" localSheetId="3">#REF!</definedName>
    <definedName name="_JJ395" localSheetId="6">#REF!</definedName>
    <definedName name="_JJ395" localSheetId="7">#REF!</definedName>
    <definedName name="_JJ395" localSheetId="8">#REF!</definedName>
    <definedName name="_JJ395" localSheetId="4">#REF!</definedName>
    <definedName name="_JJ395" localSheetId="1">#REF!</definedName>
    <definedName name="_JJ395">#REF!</definedName>
    <definedName name="_JJ396" localSheetId="5">#REF!</definedName>
    <definedName name="_JJ396" localSheetId="3">#REF!</definedName>
    <definedName name="_JJ396" localSheetId="6">#REF!</definedName>
    <definedName name="_JJ396" localSheetId="7">#REF!</definedName>
    <definedName name="_JJ396" localSheetId="8">#REF!</definedName>
    <definedName name="_JJ396" localSheetId="4">#REF!</definedName>
    <definedName name="_JJ396" localSheetId="1">#REF!</definedName>
    <definedName name="_JJ396">#REF!</definedName>
    <definedName name="_JJ397" localSheetId="5">#REF!</definedName>
    <definedName name="_JJ397" localSheetId="3">#REF!</definedName>
    <definedName name="_JJ397" localSheetId="6">#REF!</definedName>
    <definedName name="_JJ397" localSheetId="7">#REF!</definedName>
    <definedName name="_JJ397" localSheetId="8">#REF!</definedName>
    <definedName name="_JJ397" localSheetId="4">#REF!</definedName>
    <definedName name="_JJ397" localSheetId="1">#REF!</definedName>
    <definedName name="_JJ397">#REF!</definedName>
    <definedName name="_JJ398" localSheetId="5">#REF!</definedName>
    <definedName name="_JJ398" localSheetId="3">#REF!</definedName>
    <definedName name="_JJ398" localSheetId="6">#REF!</definedName>
    <definedName name="_JJ398" localSheetId="7">#REF!</definedName>
    <definedName name="_JJ398" localSheetId="8">#REF!</definedName>
    <definedName name="_JJ398" localSheetId="4">#REF!</definedName>
    <definedName name="_JJ398" localSheetId="1">#REF!</definedName>
    <definedName name="_JJ398">#REF!</definedName>
    <definedName name="_JJ399" localSheetId="5">#REF!</definedName>
    <definedName name="_JJ399" localSheetId="3">#REF!</definedName>
    <definedName name="_JJ399" localSheetId="6">#REF!</definedName>
    <definedName name="_JJ399" localSheetId="7">#REF!</definedName>
    <definedName name="_JJ399" localSheetId="8">#REF!</definedName>
    <definedName name="_JJ399" localSheetId="4">#REF!</definedName>
    <definedName name="_JJ399" localSheetId="1">#REF!</definedName>
    <definedName name="_JJ399">#REF!</definedName>
    <definedName name="_JJ4" localSheetId="5">#REF!</definedName>
    <definedName name="_JJ4" localSheetId="3">#REF!</definedName>
    <definedName name="_JJ4" localSheetId="6">#REF!</definedName>
    <definedName name="_JJ4" localSheetId="7">#REF!</definedName>
    <definedName name="_JJ4" localSheetId="8">#REF!</definedName>
    <definedName name="_JJ4" localSheetId="4">#REF!</definedName>
    <definedName name="_JJ4" localSheetId="1">#REF!</definedName>
    <definedName name="_JJ4">#REF!</definedName>
    <definedName name="_JJ400" localSheetId="5">#REF!</definedName>
    <definedName name="_JJ400" localSheetId="3">#REF!</definedName>
    <definedName name="_JJ400" localSheetId="6">#REF!</definedName>
    <definedName name="_JJ400" localSheetId="7">#REF!</definedName>
    <definedName name="_JJ400" localSheetId="8">#REF!</definedName>
    <definedName name="_JJ400" localSheetId="4">#REF!</definedName>
    <definedName name="_JJ400" localSheetId="1">#REF!</definedName>
    <definedName name="_JJ400">#REF!</definedName>
    <definedName name="_JJ401" localSheetId="5">#REF!</definedName>
    <definedName name="_JJ401" localSheetId="3">#REF!</definedName>
    <definedName name="_JJ401" localSheetId="6">#REF!</definedName>
    <definedName name="_JJ401" localSheetId="7">#REF!</definedName>
    <definedName name="_JJ401" localSheetId="8">#REF!</definedName>
    <definedName name="_JJ401" localSheetId="4">#REF!</definedName>
    <definedName name="_JJ401" localSheetId="1">#REF!</definedName>
    <definedName name="_JJ401">#REF!</definedName>
    <definedName name="_JJ402" localSheetId="5">#REF!</definedName>
    <definedName name="_JJ402" localSheetId="3">#REF!</definedName>
    <definedName name="_JJ402" localSheetId="6">#REF!</definedName>
    <definedName name="_JJ402" localSheetId="7">#REF!</definedName>
    <definedName name="_JJ402" localSheetId="8">#REF!</definedName>
    <definedName name="_JJ402" localSheetId="4">#REF!</definedName>
    <definedName name="_JJ402" localSheetId="1">#REF!</definedName>
    <definedName name="_JJ402">#REF!</definedName>
    <definedName name="_JJ403" localSheetId="5">#REF!</definedName>
    <definedName name="_JJ403" localSheetId="3">#REF!</definedName>
    <definedName name="_JJ403" localSheetId="6">#REF!</definedName>
    <definedName name="_JJ403" localSheetId="7">#REF!</definedName>
    <definedName name="_JJ403" localSheetId="8">#REF!</definedName>
    <definedName name="_JJ403" localSheetId="4">#REF!</definedName>
    <definedName name="_JJ403" localSheetId="1">#REF!</definedName>
    <definedName name="_JJ403">#REF!</definedName>
    <definedName name="_JJ404" localSheetId="5">#REF!</definedName>
    <definedName name="_JJ404" localSheetId="3">#REF!</definedName>
    <definedName name="_JJ404" localSheetId="6">#REF!</definedName>
    <definedName name="_JJ404" localSheetId="7">#REF!</definedName>
    <definedName name="_JJ404" localSheetId="8">#REF!</definedName>
    <definedName name="_JJ404" localSheetId="4">#REF!</definedName>
    <definedName name="_JJ404" localSheetId="1">#REF!</definedName>
    <definedName name="_JJ404">#REF!</definedName>
    <definedName name="_JJ405" localSheetId="5">#REF!</definedName>
    <definedName name="_JJ405" localSheetId="3">#REF!</definedName>
    <definedName name="_JJ405" localSheetId="6">#REF!</definedName>
    <definedName name="_JJ405" localSheetId="7">#REF!</definedName>
    <definedName name="_JJ405" localSheetId="8">#REF!</definedName>
    <definedName name="_JJ405" localSheetId="4">#REF!</definedName>
    <definedName name="_JJ405" localSheetId="1">#REF!</definedName>
    <definedName name="_JJ405">#REF!</definedName>
    <definedName name="_JJ406" localSheetId="5">#REF!</definedName>
    <definedName name="_JJ406" localSheetId="3">#REF!</definedName>
    <definedName name="_JJ406" localSheetId="6">#REF!</definedName>
    <definedName name="_JJ406" localSheetId="7">#REF!</definedName>
    <definedName name="_JJ406" localSheetId="8">#REF!</definedName>
    <definedName name="_JJ406" localSheetId="4">#REF!</definedName>
    <definedName name="_JJ406" localSheetId="1">#REF!</definedName>
    <definedName name="_JJ406">#REF!</definedName>
    <definedName name="_JJ407" localSheetId="5">#REF!</definedName>
    <definedName name="_JJ407" localSheetId="3">#REF!</definedName>
    <definedName name="_JJ407" localSheetId="6">#REF!</definedName>
    <definedName name="_JJ407" localSheetId="7">#REF!</definedName>
    <definedName name="_JJ407" localSheetId="8">#REF!</definedName>
    <definedName name="_JJ407" localSheetId="4">#REF!</definedName>
    <definedName name="_JJ407" localSheetId="1">#REF!</definedName>
    <definedName name="_JJ407">#REF!</definedName>
    <definedName name="_JJ408" localSheetId="5">#REF!</definedName>
    <definedName name="_JJ408" localSheetId="3">#REF!</definedName>
    <definedName name="_JJ408" localSheetId="6">#REF!</definedName>
    <definedName name="_JJ408" localSheetId="7">#REF!</definedName>
    <definedName name="_JJ408" localSheetId="8">#REF!</definedName>
    <definedName name="_JJ408" localSheetId="4">#REF!</definedName>
    <definedName name="_JJ408" localSheetId="1">#REF!</definedName>
    <definedName name="_JJ408">#REF!</definedName>
    <definedName name="_JJ409" localSheetId="5">#REF!</definedName>
    <definedName name="_JJ409" localSheetId="3">#REF!</definedName>
    <definedName name="_JJ409" localSheetId="6">#REF!</definedName>
    <definedName name="_JJ409" localSheetId="7">#REF!</definedName>
    <definedName name="_JJ409" localSheetId="8">#REF!</definedName>
    <definedName name="_JJ409" localSheetId="4">#REF!</definedName>
    <definedName name="_JJ409" localSheetId="1">#REF!</definedName>
    <definedName name="_JJ409">#REF!</definedName>
    <definedName name="_JJ410" localSheetId="5">#REF!</definedName>
    <definedName name="_JJ410" localSheetId="3">#REF!</definedName>
    <definedName name="_JJ410" localSheetId="6">#REF!</definedName>
    <definedName name="_JJ410" localSheetId="7">#REF!</definedName>
    <definedName name="_JJ410" localSheetId="8">#REF!</definedName>
    <definedName name="_JJ410" localSheetId="4">#REF!</definedName>
    <definedName name="_JJ410" localSheetId="1">#REF!</definedName>
    <definedName name="_JJ410">#REF!</definedName>
    <definedName name="_JJ411" localSheetId="5">#REF!</definedName>
    <definedName name="_JJ411" localSheetId="3">#REF!</definedName>
    <definedName name="_JJ411" localSheetId="6">#REF!</definedName>
    <definedName name="_JJ411" localSheetId="7">#REF!</definedName>
    <definedName name="_JJ411" localSheetId="8">#REF!</definedName>
    <definedName name="_JJ411" localSheetId="4">#REF!</definedName>
    <definedName name="_JJ411" localSheetId="1">#REF!</definedName>
    <definedName name="_JJ411">#REF!</definedName>
    <definedName name="_JJ412" localSheetId="5">#REF!</definedName>
    <definedName name="_JJ412" localSheetId="3">#REF!</definedName>
    <definedName name="_JJ412" localSheetId="6">#REF!</definedName>
    <definedName name="_JJ412" localSheetId="7">#REF!</definedName>
    <definedName name="_JJ412" localSheetId="8">#REF!</definedName>
    <definedName name="_JJ412" localSheetId="4">#REF!</definedName>
    <definedName name="_JJ412" localSheetId="1">#REF!</definedName>
    <definedName name="_JJ412">#REF!</definedName>
    <definedName name="_JJ413" localSheetId="5">#REF!</definedName>
    <definedName name="_JJ413" localSheetId="3">#REF!</definedName>
    <definedName name="_JJ413" localSheetId="6">#REF!</definedName>
    <definedName name="_JJ413" localSheetId="7">#REF!</definedName>
    <definedName name="_JJ413" localSheetId="8">#REF!</definedName>
    <definedName name="_JJ413" localSheetId="4">#REF!</definedName>
    <definedName name="_JJ413" localSheetId="1">#REF!</definedName>
    <definedName name="_JJ413">#REF!</definedName>
    <definedName name="_JJ414" localSheetId="5">#REF!</definedName>
    <definedName name="_JJ414" localSheetId="3">#REF!</definedName>
    <definedName name="_JJ414" localSheetId="6">#REF!</definedName>
    <definedName name="_JJ414" localSheetId="7">#REF!</definedName>
    <definedName name="_JJ414" localSheetId="8">#REF!</definedName>
    <definedName name="_JJ414" localSheetId="4">#REF!</definedName>
    <definedName name="_JJ414" localSheetId="1">#REF!</definedName>
    <definedName name="_JJ414">#REF!</definedName>
    <definedName name="_JJ415" localSheetId="5">#REF!</definedName>
    <definedName name="_JJ415" localSheetId="3">#REF!</definedName>
    <definedName name="_JJ415" localSheetId="6">#REF!</definedName>
    <definedName name="_JJ415" localSheetId="7">#REF!</definedName>
    <definedName name="_JJ415" localSheetId="8">#REF!</definedName>
    <definedName name="_JJ415" localSheetId="4">#REF!</definedName>
    <definedName name="_JJ415" localSheetId="1">#REF!</definedName>
    <definedName name="_JJ415">#REF!</definedName>
    <definedName name="_JJ416" localSheetId="5">#REF!</definedName>
    <definedName name="_JJ416" localSheetId="3">#REF!</definedName>
    <definedName name="_JJ416" localSheetId="6">#REF!</definedName>
    <definedName name="_JJ416" localSheetId="7">#REF!</definedName>
    <definedName name="_JJ416" localSheetId="8">#REF!</definedName>
    <definedName name="_JJ416" localSheetId="4">#REF!</definedName>
    <definedName name="_JJ416" localSheetId="1">#REF!</definedName>
    <definedName name="_JJ416">#REF!</definedName>
    <definedName name="_JJ417" localSheetId="5">#REF!</definedName>
    <definedName name="_JJ417" localSheetId="3">#REF!</definedName>
    <definedName name="_JJ417" localSheetId="6">#REF!</definedName>
    <definedName name="_JJ417" localSheetId="7">#REF!</definedName>
    <definedName name="_JJ417" localSheetId="8">#REF!</definedName>
    <definedName name="_JJ417" localSheetId="4">#REF!</definedName>
    <definedName name="_JJ417" localSheetId="1">#REF!</definedName>
    <definedName name="_JJ417">#REF!</definedName>
    <definedName name="_JJ418" localSheetId="5">#REF!</definedName>
    <definedName name="_JJ418" localSheetId="3">#REF!</definedName>
    <definedName name="_JJ418" localSheetId="6">#REF!</definedName>
    <definedName name="_JJ418" localSheetId="7">#REF!</definedName>
    <definedName name="_JJ418" localSheetId="8">#REF!</definedName>
    <definedName name="_JJ418" localSheetId="4">#REF!</definedName>
    <definedName name="_JJ418" localSheetId="1">#REF!</definedName>
    <definedName name="_JJ418">#REF!</definedName>
    <definedName name="_JJ419" localSheetId="5">#REF!</definedName>
    <definedName name="_JJ419" localSheetId="3">#REF!</definedName>
    <definedName name="_JJ419" localSheetId="6">#REF!</definedName>
    <definedName name="_JJ419" localSheetId="7">#REF!</definedName>
    <definedName name="_JJ419" localSheetId="8">#REF!</definedName>
    <definedName name="_JJ419" localSheetId="4">#REF!</definedName>
    <definedName name="_JJ419" localSheetId="1">#REF!</definedName>
    <definedName name="_JJ419">#REF!</definedName>
    <definedName name="_JJ420" localSheetId="5">#REF!</definedName>
    <definedName name="_JJ420" localSheetId="3">#REF!</definedName>
    <definedName name="_JJ420" localSheetId="6">#REF!</definedName>
    <definedName name="_JJ420" localSheetId="7">#REF!</definedName>
    <definedName name="_JJ420" localSheetId="8">#REF!</definedName>
    <definedName name="_JJ420" localSheetId="4">#REF!</definedName>
    <definedName name="_JJ420" localSheetId="1">#REF!</definedName>
    <definedName name="_JJ420">#REF!</definedName>
    <definedName name="_JJ421" localSheetId="5">#REF!</definedName>
    <definedName name="_JJ421" localSheetId="3">#REF!</definedName>
    <definedName name="_JJ421" localSheetId="6">#REF!</definedName>
    <definedName name="_JJ421" localSheetId="7">#REF!</definedName>
    <definedName name="_JJ421" localSheetId="8">#REF!</definedName>
    <definedName name="_JJ421" localSheetId="4">#REF!</definedName>
    <definedName name="_JJ421" localSheetId="1">#REF!</definedName>
    <definedName name="_JJ421">#REF!</definedName>
    <definedName name="_JJ422" localSheetId="5">#REF!</definedName>
    <definedName name="_JJ422" localSheetId="3">#REF!</definedName>
    <definedName name="_JJ422" localSheetId="6">#REF!</definedName>
    <definedName name="_JJ422" localSheetId="7">#REF!</definedName>
    <definedName name="_JJ422" localSheetId="8">#REF!</definedName>
    <definedName name="_JJ422" localSheetId="4">#REF!</definedName>
    <definedName name="_JJ422" localSheetId="1">#REF!</definedName>
    <definedName name="_JJ422">#REF!</definedName>
    <definedName name="_JJ423" localSheetId="5">#REF!</definedName>
    <definedName name="_JJ423" localSheetId="3">#REF!</definedName>
    <definedName name="_JJ423" localSheetId="6">#REF!</definedName>
    <definedName name="_JJ423" localSheetId="7">#REF!</definedName>
    <definedName name="_JJ423" localSheetId="8">#REF!</definedName>
    <definedName name="_JJ423" localSheetId="4">#REF!</definedName>
    <definedName name="_JJ423" localSheetId="1">#REF!</definedName>
    <definedName name="_JJ423">#REF!</definedName>
    <definedName name="_JJ424" localSheetId="5">#REF!</definedName>
    <definedName name="_JJ424" localSheetId="3">#REF!</definedName>
    <definedName name="_JJ424" localSheetId="6">#REF!</definedName>
    <definedName name="_JJ424" localSheetId="7">#REF!</definedName>
    <definedName name="_JJ424" localSheetId="8">#REF!</definedName>
    <definedName name="_JJ424" localSheetId="4">#REF!</definedName>
    <definedName name="_JJ424" localSheetId="1">#REF!</definedName>
    <definedName name="_JJ424">#REF!</definedName>
    <definedName name="_JJ425" localSheetId="5">#REF!</definedName>
    <definedName name="_JJ425" localSheetId="3">#REF!</definedName>
    <definedName name="_JJ425" localSheetId="6">#REF!</definedName>
    <definedName name="_JJ425" localSheetId="7">#REF!</definedName>
    <definedName name="_JJ425" localSheetId="8">#REF!</definedName>
    <definedName name="_JJ425" localSheetId="4">#REF!</definedName>
    <definedName name="_JJ425" localSheetId="1">#REF!</definedName>
    <definedName name="_JJ425">#REF!</definedName>
    <definedName name="_JJ426" localSheetId="5">#REF!</definedName>
    <definedName name="_JJ426" localSheetId="3">#REF!</definedName>
    <definedName name="_JJ426" localSheetId="6">#REF!</definedName>
    <definedName name="_JJ426" localSheetId="7">#REF!</definedName>
    <definedName name="_JJ426" localSheetId="8">#REF!</definedName>
    <definedName name="_JJ426" localSheetId="4">#REF!</definedName>
    <definedName name="_JJ426" localSheetId="1">#REF!</definedName>
    <definedName name="_JJ426">#REF!</definedName>
    <definedName name="_JJ427" localSheetId="5">#REF!</definedName>
    <definedName name="_JJ427" localSheetId="3">#REF!</definedName>
    <definedName name="_JJ427" localSheetId="6">#REF!</definedName>
    <definedName name="_JJ427" localSheetId="7">#REF!</definedName>
    <definedName name="_JJ427" localSheetId="8">#REF!</definedName>
    <definedName name="_JJ427" localSheetId="4">#REF!</definedName>
    <definedName name="_JJ427" localSheetId="1">#REF!</definedName>
    <definedName name="_JJ427">#REF!</definedName>
    <definedName name="_JJ428" localSheetId="5">#REF!</definedName>
    <definedName name="_JJ428" localSheetId="3">#REF!</definedName>
    <definedName name="_JJ428" localSheetId="6">#REF!</definedName>
    <definedName name="_JJ428" localSheetId="7">#REF!</definedName>
    <definedName name="_JJ428" localSheetId="8">#REF!</definedName>
    <definedName name="_JJ428" localSheetId="4">#REF!</definedName>
    <definedName name="_JJ428" localSheetId="1">#REF!</definedName>
    <definedName name="_JJ428">#REF!</definedName>
    <definedName name="_JJ429" localSheetId="5">#REF!</definedName>
    <definedName name="_JJ429" localSheetId="3">#REF!</definedName>
    <definedName name="_JJ429" localSheetId="6">#REF!</definedName>
    <definedName name="_JJ429" localSheetId="7">#REF!</definedName>
    <definedName name="_JJ429" localSheetId="8">#REF!</definedName>
    <definedName name="_JJ429" localSheetId="4">#REF!</definedName>
    <definedName name="_JJ429" localSheetId="1">#REF!</definedName>
    <definedName name="_JJ429">#REF!</definedName>
    <definedName name="_JJ430" localSheetId="5">#REF!</definedName>
    <definedName name="_JJ430" localSheetId="3">#REF!</definedName>
    <definedName name="_JJ430" localSheetId="6">#REF!</definedName>
    <definedName name="_JJ430" localSheetId="7">#REF!</definedName>
    <definedName name="_JJ430" localSheetId="8">#REF!</definedName>
    <definedName name="_JJ430" localSheetId="4">#REF!</definedName>
    <definedName name="_JJ430" localSheetId="1">#REF!</definedName>
    <definedName name="_JJ430">#REF!</definedName>
    <definedName name="_JJ431" localSheetId="5">#REF!</definedName>
    <definedName name="_JJ431" localSheetId="3">#REF!</definedName>
    <definedName name="_JJ431" localSheetId="6">#REF!</definedName>
    <definedName name="_JJ431" localSheetId="7">#REF!</definedName>
    <definedName name="_JJ431" localSheetId="8">#REF!</definedName>
    <definedName name="_JJ431" localSheetId="4">#REF!</definedName>
    <definedName name="_JJ431" localSheetId="1">#REF!</definedName>
    <definedName name="_JJ431">#REF!</definedName>
    <definedName name="_JJ432" localSheetId="5">#REF!</definedName>
    <definedName name="_JJ432" localSheetId="3">#REF!</definedName>
    <definedName name="_JJ432" localSheetId="6">#REF!</definedName>
    <definedName name="_JJ432" localSheetId="7">#REF!</definedName>
    <definedName name="_JJ432" localSheetId="8">#REF!</definedName>
    <definedName name="_JJ432" localSheetId="4">#REF!</definedName>
    <definedName name="_JJ432" localSheetId="1">#REF!</definedName>
    <definedName name="_JJ432">#REF!</definedName>
    <definedName name="_JJ433" localSheetId="5">#REF!</definedName>
    <definedName name="_JJ433" localSheetId="3">#REF!</definedName>
    <definedName name="_JJ433" localSheetId="6">#REF!</definedName>
    <definedName name="_JJ433" localSheetId="7">#REF!</definedName>
    <definedName name="_JJ433" localSheetId="8">#REF!</definedName>
    <definedName name="_JJ433" localSheetId="4">#REF!</definedName>
    <definedName name="_JJ433" localSheetId="1">#REF!</definedName>
    <definedName name="_JJ433">#REF!</definedName>
    <definedName name="_JJ434" localSheetId="5">#REF!</definedName>
    <definedName name="_JJ434" localSheetId="3">#REF!</definedName>
    <definedName name="_JJ434" localSheetId="6">#REF!</definedName>
    <definedName name="_JJ434" localSheetId="7">#REF!</definedName>
    <definedName name="_JJ434" localSheetId="8">#REF!</definedName>
    <definedName name="_JJ434" localSheetId="4">#REF!</definedName>
    <definedName name="_JJ434" localSheetId="1">#REF!</definedName>
    <definedName name="_JJ434">#REF!</definedName>
    <definedName name="_JJ435" localSheetId="5">#REF!</definedName>
    <definedName name="_JJ435" localSheetId="3">#REF!</definedName>
    <definedName name="_JJ435" localSheetId="6">#REF!</definedName>
    <definedName name="_JJ435" localSheetId="7">#REF!</definedName>
    <definedName name="_JJ435" localSheetId="8">#REF!</definedName>
    <definedName name="_JJ435" localSheetId="4">#REF!</definedName>
    <definedName name="_JJ435" localSheetId="1">#REF!</definedName>
    <definedName name="_JJ435">#REF!</definedName>
    <definedName name="_JJ436" localSheetId="5">#REF!</definedName>
    <definedName name="_JJ436" localSheetId="3">#REF!</definedName>
    <definedName name="_JJ436" localSheetId="6">#REF!</definedName>
    <definedName name="_JJ436" localSheetId="7">#REF!</definedName>
    <definedName name="_JJ436" localSheetId="8">#REF!</definedName>
    <definedName name="_JJ436" localSheetId="4">#REF!</definedName>
    <definedName name="_JJ436" localSheetId="1">#REF!</definedName>
    <definedName name="_JJ436">#REF!</definedName>
    <definedName name="_JJ437" localSheetId="5">#REF!</definedName>
    <definedName name="_JJ437" localSheetId="3">#REF!</definedName>
    <definedName name="_JJ437" localSheetId="6">#REF!</definedName>
    <definedName name="_JJ437" localSheetId="7">#REF!</definedName>
    <definedName name="_JJ437" localSheetId="8">#REF!</definedName>
    <definedName name="_JJ437" localSheetId="4">#REF!</definedName>
    <definedName name="_JJ437" localSheetId="1">#REF!</definedName>
    <definedName name="_JJ437">#REF!</definedName>
    <definedName name="_JJ438" localSheetId="5">#REF!</definedName>
    <definedName name="_JJ438" localSheetId="3">#REF!</definedName>
    <definedName name="_JJ438" localSheetId="6">#REF!</definedName>
    <definedName name="_JJ438" localSheetId="7">#REF!</definedName>
    <definedName name="_JJ438" localSheetId="8">#REF!</definedName>
    <definedName name="_JJ438" localSheetId="4">#REF!</definedName>
    <definedName name="_JJ438" localSheetId="1">#REF!</definedName>
    <definedName name="_JJ438">#REF!</definedName>
    <definedName name="_JJ439" localSheetId="5">#REF!</definedName>
    <definedName name="_JJ439" localSheetId="3">#REF!</definedName>
    <definedName name="_JJ439" localSheetId="6">#REF!</definedName>
    <definedName name="_JJ439" localSheetId="7">#REF!</definedName>
    <definedName name="_JJ439" localSheetId="8">#REF!</definedName>
    <definedName name="_JJ439" localSheetId="4">#REF!</definedName>
    <definedName name="_JJ439" localSheetId="1">#REF!</definedName>
    <definedName name="_JJ439">#REF!</definedName>
    <definedName name="_JJ440" localSheetId="5">#REF!</definedName>
    <definedName name="_JJ440" localSheetId="3">#REF!</definedName>
    <definedName name="_JJ440" localSheetId="6">#REF!</definedName>
    <definedName name="_JJ440" localSheetId="7">#REF!</definedName>
    <definedName name="_JJ440" localSheetId="8">#REF!</definedName>
    <definedName name="_JJ440" localSheetId="4">#REF!</definedName>
    <definedName name="_JJ440" localSheetId="1">#REF!</definedName>
    <definedName name="_JJ440">#REF!</definedName>
    <definedName name="_JJ441" localSheetId="5">#REF!</definedName>
    <definedName name="_JJ441" localSheetId="3">#REF!</definedName>
    <definedName name="_JJ441" localSheetId="6">#REF!</definedName>
    <definedName name="_JJ441" localSheetId="7">#REF!</definedName>
    <definedName name="_JJ441" localSheetId="8">#REF!</definedName>
    <definedName name="_JJ441" localSheetId="4">#REF!</definedName>
    <definedName name="_JJ441" localSheetId="1">#REF!</definedName>
    <definedName name="_JJ441">#REF!</definedName>
    <definedName name="_JJ442" localSheetId="5">#REF!</definedName>
    <definedName name="_JJ442" localSheetId="3">#REF!</definedName>
    <definedName name="_JJ442" localSheetId="6">#REF!</definedName>
    <definedName name="_JJ442" localSheetId="7">#REF!</definedName>
    <definedName name="_JJ442" localSheetId="8">#REF!</definedName>
    <definedName name="_JJ442" localSheetId="4">#REF!</definedName>
    <definedName name="_JJ442" localSheetId="1">#REF!</definedName>
    <definedName name="_JJ442">#REF!</definedName>
    <definedName name="_JJ443" localSheetId="5">#REF!</definedName>
    <definedName name="_JJ443" localSheetId="3">#REF!</definedName>
    <definedName name="_JJ443" localSheetId="6">#REF!</definedName>
    <definedName name="_JJ443" localSheetId="7">#REF!</definedName>
    <definedName name="_JJ443" localSheetId="8">#REF!</definedName>
    <definedName name="_JJ443" localSheetId="4">#REF!</definedName>
    <definedName name="_JJ443" localSheetId="1">#REF!</definedName>
    <definedName name="_JJ443">#REF!</definedName>
    <definedName name="_JJ444" localSheetId="5">#REF!</definedName>
    <definedName name="_JJ444" localSheetId="3">#REF!</definedName>
    <definedName name="_JJ444" localSheetId="6">#REF!</definedName>
    <definedName name="_JJ444" localSheetId="7">#REF!</definedName>
    <definedName name="_JJ444" localSheetId="8">#REF!</definedName>
    <definedName name="_JJ444" localSheetId="4">#REF!</definedName>
    <definedName name="_JJ444" localSheetId="1">#REF!</definedName>
    <definedName name="_JJ444">#REF!</definedName>
    <definedName name="_JJ445" localSheetId="5">#REF!</definedName>
    <definedName name="_JJ445" localSheetId="3">#REF!</definedName>
    <definedName name="_JJ445" localSheetId="6">#REF!</definedName>
    <definedName name="_JJ445" localSheetId="7">#REF!</definedName>
    <definedName name="_JJ445" localSheetId="8">#REF!</definedName>
    <definedName name="_JJ445" localSheetId="4">#REF!</definedName>
    <definedName name="_JJ445" localSheetId="1">#REF!</definedName>
    <definedName name="_JJ445">#REF!</definedName>
    <definedName name="_JJ446" localSheetId="5">#REF!</definedName>
    <definedName name="_JJ446" localSheetId="3">#REF!</definedName>
    <definedName name="_JJ446" localSheetId="6">#REF!</definedName>
    <definedName name="_JJ446" localSheetId="7">#REF!</definedName>
    <definedName name="_JJ446" localSheetId="8">#REF!</definedName>
    <definedName name="_JJ446" localSheetId="4">#REF!</definedName>
    <definedName name="_JJ446" localSheetId="1">#REF!</definedName>
    <definedName name="_JJ446">#REF!</definedName>
    <definedName name="_JJ447" localSheetId="5">#REF!</definedName>
    <definedName name="_JJ447" localSheetId="3">#REF!</definedName>
    <definedName name="_JJ447" localSheetId="6">#REF!</definedName>
    <definedName name="_JJ447" localSheetId="7">#REF!</definedName>
    <definedName name="_JJ447" localSheetId="8">#REF!</definedName>
    <definedName name="_JJ447" localSheetId="4">#REF!</definedName>
    <definedName name="_JJ447" localSheetId="1">#REF!</definedName>
    <definedName name="_JJ447">#REF!</definedName>
    <definedName name="_JJ448" localSheetId="5">#REF!</definedName>
    <definedName name="_JJ448" localSheetId="3">#REF!</definedName>
    <definedName name="_JJ448" localSheetId="6">#REF!</definedName>
    <definedName name="_JJ448" localSheetId="7">#REF!</definedName>
    <definedName name="_JJ448" localSheetId="8">#REF!</definedName>
    <definedName name="_JJ448" localSheetId="4">#REF!</definedName>
    <definedName name="_JJ448" localSheetId="1">#REF!</definedName>
    <definedName name="_JJ448">#REF!</definedName>
    <definedName name="_JJ449" localSheetId="5">#REF!</definedName>
    <definedName name="_JJ449" localSheetId="3">#REF!</definedName>
    <definedName name="_JJ449" localSheetId="6">#REF!</definedName>
    <definedName name="_JJ449" localSheetId="7">#REF!</definedName>
    <definedName name="_JJ449" localSheetId="8">#REF!</definedName>
    <definedName name="_JJ449" localSheetId="4">#REF!</definedName>
    <definedName name="_JJ449" localSheetId="1">#REF!</definedName>
    <definedName name="_JJ449">#REF!</definedName>
    <definedName name="_JJ450" localSheetId="5">#REF!</definedName>
    <definedName name="_JJ450" localSheetId="3">#REF!</definedName>
    <definedName name="_JJ450" localSheetId="6">#REF!</definedName>
    <definedName name="_JJ450" localSheetId="7">#REF!</definedName>
    <definedName name="_JJ450" localSheetId="8">#REF!</definedName>
    <definedName name="_JJ450" localSheetId="4">#REF!</definedName>
    <definedName name="_JJ450" localSheetId="1">#REF!</definedName>
    <definedName name="_JJ450">#REF!</definedName>
    <definedName name="_JJ451" localSheetId="5">#REF!</definedName>
    <definedName name="_JJ451" localSheetId="3">#REF!</definedName>
    <definedName name="_JJ451" localSheetId="6">#REF!</definedName>
    <definedName name="_JJ451" localSheetId="7">#REF!</definedName>
    <definedName name="_JJ451" localSheetId="8">#REF!</definedName>
    <definedName name="_JJ451" localSheetId="4">#REF!</definedName>
    <definedName name="_JJ451" localSheetId="1">#REF!</definedName>
    <definedName name="_JJ451">#REF!</definedName>
    <definedName name="_JJ452" localSheetId="5">#REF!</definedName>
    <definedName name="_JJ452" localSheetId="3">#REF!</definedName>
    <definedName name="_JJ452" localSheetId="6">#REF!</definedName>
    <definedName name="_JJ452" localSheetId="7">#REF!</definedName>
    <definedName name="_JJ452" localSheetId="8">#REF!</definedName>
    <definedName name="_JJ452" localSheetId="4">#REF!</definedName>
    <definedName name="_JJ452" localSheetId="1">#REF!</definedName>
    <definedName name="_JJ452">#REF!</definedName>
    <definedName name="_JJ453" localSheetId="5">#REF!</definedName>
    <definedName name="_JJ453" localSheetId="3">#REF!</definedName>
    <definedName name="_JJ453" localSheetId="6">#REF!</definedName>
    <definedName name="_JJ453" localSheetId="7">#REF!</definedName>
    <definedName name="_JJ453" localSheetId="8">#REF!</definedName>
    <definedName name="_JJ453" localSheetId="4">#REF!</definedName>
    <definedName name="_JJ453" localSheetId="1">#REF!</definedName>
    <definedName name="_JJ453">#REF!</definedName>
    <definedName name="_JJ454" localSheetId="5">#REF!</definedName>
    <definedName name="_JJ454" localSheetId="3">#REF!</definedName>
    <definedName name="_JJ454" localSheetId="6">#REF!</definedName>
    <definedName name="_JJ454" localSheetId="7">#REF!</definedName>
    <definedName name="_JJ454" localSheetId="8">#REF!</definedName>
    <definedName name="_JJ454" localSheetId="4">#REF!</definedName>
    <definedName name="_JJ454" localSheetId="1">#REF!</definedName>
    <definedName name="_JJ454">#REF!</definedName>
    <definedName name="_JJ455" localSheetId="5">#REF!</definedName>
    <definedName name="_JJ455" localSheetId="3">#REF!</definedName>
    <definedName name="_JJ455" localSheetId="6">#REF!</definedName>
    <definedName name="_JJ455" localSheetId="7">#REF!</definedName>
    <definedName name="_JJ455" localSheetId="8">#REF!</definedName>
    <definedName name="_JJ455" localSheetId="4">#REF!</definedName>
    <definedName name="_JJ455" localSheetId="1">#REF!</definedName>
    <definedName name="_JJ455">#REF!</definedName>
    <definedName name="_JJ456" localSheetId="5">#REF!</definedName>
    <definedName name="_JJ456" localSheetId="3">#REF!</definedName>
    <definedName name="_JJ456" localSheetId="6">#REF!</definedName>
    <definedName name="_JJ456" localSheetId="7">#REF!</definedName>
    <definedName name="_JJ456" localSheetId="8">#REF!</definedName>
    <definedName name="_JJ456" localSheetId="4">#REF!</definedName>
    <definedName name="_JJ456" localSheetId="1">#REF!</definedName>
    <definedName name="_JJ456">#REF!</definedName>
    <definedName name="_JJ457" localSheetId="5">#REF!</definedName>
    <definedName name="_JJ457" localSheetId="3">#REF!</definedName>
    <definedName name="_JJ457" localSheetId="6">#REF!</definedName>
    <definedName name="_JJ457" localSheetId="7">#REF!</definedName>
    <definedName name="_JJ457" localSheetId="8">#REF!</definedName>
    <definedName name="_JJ457" localSheetId="4">#REF!</definedName>
    <definedName name="_JJ457" localSheetId="1">#REF!</definedName>
    <definedName name="_JJ457">#REF!</definedName>
    <definedName name="_JJ458" localSheetId="5">#REF!</definedName>
    <definedName name="_JJ458" localSheetId="3">#REF!</definedName>
    <definedName name="_JJ458" localSheetId="6">#REF!</definedName>
    <definedName name="_JJ458" localSheetId="7">#REF!</definedName>
    <definedName name="_JJ458" localSheetId="8">#REF!</definedName>
    <definedName name="_JJ458" localSheetId="4">#REF!</definedName>
    <definedName name="_JJ458" localSheetId="1">#REF!</definedName>
    <definedName name="_JJ458">#REF!</definedName>
    <definedName name="_JJ459" localSheetId="5">#REF!</definedName>
    <definedName name="_JJ459" localSheetId="3">#REF!</definedName>
    <definedName name="_JJ459" localSheetId="6">#REF!</definedName>
    <definedName name="_JJ459" localSheetId="7">#REF!</definedName>
    <definedName name="_JJ459" localSheetId="8">#REF!</definedName>
    <definedName name="_JJ459" localSheetId="4">#REF!</definedName>
    <definedName name="_JJ459" localSheetId="1">#REF!</definedName>
    <definedName name="_JJ459">#REF!</definedName>
    <definedName name="_JJ460" localSheetId="5">#REF!</definedName>
    <definedName name="_JJ460" localSheetId="3">#REF!</definedName>
    <definedName name="_JJ460" localSheetId="6">#REF!</definedName>
    <definedName name="_JJ460" localSheetId="7">#REF!</definedName>
    <definedName name="_JJ460" localSheetId="8">#REF!</definedName>
    <definedName name="_JJ460" localSheetId="4">#REF!</definedName>
    <definedName name="_JJ460" localSheetId="1">#REF!</definedName>
    <definedName name="_JJ460">#REF!</definedName>
    <definedName name="_JJ461" localSheetId="5">#REF!</definedName>
    <definedName name="_JJ461" localSheetId="3">#REF!</definedName>
    <definedName name="_JJ461" localSheetId="6">#REF!</definedName>
    <definedName name="_JJ461" localSheetId="7">#REF!</definedName>
    <definedName name="_JJ461" localSheetId="8">#REF!</definedName>
    <definedName name="_JJ461" localSheetId="4">#REF!</definedName>
    <definedName name="_JJ461" localSheetId="1">#REF!</definedName>
    <definedName name="_JJ461">#REF!</definedName>
    <definedName name="_JJ462" localSheetId="5">#REF!</definedName>
    <definedName name="_JJ462" localSheetId="3">#REF!</definedName>
    <definedName name="_JJ462" localSheetId="6">#REF!</definedName>
    <definedName name="_JJ462" localSheetId="7">#REF!</definedName>
    <definedName name="_JJ462" localSheetId="8">#REF!</definedName>
    <definedName name="_JJ462" localSheetId="4">#REF!</definedName>
    <definedName name="_JJ462" localSheetId="1">#REF!</definedName>
    <definedName name="_JJ462">#REF!</definedName>
    <definedName name="_JJ463" localSheetId="5">#REF!</definedName>
    <definedName name="_JJ463" localSheetId="3">#REF!</definedName>
    <definedName name="_JJ463" localSheetId="6">#REF!</definedName>
    <definedName name="_JJ463" localSheetId="7">#REF!</definedName>
    <definedName name="_JJ463" localSheetId="8">#REF!</definedName>
    <definedName name="_JJ463" localSheetId="4">#REF!</definedName>
    <definedName name="_JJ463" localSheetId="1">#REF!</definedName>
    <definedName name="_JJ463">#REF!</definedName>
    <definedName name="_JJ464" localSheetId="5">#REF!</definedName>
    <definedName name="_JJ464" localSheetId="3">#REF!</definedName>
    <definedName name="_JJ464" localSheetId="6">#REF!</definedName>
    <definedName name="_JJ464" localSheetId="7">#REF!</definedName>
    <definedName name="_JJ464" localSheetId="8">#REF!</definedName>
    <definedName name="_JJ464" localSheetId="4">#REF!</definedName>
    <definedName name="_JJ464" localSheetId="1">#REF!</definedName>
    <definedName name="_JJ464">#REF!</definedName>
    <definedName name="_JJ465" localSheetId="5">#REF!</definedName>
    <definedName name="_JJ465" localSheetId="3">#REF!</definedName>
    <definedName name="_JJ465" localSheetId="6">#REF!</definedName>
    <definedName name="_JJ465" localSheetId="7">#REF!</definedName>
    <definedName name="_JJ465" localSheetId="8">#REF!</definedName>
    <definedName name="_JJ465" localSheetId="4">#REF!</definedName>
    <definedName name="_JJ465" localSheetId="1">#REF!</definedName>
    <definedName name="_JJ465">#REF!</definedName>
    <definedName name="_JJ466" localSheetId="5">#REF!</definedName>
    <definedName name="_JJ466" localSheetId="3">#REF!</definedName>
    <definedName name="_JJ466" localSheetId="6">#REF!</definedName>
    <definedName name="_JJ466" localSheetId="7">#REF!</definedName>
    <definedName name="_JJ466" localSheetId="8">#REF!</definedName>
    <definedName name="_JJ466" localSheetId="4">#REF!</definedName>
    <definedName name="_JJ466" localSheetId="1">#REF!</definedName>
    <definedName name="_JJ466">#REF!</definedName>
    <definedName name="_JJ467" localSheetId="5">#REF!</definedName>
    <definedName name="_JJ467" localSheetId="3">#REF!</definedName>
    <definedName name="_JJ467" localSheetId="6">#REF!</definedName>
    <definedName name="_JJ467" localSheetId="7">#REF!</definedName>
    <definedName name="_JJ467" localSheetId="8">#REF!</definedName>
    <definedName name="_JJ467" localSheetId="4">#REF!</definedName>
    <definedName name="_JJ467" localSheetId="1">#REF!</definedName>
    <definedName name="_JJ467">#REF!</definedName>
    <definedName name="_JJ468" localSheetId="5">#REF!</definedName>
    <definedName name="_JJ468" localSheetId="3">#REF!</definedName>
    <definedName name="_JJ468" localSheetId="6">#REF!</definedName>
    <definedName name="_JJ468" localSheetId="7">#REF!</definedName>
    <definedName name="_JJ468" localSheetId="8">#REF!</definedName>
    <definedName name="_JJ468" localSheetId="4">#REF!</definedName>
    <definedName name="_JJ468" localSheetId="1">#REF!</definedName>
    <definedName name="_JJ468">#REF!</definedName>
    <definedName name="_JJ469" localSheetId="5">#REF!</definedName>
    <definedName name="_JJ469" localSheetId="3">#REF!</definedName>
    <definedName name="_JJ469" localSheetId="6">#REF!</definedName>
    <definedName name="_JJ469" localSheetId="7">#REF!</definedName>
    <definedName name="_JJ469" localSheetId="8">#REF!</definedName>
    <definedName name="_JJ469" localSheetId="4">#REF!</definedName>
    <definedName name="_JJ469" localSheetId="1">#REF!</definedName>
    <definedName name="_JJ469">#REF!</definedName>
    <definedName name="_JJ470" localSheetId="5">#REF!</definedName>
    <definedName name="_JJ470" localSheetId="3">#REF!</definedName>
    <definedName name="_JJ470" localSheetId="6">#REF!</definedName>
    <definedName name="_JJ470" localSheetId="7">#REF!</definedName>
    <definedName name="_JJ470" localSheetId="8">#REF!</definedName>
    <definedName name="_JJ470" localSheetId="4">#REF!</definedName>
    <definedName name="_JJ470" localSheetId="1">#REF!</definedName>
    <definedName name="_JJ470">#REF!</definedName>
    <definedName name="_JJ471" localSheetId="5">#REF!</definedName>
    <definedName name="_JJ471" localSheetId="3">#REF!</definedName>
    <definedName name="_JJ471" localSheetId="6">#REF!</definedName>
    <definedName name="_JJ471" localSheetId="7">#REF!</definedName>
    <definedName name="_JJ471" localSheetId="8">#REF!</definedName>
    <definedName name="_JJ471" localSheetId="4">#REF!</definedName>
    <definedName name="_JJ471" localSheetId="1">#REF!</definedName>
    <definedName name="_JJ471">#REF!</definedName>
    <definedName name="_JJ472" localSheetId="5">#REF!</definedName>
    <definedName name="_JJ472" localSheetId="3">#REF!</definedName>
    <definedName name="_JJ472" localSheetId="6">#REF!</definedName>
    <definedName name="_JJ472" localSheetId="7">#REF!</definedName>
    <definedName name="_JJ472" localSheetId="8">#REF!</definedName>
    <definedName name="_JJ472" localSheetId="4">#REF!</definedName>
    <definedName name="_JJ472" localSheetId="1">#REF!</definedName>
    <definedName name="_JJ472">#REF!</definedName>
    <definedName name="_JJ473" localSheetId="5">#REF!</definedName>
    <definedName name="_JJ473" localSheetId="3">#REF!</definedName>
    <definedName name="_JJ473" localSheetId="6">#REF!</definedName>
    <definedName name="_JJ473" localSheetId="7">#REF!</definedName>
    <definedName name="_JJ473" localSheetId="8">#REF!</definedName>
    <definedName name="_JJ473" localSheetId="4">#REF!</definedName>
    <definedName name="_JJ473" localSheetId="1">#REF!</definedName>
    <definedName name="_JJ473">#REF!</definedName>
    <definedName name="_JJ474" localSheetId="5">#REF!</definedName>
    <definedName name="_JJ474" localSheetId="3">#REF!</definedName>
    <definedName name="_JJ474" localSheetId="6">#REF!</definedName>
    <definedName name="_JJ474" localSheetId="7">#REF!</definedName>
    <definedName name="_JJ474" localSheetId="8">#REF!</definedName>
    <definedName name="_JJ474" localSheetId="4">#REF!</definedName>
    <definedName name="_JJ474" localSheetId="1">#REF!</definedName>
    <definedName name="_JJ474">#REF!</definedName>
    <definedName name="_JJ475" localSheetId="5">#REF!</definedName>
    <definedName name="_JJ475" localSheetId="3">#REF!</definedName>
    <definedName name="_JJ475" localSheetId="6">#REF!</definedName>
    <definedName name="_JJ475" localSheetId="7">#REF!</definedName>
    <definedName name="_JJ475" localSheetId="8">#REF!</definedName>
    <definedName name="_JJ475" localSheetId="4">#REF!</definedName>
    <definedName name="_JJ475" localSheetId="1">#REF!</definedName>
    <definedName name="_JJ475">#REF!</definedName>
    <definedName name="_JJ476" localSheetId="5">#REF!</definedName>
    <definedName name="_JJ476" localSheetId="3">#REF!</definedName>
    <definedName name="_JJ476" localSheetId="6">#REF!</definedName>
    <definedName name="_JJ476" localSheetId="7">#REF!</definedName>
    <definedName name="_JJ476" localSheetId="8">#REF!</definedName>
    <definedName name="_JJ476" localSheetId="4">#REF!</definedName>
    <definedName name="_JJ476" localSheetId="1">#REF!</definedName>
    <definedName name="_JJ476">#REF!</definedName>
    <definedName name="_JJ477" localSheetId="5">#REF!</definedName>
    <definedName name="_JJ477" localSheetId="3">#REF!</definedName>
    <definedName name="_JJ477" localSheetId="6">#REF!</definedName>
    <definedName name="_JJ477" localSheetId="7">#REF!</definedName>
    <definedName name="_JJ477" localSheetId="8">#REF!</definedName>
    <definedName name="_JJ477" localSheetId="4">#REF!</definedName>
    <definedName name="_JJ477" localSheetId="1">#REF!</definedName>
    <definedName name="_JJ477">#REF!</definedName>
    <definedName name="_JJ478" localSheetId="5">#REF!</definedName>
    <definedName name="_JJ478" localSheetId="3">#REF!</definedName>
    <definedName name="_JJ478" localSheetId="6">#REF!</definedName>
    <definedName name="_JJ478" localSheetId="7">#REF!</definedName>
    <definedName name="_JJ478" localSheetId="8">#REF!</definedName>
    <definedName name="_JJ478" localSheetId="4">#REF!</definedName>
    <definedName name="_JJ478" localSheetId="1">#REF!</definedName>
    <definedName name="_JJ478">#REF!</definedName>
    <definedName name="_JJ479" localSheetId="5">#REF!</definedName>
    <definedName name="_JJ479" localSheetId="3">#REF!</definedName>
    <definedName name="_JJ479" localSheetId="6">#REF!</definedName>
    <definedName name="_JJ479" localSheetId="7">#REF!</definedName>
    <definedName name="_JJ479" localSheetId="8">#REF!</definedName>
    <definedName name="_JJ479" localSheetId="4">#REF!</definedName>
    <definedName name="_JJ479" localSheetId="1">#REF!</definedName>
    <definedName name="_JJ479">#REF!</definedName>
    <definedName name="_JJ480" localSheetId="5">#REF!</definedName>
    <definedName name="_JJ480" localSheetId="3">#REF!</definedName>
    <definedName name="_JJ480" localSheetId="6">#REF!</definedName>
    <definedName name="_JJ480" localSheetId="7">#REF!</definedName>
    <definedName name="_JJ480" localSheetId="8">#REF!</definedName>
    <definedName name="_JJ480" localSheetId="4">#REF!</definedName>
    <definedName name="_JJ480" localSheetId="1">#REF!</definedName>
    <definedName name="_JJ480">#REF!</definedName>
    <definedName name="_JJ481" localSheetId="5">#REF!</definedName>
    <definedName name="_JJ481" localSheetId="3">#REF!</definedName>
    <definedName name="_JJ481" localSheetId="6">#REF!</definedName>
    <definedName name="_JJ481" localSheetId="7">#REF!</definedName>
    <definedName name="_JJ481" localSheetId="8">#REF!</definedName>
    <definedName name="_JJ481" localSheetId="4">#REF!</definedName>
    <definedName name="_JJ481" localSheetId="1">#REF!</definedName>
    <definedName name="_JJ481">#REF!</definedName>
    <definedName name="_JJ482" localSheetId="5">#REF!</definedName>
    <definedName name="_JJ482" localSheetId="3">#REF!</definedName>
    <definedName name="_JJ482" localSheetId="6">#REF!</definedName>
    <definedName name="_JJ482" localSheetId="7">#REF!</definedName>
    <definedName name="_JJ482" localSheetId="8">#REF!</definedName>
    <definedName name="_JJ482" localSheetId="4">#REF!</definedName>
    <definedName name="_JJ482" localSheetId="1">#REF!</definedName>
    <definedName name="_JJ482">#REF!</definedName>
    <definedName name="_JJ483" localSheetId="5">#REF!</definedName>
    <definedName name="_JJ483" localSheetId="3">#REF!</definedName>
    <definedName name="_JJ483" localSheetId="6">#REF!</definedName>
    <definedName name="_JJ483" localSheetId="7">#REF!</definedName>
    <definedName name="_JJ483" localSheetId="8">#REF!</definedName>
    <definedName name="_JJ483" localSheetId="4">#REF!</definedName>
    <definedName name="_JJ483" localSheetId="1">#REF!</definedName>
    <definedName name="_JJ483">#REF!</definedName>
    <definedName name="_JJ484" localSheetId="5">#REF!</definedName>
    <definedName name="_JJ484" localSheetId="3">#REF!</definedName>
    <definedName name="_JJ484" localSheetId="6">#REF!</definedName>
    <definedName name="_JJ484" localSheetId="7">#REF!</definedName>
    <definedName name="_JJ484" localSheetId="8">#REF!</definedName>
    <definedName name="_JJ484" localSheetId="4">#REF!</definedName>
    <definedName name="_JJ484" localSheetId="1">#REF!</definedName>
    <definedName name="_JJ484">#REF!</definedName>
    <definedName name="_JJ485" localSheetId="5">#REF!</definedName>
    <definedName name="_JJ485" localSheetId="3">#REF!</definedName>
    <definedName name="_JJ485" localSheetId="6">#REF!</definedName>
    <definedName name="_JJ485" localSheetId="7">#REF!</definedName>
    <definedName name="_JJ485" localSheetId="8">#REF!</definedName>
    <definedName name="_JJ485" localSheetId="4">#REF!</definedName>
    <definedName name="_JJ485" localSheetId="1">#REF!</definedName>
    <definedName name="_JJ485">#REF!</definedName>
    <definedName name="_JJ486" localSheetId="5">#REF!</definedName>
    <definedName name="_JJ486" localSheetId="3">#REF!</definedName>
    <definedName name="_JJ486" localSheetId="6">#REF!</definedName>
    <definedName name="_JJ486" localSheetId="7">#REF!</definedName>
    <definedName name="_JJ486" localSheetId="8">#REF!</definedName>
    <definedName name="_JJ486" localSheetId="4">#REF!</definedName>
    <definedName name="_JJ486" localSheetId="1">#REF!</definedName>
    <definedName name="_JJ486">#REF!</definedName>
    <definedName name="_JJ487" localSheetId="5">#REF!</definedName>
    <definedName name="_JJ487" localSheetId="3">#REF!</definedName>
    <definedName name="_JJ487" localSheetId="6">#REF!</definedName>
    <definedName name="_JJ487" localSheetId="7">#REF!</definedName>
    <definedName name="_JJ487" localSheetId="8">#REF!</definedName>
    <definedName name="_JJ487" localSheetId="4">#REF!</definedName>
    <definedName name="_JJ487" localSheetId="1">#REF!</definedName>
    <definedName name="_JJ487">#REF!</definedName>
    <definedName name="_JJ488" localSheetId="5">#REF!</definedName>
    <definedName name="_JJ488" localSheetId="3">#REF!</definedName>
    <definedName name="_JJ488" localSheetId="6">#REF!</definedName>
    <definedName name="_JJ488" localSheetId="7">#REF!</definedName>
    <definedName name="_JJ488" localSheetId="8">#REF!</definedName>
    <definedName name="_JJ488" localSheetId="4">#REF!</definedName>
    <definedName name="_JJ488" localSheetId="1">#REF!</definedName>
    <definedName name="_JJ488">#REF!</definedName>
    <definedName name="_JJ489" localSheetId="5">#REF!</definedName>
    <definedName name="_JJ489" localSheetId="3">#REF!</definedName>
    <definedName name="_JJ489" localSheetId="6">#REF!</definedName>
    <definedName name="_JJ489" localSheetId="7">#REF!</definedName>
    <definedName name="_JJ489" localSheetId="8">#REF!</definedName>
    <definedName name="_JJ489" localSheetId="4">#REF!</definedName>
    <definedName name="_JJ489" localSheetId="1">#REF!</definedName>
    <definedName name="_JJ489">#REF!</definedName>
    <definedName name="_JJ490" localSheetId="5">#REF!</definedName>
    <definedName name="_JJ490" localSheetId="3">#REF!</definedName>
    <definedName name="_JJ490" localSheetId="6">#REF!</definedName>
    <definedName name="_JJ490" localSheetId="7">#REF!</definedName>
    <definedName name="_JJ490" localSheetId="8">#REF!</definedName>
    <definedName name="_JJ490" localSheetId="4">#REF!</definedName>
    <definedName name="_JJ490" localSheetId="1">#REF!</definedName>
    <definedName name="_JJ490">#REF!</definedName>
    <definedName name="_JJ5" localSheetId="5">#REF!</definedName>
    <definedName name="_JJ5" localSheetId="3">#REF!</definedName>
    <definedName name="_JJ5" localSheetId="6">#REF!</definedName>
    <definedName name="_JJ5" localSheetId="7">#REF!</definedName>
    <definedName name="_JJ5" localSheetId="8">#REF!</definedName>
    <definedName name="_JJ5" localSheetId="4">#REF!</definedName>
    <definedName name="_JJ5" localSheetId="1">#REF!</definedName>
    <definedName name="_JJ5">#REF!</definedName>
    <definedName name="_JJ505" localSheetId="5">#REF!</definedName>
    <definedName name="_JJ505" localSheetId="3">#REF!</definedName>
    <definedName name="_JJ505" localSheetId="6">#REF!</definedName>
    <definedName name="_JJ505" localSheetId="7">#REF!</definedName>
    <definedName name="_JJ505" localSheetId="8">#REF!</definedName>
    <definedName name="_JJ505" localSheetId="4">#REF!</definedName>
    <definedName name="_JJ505" localSheetId="1">#REF!</definedName>
    <definedName name="_JJ505">#REF!</definedName>
    <definedName name="_JJ506" localSheetId="5">#REF!</definedName>
    <definedName name="_JJ506" localSheetId="3">#REF!</definedName>
    <definedName name="_JJ506" localSheetId="6">#REF!</definedName>
    <definedName name="_JJ506" localSheetId="7">#REF!</definedName>
    <definedName name="_JJ506" localSheetId="8">#REF!</definedName>
    <definedName name="_JJ506" localSheetId="4">#REF!</definedName>
    <definedName name="_JJ506" localSheetId="1">#REF!</definedName>
    <definedName name="_JJ506">#REF!</definedName>
    <definedName name="_JJ507" localSheetId="5">#REF!</definedName>
    <definedName name="_JJ507" localSheetId="3">#REF!</definedName>
    <definedName name="_JJ507" localSheetId="6">#REF!</definedName>
    <definedName name="_JJ507" localSheetId="7">#REF!</definedName>
    <definedName name="_JJ507" localSheetId="8">#REF!</definedName>
    <definedName name="_JJ507" localSheetId="4">#REF!</definedName>
    <definedName name="_JJ507" localSheetId="1">#REF!</definedName>
    <definedName name="_JJ507">#REF!</definedName>
    <definedName name="_JJ508" localSheetId="5">#REF!</definedName>
    <definedName name="_JJ508" localSheetId="3">#REF!</definedName>
    <definedName name="_JJ508" localSheetId="6">#REF!</definedName>
    <definedName name="_JJ508" localSheetId="7">#REF!</definedName>
    <definedName name="_JJ508" localSheetId="8">#REF!</definedName>
    <definedName name="_JJ508" localSheetId="4">#REF!</definedName>
    <definedName name="_JJ508" localSheetId="1">#REF!</definedName>
    <definedName name="_JJ508">#REF!</definedName>
    <definedName name="_JJ509" localSheetId="5">#REF!</definedName>
    <definedName name="_JJ509" localSheetId="3">#REF!</definedName>
    <definedName name="_JJ509" localSheetId="6">#REF!</definedName>
    <definedName name="_JJ509" localSheetId="7">#REF!</definedName>
    <definedName name="_JJ509" localSheetId="8">#REF!</definedName>
    <definedName name="_JJ509" localSheetId="4">#REF!</definedName>
    <definedName name="_JJ509" localSheetId="1">#REF!</definedName>
    <definedName name="_JJ509">#REF!</definedName>
    <definedName name="_JJ510" localSheetId="5">#REF!</definedName>
    <definedName name="_JJ510" localSheetId="3">#REF!</definedName>
    <definedName name="_JJ510" localSheetId="6">#REF!</definedName>
    <definedName name="_JJ510" localSheetId="7">#REF!</definedName>
    <definedName name="_JJ510" localSheetId="8">#REF!</definedName>
    <definedName name="_JJ510" localSheetId="4">#REF!</definedName>
    <definedName name="_JJ510" localSheetId="1">#REF!</definedName>
    <definedName name="_JJ510">#REF!</definedName>
    <definedName name="_JJ511" localSheetId="5">#REF!</definedName>
    <definedName name="_JJ511" localSheetId="3">#REF!</definedName>
    <definedName name="_JJ511" localSheetId="6">#REF!</definedName>
    <definedName name="_JJ511" localSheetId="7">#REF!</definedName>
    <definedName name="_JJ511" localSheetId="8">#REF!</definedName>
    <definedName name="_JJ511" localSheetId="4">#REF!</definedName>
    <definedName name="_JJ511" localSheetId="1">#REF!</definedName>
    <definedName name="_JJ511">#REF!</definedName>
    <definedName name="_JJ512" localSheetId="5">#REF!</definedName>
    <definedName name="_JJ512" localSheetId="3">#REF!</definedName>
    <definedName name="_JJ512" localSheetId="6">#REF!</definedName>
    <definedName name="_JJ512" localSheetId="7">#REF!</definedName>
    <definedName name="_JJ512" localSheetId="8">#REF!</definedName>
    <definedName name="_JJ512" localSheetId="4">#REF!</definedName>
    <definedName name="_JJ512" localSheetId="1">#REF!</definedName>
    <definedName name="_JJ512">#REF!</definedName>
    <definedName name="_JJ513" localSheetId="5">#REF!</definedName>
    <definedName name="_JJ513" localSheetId="3">#REF!</definedName>
    <definedName name="_JJ513" localSheetId="6">#REF!</definedName>
    <definedName name="_JJ513" localSheetId="7">#REF!</definedName>
    <definedName name="_JJ513" localSheetId="8">#REF!</definedName>
    <definedName name="_JJ513" localSheetId="4">#REF!</definedName>
    <definedName name="_JJ513" localSheetId="1">#REF!</definedName>
    <definedName name="_JJ513">#REF!</definedName>
    <definedName name="_JJ514" localSheetId="5">#REF!</definedName>
    <definedName name="_JJ514" localSheetId="3">#REF!</definedName>
    <definedName name="_JJ514" localSheetId="6">#REF!</definedName>
    <definedName name="_JJ514" localSheetId="7">#REF!</definedName>
    <definedName name="_JJ514" localSheetId="8">#REF!</definedName>
    <definedName name="_JJ514" localSheetId="4">#REF!</definedName>
    <definedName name="_JJ514" localSheetId="1">#REF!</definedName>
    <definedName name="_JJ514">#REF!</definedName>
    <definedName name="_JJ515" localSheetId="5">#REF!</definedName>
    <definedName name="_JJ515" localSheetId="3">#REF!</definedName>
    <definedName name="_JJ515" localSheetId="6">#REF!</definedName>
    <definedName name="_JJ515" localSheetId="7">#REF!</definedName>
    <definedName name="_JJ515" localSheetId="8">#REF!</definedName>
    <definedName name="_JJ515" localSheetId="4">#REF!</definedName>
    <definedName name="_JJ515" localSheetId="1">#REF!</definedName>
    <definedName name="_JJ515">#REF!</definedName>
    <definedName name="_JJ516" localSheetId="5">#REF!</definedName>
    <definedName name="_JJ516" localSheetId="3">#REF!</definedName>
    <definedName name="_JJ516" localSheetId="6">#REF!</definedName>
    <definedName name="_JJ516" localSheetId="7">#REF!</definedName>
    <definedName name="_JJ516" localSheetId="8">#REF!</definedName>
    <definedName name="_JJ516" localSheetId="4">#REF!</definedName>
    <definedName name="_JJ516" localSheetId="1">#REF!</definedName>
    <definedName name="_JJ516">#REF!</definedName>
    <definedName name="_JJ517" localSheetId="5">#REF!</definedName>
    <definedName name="_JJ517" localSheetId="3">#REF!</definedName>
    <definedName name="_JJ517" localSheetId="6">#REF!</definedName>
    <definedName name="_JJ517" localSheetId="7">#REF!</definedName>
    <definedName name="_JJ517" localSheetId="8">#REF!</definedName>
    <definedName name="_JJ517" localSheetId="4">#REF!</definedName>
    <definedName name="_JJ517" localSheetId="1">#REF!</definedName>
    <definedName name="_JJ517">#REF!</definedName>
    <definedName name="_JJ518" localSheetId="5">#REF!</definedName>
    <definedName name="_JJ518" localSheetId="3">#REF!</definedName>
    <definedName name="_JJ518" localSheetId="6">#REF!</definedName>
    <definedName name="_JJ518" localSheetId="7">#REF!</definedName>
    <definedName name="_JJ518" localSheetId="8">#REF!</definedName>
    <definedName name="_JJ518" localSheetId="4">#REF!</definedName>
    <definedName name="_JJ518" localSheetId="1">#REF!</definedName>
    <definedName name="_JJ518">#REF!</definedName>
    <definedName name="_JJ519" localSheetId="5">#REF!</definedName>
    <definedName name="_JJ519" localSheetId="3">#REF!</definedName>
    <definedName name="_JJ519" localSheetId="6">#REF!</definedName>
    <definedName name="_JJ519" localSheetId="7">#REF!</definedName>
    <definedName name="_JJ519" localSheetId="8">#REF!</definedName>
    <definedName name="_JJ519" localSheetId="4">#REF!</definedName>
    <definedName name="_JJ519" localSheetId="1">#REF!</definedName>
    <definedName name="_JJ519">#REF!</definedName>
    <definedName name="_JJ520" localSheetId="5">#REF!</definedName>
    <definedName name="_JJ520" localSheetId="3">#REF!</definedName>
    <definedName name="_JJ520" localSheetId="6">#REF!</definedName>
    <definedName name="_JJ520" localSheetId="7">#REF!</definedName>
    <definedName name="_JJ520" localSheetId="8">#REF!</definedName>
    <definedName name="_JJ520" localSheetId="4">#REF!</definedName>
    <definedName name="_JJ520" localSheetId="1">#REF!</definedName>
    <definedName name="_JJ520">#REF!</definedName>
    <definedName name="_JJ521" localSheetId="5">#REF!</definedName>
    <definedName name="_JJ521" localSheetId="3">#REF!</definedName>
    <definedName name="_JJ521" localSheetId="6">#REF!</definedName>
    <definedName name="_JJ521" localSheetId="7">#REF!</definedName>
    <definedName name="_JJ521" localSheetId="8">#REF!</definedName>
    <definedName name="_JJ521" localSheetId="4">#REF!</definedName>
    <definedName name="_JJ521" localSheetId="1">#REF!</definedName>
    <definedName name="_JJ521">#REF!</definedName>
    <definedName name="_JJ522" localSheetId="5">#REF!</definedName>
    <definedName name="_JJ522" localSheetId="3">#REF!</definedName>
    <definedName name="_JJ522" localSheetId="6">#REF!</definedName>
    <definedName name="_JJ522" localSheetId="7">#REF!</definedName>
    <definedName name="_JJ522" localSheetId="8">#REF!</definedName>
    <definedName name="_JJ522" localSheetId="4">#REF!</definedName>
    <definedName name="_JJ522" localSheetId="1">#REF!</definedName>
    <definedName name="_JJ522">#REF!</definedName>
    <definedName name="_JJ523" localSheetId="5">#REF!</definedName>
    <definedName name="_JJ523" localSheetId="3">#REF!</definedName>
    <definedName name="_JJ523" localSheetId="6">#REF!</definedName>
    <definedName name="_JJ523" localSheetId="7">#REF!</definedName>
    <definedName name="_JJ523" localSheetId="8">#REF!</definedName>
    <definedName name="_JJ523" localSheetId="4">#REF!</definedName>
    <definedName name="_JJ523" localSheetId="1">#REF!</definedName>
    <definedName name="_JJ523">#REF!</definedName>
    <definedName name="_JJ524" localSheetId="5">#REF!</definedName>
    <definedName name="_JJ524" localSheetId="3">#REF!</definedName>
    <definedName name="_JJ524" localSheetId="6">#REF!</definedName>
    <definedName name="_JJ524" localSheetId="7">#REF!</definedName>
    <definedName name="_JJ524" localSheetId="8">#REF!</definedName>
    <definedName name="_JJ524" localSheetId="4">#REF!</definedName>
    <definedName name="_JJ524" localSheetId="1">#REF!</definedName>
    <definedName name="_JJ524">#REF!</definedName>
    <definedName name="_JJ525" localSheetId="5">#REF!</definedName>
    <definedName name="_JJ525" localSheetId="3">#REF!</definedName>
    <definedName name="_JJ525" localSheetId="6">#REF!</definedName>
    <definedName name="_JJ525" localSheetId="7">#REF!</definedName>
    <definedName name="_JJ525" localSheetId="8">#REF!</definedName>
    <definedName name="_JJ525" localSheetId="4">#REF!</definedName>
    <definedName name="_JJ525" localSheetId="1">#REF!</definedName>
    <definedName name="_JJ525">#REF!</definedName>
    <definedName name="_JJ526" localSheetId="5">#REF!</definedName>
    <definedName name="_JJ526" localSheetId="3">#REF!</definedName>
    <definedName name="_JJ526" localSheetId="6">#REF!</definedName>
    <definedName name="_JJ526" localSheetId="7">#REF!</definedName>
    <definedName name="_JJ526" localSheetId="8">#REF!</definedName>
    <definedName name="_JJ526" localSheetId="4">#REF!</definedName>
    <definedName name="_JJ526" localSheetId="1">#REF!</definedName>
    <definedName name="_JJ526">#REF!</definedName>
    <definedName name="_JJ527" localSheetId="5">#REF!</definedName>
    <definedName name="_JJ527" localSheetId="3">#REF!</definedName>
    <definedName name="_JJ527" localSheetId="6">#REF!</definedName>
    <definedName name="_JJ527" localSheetId="7">#REF!</definedName>
    <definedName name="_JJ527" localSheetId="8">#REF!</definedName>
    <definedName name="_JJ527" localSheetId="4">#REF!</definedName>
    <definedName name="_JJ527" localSheetId="1">#REF!</definedName>
    <definedName name="_JJ527">#REF!</definedName>
    <definedName name="_JJ528" localSheetId="5">#REF!</definedName>
    <definedName name="_JJ528" localSheetId="3">#REF!</definedName>
    <definedName name="_JJ528" localSheetId="6">#REF!</definedName>
    <definedName name="_JJ528" localSheetId="7">#REF!</definedName>
    <definedName name="_JJ528" localSheetId="8">#REF!</definedName>
    <definedName name="_JJ528" localSheetId="4">#REF!</definedName>
    <definedName name="_JJ528" localSheetId="1">#REF!</definedName>
    <definedName name="_JJ528">#REF!</definedName>
    <definedName name="_JJ529" localSheetId="5">#REF!</definedName>
    <definedName name="_JJ529" localSheetId="3">#REF!</definedName>
    <definedName name="_JJ529" localSheetId="6">#REF!</definedName>
    <definedName name="_JJ529" localSheetId="7">#REF!</definedName>
    <definedName name="_JJ529" localSheetId="8">#REF!</definedName>
    <definedName name="_JJ529" localSheetId="4">#REF!</definedName>
    <definedName name="_JJ529" localSheetId="1">#REF!</definedName>
    <definedName name="_JJ529">#REF!</definedName>
    <definedName name="_JJ530" localSheetId="5">#REF!</definedName>
    <definedName name="_JJ530" localSheetId="3">#REF!</definedName>
    <definedName name="_JJ530" localSheetId="6">#REF!</definedName>
    <definedName name="_JJ530" localSheetId="7">#REF!</definedName>
    <definedName name="_JJ530" localSheetId="8">#REF!</definedName>
    <definedName name="_JJ530" localSheetId="4">#REF!</definedName>
    <definedName name="_JJ530" localSheetId="1">#REF!</definedName>
    <definedName name="_JJ530">#REF!</definedName>
    <definedName name="_JJ531" localSheetId="5">#REF!</definedName>
    <definedName name="_JJ531" localSheetId="3">#REF!</definedName>
    <definedName name="_JJ531" localSheetId="6">#REF!</definedName>
    <definedName name="_JJ531" localSheetId="7">#REF!</definedName>
    <definedName name="_JJ531" localSheetId="8">#REF!</definedName>
    <definedName name="_JJ531" localSheetId="4">#REF!</definedName>
    <definedName name="_JJ531" localSheetId="1">#REF!</definedName>
    <definedName name="_JJ531">#REF!</definedName>
    <definedName name="_JJ532" localSheetId="5">#REF!</definedName>
    <definedName name="_JJ532" localSheetId="3">#REF!</definedName>
    <definedName name="_JJ532" localSheetId="6">#REF!</definedName>
    <definedName name="_JJ532" localSheetId="7">#REF!</definedName>
    <definedName name="_JJ532" localSheetId="8">#REF!</definedName>
    <definedName name="_JJ532" localSheetId="4">#REF!</definedName>
    <definedName name="_JJ532" localSheetId="1">#REF!</definedName>
    <definedName name="_JJ532">#REF!</definedName>
    <definedName name="_JJ547" localSheetId="5">#REF!</definedName>
    <definedName name="_JJ547" localSheetId="3">#REF!</definedName>
    <definedName name="_JJ547" localSheetId="6">#REF!</definedName>
    <definedName name="_JJ547" localSheetId="7">#REF!</definedName>
    <definedName name="_JJ547" localSheetId="8">#REF!</definedName>
    <definedName name="_JJ547" localSheetId="4">#REF!</definedName>
    <definedName name="_JJ547" localSheetId="1">#REF!</definedName>
    <definedName name="_JJ547">#REF!</definedName>
    <definedName name="_JJ548" localSheetId="5">#REF!</definedName>
    <definedName name="_JJ548" localSheetId="3">#REF!</definedName>
    <definedName name="_JJ548" localSheetId="6">#REF!</definedName>
    <definedName name="_JJ548" localSheetId="7">#REF!</definedName>
    <definedName name="_JJ548" localSheetId="8">#REF!</definedName>
    <definedName name="_JJ548" localSheetId="4">#REF!</definedName>
    <definedName name="_JJ548" localSheetId="1">#REF!</definedName>
    <definedName name="_JJ548">#REF!</definedName>
    <definedName name="_JJ549" localSheetId="5">#REF!</definedName>
    <definedName name="_JJ549" localSheetId="3">#REF!</definedName>
    <definedName name="_JJ549" localSheetId="6">#REF!</definedName>
    <definedName name="_JJ549" localSheetId="7">#REF!</definedName>
    <definedName name="_JJ549" localSheetId="8">#REF!</definedName>
    <definedName name="_JJ549" localSheetId="4">#REF!</definedName>
    <definedName name="_JJ549" localSheetId="1">#REF!</definedName>
    <definedName name="_JJ549">#REF!</definedName>
    <definedName name="_JJ550" localSheetId="5">#REF!</definedName>
    <definedName name="_JJ550" localSheetId="3">#REF!</definedName>
    <definedName name="_JJ550" localSheetId="6">#REF!</definedName>
    <definedName name="_JJ550" localSheetId="7">#REF!</definedName>
    <definedName name="_JJ550" localSheetId="8">#REF!</definedName>
    <definedName name="_JJ550" localSheetId="4">#REF!</definedName>
    <definedName name="_JJ550" localSheetId="1">#REF!</definedName>
    <definedName name="_JJ550">#REF!</definedName>
    <definedName name="_JJ551" localSheetId="5">#REF!</definedName>
    <definedName name="_JJ551" localSheetId="3">#REF!</definedName>
    <definedName name="_JJ551" localSheetId="6">#REF!</definedName>
    <definedName name="_JJ551" localSheetId="7">#REF!</definedName>
    <definedName name="_JJ551" localSheetId="8">#REF!</definedName>
    <definedName name="_JJ551" localSheetId="4">#REF!</definedName>
    <definedName name="_JJ551" localSheetId="1">#REF!</definedName>
    <definedName name="_JJ551">#REF!</definedName>
    <definedName name="_JJ552" localSheetId="5">#REF!</definedName>
    <definedName name="_JJ552" localSheetId="3">#REF!</definedName>
    <definedName name="_JJ552" localSheetId="6">#REF!</definedName>
    <definedName name="_JJ552" localSheetId="7">#REF!</definedName>
    <definedName name="_JJ552" localSheetId="8">#REF!</definedName>
    <definedName name="_JJ552" localSheetId="4">#REF!</definedName>
    <definedName name="_JJ552" localSheetId="1">#REF!</definedName>
    <definedName name="_JJ552">#REF!</definedName>
    <definedName name="_JJ553" localSheetId="5">#REF!</definedName>
    <definedName name="_JJ553" localSheetId="3">#REF!</definedName>
    <definedName name="_JJ553" localSheetId="6">#REF!</definedName>
    <definedName name="_JJ553" localSheetId="7">#REF!</definedName>
    <definedName name="_JJ553" localSheetId="8">#REF!</definedName>
    <definedName name="_JJ553" localSheetId="4">#REF!</definedName>
    <definedName name="_JJ553" localSheetId="1">#REF!</definedName>
    <definedName name="_JJ553">#REF!</definedName>
    <definedName name="_JJ554" localSheetId="5">#REF!</definedName>
    <definedName name="_JJ554" localSheetId="3">#REF!</definedName>
    <definedName name="_JJ554" localSheetId="6">#REF!</definedName>
    <definedName name="_JJ554" localSheetId="7">#REF!</definedName>
    <definedName name="_JJ554" localSheetId="8">#REF!</definedName>
    <definedName name="_JJ554" localSheetId="4">#REF!</definedName>
    <definedName name="_JJ554" localSheetId="1">#REF!</definedName>
    <definedName name="_JJ554">#REF!</definedName>
    <definedName name="_JJ555" localSheetId="5">#REF!</definedName>
    <definedName name="_JJ555" localSheetId="3">#REF!</definedName>
    <definedName name="_JJ555" localSheetId="6">#REF!</definedName>
    <definedName name="_JJ555" localSheetId="7">#REF!</definedName>
    <definedName name="_JJ555" localSheetId="8">#REF!</definedName>
    <definedName name="_JJ555" localSheetId="4">#REF!</definedName>
    <definedName name="_JJ555" localSheetId="1">#REF!</definedName>
    <definedName name="_JJ555">#REF!</definedName>
    <definedName name="_JJ556" localSheetId="5">#REF!</definedName>
    <definedName name="_JJ556" localSheetId="3">#REF!</definedName>
    <definedName name="_JJ556" localSheetId="6">#REF!</definedName>
    <definedName name="_JJ556" localSheetId="7">#REF!</definedName>
    <definedName name="_JJ556" localSheetId="8">#REF!</definedName>
    <definedName name="_JJ556" localSheetId="4">#REF!</definedName>
    <definedName name="_JJ556" localSheetId="1">#REF!</definedName>
    <definedName name="_JJ556">#REF!</definedName>
    <definedName name="_JJ557" localSheetId="5">#REF!</definedName>
    <definedName name="_JJ557" localSheetId="3">#REF!</definedName>
    <definedName name="_JJ557" localSheetId="6">#REF!</definedName>
    <definedName name="_JJ557" localSheetId="7">#REF!</definedName>
    <definedName name="_JJ557" localSheetId="8">#REF!</definedName>
    <definedName name="_JJ557" localSheetId="4">#REF!</definedName>
    <definedName name="_JJ557" localSheetId="1">#REF!</definedName>
    <definedName name="_JJ557">#REF!</definedName>
    <definedName name="_JJ558" localSheetId="5">#REF!</definedName>
    <definedName name="_JJ558" localSheetId="3">#REF!</definedName>
    <definedName name="_JJ558" localSheetId="6">#REF!</definedName>
    <definedName name="_JJ558" localSheetId="7">#REF!</definedName>
    <definedName name="_JJ558" localSheetId="8">#REF!</definedName>
    <definedName name="_JJ558" localSheetId="4">#REF!</definedName>
    <definedName name="_JJ558" localSheetId="1">#REF!</definedName>
    <definedName name="_JJ558">#REF!</definedName>
    <definedName name="_JJ559" localSheetId="5">#REF!</definedName>
    <definedName name="_JJ559" localSheetId="3">#REF!</definedName>
    <definedName name="_JJ559" localSheetId="6">#REF!</definedName>
    <definedName name="_JJ559" localSheetId="7">#REF!</definedName>
    <definedName name="_JJ559" localSheetId="8">#REF!</definedName>
    <definedName name="_JJ559" localSheetId="4">#REF!</definedName>
    <definedName name="_JJ559" localSheetId="1">#REF!</definedName>
    <definedName name="_JJ559">#REF!</definedName>
    <definedName name="_JJ560" localSheetId="5">#REF!</definedName>
    <definedName name="_JJ560" localSheetId="3">#REF!</definedName>
    <definedName name="_JJ560" localSheetId="6">#REF!</definedName>
    <definedName name="_JJ560" localSheetId="7">#REF!</definedName>
    <definedName name="_JJ560" localSheetId="8">#REF!</definedName>
    <definedName name="_JJ560" localSheetId="4">#REF!</definedName>
    <definedName name="_JJ560" localSheetId="1">#REF!</definedName>
    <definedName name="_JJ560">#REF!</definedName>
    <definedName name="_JJ561" localSheetId="5">#REF!</definedName>
    <definedName name="_JJ561" localSheetId="3">#REF!</definedName>
    <definedName name="_JJ561" localSheetId="6">#REF!</definedName>
    <definedName name="_JJ561" localSheetId="7">#REF!</definedName>
    <definedName name="_JJ561" localSheetId="8">#REF!</definedName>
    <definedName name="_JJ561" localSheetId="4">#REF!</definedName>
    <definedName name="_JJ561" localSheetId="1">#REF!</definedName>
    <definedName name="_JJ561">#REF!</definedName>
    <definedName name="_JJ562" localSheetId="5">#REF!</definedName>
    <definedName name="_JJ562" localSheetId="3">#REF!</definedName>
    <definedName name="_JJ562" localSheetId="6">#REF!</definedName>
    <definedName name="_JJ562" localSheetId="7">#REF!</definedName>
    <definedName name="_JJ562" localSheetId="8">#REF!</definedName>
    <definedName name="_JJ562" localSheetId="4">#REF!</definedName>
    <definedName name="_JJ562" localSheetId="1">#REF!</definedName>
    <definedName name="_JJ562">#REF!</definedName>
    <definedName name="_JJ563" localSheetId="5">#REF!</definedName>
    <definedName name="_JJ563" localSheetId="3">#REF!</definedName>
    <definedName name="_JJ563" localSheetId="6">#REF!</definedName>
    <definedName name="_JJ563" localSheetId="7">#REF!</definedName>
    <definedName name="_JJ563" localSheetId="8">#REF!</definedName>
    <definedName name="_JJ563" localSheetId="4">#REF!</definedName>
    <definedName name="_JJ563" localSheetId="1">#REF!</definedName>
    <definedName name="_JJ563">#REF!</definedName>
    <definedName name="_JJ564" localSheetId="5">#REF!</definedName>
    <definedName name="_JJ564" localSheetId="3">#REF!</definedName>
    <definedName name="_JJ564" localSheetId="6">#REF!</definedName>
    <definedName name="_JJ564" localSheetId="7">#REF!</definedName>
    <definedName name="_JJ564" localSheetId="8">#REF!</definedName>
    <definedName name="_JJ564" localSheetId="4">#REF!</definedName>
    <definedName name="_JJ564" localSheetId="1">#REF!</definedName>
    <definedName name="_JJ564">#REF!</definedName>
    <definedName name="_JJ565" localSheetId="5">#REF!</definedName>
    <definedName name="_JJ565" localSheetId="3">#REF!</definedName>
    <definedName name="_JJ565" localSheetId="6">#REF!</definedName>
    <definedName name="_JJ565" localSheetId="7">#REF!</definedName>
    <definedName name="_JJ565" localSheetId="8">#REF!</definedName>
    <definedName name="_JJ565" localSheetId="4">#REF!</definedName>
    <definedName name="_JJ565" localSheetId="1">#REF!</definedName>
    <definedName name="_JJ565">#REF!</definedName>
    <definedName name="_JJ566" localSheetId="5">#REF!</definedName>
    <definedName name="_JJ566" localSheetId="3">#REF!</definedName>
    <definedName name="_JJ566" localSheetId="6">#REF!</definedName>
    <definedName name="_JJ566" localSheetId="7">#REF!</definedName>
    <definedName name="_JJ566" localSheetId="8">#REF!</definedName>
    <definedName name="_JJ566" localSheetId="4">#REF!</definedName>
    <definedName name="_JJ566" localSheetId="1">#REF!</definedName>
    <definedName name="_JJ566">#REF!</definedName>
    <definedName name="_JJ567" localSheetId="5">#REF!</definedName>
    <definedName name="_JJ567" localSheetId="3">#REF!</definedName>
    <definedName name="_JJ567" localSheetId="6">#REF!</definedName>
    <definedName name="_JJ567" localSheetId="7">#REF!</definedName>
    <definedName name="_JJ567" localSheetId="8">#REF!</definedName>
    <definedName name="_JJ567" localSheetId="4">#REF!</definedName>
    <definedName name="_JJ567" localSheetId="1">#REF!</definedName>
    <definedName name="_JJ567">#REF!</definedName>
    <definedName name="_JJ568" localSheetId="5">#REF!</definedName>
    <definedName name="_JJ568" localSheetId="3">#REF!</definedName>
    <definedName name="_JJ568" localSheetId="6">#REF!</definedName>
    <definedName name="_JJ568" localSheetId="7">#REF!</definedName>
    <definedName name="_JJ568" localSheetId="8">#REF!</definedName>
    <definedName name="_JJ568" localSheetId="4">#REF!</definedName>
    <definedName name="_JJ568" localSheetId="1">#REF!</definedName>
    <definedName name="_JJ568">#REF!</definedName>
    <definedName name="_JJ569" localSheetId="5">#REF!</definedName>
    <definedName name="_JJ569" localSheetId="3">#REF!</definedName>
    <definedName name="_JJ569" localSheetId="6">#REF!</definedName>
    <definedName name="_JJ569" localSheetId="7">#REF!</definedName>
    <definedName name="_JJ569" localSheetId="8">#REF!</definedName>
    <definedName name="_JJ569" localSheetId="4">#REF!</definedName>
    <definedName name="_JJ569" localSheetId="1">#REF!</definedName>
    <definedName name="_JJ569">#REF!</definedName>
    <definedName name="_JJ57" localSheetId="5">#REF!</definedName>
    <definedName name="_JJ57" localSheetId="3">#REF!</definedName>
    <definedName name="_JJ57" localSheetId="6">#REF!</definedName>
    <definedName name="_JJ57" localSheetId="7">#REF!</definedName>
    <definedName name="_JJ57" localSheetId="8">#REF!</definedName>
    <definedName name="_JJ57" localSheetId="4">#REF!</definedName>
    <definedName name="_JJ57" localSheetId="1">#REF!</definedName>
    <definedName name="_JJ57">#REF!</definedName>
    <definedName name="_JJ570" localSheetId="5">#REF!</definedName>
    <definedName name="_JJ570" localSheetId="3">#REF!</definedName>
    <definedName name="_JJ570" localSheetId="6">#REF!</definedName>
    <definedName name="_JJ570" localSheetId="7">#REF!</definedName>
    <definedName name="_JJ570" localSheetId="8">#REF!</definedName>
    <definedName name="_JJ570" localSheetId="4">#REF!</definedName>
    <definedName name="_JJ570" localSheetId="1">#REF!</definedName>
    <definedName name="_JJ570">#REF!</definedName>
    <definedName name="_JJ571" localSheetId="5">#REF!</definedName>
    <definedName name="_JJ571" localSheetId="3">#REF!</definedName>
    <definedName name="_JJ571" localSheetId="6">#REF!</definedName>
    <definedName name="_JJ571" localSheetId="7">#REF!</definedName>
    <definedName name="_JJ571" localSheetId="8">#REF!</definedName>
    <definedName name="_JJ571" localSheetId="4">#REF!</definedName>
    <definedName name="_JJ571" localSheetId="1">#REF!</definedName>
    <definedName name="_JJ571">#REF!</definedName>
    <definedName name="_JJ572" localSheetId="5">#REF!</definedName>
    <definedName name="_JJ572" localSheetId="3">#REF!</definedName>
    <definedName name="_JJ572" localSheetId="6">#REF!</definedName>
    <definedName name="_JJ572" localSheetId="7">#REF!</definedName>
    <definedName name="_JJ572" localSheetId="8">#REF!</definedName>
    <definedName name="_JJ572" localSheetId="4">#REF!</definedName>
    <definedName name="_JJ572" localSheetId="1">#REF!</definedName>
    <definedName name="_JJ572">#REF!</definedName>
    <definedName name="_JJ573" localSheetId="5">#REF!</definedName>
    <definedName name="_JJ573" localSheetId="3">#REF!</definedName>
    <definedName name="_JJ573" localSheetId="6">#REF!</definedName>
    <definedName name="_JJ573" localSheetId="7">#REF!</definedName>
    <definedName name="_JJ573" localSheetId="8">#REF!</definedName>
    <definedName name="_JJ573" localSheetId="4">#REF!</definedName>
    <definedName name="_JJ573" localSheetId="1">#REF!</definedName>
    <definedName name="_JJ573">#REF!</definedName>
    <definedName name="_JJ574" localSheetId="5">#REF!</definedName>
    <definedName name="_JJ574" localSheetId="3">#REF!</definedName>
    <definedName name="_JJ574" localSheetId="6">#REF!</definedName>
    <definedName name="_JJ574" localSheetId="7">#REF!</definedName>
    <definedName name="_JJ574" localSheetId="8">#REF!</definedName>
    <definedName name="_JJ574" localSheetId="4">#REF!</definedName>
    <definedName name="_JJ574" localSheetId="1">#REF!</definedName>
    <definedName name="_JJ574">#REF!</definedName>
    <definedName name="_JJ575" localSheetId="5">#REF!</definedName>
    <definedName name="_JJ575" localSheetId="3">#REF!</definedName>
    <definedName name="_JJ575" localSheetId="6">#REF!</definedName>
    <definedName name="_JJ575" localSheetId="7">#REF!</definedName>
    <definedName name="_JJ575" localSheetId="8">#REF!</definedName>
    <definedName name="_JJ575" localSheetId="4">#REF!</definedName>
    <definedName name="_JJ575" localSheetId="1">#REF!</definedName>
    <definedName name="_JJ575">#REF!</definedName>
    <definedName name="_JJ576" localSheetId="5">#REF!</definedName>
    <definedName name="_JJ576" localSheetId="3">#REF!</definedName>
    <definedName name="_JJ576" localSheetId="6">#REF!</definedName>
    <definedName name="_JJ576" localSheetId="7">#REF!</definedName>
    <definedName name="_JJ576" localSheetId="8">#REF!</definedName>
    <definedName name="_JJ576" localSheetId="4">#REF!</definedName>
    <definedName name="_JJ576" localSheetId="1">#REF!</definedName>
    <definedName name="_JJ576">#REF!</definedName>
    <definedName name="_JJ577" localSheetId="5">#REF!</definedName>
    <definedName name="_JJ577" localSheetId="3">#REF!</definedName>
    <definedName name="_JJ577" localSheetId="6">#REF!</definedName>
    <definedName name="_JJ577" localSheetId="7">#REF!</definedName>
    <definedName name="_JJ577" localSheetId="8">#REF!</definedName>
    <definedName name="_JJ577" localSheetId="4">#REF!</definedName>
    <definedName name="_JJ577" localSheetId="1">#REF!</definedName>
    <definedName name="_JJ577">#REF!</definedName>
    <definedName name="_JJ578" localSheetId="5">#REF!</definedName>
    <definedName name="_JJ578" localSheetId="3">#REF!</definedName>
    <definedName name="_JJ578" localSheetId="6">#REF!</definedName>
    <definedName name="_JJ578" localSheetId="7">#REF!</definedName>
    <definedName name="_JJ578" localSheetId="8">#REF!</definedName>
    <definedName name="_JJ578" localSheetId="4">#REF!</definedName>
    <definedName name="_JJ578" localSheetId="1">#REF!</definedName>
    <definedName name="_JJ578">#REF!</definedName>
    <definedName name="_JJ579" localSheetId="5">#REF!</definedName>
    <definedName name="_JJ579" localSheetId="3">#REF!</definedName>
    <definedName name="_JJ579" localSheetId="6">#REF!</definedName>
    <definedName name="_JJ579" localSheetId="7">#REF!</definedName>
    <definedName name="_JJ579" localSheetId="8">#REF!</definedName>
    <definedName name="_JJ579" localSheetId="4">#REF!</definedName>
    <definedName name="_JJ579" localSheetId="1">#REF!</definedName>
    <definedName name="_JJ579">#REF!</definedName>
    <definedName name="_JJ58" localSheetId="5">#REF!</definedName>
    <definedName name="_JJ58" localSheetId="3">#REF!</definedName>
    <definedName name="_JJ58" localSheetId="6">#REF!</definedName>
    <definedName name="_JJ58" localSheetId="7">#REF!</definedName>
    <definedName name="_JJ58" localSheetId="8">#REF!</definedName>
    <definedName name="_JJ58" localSheetId="4">#REF!</definedName>
    <definedName name="_JJ58" localSheetId="1">#REF!</definedName>
    <definedName name="_JJ58">#REF!</definedName>
    <definedName name="_JJ580" localSheetId="5">#REF!</definedName>
    <definedName name="_JJ580" localSheetId="3">#REF!</definedName>
    <definedName name="_JJ580" localSheetId="6">#REF!</definedName>
    <definedName name="_JJ580" localSheetId="7">#REF!</definedName>
    <definedName name="_JJ580" localSheetId="8">#REF!</definedName>
    <definedName name="_JJ580" localSheetId="4">#REF!</definedName>
    <definedName name="_JJ580" localSheetId="1">#REF!</definedName>
    <definedName name="_JJ580">#REF!</definedName>
    <definedName name="_JJ581" localSheetId="5">#REF!</definedName>
    <definedName name="_JJ581" localSheetId="3">#REF!</definedName>
    <definedName name="_JJ581" localSheetId="6">#REF!</definedName>
    <definedName name="_JJ581" localSheetId="7">#REF!</definedName>
    <definedName name="_JJ581" localSheetId="8">#REF!</definedName>
    <definedName name="_JJ581" localSheetId="4">#REF!</definedName>
    <definedName name="_JJ581" localSheetId="1">#REF!</definedName>
    <definedName name="_JJ581">#REF!</definedName>
    <definedName name="_JJ582" localSheetId="5">#REF!</definedName>
    <definedName name="_JJ582" localSheetId="3">#REF!</definedName>
    <definedName name="_JJ582" localSheetId="6">#REF!</definedName>
    <definedName name="_JJ582" localSheetId="7">#REF!</definedName>
    <definedName name="_JJ582" localSheetId="8">#REF!</definedName>
    <definedName name="_JJ582" localSheetId="4">#REF!</definedName>
    <definedName name="_JJ582" localSheetId="1">#REF!</definedName>
    <definedName name="_JJ582">#REF!</definedName>
    <definedName name="_JJ583" localSheetId="5">#REF!</definedName>
    <definedName name="_JJ583" localSheetId="3">#REF!</definedName>
    <definedName name="_JJ583" localSheetId="6">#REF!</definedName>
    <definedName name="_JJ583" localSheetId="7">#REF!</definedName>
    <definedName name="_JJ583" localSheetId="8">#REF!</definedName>
    <definedName name="_JJ583" localSheetId="4">#REF!</definedName>
    <definedName name="_JJ583" localSheetId="1">#REF!</definedName>
    <definedName name="_JJ583">#REF!</definedName>
    <definedName name="_JJ584" localSheetId="5">#REF!</definedName>
    <definedName name="_JJ584" localSheetId="3">#REF!</definedName>
    <definedName name="_JJ584" localSheetId="6">#REF!</definedName>
    <definedName name="_JJ584" localSheetId="7">#REF!</definedName>
    <definedName name="_JJ584" localSheetId="8">#REF!</definedName>
    <definedName name="_JJ584" localSheetId="4">#REF!</definedName>
    <definedName name="_JJ584" localSheetId="1">#REF!</definedName>
    <definedName name="_JJ584">#REF!</definedName>
    <definedName name="_JJ585" localSheetId="5">#REF!</definedName>
    <definedName name="_JJ585" localSheetId="3">#REF!</definedName>
    <definedName name="_JJ585" localSheetId="6">#REF!</definedName>
    <definedName name="_JJ585" localSheetId="7">#REF!</definedName>
    <definedName name="_JJ585" localSheetId="8">#REF!</definedName>
    <definedName name="_JJ585" localSheetId="4">#REF!</definedName>
    <definedName name="_JJ585" localSheetId="1">#REF!</definedName>
    <definedName name="_JJ585">#REF!</definedName>
    <definedName name="_JJ586" localSheetId="5">#REF!</definedName>
    <definedName name="_JJ586" localSheetId="3">#REF!</definedName>
    <definedName name="_JJ586" localSheetId="6">#REF!</definedName>
    <definedName name="_JJ586" localSheetId="7">#REF!</definedName>
    <definedName name="_JJ586" localSheetId="8">#REF!</definedName>
    <definedName name="_JJ586" localSheetId="4">#REF!</definedName>
    <definedName name="_JJ586" localSheetId="1">#REF!</definedName>
    <definedName name="_JJ586">#REF!</definedName>
    <definedName name="_JJ587" localSheetId="5">#REF!</definedName>
    <definedName name="_JJ587" localSheetId="3">#REF!</definedName>
    <definedName name="_JJ587" localSheetId="6">#REF!</definedName>
    <definedName name="_JJ587" localSheetId="7">#REF!</definedName>
    <definedName name="_JJ587" localSheetId="8">#REF!</definedName>
    <definedName name="_JJ587" localSheetId="4">#REF!</definedName>
    <definedName name="_JJ587" localSheetId="1">#REF!</definedName>
    <definedName name="_JJ587">#REF!</definedName>
    <definedName name="_JJ588" localSheetId="5">#REF!</definedName>
    <definedName name="_JJ588" localSheetId="3">#REF!</definedName>
    <definedName name="_JJ588" localSheetId="6">#REF!</definedName>
    <definedName name="_JJ588" localSheetId="7">#REF!</definedName>
    <definedName name="_JJ588" localSheetId="8">#REF!</definedName>
    <definedName name="_JJ588" localSheetId="4">#REF!</definedName>
    <definedName name="_JJ588" localSheetId="1">#REF!</definedName>
    <definedName name="_JJ588">#REF!</definedName>
    <definedName name="_JJ589" localSheetId="5">#REF!</definedName>
    <definedName name="_JJ589" localSheetId="3">#REF!</definedName>
    <definedName name="_JJ589" localSheetId="6">#REF!</definedName>
    <definedName name="_JJ589" localSheetId="7">#REF!</definedName>
    <definedName name="_JJ589" localSheetId="8">#REF!</definedName>
    <definedName name="_JJ589" localSheetId="4">#REF!</definedName>
    <definedName name="_JJ589" localSheetId="1">#REF!</definedName>
    <definedName name="_JJ589">#REF!</definedName>
    <definedName name="_JJ59" localSheetId="5">#REF!</definedName>
    <definedName name="_JJ59" localSheetId="3">#REF!</definedName>
    <definedName name="_JJ59" localSheetId="6">#REF!</definedName>
    <definedName name="_JJ59" localSheetId="7">#REF!</definedName>
    <definedName name="_JJ59" localSheetId="8">#REF!</definedName>
    <definedName name="_JJ59" localSheetId="4">#REF!</definedName>
    <definedName name="_JJ59" localSheetId="1">#REF!</definedName>
    <definedName name="_JJ59">#REF!</definedName>
    <definedName name="_JJ590" localSheetId="5">#REF!</definedName>
    <definedName name="_JJ590" localSheetId="3">#REF!</definedName>
    <definedName name="_JJ590" localSheetId="6">#REF!</definedName>
    <definedName name="_JJ590" localSheetId="7">#REF!</definedName>
    <definedName name="_JJ590" localSheetId="8">#REF!</definedName>
    <definedName name="_JJ590" localSheetId="4">#REF!</definedName>
    <definedName name="_JJ590" localSheetId="1">#REF!</definedName>
    <definedName name="_JJ590">#REF!</definedName>
    <definedName name="_JJ591" localSheetId="5">#REF!</definedName>
    <definedName name="_JJ591" localSheetId="3">#REF!</definedName>
    <definedName name="_JJ591" localSheetId="6">#REF!</definedName>
    <definedName name="_JJ591" localSheetId="7">#REF!</definedName>
    <definedName name="_JJ591" localSheetId="8">#REF!</definedName>
    <definedName name="_JJ591" localSheetId="4">#REF!</definedName>
    <definedName name="_JJ591" localSheetId="1">#REF!</definedName>
    <definedName name="_JJ591">#REF!</definedName>
    <definedName name="_JJ592" localSheetId="5">#REF!</definedName>
    <definedName name="_JJ592" localSheetId="3">#REF!</definedName>
    <definedName name="_JJ592" localSheetId="6">#REF!</definedName>
    <definedName name="_JJ592" localSheetId="7">#REF!</definedName>
    <definedName name="_JJ592" localSheetId="8">#REF!</definedName>
    <definedName name="_JJ592" localSheetId="4">#REF!</definedName>
    <definedName name="_JJ592" localSheetId="1">#REF!</definedName>
    <definedName name="_JJ592">#REF!</definedName>
    <definedName name="_JJ593" localSheetId="5">#REF!</definedName>
    <definedName name="_JJ593" localSheetId="3">#REF!</definedName>
    <definedName name="_JJ593" localSheetId="6">#REF!</definedName>
    <definedName name="_JJ593" localSheetId="7">#REF!</definedName>
    <definedName name="_JJ593" localSheetId="8">#REF!</definedName>
    <definedName name="_JJ593" localSheetId="4">#REF!</definedName>
    <definedName name="_JJ593" localSheetId="1">#REF!</definedName>
    <definedName name="_JJ593">#REF!</definedName>
    <definedName name="_JJ594" localSheetId="5">#REF!</definedName>
    <definedName name="_JJ594" localSheetId="3">#REF!</definedName>
    <definedName name="_JJ594" localSheetId="6">#REF!</definedName>
    <definedName name="_JJ594" localSheetId="7">#REF!</definedName>
    <definedName name="_JJ594" localSheetId="8">#REF!</definedName>
    <definedName name="_JJ594" localSheetId="4">#REF!</definedName>
    <definedName name="_JJ594" localSheetId="1">#REF!</definedName>
    <definedName name="_JJ594">#REF!</definedName>
    <definedName name="_JJ595" localSheetId="5">#REF!</definedName>
    <definedName name="_JJ595" localSheetId="3">#REF!</definedName>
    <definedName name="_JJ595" localSheetId="6">#REF!</definedName>
    <definedName name="_JJ595" localSheetId="7">#REF!</definedName>
    <definedName name="_JJ595" localSheetId="8">#REF!</definedName>
    <definedName name="_JJ595" localSheetId="4">#REF!</definedName>
    <definedName name="_JJ595" localSheetId="1">#REF!</definedName>
    <definedName name="_JJ595">#REF!</definedName>
    <definedName name="_JJ596" localSheetId="5">#REF!</definedName>
    <definedName name="_JJ596" localSheetId="3">#REF!</definedName>
    <definedName name="_JJ596" localSheetId="6">#REF!</definedName>
    <definedName name="_JJ596" localSheetId="7">#REF!</definedName>
    <definedName name="_JJ596" localSheetId="8">#REF!</definedName>
    <definedName name="_JJ596" localSheetId="4">#REF!</definedName>
    <definedName name="_JJ596" localSheetId="1">#REF!</definedName>
    <definedName name="_JJ596">#REF!</definedName>
    <definedName name="_JJ597" localSheetId="5">#REF!</definedName>
    <definedName name="_JJ597" localSheetId="3">#REF!</definedName>
    <definedName name="_JJ597" localSheetId="6">#REF!</definedName>
    <definedName name="_JJ597" localSheetId="7">#REF!</definedName>
    <definedName name="_JJ597" localSheetId="8">#REF!</definedName>
    <definedName name="_JJ597" localSheetId="4">#REF!</definedName>
    <definedName name="_JJ597" localSheetId="1">#REF!</definedName>
    <definedName name="_JJ597">#REF!</definedName>
    <definedName name="_JJ598" localSheetId="5">#REF!</definedName>
    <definedName name="_JJ598" localSheetId="3">#REF!</definedName>
    <definedName name="_JJ598" localSheetId="6">#REF!</definedName>
    <definedName name="_JJ598" localSheetId="7">#REF!</definedName>
    <definedName name="_JJ598" localSheetId="8">#REF!</definedName>
    <definedName name="_JJ598" localSheetId="4">#REF!</definedName>
    <definedName name="_JJ598" localSheetId="1">#REF!</definedName>
    <definedName name="_JJ598">#REF!</definedName>
    <definedName name="_JJ599" localSheetId="5">#REF!</definedName>
    <definedName name="_JJ599" localSheetId="3">#REF!</definedName>
    <definedName name="_JJ599" localSheetId="6">#REF!</definedName>
    <definedName name="_JJ599" localSheetId="7">#REF!</definedName>
    <definedName name="_JJ599" localSheetId="8">#REF!</definedName>
    <definedName name="_JJ599" localSheetId="4">#REF!</definedName>
    <definedName name="_JJ599" localSheetId="1">#REF!</definedName>
    <definedName name="_JJ599">#REF!</definedName>
    <definedName name="_JJ6" localSheetId="5">#REF!</definedName>
    <definedName name="_JJ6" localSheetId="3">#REF!</definedName>
    <definedName name="_JJ6" localSheetId="6">#REF!</definedName>
    <definedName name="_JJ6" localSheetId="7">#REF!</definedName>
    <definedName name="_JJ6" localSheetId="8">#REF!</definedName>
    <definedName name="_JJ6" localSheetId="4">#REF!</definedName>
    <definedName name="_JJ6" localSheetId="1">#REF!</definedName>
    <definedName name="_JJ6">#REF!</definedName>
    <definedName name="_JJ60" localSheetId="5">#REF!</definedName>
    <definedName name="_JJ60" localSheetId="3">#REF!</definedName>
    <definedName name="_JJ60" localSheetId="6">#REF!</definedName>
    <definedName name="_JJ60" localSheetId="7">#REF!</definedName>
    <definedName name="_JJ60" localSheetId="8">#REF!</definedName>
    <definedName name="_JJ60" localSheetId="4">#REF!</definedName>
    <definedName name="_JJ60" localSheetId="1">#REF!</definedName>
    <definedName name="_JJ60">#REF!</definedName>
    <definedName name="_JJ600" localSheetId="5">#REF!</definedName>
    <definedName name="_JJ600" localSheetId="3">#REF!</definedName>
    <definedName name="_JJ600" localSheetId="6">#REF!</definedName>
    <definedName name="_JJ600" localSheetId="7">#REF!</definedName>
    <definedName name="_JJ600" localSheetId="8">#REF!</definedName>
    <definedName name="_JJ600" localSheetId="4">#REF!</definedName>
    <definedName name="_JJ600" localSheetId="1">#REF!</definedName>
    <definedName name="_JJ600">#REF!</definedName>
    <definedName name="_JJ601" localSheetId="5">#REF!</definedName>
    <definedName name="_JJ601" localSheetId="3">#REF!</definedName>
    <definedName name="_JJ601" localSheetId="6">#REF!</definedName>
    <definedName name="_JJ601" localSheetId="7">#REF!</definedName>
    <definedName name="_JJ601" localSheetId="8">#REF!</definedName>
    <definedName name="_JJ601" localSheetId="4">#REF!</definedName>
    <definedName name="_JJ601" localSheetId="1">#REF!</definedName>
    <definedName name="_JJ601">#REF!</definedName>
    <definedName name="_JJ602" localSheetId="5">#REF!</definedName>
    <definedName name="_JJ602" localSheetId="3">#REF!</definedName>
    <definedName name="_JJ602" localSheetId="6">#REF!</definedName>
    <definedName name="_JJ602" localSheetId="7">#REF!</definedName>
    <definedName name="_JJ602" localSheetId="8">#REF!</definedName>
    <definedName name="_JJ602" localSheetId="4">#REF!</definedName>
    <definedName name="_JJ602" localSheetId="1">#REF!</definedName>
    <definedName name="_JJ602">#REF!</definedName>
    <definedName name="_JJ603" localSheetId="5">#REF!</definedName>
    <definedName name="_JJ603" localSheetId="3">#REF!</definedName>
    <definedName name="_JJ603" localSheetId="6">#REF!</definedName>
    <definedName name="_JJ603" localSheetId="7">#REF!</definedName>
    <definedName name="_JJ603" localSheetId="8">#REF!</definedName>
    <definedName name="_JJ603" localSheetId="4">#REF!</definedName>
    <definedName name="_JJ603" localSheetId="1">#REF!</definedName>
    <definedName name="_JJ603">#REF!</definedName>
    <definedName name="_JJ604" localSheetId="5">#REF!</definedName>
    <definedName name="_JJ604" localSheetId="3">#REF!</definedName>
    <definedName name="_JJ604" localSheetId="6">#REF!</definedName>
    <definedName name="_JJ604" localSheetId="7">#REF!</definedName>
    <definedName name="_JJ604" localSheetId="8">#REF!</definedName>
    <definedName name="_JJ604" localSheetId="4">#REF!</definedName>
    <definedName name="_JJ604" localSheetId="1">#REF!</definedName>
    <definedName name="_JJ604">#REF!</definedName>
    <definedName name="_JJ605" localSheetId="5">#REF!</definedName>
    <definedName name="_JJ605" localSheetId="3">#REF!</definedName>
    <definedName name="_JJ605" localSheetId="6">#REF!</definedName>
    <definedName name="_JJ605" localSheetId="7">#REF!</definedName>
    <definedName name="_JJ605" localSheetId="8">#REF!</definedName>
    <definedName name="_JJ605" localSheetId="4">#REF!</definedName>
    <definedName name="_JJ605" localSheetId="1">#REF!</definedName>
    <definedName name="_JJ605">#REF!</definedName>
    <definedName name="_JJ606" localSheetId="5">#REF!</definedName>
    <definedName name="_JJ606" localSheetId="3">#REF!</definedName>
    <definedName name="_JJ606" localSheetId="6">#REF!</definedName>
    <definedName name="_JJ606" localSheetId="7">#REF!</definedName>
    <definedName name="_JJ606" localSheetId="8">#REF!</definedName>
    <definedName name="_JJ606" localSheetId="4">#REF!</definedName>
    <definedName name="_JJ606" localSheetId="1">#REF!</definedName>
    <definedName name="_JJ606">#REF!</definedName>
    <definedName name="_JJ607" localSheetId="5">#REF!</definedName>
    <definedName name="_JJ607" localSheetId="3">#REF!</definedName>
    <definedName name="_JJ607" localSheetId="6">#REF!</definedName>
    <definedName name="_JJ607" localSheetId="7">#REF!</definedName>
    <definedName name="_JJ607" localSheetId="8">#REF!</definedName>
    <definedName name="_JJ607" localSheetId="4">#REF!</definedName>
    <definedName name="_JJ607" localSheetId="1">#REF!</definedName>
    <definedName name="_JJ607">#REF!</definedName>
    <definedName name="_JJ608" localSheetId="5">#REF!</definedName>
    <definedName name="_JJ608" localSheetId="3">#REF!</definedName>
    <definedName name="_JJ608" localSheetId="6">#REF!</definedName>
    <definedName name="_JJ608" localSheetId="7">#REF!</definedName>
    <definedName name="_JJ608" localSheetId="8">#REF!</definedName>
    <definedName name="_JJ608" localSheetId="4">#REF!</definedName>
    <definedName name="_JJ608" localSheetId="1">#REF!</definedName>
    <definedName name="_JJ608">#REF!</definedName>
    <definedName name="_JJ609" localSheetId="5">#REF!</definedName>
    <definedName name="_JJ609" localSheetId="3">#REF!</definedName>
    <definedName name="_JJ609" localSheetId="6">#REF!</definedName>
    <definedName name="_JJ609" localSheetId="7">#REF!</definedName>
    <definedName name="_JJ609" localSheetId="8">#REF!</definedName>
    <definedName name="_JJ609" localSheetId="4">#REF!</definedName>
    <definedName name="_JJ609" localSheetId="1">#REF!</definedName>
    <definedName name="_JJ609">#REF!</definedName>
    <definedName name="_JJ61" localSheetId="5">#REF!</definedName>
    <definedName name="_JJ61" localSheetId="3">#REF!</definedName>
    <definedName name="_JJ61" localSheetId="6">#REF!</definedName>
    <definedName name="_JJ61" localSheetId="7">#REF!</definedName>
    <definedName name="_JJ61" localSheetId="8">#REF!</definedName>
    <definedName name="_JJ61" localSheetId="4">#REF!</definedName>
    <definedName name="_JJ61" localSheetId="1">#REF!</definedName>
    <definedName name="_JJ61">#REF!</definedName>
    <definedName name="_JJ610" localSheetId="5">#REF!</definedName>
    <definedName name="_JJ610" localSheetId="3">#REF!</definedName>
    <definedName name="_JJ610" localSheetId="6">#REF!</definedName>
    <definedName name="_JJ610" localSheetId="7">#REF!</definedName>
    <definedName name="_JJ610" localSheetId="8">#REF!</definedName>
    <definedName name="_JJ610" localSheetId="4">#REF!</definedName>
    <definedName name="_JJ610" localSheetId="1">#REF!</definedName>
    <definedName name="_JJ610">#REF!</definedName>
    <definedName name="_JJ611" localSheetId="5">#REF!</definedName>
    <definedName name="_JJ611" localSheetId="3">#REF!</definedName>
    <definedName name="_JJ611" localSheetId="6">#REF!</definedName>
    <definedName name="_JJ611" localSheetId="7">#REF!</definedName>
    <definedName name="_JJ611" localSheetId="8">#REF!</definedName>
    <definedName name="_JJ611" localSheetId="4">#REF!</definedName>
    <definedName name="_JJ611" localSheetId="1">#REF!</definedName>
    <definedName name="_JJ611">#REF!</definedName>
    <definedName name="_JJ612" localSheetId="5">#REF!</definedName>
    <definedName name="_JJ612" localSheetId="3">#REF!</definedName>
    <definedName name="_JJ612" localSheetId="6">#REF!</definedName>
    <definedName name="_JJ612" localSheetId="7">#REF!</definedName>
    <definedName name="_JJ612" localSheetId="8">#REF!</definedName>
    <definedName name="_JJ612" localSheetId="4">#REF!</definedName>
    <definedName name="_JJ612" localSheetId="1">#REF!</definedName>
    <definedName name="_JJ612">#REF!</definedName>
    <definedName name="_JJ613" localSheetId="5">#REF!</definedName>
    <definedName name="_JJ613" localSheetId="3">#REF!</definedName>
    <definedName name="_JJ613" localSheetId="6">#REF!</definedName>
    <definedName name="_JJ613" localSheetId="7">#REF!</definedName>
    <definedName name="_JJ613" localSheetId="8">#REF!</definedName>
    <definedName name="_JJ613" localSheetId="4">#REF!</definedName>
    <definedName name="_JJ613" localSheetId="1">#REF!</definedName>
    <definedName name="_JJ613">#REF!</definedName>
    <definedName name="_JJ614" localSheetId="5">#REF!</definedName>
    <definedName name="_JJ614" localSheetId="3">#REF!</definedName>
    <definedName name="_JJ614" localSheetId="6">#REF!</definedName>
    <definedName name="_JJ614" localSheetId="7">#REF!</definedName>
    <definedName name="_JJ614" localSheetId="8">#REF!</definedName>
    <definedName name="_JJ614" localSheetId="4">#REF!</definedName>
    <definedName name="_JJ614" localSheetId="1">#REF!</definedName>
    <definedName name="_JJ614">#REF!</definedName>
    <definedName name="_JJ615" localSheetId="5">#REF!</definedName>
    <definedName name="_JJ615" localSheetId="3">#REF!</definedName>
    <definedName name="_JJ615" localSheetId="6">#REF!</definedName>
    <definedName name="_JJ615" localSheetId="7">#REF!</definedName>
    <definedName name="_JJ615" localSheetId="8">#REF!</definedName>
    <definedName name="_JJ615" localSheetId="4">#REF!</definedName>
    <definedName name="_JJ615" localSheetId="1">#REF!</definedName>
    <definedName name="_JJ615">#REF!</definedName>
    <definedName name="_JJ616" localSheetId="5">#REF!</definedName>
    <definedName name="_JJ616" localSheetId="3">#REF!</definedName>
    <definedName name="_JJ616" localSheetId="6">#REF!</definedName>
    <definedName name="_JJ616" localSheetId="7">#REF!</definedName>
    <definedName name="_JJ616" localSheetId="8">#REF!</definedName>
    <definedName name="_JJ616" localSheetId="4">#REF!</definedName>
    <definedName name="_JJ616" localSheetId="1">#REF!</definedName>
    <definedName name="_JJ616">#REF!</definedName>
    <definedName name="_JJ617" localSheetId="5">#REF!</definedName>
    <definedName name="_JJ617" localSheetId="3">#REF!</definedName>
    <definedName name="_JJ617" localSheetId="6">#REF!</definedName>
    <definedName name="_JJ617" localSheetId="7">#REF!</definedName>
    <definedName name="_JJ617" localSheetId="8">#REF!</definedName>
    <definedName name="_JJ617" localSheetId="4">#REF!</definedName>
    <definedName name="_JJ617" localSheetId="1">#REF!</definedName>
    <definedName name="_JJ617">#REF!</definedName>
    <definedName name="_JJ618" localSheetId="5">#REF!</definedName>
    <definedName name="_JJ618" localSheetId="3">#REF!</definedName>
    <definedName name="_JJ618" localSheetId="6">#REF!</definedName>
    <definedName name="_JJ618" localSheetId="7">#REF!</definedName>
    <definedName name="_JJ618" localSheetId="8">#REF!</definedName>
    <definedName name="_JJ618" localSheetId="4">#REF!</definedName>
    <definedName name="_JJ618" localSheetId="1">#REF!</definedName>
    <definedName name="_JJ618">#REF!</definedName>
    <definedName name="_JJ619" localSheetId="5">#REF!</definedName>
    <definedName name="_JJ619" localSheetId="3">#REF!</definedName>
    <definedName name="_JJ619" localSheetId="6">#REF!</definedName>
    <definedName name="_JJ619" localSheetId="7">#REF!</definedName>
    <definedName name="_JJ619" localSheetId="8">#REF!</definedName>
    <definedName name="_JJ619" localSheetId="4">#REF!</definedName>
    <definedName name="_JJ619" localSheetId="1">#REF!</definedName>
    <definedName name="_JJ619">#REF!</definedName>
    <definedName name="_JJ62" localSheetId="5">#REF!</definedName>
    <definedName name="_JJ62" localSheetId="3">#REF!</definedName>
    <definedName name="_JJ62" localSheetId="6">#REF!</definedName>
    <definedName name="_JJ62" localSheetId="7">#REF!</definedName>
    <definedName name="_JJ62" localSheetId="8">#REF!</definedName>
    <definedName name="_JJ62" localSheetId="4">#REF!</definedName>
    <definedName name="_JJ62" localSheetId="1">#REF!</definedName>
    <definedName name="_JJ62">#REF!</definedName>
    <definedName name="_JJ620" localSheetId="5">#REF!</definedName>
    <definedName name="_JJ620" localSheetId="3">#REF!</definedName>
    <definedName name="_JJ620" localSheetId="6">#REF!</definedName>
    <definedName name="_JJ620" localSheetId="7">#REF!</definedName>
    <definedName name="_JJ620" localSheetId="8">#REF!</definedName>
    <definedName name="_JJ620" localSheetId="4">#REF!</definedName>
    <definedName name="_JJ620" localSheetId="1">#REF!</definedName>
    <definedName name="_JJ620">#REF!</definedName>
    <definedName name="_JJ621" localSheetId="5">#REF!</definedName>
    <definedName name="_JJ621" localSheetId="3">#REF!</definedName>
    <definedName name="_JJ621" localSheetId="6">#REF!</definedName>
    <definedName name="_JJ621" localSheetId="7">#REF!</definedName>
    <definedName name="_JJ621" localSheetId="8">#REF!</definedName>
    <definedName name="_JJ621" localSheetId="4">#REF!</definedName>
    <definedName name="_JJ621" localSheetId="1">#REF!</definedName>
    <definedName name="_JJ621">#REF!</definedName>
    <definedName name="_JJ622" localSheetId="5">#REF!</definedName>
    <definedName name="_JJ622" localSheetId="3">#REF!</definedName>
    <definedName name="_JJ622" localSheetId="6">#REF!</definedName>
    <definedName name="_JJ622" localSheetId="7">#REF!</definedName>
    <definedName name="_JJ622" localSheetId="8">#REF!</definedName>
    <definedName name="_JJ622" localSheetId="4">#REF!</definedName>
    <definedName name="_JJ622" localSheetId="1">#REF!</definedName>
    <definedName name="_JJ622">#REF!</definedName>
    <definedName name="_JJ623" localSheetId="5">#REF!</definedName>
    <definedName name="_JJ623" localSheetId="3">#REF!</definedName>
    <definedName name="_JJ623" localSheetId="6">#REF!</definedName>
    <definedName name="_JJ623" localSheetId="7">#REF!</definedName>
    <definedName name="_JJ623" localSheetId="8">#REF!</definedName>
    <definedName name="_JJ623" localSheetId="4">#REF!</definedName>
    <definedName name="_JJ623" localSheetId="1">#REF!</definedName>
    <definedName name="_JJ623">#REF!</definedName>
    <definedName name="_JJ624" localSheetId="5">#REF!</definedName>
    <definedName name="_JJ624" localSheetId="3">#REF!</definedName>
    <definedName name="_JJ624" localSheetId="6">#REF!</definedName>
    <definedName name="_JJ624" localSheetId="7">#REF!</definedName>
    <definedName name="_JJ624" localSheetId="8">#REF!</definedName>
    <definedName name="_JJ624" localSheetId="4">#REF!</definedName>
    <definedName name="_JJ624" localSheetId="1">#REF!</definedName>
    <definedName name="_JJ624">#REF!</definedName>
    <definedName name="_JJ625" localSheetId="5">#REF!</definedName>
    <definedName name="_JJ625" localSheetId="3">#REF!</definedName>
    <definedName name="_JJ625" localSheetId="6">#REF!</definedName>
    <definedName name="_JJ625" localSheetId="7">#REF!</definedName>
    <definedName name="_JJ625" localSheetId="8">#REF!</definedName>
    <definedName name="_JJ625" localSheetId="4">#REF!</definedName>
    <definedName name="_JJ625" localSheetId="1">#REF!</definedName>
    <definedName name="_JJ625">#REF!</definedName>
    <definedName name="_JJ626" localSheetId="5">#REF!</definedName>
    <definedName name="_JJ626" localSheetId="3">#REF!</definedName>
    <definedName name="_JJ626" localSheetId="6">#REF!</definedName>
    <definedName name="_JJ626" localSheetId="7">#REF!</definedName>
    <definedName name="_JJ626" localSheetId="8">#REF!</definedName>
    <definedName name="_JJ626" localSheetId="4">#REF!</definedName>
    <definedName name="_JJ626" localSheetId="1">#REF!</definedName>
    <definedName name="_JJ626">#REF!</definedName>
    <definedName name="_JJ627" localSheetId="5">#REF!</definedName>
    <definedName name="_JJ627" localSheetId="3">#REF!</definedName>
    <definedName name="_JJ627" localSheetId="6">#REF!</definedName>
    <definedName name="_JJ627" localSheetId="7">#REF!</definedName>
    <definedName name="_JJ627" localSheetId="8">#REF!</definedName>
    <definedName name="_JJ627" localSheetId="4">#REF!</definedName>
    <definedName name="_JJ627" localSheetId="1">#REF!</definedName>
    <definedName name="_JJ627">#REF!</definedName>
    <definedName name="_JJ628" localSheetId="5">#REF!</definedName>
    <definedName name="_JJ628" localSheetId="3">#REF!</definedName>
    <definedName name="_JJ628" localSheetId="6">#REF!</definedName>
    <definedName name="_JJ628" localSheetId="7">#REF!</definedName>
    <definedName name="_JJ628" localSheetId="8">#REF!</definedName>
    <definedName name="_JJ628" localSheetId="4">#REF!</definedName>
    <definedName name="_JJ628" localSheetId="1">#REF!</definedName>
    <definedName name="_JJ628">#REF!</definedName>
    <definedName name="_JJ629" localSheetId="5">#REF!</definedName>
    <definedName name="_JJ629" localSheetId="3">#REF!</definedName>
    <definedName name="_JJ629" localSheetId="6">#REF!</definedName>
    <definedName name="_JJ629" localSheetId="7">#REF!</definedName>
    <definedName name="_JJ629" localSheetId="8">#REF!</definedName>
    <definedName name="_JJ629" localSheetId="4">#REF!</definedName>
    <definedName name="_JJ629" localSheetId="1">#REF!</definedName>
    <definedName name="_JJ629">#REF!</definedName>
    <definedName name="_JJ63" localSheetId="5">#REF!</definedName>
    <definedName name="_JJ63" localSheetId="3">#REF!</definedName>
    <definedName name="_JJ63" localSheetId="6">#REF!</definedName>
    <definedName name="_JJ63" localSheetId="7">#REF!</definedName>
    <definedName name="_JJ63" localSheetId="8">#REF!</definedName>
    <definedName name="_JJ63" localSheetId="4">#REF!</definedName>
    <definedName name="_JJ63" localSheetId="1">#REF!</definedName>
    <definedName name="_JJ63">#REF!</definedName>
    <definedName name="_JJ630" localSheetId="5">#REF!</definedName>
    <definedName name="_JJ630" localSheetId="3">#REF!</definedName>
    <definedName name="_JJ630" localSheetId="6">#REF!</definedName>
    <definedName name="_JJ630" localSheetId="7">#REF!</definedName>
    <definedName name="_JJ630" localSheetId="8">#REF!</definedName>
    <definedName name="_JJ630" localSheetId="4">#REF!</definedName>
    <definedName name="_JJ630" localSheetId="1">#REF!</definedName>
    <definedName name="_JJ630">#REF!</definedName>
    <definedName name="_JJ631" localSheetId="5">#REF!</definedName>
    <definedName name="_JJ631" localSheetId="3">#REF!</definedName>
    <definedName name="_JJ631" localSheetId="6">#REF!</definedName>
    <definedName name="_JJ631" localSheetId="7">#REF!</definedName>
    <definedName name="_JJ631" localSheetId="8">#REF!</definedName>
    <definedName name="_JJ631" localSheetId="4">#REF!</definedName>
    <definedName name="_JJ631" localSheetId="1">#REF!</definedName>
    <definedName name="_JJ631">#REF!</definedName>
    <definedName name="_JJ632" localSheetId="5">#REF!</definedName>
    <definedName name="_JJ632" localSheetId="3">#REF!</definedName>
    <definedName name="_JJ632" localSheetId="6">#REF!</definedName>
    <definedName name="_JJ632" localSheetId="7">#REF!</definedName>
    <definedName name="_JJ632" localSheetId="8">#REF!</definedName>
    <definedName name="_JJ632" localSheetId="4">#REF!</definedName>
    <definedName name="_JJ632" localSheetId="1">#REF!</definedName>
    <definedName name="_JJ632">#REF!</definedName>
    <definedName name="_JJ633" localSheetId="5">#REF!</definedName>
    <definedName name="_JJ633" localSheetId="3">#REF!</definedName>
    <definedName name="_JJ633" localSheetId="6">#REF!</definedName>
    <definedName name="_JJ633" localSheetId="7">#REF!</definedName>
    <definedName name="_JJ633" localSheetId="8">#REF!</definedName>
    <definedName name="_JJ633" localSheetId="4">#REF!</definedName>
    <definedName name="_JJ633" localSheetId="1">#REF!</definedName>
    <definedName name="_JJ633">#REF!</definedName>
    <definedName name="_JJ634" localSheetId="5">#REF!</definedName>
    <definedName name="_JJ634" localSheetId="3">#REF!</definedName>
    <definedName name="_JJ634" localSheetId="6">#REF!</definedName>
    <definedName name="_JJ634" localSheetId="7">#REF!</definedName>
    <definedName name="_JJ634" localSheetId="8">#REF!</definedName>
    <definedName name="_JJ634" localSheetId="4">#REF!</definedName>
    <definedName name="_JJ634" localSheetId="1">#REF!</definedName>
    <definedName name="_JJ634">#REF!</definedName>
    <definedName name="_JJ635" localSheetId="5">#REF!</definedName>
    <definedName name="_JJ635" localSheetId="3">#REF!</definedName>
    <definedName name="_JJ635" localSheetId="6">#REF!</definedName>
    <definedName name="_JJ635" localSheetId="7">#REF!</definedName>
    <definedName name="_JJ635" localSheetId="8">#REF!</definedName>
    <definedName name="_JJ635" localSheetId="4">#REF!</definedName>
    <definedName name="_JJ635" localSheetId="1">#REF!</definedName>
    <definedName name="_JJ635">#REF!</definedName>
    <definedName name="_JJ636" localSheetId="5">#REF!</definedName>
    <definedName name="_JJ636" localSheetId="3">#REF!</definedName>
    <definedName name="_JJ636" localSheetId="6">#REF!</definedName>
    <definedName name="_JJ636" localSheetId="7">#REF!</definedName>
    <definedName name="_JJ636" localSheetId="8">#REF!</definedName>
    <definedName name="_JJ636" localSheetId="4">#REF!</definedName>
    <definedName name="_JJ636" localSheetId="1">#REF!</definedName>
    <definedName name="_JJ636">#REF!</definedName>
    <definedName name="_JJ637" localSheetId="5">#REF!</definedName>
    <definedName name="_JJ637" localSheetId="3">#REF!</definedName>
    <definedName name="_JJ637" localSheetId="6">#REF!</definedName>
    <definedName name="_JJ637" localSheetId="7">#REF!</definedName>
    <definedName name="_JJ637" localSheetId="8">#REF!</definedName>
    <definedName name="_JJ637" localSheetId="4">#REF!</definedName>
    <definedName name="_JJ637" localSheetId="1">#REF!</definedName>
    <definedName name="_JJ637">#REF!</definedName>
    <definedName name="_JJ638" localSheetId="5">#REF!</definedName>
    <definedName name="_JJ638" localSheetId="3">#REF!</definedName>
    <definedName name="_JJ638" localSheetId="6">#REF!</definedName>
    <definedName name="_JJ638" localSheetId="7">#REF!</definedName>
    <definedName name="_JJ638" localSheetId="8">#REF!</definedName>
    <definedName name="_JJ638" localSheetId="4">#REF!</definedName>
    <definedName name="_JJ638" localSheetId="1">#REF!</definedName>
    <definedName name="_JJ638">#REF!</definedName>
    <definedName name="_JJ639" localSheetId="5">#REF!</definedName>
    <definedName name="_JJ639" localSheetId="3">#REF!</definedName>
    <definedName name="_JJ639" localSheetId="6">#REF!</definedName>
    <definedName name="_JJ639" localSheetId="7">#REF!</definedName>
    <definedName name="_JJ639" localSheetId="8">#REF!</definedName>
    <definedName name="_JJ639" localSheetId="4">#REF!</definedName>
    <definedName name="_JJ639" localSheetId="1">#REF!</definedName>
    <definedName name="_JJ639">#REF!</definedName>
    <definedName name="_JJ64" localSheetId="5">#REF!</definedName>
    <definedName name="_JJ64" localSheetId="3">#REF!</definedName>
    <definedName name="_JJ64" localSheetId="6">#REF!</definedName>
    <definedName name="_JJ64" localSheetId="7">#REF!</definedName>
    <definedName name="_JJ64" localSheetId="8">#REF!</definedName>
    <definedName name="_JJ64" localSheetId="4">#REF!</definedName>
    <definedName name="_JJ64" localSheetId="1">#REF!</definedName>
    <definedName name="_JJ64">#REF!</definedName>
    <definedName name="_JJ640" localSheetId="5">#REF!</definedName>
    <definedName name="_JJ640" localSheetId="3">#REF!</definedName>
    <definedName name="_JJ640" localSheetId="6">#REF!</definedName>
    <definedName name="_JJ640" localSheetId="7">#REF!</definedName>
    <definedName name="_JJ640" localSheetId="8">#REF!</definedName>
    <definedName name="_JJ640" localSheetId="4">#REF!</definedName>
    <definedName name="_JJ640" localSheetId="1">#REF!</definedName>
    <definedName name="_JJ640">#REF!</definedName>
    <definedName name="_JJ641" localSheetId="5">#REF!</definedName>
    <definedName name="_JJ641" localSheetId="3">#REF!</definedName>
    <definedName name="_JJ641" localSheetId="6">#REF!</definedName>
    <definedName name="_JJ641" localSheetId="7">#REF!</definedName>
    <definedName name="_JJ641" localSheetId="8">#REF!</definedName>
    <definedName name="_JJ641" localSheetId="4">#REF!</definedName>
    <definedName name="_JJ641" localSheetId="1">#REF!</definedName>
    <definedName name="_JJ641">#REF!</definedName>
    <definedName name="_JJ642" localSheetId="5">#REF!</definedName>
    <definedName name="_JJ642" localSheetId="3">#REF!</definedName>
    <definedName name="_JJ642" localSheetId="6">#REF!</definedName>
    <definedName name="_JJ642" localSheetId="7">#REF!</definedName>
    <definedName name="_JJ642" localSheetId="8">#REF!</definedName>
    <definedName name="_JJ642" localSheetId="4">#REF!</definedName>
    <definedName name="_JJ642" localSheetId="1">#REF!</definedName>
    <definedName name="_JJ642">#REF!</definedName>
    <definedName name="_JJ643" localSheetId="5">#REF!</definedName>
    <definedName name="_JJ643" localSheetId="3">#REF!</definedName>
    <definedName name="_JJ643" localSheetId="6">#REF!</definedName>
    <definedName name="_JJ643" localSheetId="7">#REF!</definedName>
    <definedName name="_JJ643" localSheetId="8">#REF!</definedName>
    <definedName name="_JJ643" localSheetId="4">#REF!</definedName>
    <definedName name="_JJ643" localSheetId="1">#REF!</definedName>
    <definedName name="_JJ643">#REF!</definedName>
    <definedName name="_JJ644" localSheetId="5">#REF!</definedName>
    <definedName name="_JJ644" localSheetId="3">#REF!</definedName>
    <definedName name="_JJ644" localSheetId="6">#REF!</definedName>
    <definedName name="_JJ644" localSheetId="7">#REF!</definedName>
    <definedName name="_JJ644" localSheetId="8">#REF!</definedName>
    <definedName name="_JJ644" localSheetId="4">#REF!</definedName>
    <definedName name="_JJ644" localSheetId="1">#REF!</definedName>
    <definedName name="_JJ644">#REF!</definedName>
    <definedName name="_JJ645" localSheetId="5">#REF!</definedName>
    <definedName name="_JJ645" localSheetId="3">#REF!</definedName>
    <definedName name="_JJ645" localSheetId="6">#REF!</definedName>
    <definedName name="_JJ645" localSheetId="7">#REF!</definedName>
    <definedName name="_JJ645" localSheetId="8">#REF!</definedName>
    <definedName name="_JJ645" localSheetId="4">#REF!</definedName>
    <definedName name="_JJ645" localSheetId="1">#REF!</definedName>
    <definedName name="_JJ645">#REF!</definedName>
    <definedName name="_JJ646" localSheetId="5">#REF!</definedName>
    <definedName name="_JJ646" localSheetId="3">#REF!</definedName>
    <definedName name="_JJ646" localSheetId="6">#REF!</definedName>
    <definedName name="_JJ646" localSheetId="7">#REF!</definedName>
    <definedName name="_JJ646" localSheetId="8">#REF!</definedName>
    <definedName name="_JJ646" localSheetId="4">#REF!</definedName>
    <definedName name="_JJ646" localSheetId="1">#REF!</definedName>
    <definedName name="_JJ646">#REF!</definedName>
    <definedName name="_JJ647" localSheetId="5">#REF!</definedName>
    <definedName name="_JJ647" localSheetId="3">#REF!</definedName>
    <definedName name="_JJ647" localSheetId="6">#REF!</definedName>
    <definedName name="_JJ647" localSheetId="7">#REF!</definedName>
    <definedName name="_JJ647" localSheetId="8">#REF!</definedName>
    <definedName name="_JJ647" localSheetId="4">#REF!</definedName>
    <definedName name="_JJ647" localSheetId="1">#REF!</definedName>
    <definedName name="_JJ647">#REF!</definedName>
    <definedName name="_JJ648" localSheetId="5">#REF!</definedName>
    <definedName name="_JJ648" localSheetId="3">#REF!</definedName>
    <definedName name="_JJ648" localSheetId="6">#REF!</definedName>
    <definedName name="_JJ648" localSheetId="7">#REF!</definedName>
    <definedName name="_JJ648" localSheetId="8">#REF!</definedName>
    <definedName name="_JJ648" localSheetId="4">#REF!</definedName>
    <definedName name="_JJ648" localSheetId="1">#REF!</definedName>
    <definedName name="_JJ648">#REF!</definedName>
    <definedName name="_JJ649" localSheetId="5">#REF!</definedName>
    <definedName name="_JJ649" localSheetId="3">#REF!</definedName>
    <definedName name="_JJ649" localSheetId="6">#REF!</definedName>
    <definedName name="_JJ649" localSheetId="7">#REF!</definedName>
    <definedName name="_JJ649" localSheetId="8">#REF!</definedName>
    <definedName name="_JJ649" localSheetId="4">#REF!</definedName>
    <definedName name="_JJ649" localSheetId="1">#REF!</definedName>
    <definedName name="_JJ649">#REF!</definedName>
    <definedName name="_JJ65" localSheetId="5">#REF!</definedName>
    <definedName name="_JJ65" localSheetId="3">#REF!</definedName>
    <definedName name="_JJ65" localSheetId="6">#REF!</definedName>
    <definedName name="_JJ65" localSheetId="7">#REF!</definedName>
    <definedName name="_JJ65" localSheetId="8">#REF!</definedName>
    <definedName name="_JJ65" localSheetId="4">#REF!</definedName>
    <definedName name="_JJ65" localSheetId="1">#REF!</definedName>
    <definedName name="_JJ65">#REF!</definedName>
    <definedName name="_JJ650" localSheetId="5">#REF!</definedName>
    <definedName name="_JJ650" localSheetId="3">#REF!</definedName>
    <definedName name="_JJ650" localSheetId="6">#REF!</definedName>
    <definedName name="_JJ650" localSheetId="7">#REF!</definedName>
    <definedName name="_JJ650" localSheetId="8">#REF!</definedName>
    <definedName name="_JJ650" localSheetId="4">#REF!</definedName>
    <definedName name="_JJ650" localSheetId="1">#REF!</definedName>
    <definedName name="_JJ650">#REF!</definedName>
    <definedName name="_JJ651" localSheetId="5">#REF!</definedName>
    <definedName name="_JJ651" localSheetId="3">#REF!</definedName>
    <definedName name="_JJ651" localSheetId="6">#REF!</definedName>
    <definedName name="_JJ651" localSheetId="7">#REF!</definedName>
    <definedName name="_JJ651" localSheetId="8">#REF!</definedName>
    <definedName name="_JJ651" localSheetId="4">#REF!</definedName>
    <definedName name="_JJ651" localSheetId="1">#REF!</definedName>
    <definedName name="_JJ651">#REF!</definedName>
    <definedName name="_JJ652" localSheetId="5">#REF!</definedName>
    <definedName name="_JJ652" localSheetId="3">#REF!</definedName>
    <definedName name="_JJ652" localSheetId="6">#REF!</definedName>
    <definedName name="_JJ652" localSheetId="7">#REF!</definedName>
    <definedName name="_JJ652" localSheetId="8">#REF!</definedName>
    <definedName name="_JJ652" localSheetId="4">#REF!</definedName>
    <definedName name="_JJ652" localSheetId="1">#REF!</definedName>
    <definedName name="_JJ652">#REF!</definedName>
    <definedName name="_JJ653" localSheetId="5">#REF!</definedName>
    <definedName name="_JJ653" localSheetId="3">#REF!</definedName>
    <definedName name="_JJ653" localSheetId="6">#REF!</definedName>
    <definedName name="_JJ653" localSheetId="7">#REF!</definedName>
    <definedName name="_JJ653" localSheetId="8">#REF!</definedName>
    <definedName name="_JJ653" localSheetId="4">#REF!</definedName>
    <definedName name="_JJ653" localSheetId="1">#REF!</definedName>
    <definedName name="_JJ653">#REF!</definedName>
    <definedName name="_JJ654" localSheetId="5">#REF!</definedName>
    <definedName name="_JJ654" localSheetId="3">#REF!</definedName>
    <definedName name="_JJ654" localSheetId="6">#REF!</definedName>
    <definedName name="_JJ654" localSheetId="7">#REF!</definedName>
    <definedName name="_JJ654" localSheetId="8">#REF!</definedName>
    <definedName name="_JJ654" localSheetId="4">#REF!</definedName>
    <definedName name="_JJ654" localSheetId="1">#REF!</definedName>
    <definedName name="_JJ654">#REF!</definedName>
    <definedName name="_JJ655" localSheetId="5">#REF!</definedName>
    <definedName name="_JJ655" localSheetId="3">#REF!</definedName>
    <definedName name="_JJ655" localSheetId="6">#REF!</definedName>
    <definedName name="_JJ655" localSheetId="7">#REF!</definedName>
    <definedName name="_JJ655" localSheetId="8">#REF!</definedName>
    <definedName name="_JJ655" localSheetId="4">#REF!</definedName>
    <definedName name="_JJ655" localSheetId="1">#REF!</definedName>
    <definedName name="_JJ655">#REF!</definedName>
    <definedName name="_JJ656" localSheetId="5">#REF!</definedName>
    <definedName name="_JJ656" localSheetId="3">#REF!</definedName>
    <definedName name="_JJ656" localSheetId="6">#REF!</definedName>
    <definedName name="_JJ656" localSheetId="7">#REF!</definedName>
    <definedName name="_JJ656" localSheetId="8">#REF!</definedName>
    <definedName name="_JJ656" localSheetId="4">#REF!</definedName>
    <definedName name="_JJ656" localSheetId="1">#REF!</definedName>
    <definedName name="_JJ656">#REF!</definedName>
    <definedName name="_JJ657" localSheetId="5">#REF!</definedName>
    <definedName name="_JJ657" localSheetId="3">#REF!</definedName>
    <definedName name="_JJ657" localSheetId="6">#REF!</definedName>
    <definedName name="_JJ657" localSheetId="7">#REF!</definedName>
    <definedName name="_JJ657" localSheetId="8">#REF!</definedName>
    <definedName name="_JJ657" localSheetId="4">#REF!</definedName>
    <definedName name="_JJ657" localSheetId="1">#REF!</definedName>
    <definedName name="_JJ657">#REF!</definedName>
    <definedName name="_JJ658" localSheetId="5">#REF!</definedName>
    <definedName name="_JJ658" localSheetId="3">#REF!</definedName>
    <definedName name="_JJ658" localSheetId="6">#REF!</definedName>
    <definedName name="_JJ658" localSheetId="7">#REF!</definedName>
    <definedName name="_JJ658" localSheetId="8">#REF!</definedName>
    <definedName name="_JJ658" localSheetId="4">#REF!</definedName>
    <definedName name="_JJ658" localSheetId="1">#REF!</definedName>
    <definedName name="_JJ658">#REF!</definedName>
    <definedName name="_JJ659" localSheetId="5">#REF!</definedName>
    <definedName name="_JJ659" localSheetId="3">#REF!</definedName>
    <definedName name="_JJ659" localSheetId="6">#REF!</definedName>
    <definedName name="_JJ659" localSheetId="7">#REF!</definedName>
    <definedName name="_JJ659" localSheetId="8">#REF!</definedName>
    <definedName name="_JJ659" localSheetId="4">#REF!</definedName>
    <definedName name="_JJ659" localSheetId="1">#REF!</definedName>
    <definedName name="_JJ659">#REF!</definedName>
    <definedName name="_JJ66" localSheetId="5">#REF!</definedName>
    <definedName name="_JJ66" localSheetId="3">#REF!</definedName>
    <definedName name="_JJ66" localSheetId="6">#REF!</definedName>
    <definedName name="_JJ66" localSheetId="7">#REF!</definedName>
    <definedName name="_JJ66" localSheetId="8">#REF!</definedName>
    <definedName name="_JJ66" localSheetId="4">#REF!</definedName>
    <definedName name="_JJ66" localSheetId="1">#REF!</definedName>
    <definedName name="_JJ66">#REF!</definedName>
    <definedName name="_JJ660" localSheetId="5">#REF!</definedName>
    <definedName name="_JJ660" localSheetId="3">#REF!</definedName>
    <definedName name="_JJ660" localSheetId="6">#REF!</definedName>
    <definedName name="_JJ660" localSheetId="7">#REF!</definedName>
    <definedName name="_JJ660" localSheetId="8">#REF!</definedName>
    <definedName name="_JJ660" localSheetId="4">#REF!</definedName>
    <definedName name="_JJ660" localSheetId="1">#REF!</definedName>
    <definedName name="_JJ660">#REF!</definedName>
    <definedName name="_JJ661" localSheetId="5">#REF!</definedName>
    <definedName name="_JJ661" localSheetId="3">#REF!</definedName>
    <definedName name="_JJ661" localSheetId="6">#REF!</definedName>
    <definedName name="_JJ661" localSheetId="7">#REF!</definedName>
    <definedName name="_JJ661" localSheetId="8">#REF!</definedName>
    <definedName name="_JJ661" localSheetId="4">#REF!</definedName>
    <definedName name="_JJ661" localSheetId="1">#REF!</definedName>
    <definedName name="_JJ661">#REF!</definedName>
    <definedName name="_JJ662" localSheetId="5">#REF!</definedName>
    <definedName name="_JJ662" localSheetId="3">#REF!</definedName>
    <definedName name="_JJ662" localSheetId="6">#REF!</definedName>
    <definedName name="_JJ662" localSheetId="7">#REF!</definedName>
    <definedName name="_JJ662" localSheetId="8">#REF!</definedName>
    <definedName name="_JJ662" localSheetId="4">#REF!</definedName>
    <definedName name="_JJ662" localSheetId="1">#REF!</definedName>
    <definedName name="_JJ662">#REF!</definedName>
    <definedName name="_JJ663" localSheetId="5">#REF!</definedName>
    <definedName name="_JJ663" localSheetId="3">#REF!</definedName>
    <definedName name="_JJ663" localSheetId="6">#REF!</definedName>
    <definedName name="_JJ663" localSheetId="7">#REF!</definedName>
    <definedName name="_JJ663" localSheetId="8">#REF!</definedName>
    <definedName name="_JJ663" localSheetId="4">#REF!</definedName>
    <definedName name="_JJ663" localSheetId="1">#REF!</definedName>
    <definedName name="_JJ663">#REF!</definedName>
    <definedName name="_JJ664" localSheetId="5">#REF!</definedName>
    <definedName name="_JJ664" localSheetId="3">#REF!</definedName>
    <definedName name="_JJ664" localSheetId="6">#REF!</definedName>
    <definedName name="_JJ664" localSheetId="7">#REF!</definedName>
    <definedName name="_JJ664" localSheetId="8">#REF!</definedName>
    <definedName name="_JJ664" localSheetId="4">#REF!</definedName>
    <definedName name="_JJ664" localSheetId="1">#REF!</definedName>
    <definedName name="_JJ664">#REF!</definedName>
    <definedName name="_JJ665" localSheetId="5">#REF!</definedName>
    <definedName name="_JJ665" localSheetId="3">#REF!</definedName>
    <definedName name="_JJ665" localSheetId="6">#REF!</definedName>
    <definedName name="_JJ665" localSheetId="7">#REF!</definedName>
    <definedName name="_JJ665" localSheetId="8">#REF!</definedName>
    <definedName name="_JJ665" localSheetId="4">#REF!</definedName>
    <definedName name="_JJ665" localSheetId="1">#REF!</definedName>
    <definedName name="_JJ665">#REF!</definedName>
    <definedName name="_JJ666" localSheetId="5">#REF!</definedName>
    <definedName name="_JJ666" localSheetId="3">#REF!</definedName>
    <definedName name="_JJ666" localSheetId="6">#REF!</definedName>
    <definedName name="_JJ666" localSheetId="7">#REF!</definedName>
    <definedName name="_JJ666" localSheetId="8">#REF!</definedName>
    <definedName name="_JJ666" localSheetId="4">#REF!</definedName>
    <definedName name="_JJ666" localSheetId="1">#REF!</definedName>
    <definedName name="_JJ666">#REF!</definedName>
    <definedName name="_JJ667" localSheetId="5">#REF!</definedName>
    <definedName name="_JJ667" localSheetId="3">#REF!</definedName>
    <definedName name="_JJ667" localSheetId="6">#REF!</definedName>
    <definedName name="_JJ667" localSheetId="7">#REF!</definedName>
    <definedName name="_JJ667" localSheetId="8">#REF!</definedName>
    <definedName name="_JJ667" localSheetId="4">#REF!</definedName>
    <definedName name="_JJ667" localSheetId="1">#REF!</definedName>
    <definedName name="_JJ667">#REF!</definedName>
    <definedName name="_JJ668" localSheetId="5">#REF!</definedName>
    <definedName name="_JJ668" localSheetId="3">#REF!</definedName>
    <definedName name="_JJ668" localSheetId="6">#REF!</definedName>
    <definedName name="_JJ668" localSheetId="7">#REF!</definedName>
    <definedName name="_JJ668" localSheetId="8">#REF!</definedName>
    <definedName name="_JJ668" localSheetId="4">#REF!</definedName>
    <definedName name="_JJ668" localSheetId="1">#REF!</definedName>
    <definedName name="_JJ668">#REF!</definedName>
    <definedName name="_JJ669" localSheetId="5">#REF!</definedName>
    <definedName name="_JJ669" localSheetId="3">#REF!</definedName>
    <definedName name="_JJ669" localSheetId="6">#REF!</definedName>
    <definedName name="_JJ669" localSheetId="7">#REF!</definedName>
    <definedName name="_JJ669" localSheetId="8">#REF!</definedName>
    <definedName name="_JJ669" localSheetId="4">#REF!</definedName>
    <definedName name="_JJ669" localSheetId="1">#REF!</definedName>
    <definedName name="_JJ669">#REF!</definedName>
    <definedName name="_JJ67" localSheetId="5">#REF!</definedName>
    <definedName name="_JJ67" localSheetId="3">#REF!</definedName>
    <definedName name="_JJ67" localSheetId="6">#REF!</definedName>
    <definedName name="_JJ67" localSheetId="7">#REF!</definedName>
    <definedName name="_JJ67" localSheetId="8">#REF!</definedName>
    <definedName name="_JJ67" localSheetId="4">#REF!</definedName>
    <definedName name="_JJ67" localSheetId="1">#REF!</definedName>
    <definedName name="_JJ67">#REF!</definedName>
    <definedName name="_JJ670" localSheetId="5">#REF!</definedName>
    <definedName name="_JJ670" localSheetId="3">#REF!</definedName>
    <definedName name="_JJ670" localSheetId="6">#REF!</definedName>
    <definedName name="_JJ670" localSheetId="7">#REF!</definedName>
    <definedName name="_JJ670" localSheetId="8">#REF!</definedName>
    <definedName name="_JJ670" localSheetId="4">#REF!</definedName>
    <definedName name="_JJ670" localSheetId="1">#REF!</definedName>
    <definedName name="_JJ670">#REF!</definedName>
    <definedName name="_JJ671" localSheetId="5">#REF!</definedName>
    <definedName name="_JJ671" localSheetId="3">#REF!</definedName>
    <definedName name="_JJ671" localSheetId="6">#REF!</definedName>
    <definedName name="_JJ671" localSheetId="7">#REF!</definedName>
    <definedName name="_JJ671" localSheetId="8">#REF!</definedName>
    <definedName name="_JJ671" localSheetId="4">#REF!</definedName>
    <definedName name="_JJ671" localSheetId="1">#REF!</definedName>
    <definedName name="_JJ671">#REF!</definedName>
    <definedName name="_JJ672" localSheetId="5">#REF!</definedName>
    <definedName name="_JJ672" localSheetId="3">#REF!</definedName>
    <definedName name="_JJ672" localSheetId="6">#REF!</definedName>
    <definedName name="_JJ672" localSheetId="7">#REF!</definedName>
    <definedName name="_JJ672" localSheetId="8">#REF!</definedName>
    <definedName name="_JJ672" localSheetId="4">#REF!</definedName>
    <definedName name="_JJ672" localSheetId="1">#REF!</definedName>
    <definedName name="_JJ672">#REF!</definedName>
    <definedName name="_JJ673" localSheetId="5">#REF!</definedName>
    <definedName name="_JJ673" localSheetId="3">#REF!</definedName>
    <definedName name="_JJ673" localSheetId="6">#REF!</definedName>
    <definedName name="_JJ673" localSheetId="7">#REF!</definedName>
    <definedName name="_JJ673" localSheetId="8">#REF!</definedName>
    <definedName name="_JJ673" localSheetId="4">#REF!</definedName>
    <definedName name="_JJ673" localSheetId="1">#REF!</definedName>
    <definedName name="_JJ673">#REF!</definedName>
    <definedName name="_JJ674" localSheetId="5">#REF!</definedName>
    <definedName name="_JJ674" localSheetId="3">#REF!</definedName>
    <definedName name="_JJ674" localSheetId="6">#REF!</definedName>
    <definedName name="_JJ674" localSheetId="7">#REF!</definedName>
    <definedName name="_JJ674" localSheetId="8">#REF!</definedName>
    <definedName name="_JJ674" localSheetId="4">#REF!</definedName>
    <definedName name="_JJ674" localSheetId="1">#REF!</definedName>
    <definedName name="_JJ674">#REF!</definedName>
    <definedName name="_JJ675" localSheetId="5">#REF!</definedName>
    <definedName name="_JJ675" localSheetId="3">#REF!</definedName>
    <definedName name="_JJ675" localSheetId="6">#REF!</definedName>
    <definedName name="_JJ675" localSheetId="7">#REF!</definedName>
    <definedName name="_JJ675" localSheetId="8">#REF!</definedName>
    <definedName name="_JJ675" localSheetId="4">#REF!</definedName>
    <definedName name="_JJ675" localSheetId="1">#REF!</definedName>
    <definedName name="_JJ675">#REF!</definedName>
    <definedName name="_JJ676" localSheetId="5">#REF!</definedName>
    <definedName name="_JJ676" localSheetId="3">#REF!</definedName>
    <definedName name="_JJ676" localSheetId="6">#REF!</definedName>
    <definedName name="_JJ676" localSheetId="7">#REF!</definedName>
    <definedName name="_JJ676" localSheetId="8">#REF!</definedName>
    <definedName name="_JJ676" localSheetId="4">#REF!</definedName>
    <definedName name="_JJ676" localSheetId="1">#REF!</definedName>
    <definedName name="_JJ676">#REF!</definedName>
    <definedName name="_JJ677" localSheetId="5">#REF!</definedName>
    <definedName name="_JJ677" localSheetId="3">#REF!</definedName>
    <definedName name="_JJ677" localSheetId="6">#REF!</definedName>
    <definedName name="_JJ677" localSheetId="7">#REF!</definedName>
    <definedName name="_JJ677" localSheetId="8">#REF!</definedName>
    <definedName name="_JJ677" localSheetId="4">#REF!</definedName>
    <definedName name="_JJ677" localSheetId="1">#REF!</definedName>
    <definedName name="_JJ677">#REF!</definedName>
    <definedName name="_JJ678" localSheetId="5">#REF!</definedName>
    <definedName name="_JJ678" localSheetId="3">#REF!</definedName>
    <definedName name="_JJ678" localSheetId="6">#REF!</definedName>
    <definedName name="_JJ678" localSheetId="7">#REF!</definedName>
    <definedName name="_JJ678" localSheetId="8">#REF!</definedName>
    <definedName name="_JJ678" localSheetId="4">#REF!</definedName>
    <definedName name="_JJ678" localSheetId="1">#REF!</definedName>
    <definedName name="_JJ678">#REF!</definedName>
    <definedName name="_JJ679" localSheetId="5">#REF!</definedName>
    <definedName name="_JJ679" localSheetId="3">#REF!</definedName>
    <definedName name="_JJ679" localSheetId="6">#REF!</definedName>
    <definedName name="_JJ679" localSheetId="7">#REF!</definedName>
    <definedName name="_JJ679" localSheetId="8">#REF!</definedName>
    <definedName name="_JJ679" localSheetId="4">#REF!</definedName>
    <definedName name="_JJ679" localSheetId="1">#REF!</definedName>
    <definedName name="_JJ679">#REF!</definedName>
    <definedName name="_JJ68" localSheetId="5">#REF!</definedName>
    <definedName name="_JJ68" localSheetId="3">#REF!</definedName>
    <definedName name="_JJ68" localSheetId="6">#REF!</definedName>
    <definedName name="_JJ68" localSheetId="7">#REF!</definedName>
    <definedName name="_JJ68" localSheetId="8">#REF!</definedName>
    <definedName name="_JJ68" localSheetId="4">#REF!</definedName>
    <definedName name="_JJ68" localSheetId="1">#REF!</definedName>
    <definedName name="_JJ68">#REF!</definedName>
    <definedName name="_JJ680" localSheetId="5">#REF!</definedName>
    <definedName name="_JJ680" localSheetId="3">#REF!</definedName>
    <definedName name="_JJ680" localSheetId="6">#REF!</definedName>
    <definedName name="_JJ680" localSheetId="7">#REF!</definedName>
    <definedName name="_JJ680" localSheetId="8">#REF!</definedName>
    <definedName name="_JJ680" localSheetId="4">#REF!</definedName>
    <definedName name="_JJ680" localSheetId="1">#REF!</definedName>
    <definedName name="_JJ680">#REF!</definedName>
    <definedName name="_JJ681" localSheetId="5">#REF!</definedName>
    <definedName name="_JJ681" localSheetId="3">#REF!</definedName>
    <definedName name="_JJ681" localSheetId="6">#REF!</definedName>
    <definedName name="_JJ681" localSheetId="7">#REF!</definedName>
    <definedName name="_JJ681" localSheetId="8">#REF!</definedName>
    <definedName name="_JJ681" localSheetId="4">#REF!</definedName>
    <definedName name="_JJ681" localSheetId="1">#REF!</definedName>
    <definedName name="_JJ681">#REF!</definedName>
    <definedName name="_JJ682" localSheetId="5">#REF!</definedName>
    <definedName name="_JJ682" localSheetId="3">#REF!</definedName>
    <definedName name="_JJ682" localSheetId="6">#REF!</definedName>
    <definedName name="_JJ682" localSheetId="7">#REF!</definedName>
    <definedName name="_JJ682" localSheetId="8">#REF!</definedName>
    <definedName name="_JJ682" localSheetId="4">#REF!</definedName>
    <definedName name="_JJ682" localSheetId="1">#REF!</definedName>
    <definedName name="_JJ682">#REF!</definedName>
    <definedName name="_JJ683" localSheetId="5">#REF!</definedName>
    <definedName name="_JJ683" localSheetId="3">#REF!</definedName>
    <definedName name="_JJ683" localSheetId="6">#REF!</definedName>
    <definedName name="_JJ683" localSheetId="7">#REF!</definedName>
    <definedName name="_JJ683" localSheetId="8">#REF!</definedName>
    <definedName name="_JJ683" localSheetId="4">#REF!</definedName>
    <definedName name="_JJ683" localSheetId="1">#REF!</definedName>
    <definedName name="_JJ683">#REF!</definedName>
    <definedName name="_JJ684" localSheetId="5">#REF!</definedName>
    <definedName name="_JJ684" localSheetId="3">#REF!</definedName>
    <definedName name="_JJ684" localSheetId="6">#REF!</definedName>
    <definedName name="_JJ684" localSheetId="7">#REF!</definedName>
    <definedName name="_JJ684" localSheetId="8">#REF!</definedName>
    <definedName name="_JJ684" localSheetId="4">#REF!</definedName>
    <definedName name="_JJ684" localSheetId="1">#REF!</definedName>
    <definedName name="_JJ684">#REF!</definedName>
    <definedName name="_JJ685" localSheetId="5">#REF!</definedName>
    <definedName name="_JJ685" localSheetId="3">#REF!</definedName>
    <definedName name="_JJ685" localSheetId="6">#REF!</definedName>
    <definedName name="_JJ685" localSheetId="7">#REF!</definedName>
    <definedName name="_JJ685" localSheetId="8">#REF!</definedName>
    <definedName name="_JJ685" localSheetId="4">#REF!</definedName>
    <definedName name="_JJ685" localSheetId="1">#REF!</definedName>
    <definedName name="_JJ685">#REF!</definedName>
    <definedName name="_JJ686" localSheetId="5">#REF!</definedName>
    <definedName name="_JJ686" localSheetId="3">#REF!</definedName>
    <definedName name="_JJ686" localSheetId="6">#REF!</definedName>
    <definedName name="_JJ686" localSheetId="7">#REF!</definedName>
    <definedName name="_JJ686" localSheetId="8">#REF!</definedName>
    <definedName name="_JJ686" localSheetId="4">#REF!</definedName>
    <definedName name="_JJ686" localSheetId="1">#REF!</definedName>
    <definedName name="_JJ686">#REF!</definedName>
    <definedName name="_JJ69" localSheetId="5">#REF!</definedName>
    <definedName name="_JJ69" localSheetId="3">#REF!</definedName>
    <definedName name="_JJ69" localSheetId="6">#REF!</definedName>
    <definedName name="_JJ69" localSheetId="7">#REF!</definedName>
    <definedName name="_JJ69" localSheetId="8">#REF!</definedName>
    <definedName name="_JJ69" localSheetId="4">#REF!</definedName>
    <definedName name="_JJ69" localSheetId="1">#REF!</definedName>
    <definedName name="_JJ69">#REF!</definedName>
    <definedName name="_JJ7" localSheetId="5">#REF!</definedName>
    <definedName name="_JJ7" localSheetId="3">#REF!</definedName>
    <definedName name="_JJ7" localSheetId="6">#REF!</definedName>
    <definedName name="_JJ7" localSheetId="7">#REF!</definedName>
    <definedName name="_JJ7" localSheetId="8">#REF!</definedName>
    <definedName name="_JJ7" localSheetId="4">#REF!</definedName>
    <definedName name="_JJ7" localSheetId="1">#REF!</definedName>
    <definedName name="_JJ7">#REF!</definedName>
    <definedName name="_JJ70" localSheetId="5">#REF!</definedName>
    <definedName name="_JJ70" localSheetId="3">#REF!</definedName>
    <definedName name="_JJ70" localSheetId="6">#REF!</definedName>
    <definedName name="_JJ70" localSheetId="7">#REF!</definedName>
    <definedName name="_JJ70" localSheetId="8">#REF!</definedName>
    <definedName name="_JJ70" localSheetId="4">#REF!</definedName>
    <definedName name="_JJ70" localSheetId="1">#REF!</definedName>
    <definedName name="_JJ70">#REF!</definedName>
    <definedName name="_JJ71" localSheetId="5">#REF!</definedName>
    <definedName name="_JJ71" localSheetId="3">#REF!</definedName>
    <definedName name="_JJ71" localSheetId="6">#REF!</definedName>
    <definedName name="_JJ71" localSheetId="7">#REF!</definedName>
    <definedName name="_JJ71" localSheetId="8">#REF!</definedName>
    <definedName name="_JJ71" localSheetId="4">#REF!</definedName>
    <definedName name="_JJ71" localSheetId="1">#REF!</definedName>
    <definedName name="_JJ71">#REF!</definedName>
    <definedName name="_JJ72" localSheetId="5">#REF!</definedName>
    <definedName name="_JJ72" localSheetId="3">#REF!</definedName>
    <definedName name="_JJ72" localSheetId="6">#REF!</definedName>
    <definedName name="_JJ72" localSheetId="7">#REF!</definedName>
    <definedName name="_JJ72" localSheetId="8">#REF!</definedName>
    <definedName name="_JJ72" localSheetId="4">#REF!</definedName>
    <definedName name="_JJ72" localSheetId="1">#REF!</definedName>
    <definedName name="_JJ72">#REF!</definedName>
    <definedName name="_JJ73" localSheetId="5">#REF!</definedName>
    <definedName name="_JJ73" localSheetId="3">#REF!</definedName>
    <definedName name="_JJ73" localSheetId="6">#REF!</definedName>
    <definedName name="_JJ73" localSheetId="7">#REF!</definedName>
    <definedName name="_JJ73" localSheetId="8">#REF!</definedName>
    <definedName name="_JJ73" localSheetId="4">#REF!</definedName>
    <definedName name="_JJ73" localSheetId="1">#REF!</definedName>
    <definedName name="_JJ73">#REF!</definedName>
    <definedName name="_JJ74" localSheetId="5">#REF!</definedName>
    <definedName name="_JJ74" localSheetId="3">#REF!</definedName>
    <definedName name="_JJ74" localSheetId="6">#REF!</definedName>
    <definedName name="_JJ74" localSheetId="7">#REF!</definedName>
    <definedName name="_JJ74" localSheetId="8">#REF!</definedName>
    <definedName name="_JJ74" localSheetId="4">#REF!</definedName>
    <definedName name="_JJ74" localSheetId="1">#REF!</definedName>
    <definedName name="_JJ74">#REF!</definedName>
    <definedName name="_JJ75" localSheetId="5">#REF!</definedName>
    <definedName name="_JJ75" localSheetId="3">#REF!</definedName>
    <definedName name="_JJ75" localSheetId="6">#REF!</definedName>
    <definedName name="_JJ75" localSheetId="7">#REF!</definedName>
    <definedName name="_JJ75" localSheetId="8">#REF!</definedName>
    <definedName name="_JJ75" localSheetId="4">#REF!</definedName>
    <definedName name="_JJ75" localSheetId="1">#REF!</definedName>
    <definedName name="_JJ75">#REF!</definedName>
    <definedName name="_JJ76" localSheetId="5">#REF!</definedName>
    <definedName name="_JJ76" localSheetId="3">#REF!</definedName>
    <definedName name="_JJ76" localSheetId="6">#REF!</definedName>
    <definedName name="_JJ76" localSheetId="7">#REF!</definedName>
    <definedName name="_JJ76" localSheetId="8">#REF!</definedName>
    <definedName name="_JJ76" localSheetId="4">#REF!</definedName>
    <definedName name="_JJ76" localSheetId="1">#REF!</definedName>
    <definedName name="_JJ76">#REF!</definedName>
    <definedName name="_JJ77" localSheetId="5">#REF!</definedName>
    <definedName name="_JJ77" localSheetId="3">#REF!</definedName>
    <definedName name="_JJ77" localSheetId="6">#REF!</definedName>
    <definedName name="_JJ77" localSheetId="7">#REF!</definedName>
    <definedName name="_JJ77" localSheetId="8">#REF!</definedName>
    <definedName name="_JJ77" localSheetId="4">#REF!</definedName>
    <definedName name="_JJ77" localSheetId="1">#REF!</definedName>
    <definedName name="_JJ77">#REF!</definedName>
    <definedName name="_JJ78" localSheetId="5">#REF!</definedName>
    <definedName name="_JJ78" localSheetId="3">#REF!</definedName>
    <definedName name="_JJ78" localSheetId="6">#REF!</definedName>
    <definedName name="_JJ78" localSheetId="7">#REF!</definedName>
    <definedName name="_JJ78" localSheetId="8">#REF!</definedName>
    <definedName name="_JJ78" localSheetId="4">#REF!</definedName>
    <definedName name="_JJ78" localSheetId="1">#REF!</definedName>
    <definedName name="_JJ78">#REF!</definedName>
    <definedName name="_JJ79" localSheetId="5">#REF!</definedName>
    <definedName name="_JJ79" localSheetId="3">#REF!</definedName>
    <definedName name="_JJ79" localSheetId="6">#REF!</definedName>
    <definedName name="_JJ79" localSheetId="7">#REF!</definedName>
    <definedName name="_JJ79" localSheetId="8">#REF!</definedName>
    <definedName name="_JJ79" localSheetId="4">#REF!</definedName>
    <definedName name="_JJ79" localSheetId="1">#REF!</definedName>
    <definedName name="_JJ79">#REF!</definedName>
    <definedName name="_JJ8" localSheetId="5">#REF!</definedName>
    <definedName name="_JJ8" localSheetId="3">#REF!</definedName>
    <definedName name="_JJ8" localSheetId="6">#REF!</definedName>
    <definedName name="_JJ8" localSheetId="7">#REF!</definedName>
    <definedName name="_JJ8" localSheetId="8">#REF!</definedName>
    <definedName name="_JJ8" localSheetId="4">#REF!</definedName>
    <definedName name="_JJ8" localSheetId="1">#REF!</definedName>
    <definedName name="_JJ8">#REF!</definedName>
    <definedName name="_JJ80" localSheetId="5">#REF!</definedName>
    <definedName name="_JJ80" localSheetId="3">#REF!</definedName>
    <definedName name="_JJ80" localSheetId="6">#REF!</definedName>
    <definedName name="_JJ80" localSheetId="7">#REF!</definedName>
    <definedName name="_JJ80" localSheetId="8">#REF!</definedName>
    <definedName name="_JJ80" localSheetId="4">#REF!</definedName>
    <definedName name="_JJ80" localSheetId="1">#REF!</definedName>
    <definedName name="_JJ80">#REF!</definedName>
    <definedName name="_JJ81" localSheetId="5">#REF!</definedName>
    <definedName name="_JJ81" localSheetId="3">#REF!</definedName>
    <definedName name="_JJ81" localSheetId="6">#REF!</definedName>
    <definedName name="_JJ81" localSheetId="7">#REF!</definedName>
    <definedName name="_JJ81" localSheetId="8">#REF!</definedName>
    <definedName name="_JJ81" localSheetId="4">#REF!</definedName>
    <definedName name="_JJ81" localSheetId="1">#REF!</definedName>
    <definedName name="_JJ81">#REF!</definedName>
    <definedName name="_JJ82" localSheetId="5">#REF!</definedName>
    <definedName name="_JJ82" localSheetId="3">#REF!</definedName>
    <definedName name="_JJ82" localSheetId="6">#REF!</definedName>
    <definedName name="_JJ82" localSheetId="7">#REF!</definedName>
    <definedName name="_JJ82" localSheetId="8">#REF!</definedName>
    <definedName name="_JJ82" localSheetId="4">#REF!</definedName>
    <definedName name="_JJ82" localSheetId="1">#REF!</definedName>
    <definedName name="_JJ82">#REF!</definedName>
    <definedName name="_JJ83" localSheetId="5">#REF!</definedName>
    <definedName name="_JJ83" localSheetId="3">#REF!</definedName>
    <definedName name="_JJ83" localSheetId="6">#REF!</definedName>
    <definedName name="_JJ83" localSheetId="7">#REF!</definedName>
    <definedName name="_JJ83" localSheetId="8">#REF!</definedName>
    <definedName name="_JJ83" localSheetId="4">#REF!</definedName>
    <definedName name="_JJ83" localSheetId="1">#REF!</definedName>
    <definedName name="_JJ83">#REF!</definedName>
    <definedName name="_JJ84" localSheetId="5">#REF!</definedName>
    <definedName name="_JJ84" localSheetId="3">#REF!</definedName>
    <definedName name="_JJ84" localSheetId="6">#REF!</definedName>
    <definedName name="_JJ84" localSheetId="7">#REF!</definedName>
    <definedName name="_JJ84" localSheetId="8">#REF!</definedName>
    <definedName name="_JJ84" localSheetId="4">#REF!</definedName>
    <definedName name="_JJ84" localSheetId="1">#REF!</definedName>
    <definedName name="_JJ84">#REF!</definedName>
    <definedName name="_JJ85" localSheetId="5">#REF!</definedName>
    <definedName name="_JJ85" localSheetId="3">#REF!</definedName>
    <definedName name="_JJ85" localSheetId="6">#REF!</definedName>
    <definedName name="_JJ85" localSheetId="7">#REF!</definedName>
    <definedName name="_JJ85" localSheetId="8">#REF!</definedName>
    <definedName name="_JJ85" localSheetId="4">#REF!</definedName>
    <definedName name="_JJ85" localSheetId="1">#REF!</definedName>
    <definedName name="_JJ85">#REF!</definedName>
    <definedName name="_JJ86" localSheetId="5">#REF!</definedName>
    <definedName name="_JJ86" localSheetId="3">#REF!</definedName>
    <definedName name="_JJ86" localSheetId="6">#REF!</definedName>
    <definedName name="_JJ86" localSheetId="7">#REF!</definedName>
    <definedName name="_JJ86" localSheetId="8">#REF!</definedName>
    <definedName name="_JJ86" localSheetId="4">#REF!</definedName>
    <definedName name="_JJ86" localSheetId="1">#REF!</definedName>
    <definedName name="_JJ86">#REF!</definedName>
    <definedName name="_JJ87" localSheetId="5">#REF!</definedName>
    <definedName name="_JJ87" localSheetId="3">#REF!</definedName>
    <definedName name="_JJ87" localSheetId="6">#REF!</definedName>
    <definedName name="_JJ87" localSheetId="7">#REF!</definedName>
    <definedName name="_JJ87" localSheetId="8">#REF!</definedName>
    <definedName name="_JJ87" localSheetId="4">#REF!</definedName>
    <definedName name="_JJ87" localSheetId="1">#REF!</definedName>
    <definedName name="_JJ87">#REF!</definedName>
    <definedName name="_JJ88" localSheetId="5">#REF!</definedName>
    <definedName name="_JJ88" localSheetId="3">#REF!</definedName>
    <definedName name="_JJ88" localSheetId="6">#REF!</definedName>
    <definedName name="_JJ88" localSheetId="7">#REF!</definedName>
    <definedName name="_JJ88" localSheetId="8">#REF!</definedName>
    <definedName name="_JJ88" localSheetId="4">#REF!</definedName>
    <definedName name="_JJ88" localSheetId="1">#REF!</definedName>
    <definedName name="_JJ88">#REF!</definedName>
    <definedName name="_JJ89" localSheetId="5">#REF!</definedName>
    <definedName name="_JJ89" localSheetId="3">#REF!</definedName>
    <definedName name="_JJ89" localSheetId="6">#REF!</definedName>
    <definedName name="_JJ89" localSheetId="7">#REF!</definedName>
    <definedName name="_JJ89" localSheetId="8">#REF!</definedName>
    <definedName name="_JJ89" localSheetId="4">#REF!</definedName>
    <definedName name="_JJ89" localSheetId="1">#REF!</definedName>
    <definedName name="_JJ89">#REF!</definedName>
    <definedName name="_JJ9" localSheetId="5">#REF!</definedName>
    <definedName name="_JJ9" localSheetId="3">#REF!</definedName>
    <definedName name="_JJ9" localSheetId="6">#REF!</definedName>
    <definedName name="_JJ9" localSheetId="7">#REF!</definedName>
    <definedName name="_JJ9" localSheetId="8">#REF!</definedName>
    <definedName name="_JJ9" localSheetId="4">#REF!</definedName>
    <definedName name="_JJ9" localSheetId="1">#REF!</definedName>
    <definedName name="_JJ9">#REF!</definedName>
    <definedName name="_JJ90" localSheetId="5">#REF!</definedName>
    <definedName name="_JJ90" localSheetId="3">#REF!</definedName>
    <definedName name="_JJ90" localSheetId="6">#REF!</definedName>
    <definedName name="_JJ90" localSheetId="7">#REF!</definedName>
    <definedName name="_JJ90" localSheetId="8">#REF!</definedName>
    <definedName name="_JJ90" localSheetId="4">#REF!</definedName>
    <definedName name="_JJ90" localSheetId="1">#REF!</definedName>
    <definedName name="_JJ90">#REF!</definedName>
    <definedName name="_JJ91" localSheetId="5">#REF!</definedName>
    <definedName name="_JJ91" localSheetId="3">#REF!</definedName>
    <definedName name="_JJ91" localSheetId="6">#REF!</definedName>
    <definedName name="_JJ91" localSheetId="7">#REF!</definedName>
    <definedName name="_JJ91" localSheetId="8">#REF!</definedName>
    <definedName name="_JJ91" localSheetId="4">#REF!</definedName>
    <definedName name="_JJ91" localSheetId="1">#REF!</definedName>
    <definedName name="_JJ91">#REF!</definedName>
    <definedName name="_JJ92" localSheetId="5">#REF!</definedName>
    <definedName name="_JJ92" localSheetId="3">#REF!</definedName>
    <definedName name="_JJ92" localSheetId="6">#REF!</definedName>
    <definedName name="_JJ92" localSheetId="7">#REF!</definedName>
    <definedName name="_JJ92" localSheetId="8">#REF!</definedName>
    <definedName name="_JJ92" localSheetId="4">#REF!</definedName>
    <definedName name="_JJ92" localSheetId="1">#REF!</definedName>
    <definedName name="_JJ92">#REF!</definedName>
    <definedName name="_JJ93" localSheetId="5">#REF!</definedName>
    <definedName name="_JJ93" localSheetId="3">#REF!</definedName>
    <definedName name="_JJ93" localSheetId="6">#REF!</definedName>
    <definedName name="_JJ93" localSheetId="7">#REF!</definedName>
    <definedName name="_JJ93" localSheetId="8">#REF!</definedName>
    <definedName name="_JJ93" localSheetId="4">#REF!</definedName>
    <definedName name="_JJ93" localSheetId="1">#REF!</definedName>
    <definedName name="_JJ93">#REF!</definedName>
    <definedName name="_JJ94" localSheetId="5">#REF!</definedName>
    <definedName name="_JJ94" localSheetId="3">#REF!</definedName>
    <definedName name="_JJ94" localSheetId="6">#REF!</definedName>
    <definedName name="_JJ94" localSheetId="7">#REF!</definedName>
    <definedName name="_JJ94" localSheetId="8">#REF!</definedName>
    <definedName name="_JJ94" localSheetId="4">#REF!</definedName>
    <definedName name="_JJ94" localSheetId="1">#REF!</definedName>
    <definedName name="_JJ94">#REF!</definedName>
    <definedName name="_JJ95" localSheetId="5">#REF!</definedName>
    <definedName name="_JJ95" localSheetId="3">#REF!</definedName>
    <definedName name="_JJ95" localSheetId="6">#REF!</definedName>
    <definedName name="_JJ95" localSheetId="7">#REF!</definedName>
    <definedName name="_JJ95" localSheetId="8">#REF!</definedName>
    <definedName name="_JJ95" localSheetId="4">#REF!</definedName>
    <definedName name="_JJ95" localSheetId="1">#REF!</definedName>
    <definedName name="_JJ95">#REF!</definedName>
    <definedName name="_JJ96" localSheetId="5">#REF!</definedName>
    <definedName name="_JJ96" localSheetId="3">#REF!</definedName>
    <definedName name="_JJ96" localSheetId="6">#REF!</definedName>
    <definedName name="_JJ96" localSheetId="7">#REF!</definedName>
    <definedName name="_JJ96" localSheetId="8">#REF!</definedName>
    <definedName name="_JJ96" localSheetId="4">#REF!</definedName>
    <definedName name="_JJ96" localSheetId="1">#REF!</definedName>
    <definedName name="_JJ96">#REF!</definedName>
    <definedName name="_JJ97" localSheetId="5">#REF!</definedName>
    <definedName name="_JJ97" localSheetId="3">#REF!</definedName>
    <definedName name="_JJ97" localSheetId="6">#REF!</definedName>
    <definedName name="_JJ97" localSheetId="7">#REF!</definedName>
    <definedName name="_JJ97" localSheetId="8">#REF!</definedName>
    <definedName name="_JJ97" localSheetId="4">#REF!</definedName>
    <definedName name="_JJ97" localSheetId="1">#REF!</definedName>
    <definedName name="_JJ97">#REF!</definedName>
    <definedName name="_JJ98" localSheetId="5">#REF!</definedName>
    <definedName name="_JJ98" localSheetId="3">#REF!</definedName>
    <definedName name="_JJ98" localSheetId="6">#REF!</definedName>
    <definedName name="_JJ98" localSheetId="7">#REF!</definedName>
    <definedName name="_JJ98" localSheetId="8">#REF!</definedName>
    <definedName name="_JJ98" localSheetId="4">#REF!</definedName>
    <definedName name="_JJ98" localSheetId="1">#REF!</definedName>
    <definedName name="_JJ98">#REF!</definedName>
    <definedName name="_Key1" localSheetId="5" hidden="1">#REF!</definedName>
    <definedName name="_Key1" localSheetId="3" hidden="1">#REF!</definedName>
    <definedName name="_Key1" localSheetId="6" hidden="1">#REF!</definedName>
    <definedName name="_Key1" localSheetId="7" hidden="1">#REF!</definedName>
    <definedName name="_Key1" localSheetId="8" hidden="1">#REF!</definedName>
    <definedName name="_Key1" localSheetId="4" hidden="1">#REF!</definedName>
    <definedName name="_Key1" localSheetId="1" hidden="1">#REF!</definedName>
    <definedName name="_Key1" hidden="1">#REF!</definedName>
    <definedName name="_NEW1">ROUND([0]!_NEW1*0.0254,3)</definedName>
    <definedName name="_Order1" hidden="1">255</definedName>
    <definedName name="_Order2" hidden="1">255</definedName>
    <definedName name="_Regression_Int" hidden="1">1</definedName>
    <definedName name="_sh2">[3]SG!$A$1:$G$961</definedName>
    <definedName name="_Sort" hidden="1">[4]견적총괄표!$1:$4093</definedName>
    <definedName name="_TAB1" localSheetId="5">#REF!</definedName>
    <definedName name="_TAB1" localSheetId="3">#REF!</definedName>
    <definedName name="_TAB1" localSheetId="6">#REF!</definedName>
    <definedName name="_TAB1" localSheetId="7">#REF!</definedName>
    <definedName name="_TAB1" localSheetId="8">#REF!</definedName>
    <definedName name="_TAB1" localSheetId="4">#REF!</definedName>
    <definedName name="_TAB1" localSheetId="1">#REF!</definedName>
    <definedName name="_TAB1">#REF!</definedName>
    <definedName name="_TAB2" localSheetId="5">#REF!</definedName>
    <definedName name="_TAB2" localSheetId="3">#REF!</definedName>
    <definedName name="_TAB2" localSheetId="6">#REF!</definedName>
    <definedName name="_TAB2" localSheetId="7">#REF!</definedName>
    <definedName name="_TAB2" localSheetId="8">#REF!</definedName>
    <definedName name="_TAB2" localSheetId="4">#REF!</definedName>
    <definedName name="_TAB2" localSheetId="1">#REF!</definedName>
    <definedName name="_TAB2">#REF!</definedName>
    <definedName name="_TAB3" localSheetId="5">#REF!</definedName>
    <definedName name="_TAB3" localSheetId="3">#REF!</definedName>
    <definedName name="_TAB3" localSheetId="6">#REF!</definedName>
    <definedName name="_TAB3" localSheetId="7">#REF!</definedName>
    <definedName name="_TAB3" localSheetId="8">#REF!</definedName>
    <definedName name="_TAB3" localSheetId="4">#REF!</definedName>
    <definedName name="_TAB3" localSheetId="1">#REF!</definedName>
    <definedName name="_TAB3">#REF!</definedName>
    <definedName name="_THK1">IF([5]PIPE!XEW1+2*[5]PIPE!XEX1&gt;=750,"0.8t","0.6t")</definedName>
    <definedName name="\\O" localSheetId="5">[6]견적대비표!#REF!</definedName>
    <definedName name="\\O" localSheetId="3">[6]견적대비표!#REF!</definedName>
    <definedName name="\\O" localSheetId="6">[6]견적대비표!#REF!</definedName>
    <definedName name="\\O" localSheetId="7">[6]견적대비표!#REF!</definedName>
    <definedName name="\\O" localSheetId="8">[6]견적대비표!#REF!</definedName>
    <definedName name="\\O" localSheetId="4">[6]견적대비표!#REF!</definedName>
    <definedName name="\\O" localSheetId="1">[6]견적대비표!#REF!</definedName>
    <definedName name="\\O">[6]견적대비표!#REF!</definedName>
    <definedName name="\0" localSheetId="5">#REF!</definedName>
    <definedName name="\0" localSheetId="3">#REF!</definedName>
    <definedName name="\0" localSheetId="6">#REF!</definedName>
    <definedName name="\0" localSheetId="7">#REF!</definedName>
    <definedName name="\0" localSheetId="8">#REF!</definedName>
    <definedName name="\0" localSheetId="4">#REF!</definedName>
    <definedName name="\0" localSheetId="1">#REF!</definedName>
    <definedName name="\0">#REF!</definedName>
    <definedName name="\A" localSheetId="5">'[7]M-EQPT-Z'!#REF!</definedName>
    <definedName name="\A" localSheetId="3">'[7]M-EQPT-Z'!#REF!</definedName>
    <definedName name="\A" localSheetId="6">'[7]M-EQPT-Z'!#REF!</definedName>
    <definedName name="\A" localSheetId="7">'[7]M-EQPT-Z'!#REF!</definedName>
    <definedName name="\A" localSheetId="8">'[7]M-EQPT-Z'!#REF!</definedName>
    <definedName name="\A" localSheetId="4">'[7]M-EQPT-Z'!#REF!</definedName>
    <definedName name="\A" localSheetId="1">'[7]M-EQPT-Z'!#REF!</definedName>
    <definedName name="\A">'[7]M-EQPT-Z'!#REF!</definedName>
    <definedName name="\b">#N/A</definedName>
    <definedName name="\c">#N/A</definedName>
    <definedName name="\d" localSheetId="5">'[8]뜃맟뭁돽띿맟?-BLDG'!#REF!</definedName>
    <definedName name="\d" localSheetId="3">'[8]뜃맟뭁돽띿맟?-BLDG'!#REF!</definedName>
    <definedName name="\d" localSheetId="6">'[8]뜃맟뭁돽띿맟?-BLDG'!#REF!</definedName>
    <definedName name="\d" localSheetId="7">'[8]뜃맟뭁돽띿맟?-BLDG'!#REF!</definedName>
    <definedName name="\d" localSheetId="8">'[8]뜃맟뭁돽띿맟?-BLDG'!#REF!</definedName>
    <definedName name="\d" localSheetId="4">'[8]뜃맟뭁돽띿맟?-BLDG'!#REF!</definedName>
    <definedName name="\d" localSheetId="1">'[8]뜃맟뭁돽띿맟?-BLDG'!#REF!</definedName>
    <definedName name="\d">'[8]뜃맟뭁돽띿맟?-BLDG'!#REF!</definedName>
    <definedName name="\e" localSheetId="5">'[8]뜃맟뭁돽띿맟?-BLDG'!#REF!</definedName>
    <definedName name="\e" localSheetId="3">'[8]뜃맟뭁돽띿맟?-BLDG'!#REF!</definedName>
    <definedName name="\e" localSheetId="6">'[8]뜃맟뭁돽띿맟?-BLDG'!#REF!</definedName>
    <definedName name="\e" localSheetId="7">'[8]뜃맟뭁돽띿맟?-BLDG'!#REF!</definedName>
    <definedName name="\e" localSheetId="8">'[8]뜃맟뭁돽띿맟?-BLDG'!#REF!</definedName>
    <definedName name="\e" localSheetId="4">'[8]뜃맟뭁돽띿맟?-BLDG'!#REF!</definedName>
    <definedName name="\e" localSheetId="1">'[8]뜃맟뭁돽띿맟?-BLDG'!#REF!</definedName>
    <definedName name="\e">'[8]뜃맟뭁돽띿맟?-BLDG'!#REF!</definedName>
    <definedName name="\f" localSheetId="5">'[8]뜃맟뭁돽띿맟?-BLDG'!#REF!</definedName>
    <definedName name="\f" localSheetId="3">'[8]뜃맟뭁돽띿맟?-BLDG'!#REF!</definedName>
    <definedName name="\f" localSheetId="6">'[8]뜃맟뭁돽띿맟?-BLDG'!#REF!</definedName>
    <definedName name="\f" localSheetId="7">'[8]뜃맟뭁돽띿맟?-BLDG'!#REF!</definedName>
    <definedName name="\f" localSheetId="8">'[8]뜃맟뭁돽띿맟?-BLDG'!#REF!</definedName>
    <definedName name="\f" localSheetId="4">'[8]뜃맟뭁돽띿맟?-BLDG'!#REF!</definedName>
    <definedName name="\f" localSheetId="1">'[8]뜃맟뭁돽띿맟?-BLDG'!#REF!</definedName>
    <definedName name="\f">'[8]뜃맟뭁돽띿맟?-BLDG'!#REF!</definedName>
    <definedName name="\g" localSheetId="5">'[8]뜃맟뭁돽띿맟?-BLDG'!#REF!</definedName>
    <definedName name="\g" localSheetId="3">'[8]뜃맟뭁돽띿맟?-BLDG'!#REF!</definedName>
    <definedName name="\g" localSheetId="6">'[8]뜃맟뭁돽띿맟?-BLDG'!#REF!</definedName>
    <definedName name="\g" localSheetId="7">'[8]뜃맟뭁돽띿맟?-BLDG'!#REF!</definedName>
    <definedName name="\g" localSheetId="8">'[8]뜃맟뭁돽띿맟?-BLDG'!#REF!</definedName>
    <definedName name="\g" localSheetId="4">'[8]뜃맟뭁돽띿맟?-BLDG'!#REF!</definedName>
    <definedName name="\g" localSheetId="1">'[8]뜃맟뭁돽띿맟?-BLDG'!#REF!</definedName>
    <definedName name="\g">'[8]뜃맟뭁돽띿맟?-BLDG'!#REF!</definedName>
    <definedName name="\h" localSheetId="5">'[8]뜃맟뭁돽띿맟?-BLDG'!#REF!</definedName>
    <definedName name="\h" localSheetId="3">'[8]뜃맟뭁돽띿맟?-BLDG'!#REF!</definedName>
    <definedName name="\h" localSheetId="6">'[8]뜃맟뭁돽띿맟?-BLDG'!#REF!</definedName>
    <definedName name="\h" localSheetId="7">'[8]뜃맟뭁돽띿맟?-BLDG'!#REF!</definedName>
    <definedName name="\h" localSheetId="8">'[8]뜃맟뭁돽띿맟?-BLDG'!#REF!</definedName>
    <definedName name="\h" localSheetId="4">'[8]뜃맟뭁돽띿맟?-BLDG'!#REF!</definedName>
    <definedName name="\h" localSheetId="1">'[8]뜃맟뭁돽띿맟?-BLDG'!#REF!</definedName>
    <definedName name="\h">'[8]뜃맟뭁돽띿맟?-BLDG'!#REF!</definedName>
    <definedName name="\i">#N/A</definedName>
    <definedName name="\j" localSheetId="5">'[8]뜃맟뭁돽띿맟?-BLDG'!#REF!</definedName>
    <definedName name="\j" localSheetId="3">'[8]뜃맟뭁돽띿맟?-BLDG'!#REF!</definedName>
    <definedName name="\j" localSheetId="6">'[8]뜃맟뭁돽띿맟?-BLDG'!#REF!</definedName>
    <definedName name="\j" localSheetId="7">'[8]뜃맟뭁돽띿맟?-BLDG'!#REF!</definedName>
    <definedName name="\j" localSheetId="8">'[8]뜃맟뭁돽띿맟?-BLDG'!#REF!</definedName>
    <definedName name="\j" localSheetId="4">'[8]뜃맟뭁돽띿맟?-BLDG'!#REF!</definedName>
    <definedName name="\j" localSheetId="1">'[8]뜃맟뭁돽띿맟?-BLDG'!#REF!</definedName>
    <definedName name="\j">'[8]뜃맟뭁돽띿맟?-BLDG'!#REF!</definedName>
    <definedName name="\k" localSheetId="5">'[8]뜃맟뭁돽띿맟?-BLDG'!#REF!</definedName>
    <definedName name="\k" localSheetId="3">'[8]뜃맟뭁돽띿맟?-BLDG'!#REF!</definedName>
    <definedName name="\k" localSheetId="6">'[8]뜃맟뭁돽띿맟?-BLDG'!#REF!</definedName>
    <definedName name="\k" localSheetId="7">'[8]뜃맟뭁돽띿맟?-BLDG'!#REF!</definedName>
    <definedName name="\k" localSheetId="8">'[8]뜃맟뭁돽띿맟?-BLDG'!#REF!</definedName>
    <definedName name="\k" localSheetId="4">'[8]뜃맟뭁돽띿맟?-BLDG'!#REF!</definedName>
    <definedName name="\k" localSheetId="1">'[8]뜃맟뭁돽띿맟?-BLDG'!#REF!</definedName>
    <definedName name="\k">'[8]뜃맟뭁돽띿맟?-BLDG'!#REF!</definedName>
    <definedName name="\l" localSheetId="5">'[8]뜃맟뭁돽띿맟?-BLDG'!#REF!</definedName>
    <definedName name="\l" localSheetId="3">'[8]뜃맟뭁돽띿맟?-BLDG'!#REF!</definedName>
    <definedName name="\l" localSheetId="6">'[8]뜃맟뭁돽띿맟?-BLDG'!#REF!</definedName>
    <definedName name="\l" localSheetId="7">'[8]뜃맟뭁돽띿맟?-BLDG'!#REF!</definedName>
    <definedName name="\l" localSheetId="8">'[8]뜃맟뭁돽띿맟?-BLDG'!#REF!</definedName>
    <definedName name="\l" localSheetId="4">'[8]뜃맟뭁돽띿맟?-BLDG'!#REF!</definedName>
    <definedName name="\l" localSheetId="1">'[8]뜃맟뭁돽띿맟?-BLDG'!#REF!</definedName>
    <definedName name="\l">'[8]뜃맟뭁돽띿맟?-BLDG'!#REF!</definedName>
    <definedName name="\LARGE" localSheetId="5">#REF!</definedName>
    <definedName name="\LARGE" localSheetId="3">#REF!</definedName>
    <definedName name="\LARGE" localSheetId="6">#REF!</definedName>
    <definedName name="\LARGE" localSheetId="7">#REF!</definedName>
    <definedName name="\LARGE" localSheetId="8">#REF!</definedName>
    <definedName name="\LARGE" localSheetId="4">#REF!</definedName>
    <definedName name="\LARGE" localSheetId="1">#REF!</definedName>
    <definedName name="\LARGE">#REF!</definedName>
    <definedName name="\m" localSheetId="5">'[8]뜃맟뭁돽띿맟?-BLDG'!#REF!</definedName>
    <definedName name="\m" localSheetId="3">'[8]뜃맟뭁돽띿맟?-BLDG'!#REF!</definedName>
    <definedName name="\m" localSheetId="6">'[8]뜃맟뭁돽띿맟?-BLDG'!#REF!</definedName>
    <definedName name="\m" localSheetId="7">'[8]뜃맟뭁돽띿맟?-BLDG'!#REF!</definedName>
    <definedName name="\m" localSheetId="8">'[8]뜃맟뭁돽띿맟?-BLDG'!#REF!</definedName>
    <definedName name="\m" localSheetId="4">'[8]뜃맟뭁돽띿맟?-BLDG'!#REF!</definedName>
    <definedName name="\m" localSheetId="1">'[8]뜃맟뭁돽띿맟?-BLDG'!#REF!</definedName>
    <definedName name="\m">'[8]뜃맟뭁돽띿맟?-BLDG'!#REF!</definedName>
    <definedName name="\MIDDLE" localSheetId="5">#REF!</definedName>
    <definedName name="\MIDDLE" localSheetId="3">#REF!</definedName>
    <definedName name="\MIDDLE" localSheetId="6">#REF!</definedName>
    <definedName name="\MIDDLE" localSheetId="7">#REF!</definedName>
    <definedName name="\MIDDLE" localSheetId="8">#REF!</definedName>
    <definedName name="\MIDDLE" localSheetId="4">#REF!</definedName>
    <definedName name="\MIDDLE" localSheetId="1">#REF!</definedName>
    <definedName name="\MIDDLE">#REF!</definedName>
    <definedName name="\n" localSheetId="5">'[8]뜃맟뭁돽띿맟?-BLDG'!#REF!</definedName>
    <definedName name="\n" localSheetId="3">'[8]뜃맟뭁돽띿맟?-BLDG'!#REF!</definedName>
    <definedName name="\n" localSheetId="6">'[8]뜃맟뭁돽띿맟?-BLDG'!#REF!</definedName>
    <definedName name="\n" localSheetId="7">'[8]뜃맟뭁돽띿맟?-BLDG'!#REF!</definedName>
    <definedName name="\n" localSheetId="8">'[8]뜃맟뭁돽띿맟?-BLDG'!#REF!</definedName>
    <definedName name="\n" localSheetId="4">'[8]뜃맟뭁돽띿맟?-BLDG'!#REF!</definedName>
    <definedName name="\n" localSheetId="1">'[8]뜃맟뭁돽띿맟?-BLDG'!#REF!</definedName>
    <definedName name="\n">'[8]뜃맟뭁돽띿맟?-BLDG'!#REF!</definedName>
    <definedName name="\o" localSheetId="5">'[8]뜃맟뭁돽띿맟?-BLDG'!#REF!</definedName>
    <definedName name="\o" localSheetId="3">'[8]뜃맟뭁돽띿맟?-BLDG'!#REF!</definedName>
    <definedName name="\o" localSheetId="6">'[8]뜃맟뭁돽띿맟?-BLDG'!#REF!</definedName>
    <definedName name="\o" localSheetId="7">'[8]뜃맟뭁돽띿맟?-BLDG'!#REF!</definedName>
    <definedName name="\o" localSheetId="8">'[8]뜃맟뭁돽띿맟?-BLDG'!#REF!</definedName>
    <definedName name="\o" localSheetId="4">'[8]뜃맟뭁돽띿맟?-BLDG'!#REF!</definedName>
    <definedName name="\o" localSheetId="1">'[8]뜃맟뭁돽띿맟?-BLDG'!#REF!</definedName>
    <definedName name="\o">'[8]뜃맟뭁돽띿맟?-BLDG'!#REF!</definedName>
    <definedName name="\p">#N/A</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r" localSheetId="5">#REF!</definedName>
    <definedName name="\r" localSheetId="3">#REF!</definedName>
    <definedName name="\r" localSheetId="6">#REF!</definedName>
    <definedName name="\r" localSheetId="7">#REF!</definedName>
    <definedName name="\r" localSheetId="8">#REF!</definedName>
    <definedName name="\r" localSheetId="4">#REF!</definedName>
    <definedName name="\r" localSheetId="1">#REF!</definedName>
    <definedName name="\r">#REF!</definedName>
    <definedName name="\s">#N/A</definedName>
    <definedName name="\SMALL" localSheetId="5">#REF!</definedName>
    <definedName name="\SMALL" localSheetId="3">#REF!</definedName>
    <definedName name="\SMALL" localSheetId="6">#REF!</definedName>
    <definedName name="\SMALL" localSheetId="7">#REF!</definedName>
    <definedName name="\SMALL" localSheetId="8">#REF!</definedName>
    <definedName name="\SMALL" localSheetId="4">#REF!</definedName>
    <definedName name="\SMALL" localSheetId="1">#REF!</definedName>
    <definedName name="\SMALL">#REF!</definedName>
    <definedName name="\v" localSheetId="5">[6]견적대비표!#REF!</definedName>
    <definedName name="\v" localSheetId="3">[6]견적대비표!#REF!</definedName>
    <definedName name="\v" localSheetId="6">[6]견적대비표!#REF!</definedName>
    <definedName name="\v" localSheetId="7">[6]견적대비표!#REF!</definedName>
    <definedName name="\v" localSheetId="8">[6]견적대비표!#REF!</definedName>
    <definedName name="\v" localSheetId="4">[6]견적대비표!#REF!</definedName>
    <definedName name="\v" localSheetId="1">[6]견적대비표!#REF!</definedName>
    <definedName name="\v">[6]견적대비표!#REF!</definedName>
    <definedName name="\w" localSheetId="5">[6]견적대비표!#REF!</definedName>
    <definedName name="\w" localSheetId="3">[6]견적대비표!#REF!</definedName>
    <definedName name="\w" localSheetId="6">[6]견적대비표!#REF!</definedName>
    <definedName name="\w" localSheetId="7">[6]견적대비표!#REF!</definedName>
    <definedName name="\w" localSheetId="8">[6]견적대비표!#REF!</definedName>
    <definedName name="\w" localSheetId="4">[6]견적대비표!#REF!</definedName>
    <definedName name="\w" localSheetId="1">[6]견적대비표!#REF!</definedName>
    <definedName name="\w">[6]견적대비표!#REF!</definedName>
    <definedName name="\x" localSheetId="5">#REF!</definedName>
    <definedName name="\x" localSheetId="3">#REF!</definedName>
    <definedName name="\x" localSheetId="6">#REF!</definedName>
    <definedName name="\x" localSheetId="7">#REF!</definedName>
    <definedName name="\x" localSheetId="8">#REF!</definedName>
    <definedName name="\x" localSheetId="4">#REF!</definedName>
    <definedName name="\x" localSheetId="1">#REF!</definedName>
    <definedName name="\x">#REF!</definedName>
    <definedName name="\y" localSheetId="5">#REF!</definedName>
    <definedName name="\y" localSheetId="3">#REF!</definedName>
    <definedName name="\y" localSheetId="6">#REF!</definedName>
    <definedName name="\y" localSheetId="7">#REF!</definedName>
    <definedName name="\y" localSheetId="8">#REF!</definedName>
    <definedName name="\y" localSheetId="4">#REF!</definedName>
    <definedName name="\y" localSheetId="1">#REF!</definedName>
    <definedName name="\y">#REF!</definedName>
    <definedName name="\Z" localSheetId="5">'[7]M-EQPT-Z'!#REF!</definedName>
    <definedName name="\Z" localSheetId="3">'[7]M-EQPT-Z'!#REF!</definedName>
    <definedName name="\Z" localSheetId="6">'[7]M-EQPT-Z'!#REF!</definedName>
    <definedName name="\Z" localSheetId="7">'[7]M-EQPT-Z'!#REF!</definedName>
    <definedName name="\Z" localSheetId="8">'[7]M-EQPT-Z'!#REF!</definedName>
    <definedName name="\Z" localSheetId="4">'[7]M-EQPT-Z'!#REF!</definedName>
    <definedName name="\Z" localSheetId="1">'[7]M-EQPT-Z'!#REF!</definedName>
    <definedName name="\Z">'[7]M-EQPT-Z'!#REF!</definedName>
    <definedName name="a" localSheetId="5">BlankMacro1</definedName>
    <definedName name="a" localSheetId="3">BlankMacro1</definedName>
    <definedName name="a" localSheetId="6">BlankMacro1</definedName>
    <definedName name="a" localSheetId="7">BlankMacro1</definedName>
    <definedName name="a" localSheetId="8">BlankMacro1</definedName>
    <definedName name="a" localSheetId="4">BlankMacro1</definedName>
    <definedName name="a" localSheetId="1">BlankMacro1</definedName>
    <definedName name="a">BlankMacro1</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5">#REF!</definedName>
    <definedName name="aa" localSheetId="3">#REF!</definedName>
    <definedName name="aa" localSheetId="6">#REF!</definedName>
    <definedName name="aa" localSheetId="7">#REF!</definedName>
    <definedName name="aa" localSheetId="8">#REF!</definedName>
    <definedName name="aa" localSheetId="4">#REF!</definedName>
    <definedName name="aa" localSheetId="1">#REF!</definedName>
    <definedName name="aa">#REF!</definedName>
    <definedName name="aaa" localSheetId="5">#REF!</definedName>
    <definedName name="aaa" localSheetId="3">#REF!</definedName>
    <definedName name="aaa" localSheetId="6">#REF!</definedName>
    <definedName name="aaa" localSheetId="7">#REF!</definedName>
    <definedName name="aaa" localSheetId="8">#REF!</definedName>
    <definedName name="aaa" localSheetId="4">#REF!</definedName>
    <definedName name="aaa" localSheetId="1">#REF!</definedName>
    <definedName name="aaa">#REF!</definedName>
    <definedName name="AG통합" localSheetId="5">#REF!</definedName>
    <definedName name="AG통합" localSheetId="3">#REF!</definedName>
    <definedName name="AG통합" localSheetId="6">#REF!</definedName>
    <definedName name="AG통합" localSheetId="7">#REF!</definedName>
    <definedName name="AG통합" localSheetId="8">#REF!</definedName>
    <definedName name="AG통합" localSheetId="4">#REF!</definedName>
    <definedName name="AG통합" localSheetId="1">#REF!</definedName>
    <definedName name="AG통합">#REF!</definedName>
    <definedName name="ahrc">[0]!ahrc</definedName>
    <definedName name="All_Item" localSheetId="5">#REF!</definedName>
    <definedName name="All_Item" localSheetId="3">#REF!</definedName>
    <definedName name="All_Item" localSheetId="6">#REF!</definedName>
    <definedName name="All_Item" localSheetId="7">#REF!</definedName>
    <definedName name="All_Item" localSheetId="8">#REF!</definedName>
    <definedName name="All_Item" localSheetId="4">#REF!</definedName>
    <definedName name="All_Item" localSheetId="1">#REF!</definedName>
    <definedName name="All_Item">#REF!</definedName>
    <definedName name="ALPIN">#N/A</definedName>
    <definedName name="ALPJYOU">#N/A</definedName>
    <definedName name="ALPTOI">#N/A</definedName>
    <definedName name="ASDASDASDASDSA">[9]토공정보!$O$7:$AC$18</definedName>
    <definedName name="BAE" localSheetId="5">'[10]20-25'!#REF!</definedName>
    <definedName name="BAE" localSheetId="3">'[10]20-25'!#REF!</definedName>
    <definedName name="BAE" localSheetId="6">'[10]20-25'!#REF!</definedName>
    <definedName name="BAE" localSheetId="7">'[10]20-25'!#REF!</definedName>
    <definedName name="BAE" localSheetId="8">'[10]20-25'!#REF!</definedName>
    <definedName name="BAE" localSheetId="4">'[10]20-25'!#REF!</definedName>
    <definedName name="BAE" localSheetId="1">'[10]20-25'!#REF!</definedName>
    <definedName name="BAE">'[10]20-25'!#REF!</definedName>
    <definedName name="BB" localSheetId="5">#REF!</definedName>
    <definedName name="BB" localSheetId="3">#REF!</definedName>
    <definedName name="BB" localSheetId="6">#REF!</definedName>
    <definedName name="BB" localSheetId="7">#REF!</definedName>
    <definedName name="BB" localSheetId="8">#REF!</definedName>
    <definedName name="BB" localSheetId="4">#REF!</definedName>
    <definedName name="BB" localSheetId="1">#REF!</definedName>
    <definedName name="BB">#REF!</definedName>
    <definedName name="BBE" localSheetId="5">'[10]20-25'!#REF!</definedName>
    <definedName name="BBE" localSheetId="3">'[10]20-25'!#REF!</definedName>
    <definedName name="BBE" localSheetId="6">'[10]20-25'!#REF!</definedName>
    <definedName name="BBE" localSheetId="7">'[10]20-25'!#REF!</definedName>
    <definedName name="BBE" localSheetId="8">'[10]20-25'!#REF!</definedName>
    <definedName name="BBE" localSheetId="4">'[10]20-25'!#REF!</definedName>
    <definedName name="BBE" localSheetId="1">'[10]20-25'!#REF!</definedName>
    <definedName name="BBE">'[10]20-25'!#REF!</definedName>
    <definedName name="BDCODE">#N/A</definedName>
    <definedName name="BLOCK01">#N/A</definedName>
    <definedName name="BLOCK02">#N/A</definedName>
    <definedName name="BM_TOTAL" localSheetId="5">SUM(#REF!+#REF!)</definedName>
    <definedName name="BM_TOTAL" localSheetId="3">SUM(#REF!+#REF!)</definedName>
    <definedName name="BM_TOTAL" localSheetId="6">SUM(#REF!+#REF!)</definedName>
    <definedName name="BM_TOTAL" localSheetId="7">SUM(#REF!+#REF!)</definedName>
    <definedName name="BM_TOTAL" localSheetId="8">SUM(#REF!+#REF!)</definedName>
    <definedName name="BM_TOTAL" localSheetId="4">SUM(#REF!+#REF!)</definedName>
    <definedName name="BM_TOTAL" localSheetId="1">SUM(#REF!+#REF!)</definedName>
    <definedName name="BM_TOTAL">SUM(#REF!+#REF!)</definedName>
    <definedName name="BM_TOTAL1">SUM([5]PIPE!XFC1+[5]PIPE!XFD1)</definedName>
    <definedName name="BM_TOTAL2">SUM([5]PIPE!XFC1+[5]PIPE!XFD1)</definedName>
    <definedName name="bmks303" localSheetId="5">#REF!</definedName>
    <definedName name="bmks303" localSheetId="3">#REF!</definedName>
    <definedName name="bmks303" localSheetId="6">#REF!</definedName>
    <definedName name="bmks303" localSheetId="7">#REF!</definedName>
    <definedName name="bmks303" localSheetId="8">#REF!</definedName>
    <definedName name="bmks303" localSheetId="4">#REF!</definedName>
    <definedName name="bmks303" localSheetId="1">#REF!</definedName>
    <definedName name="bmks303">#REF!</definedName>
    <definedName name="BONG">#N/A</definedName>
    <definedName name="Category_All" localSheetId="5">#REF!</definedName>
    <definedName name="Category_All" localSheetId="3">#REF!</definedName>
    <definedName name="Category_All" localSheetId="6">#REF!</definedName>
    <definedName name="Category_All" localSheetId="7">#REF!</definedName>
    <definedName name="Category_All" localSheetId="8">#REF!</definedName>
    <definedName name="Category_All" localSheetId="4">#REF!</definedName>
    <definedName name="Category_All" localSheetId="1">#REF!</definedName>
    <definedName name="Category_All">#REF!</definedName>
    <definedName name="CATIN">#N/A</definedName>
    <definedName name="CATJYOU">#N/A</definedName>
    <definedName name="CATREC">#N/A</definedName>
    <definedName name="CATSYU">#N/A</definedName>
    <definedName name="cfHMHMDKDKDKPRRKRKRKRKRKTBRTPDP" localSheetId="5">[11]예산M11A!#REF!</definedName>
    <definedName name="cfHMHMDKDKDKPRRKRKRKRKRKTBRTPDP" localSheetId="3">[11]예산M11A!#REF!</definedName>
    <definedName name="cfHMHMDKDKDKPRRKRKRKRKRKTBRTPDP" localSheetId="6">[11]예산M11A!#REF!</definedName>
    <definedName name="cfHMHMDKDKDKPRRKRKRKRKRKTBRTPDP" localSheetId="7">[11]예산M11A!#REF!</definedName>
    <definedName name="cfHMHMDKDKDKPRRKRKRKRKRKTBRTPDP" localSheetId="8">[11]예산M11A!#REF!</definedName>
    <definedName name="cfHMHMDKDKDKPRRKRKRKRKRKTBRTPDP" localSheetId="4">[11]예산M11A!#REF!</definedName>
    <definedName name="cfHMHMDKDKDKPRRKRKRKRKRKTBRTPDP" localSheetId="1">[11]예산M11A!#REF!</definedName>
    <definedName name="cfHMHMDKDKDKPRRKRKRKRKRKTBRTPDP">[11]예산M11A!#REF!</definedName>
    <definedName name="_xlnm.Criteria" localSheetId="5">[12]SILICATE!#REF!</definedName>
    <definedName name="_xlnm.Criteria" localSheetId="3">[12]SILICATE!#REF!</definedName>
    <definedName name="_xlnm.Criteria" localSheetId="6">[12]SILICATE!#REF!</definedName>
    <definedName name="_xlnm.Criteria" localSheetId="7">[12]SILICATE!#REF!</definedName>
    <definedName name="_xlnm.Criteria" localSheetId="8">[12]SILICATE!#REF!</definedName>
    <definedName name="_xlnm.Criteria" localSheetId="4">[12]SILICATE!#REF!</definedName>
    <definedName name="_xlnm.Criteria" localSheetId="1">[12]SILICATE!#REF!</definedName>
    <definedName name="_xlnm.Criteria">[12]SILICATE!#REF!</definedName>
    <definedName name="CS">ROUND([0]!CS*0.0254,3)</definedName>
    <definedName name="D" localSheetId="5">[13]표지!#REF!</definedName>
    <definedName name="D" localSheetId="3">[13]표지!#REF!</definedName>
    <definedName name="D" localSheetId="6">[13]표지!#REF!</definedName>
    <definedName name="D" localSheetId="7">[13]표지!#REF!</definedName>
    <definedName name="D" localSheetId="8">[13]표지!#REF!</definedName>
    <definedName name="D" localSheetId="4">[13]표지!#REF!</definedName>
    <definedName name="D" localSheetId="1">[13]표지!#REF!</definedName>
    <definedName name="D">[13]표지!#REF!</definedName>
    <definedName name="DANGA" localSheetId="5">#REF!,#REF!</definedName>
    <definedName name="DANGA" localSheetId="3">#REF!,#REF!</definedName>
    <definedName name="DANGA" localSheetId="6">#REF!,#REF!</definedName>
    <definedName name="DANGA" localSheetId="7">#REF!,#REF!</definedName>
    <definedName name="DANGA" localSheetId="8">#REF!,#REF!</definedName>
    <definedName name="DANGA" localSheetId="4">#REF!,#REF!</definedName>
    <definedName name="DANGA" localSheetId="1">#REF!,#REF!</definedName>
    <definedName name="DANGA">#REF!,#REF!</definedName>
    <definedName name="_xlnm.Database" localSheetId="5">#REF!</definedName>
    <definedName name="_xlnm.Database" localSheetId="3">#REF!</definedName>
    <definedName name="_xlnm.Database" localSheetId="6">#REF!</definedName>
    <definedName name="_xlnm.Database" localSheetId="7">#REF!</definedName>
    <definedName name="_xlnm.Database" localSheetId="8">#REF!</definedName>
    <definedName name="_xlnm.Database" localSheetId="4">#REF!</definedName>
    <definedName name="_xlnm.Database" localSheetId="1">#REF!</definedName>
    <definedName name="_xlnm.Database">#REF!</definedName>
    <definedName name="DataFilter" localSheetId="5">[14]!DataFilter</definedName>
    <definedName name="DataFilter" localSheetId="3">[14]!DataFilter</definedName>
    <definedName name="DataFilter" localSheetId="6">[14]!DataFilter</definedName>
    <definedName name="DataFilter" localSheetId="7">[14]!DataFilter</definedName>
    <definedName name="DataFilter" localSheetId="8">[14]!DataFilter</definedName>
    <definedName name="DataFilter" localSheetId="4">[14]!DataFilter</definedName>
    <definedName name="DataFilter" localSheetId="1">[14]!DataFilter</definedName>
    <definedName name="DataFilter">[14]!DataFilter</definedName>
    <definedName name="DataSort" localSheetId="5">[14]!DataSort</definedName>
    <definedName name="DataSort" localSheetId="3">[14]!DataSort</definedName>
    <definedName name="DataSort" localSheetId="6">[14]!DataSort</definedName>
    <definedName name="DataSort" localSheetId="7">[14]!DataSort</definedName>
    <definedName name="DataSort" localSheetId="8">[14]!DataSort</definedName>
    <definedName name="DataSort" localSheetId="4">[14]!DataSort</definedName>
    <definedName name="DataSort" localSheetId="1">[14]!DataSort</definedName>
    <definedName name="DataSort">[14]!DataSort</definedName>
    <definedName name="DD" localSheetId="5">#REF!</definedName>
    <definedName name="DD" localSheetId="3">#REF!</definedName>
    <definedName name="DD" localSheetId="6">#REF!</definedName>
    <definedName name="DD" localSheetId="7">#REF!</definedName>
    <definedName name="DD" localSheetId="8">#REF!</definedName>
    <definedName name="DD" localSheetId="4">#REF!</definedName>
    <definedName name="DD" localSheetId="1">#REF!</definedName>
    <definedName name="DD">#REF!</definedName>
    <definedName name="dfg" localSheetId="5">[11]예산M11A!#REF!</definedName>
    <definedName name="dfg" localSheetId="3">[11]예산M11A!#REF!</definedName>
    <definedName name="dfg" localSheetId="6">[11]예산M11A!#REF!</definedName>
    <definedName name="dfg" localSheetId="7">[11]예산M11A!#REF!</definedName>
    <definedName name="dfg" localSheetId="8">[11]예산M11A!#REF!</definedName>
    <definedName name="dfg" localSheetId="4">[11]예산M11A!#REF!</definedName>
    <definedName name="dfg" localSheetId="1">[11]예산M11A!#REF!</definedName>
    <definedName name="dfg">[11]예산M11A!#REF!</definedName>
    <definedName name="DT" localSheetId="5">#REF!</definedName>
    <definedName name="DT" localSheetId="3">#REF!</definedName>
    <definedName name="DT" localSheetId="6">#REF!</definedName>
    <definedName name="DT" localSheetId="7">#REF!</definedName>
    <definedName name="DT" localSheetId="8">#REF!</definedName>
    <definedName name="DT" localSheetId="4">#REF!</definedName>
    <definedName name="DT" localSheetId="1">#REF!</definedName>
    <definedName name="DT">#REF!</definedName>
    <definedName name="DUCT_GONG" localSheetId="5">#REF!</definedName>
    <definedName name="DUCT_GONG" localSheetId="3">#REF!</definedName>
    <definedName name="DUCT_GONG" localSheetId="6">#REF!</definedName>
    <definedName name="DUCT_GONG" localSheetId="7">#REF!</definedName>
    <definedName name="DUCT_GONG" localSheetId="8">#REF!</definedName>
    <definedName name="DUCT_GONG" localSheetId="4">#REF!</definedName>
    <definedName name="DUCT_GONG" localSheetId="1">#REF!</definedName>
    <definedName name="DUCT_GONG">#REF!</definedName>
    <definedName name="EE" localSheetId="5">#REF!</definedName>
    <definedName name="EE" localSheetId="3">#REF!</definedName>
    <definedName name="EE" localSheetId="6">#REF!</definedName>
    <definedName name="EE" localSheetId="7">#REF!</definedName>
    <definedName name="EE" localSheetId="8">#REF!</definedName>
    <definedName name="EE" localSheetId="4">#REF!</definedName>
    <definedName name="EE" localSheetId="1">#REF!</definedName>
    <definedName name="EE">#REF!</definedName>
    <definedName name="EPOXY" localSheetId="5">#REF!</definedName>
    <definedName name="EPOXY" localSheetId="3">#REF!</definedName>
    <definedName name="EPOXY" localSheetId="6">#REF!</definedName>
    <definedName name="EPOXY" localSheetId="7">#REF!</definedName>
    <definedName name="EPOXY" localSheetId="8">#REF!</definedName>
    <definedName name="EPOXY" localSheetId="4">#REF!</definedName>
    <definedName name="EPOXY" localSheetId="1">#REF!</definedName>
    <definedName name="EPOXY">#REF!</definedName>
    <definedName name="_xlnm.Extract" localSheetId="5">[12]SILICATE!#REF!</definedName>
    <definedName name="_xlnm.Extract" localSheetId="3">[12]SILICATE!#REF!</definedName>
    <definedName name="_xlnm.Extract" localSheetId="6">[12]SILICATE!#REF!</definedName>
    <definedName name="_xlnm.Extract" localSheetId="7">[12]SILICATE!#REF!</definedName>
    <definedName name="_xlnm.Extract" localSheetId="8">[12]SILICATE!#REF!</definedName>
    <definedName name="_xlnm.Extract" localSheetId="4">[12]SILICATE!#REF!</definedName>
    <definedName name="_xlnm.Extract" localSheetId="1">[12]SILICATE!#REF!</definedName>
    <definedName name="_xlnm.Extract">[12]SILICATE!#REF!</definedName>
    <definedName name="F" localSheetId="5">[13]표지!#REF!</definedName>
    <definedName name="F" localSheetId="3">[13]표지!#REF!</definedName>
    <definedName name="F" localSheetId="6">[13]표지!#REF!</definedName>
    <definedName name="F" localSheetId="7">[13]표지!#REF!</definedName>
    <definedName name="F" localSheetId="8">[13]표지!#REF!</definedName>
    <definedName name="F" localSheetId="4">[13]표지!#REF!</definedName>
    <definedName name="F" localSheetId="1">[13]표지!#REF!</definedName>
    <definedName name="F">[13]표지!#REF!</definedName>
    <definedName name="F_DESC">#N/A</definedName>
    <definedName name="F_SIZE">#N/A</definedName>
    <definedName name="F_UNIT">#N/A</definedName>
    <definedName name="FA">#N/A</definedName>
    <definedName name="faCTOR" localSheetId="5">#REF!</definedName>
    <definedName name="faCTOR" localSheetId="3">#REF!</definedName>
    <definedName name="faCTOR" localSheetId="6">#REF!</definedName>
    <definedName name="faCTOR" localSheetId="7">#REF!</definedName>
    <definedName name="faCTOR" localSheetId="8">#REF!</definedName>
    <definedName name="faCTOR" localSheetId="4">#REF!</definedName>
    <definedName name="faCTOR" localSheetId="1">#REF!</definedName>
    <definedName name="faCTOR">#REF!</definedName>
    <definedName name="FG" localSheetId="5">BlankMacro1</definedName>
    <definedName name="FG" localSheetId="3">BlankMacro1</definedName>
    <definedName name="FG" localSheetId="6">BlankMacro1</definedName>
    <definedName name="FG" localSheetId="7">BlankMacro1</definedName>
    <definedName name="FG" localSheetId="8">BlankMacro1</definedName>
    <definedName name="FG" localSheetId="4">BlankMacro1</definedName>
    <definedName name="FG" localSheetId="1">BlankMacro1</definedName>
    <definedName name="FG">BlankMacro1</definedName>
    <definedName name="fgPDPDDKDKDKDKDKTBSPSPSPSPRTPRL" localSheetId="5">[15]예산M12A!#REF!</definedName>
    <definedName name="fgPDPDDKDKDKDKDKTBSPSPSPSPRTPRL" localSheetId="3">[15]예산M12A!#REF!</definedName>
    <definedName name="fgPDPDDKDKDKDKDKTBSPSPSPSPRTPRL" localSheetId="6">[15]예산M12A!#REF!</definedName>
    <definedName name="fgPDPDDKDKDKDKDKTBSPSPSPSPRTPRL" localSheetId="7">[15]예산M12A!#REF!</definedName>
    <definedName name="fgPDPDDKDKDKDKDKTBSPSPSPSPRTPRL" localSheetId="8">[15]예산M12A!#REF!</definedName>
    <definedName name="fgPDPDDKDKDKDKDKTBSPSPSPSPRTPRL" localSheetId="4">[15]예산M12A!#REF!</definedName>
    <definedName name="fgPDPDDKDKDKDKDKTBSPSPSPSPRTPRL" localSheetId="1">[15]예산M12A!#REF!</definedName>
    <definedName name="fgPDPDDKDKDKDKDKTBSPSPSPSPRTPRL">[15]예산M12A!#REF!</definedName>
    <definedName name="FGPRPRRKRKRKTBTB2RTDKDK" localSheetId="5">'[16]VENDOR LIST'!#REF!</definedName>
    <definedName name="FGPRPRRKRKRKTBTB2RTDKDK" localSheetId="3">'[16]VENDOR LIST'!#REF!</definedName>
    <definedName name="FGPRPRRKRKRKTBTB2RTDKDK" localSheetId="6">'[16]VENDOR LIST'!#REF!</definedName>
    <definedName name="FGPRPRRKRKRKTBTB2RTDKDK" localSheetId="7">'[16]VENDOR LIST'!#REF!</definedName>
    <definedName name="FGPRPRRKRKRKTBTB2RTDKDK" localSheetId="8">'[16]VENDOR LIST'!#REF!</definedName>
    <definedName name="FGPRPRRKRKRKTBTB2RTDKDK" localSheetId="4">'[16]VENDOR LIST'!#REF!</definedName>
    <definedName name="FGPRPRRKRKRKTBTB2RTDKDK" localSheetId="1">'[16]VENDOR LIST'!#REF!</definedName>
    <definedName name="FGPRPRRKRKRKTBTB2RTDKDK">'[16]VENDOR LIST'!#REF!</definedName>
    <definedName name="FGPRRKRKRKRKPDPDDKDKDKDKDKTBSPS" localSheetId="5">[15]예산M12A!#REF!</definedName>
    <definedName name="FGPRRKRKRKRKPDPDDKDKDKDKDKTBSPS" localSheetId="3">[15]예산M12A!#REF!</definedName>
    <definedName name="FGPRRKRKRKRKPDPDDKDKDKDKDKTBSPS" localSheetId="6">[15]예산M12A!#REF!</definedName>
    <definedName name="FGPRRKRKRKRKPDPDDKDKDKDKDKTBSPS" localSheetId="7">[15]예산M12A!#REF!</definedName>
    <definedName name="FGPRRKRKRKRKPDPDDKDKDKDKDKTBSPS" localSheetId="8">[15]예산M12A!#REF!</definedName>
    <definedName name="FGPRRKRKRKRKPDPDDKDKDKDKDKTBSPS" localSheetId="4">[15]예산M12A!#REF!</definedName>
    <definedName name="FGPRRKRKRKRKPDPDDKDKDKDKDKTBSPS" localSheetId="1">[15]예산M12A!#REF!</definedName>
    <definedName name="FGPRRKRKRKRKPDPDDKDKDKDKDKTBSPS">[15]예산M12A!#REF!</definedName>
    <definedName name="FGPRRKRKRKRKRTDKDKDK" localSheetId="5">[15]예산M12A!#REF!</definedName>
    <definedName name="FGPRRKRKRKRKRTDKDKDK" localSheetId="3">[15]예산M12A!#REF!</definedName>
    <definedName name="FGPRRKRKRKRKRTDKDKDK" localSheetId="6">[15]예산M12A!#REF!</definedName>
    <definedName name="FGPRRKRKRKRKRTDKDKDK" localSheetId="7">[15]예산M12A!#REF!</definedName>
    <definedName name="FGPRRKRKRKRKRTDKDKDK" localSheetId="8">[15]예산M12A!#REF!</definedName>
    <definedName name="FGPRRKRKRKRKRTDKDKDK" localSheetId="4">[15]예산M12A!#REF!</definedName>
    <definedName name="FGPRRKRKRKRKRTDKDKDK" localSheetId="1">[15]예산M12A!#REF!</definedName>
    <definedName name="FGPRRKRKRKRKRTDKDKDK">[15]예산M12A!#REF!</definedName>
    <definedName name="FGPRRKRKRKRKTB0TB2TB0RTDKDK" localSheetId="5">[15]예산M12A!#REF!</definedName>
    <definedName name="FGPRRKRKRKRKTB0TB2TB0RTDKDK" localSheetId="3">[15]예산M12A!#REF!</definedName>
    <definedName name="FGPRRKRKRKRKTB0TB2TB0RTDKDK" localSheetId="6">[15]예산M12A!#REF!</definedName>
    <definedName name="FGPRRKRKRKRKTB0TB2TB0RTDKDK" localSheetId="7">[15]예산M12A!#REF!</definedName>
    <definedName name="FGPRRKRKRKRKTB0TB2TB0RTDKDK" localSheetId="8">[15]예산M12A!#REF!</definedName>
    <definedName name="FGPRRKRKRKRKTB0TB2TB0RTDKDK" localSheetId="4">[15]예산M12A!#REF!</definedName>
    <definedName name="FGPRRKRKRKRKTB0TB2TB0RTDKDK" localSheetId="1">[15]예산M12A!#REF!</definedName>
    <definedName name="FGPRRKRKRKRKTB0TB2TB0RTDKDK">[15]예산M12A!#REF!</definedName>
    <definedName name="FGPRTBTB1RTDKDK" localSheetId="5">#REF!</definedName>
    <definedName name="FGPRTBTB1RTDKDK" localSheetId="3">#REF!</definedName>
    <definedName name="FGPRTBTB1RTDKDK" localSheetId="6">#REF!</definedName>
    <definedName name="FGPRTBTB1RTDKDK" localSheetId="7">#REF!</definedName>
    <definedName name="FGPRTBTB1RTDKDK" localSheetId="8">#REF!</definedName>
    <definedName name="FGPRTBTB1RTDKDK" localSheetId="4">#REF!</definedName>
    <definedName name="FGPRTBTB1RTDKDK" localSheetId="1">#REF!</definedName>
    <definedName name="FGPRTBTB1RTDKDK">#REF!</definedName>
    <definedName name="FGRKRKRKRKRKRKRKRKRKRKRKRKRKRKT" localSheetId="5">#REF!</definedName>
    <definedName name="FGRKRKRKRKRKRKRKRKRKRKRKRKRKRKT" localSheetId="3">#REF!</definedName>
    <definedName name="FGRKRKRKRKRKRKRKRKRKRKRKRKRKRKT" localSheetId="6">#REF!</definedName>
    <definedName name="FGRKRKRKRKRKRKRKRKRKRKRKRKRKRKT" localSheetId="7">#REF!</definedName>
    <definedName name="FGRKRKRKRKRKRKRKRKRKRKRKRKRKRKT" localSheetId="8">#REF!</definedName>
    <definedName name="FGRKRKRKRKRKRKRKRKRKRKRKRKRKRKT" localSheetId="4">#REF!</definedName>
    <definedName name="FGRKRKRKRKRKRKRKRKRKRKRKRKRKRKT" localSheetId="1">#REF!</definedName>
    <definedName name="FGRKRKRKRKRKRKRKRKRKRKRKRKRKRKT">#REF!</definedName>
    <definedName name="G" localSheetId="5">[13]표지!#REF!</definedName>
    <definedName name="G" localSheetId="3">[13]표지!#REF!</definedName>
    <definedName name="G" localSheetId="6">[13]표지!#REF!</definedName>
    <definedName name="G" localSheetId="7">[13]표지!#REF!</definedName>
    <definedName name="G" localSheetId="8">[13]표지!#REF!</definedName>
    <definedName name="G" localSheetId="4">[13]표지!#REF!</definedName>
    <definedName name="G" localSheetId="1">[13]표지!#REF!</definedName>
    <definedName name="G">[13]표지!#REF!</definedName>
    <definedName name="GASUL" localSheetId="5">#REF!</definedName>
    <definedName name="GASUL" localSheetId="3">#REF!</definedName>
    <definedName name="GASUL" localSheetId="6">#REF!</definedName>
    <definedName name="GASUL" localSheetId="7">#REF!</definedName>
    <definedName name="GASUL" localSheetId="8">#REF!</definedName>
    <definedName name="GASUL" localSheetId="4">#REF!</definedName>
    <definedName name="GASUL" localSheetId="1">#REF!</definedName>
    <definedName name="GASUL">#REF!</definedName>
    <definedName name="gf">[17]토공정보!$B$7:$L$31</definedName>
    <definedName name="GFJHGF" localSheetId="5">#REF!</definedName>
    <definedName name="GFJHGF" localSheetId="3">#REF!</definedName>
    <definedName name="GFJHGF" localSheetId="6">#REF!</definedName>
    <definedName name="GFJHGF" localSheetId="7">#REF!</definedName>
    <definedName name="GFJHGF" localSheetId="8">#REF!</definedName>
    <definedName name="GFJHGF" localSheetId="4">#REF!</definedName>
    <definedName name="GFJHGF" localSheetId="1">#REF!</definedName>
    <definedName name="GFJHGF">#REF!</definedName>
    <definedName name="GGJGJJKLHGGFF" localSheetId="5">#REF!</definedName>
    <definedName name="GGJGJJKLHGGFF" localSheetId="3">#REF!</definedName>
    <definedName name="GGJGJJKLHGGFF" localSheetId="6">#REF!</definedName>
    <definedName name="GGJGJJKLHGGFF" localSheetId="7">#REF!</definedName>
    <definedName name="GGJGJJKLHGGFF" localSheetId="8">#REF!</definedName>
    <definedName name="GGJGJJKLHGGFF" localSheetId="4">#REF!</definedName>
    <definedName name="GGJGJJKLHGGFF" localSheetId="1">#REF!</definedName>
    <definedName name="GGJGJJKLHGGFF">#REF!</definedName>
    <definedName name="GoBack" localSheetId="5">[14]Sheet1!GoBack</definedName>
    <definedName name="GoBack" localSheetId="3">[14]Sheet1!GoBack</definedName>
    <definedName name="GoBack" localSheetId="6">[14]Sheet1!GoBack</definedName>
    <definedName name="GoBack" localSheetId="7">[14]Sheet1!GoBack</definedName>
    <definedName name="GoBack" localSheetId="8">[14]Sheet1!GoBack</definedName>
    <definedName name="GoBack" localSheetId="4">[14]Sheet1!GoBack</definedName>
    <definedName name="GoBack" localSheetId="1">[14]Sheet1!GoBack</definedName>
    <definedName name="GoBack">[14]Sheet1!GoBack</definedName>
    <definedName name="H" localSheetId="5">'[18]토류판설치(t=60)'!#REF!</definedName>
    <definedName name="H" localSheetId="3">'[18]토류판설치(t=60)'!#REF!</definedName>
    <definedName name="H" localSheetId="6">'[18]토류판설치(t=60)'!#REF!</definedName>
    <definedName name="H" localSheetId="7">'[18]토류판설치(t=60)'!#REF!</definedName>
    <definedName name="H" localSheetId="8">'[18]토류판설치(t=60)'!#REF!</definedName>
    <definedName name="H" localSheetId="4">'[18]토류판설치(t=60)'!#REF!</definedName>
    <definedName name="H" localSheetId="1">'[18]토류판설치(t=60)'!#REF!</definedName>
    <definedName name="H">'[18]토류판설치(t=60)'!#REF!</definedName>
    <definedName name="h22.5" localSheetId="5">#REF!</definedName>
    <definedName name="h22.5" localSheetId="3">#REF!</definedName>
    <definedName name="h22.5" localSheetId="6">#REF!</definedName>
    <definedName name="h22.5" localSheetId="7">#REF!</definedName>
    <definedName name="h22.5" localSheetId="8">#REF!</definedName>
    <definedName name="h22.5" localSheetId="4">#REF!</definedName>
    <definedName name="h22.5" localSheetId="1">#REF!</definedName>
    <definedName name="h22.5">#REF!</definedName>
    <definedName name="HE번호">#N/A</definedName>
    <definedName name="hu" localSheetId="5">#REF!</definedName>
    <definedName name="hu" localSheetId="3">#REF!</definedName>
    <definedName name="hu" localSheetId="6">#REF!</definedName>
    <definedName name="hu" localSheetId="7">#REF!</definedName>
    <definedName name="hu" localSheetId="8">#REF!</definedName>
    <definedName name="hu" localSheetId="4">#REF!</definedName>
    <definedName name="hu" localSheetId="1">#REF!</definedName>
    <definedName name="hu">#REF!</definedName>
    <definedName name="ID" localSheetId="5">#REF!,#REF!</definedName>
    <definedName name="ID" localSheetId="3">#REF!,#REF!</definedName>
    <definedName name="ID" localSheetId="6">#REF!,#REF!</definedName>
    <definedName name="ID" localSheetId="7">#REF!,#REF!</definedName>
    <definedName name="ID" localSheetId="8">#REF!,#REF!</definedName>
    <definedName name="ID" localSheetId="4">#REF!,#REF!</definedName>
    <definedName name="ID" localSheetId="1">#REF!,#REF!</definedName>
    <definedName name="ID">#REF!,#REF!</definedName>
    <definedName name="INSUL_FLANGE" localSheetId="5">ROUND(((#REF!+2*#REF!)*3.141*#REF!+2*3.141*(#REF!+2*#REF!)^2/4)/1000000,3)</definedName>
    <definedName name="INSUL_FLANGE" localSheetId="3">ROUND(((#REF!+2*#REF!)*3.141*#REF!+2*3.141*(#REF!+2*#REF!)^2/4)/1000000,3)</definedName>
    <definedName name="INSUL_FLANGE" localSheetId="6">ROUND(((#REF!+2*#REF!)*3.141*#REF!+2*3.141*(#REF!+2*#REF!)^2/4)/1000000,3)</definedName>
    <definedName name="INSUL_FLANGE" localSheetId="7">ROUND(((#REF!+2*#REF!)*3.141*#REF!+2*3.141*(#REF!+2*#REF!)^2/4)/1000000,3)</definedName>
    <definedName name="INSUL_FLANGE" localSheetId="8">ROUND(((#REF!+2*#REF!)*3.141*#REF!+2*3.141*(#REF!+2*#REF!)^2/4)/1000000,3)</definedName>
    <definedName name="INSUL_FLANGE" localSheetId="4">ROUND(((#REF!+2*#REF!)*3.141*#REF!+2*3.141*(#REF!+2*#REF!)^2/4)/1000000,3)</definedName>
    <definedName name="INSUL_FLANGE" localSheetId="1">ROUND(((#REF!+2*#REF!)*3.141*#REF!+2*3.141*(#REF!+2*#REF!)^2/4)/1000000,3)</definedName>
    <definedName name="INSUL_FLANGE">ROUND(((#REF!+2*#REF!)*3.141*#REF!+2*3.141*(#REF!+2*#REF!)^2/4)/1000000,3)</definedName>
    <definedName name="INSUL_VALVE" localSheetId="5">ROUND(2*(#REF!*(#REF!+2*#REF!)+(#REF!*#REF!)+(#REF!+2*#REF!)*(#REF!+2*#REF!))/1000000,3)</definedName>
    <definedName name="INSUL_VALVE" localSheetId="3">ROUND(2*(#REF!*(#REF!+2*#REF!)+(#REF!*#REF!)+(#REF!+2*#REF!)*(#REF!+2*#REF!))/1000000,3)</definedName>
    <definedName name="INSUL_VALVE" localSheetId="6">ROUND(2*(#REF!*(#REF!+2*#REF!)+(#REF!*#REF!)+(#REF!+2*#REF!)*(#REF!+2*#REF!))/1000000,3)</definedName>
    <definedName name="INSUL_VALVE" localSheetId="7">ROUND(2*(#REF!*(#REF!+2*#REF!)+(#REF!*#REF!)+(#REF!+2*#REF!)*(#REF!+2*#REF!))/1000000,3)</definedName>
    <definedName name="INSUL_VALVE" localSheetId="8">ROUND(2*(#REF!*(#REF!+2*#REF!)+(#REF!*#REF!)+(#REF!+2*#REF!)*(#REF!+2*#REF!))/1000000,3)</definedName>
    <definedName name="INSUL_VALVE" localSheetId="4">ROUND(2*(#REF!*(#REF!+2*#REF!)+(#REF!*#REF!)+(#REF!+2*#REF!)*(#REF!+2*#REF!))/1000000,3)</definedName>
    <definedName name="INSUL_VALVE" localSheetId="1">ROUND(2*(#REF!*(#REF!+2*#REF!)+(#REF!*#REF!)+(#REF!+2*#REF!)*(#REF!+2*#REF!))/1000000,3)</definedName>
    <definedName name="INSUL_VALVE">ROUND(2*(#REF!*(#REF!+2*#REF!)+(#REF!*#REF!)+(#REF!+2*#REF!)*(#REF!+2*#REF!))/1000000,3)</definedName>
    <definedName name="ITNUM">#N/A</definedName>
    <definedName name="JGVCV">[0]!JGVCV</definedName>
    <definedName name="K" localSheetId="5">#REF!</definedName>
    <definedName name="K" localSheetId="3">#REF!</definedName>
    <definedName name="K" localSheetId="6">#REF!</definedName>
    <definedName name="K" localSheetId="7">#REF!</definedName>
    <definedName name="K" localSheetId="8">#REF!</definedName>
    <definedName name="K" localSheetId="4">#REF!</definedName>
    <definedName name="K" localSheetId="1">#REF!</definedName>
    <definedName name="K">#REF!</definedName>
    <definedName name="KA">[19]MOTOR!$B$61:$E$68</definedName>
    <definedName name="KLIJHUILO" localSheetId="5">[20]공통비!#REF!</definedName>
    <definedName name="KLIJHUILO" localSheetId="3">[20]공통비!#REF!</definedName>
    <definedName name="KLIJHUILO" localSheetId="6">[20]공통비!#REF!</definedName>
    <definedName name="KLIJHUILO" localSheetId="7">[20]공통비!#REF!</definedName>
    <definedName name="KLIJHUILO" localSheetId="8">[20]공통비!#REF!</definedName>
    <definedName name="KLIJHUILO" localSheetId="4">[20]공통비!#REF!</definedName>
    <definedName name="KLIJHUILO" localSheetId="1">[20]공통비!#REF!</definedName>
    <definedName name="KLIJHUILO">[20]공통비!#REF!</definedName>
    <definedName name="kum">ROUND([0]!kum*0.0254,3)</definedName>
    <definedName name="LLLL" localSheetId="5">#REF!</definedName>
    <definedName name="LLLL" localSheetId="3">#REF!</definedName>
    <definedName name="LLLL" localSheetId="6">#REF!</definedName>
    <definedName name="LLLL" localSheetId="7">#REF!</definedName>
    <definedName name="LLLL" localSheetId="8">#REF!</definedName>
    <definedName name="LLLL" localSheetId="4">#REF!</definedName>
    <definedName name="LLLL" localSheetId="1">#REF!</definedName>
    <definedName name="LLLL">#REF!</definedName>
    <definedName name="LS">3.14*([5]PIPE!XEY1+(2*[5]PIPE!$C1))/1000*[5]PIPE!XFB1*1.1</definedName>
    <definedName name="LS_FIT" localSheetId="5">3.14*(#REF!+(2*#REF!))/1000*#REF!*1.1</definedName>
    <definedName name="LS_FIT" localSheetId="3">3.14*(#REF!+(2*#REF!))/1000*#REF!*1.1</definedName>
    <definedName name="LS_FIT" localSheetId="6">3.14*(#REF!+(2*#REF!))/1000*#REF!*1.1</definedName>
    <definedName name="LS_FIT" localSheetId="7">3.14*(#REF!+(2*#REF!))/1000*#REF!*1.1</definedName>
    <definedName name="LS_FIT" localSheetId="8">3.14*(#REF!+(2*#REF!))/1000*#REF!*1.1</definedName>
    <definedName name="LS_FIT" localSheetId="4">3.14*(#REF!+(2*#REF!))/1000*#REF!*1.1</definedName>
    <definedName name="LS_FIT" localSheetId="1">3.14*(#REF!+(2*#REF!))/1000*#REF!*1.1</definedName>
    <definedName name="LS_FIT">3.14*(#REF!+(2*#REF!))/1000*#REF!*1.1</definedName>
    <definedName name="LS_FIT1">3.14*([5]PIPE!XEY1+(2*[5]PIPE!$C1))/1000*[5]PIPE!XFB1*1.1</definedName>
    <definedName name="LS_FLANGE" localSheetId="5">ROUND(((3.141*(#REF!+2*#REF!)*(#REF!+2*#REF!))+(2*3.141*(#REF!+2*#REF!)^2/4))/1000000,3)</definedName>
    <definedName name="LS_FLANGE" localSheetId="3">ROUND(((3.141*(#REF!+2*#REF!)*(#REF!+2*#REF!))+(2*3.141*(#REF!+2*#REF!)^2/4))/1000000,3)</definedName>
    <definedName name="LS_FLANGE" localSheetId="6">ROUND(((3.141*(#REF!+2*#REF!)*(#REF!+2*#REF!))+(2*3.141*(#REF!+2*#REF!)^2/4))/1000000,3)</definedName>
    <definedName name="LS_FLANGE" localSheetId="7">ROUND(((3.141*(#REF!+2*#REF!)*(#REF!+2*#REF!))+(2*3.141*(#REF!+2*#REF!)^2/4))/1000000,3)</definedName>
    <definedName name="LS_FLANGE" localSheetId="8">ROUND(((3.141*(#REF!+2*#REF!)*(#REF!+2*#REF!))+(2*3.141*(#REF!+2*#REF!)^2/4))/1000000,3)</definedName>
    <definedName name="LS_FLANGE" localSheetId="4">ROUND(((3.141*(#REF!+2*#REF!)*(#REF!+2*#REF!))+(2*3.141*(#REF!+2*#REF!)^2/4))/1000000,3)</definedName>
    <definedName name="LS_FLANGE" localSheetId="1">ROUND(((3.141*(#REF!+2*#REF!)*(#REF!+2*#REF!))+(2*3.141*(#REF!+2*#REF!)^2/4))/1000000,3)</definedName>
    <definedName name="LS_FLANGE">ROUND(((3.141*(#REF!+2*#REF!)*(#REF!+2*#REF!))+(2*3.141*(#REF!+2*#REF!)^2/4))/1000000,3)</definedName>
    <definedName name="LS_PIPE" localSheetId="5">3.14*(#REF!+(2*#REF!))/1000*#REF!*1.1</definedName>
    <definedName name="LS_PIPE" localSheetId="3">3.14*(#REF!+(2*#REF!))/1000*#REF!*1.1</definedName>
    <definedName name="LS_PIPE" localSheetId="6">3.14*(#REF!+(2*#REF!))/1000*#REF!*1.1</definedName>
    <definedName name="LS_PIPE" localSheetId="7">3.14*(#REF!+(2*#REF!))/1000*#REF!*1.1</definedName>
    <definedName name="LS_PIPE" localSheetId="8">3.14*(#REF!+(2*#REF!))/1000*#REF!*1.1</definedName>
    <definedName name="LS_PIPE" localSheetId="4">3.14*(#REF!+(2*#REF!))/1000*#REF!*1.1</definedName>
    <definedName name="LS_PIPE" localSheetId="1">3.14*(#REF!+(2*#REF!))/1000*#REF!*1.1</definedName>
    <definedName name="LS_PIPE">3.14*(#REF!+(2*#REF!))/1000*#REF!*1.1</definedName>
    <definedName name="LS_PIPE1">3.14*([5]PIPE!$B1+(2*[5]PIPE!$C1))/1000*[5]PIPE!XFB1*1.1</definedName>
    <definedName name="LS_TOTAL" localSheetId="5">SUM(#REF!+#REF!)</definedName>
    <definedName name="LS_TOTAL" localSheetId="3">SUM(#REF!+#REF!)</definedName>
    <definedName name="LS_TOTAL" localSheetId="6">SUM(#REF!+#REF!)</definedName>
    <definedName name="LS_TOTAL" localSheetId="7">SUM(#REF!+#REF!)</definedName>
    <definedName name="LS_TOTAL" localSheetId="8">SUM(#REF!+#REF!)</definedName>
    <definedName name="LS_TOTAL" localSheetId="4">SUM(#REF!+#REF!)</definedName>
    <definedName name="LS_TOTAL" localSheetId="1">SUM(#REF!+#REF!)</definedName>
    <definedName name="LS_TOTAL">SUM(#REF!+#REF!)</definedName>
    <definedName name="LS_TOTAL1">SUM([5]PIPE!XFC1+[5]PIPE!XFD1)</definedName>
    <definedName name="LS_VALVE" localSheetId="5">ROUND(2*((#REF!+2*#REF!)*(#REF!+2*#REF!)+(#REF!+2*#REF!)*(#REF!+2*#REF!)+(#REF!+2*#REF!)*(#REF!+2*#REF!))/1000000,3)</definedName>
    <definedName name="LS_VALVE" localSheetId="3">ROUND(2*((#REF!+2*#REF!)*(#REF!+2*#REF!)+(#REF!+2*#REF!)*(#REF!+2*#REF!)+(#REF!+2*#REF!)*(#REF!+2*#REF!))/1000000,3)</definedName>
    <definedName name="LS_VALVE" localSheetId="6">ROUND(2*((#REF!+2*#REF!)*(#REF!+2*#REF!)+(#REF!+2*#REF!)*(#REF!+2*#REF!)+(#REF!+2*#REF!)*(#REF!+2*#REF!))/1000000,3)</definedName>
    <definedName name="LS_VALVE" localSheetId="7">ROUND(2*((#REF!+2*#REF!)*(#REF!+2*#REF!)+(#REF!+2*#REF!)*(#REF!+2*#REF!)+(#REF!+2*#REF!)*(#REF!+2*#REF!))/1000000,3)</definedName>
    <definedName name="LS_VALVE" localSheetId="8">ROUND(2*((#REF!+2*#REF!)*(#REF!+2*#REF!)+(#REF!+2*#REF!)*(#REF!+2*#REF!)+(#REF!+2*#REF!)*(#REF!+2*#REF!))/1000000,3)</definedName>
    <definedName name="LS_VALVE" localSheetId="4">ROUND(2*((#REF!+2*#REF!)*(#REF!+2*#REF!)+(#REF!+2*#REF!)*(#REF!+2*#REF!)+(#REF!+2*#REF!)*(#REF!+2*#REF!))/1000000,3)</definedName>
    <definedName name="LS_VALVE" localSheetId="1">ROUND(2*((#REF!+2*#REF!)*(#REF!+2*#REF!)+(#REF!+2*#REF!)*(#REF!+2*#REF!)+(#REF!+2*#REF!)*(#REF!+2*#REF!))/1000000,3)</definedName>
    <definedName name="LS_VALVE">ROUND(2*((#REF!+2*#REF!)*(#REF!+2*#REF!)+(#REF!+2*#REF!)*(#REF!+2*#REF!)+(#REF!+2*#REF!)*(#REF!+2*#REF!))/1000000,3)</definedName>
    <definedName name="Macro10" localSheetId="5">[21]!Macro10</definedName>
    <definedName name="Macro10" localSheetId="3">[21]!Macro10</definedName>
    <definedName name="Macro10" localSheetId="6">[21]!Macro10</definedName>
    <definedName name="Macro10" localSheetId="7">[21]!Macro10</definedName>
    <definedName name="Macro10" localSheetId="8">[21]!Macro10</definedName>
    <definedName name="Macro10" localSheetId="4">[21]!Macro10</definedName>
    <definedName name="Macro10" localSheetId="1">[21]!Macro10</definedName>
    <definedName name="Macro10">[21]!Macro10</definedName>
    <definedName name="Macro12" localSheetId="5">[21]!Macro12</definedName>
    <definedName name="Macro12" localSheetId="3">[21]!Macro12</definedName>
    <definedName name="Macro12" localSheetId="6">[21]!Macro12</definedName>
    <definedName name="Macro12" localSheetId="7">[21]!Macro12</definedName>
    <definedName name="Macro12" localSheetId="8">[21]!Macro12</definedName>
    <definedName name="Macro12" localSheetId="4">[21]!Macro12</definedName>
    <definedName name="Macro12" localSheetId="1">[21]!Macro12</definedName>
    <definedName name="Macro12">[21]!Macro12</definedName>
    <definedName name="Macro13" localSheetId="5">[21]!Macro13</definedName>
    <definedName name="Macro13" localSheetId="3">[21]!Macro13</definedName>
    <definedName name="Macro13" localSheetId="6">[21]!Macro13</definedName>
    <definedName name="Macro13" localSheetId="7">[21]!Macro13</definedName>
    <definedName name="Macro13" localSheetId="8">[21]!Macro13</definedName>
    <definedName name="Macro13" localSheetId="4">[21]!Macro13</definedName>
    <definedName name="Macro13" localSheetId="1">[21]!Macro13</definedName>
    <definedName name="Macro13">[21]!Macro13</definedName>
    <definedName name="Macro14" localSheetId="5">[21]!Macro14</definedName>
    <definedName name="Macro14" localSheetId="3">[21]!Macro14</definedName>
    <definedName name="Macro14" localSheetId="6">[21]!Macro14</definedName>
    <definedName name="Macro14" localSheetId="7">[21]!Macro14</definedName>
    <definedName name="Macro14" localSheetId="8">[21]!Macro14</definedName>
    <definedName name="Macro14" localSheetId="4">[21]!Macro14</definedName>
    <definedName name="Macro14" localSheetId="1">[21]!Macro14</definedName>
    <definedName name="Macro14">[21]!Macro14</definedName>
    <definedName name="Macro2" localSheetId="5">[21]!Macro2</definedName>
    <definedName name="Macro2" localSheetId="3">[21]!Macro2</definedName>
    <definedName name="Macro2" localSheetId="6">[21]!Macro2</definedName>
    <definedName name="Macro2" localSheetId="7">[21]!Macro2</definedName>
    <definedName name="Macro2" localSheetId="8">[21]!Macro2</definedName>
    <definedName name="Macro2" localSheetId="4">[21]!Macro2</definedName>
    <definedName name="Macro2" localSheetId="1">[21]!Macro2</definedName>
    <definedName name="Macro2">[21]!Macro2</definedName>
    <definedName name="Macro3">[22]!Macro3</definedName>
    <definedName name="Macro5" localSheetId="5">[21]!Macro5</definedName>
    <definedName name="Macro5" localSheetId="3">[21]!Macro5</definedName>
    <definedName name="Macro5" localSheetId="6">[21]!Macro5</definedName>
    <definedName name="Macro5" localSheetId="7">[21]!Macro5</definedName>
    <definedName name="Macro5" localSheetId="8">[21]!Macro5</definedName>
    <definedName name="Macro5" localSheetId="4">[21]!Macro5</definedName>
    <definedName name="Macro5" localSheetId="1">[21]!Macro5</definedName>
    <definedName name="Macro5">[21]!Macro5</definedName>
    <definedName name="Macro6" localSheetId="5">[21]!Macro6</definedName>
    <definedName name="Macro6" localSheetId="3">[21]!Macro6</definedName>
    <definedName name="Macro6" localSheetId="6">[21]!Macro6</definedName>
    <definedName name="Macro6" localSheetId="7">[21]!Macro6</definedName>
    <definedName name="Macro6" localSheetId="8">[21]!Macro6</definedName>
    <definedName name="Macro6" localSheetId="4">[21]!Macro6</definedName>
    <definedName name="Macro6" localSheetId="1">[21]!Macro6</definedName>
    <definedName name="Macro6">[21]!Macro6</definedName>
    <definedName name="Macro7" localSheetId="5">[21]!Macro7</definedName>
    <definedName name="Macro7" localSheetId="3">[21]!Macro7</definedName>
    <definedName name="Macro7" localSheetId="6">[21]!Macro7</definedName>
    <definedName name="Macro7" localSheetId="7">[21]!Macro7</definedName>
    <definedName name="Macro7" localSheetId="8">[21]!Macro7</definedName>
    <definedName name="Macro7" localSheetId="4">[21]!Macro7</definedName>
    <definedName name="Macro7" localSheetId="1">[21]!Macro7</definedName>
    <definedName name="Macro7">[21]!Macro7</definedName>
    <definedName name="Macro8" localSheetId="5">[21]!Macro8</definedName>
    <definedName name="Macro8" localSheetId="3">[21]!Macro8</definedName>
    <definedName name="Macro8" localSheetId="6">[21]!Macro8</definedName>
    <definedName name="Macro8" localSheetId="7">[21]!Macro8</definedName>
    <definedName name="Macro8" localSheetId="8">[21]!Macro8</definedName>
    <definedName name="Macro8" localSheetId="4">[21]!Macro8</definedName>
    <definedName name="Macro8" localSheetId="1">[21]!Macro8</definedName>
    <definedName name="Macro8">[21]!Macro8</definedName>
    <definedName name="Macro9" localSheetId="5">[21]!Macro9</definedName>
    <definedName name="Macro9" localSheetId="3">[21]!Macro9</definedName>
    <definedName name="Macro9" localSheetId="6">[21]!Macro9</definedName>
    <definedName name="Macro9" localSheetId="7">[21]!Macro9</definedName>
    <definedName name="Macro9" localSheetId="8">[21]!Macro9</definedName>
    <definedName name="Macro9" localSheetId="4">[21]!Macro9</definedName>
    <definedName name="Macro9" localSheetId="1">[21]!Macro9</definedName>
    <definedName name="Macro9">[21]!Macro9</definedName>
    <definedName name="MAIN">[23]!MAIN</definedName>
    <definedName name="MENU1" localSheetId="5">#REF!</definedName>
    <definedName name="MENU1" localSheetId="3">#REF!</definedName>
    <definedName name="MENU1" localSheetId="6">#REF!</definedName>
    <definedName name="MENU1" localSheetId="7">#REF!</definedName>
    <definedName name="MENU1" localSheetId="8">#REF!</definedName>
    <definedName name="MENU1" localSheetId="4">#REF!</definedName>
    <definedName name="MENU1" localSheetId="1">#REF!</definedName>
    <definedName name="MENU1">#REF!</definedName>
    <definedName name="MENU2" localSheetId="5">#REF!</definedName>
    <definedName name="MENU2" localSheetId="3">#REF!</definedName>
    <definedName name="MENU2" localSheetId="6">#REF!</definedName>
    <definedName name="MENU2" localSheetId="7">#REF!</definedName>
    <definedName name="MENU2" localSheetId="8">#REF!</definedName>
    <definedName name="MENU2" localSheetId="4">#REF!</definedName>
    <definedName name="MENU2" localSheetId="1">#REF!</definedName>
    <definedName name="MENU2">#REF!</definedName>
    <definedName name="MODEL명">#N/A</definedName>
    <definedName name="MOK_DO_GONG" localSheetId="5">#REF!</definedName>
    <definedName name="MOK_DO_GONG" localSheetId="3">#REF!</definedName>
    <definedName name="MOK_DO_GONG" localSheetId="6">#REF!</definedName>
    <definedName name="MOK_DO_GONG" localSheetId="7">#REF!</definedName>
    <definedName name="MOK_DO_GONG" localSheetId="8">#REF!</definedName>
    <definedName name="MOK_DO_GONG" localSheetId="4">#REF!</definedName>
    <definedName name="MOK_DO_GONG" localSheetId="1">#REF!</definedName>
    <definedName name="MOK_DO_GONG">#REF!</definedName>
    <definedName name="MONEY" localSheetId="5">#REF!,#REF!</definedName>
    <definedName name="MONEY" localSheetId="3">#REF!,#REF!</definedName>
    <definedName name="MONEY" localSheetId="6">#REF!,#REF!</definedName>
    <definedName name="MONEY" localSheetId="7">#REF!,#REF!</definedName>
    <definedName name="MONEY" localSheetId="8">#REF!,#REF!</definedName>
    <definedName name="MONEY" localSheetId="4">#REF!,#REF!</definedName>
    <definedName name="MONEY" localSheetId="1">#REF!,#REF!</definedName>
    <definedName name="MONEY">#REF!,#REF!</definedName>
    <definedName name="N" localSheetId="5">#REF!</definedName>
    <definedName name="N" localSheetId="3">#REF!</definedName>
    <definedName name="N" localSheetId="6">#REF!</definedName>
    <definedName name="N" localSheetId="7">#REF!</definedName>
    <definedName name="N" localSheetId="8">#REF!</definedName>
    <definedName name="N" localSheetId="4">#REF!</definedName>
    <definedName name="N" localSheetId="1">#REF!</definedName>
    <definedName name="N">#REF!</definedName>
    <definedName name="NEW">ROUND([0]!NEW*0.0254,3)</definedName>
    <definedName name="news">ROUND([0]!news*0.0254,3)</definedName>
    <definedName name="NFB" localSheetId="5">#REF!</definedName>
    <definedName name="NFB" localSheetId="3">#REF!</definedName>
    <definedName name="NFB" localSheetId="6">#REF!</definedName>
    <definedName name="NFB" localSheetId="7">#REF!</definedName>
    <definedName name="NFB" localSheetId="8">#REF!</definedName>
    <definedName name="NFB" localSheetId="4">#REF!</definedName>
    <definedName name="NFB" localSheetId="1">#REF!</definedName>
    <definedName name="NFB">#REF!</definedName>
    <definedName name="nmk" localSheetId="5">[11]예산M11A!#REF!</definedName>
    <definedName name="nmk" localSheetId="3">[11]예산M11A!#REF!</definedName>
    <definedName name="nmk" localSheetId="6">[11]예산M11A!#REF!</definedName>
    <definedName name="nmk" localSheetId="7">[11]예산M11A!#REF!</definedName>
    <definedName name="nmk" localSheetId="8">[11]예산M11A!#REF!</definedName>
    <definedName name="nmk" localSheetId="4">[11]예산M11A!#REF!</definedName>
    <definedName name="nmk" localSheetId="1">[11]예산M11A!#REF!</definedName>
    <definedName name="nmk">[11]예산M11A!#REF!</definedName>
    <definedName name="PAGE1">#N/A</definedName>
    <definedName name="PAGE10">#N/A</definedName>
    <definedName name="PAGE11">#N/A</definedName>
    <definedName name="PAGE12">#N/A</definedName>
    <definedName name="PAGE13">#N/A</definedName>
    <definedName name="PAGE2">#N/A</definedName>
    <definedName name="page20" localSheetId="5">#REF!</definedName>
    <definedName name="page20" localSheetId="3">#REF!</definedName>
    <definedName name="page20" localSheetId="6">#REF!</definedName>
    <definedName name="page20" localSheetId="7">#REF!</definedName>
    <definedName name="page20" localSheetId="8">#REF!</definedName>
    <definedName name="page20" localSheetId="4">#REF!</definedName>
    <definedName name="page20" localSheetId="1">#REF!</definedName>
    <definedName name="page20">#REF!</definedName>
    <definedName name="PAGE3">#N/A</definedName>
    <definedName name="PAGE4">#N/A</definedName>
    <definedName name="PAGE5">#N/A</definedName>
    <definedName name="PAGE6">#N/A</definedName>
    <definedName name="PAGE7">#N/A</definedName>
    <definedName name="PAGE8">#N/A</definedName>
    <definedName name="PAGE9">#N/A</definedName>
    <definedName name="PAGET">#N/A</definedName>
    <definedName name="PLANT_JE_GWAN_GONG" localSheetId="5">#REF!</definedName>
    <definedName name="PLANT_JE_GWAN_GONG" localSheetId="3">#REF!</definedName>
    <definedName name="PLANT_JE_GWAN_GONG" localSheetId="6">#REF!</definedName>
    <definedName name="PLANT_JE_GWAN_GONG" localSheetId="7">#REF!</definedName>
    <definedName name="PLANT_JE_GWAN_GONG" localSheetId="8">#REF!</definedName>
    <definedName name="PLANT_JE_GWAN_GONG" localSheetId="4">#REF!</definedName>
    <definedName name="PLANT_JE_GWAN_GONG" localSheetId="1">#REF!</definedName>
    <definedName name="PLANT_JE_GWAN_GONG">#REF!</definedName>
    <definedName name="Plugging_M_C" localSheetId="5">#REF!</definedName>
    <definedName name="Plugging_M_C" localSheetId="3">#REF!</definedName>
    <definedName name="Plugging_M_C" localSheetId="6">#REF!</definedName>
    <definedName name="Plugging_M_C" localSheetId="7">#REF!</definedName>
    <definedName name="Plugging_M_C" localSheetId="8">#REF!</definedName>
    <definedName name="Plugging_M_C" localSheetId="4">#REF!</definedName>
    <definedName name="Plugging_M_C" localSheetId="1">#REF!</definedName>
    <definedName name="Plugging_M_C">#REF!</definedName>
    <definedName name="PNT">ROUND([0]!PNT*0.0254,3)</definedName>
    <definedName name="po" localSheetId="5">#REF!</definedName>
    <definedName name="po" localSheetId="3">#REF!</definedName>
    <definedName name="po" localSheetId="6">#REF!</definedName>
    <definedName name="po" localSheetId="7">#REF!</definedName>
    <definedName name="po" localSheetId="8">#REF!</definedName>
    <definedName name="po" localSheetId="4">#REF!</definedName>
    <definedName name="po" localSheetId="1">#REF!</definedName>
    <definedName name="po">#REF!</definedName>
    <definedName name="PPP">[0]!PPP</definedName>
    <definedName name="PP마대쌓기" localSheetId="5">#REF!</definedName>
    <definedName name="PP마대쌓기" localSheetId="3">#REF!</definedName>
    <definedName name="PP마대쌓기" localSheetId="6">#REF!</definedName>
    <definedName name="PP마대쌓기" localSheetId="7">#REF!</definedName>
    <definedName name="PP마대쌓기" localSheetId="8">#REF!</definedName>
    <definedName name="PP마대쌓기" localSheetId="4">#REF!</definedName>
    <definedName name="PP마대쌓기" localSheetId="1">#REF!</definedName>
    <definedName name="PP마대쌓기">#REF!</definedName>
    <definedName name="PRE">[0]!PRE</definedName>
    <definedName name="PRINT_ALL" localSheetId="5">#REF!</definedName>
    <definedName name="PRINT_ALL" localSheetId="3">#REF!</definedName>
    <definedName name="PRINT_ALL" localSheetId="6">#REF!</definedName>
    <definedName name="PRINT_ALL" localSheetId="7">#REF!</definedName>
    <definedName name="PRINT_ALL" localSheetId="8">#REF!</definedName>
    <definedName name="PRINT_ALL" localSheetId="4">#REF!</definedName>
    <definedName name="PRINT_ALL" localSheetId="1">#REF!</definedName>
    <definedName name="PRINT_ALL">#REF!</definedName>
    <definedName name="print_Are" localSheetId="5">#REF!</definedName>
    <definedName name="print_Are" localSheetId="3">#REF!</definedName>
    <definedName name="print_Are" localSheetId="6">#REF!</definedName>
    <definedName name="print_Are" localSheetId="7">#REF!</definedName>
    <definedName name="print_Are" localSheetId="8">#REF!</definedName>
    <definedName name="print_Are" localSheetId="4">#REF!</definedName>
    <definedName name="print_Are" localSheetId="1">#REF!</definedName>
    <definedName name="print_Are">#REF!</definedName>
    <definedName name="_xlnm.Print_Area">#N/A</definedName>
    <definedName name="Print_Area_MI" localSheetId="5">#REF!</definedName>
    <definedName name="Print_Area_MI" localSheetId="3">#REF!</definedName>
    <definedName name="Print_Area_MI" localSheetId="6">#REF!</definedName>
    <definedName name="Print_Area_MI" localSheetId="7">#REF!</definedName>
    <definedName name="Print_Area_MI" localSheetId="8">#REF!</definedName>
    <definedName name="Print_Area_MI" localSheetId="4">#REF!</definedName>
    <definedName name="Print_Area_MI" localSheetId="1">#REF!</definedName>
    <definedName name="Print_Area_MI">#REF!</definedName>
    <definedName name="PRINT_SUM" localSheetId="5">#REF!</definedName>
    <definedName name="PRINT_SUM" localSheetId="3">#REF!</definedName>
    <definedName name="PRINT_SUM" localSheetId="6">#REF!</definedName>
    <definedName name="PRINT_SUM" localSheetId="7">#REF!</definedName>
    <definedName name="PRINT_SUM" localSheetId="8">#REF!</definedName>
    <definedName name="PRINT_SUM" localSheetId="4">#REF!</definedName>
    <definedName name="PRINT_SUM" localSheetId="1">#REF!</definedName>
    <definedName name="PRINT_SUM">#REF!</definedName>
    <definedName name="_xlnm.Print_Titles">#N/A</definedName>
    <definedName name="PRINT_TITLES_MI" localSheetId="5">#REF!</definedName>
    <definedName name="PRINT_TITLES_MI" localSheetId="3">#REF!</definedName>
    <definedName name="PRINT_TITLES_MI" localSheetId="6">#REF!</definedName>
    <definedName name="PRINT_TITLES_MI" localSheetId="7">#REF!</definedName>
    <definedName name="PRINT_TITLES_MI" localSheetId="8">#REF!</definedName>
    <definedName name="PRINT_TITLES_MI" localSheetId="4">#REF!</definedName>
    <definedName name="PRINT_TITLES_MI" localSheetId="1">#REF!</definedName>
    <definedName name="PRINT_TITLES_MI">#REF!</definedName>
    <definedName name="PRO2CK" localSheetId="5">#REF!</definedName>
    <definedName name="PRO2CK" localSheetId="3">#REF!</definedName>
    <definedName name="PRO2CK" localSheetId="6">#REF!</definedName>
    <definedName name="PRO2CK" localSheetId="7">#REF!</definedName>
    <definedName name="PRO2CK" localSheetId="8">#REF!</definedName>
    <definedName name="PRO2CK" localSheetId="4">#REF!</definedName>
    <definedName name="PRO2CK" localSheetId="1">#REF!</definedName>
    <definedName name="PRO2CK">#REF!</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qq" localSheetId="5">BlankMacro1</definedName>
    <definedName name="qq" localSheetId="3">BlankMacro1</definedName>
    <definedName name="qq" localSheetId="6">BlankMacro1</definedName>
    <definedName name="qq" localSheetId="7">BlankMacro1</definedName>
    <definedName name="qq" localSheetId="8">BlankMacro1</definedName>
    <definedName name="qq" localSheetId="4">BlankMacro1</definedName>
    <definedName name="qq" localSheetId="1">BlankMacro1</definedName>
    <definedName name="qq">BlankMacro1</definedName>
    <definedName name="QQWWEE" localSheetId="5">#REF!</definedName>
    <definedName name="QQWWEE" localSheetId="3">#REF!</definedName>
    <definedName name="QQWWEE" localSheetId="6">#REF!</definedName>
    <definedName name="QQWWEE" localSheetId="7">#REF!</definedName>
    <definedName name="QQWWEE" localSheetId="8">#REF!</definedName>
    <definedName name="QQWWEE" localSheetId="4">#REF!</definedName>
    <definedName name="QQWWEE" localSheetId="1">#REF!</definedName>
    <definedName name="QQWWEE">#REF!</definedName>
    <definedName name="QTY">#N/A</definedName>
    <definedName name="qwe" localSheetId="5">[11]예산M11A!#REF!</definedName>
    <definedName name="qwe" localSheetId="3">[11]예산M11A!#REF!</definedName>
    <definedName name="qwe" localSheetId="6">[11]예산M11A!#REF!</definedName>
    <definedName name="qwe" localSheetId="7">[11]예산M11A!#REF!</definedName>
    <definedName name="qwe" localSheetId="8">[11]예산M11A!#REF!</definedName>
    <definedName name="qwe" localSheetId="4">[11]예산M11A!#REF!</definedName>
    <definedName name="qwe" localSheetId="1">[11]예산M11A!#REF!</definedName>
    <definedName name="qwe">[11]예산M11A!#REF!</definedName>
    <definedName name="RAND상" localSheetId="5">[24]수압집계!#REF!</definedName>
    <definedName name="RAND상" localSheetId="3">[24]수압집계!#REF!</definedName>
    <definedName name="RAND상" localSheetId="6">[24]수압집계!#REF!</definedName>
    <definedName name="RAND상" localSheetId="7">[24]수압집계!#REF!</definedName>
    <definedName name="RAND상" localSheetId="8">[24]수압집계!#REF!</definedName>
    <definedName name="RAND상" localSheetId="4">[24]수압집계!#REF!</definedName>
    <definedName name="RAND상" localSheetId="1">[24]수압집계!#REF!</definedName>
    <definedName name="RAND상">[24]수압집계!#REF!</definedName>
    <definedName name="RAND하" localSheetId="5">[24]수압집계!#REF!</definedName>
    <definedName name="RAND하" localSheetId="3">[24]수압집계!#REF!</definedName>
    <definedName name="RAND하" localSheetId="6">[24]수압집계!#REF!</definedName>
    <definedName name="RAND하" localSheetId="7">[24]수압집계!#REF!</definedName>
    <definedName name="RAND하" localSheetId="8">[24]수압집계!#REF!</definedName>
    <definedName name="RAND하" localSheetId="4">[24]수압집계!#REF!</definedName>
    <definedName name="RAND하" localSheetId="1">[24]수압집계!#REF!</definedName>
    <definedName name="RAND하">[24]수압집계!#REF!</definedName>
    <definedName name="RECOUT">#N/A</definedName>
    <definedName name="RFP003A" localSheetId="5">#REF!</definedName>
    <definedName name="RFP003A" localSheetId="3">#REF!</definedName>
    <definedName name="RFP003A" localSheetId="6">#REF!</definedName>
    <definedName name="RFP003A" localSheetId="7">#REF!</definedName>
    <definedName name="RFP003A" localSheetId="8">#REF!</definedName>
    <definedName name="RFP003A" localSheetId="4">#REF!</definedName>
    <definedName name="RFP003A" localSheetId="1">#REF!</definedName>
    <definedName name="RFP003A">#REF!</definedName>
    <definedName name="RFP003B" localSheetId="5">#REF!</definedName>
    <definedName name="RFP003B" localSheetId="3">#REF!</definedName>
    <definedName name="RFP003B" localSheetId="6">#REF!</definedName>
    <definedName name="RFP003B" localSheetId="7">#REF!</definedName>
    <definedName name="RFP003B" localSheetId="8">#REF!</definedName>
    <definedName name="RFP003B" localSheetId="4">#REF!</definedName>
    <definedName name="RFP003B" localSheetId="1">#REF!</definedName>
    <definedName name="RFP003B">#REF!</definedName>
    <definedName name="RFP003C" localSheetId="5">#REF!</definedName>
    <definedName name="RFP003C" localSheetId="3">#REF!</definedName>
    <definedName name="RFP003C" localSheetId="6">#REF!</definedName>
    <definedName name="RFP003C" localSheetId="7">#REF!</definedName>
    <definedName name="RFP003C" localSheetId="8">#REF!</definedName>
    <definedName name="RFP003C" localSheetId="4">#REF!</definedName>
    <definedName name="RFP003C" localSheetId="1">#REF!</definedName>
    <definedName name="RFP003C">#REF!</definedName>
    <definedName name="RFP003D" localSheetId="5">#REF!</definedName>
    <definedName name="RFP003D" localSheetId="3">#REF!</definedName>
    <definedName name="RFP003D" localSheetId="6">#REF!</definedName>
    <definedName name="RFP003D" localSheetId="7">#REF!</definedName>
    <definedName name="RFP003D" localSheetId="8">#REF!</definedName>
    <definedName name="RFP003D" localSheetId="4">#REF!</definedName>
    <definedName name="RFP003D" localSheetId="1">#REF!</definedName>
    <definedName name="RFP003D">#REF!</definedName>
    <definedName name="RFP003E" localSheetId="5">#REF!</definedName>
    <definedName name="RFP003E" localSheetId="3">#REF!</definedName>
    <definedName name="RFP003E" localSheetId="6">#REF!</definedName>
    <definedName name="RFP003E" localSheetId="7">#REF!</definedName>
    <definedName name="RFP003E" localSheetId="8">#REF!</definedName>
    <definedName name="RFP003E" localSheetId="4">#REF!</definedName>
    <definedName name="RFP003E" localSheetId="1">#REF!</definedName>
    <definedName name="RFP003E">#REF!</definedName>
    <definedName name="RFP003F" localSheetId="5">#REF!</definedName>
    <definedName name="RFP003F" localSheetId="3">#REF!</definedName>
    <definedName name="RFP003F" localSheetId="6">#REF!</definedName>
    <definedName name="RFP003F" localSheetId="7">#REF!</definedName>
    <definedName name="RFP003F" localSheetId="8">#REF!</definedName>
    <definedName name="RFP003F" localSheetId="4">#REF!</definedName>
    <definedName name="RFP003F" localSheetId="1">#REF!</definedName>
    <definedName name="RFP003F">#REF!</definedName>
    <definedName name="rp" localSheetId="5">BlankMacro1</definedName>
    <definedName name="rp" localSheetId="3">BlankMacro1</definedName>
    <definedName name="rp" localSheetId="6">BlankMacro1</definedName>
    <definedName name="rp" localSheetId="7">BlankMacro1</definedName>
    <definedName name="rp" localSheetId="8">BlankMacro1</definedName>
    <definedName name="rp" localSheetId="4">BlankMacro1</definedName>
    <definedName name="rp" localSheetId="1">BlankMacro1</definedName>
    <definedName name="rp">BlankMacro1</definedName>
    <definedName name="SDAFEWF">[25]토공정보!$AF$7:$AR$17</definedName>
    <definedName name="SEC" localSheetId="5">BlankMacro1</definedName>
    <definedName name="SEC" localSheetId="3">BlankMacro1</definedName>
    <definedName name="SEC" localSheetId="6">BlankMacro1</definedName>
    <definedName name="SEC" localSheetId="7">BlankMacro1</definedName>
    <definedName name="SEC" localSheetId="8">BlankMacro1</definedName>
    <definedName name="SEC" localSheetId="4">BlankMacro1</definedName>
    <definedName name="SEC" localSheetId="1">BlankMacro1</definedName>
    <definedName name="SEC">BlankMacro1</definedName>
    <definedName name="shoe">ROUND([0]!shoe*0.0254,3)</definedName>
    <definedName name="size">ROUND([0]!size*0.0254,3)</definedName>
    <definedName name="SIZE2" localSheetId="5">#REF!</definedName>
    <definedName name="SIZE2" localSheetId="3">#REF!</definedName>
    <definedName name="SIZE2" localSheetId="6">#REF!</definedName>
    <definedName name="SIZE2" localSheetId="7">#REF!</definedName>
    <definedName name="SIZE2" localSheetId="8">#REF!</definedName>
    <definedName name="SIZE2" localSheetId="4">#REF!</definedName>
    <definedName name="SIZE2" localSheetId="1">#REF!</definedName>
    <definedName name="SIZE2">#REF!</definedName>
    <definedName name="SORTCODE">#N/A</definedName>
    <definedName name="SS" localSheetId="5">#REF!</definedName>
    <definedName name="SS" localSheetId="3">#REF!</definedName>
    <definedName name="SS" localSheetId="6">#REF!</definedName>
    <definedName name="SS" localSheetId="7">#REF!</definedName>
    <definedName name="SS" localSheetId="8">#REF!</definedName>
    <definedName name="SS" localSheetId="4">#REF!</definedName>
    <definedName name="SS" localSheetId="1">#REF!</definedName>
    <definedName name="SS">#REF!</definedName>
    <definedName name="SSS" localSheetId="5">#REF!</definedName>
    <definedName name="SSS" localSheetId="3">#REF!</definedName>
    <definedName name="SSS" localSheetId="6">#REF!</definedName>
    <definedName name="SSS" localSheetId="7">#REF!</definedName>
    <definedName name="SSS" localSheetId="8">#REF!</definedName>
    <definedName name="SSS" localSheetId="4">#REF!</definedName>
    <definedName name="SSS" localSheetId="1">#REF!</definedName>
    <definedName name="SSS">#REF!</definedName>
    <definedName name="STOT1" localSheetId="5">[26]HVAC!#REF!</definedName>
    <definedName name="STOT1" localSheetId="3">[26]HVAC!#REF!</definedName>
    <definedName name="STOT1" localSheetId="6">[26]HVAC!#REF!</definedName>
    <definedName name="STOT1" localSheetId="7">[26]HVAC!#REF!</definedName>
    <definedName name="STOT1" localSheetId="8">[26]HVAC!#REF!</definedName>
    <definedName name="STOT1" localSheetId="4">[26]HVAC!#REF!</definedName>
    <definedName name="STOT1" localSheetId="1">[26]HVAC!#REF!</definedName>
    <definedName name="STOT1">[26]HVAC!#REF!</definedName>
    <definedName name="STOT2" localSheetId="5">[26]HVAC!#REF!</definedName>
    <definedName name="STOT2" localSheetId="3">[26]HVAC!#REF!</definedName>
    <definedName name="STOT2" localSheetId="6">[26]HVAC!#REF!</definedName>
    <definedName name="STOT2" localSheetId="7">[26]HVAC!#REF!</definedName>
    <definedName name="STOT2" localSheetId="8">[26]HVAC!#REF!</definedName>
    <definedName name="STOT2" localSheetId="4">[26]HVAC!#REF!</definedName>
    <definedName name="STOT2" localSheetId="1">[26]HVAC!#REF!</definedName>
    <definedName name="STOT2">[26]HVAC!#REF!</definedName>
    <definedName name="STOT3" localSheetId="5">[26]HVAC!#REF!</definedName>
    <definedName name="STOT3" localSheetId="3">[26]HVAC!#REF!</definedName>
    <definedName name="STOT3" localSheetId="6">[26]HVAC!#REF!</definedName>
    <definedName name="STOT3" localSheetId="7">[26]HVAC!#REF!</definedName>
    <definedName name="STOT3" localSheetId="8">[26]HVAC!#REF!</definedName>
    <definedName name="STOT3" localSheetId="4">[26]HVAC!#REF!</definedName>
    <definedName name="STOT3" localSheetId="1">[26]HVAC!#REF!</definedName>
    <definedName name="STOT3">[26]HVAC!#REF!</definedName>
    <definedName name="STOT4" localSheetId="5">[26]HVAC!#REF!</definedName>
    <definedName name="STOT4" localSheetId="3">[26]HVAC!#REF!</definedName>
    <definedName name="STOT4" localSheetId="6">[26]HVAC!#REF!</definedName>
    <definedName name="STOT4" localSheetId="7">[26]HVAC!#REF!</definedName>
    <definedName name="STOT4" localSheetId="8">[26]HVAC!#REF!</definedName>
    <definedName name="STOT4" localSheetId="4">[26]HVAC!#REF!</definedName>
    <definedName name="STOT4" localSheetId="1">[26]HVAC!#REF!</definedName>
    <definedName name="STOT4">[26]HVAC!#REF!</definedName>
    <definedName name="SUMMARY" localSheetId="5">#REF!</definedName>
    <definedName name="SUMMARY" localSheetId="3">#REF!</definedName>
    <definedName name="SUMMARY" localSheetId="6">#REF!</definedName>
    <definedName name="SUMMARY" localSheetId="7">#REF!</definedName>
    <definedName name="SUMMARY" localSheetId="8">#REF!</definedName>
    <definedName name="SUMMARY" localSheetId="4">#REF!</definedName>
    <definedName name="SUMMARY" localSheetId="1">#REF!</definedName>
    <definedName name="SUMMARY">#REF!</definedName>
    <definedName name="SUS">3.14*([5]PIPE!$B1+(2*[5]PIPE!$C1))/1000*[5]PIPE!$F1/0.25*1.1</definedName>
    <definedName name="SUS_">3.14*([5]PIPE!$B1+(2*[5]PIPE!$C1))/1000*[5]PIPE!$F1/0.25*1.1</definedName>
    <definedName name="SUS_BAND" localSheetId="5">3.14*(#REF!+(2*#REF!))/1000*#REF!/0.25*1.1</definedName>
    <definedName name="SUS_BAND" localSheetId="3">3.14*(#REF!+(2*#REF!))/1000*#REF!/0.25*1.1</definedName>
    <definedName name="SUS_BAND" localSheetId="6">3.14*(#REF!+(2*#REF!))/1000*#REF!/0.25*1.1</definedName>
    <definedName name="SUS_BAND" localSheetId="7">3.14*(#REF!+(2*#REF!))/1000*#REF!/0.25*1.1</definedName>
    <definedName name="SUS_BAND" localSheetId="8">3.14*(#REF!+(2*#REF!))/1000*#REF!/0.25*1.1</definedName>
    <definedName name="SUS_BAND" localSheetId="4">3.14*(#REF!+(2*#REF!))/1000*#REF!/0.25*1.1</definedName>
    <definedName name="SUS_BAND" localSheetId="1">3.14*(#REF!+(2*#REF!))/1000*#REF!/0.25*1.1</definedName>
    <definedName name="SUS_BAND">3.14*(#REF!+(2*#REF!))/1000*#REF!/0.25*1.1</definedName>
    <definedName name="SUS_BAND1">3.14*([5]PIPE!$B1+(2*[5]PIPE!$C1))/1000*[5]PIPE!$F1/0.25*1.1</definedName>
    <definedName name="SUS_CLIP" localSheetId="5">#REF!/0.25</definedName>
    <definedName name="SUS_CLIP" localSheetId="3">#REF!/0.25</definedName>
    <definedName name="SUS_CLIP" localSheetId="6">#REF!/0.25</definedName>
    <definedName name="SUS_CLIP" localSheetId="7">#REF!/0.25</definedName>
    <definedName name="SUS_CLIP" localSheetId="8">#REF!/0.25</definedName>
    <definedName name="SUS_CLIP" localSheetId="4">#REF!/0.25</definedName>
    <definedName name="SUS_CLIP" localSheetId="1">#REF!/0.25</definedName>
    <definedName name="SUS_CLIP">#REF!/0.25</definedName>
    <definedName name="SUS_CLIP1">[5]PIPE!$F1/0.25</definedName>
    <definedName name="SUS_CLIP2">[5]PIPE!$F1/0.25</definedName>
    <definedName name="SUS_CLIP3">[5]PIPE!$F1/0.25</definedName>
    <definedName name="SUS_SCREW" localSheetId="5">#REF!/0.2</definedName>
    <definedName name="SUS_SCREW" localSheetId="3">#REF!/0.2</definedName>
    <definedName name="SUS_SCREW" localSheetId="6">#REF!/0.2</definedName>
    <definedName name="SUS_SCREW" localSheetId="7">#REF!/0.2</definedName>
    <definedName name="SUS_SCREW" localSheetId="8">#REF!/0.2</definedName>
    <definedName name="SUS_SCREW" localSheetId="4">#REF!/0.2</definedName>
    <definedName name="SUS_SCREW" localSheetId="1">#REF!/0.2</definedName>
    <definedName name="SUS_SCREW">#REF!/0.2</definedName>
    <definedName name="SUS_SCREW1">[5]PIPE!$F1/0.2</definedName>
    <definedName name="SUS_SCREW2">[5]PIPE!$F1/0.2</definedName>
    <definedName name="SUS_WIRE" localSheetId="5">3.14*(#REF!+(2*#REF!))/1000*#REF!/0.25*1.1</definedName>
    <definedName name="SUS_WIRE" localSheetId="3">3.14*(#REF!+(2*#REF!))/1000*#REF!/0.25*1.1</definedName>
    <definedName name="SUS_WIRE" localSheetId="6">3.14*(#REF!+(2*#REF!))/1000*#REF!/0.25*1.1</definedName>
    <definedName name="SUS_WIRE" localSheetId="7">3.14*(#REF!+(2*#REF!))/1000*#REF!/0.25*1.1</definedName>
    <definedName name="SUS_WIRE" localSheetId="8">3.14*(#REF!+(2*#REF!))/1000*#REF!/0.25*1.1</definedName>
    <definedName name="SUS_WIRE" localSheetId="4">3.14*(#REF!+(2*#REF!))/1000*#REF!/0.25*1.1</definedName>
    <definedName name="SUS_WIRE" localSheetId="1">3.14*(#REF!+(2*#REF!))/1000*#REF!/0.25*1.1</definedName>
    <definedName name="SUS_WIRE">3.14*(#REF!+(2*#REF!))/1000*#REF!/0.25*1.1</definedName>
    <definedName name="SUS_WIRE1">3.14*([5]PIPE!$B1+(2*[5]PIPE!$C1))/1000*[5]PIPE!$F1/0.25*1.1</definedName>
    <definedName name="T_AMOUNT">#N/A</definedName>
    <definedName name="T_UPRICE">#N/A</definedName>
    <definedName name="temp" localSheetId="5">#REF!</definedName>
    <definedName name="temp" localSheetId="3">#REF!</definedName>
    <definedName name="temp" localSheetId="6">#REF!</definedName>
    <definedName name="temp" localSheetId="7">#REF!</definedName>
    <definedName name="temp" localSheetId="8">#REF!</definedName>
    <definedName name="temp" localSheetId="4">#REF!</definedName>
    <definedName name="temp" localSheetId="1">#REF!</definedName>
    <definedName name="temp">#REF!</definedName>
    <definedName name="temp2" localSheetId="5">#REF!</definedName>
    <definedName name="temp2" localSheetId="3">#REF!</definedName>
    <definedName name="temp2" localSheetId="6">#REF!</definedName>
    <definedName name="temp2" localSheetId="7">#REF!</definedName>
    <definedName name="temp2" localSheetId="8">#REF!</definedName>
    <definedName name="temp2" localSheetId="4">#REF!</definedName>
    <definedName name="temp2" localSheetId="1">#REF!</definedName>
    <definedName name="temp2">#REF!</definedName>
    <definedName name="THK" localSheetId="5">IF(#REF!+2*#REF!&gt;=750,"0.8t","0.6t")</definedName>
    <definedName name="THK" localSheetId="3">IF(#REF!+2*#REF!&gt;=750,"0.8t","0.6t")</definedName>
    <definedName name="THK" localSheetId="6">IF(#REF!+2*#REF!&gt;=750,"0.8t","0.6t")</definedName>
    <definedName name="THK" localSheetId="7">IF(#REF!+2*#REF!&gt;=750,"0.8t","0.6t")</definedName>
    <definedName name="THK" localSheetId="8">IF(#REF!+2*#REF!&gt;=750,"0.8t","0.6t")</definedName>
    <definedName name="THK" localSheetId="4">IF(#REF!+2*#REF!&gt;=750,"0.8t","0.6t")</definedName>
    <definedName name="THK" localSheetId="1">IF(#REF!+2*#REF!&gt;=750,"0.8t","0.6t")</definedName>
    <definedName name="THK">IF(#REF!+2*#REF!&gt;=750,"0.8t","0.6t")</definedName>
    <definedName name="tyu" localSheetId="5">[11]예산M11A!#REF!</definedName>
    <definedName name="tyu" localSheetId="3">[11]예산M11A!#REF!</definedName>
    <definedName name="tyu" localSheetId="6">[11]예산M11A!#REF!</definedName>
    <definedName name="tyu" localSheetId="7">[11]예산M11A!#REF!</definedName>
    <definedName name="tyu" localSheetId="8">[11]예산M11A!#REF!</definedName>
    <definedName name="tyu" localSheetId="4">[11]예산M11A!#REF!</definedName>
    <definedName name="tyu" localSheetId="1">[11]예산M11A!#REF!</definedName>
    <definedName name="tyu">[11]예산M11A!#REF!</definedName>
    <definedName name="U" localSheetId="5">#REF!</definedName>
    <definedName name="U" localSheetId="3">#REF!</definedName>
    <definedName name="U" localSheetId="6">#REF!</definedName>
    <definedName name="U" localSheetId="7">#REF!</definedName>
    <definedName name="U" localSheetId="8">#REF!</definedName>
    <definedName name="U" localSheetId="4">#REF!</definedName>
    <definedName name="U" localSheetId="1">#REF!</definedName>
    <definedName name="U">#REF!</definedName>
    <definedName name="UNIT_We">'[27]단중표-ST'!$A$2:$C$48</definedName>
    <definedName name="wrn.통신지." hidden="1">{#N/A,#N/A,FALSE,"기안지";#N/A,#N/A,FALSE,"통신지"}</definedName>
    <definedName name="wrn.현장._.NCR._.분석." hidden="1">{#N/A,#N/A,FALSE,"현장 NCR 분석";#N/A,#N/A,FALSE,"현장품질감사";#N/A,#N/A,FALSE,"현장품질감사"}</definedName>
    <definedName name="WT">'[28]P-산#1-1(WOWA1)'!$A$8:$H$90</definedName>
    <definedName name="WW">[9]토공정보!$AF$7:$AR$17</definedName>
    <definedName name="WWW" localSheetId="5">[29]!MAIN</definedName>
    <definedName name="WWW" localSheetId="3">[29]!MAIN</definedName>
    <definedName name="WWW" localSheetId="6">[29]!MAIN</definedName>
    <definedName name="WWW" localSheetId="7">[29]!MAIN</definedName>
    <definedName name="WWW" localSheetId="8">[29]!MAIN</definedName>
    <definedName name="WWW" localSheetId="4">[29]!MAIN</definedName>
    <definedName name="WWW" localSheetId="1">[29]!MAIN</definedName>
    <definedName name="WWW">[29]!MAIN</definedName>
    <definedName name="yong">ROUND([0]!yong*0.0254,3)</definedName>
    <definedName name="z\" localSheetId="5">#REF!</definedName>
    <definedName name="z\" localSheetId="3">#REF!</definedName>
    <definedName name="z\" localSheetId="6">#REF!</definedName>
    <definedName name="z\" localSheetId="7">#REF!</definedName>
    <definedName name="z\" localSheetId="8">#REF!</definedName>
    <definedName name="z\" localSheetId="4">#REF!</definedName>
    <definedName name="z\" localSheetId="1">#REF!</definedName>
    <definedName name="z\">#REF!</definedName>
    <definedName name="ㄱ">ROUND([0]!ㄱ*0.0254,3)</definedName>
    <definedName name="ㄱㄷㄱㄷㄱ">ROUND([0]!ㄱㄷㄱㄷㄱ*0.0254,3)</definedName>
    <definedName name="간접노무비" localSheetId="5">#REF!</definedName>
    <definedName name="간접노무비" localSheetId="3">#REF!</definedName>
    <definedName name="간접노무비" localSheetId="6">#REF!</definedName>
    <definedName name="간접노무비" localSheetId="7">#REF!</definedName>
    <definedName name="간접노무비" localSheetId="8">#REF!</definedName>
    <definedName name="간접노무비" localSheetId="4">#REF!</definedName>
    <definedName name="간접노무비" localSheetId="1">#REF!</definedName>
    <definedName name="간접노무비">#REF!</definedName>
    <definedName name="간접노무비율" localSheetId="5">#REF!</definedName>
    <definedName name="간접노무비율" localSheetId="3">#REF!</definedName>
    <definedName name="간접노무비율" localSheetId="6">#REF!</definedName>
    <definedName name="간접노무비율" localSheetId="7">#REF!</definedName>
    <definedName name="간접노무비율" localSheetId="8">#REF!</definedName>
    <definedName name="간접노무비율" localSheetId="4">#REF!</definedName>
    <definedName name="간접노무비율" localSheetId="1">#REF!</definedName>
    <definedName name="간접노무비율">#REF!</definedName>
    <definedName name="감지선">[0]!감지선</definedName>
    <definedName name="갑지" localSheetId="5">#REF!</definedName>
    <definedName name="갑지" localSheetId="3">#REF!</definedName>
    <definedName name="갑지" localSheetId="6">#REF!</definedName>
    <definedName name="갑지" localSheetId="7">#REF!</definedName>
    <definedName name="갑지" localSheetId="8">#REF!</definedName>
    <definedName name="갑지" localSheetId="4">#REF!</definedName>
    <definedName name="갑지" localSheetId="1">#REF!</definedName>
    <definedName name="갑지">#REF!</definedName>
    <definedName name="거계" localSheetId="5">#REF!</definedName>
    <definedName name="거계" localSheetId="3">#REF!</definedName>
    <definedName name="거계" localSheetId="6">#REF!</definedName>
    <definedName name="거계" localSheetId="7">#REF!</definedName>
    <definedName name="거계" localSheetId="8">#REF!</definedName>
    <definedName name="거계" localSheetId="4">#REF!</definedName>
    <definedName name="거계" localSheetId="1">#REF!</definedName>
    <definedName name="거계">#REF!</definedName>
    <definedName name="거두꺼움" localSheetId="5">#REF!</definedName>
    <definedName name="거두꺼움" localSheetId="3">#REF!</definedName>
    <definedName name="거두꺼움" localSheetId="6">#REF!</definedName>
    <definedName name="거두꺼움" localSheetId="7">#REF!</definedName>
    <definedName name="거두꺼움" localSheetId="8">#REF!</definedName>
    <definedName name="거두꺼움" localSheetId="4">#REF!</definedName>
    <definedName name="거두꺼움" localSheetId="1">#REF!</definedName>
    <definedName name="거두꺼움">#REF!</definedName>
    <definedName name="거얄음" localSheetId="5">#REF!</definedName>
    <definedName name="거얄음" localSheetId="3">#REF!</definedName>
    <definedName name="거얄음" localSheetId="6">#REF!</definedName>
    <definedName name="거얄음" localSheetId="7">#REF!</definedName>
    <definedName name="거얄음" localSheetId="8">#REF!</definedName>
    <definedName name="거얄음" localSheetId="4">#REF!</definedName>
    <definedName name="거얄음" localSheetId="1">#REF!</definedName>
    <definedName name="거얄음">#REF!</definedName>
    <definedName name="검사">[0]!검사</definedName>
    <definedName name="격파" localSheetId="5">BlankMacro1</definedName>
    <definedName name="격파" localSheetId="3">BlankMacro1</definedName>
    <definedName name="격파" localSheetId="6">BlankMacro1</definedName>
    <definedName name="격파" localSheetId="7">BlankMacro1</definedName>
    <definedName name="격파" localSheetId="8">BlankMacro1</definedName>
    <definedName name="격파" localSheetId="4">BlankMacro1</definedName>
    <definedName name="격파" localSheetId="1">BlankMacro1</definedName>
    <definedName name="격파">BlankMacro1</definedName>
    <definedName name="견적">ROUND([0]!견적*0.0254,3)</definedName>
    <definedName name="견적내역" localSheetId="5">[26]HVAC!#REF!</definedName>
    <definedName name="견적내역" localSheetId="3">[26]HVAC!#REF!</definedName>
    <definedName name="견적내역" localSheetId="6">[26]HVAC!#REF!</definedName>
    <definedName name="견적내역" localSheetId="7">[26]HVAC!#REF!</definedName>
    <definedName name="견적내역" localSheetId="8">[26]HVAC!#REF!</definedName>
    <definedName name="견적내역" localSheetId="4">[26]HVAC!#REF!</definedName>
    <definedName name="견적내역" localSheetId="1">[26]HVAC!#REF!</definedName>
    <definedName name="견적내역">[26]HVAC!#REF!</definedName>
    <definedName name="견적비교" localSheetId="5">#REF!</definedName>
    <definedName name="견적비교" localSheetId="3">#REF!</definedName>
    <definedName name="견적비교" localSheetId="6">#REF!</definedName>
    <definedName name="견적비교" localSheetId="7">#REF!</definedName>
    <definedName name="견적비교" localSheetId="8">#REF!</definedName>
    <definedName name="견적비교" localSheetId="4">#REF!</definedName>
    <definedName name="견적비교" localSheetId="1">#REF!</definedName>
    <definedName name="견적비교">#REF!</definedName>
    <definedName name="결과" localSheetId="5">BlankMacro1</definedName>
    <definedName name="결과" localSheetId="3">BlankMacro1</definedName>
    <definedName name="결과" localSheetId="6">BlankMacro1</definedName>
    <definedName name="결과" localSheetId="7">BlankMacro1</definedName>
    <definedName name="결과" localSheetId="8">BlankMacro1</definedName>
    <definedName name="결과" localSheetId="4">BlankMacro1</definedName>
    <definedName name="결과" localSheetId="1">BlankMacro1</definedName>
    <definedName name="결과">BlankMacro1</definedName>
    <definedName name="경" localSheetId="5">[30]명세서!#REF!</definedName>
    <definedName name="경" localSheetId="3">[30]명세서!#REF!</definedName>
    <definedName name="경" localSheetId="6">[30]명세서!#REF!</definedName>
    <definedName name="경" localSheetId="7">[30]명세서!#REF!</definedName>
    <definedName name="경" localSheetId="8">[30]명세서!#REF!</definedName>
    <definedName name="경" localSheetId="4">[30]명세서!#REF!</definedName>
    <definedName name="경" localSheetId="1">[30]명세서!#REF!</definedName>
    <definedName name="경">[30]명세서!#REF!</definedName>
    <definedName name="경고테이프" localSheetId="5">#REF!</definedName>
    <definedName name="경고테이프" localSheetId="3">#REF!</definedName>
    <definedName name="경고테이프" localSheetId="6">#REF!</definedName>
    <definedName name="경고테이프" localSheetId="7">#REF!</definedName>
    <definedName name="경고테이프" localSheetId="8">#REF!</definedName>
    <definedName name="경고테이프" localSheetId="4">#REF!</definedName>
    <definedName name="경고테이프" localSheetId="1">#REF!</definedName>
    <definedName name="경고테이프">#REF!</definedName>
    <definedName name="경비" localSheetId="5">#REF!</definedName>
    <definedName name="경비" localSheetId="3">#REF!</definedName>
    <definedName name="경비" localSheetId="6">#REF!</definedName>
    <definedName name="경비" localSheetId="7">#REF!</definedName>
    <definedName name="경비" localSheetId="8">#REF!</definedName>
    <definedName name="경비" localSheetId="4">#REF!</definedName>
    <definedName name="경비" localSheetId="1">#REF!</definedName>
    <definedName name="경비">#REF!</definedName>
    <definedName name="경비fac" localSheetId="5">#REF!</definedName>
    <definedName name="경비fac" localSheetId="3">#REF!</definedName>
    <definedName name="경비fac" localSheetId="6">#REF!</definedName>
    <definedName name="경비fac" localSheetId="7">#REF!</definedName>
    <definedName name="경비fac" localSheetId="8">#REF!</definedName>
    <definedName name="경비fac" localSheetId="4">#REF!</definedName>
    <definedName name="경비fac" localSheetId="1">#REF!</definedName>
    <definedName name="경비fac">#REF!</definedName>
    <definedName name="경비대비율" localSheetId="5">[31]VST재료산출!#REF!</definedName>
    <definedName name="경비대비율" localSheetId="3">[31]VST재료산출!#REF!</definedName>
    <definedName name="경비대비율" localSheetId="6">[31]VST재료산출!#REF!</definedName>
    <definedName name="경비대비율" localSheetId="7">[31]VST재료산출!#REF!</definedName>
    <definedName name="경비대비율" localSheetId="8">[31]VST재료산출!#REF!</definedName>
    <definedName name="경비대비율" localSheetId="4">[31]VST재료산출!#REF!</definedName>
    <definedName name="경비대비율" localSheetId="1">[31]VST재료산출!#REF!</definedName>
    <definedName name="경비대비율">[31]VST재료산출!#REF!</definedName>
    <definedName name="경비율" localSheetId="5">#REF!</definedName>
    <definedName name="경비율" localSheetId="3">#REF!</definedName>
    <definedName name="경비율" localSheetId="6">#REF!</definedName>
    <definedName name="경비율" localSheetId="7">#REF!</definedName>
    <definedName name="경비율" localSheetId="8">#REF!</definedName>
    <definedName name="경비율" localSheetId="4">#REF!</definedName>
    <definedName name="경비율" localSheetId="1">#REF!</definedName>
    <definedName name="경비율">#REF!</definedName>
    <definedName name="경유">[32]노임!$D$18</definedName>
    <definedName name="계국" localSheetId="5">#REF!</definedName>
    <definedName name="계국" localSheetId="3">#REF!</definedName>
    <definedName name="계국" localSheetId="6">#REF!</definedName>
    <definedName name="계국" localSheetId="7">#REF!</definedName>
    <definedName name="계국" localSheetId="8">#REF!</definedName>
    <definedName name="계국" localSheetId="4">#REF!</definedName>
    <definedName name="계국" localSheetId="1">#REF!</definedName>
    <definedName name="계국">#REF!</definedName>
    <definedName name="계대" localSheetId="5">#REF!</definedName>
    <definedName name="계대" localSheetId="3">#REF!</definedName>
    <definedName name="계대" localSheetId="6">#REF!</definedName>
    <definedName name="계대" localSheetId="7">#REF!</definedName>
    <definedName name="계대" localSheetId="8">#REF!</definedName>
    <definedName name="계대" localSheetId="4">#REF!</definedName>
    <definedName name="계대" localSheetId="1">#REF!</definedName>
    <definedName name="계대">#REF!</definedName>
    <definedName name="계약내역서" localSheetId="5">BlankMacro1</definedName>
    <definedName name="계약내역서" localSheetId="3">BlankMacro1</definedName>
    <definedName name="계약내역서" localSheetId="6">BlankMacro1</definedName>
    <definedName name="계약내역서" localSheetId="7">BlankMacro1</definedName>
    <definedName name="계약내역서" localSheetId="8">BlankMacro1</definedName>
    <definedName name="계약내역서" localSheetId="4">BlankMacro1</definedName>
    <definedName name="계약내역서" localSheetId="1">BlankMacro1</definedName>
    <definedName name="계약내역서">BlankMacro1</definedName>
    <definedName name="계전">[33]토목검측서!$FR$7</definedName>
    <definedName name="계현" localSheetId="5">#REF!</definedName>
    <definedName name="계현" localSheetId="3">#REF!</definedName>
    <definedName name="계현" localSheetId="6">#REF!</definedName>
    <definedName name="계현" localSheetId="7">#REF!</definedName>
    <definedName name="계현" localSheetId="8">#REF!</definedName>
    <definedName name="계현" localSheetId="4">#REF!</definedName>
    <definedName name="계현" localSheetId="1">#REF!</definedName>
    <definedName name="계현">#REF!</definedName>
    <definedName name="계획">[0]!계획</definedName>
    <definedName name="고계약내역" localSheetId="5">BlankMacro1</definedName>
    <definedName name="고계약내역" localSheetId="3">BlankMacro1</definedName>
    <definedName name="고계약내역" localSheetId="6">BlankMacro1</definedName>
    <definedName name="고계약내역" localSheetId="7">BlankMacro1</definedName>
    <definedName name="고계약내역" localSheetId="8">BlankMacro1</definedName>
    <definedName name="고계약내역" localSheetId="4">BlankMacro1</definedName>
    <definedName name="고계약내역" localSheetId="1">BlankMacro1</definedName>
    <definedName name="고계약내역">BlankMacro1</definedName>
    <definedName name="고양계약" localSheetId="5">BlankMacro1</definedName>
    <definedName name="고양계약" localSheetId="3">BlankMacro1</definedName>
    <definedName name="고양계약" localSheetId="6">BlankMacro1</definedName>
    <definedName name="고양계약" localSheetId="7">BlankMacro1</definedName>
    <definedName name="고양계약" localSheetId="8">BlankMacro1</definedName>
    <definedName name="고양계약" localSheetId="4">BlankMacro1</definedName>
    <definedName name="고양계약" localSheetId="1">BlankMacro1</definedName>
    <definedName name="고양계약">BlankMacro1</definedName>
    <definedName name="고용보험료" localSheetId="5">#REF!</definedName>
    <definedName name="고용보험료" localSheetId="3">#REF!</definedName>
    <definedName name="고용보험료" localSheetId="6">#REF!</definedName>
    <definedName name="고용보험료" localSheetId="7">#REF!</definedName>
    <definedName name="고용보험료" localSheetId="8">#REF!</definedName>
    <definedName name="고용보험료" localSheetId="4">#REF!</definedName>
    <definedName name="고용보험료" localSheetId="1">#REF!</definedName>
    <definedName name="고용보험료">#REF!</definedName>
    <definedName name="공사개요" localSheetId="5">'[34]#REF'!#REF!</definedName>
    <definedName name="공사개요" localSheetId="3">'[34]#REF'!#REF!</definedName>
    <definedName name="공사개요" localSheetId="6">'[34]#REF'!#REF!</definedName>
    <definedName name="공사개요" localSheetId="7">'[34]#REF'!#REF!</definedName>
    <definedName name="공사개요" localSheetId="8">'[34]#REF'!#REF!</definedName>
    <definedName name="공사개요" localSheetId="4">'[34]#REF'!#REF!</definedName>
    <definedName name="공사개요" localSheetId="1">'[34]#REF'!#REF!</definedName>
    <definedName name="공사개요">'[34]#REF'!#REF!</definedName>
    <definedName name="공사계획" localSheetId="5">BlankMacro1</definedName>
    <definedName name="공사계획" localSheetId="3">BlankMacro1</definedName>
    <definedName name="공사계획" localSheetId="6">BlankMacro1</definedName>
    <definedName name="공사계획" localSheetId="7">BlankMacro1</definedName>
    <definedName name="공사계획" localSheetId="8">BlankMacro1</definedName>
    <definedName name="공사계획" localSheetId="4">BlankMacro1</definedName>
    <definedName name="공사계획" localSheetId="1">BlankMacro1</definedName>
    <definedName name="공사계획">BlankMacro1</definedName>
    <definedName name="공사명" localSheetId="5">#REF!</definedName>
    <definedName name="공사명" localSheetId="3">#REF!</definedName>
    <definedName name="공사명" localSheetId="6">#REF!</definedName>
    <definedName name="공사명" localSheetId="7">#REF!</definedName>
    <definedName name="공사명" localSheetId="8">#REF!</definedName>
    <definedName name="공사명" localSheetId="4">#REF!</definedName>
    <definedName name="공사명" localSheetId="1">#REF!</definedName>
    <definedName name="공사명">#REF!</definedName>
    <definedName name="공사집" localSheetId="5">#REF!</definedName>
    <definedName name="공사집" localSheetId="3">#REF!</definedName>
    <definedName name="공사집" localSheetId="6">#REF!</definedName>
    <definedName name="공사집" localSheetId="7">#REF!</definedName>
    <definedName name="공사집" localSheetId="8">#REF!</definedName>
    <definedName name="공사집" localSheetId="4">#REF!</definedName>
    <definedName name="공사집" localSheetId="1">#REF!</definedName>
    <definedName name="공사집">#REF!</definedName>
    <definedName name="공정" localSheetId="5">BlankMacro1</definedName>
    <definedName name="공정" localSheetId="3">BlankMacro1</definedName>
    <definedName name="공정" localSheetId="6">BlankMacro1</definedName>
    <definedName name="공정" localSheetId="7">BlankMacro1</definedName>
    <definedName name="공정" localSheetId="8">BlankMacro1</definedName>
    <definedName name="공정" localSheetId="4">BlankMacro1</definedName>
    <definedName name="공정" localSheetId="1">BlankMacro1</definedName>
    <definedName name="공정">BlankMacro1</definedName>
    <definedName name="공정표">ROUND([0]!공정표*0.0254,3)</definedName>
    <definedName name="공통부대" localSheetId="5">[35]경상!#REF!</definedName>
    <definedName name="공통부대" localSheetId="3">[35]경상!#REF!</definedName>
    <definedName name="공통부대" localSheetId="6">[35]경상!#REF!</definedName>
    <definedName name="공통부대" localSheetId="7">[35]경상!#REF!</definedName>
    <definedName name="공통부대" localSheetId="8">[35]경상!#REF!</definedName>
    <definedName name="공통부대" localSheetId="4">[35]경상!#REF!</definedName>
    <definedName name="공통부대" localSheetId="1">[35]경상!#REF!</definedName>
    <definedName name="공통부대">[35]경상!#REF!</definedName>
    <definedName name="공통비" localSheetId="5">[36]시행예산!#REF!</definedName>
    <definedName name="공통비" localSheetId="3">[36]시행예산!#REF!</definedName>
    <definedName name="공통비" localSheetId="6">[36]시행예산!#REF!</definedName>
    <definedName name="공통비" localSheetId="7">[36]시행예산!#REF!</definedName>
    <definedName name="공통비" localSheetId="8">[36]시행예산!#REF!</definedName>
    <definedName name="공통비" localSheetId="4">[36]시행예산!#REF!</definedName>
    <definedName name="공통비" localSheetId="1">[36]시행예산!#REF!</definedName>
    <definedName name="공통비">[36]시행예산!#REF!</definedName>
    <definedName name="관급" localSheetId="5">#REF!,#REF!,#REF!</definedName>
    <definedName name="관급" localSheetId="3">#REF!,#REF!,#REF!</definedName>
    <definedName name="관급" localSheetId="6">#REF!,#REF!,#REF!</definedName>
    <definedName name="관급" localSheetId="7">#REF!,#REF!,#REF!</definedName>
    <definedName name="관급" localSheetId="8">#REF!,#REF!,#REF!</definedName>
    <definedName name="관급" localSheetId="4">#REF!,#REF!,#REF!</definedName>
    <definedName name="관급" localSheetId="1">#REF!,#REF!,#REF!</definedName>
    <definedName name="관급">#REF!,#REF!,#REF!</definedName>
    <definedName name="관로표지기" localSheetId="5">[37]검측서!#REF!</definedName>
    <definedName name="관로표지기" localSheetId="3">[37]검측서!#REF!</definedName>
    <definedName name="관로표지기" localSheetId="6">[37]검측서!#REF!</definedName>
    <definedName name="관로표지기" localSheetId="7">[37]검측서!#REF!</definedName>
    <definedName name="관로표지기" localSheetId="8">[37]검측서!#REF!</definedName>
    <definedName name="관로표지기" localSheetId="4">[37]검측서!#REF!</definedName>
    <definedName name="관로표지기" localSheetId="1">[37]검측서!#REF!</definedName>
    <definedName name="관로표지기">[37]검측서!#REF!</definedName>
    <definedName name="관리">[0]!관리</definedName>
    <definedName name="광명" localSheetId="5">#REF!</definedName>
    <definedName name="광명" localSheetId="3">#REF!</definedName>
    <definedName name="광명" localSheetId="6">#REF!</definedName>
    <definedName name="광명" localSheetId="7">#REF!</definedName>
    <definedName name="광명" localSheetId="8">#REF!</definedName>
    <definedName name="광명" localSheetId="4">#REF!</definedName>
    <definedName name="광명" localSheetId="1">#REF!</definedName>
    <definedName name="광명">#REF!</definedName>
    <definedName name="구리구리" localSheetId="5">#REF!</definedName>
    <definedName name="구리구리" localSheetId="3">#REF!</definedName>
    <definedName name="구리구리" localSheetId="6">#REF!</definedName>
    <definedName name="구리구리" localSheetId="7">#REF!</definedName>
    <definedName name="구리구리" localSheetId="8">#REF!</definedName>
    <definedName name="구리구리" localSheetId="4">#REF!</definedName>
    <definedName name="구리구리" localSheetId="1">#REF!</definedName>
    <definedName name="구리구리">#REF!</definedName>
    <definedName name="구분">#N/A</definedName>
    <definedName name="구조물설치" localSheetId="5">#REF!</definedName>
    <definedName name="구조물설치" localSheetId="3">#REF!</definedName>
    <definedName name="구조물설치" localSheetId="6">#REF!</definedName>
    <definedName name="구조물설치" localSheetId="7">#REF!</definedName>
    <definedName name="구조물설치" localSheetId="8">#REF!</definedName>
    <definedName name="구조물설치" localSheetId="4">#REF!</definedName>
    <definedName name="구조물설치" localSheetId="1">#REF!</definedName>
    <definedName name="구조물설치">#REF!</definedName>
    <definedName name="구조물집계" localSheetId="5">BlankMacro1</definedName>
    <definedName name="구조물집계" localSheetId="3">BlankMacro1</definedName>
    <definedName name="구조물집계" localSheetId="6">BlankMacro1</definedName>
    <definedName name="구조물집계" localSheetId="7">BlankMacro1</definedName>
    <definedName name="구조물집계" localSheetId="8">BlankMacro1</definedName>
    <definedName name="구조물집계" localSheetId="4">BlankMacro1</definedName>
    <definedName name="구조물집계" localSheetId="1">BlankMacro1</definedName>
    <definedName name="구조물집계">BlankMacro1</definedName>
    <definedName name="권한">[0]!권한</definedName>
    <definedName name="그만" localSheetId="5">#REF!</definedName>
    <definedName name="그만" localSheetId="3">#REF!</definedName>
    <definedName name="그만" localSheetId="6">#REF!</definedName>
    <definedName name="그만" localSheetId="7">#REF!</definedName>
    <definedName name="그만" localSheetId="8">#REF!</definedName>
    <definedName name="그만" localSheetId="4">#REF!</definedName>
    <definedName name="그만" localSheetId="1">#REF!</definedName>
    <definedName name="그만">#REF!</definedName>
    <definedName name="급">[0]!급</definedName>
    <definedName name="급탕매수">#N/A</definedName>
    <definedName name="급탕용량">#N/A</definedName>
    <definedName name="기계실번호">#N/A</definedName>
    <definedName name="기계이력서">ROUND([0]!기계이력서*0.0254,3)</definedName>
    <definedName name="기성내역" localSheetId="5">BlankMacro1</definedName>
    <definedName name="기성내역" localSheetId="3">BlankMacro1</definedName>
    <definedName name="기성내역" localSheetId="6">BlankMacro1</definedName>
    <definedName name="기성내역" localSheetId="7">BlankMacro1</definedName>
    <definedName name="기성내역" localSheetId="8">BlankMacro1</definedName>
    <definedName name="기성내역" localSheetId="4">BlankMacro1</definedName>
    <definedName name="기성내역" localSheetId="1">BlankMacro1</definedName>
    <definedName name="기성내역">BlankMacro1</definedName>
    <definedName name="기성내역1" localSheetId="5">BlankMacro1</definedName>
    <definedName name="기성내역1" localSheetId="3">BlankMacro1</definedName>
    <definedName name="기성내역1" localSheetId="6">BlankMacro1</definedName>
    <definedName name="기성내역1" localSheetId="7">BlankMacro1</definedName>
    <definedName name="기성내역1" localSheetId="8">BlankMacro1</definedName>
    <definedName name="기성내역1" localSheetId="4">BlankMacro1</definedName>
    <definedName name="기성내역1" localSheetId="1">BlankMacro1</definedName>
    <definedName name="기성내역1">BlankMacro1</definedName>
    <definedName name="기성내역서3" localSheetId="5">BlankMacro1</definedName>
    <definedName name="기성내역서3" localSheetId="3">BlankMacro1</definedName>
    <definedName name="기성내역서3" localSheetId="6">BlankMacro1</definedName>
    <definedName name="기성내역서3" localSheetId="7">BlankMacro1</definedName>
    <definedName name="기성내역서3" localSheetId="8">BlankMacro1</definedName>
    <definedName name="기성내역서3" localSheetId="4">BlankMacro1</definedName>
    <definedName name="기성내역서3" localSheetId="1">BlankMacro1</definedName>
    <definedName name="기성내역서3">BlankMacro1</definedName>
    <definedName name="기시공계전" localSheetId="5">#REF!</definedName>
    <definedName name="기시공계전" localSheetId="3">#REF!</definedName>
    <definedName name="기시공계전" localSheetId="6">#REF!</definedName>
    <definedName name="기시공계전" localSheetId="7">#REF!</definedName>
    <definedName name="기시공계전" localSheetId="8">#REF!</definedName>
    <definedName name="기시공계전" localSheetId="4">#REF!</definedName>
    <definedName name="기시공계전" localSheetId="1">#REF!</definedName>
    <definedName name="기시공계전">#REF!</definedName>
    <definedName name="기시공배관" localSheetId="5">#REF!</definedName>
    <definedName name="기시공배관" localSheetId="3">#REF!</definedName>
    <definedName name="기시공배관" localSheetId="6">#REF!</definedName>
    <definedName name="기시공배관" localSheetId="7">#REF!</definedName>
    <definedName name="기시공배관" localSheetId="8">#REF!</definedName>
    <definedName name="기시공배관" localSheetId="4">#REF!</definedName>
    <definedName name="기시공배관" localSheetId="1">#REF!</definedName>
    <definedName name="기시공배관">#REF!</definedName>
    <definedName name="기시공보도" localSheetId="5">#REF!</definedName>
    <definedName name="기시공보도" localSheetId="3">#REF!</definedName>
    <definedName name="기시공보도" localSheetId="6">#REF!</definedName>
    <definedName name="기시공보도" localSheetId="7">#REF!</definedName>
    <definedName name="기시공보도" localSheetId="8">#REF!</definedName>
    <definedName name="기시공보도" localSheetId="4">#REF!</definedName>
    <definedName name="기시공보도" localSheetId="1">#REF!</definedName>
    <definedName name="기시공보도">#REF!</definedName>
    <definedName name="기시공인력" localSheetId="5">#REF!</definedName>
    <definedName name="기시공인력" localSheetId="3">#REF!</definedName>
    <definedName name="기시공인력" localSheetId="6">#REF!</definedName>
    <definedName name="기시공인력" localSheetId="7">#REF!</definedName>
    <definedName name="기시공인력" localSheetId="8">#REF!</definedName>
    <definedName name="기시공인력" localSheetId="4">#REF!</definedName>
    <definedName name="기시공인력" localSheetId="1">#REF!</definedName>
    <definedName name="기시공인력">#REF!</definedName>
    <definedName name="기시공포장" localSheetId="5">#REF!</definedName>
    <definedName name="기시공포장" localSheetId="3">#REF!</definedName>
    <definedName name="기시공포장" localSheetId="6">#REF!</definedName>
    <definedName name="기시공포장" localSheetId="7">#REF!</definedName>
    <definedName name="기시공포장" localSheetId="8">#REF!</definedName>
    <definedName name="기시공포장" localSheetId="4">#REF!</definedName>
    <definedName name="기시공포장" localSheetId="1">#REF!</definedName>
    <definedName name="기시공포장">#REF!</definedName>
    <definedName name="기시공품질" localSheetId="5">#REF!</definedName>
    <definedName name="기시공품질" localSheetId="3">#REF!</definedName>
    <definedName name="기시공품질" localSheetId="6">#REF!</definedName>
    <definedName name="기시공품질" localSheetId="7">#REF!</definedName>
    <definedName name="기시공품질" localSheetId="8">#REF!</definedName>
    <definedName name="기시공품질" localSheetId="4">#REF!</definedName>
    <definedName name="기시공품질" localSheetId="1">#REF!</definedName>
    <definedName name="기시공품질">#REF!</definedName>
    <definedName name="기안1" localSheetId="5">#REF!</definedName>
    <definedName name="기안1" localSheetId="3">#REF!</definedName>
    <definedName name="기안1" localSheetId="6">#REF!</definedName>
    <definedName name="기안1" localSheetId="7">#REF!</definedName>
    <definedName name="기안1" localSheetId="8">#REF!</definedName>
    <definedName name="기안1" localSheetId="4">#REF!</definedName>
    <definedName name="기안1" localSheetId="1">#REF!</definedName>
    <definedName name="기안1">#REF!</definedName>
    <definedName name="기안10" localSheetId="5">#REF!</definedName>
    <definedName name="기안10" localSheetId="3">#REF!</definedName>
    <definedName name="기안10" localSheetId="6">#REF!</definedName>
    <definedName name="기안10" localSheetId="7">#REF!</definedName>
    <definedName name="기안10" localSheetId="8">#REF!</definedName>
    <definedName name="기안10" localSheetId="4">#REF!</definedName>
    <definedName name="기안10" localSheetId="1">#REF!</definedName>
    <definedName name="기안10">#REF!</definedName>
    <definedName name="기안11" localSheetId="5">#REF!</definedName>
    <definedName name="기안11" localSheetId="3">#REF!</definedName>
    <definedName name="기안11" localSheetId="6">#REF!</definedName>
    <definedName name="기안11" localSheetId="7">#REF!</definedName>
    <definedName name="기안11" localSheetId="8">#REF!</definedName>
    <definedName name="기안11" localSheetId="4">#REF!</definedName>
    <definedName name="기안11" localSheetId="1">#REF!</definedName>
    <definedName name="기안11">#REF!</definedName>
    <definedName name="기안12" localSheetId="5">#REF!</definedName>
    <definedName name="기안12" localSheetId="3">#REF!</definedName>
    <definedName name="기안12" localSheetId="6">#REF!</definedName>
    <definedName name="기안12" localSheetId="7">#REF!</definedName>
    <definedName name="기안12" localSheetId="8">#REF!</definedName>
    <definedName name="기안12" localSheetId="4">#REF!</definedName>
    <definedName name="기안12" localSheetId="1">#REF!</definedName>
    <definedName name="기안12">#REF!</definedName>
    <definedName name="기안13" localSheetId="5">#REF!</definedName>
    <definedName name="기안13" localSheetId="3">#REF!</definedName>
    <definedName name="기안13" localSheetId="6">#REF!</definedName>
    <definedName name="기안13" localSheetId="7">#REF!</definedName>
    <definedName name="기안13" localSheetId="8">#REF!</definedName>
    <definedName name="기안13" localSheetId="4">#REF!</definedName>
    <definedName name="기안13" localSheetId="1">#REF!</definedName>
    <definedName name="기안13">#REF!</definedName>
    <definedName name="기안14" localSheetId="5">#REF!</definedName>
    <definedName name="기안14" localSheetId="3">#REF!</definedName>
    <definedName name="기안14" localSheetId="6">#REF!</definedName>
    <definedName name="기안14" localSheetId="7">#REF!</definedName>
    <definedName name="기안14" localSheetId="8">#REF!</definedName>
    <definedName name="기안14" localSheetId="4">#REF!</definedName>
    <definedName name="기안14" localSheetId="1">#REF!</definedName>
    <definedName name="기안14">#REF!</definedName>
    <definedName name="기안15" localSheetId="5">#REF!</definedName>
    <definedName name="기안15" localSheetId="3">#REF!</definedName>
    <definedName name="기안15" localSheetId="6">#REF!</definedName>
    <definedName name="기안15" localSheetId="7">#REF!</definedName>
    <definedName name="기안15" localSheetId="8">#REF!</definedName>
    <definedName name="기안15" localSheetId="4">#REF!</definedName>
    <definedName name="기안15" localSheetId="1">#REF!</definedName>
    <definedName name="기안15">#REF!</definedName>
    <definedName name="기안16" localSheetId="5">#REF!</definedName>
    <definedName name="기안16" localSheetId="3">#REF!</definedName>
    <definedName name="기안16" localSheetId="6">#REF!</definedName>
    <definedName name="기안16" localSheetId="7">#REF!</definedName>
    <definedName name="기안16" localSheetId="8">#REF!</definedName>
    <definedName name="기안16" localSheetId="4">#REF!</definedName>
    <definedName name="기안16" localSheetId="1">#REF!</definedName>
    <definedName name="기안16">#REF!</definedName>
    <definedName name="기안17" localSheetId="5">#REF!</definedName>
    <definedName name="기안17" localSheetId="3">#REF!</definedName>
    <definedName name="기안17" localSheetId="6">#REF!</definedName>
    <definedName name="기안17" localSheetId="7">#REF!</definedName>
    <definedName name="기안17" localSheetId="8">#REF!</definedName>
    <definedName name="기안17" localSheetId="4">#REF!</definedName>
    <definedName name="기안17" localSheetId="1">#REF!</definedName>
    <definedName name="기안17">#REF!</definedName>
    <definedName name="기안18" localSheetId="5">#REF!</definedName>
    <definedName name="기안18" localSheetId="3">#REF!</definedName>
    <definedName name="기안18" localSheetId="6">#REF!</definedName>
    <definedName name="기안18" localSheetId="7">#REF!</definedName>
    <definedName name="기안18" localSheetId="8">#REF!</definedName>
    <definedName name="기안18" localSheetId="4">#REF!</definedName>
    <definedName name="기안18" localSheetId="1">#REF!</definedName>
    <definedName name="기안18">#REF!</definedName>
    <definedName name="기안19" localSheetId="5">#REF!</definedName>
    <definedName name="기안19" localSheetId="3">#REF!</definedName>
    <definedName name="기안19" localSheetId="6">#REF!</definedName>
    <definedName name="기안19" localSheetId="7">#REF!</definedName>
    <definedName name="기안19" localSheetId="8">#REF!</definedName>
    <definedName name="기안19" localSheetId="4">#REF!</definedName>
    <definedName name="기안19" localSheetId="1">#REF!</definedName>
    <definedName name="기안19">#REF!</definedName>
    <definedName name="기안2" localSheetId="5">#REF!</definedName>
    <definedName name="기안2" localSheetId="3">#REF!</definedName>
    <definedName name="기안2" localSheetId="6">#REF!</definedName>
    <definedName name="기안2" localSheetId="7">#REF!</definedName>
    <definedName name="기안2" localSheetId="8">#REF!</definedName>
    <definedName name="기안2" localSheetId="4">#REF!</definedName>
    <definedName name="기안2" localSheetId="1">#REF!</definedName>
    <definedName name="기안2">#REF!</definedName>
    <definedName name="기안20" localSheetId="5">#REF!</definedName>
    <definedName name="기안20" localSheetId="3">#REF!</definedName>
    <definedName name="기안20" localSheetId="6">#REF!</definedName>
    <definedName name="기안20" localSheetId="7">#REF!</definedName>
    <definedName name="기안20" localSheetId="8">#REF!</definedName>
    <definedName name="기안20" localSheetId="4">#REF!</definedName>
    <definedName name="기안20" localSheetId="1">#REF!</definedName>
    <definedName name="기안20">#REF!</definedName>
    <definedName name="기안21" localSheetId="5">#REF!</definedName>
    <definedName name="기안21" localSheetId="3">#REF!</definedName>
    <definedName name="기안21" localSheetId="6">#REF!</definedName>
    <definedName name="기안21" localSheetId="7">#REF!</definedName>
    <definedName name="기안21" localSheetId="8">#REF!</definedName>
    <definedName name="기안21" localSheetId="4">#REF!</definedName>
    <definedName name="기안21" localSheetId="1">#REF!</definedName>
    <definedName name="기안21">#REF!</definedName>
    <definedName name="기안22" localSheetId="5">#REF!</definedName>
    <definedName name="기안22" localSheetId="3">#REF!</definedName>
    <definedName name="기안22" localSheetId="6">#REF!</definedName>
    <definedName name="기안22" localSheetId="7">#REF!</definedName>
    <definedName name="기안22" localSheetId="8">#REF!</definedName>
    <definedName name="기안22" localSheetId="4">#REF!</definedName>
    <definedName name="기안22" localSheetId="1">#REF!</definedName>
    <definedName name="기안22">#REF!</definedName>
    <definedName name="기안23" localSheetId="5">#REF!</definedName>
    <definedName name="기안23" localSheetId="3">#REF!</definedName>
    <definedName name="기안23" localSheetId="6">#REF!</definedName>
    <definedName name="기안23" localSheetId="7">#REF!</definedName>
    <definedName name="기안23" localSheetId="8">#REF!</definedName>
    <definedName name="기안23" localSheetId="4">#REF!</definedName>
    <definedName name="기안23" localSheetId="1">#REF!</definedName>
    <definedName name="기안23">#REF!</definedName>
    <definedName name="기안24" localSheetId="5">#REF!</definedName>
    <definedName name="기안24" localSheetId="3">#REF!</definedName>
    <definedName name="기안24" localSheetId="6">#REF!</definedName>
    <definedName name="기안24" localSheetId="7">#REF!</definedName>
    <definedName name="기안24" localSheetId="8">#REF!</definedName>
    <definedName name="기안24" localSheetId="4">#REF!</definedName>
    <definedName name="기안24" localSheetId="1">#REF!</definedName>
    <definedName name="기안24">#REF!</definedName>
    <definedName name="기안25" localSheetId="5">#REF!</definedName>
    <definedName name="기안25" localSheetId="3">#REF!</definedName>
    <definedName name="기안25" localSheetId="6">#REF!</definedName>
    <definedName name="기안25" localSheetId="7">#REF!</definedName>
    <definedName name="기안25" localSheetId="8">#REF!</definedName>
    <definedName name="기안25" localSheetId="4">#REF!</definedName>
    <definedName name="기안25" localSheetId="1">#REF!</definedName>
    <definedName name="기안25">#REF!</definedName>
    <definedName name="기안26" localSheetId="5">#REF!</definedName>
    <definedName name="기안26" localSheetId="3">#REF!</definedName>
    <definedName name="기안26" localSheetId="6">#REF!</definedName>
    <definedName name="기안26" localSheetId="7">#REF!</definedName>
    <definedName name="기안26" localSheetId="8">#REF!</definedName>
    <definedName name="기안26" localSheetId="4">#REF!</definedName>
    <definedName name="기안26" localSheetId="1">#REF!</definedName>
    <definedName name="기안26">#REF!</definedName>
    <definedName name="기안27" localSheetId="5">#REF!</definedName>
    <definedName name="기안27" localSheetId="3">#REF!</definedName>
    <definedName name="기안27" localSheetId="6">#REF!</definedName>
    <definedName name="기안27" localSheetId="7">#REF!</definedName>
    <definedName name="기안27" localSheetId="8">#REF!</definedName>
    <definedName name="기안27" localSheetId="4">#REF!</definedName>
    <definedName name="기안27" localSheetId="1">#REF!</definedName>
    <definedName name="기안27">#REF!</definedName>
    <definedName name="기안28" localSheetId="5">#REF!</definedName>
    <definedName name="기안28" localSheetId="3">#REF!</definedName>
    <definedName name="기안28" localSheetId="6">#REF!</definedName>
    <definedName name="기안28" localSheetId="7">#REF!</definedName>
    <definedName name="기안28" localSheetId="8">#REF!</definedName>
    <definedName name="기안28" localSheetId="4">#REF!</definedName>
    <definedName name="기안28" localSheetId="1">#REF!</definedName>
    <definedName name="기안28">#REF!</definedName>
    <definedName name="기안29" localSheetId="5">#REF!</definedName>
    <definedName name="기안29" localSheetId="3">#REF!</definedName>
    <definedName name="기안29" localSheetId="6">#REF!</definedName>
    <definedName name="기안29" localSheetId="7">#REF!</definedName>
    <definedName name="기안29" localSheetId="8">#REF!</definedName>
    <definedName name="기안29" localSheetId="4">#REF!</definedName>
    <definedName name="기안29" localSheetId="1">#REF!</definedName>
    <definedName name="기안29">#REF!</definedName>
    <definedName name="기안3" localSheetId="5">#REF!</definedName>
    <definedName name="기안3" localSheetId="3">#REF!</definedName>
    <definedName name="기안3" localSheetId="6">#REF!</definedName>
    <definedName name="기안3" localSheetId="7">#REF!</definedName>
    <definedName name="기안3" localSheetId="8">#REF!</definedName>
    <definedName name="기안3" localSheetId="4">#REF!</definedName>
    <definedName name="기안3" localSheetId="1">#REF!</definedName>
    <definedName name="기안3">#REF!</definedName>
    <definedName name="기안30" localSheetId="5">#REF!</definedName>
    <definedName name="기안30" localSheetId="3">#REF!</definedName>
    <definedName name="기안30" localSheetId="6">#REF!</definedName>
    <definedName name="기안30" localSheetId="7">#REF!</definedName>
    <definedName name="기안30" localSheetId="8">#REF!</definedName>
    <definedName name="기안30" localSheetId="4">#REF!</definedName>
    <definedName name="기안30" localSheetId="1">#REF!</definedName>
    <definedName name="기안30">#REF!</definedName>
    <definedName name="기안31" localSheetId="5">#REF!</definedName>
    <definedName name="기안31" localSheetId="3">#REF!</definedName>
    <definedName name="기안31" localSheetId="6">#REF!</definedName>
    <definedName name="기안31" localSheetId="7">#REF!</definedName>
    <definedName name="기안31" localSheetId="8">#REF!</definedName>
    <definedName name="기안31" localSheetId="4">#REF!</definedName>
    <definedName name="기안31" localSheetId="1">#REF!</definedName>
    <definedName name="기안31">#REF!</definedName>
    <definedName name="기안4" localSheetId="5">#REF!</definedName>
    <definedName name="기안4" localSheetId="3">#REF!</definedName>
    <definedName name="기안4" localSheetId="6">#REF!</definedName>
    <definedName name="기안4" localSheetId="7">#REF!</definedName>
    <definedName name="기안4" localSheetId="8">#REF!</definedName>
    <definedName name="기안4" localSheetId="4">#REF!</definedName>
    <definedName name="기안4" localSheetId="1">#REF!</definedName>
    <definedName name="기안4">#REF!</definedName>
    <definedName name="기안5" localSheetId="5">#REF!</definedName>
    <definedName name="기안5" localSheetId="3">#REF!</definedName>
    <definedName name="기안5" localSheetId="6">#REF!</definedName>
    <definedName name="기안5" localSheetId="7">#REF!</definedName>
    <definedName name="기안5" localSheetId="8">#REF!</definedName>
    <definedName name="기안5" localSheetId="4">#REF!</definedName>
    <definedName name="기안5" localSheetId="1">#REF!</definedName>
    <definedName name="기안5">#REF!</definedName>
    <definedName name="기안6" localSheetId="5">#REF!</definedName>
    <definedName name="기안6" localSheetId="3">#REF!</definedName>
    <definedName name="기안6" localSheetId="6">#REF!</definedName>
    <definedName name="기안6" localSheetId="7">#REF!</definedName>
    <definedName name="기안6" localSheetId="8">#REF!</definedName>
    <definedName name="기안6" localSheetId="4">#REF!</definedName>
    <definedName name="기안6" localSheetId="1">#REF!</definedName>
    <definedName name="기안6">#REF!</definedName>
    <definedName name="기안7" localSheetId="5">#REF!</definedName>
    <definedName name="기안7" localSheetId="3">#REF!</definedName>
    <definedName name="기안7" localSheetId="6">#REF!</definedName>
    <definedName name="기안7" localSheetId="7">#REF!</definedName>
    <definedName name="기안7" localSheetId="8">#REF!</definedName>
    <definedName name="기안7" localSheetId="4">#REF!</definedName>
    <definedName name="기안7" localSheetId="1">#REF!</definedName>
    <definedName name="기안7">#REF!</definedName>
    <definedName name="기안8" localSheetId="5">#REF!</definedName>
    <definedName name="기안8" localSheetId="3">#REF!</definedName>
    <definedName name="기안8" localSheetId="6">#REF!</definedName>
    <definedName name="기안8" localSheetId="7">#REF!</definedName>
    <definedName name="기안8" localSheetId="8">#REF!</definedName>
    <definedName name="기안8" localSheetId="4">#REF!</definedName>
    <definedName name="기안8" localSheetId="1">#REF!</definedName>
    <definedName name="기안8">#REF!</definedName>
    <definedName name="기안9" localSheetId="5">#REF!</definedName>
    <definedName name="기안9" localSheetId="3">#REF!</definedName>
    <definedName name="기안9" localSheetId="6">#REF!</definedName>
    <definedName name="기안9" localSheetId="7">#REF!</definedName>
    <definedName name="기안9" localSheetId="8">#REF!</definedName>
    <definedName name="기안9" localSheetId="4">#REF!</definedName>
    <definedName name="기안9" localSheetId="1">#REF!</definedName>
    <definedName name="기안9">#REF!</definedName>
    <definedName name="기준표">[38]기준표!$B$3:$E$25</definedName>
    <definedName name="기초">'[39]9509'!$A$3:$Y$665</definedName>
    <definedName name="기타경비" localSheetId="5">#REF!</definedName>
    <definedName name="기타경비" localSheetId="3">#REF!</definedName>
    <definedName name="기타경비" localSheetId="6">#REF!</definedName>
    <definedName name="기타경비" localSheetId="7">#REF!</definedName>
    <definedName name="기타경비" localSheetId="8">#REF!</definedName>
    <definedName name="기타경비" localSheetId="4">#REF!</definedName>
    <definedName name="기타경비" localSheetId="1">#REF!</definedName>
    <definedName name="기타경비">#REF!</definedName>
    <definedName name="기타경비율" localSheetId="5">#REF!</definedName>
    <definedName name="기타경비율" localSheetId="3">#REF!</definedName>
    <definedName name="기타경비율" localSheetId="6">#REF!</definedName>
    <definedName name="기타경비율" localSheetId="7">#REF!</definedName>
    <definedName name="기타경비율" localSheetId="8">#REF!</definedName>
    <definedName name="기타경비율" localSheetId="4">#REF!</definedName>
    <definedName name="기타경비율" localSheetId="1">#REF!</definedName>
    <definedName name="기타경비율">#REF!</definedName>
    <definedName name="김">'[40]9811'!$A$3:$AD$1530</definedName>
    <definedName name="ㄴㄹㄴㅇㄹㄴ">ROUND([0]!ㄴㄹㄴㅇㄹㄴ*0.0254,3)</definedName>
    <definedName name="나." localSheetId="5">#REF!</definedName>
    <definedName name="나." localSheetId="3">#REF!</definedName>
    <definedName name="나." localSheetId="6">#REF!</definedName>
    <definedName name="나." localSheetId="7">#REF!</definedName>
    <definedName name="나." localSheetId="8">#REF!</definedName>
    <definedName name="나." localSheetId="4">#REF!</definedName>
    <definedName name="나." localSheetId="1">#REF!</definedName>
    <definedName name="나.">#REF!</definedName>
    <definedName name="난방매수">#N/A</definedName>
    <definedName name="난방용량">#N/A</definedName>
    <definedName name="내역갑지">ROUND([0]!내역갑지*0.0254,3)</definedName>
    <definedName name="내역사본" localSheetId="5">BlankMacro1</definedName>
    <definedName name="내역사본" localSheetId="3">BlankMacro1</definedName>
    <definedName name="내역사본" localSheetId="6">BlankMacro1</definedName>
    <definedName name="내역사본" localSheetId="7">BlankMacro1</definedName>
    <definedName name="내역사본" localSheetId="8">BlankMacro1</definedName>
    <definedName name="내역사본" localSheetId="4">BlankMacro1</definedName>
    <definedName name="내역사본" localSheetId="1">BlankMacro1</definedName>
    <definedName name="내역사본">BlankMacro1</definedName>
    <definedName name="내역서2">ROUND([0]!내역서2*0.0254,3)</definedName>
    <definedName name="내일" localSheetId="5">BlankMacro1</definedName>
    <definedName name="내일" localSheetId="3">BlankMacro1</definedName>
    <definedName name="내일" localSheetId="6">BlankMacro1</definedName>
    <definedName name="내일" localSheetId="7">BlankMacro1</definedName>
    <definedName name="내일" localSheetId="8">BlankMacro1</definedName>
    <definedName name="내일" localSheetId="4">BlankMacro1</definedName>
    <definedName name="내일" localSheetId="1">BlankMacro1</definedName>
    <definedName name="내일">BlankMacro1</definedName>
    <definedName name="노" localSheetId="5">[30]명세서!#REF!</definedName>
    <definedName name="노" localSheetId="3">[30]명세서!#REF!</definedName>
    <definedName name="노" localSheetId="6">[30]명세서!#REF!</definedName>
    <definedName name="노" localSheetId="7">[30]명세서!#REF!</definedName>
    <definedName name="노" localSheetId="8">[30]명세서!#REF!</definedName>
    <definedName name="노" localSheetId="4">[30]명세서!#REF!</definedName>
    <definedName name="노" localSheetId="1">[30]명세서!#REF!</definedName>
    <definedName name="노">[30]명세서!#REF!</definedName>
    <definedName name="노무" localSheetId="5">#REF!</definedName>
    <definedName name="노무" localSheetId="3">#REF!</definedName>
    <definedName name="노무" localSheetId="6">#REF!</definedName>
    <definedName name="노무" localSheetId="7">#REF!</definedName>
    <definedName name="노무" localSheetId="8">#REF!</definedName>
    <definedName name="노무" localSheetId="4">#REF!</definedName>
    <definedName name="노무" localSheetId="1">#REF!</definedName>
    <definedName name="노무">#REF!</definedName>
    <definedName name="노무01" localSheetId="5">#REF!</definedName>
    <definedName name="노무01" localSheetId="3">#REF!</definedName>
    <definedName name="노무01" localSheetId="6">#REF!</definedName>
    <definedName name="노무01" localSheetId="7">#REF!</definedName>
    <definedName name="노무01" localSheetId="8">#REF!</definedName>
    <definedName name="노무01" localSheetId="4">#REF!</definedName>
    <definedName name="노무01" localSheetId="1">#REF!</definedName>
    <definedName name="노무01">#REF!</definedName>
    <definedName name="노무02" localSheetId="5">#REF!</definedName>
    <definedName name="노무02" localSheetId="3">#REF!</definedName>
    <definedName name="노무02" localSheetId="6">#REF!</definedName>
    <definedName name="노무02" localSheetId="7">#REF!</definedName>
    <definedName name="노무02" localSheetId="8">#REF!</definedName>
    <definedName name="노무02" localSheetId="4">#REF!</definedName>
    <definedName name="노무02" localSheetId="1">#REF!</definedName>
    <definedName name="노무02">#REF!</definedName>
    <definedName name="노무3" localSheetId="5">#REF!</definedName>
    <definedName name="노무3" localSheetId="3">#REF!</definedName>
    <definedName name="노무3" localSheetId="6">#REF!</definedName>
    <definedName name="노무3" localSheetId="7">#REF!</definedName>
    <definedName name="노무3" localSheetId="8">#REF!</definedName>
    <definedName name="노무3" localSheetId="4">#REF!</definedName>
    <definedName name="노무3" localSheetId="1">#REF!</definedName>
    <definedName name="노무3">#REF!</definedName>
    <definedName name="노무fac" localSheetId="5">#REF!</definedName>
    <definedName name="노무fac" localSheetId="3">#REF!</definedName>
    <definedName name="노무fac" localSheetId="6">#REF!</definedName>
    <definedName name="노무fac" localSheetId="7">#REF!</definedName>
    <definedName name="노무fac" localSheetId="8">#REF!</definedName>
    <definedName name="노무fac" localSheetId="4">#REF!</definedName>
    <definedName name="노무fac" localSheetId="1">#REF!</definedName>
    <definedName name="노무fac">#REF!</definedName>
    <definedName name="노무비" localSheetId="5">#REF!</definedName>
    <definedName name="노무비" localSheetId="3">#REF!</definedName>
    <definedName name="노무비" localSheetId="6">#REF!</definedName>
    <definedName name="노무비" localSheetId="7">#REF!</definedName>
    <definedName name="노무비" localSheetId="8">#REF!</definedName>
    <definedName name="노무비" localSheetId="4">#REF!</definedName>
    <definedName name="노무비" localSheetId="1">#REF!</definedName>
    <definedName name="노무비">#REF!</definedName>
    <definedName name="노무비율" localSheetId="5">#REF!</definedName>
    <definedName name="노무비율" localSheetId="3">#REF!</definedName>
    <definedName name="노무비율" localSheetId="6">#REF!</definedName>
    <definedName name="노무비율" localSheetId="7">#REF!</definedName>
    <definedName name="노무비율" localSheetId="8">#REF!</definedName>
    <definedName name="노무비율" localSheetId="4">#REF!</definedName>
    <definedName name="노무비율" localSheetId="1">#REF!</definedName>
    <definedName name="노무비율">#REF!</definedName>
    <definedName name="노부비" localSheetId="5">#REF!</definedName>
    <definedName name="노부비" localSheetId="3">#REF!</definedName>
    <definedName name="노부비" localSheetId="6">#REF!</definedName>
    <definedName name="노부비" localSheetId="7">#REF!</definedName>
    <definedName name="노부비" localSheetId="8">#REF!</definedName>
    <definedName name="노부비" localSheetId="4">#REF!</definedName>
    <definedName name="노부비" localSheetId="1">#REF!</definedName>
    <definedName name="노부비">#REF!</definedName>
    <definedName name="노임단가" localSheetId="5">#REF!</definedName>
    <definedName name="노임단가" localSheetId="3">#REF!</definedName>
    <definedName name="노임단가" localSheetId="6">#REF!</definedName>
    <definedName name="노임단가" localSheetId="7">#REF!</definedName>
    <definedName name="노임단가" localSheetId="8">#REF!</definedName>
    <definedName name="노임단가" localSheetId="4">#REF!</definedName>
    <definedName name="노임단가" localSheetId="1">#REF!</definedName>
    <definedName name="노임단가">#REF!</definedName>
    <definedName name="노ㅗ" localSheetId="5">BlankMacro1</definedName>
    <definedName name="노ㅗ" localSheetId="3">BlankMacro1</definedName>
    <definedName name="노ㅗ" localSheetId="6">BlankMacro1</definedName>
    <definedName name="노ㅗ" localSheetId="7">BlankMacro1</definedName>
    <definedName name="노ㅗ" localSheetId="8">BlankMacro1</definedName>
    <definedName name="노ㅗ" localSheetId="4">BlankMacro1</definedName>
    <definedName name="노ㅗ" localSheetId="1">BlankMacro1</definedName>
    <definedName name="노ㅗ">BlankMacro1</definedName>
    <definedName name="ㄷㄱ" localSheetId="5">BlankMacro1</definedName>
    <definedName name="ㄷㄱ" localSheetId="3">BlankMacro1</definedName>
    <definedName name="ㄷㄱ" localSheetId="6">BlankMacro1</definedName>
    <definedName name="ㄷㄱ" localSheetId="7">BlankMacro1</definedName>
    <definedName name="ㄷㄱ" localSheetId="8">BlankMacro1</definedName>
    <definedName name="ㄷㄱ" localSheetId="4">BlankMacro1</definedName>
    <definedName name="ㄷㄱ" localSheetId="1">BlankMacro1</definedName>
    <definedName name="ㄷㄱ">BlankMacro1</definedName>
    <definedName name="ㄷㄹ1" localSheetId="5">#REF!</definedName>
    <definedName name="ㄷㄹ1" localSheetId="3">#REF!</definedName>
    <definedName name="ㄷㄹ1" localSheetId="6">#REF!</definedName>
    <definedName name="ㄷㄹ1" localSheetId="7">#REF!</definedName>
    <definedName name="ㄷㄹ1" localSheetId="8">#REF!</definedName>
    <definedName name="ㄷㄹ1" localSheetId="4">#REF!</definedName>
    <definedName name="ㄷㄹ1" localSheetId="1">#REF!</definedName>
    <definedName name="ㄷㄹ1">#REF!</definedName>
    <definedName name="다." localSheetId="5">#REF!</definedName>
    <definedName name="다." localSheetId="3">#REF!</definedName>
    <definedName name="다." localSheetId="6">#REF!</definedName>
    <definedName name="다." localSheetId="7">#REF!</definedName>
    <definedName name="다." localSheetId="8">#REF!</definedName>
    <definedName name="다." localSheetId="4">#REF!</definedName>
    <definedName name="다." localSheetId="1">#REF!</definedName>
    <definedName name="다.">#REF!</definedName>
    <definedName name="단가">[0]!단가</definedName>
    <definedName name="단가비교표" localSheetId="5">#REF!,#REF!</definedName>
    <definedName name="단가비교표" localSheetId="3">#REF!,#REF!</definedName>
    <definedName name="단가비교표" localSheetId="6">#REF!,#REF!</definedName>
    <definedName name="단가비교표" localSheetId="7">#REF!,#REF!</definedName>
    <definedName name="단가비교표" localSheetId="8">#REF!,#REF!</definedName>
    <definedName name="단가비교표" localSheetId="4">#REF!,#REF!</definedName>
    <definedName name="단가비교표" localSheetId="1">#REF!,#REF!</definedName>
    <definedName name="단가비교표">#REF!,#REF!</definedName>
    <definedName name="대명1">ROUND([0]!대명1*0.0254,3)</definedName>
    <definedName name="대명갑지">ROUND([0]!대명갑지*0.0254,3)</definedName>
    <definedName name="덕_트_공" localSheetId="5">#REF!</definedName>
    <definedName name="덕_트_공" localSheetId="3">#REF!</definedName>
    <definedName name="덕_트_공" localSheetId="6">#REF!</definedName>
    <definedName name="덕_트_공" localSheetId="7">#REF!</definedName>
    <definedName name="덕_트_공" localSheetId="8">#REF!</definedName>
    <definedName name="덕_트_공" localSheetId="4">#REF!</definedName>
    <definedName name="덕_트_공" localSheetId="1">#REF!</definedName>
    <definedName name="덕_트_공">#REF!</definedName>
    <definedName name="도_장_공" localSheetId="5">#REF!</definedName>
    <definedName name="도_장_공" localSheetId="3">#REF!</definedName>
    <definedName name="도_장_공" localSheetId="6">#REF!</definedName>
    <definedName name="도_장_공" localSheetId="7">#REF!</definedName>
    <definedName name="도_장_공" localSheetId="8">#REF!</definedName>
    <definedName name="도_장_공" localSheetId="4">#REF!</definedName>
    <definedName name="도_장_공" localSheetId="1">#REF!</definedName>
    <definedName name="도_장_공">#REF!</definedName>
    <definedName name="도급분경비계" localSheetId="5">[41]설계명세서!#REF!</definedName>
    <definedName name="도급분경비계" localSheetId="3">[41]설계명세서!#REF!</definedName>
    <definedName name="도급분경비계" localSheetId="6">[41]설계명세서!#REF!</definedName>
    <definedName name="도급분경비계" localSheetId="7">[41]설계명세서!#REF!</definedName>
    <definedName name="도급분경비계" localSheetId="8">[41]설계명세서!#REF!</definedName>
    <definedName name="도급분경비계" localSheetId="4">[41]설계명세서!#REF!</definedName>
    <definedName name="도급분경비계" localSheetId="1">[41]설계명세서!#REF!</definedName>
    <definedName name="도급분경비계">[41]설계명세서!#REF!</definedName>
    <definedName name="도급분공사비">[41]설계명세서!$G$116</definedName>
    <definedName name="도로포장">[0]!도로포장</definedName>
    <definedName name="도장2" localSheetId="5">#REF!</definedName>
    <definedName name="도장2" localSheetId="3">#REF!</definedName>
    <definedName name="도장2" localSheetId="6">#REF!</definedName>
    <definedName name="도장2" localSheetId="7">#REF!</definedName>
    <definedName name="도장2" localSheetId="8">#REF!</definedName>
    <definedName name="도장2" localSheetId="4">#REF!</definedName>
    <definedName name="도장2" localSheetId="1">#REF!</definedName>
    <definedName name="도장2">#REF!</definedName>
    <definedName name="돌망태" localSheetId="5">[37]검측서!#REF!</definedName>
    <definedName name="돌망태" localSheetId="3">[37]검측서!#REF!</definedName>
    <definedName name="돌망태" localSheetId="6">[37]검측서!#REF!</definedName>
    <definedName name="돌망태" localSheetId="7">[37]검측서!#REF!</definedName>
    <definedName name="돌망태" localSheetId="8">[37]검측서!#REF!</definedName>
    <definedName name="돌망태" localSheetId="4">[37]검측서!#REF!</definedName>
    <definedName name="돌망태" localSheetId="1">[37]검측서!#REF!</definedName>
    <definedName name="돌망태">[37]검측서!#REF!</definedName>
    <definedName name="동나">ROUND([0]!동나*0.0254,3)</definedName>
    <definedName name="동아시행율" localSheetId="5">#REF!</definedName>
    <definedName name="동아시행율" localSheetId="3">#REF!</definedName>
    <definedName name="동아시행율" localSheetId="6">#REF!</definedName>
    <definedName name="동아시행율" localSheetId="7">#REF!</definedName>
    <definedName name="동아시행율" localSheetId="8">#REF!</definedName>
    <definedName name="동아시행율" localSheetId="4">#REF!</definedName>
    <definedName name="동아시행율" localSheetId="1">#REF!</definedName>
    <definedName name="동아시행율">#REF!</definedName>
    <definedName name="되메우기" localSheetId="5">[37]검측서!#REF!</definedName>
    <definedName name="되메우기" localSheetId="3">[37]검측서!#REF!</definedName>
    <definedName name="되메우기" localSheetId="6">[37]검측서!#REF!</definedName>
    <definedName name="되메우기" localSheetId="7">[37]검측서!#REF!</definedName>
    <definedName name="되메우기" localSheetId="8">[37]검측서!#REF!</definedName>
    <definedName name="되메우기" localSheetId="4">[37]검측서!#REF!</definedName>
    <definedName name="되메우기" localSheetId="1">[37]검측서!#REF!</definedName>
    <definedName name="되메우기">[37]검측서!#REF!</definedName>
    <definedName name="되메우기및잔토처리" localSheetId="5">#REF!</definedName>
    <definedName name="되메우기및잔토처리" localSheetId="3">#REF!</definedName>
    <definedName name="되메우기및잔토처리" localSheetId="6">#REF!</definedName>
    <definedName name="되메우기및잔토처리" localSheetId="7">#REF!</definedName>
    <definedName name="되메우기및잔토처리" localSheetId="8">#REF!</definedName>
    <definedName name="되메우기및잔토처리" localSheetId="4">#REF!</definedName>
    <definedName name="되메우기및잔토처리" localSheetId="1">#REF!</definedName>
    <definedName name="되메우기및잔토처리">#REF!</definedName>
    <definedName name="두꺼움" localSheetId="5">#REF!</definedName>
    <definedName name="두꺼움" localSheetId="3">#REF!</definedName>
    <definedName name="두꺼움" localSheetId="6">#REF!</definedName>
    <definedName name="두꺼움" localSheetId="7">#REF!</definedName>
    <definedName name="두꺼움" localSheetId="8">#REF!</definedName>
    <definedName name="두꺼움" localSheetId="4">#REF!</definedName>
    <definedName name="두꺼움" localSheetId="1">#REF!</definedName>
    <definedName name="두꺼움">#REF!</definedName>
    <definedName name="두꺼움계" localSheetId="5">#REF!</definedName>
    <definedName name="두꺼움계" localSheetId="3">#REF!</definedName>
    <definedName name="두꺼움계" localSheetId="6">#REF!</definedName>
    <definedName name="두꺼움계" localSheetId="7">#REF!</definedName>
    <definedName name="두꺼움계" localSheetId="8">#REF!</definedName>
    <definedName name="두꺼움계" localSheetId="4">#REF!</definedName>
    <definedName name="두꺼움계" localSheetId="1">#REF!</definedName>
    <definedName name="두꺼움계">#REF!</definedName>
    <definedName name="두꺼움국" localSheetId="5">#REF!</definedName>
    <definedName name="두꺼움국" localSheetId="3">#REF!</definedName>
    <definedName name="두꺼움국" localSheetId="6">#REF!</definedName>
    <definedName name="두꺼움국" localSheetId="7">#REF!</definedName>
    <definedName name="두꺼움국" localSheetId="8">#REF!</definedName>
    <definedName name="두꺼움국" localSheetId="4">#REF!</definedName>
    <definedName name="두꺼움국" localSheetId="1">#REF!</definedName>
    <definedName name="두꺼움국">#REF!</definedName>
    <definedName name="두꺼움대" localSheetId="5">#REF!</definedName>
    <definedName name="두꺼움대" localSheetId="3">#REF!</definedName>
    <definedName name="두꺼움대" localSheetId="6">#REF!</definedName>
    <definedName name="두꺼움대" localSheetId="7">#REF!</definedName>
    <definedName name="두꺼움대" localSheetId="8">#REF!</definedName>
    <definedName name="두꺼움대" localSheetId="4">#REF!</definedName>
    <definedName name="두꺼움대" localSheetId="1">#REF!</definedName>
    <definedName name="두꺼움대">#REF!</definedName>
    <definedName name="두꺼움현" localSheetId="5">#REF!</definedName>
    <definedName name="두꺼움현" localSheetId="3">#REF!</definedName>
    <definedName name="두꺼움현" localSheetId="6">#REF!</definedName>
    <definedName name="두꺼움현" localSheetId="7">#REF!</definedName>
    <definedName name="두꺼움현" localSheetId="8">#REF!</definedName>
    <definedName name="두꺼움현" localSheetId="4">#REF!</definedName>
    <definedName name="두꺼움현" localSheetId="1">#REF!</definedName>
    <definedName name="두꺼움현">#REF!</definedName>
    <definedName name="ㄹ403" localSheetId="5">#REF!</definedName>
    <definedName name="ㄹ403" localSheetId="3">#REF!</definedName>
    <definedName name="ㄹ403" localSheetId="6">#REF!</definedName>
    <definedName name="ㄹ403" localSheetId="7">#REF!</definedName>
    <definedName name="ㄹ403" localSheetId="8">#REF!</definedName>
    <definedName name="ㄹ403" localSheetId="4">#REF!</definedName>
    <definedName name="ㄹ403" localSheetId="1">#REF!</definedName>
    <definedName name="ㄹ403">#REF!</definedName>
    <definedName name="라." localSheetId="5">#REF!</definedName>
    <definedName name="라." localSheetId="3">#REF!</definedName>
    <definedName name="라." localSheetId="6">#REF!</definedName>
    <definedName name="라." localSheetId="7">#REF!</definedName>
    <definedName name="라." localSheetId="8">#REF!</definedName>
    <definedName name="라." localSheetId="4">#REF!</definedName>
    <definedName name="라." localSheetId="1">#REF!</definedName>
    <definedName name="라.">#REF!</definedName>
    <definedName name="러ㅏㄹ" localSheetId="5">#REF!</definedName>
    <definedName name="러ㅏㄹ" localSheetId="3">#REF!</definedName>
    <definedName name="러ㅏㄹ" localSheetId="6">#REF!</definedName>
    <definedName name="러ㅏㄹ" localSheetId="7">#REF!</definedName>
    <definedName name="러ㅏㄹ" localSheetId="8">#REF!</definedName>
    <definedName name="러ㅏㄹ" localSheetId="4">#REF!</definedName>
    <definedName name="러ㅏㄹ" localSheetId="1">#REF!</definedName>
    <definedName name="러ㅏㄹ">#REF!</definedName>
    <definedName name="ㅁ" localSheetId="5">BlankMacro1</definedName>
    <definedName name="ㅁ" localSheetId="3">BlankMacro1</definedName>
    <definedName name="ㅁ" localSheetId="6">BlankMacro1</definedName>
    <definedName name="ㅁ" localSheetId="7">BlankMacro1</definedName>
    <definedName name="ㅁ" localSheetId="8">BlankMacro1</definedName>
    <definedName name="ㅁ" localSheetId="4">BlankMacro1</definedName>
    <definedName name="ㅁ" localSheetId="1">BlankMacro1</definedName>
    <definedName name="ㅁ">BlankMacro1</definedName>
    <definedName name="ㅁ1" localSheetId="5">#REF!</definedName>
    <definedName name="ㅁ1" localSheetId="3">#REF!</definedName>
    <definedName name="ㅁ1" localSheetId="6">#REF!</definedName>
    <definedName name="ㅁ1" localSheetId="7">#REF!</definedName>
    <definedName name="ㅁ1" localSheetId="8">#REF!</definedName>
    <definedName name="ㅁ1" localSheetId="4">#REF!</definedName>
    <definedName name="ㅁ1" localSheetId="1">#REF!</definedName>
    <definedName name="ㅁ1">#REF!</definedName>
    <definedName name="ㅁ1362" localSheetId="5">[42]건축기성!#REF!</definedName>
    <definedName name="ㅁ1362" localSheetId="3">[42]건축기성!#REF!</definedName>
    <definedName name="ㅁ1362" localSheetId="6">[42]건축기성!#REF!</definedName>
    <definedName name="ㅁ1362" localSheetId="7">[42]건축기성!#REF!</definedName>
    <definedName name="ㅁ1362" localSheetId="8">[42]건축기성!#REF!</definedName>
    <definedName name="ㅁ1362" localSheetId="4">[42]건축기성!#REF!</definedName>
    <definedName name="ㅁ1362" localSheetId="1">[42]건축기성!#REF!</definedName>
    <definedName name="ㅁ1362">[42]건축기성!#REF!</definedName>
    <definedName name="ㅁ170" localSheetId="5">#REF!</definedName>
    <definedName name="ㅁ170" localSheetId="3">#REF!</definedName>
    <definedName name="ㅁ170" localSheetId="6">#REF!</definedName>
    <definedName name="ㅁ170" localSheetId="7">#REF!</definedName>
    <definedName name="ㅁ170" localSheetId="8">#REF!</definedName>
    <definedName name="ㅁ170" localSheetId="4">#REF!</definedName>
    <definedName name="ㅁ170" localSheetId="1">#REF!</definedName>
    <definedName name="ㅁ170">#REF!</definedName>
    <definedName name="ㅁ3110" localSheetId="5">[42]건축기성!#REF!</definedName>
    <definedName name="ㅁ3110" localSheetId="3">[42]건축기성!#REF!</definedName>
    <definedName name="ㅁ3110" localSheetId="6">[42]건축기성!#REF!</definedName>
    <definedName name="ㅁ3110" localSheetId="7">[42]건축기성!#REF!</definedName>
    <definedName name="ㅁ3110" localSheetId="8">[42]건축기성!#REF!</definedName>
    <definedName name="ㅁ3110" localSheetId="4">[42]건축기성!#REF!</definedName>
    <definedName name="ㅁ3110" localSheetId="1">[42]건축기성!#REF!</definedName>
    <definedName name="ㅁ3110">[42]건축기성!#REF!</definedName>
    <definedName name="ㅁ340" localSheetId="5">#REF!</definedName>
    <definedName name="ㅁ340" localSheetId="3">#REF!</definedName>
    <definedName name="ㅁ340" localSheetId="6">#REF!</definedName>
    <definedName name="ㅁ340" localSheetId="7">#REF!</definedName>
    <definedName name="ㅁ340" localSheetId="8">#REF!</definedName>
    <definedName name="ㅁ340" localSheetId="4">#REF!</definedName>
    <definedName name="ㅁ340" localSheetId="1">#REF!</definedName>
    <definedName name="ㅁ340">#REF!</definedName>
    <definedName name="ㅁ8529" localSheetId="5">[43]일반공사!#REF!</definedName>
    <definedName name="ㅁ8529" localSheetId="3">[43]일반공사!#REF!</definedName>
    <definedName name="ㅁ8529" localSheetId="6">[43]일반공사!#REF!</definedName>
    <definedName name="ㅁ8529" localSheetId="7">[43]일반공사!#REF!</definedName>
    <definedName name="ㅁ8529" localSheetId="8">[43]일반공사!#REF!</definedName>
    <definedName name="ㅁ8529" localSheetId="4">[43]일반공사!#REF!</definedName>
    <definedName name="ㅁ8529" localSheetId="1">[43]일반공사!#REF!</definedName>
    <definedName name="ㅁ8529">[43]일반공사!#REF!</definedName>
    <definedName name="마지막" localSheetId="5">#REF!</definedName>
    <definedName name="마지막" localSheetId="3">#REF!</definedName>
    <definedName name="마지막" localSheetId="6">#REF!</definedName>
    <definedName name="마지막" localSheetId="7">#REF!</definedName>
    <definedName name="마지막" localSheetId="8">#REF!</definedName>
    <definedName name="마지막" localSheetId="4">#REF!</definedName>
    <definedName name="마지막" localSheetId="1">#REF!</definedName>
    <definedName name="마지막">#REF!</definedName>
    <definedName name="말비계" localSheetId="5">#REF!</definedName>
    <definedName name="말비계" localSheetId="3">#REF!</definedName>
    <definedName name="말비계" localSheetId="6">#REF!</definedName>
    <definedName name="말비계" localSheetId="7">#REF!</definedName>
    <definedName name="말비계" localSheetId="8">#REF!</definedName>
    <definedName name="말비계" localSheetId="4">#REF!</definedName>
    <definedName name="말비계" localSheetId="1">#REF!</definedName>
    <definedName name="말비계">#REF!</definedName>
    <definedName name="말비계1" localSheetId="5">#REF!</definedName>
    <definedName name="말비계1" localSheetId="3">#REF!</definedName>
    <definedName name="말비계1" localSheetId="6">#REF!</definedName>
    <definedName name="말비계1" localSheetId="7">#REF!</definedName>
    <definedName name="말비계1" localSheetId="8">#REF!</definedName>
    <definedName name="말비계1" localSheetId="4">#REF!</definedName>
    <definedName name="말비계1" localSheetId="1">#REF!</definedName>
    <definedName name="말비계1">#REF!</definedName>
    <definedName name="모1" localSheetId="5">#REF!</definedName>
    <definedName name="모1" localSheetId="3">#REF!</definedName>
    <definedName name="모1" localSheetId="6">#REF!</definedName>
    <definedName name="모1" localSheetId="7">#REF!</definedName>
    <definedName name="모1" localSheetId="8">#REF!</definedName>
    <definedName name="모1" localSheetId="4">#REF!</definedName>
    <definedName name="모1" localSheetId="1">#REF!</definedName>
    <definedName name="모1">#REF!</definedName>
    <definedName name="모래" localSheetId="5">#REF!</definedName>
    <definedName name="모래" localSheetId="3">#REF!</definedName>
    <definedName name="모래" localSheetId="6">#REF!</definedName>
    <definedName name="모래" localSheetId="7">#REF!</definedName>
    <definedName name="모래" localSheetId="8">#REF!</definedName>
    <definedName name="모래" localSheetId="4">#REF!</definedName>
    <definedName name="모래" localSheetId="1">#REF!</definedName>
    <definedName name="모래">#REF!</definedName>
    <definedName name="모래깔기" localSheetId="5">#REF!</definedName>
    <definedName name="모래깔기" localSheetId="3">#REF!</definedName>
    <definedName name="모래깔기" localSheetId="6">#REF!</definedName>
    <definedName name="모래깔기" localSheetId="7">#REF!</definedName>
    <definedName name="모래깔기" localSheetId="8">#REF!</definedName>
    <definedName name="모래깔기" localSheetId="4">#REF!</definedName>
    <definedName name="모래깔기" localSheetId="1">#REF!</definedName>
    <definedName name="모래깔기">#REF!</definedName>
    <definedName name="모래채움" localSheetId="5">#REF!</definedName>
    <definedName name="모래채움" localSheetId="3">#REF!</definedName>
    <definedName name="모래채움" localSheetId="6">#REF!</definedName>
    <definedName name="모래채움" localSheetId="7">#REF!</definedName>
    <definedName name="모래채움" localSheetId="8">#REF!</definedName>
    <definedName name="모래채움" localSheetId="4">#REF!</definedName>
    <definedName name="모래채움" localSheetId="1">#REF!</definedName>
    <definedName name="모래채움">#REF!</definedName>
    <definedName name="목차">ROUND([0]!목차*0.0254,3)</definedName>
    <definedName name="무거두꺼움" localSheetId="5">#REF!</definedName>
    <definedName name="무거두꺼움" localSheetId="3">#REF!</definedName>
    <definedName name="무거두꺼움" localSheetId="6">#REF!</definedName>
    <definedName name="무거두꺼움" localSheetId="7">#REF!</definedName>
    <definedName name="무거두꺼움" localSheetId="8">#REF!</definedName>
    <definedName name="무거두꺼움" localSheetId="4">#REF!</definedName>
    <definedName name="무거두꺼움" localSheetId="1">#REF!</definedName>
    <definedName name="무거두꺼움">#REF!</definedName>
    <definedName name="무거얄음" localSheetId="5">#REF!</definedName>
    <definedName name="무거얄음" localSheetId="3">#REF!</definedName>
    <definedName name="무거얄음" localSheetId="6">#REF!</definedName>
    <definedName name="무거얄음" localSheetId="7">#REF!</definedName>
    <definedName name="무거얄음" localSheetId="8">#REF!</definedName>
    <definedName name="무거얄음" localSheetId="4">#REF!</definedName>
    <definedName name="무거얄음" localSheetId="1">#REF!</definedName>
    <definedName name="무거얄음">#REF!</definedName>
    <definedName name="무계" localSheetId="5">#REF!</definedName>
    <definedName name="무계" localSheetId="3">#REF!</definedName>
    <definedName name="무계" localSheetId="6">#REF!</definedName>
    <definedName name="무계" localSheetId="7">#REF!</definedName>
    <definedName name="무계" localSheetId="8">#REF!</definedName>
    <definedName name="무계" localSheetId="4">#REF!</definedName>
    <definedName name="무계" localSheetId="1">#REF!</definedName>
    <definedName name="무계">#REF!</definedName>
    <definedName name="무두꺼움" localSheetId="5">#REF!</definedName>
    <definedName name="무두꺼움" localSheetId="3">#REF!</definedName>
    <definedName name="무두꺼움" localSheetId="6">#REF!</definedName>
    <definedName name="무두꺼움" localSheetId="7">#REF!</definedName>
    <definedName name="무두꺼움" localSheetId="8">#REF!</definedName>
    <definedName name="무두꺼움" localSheetId="4">#REF!</definedName>
    <definedName name="무두꺼움" localSheetId="1">#REF!</definedName>
    <definedName name="무두꺼움">#REF!</definedName>
    <definedName name="무얄음" localSheetId="5">#REF!</definedName>
    <definedName name="무얄음" localSheetId="3">#REF!</definedName>
    <definedName name="무얄음" localSheetId="6">#REF!</definedName>
    <definedName name="무얄음" localSheetId="7">#REF!</definedName>
    <definedName name="무얄음" localSheetId="8">#REF!</definedName>
    <definedName name="무얄음" localSheetId="4">#REF!</definedName>
    <definedName name="무얄음" localSheetId="1">#REF!</definedName>
    <definedName name="무얄음">#REF!</definedName>
    <definedName name="물량" localSheetId="5">'[16]VENDOR LIST'!#REF!</definedName>
    <definedName name="물량" localSheetId="3">'[16]VENDOR LIST'!#REF!</definedName>
    <definedName name="물량" localSheetId="6">'[16]VENDOR LIST'!#REF!</definedName>
    <definedName name="물량" localSheetId="7">'[16]VENDOR LIST'!#REF!</definedName>
    <definedName name="물량" localSheetId="8">'[16]VENDOR LIST'!#REF!</definedName>
    <definedName name="물량" localSheetId="4">'[16]VENDOR LIST'!#REF!</definedName>
    <definedName name="물량" localSheetId="1">'[16]VENDOR LIST'!#REF!</definedName>
    <definedName name="물량">'[16]VENDOR LIST'!#REF!</definedName>
    <definedName name="물량증감">[44]변경내역서!$1:$3</definedName>
    <definedName name="물량집계" localSheetId="5">#REF!</definedName>
    <definedName name="물량집계" localSheetId="3">#REF!</definedName>
    <definedName name="물량집계" localSheetId="6">#REF!</definedName>
    <definedName name="물량집계" localSheetId="7">#REF!</definedName>
    <definedName name="물량집계" localSheetId="8">#REF!</definedName>
    <definedName name="물량집계" localSheetId="4">#REF!</definedName>
    <definedName name="물량집계" localSheetId="1">#REF!</definedName>
    <definedName name="물량집계">#REF!</definedName>
    <definedName name="ㅂㅂ" localSheetId="5">#REF!</definedName>
    <definedName name="ㅂㅂ" localSheetId="3">#REF!</definedName>
    <definedName name="ㅂㅂ" localSheetId="6">#REF!</definedName>
    <definedName name="ㅂㅂ" localSheetId="7">#REF!</definedName>
    <definedName name="ㅂㅂ" localSheetId="8">#REF!</definedName>
    <definedName name="ㅂㅂ" localSheetId="4">#REF!</definedName>
    <definedName name="ㅂㅂ" localSheetId="1">#REF!</definedName>
    <definedName name="ㅂㅂ">#REF!</definedName>
    <definedName name="ㅂㅂㅂ" localSheetId="5">#REF!</definedName>
    <definedName name="ㅂㅂㅂ" localSheetId="3">#REF!</definedName>
    <definedName name="ㅂㅂㅂ" localSheetId="6">#REF!</definedName>
    <definedName name="ㅂㅂㅂ" localSheetId="7">#REF!</definedName>
    <definedName name="ㅂㅂㅂ" localSheetId="8">#REF!</definedName>
    <definedName name="ㅂㅂㅂ" localSheetId="4">#REF!</definedName>
    <definedName name="ㅂㅂㅂ" localSheetId="1">#REF!</definedName>
    <definedName name="ㅂㅂㅂ">#REF!</definedName>
    <definedName name="ㅂㅈ" localSheetId="5">BlankMacro1</definedName>
    <definedName name="ㅂㅈ" localSheetId="3">BlankMacro1</definedName>
    <definedName name="ㅂㅈ" localSheetId="6">BlankMacro1</definedName>
    <definedName name="ㅂㅈ" localSheetId="7">BlankMacro1</definedName>
    <definedName name="ㅂㅈ" localSheetId="8">BlankMacro1</definedName>
    <definedName name="ㅂㅈ" localSheetId="4">BlankMacro1</definedName>
    <definedName name="ㅂㅈ" localSheetId="1">BlankMacro1</definedName>
    <definedName name="ㅂㅈ">BlankMacro1</definedName>
    <definedName name="바닥모래" localSheetId="5">#REF!</definedName>
    <definedName name="바닥모래" localSheetId="3">#REF!</definedName>
    <definedName name="바닥모래" localSheetId="6">#REF!</definedName>
    <definedName name="바닥모래" localSheetId="7">#REF!</definedName>
    <definedName name="바닥모래" localSheetId="8">#REF!</definedName>
    <definedName name="바닥모래" localSheetId="4">#REF!</definedName>
    <definedName name="바닥모래" localSheetId="1">#REF!</definedName>
    <definedName name="바닥모래">#REF!</definedName>
    <definedName name="바닥시스ㅔ">ROUND([0]!바닥시스ㅔ*0.0254,3)</definedName>
    <definedName name="바닥히팅시스템">ROUND([0]!바닥히팅시스템*0.0254,3)</definedName>
    <definedName name="반장">[32]노임!$D$6</definedName>
    <definedName name="반장이력서">ROUND([0]!반장이력서*0.0254,3)</definedName>
    <definedName name="방식노무" localSheetId="5">[45]방식총괄!#REF!</definedName>
    <definedName name="방식노무" localSheetId="3">[45]방식총괄!#REF!</definedName>
    <definedName name="방식노무" localSheetId="6">[45]방식총괄!#REF!</definedName>
    <definedName name="방식노무" localSheetId="7">[45]방식총괄!#REF!</definedName>
    <definedName name="방식노무" localSheetId="8">[45]방식총괄!#REF!</definedName>
    <definedName name="방식노무" localSheetId="4">[45]방식총괄!#REF!</definedName>
    <definedName name="방식노무" localSheetId="1">[45]방식총괄!#REF!</definedName>
    <definedName name="방식노무">[45]방식총괄!#REF!</definedName>
    <definedName name="방식재료" localSheetId="5">[45]방식총괄!#REF!</definedName>
    <definedName name="방식재료" localSheetId="3">[45]방식총괄!#REF!</definedName>
    <definedName name="방식재료" localSheetId="6">[45]방식총괄!#REF!</definedName>
    <definedName name="방식재료" localSheetId="7">[45]방식총괄!#REF!</definedName>
    <definedName name="방식재료" localSheetId="8">[45]방식총괄!#REF!</definedName>
    <definedName name="방식재료" localSheetId="4">[45]방식총괄!#REF!</definedName>
    <definedName name="방식재료" localSheetId="1">[45]방식총괄!#REF!</definedName>
    <definedName name="방식재료">[45]방식총괄!#REF!</definedName>
    <definedName name="배관">[46]기성내역서!$1:$3</definedName>
    <definedName name="배관배열" localSheetId="5">#REF!</definedName>
    <definedName name="배관배열" localSheetId="3">#REF!</definedName>
    <definedName name="배관배열" localSheetId="6">#REF!</definedName>
    <definedName name="배관배열" localSheetId="7">#REF!</definedName>
    <definedName name="배관배열" localSheetId="8">#REF!</definedName>
    <definedName name="배관배열" localSheetId="4">#REF!</definedName>
    <definedName name="배관배열" localSheetId="1">#REF!</definedName>
    <definedName name="배관배열">#REF!</definedName>
    <definedName name="배관보온" localSheetId="5">#REF!</definedName>
    <definedName name="배관보온" localSheetId="3">#REF!</definedName>
    <definedName name="배관보온" localSheetId="6">#REF!</definedName>
    <definedName name="배관보온" localSheetId="7">#REF!</definedName>
    <definedName name="배관보온" localSheetId="8">#REF!</definedName>
    <definedName name="배관보온" localSheetId="4">#REF!</definedName>
    <definedName name="배관보온" localSheetId="1">#REF!</definedName>
    <definedName name="배관보온">#REF!</definedName>
    <definedName name="배관용접" localSheetId="5">#REF!</definedName>
    <definedName name="배관용접" localSheetId="3">#REF!</definedName>
    <definedName name="배관용접" localSheetId="6">#REF!</definedName>
    <definedName name="배관용접" localSheetId="7">#REF!</definedName>
    <definedName name="배관용접" localSheetId="8">#REF!</definedName>
    <definedName name="배관용접" localSheetId="4">#REF!</definedName>
    <definedName name="배관용접" localSheetId="1">#REF!</definedName>
    <definedName name="배관용접">#REF!</definedName>
    <definedName name="배관집계" localSheetId="5">#REF!</definedName>
    <definedName name="배관집계" localSheetId="3">#REF!</definedName>
    <definedName name="배관집계" localSheetId="6">#REF!</definedName>
    <definedName name="배관집계" localSheetId="7">#REF!</definedName>
    <definedName name="배관집계" localSheetId="8">#REF!</definedName>
    <definedName name="배관집계" localSheetId="4">#REF!</definedName>
    <definedName name="배관집계" localSheetId="1">#REF!</definedName>
    <definedName name="배관집계">#REF!</definedName>
    <definedName name="변경3개월">[0]!변경3개월</definedName>
    <definedName name="변경월공정" localSheetId="5">BlankMacro1</definedName>
    <definedName name="변경월공정" localSheetId="3">BlankMacro1</definedName>
    <definedName name="변경월공정" localSheetId="6">BlankMacro1</definedName>
    <definedName name="변경월공정" localSheetId="7">BlankMacro1</definedName>
    <definedName name="변경월공정" localSheetId="8">BlankMacro1</definedName>
    <definedName name="변경월공정" localSheetId="4">BlankMacro1</definedName>
    <definedName name="변경월공정" localSheetId="1">BlankMacro1</definedName>
    <definedName name="변경월공정">BlankMacro1</definedName>
    <definedName name="보도블럭" localSheetId="5">#REF!</definedName>
    <definedName name="보도블럭" localSheetId="3">#REF!</definedName>
    <definedName name="보도블럭" localSheetId="6">#REF!</definedName>
    <definedName name="보도블럭" localSheetId="7">#REF!</definedName>
    <definedName name="보도블럭" localSheetId="8">#REF!</definedName>
    <definedName name="보도블럭" localSheetId="4">#REF!</definedName>
    <definedName name="보도블럭" localSheetId="1">#REF!</definedName>
    <definedName name="보도블럭">#REF!</definedName>
    <definedName name="보도블럭철거" localSheetId="5">#REF!</definedName>
    <definedName name="보도블럭철거" localSheetId="3">#REF!</definedName>
    <definedName name="보도블럭철거" localSheetId="6">#REF!</definedName>
    <definedName name="보도블럭철거" localSheetId="7">#REF!</definedName>
    <definedName name="보도블럭철거" localSheetId="8">#REF!</definedName>
    <definedName name="보도블럭철거" localSheetId="4">#REF!</definedName>
    <definedName name="보도블럭철거" localSheetId="1">#REF!</definedName>
    <definedName name="보도블럭철거">#REF!</definedName>
    <definedName name="보온종류" localSheetId="5">#REF!</definedName>
    <definedName name="보온종류" localSheetId="3">#REF!</definedName>
    <definedName name="보온종류" localSheetId="6">#REF!</definedName>
    <definedName name="보온종류" localSheetId="7">#REF!</definedName>
    <definedName name="보온종류" localSheetId="8">#REF!</definedName>
    <definedName name="보온종류" localSheetId="4">#REF!</definedName>
    <definedName name="보온종류" localSheetId="1">#REF!</definedName>
    <definedName name="보온종류">#REF!</definedName>
    <definedName name="보조기층" localSheetId="5">#REF!</definedName>
    <definedName name="보조기층" localSheetId="3">#REF!</definedName>
    <definedName name="보조기층" localSheetId="6">#REF!</definedName>
    <definedName name="보조기층" localSheetId="7">#REF!</definedName>
    <definedName name="보조기층" localSheetId="8">#REF!</definedName>
    <definedName name="보조기층" localSheetId="4">#REF!</definedName>
    <definedName name="보조기층" localSheetId="1">#REF!</definedName>
    <definedName name="보조기층">#REF!</definedName>
    <definedName name="보차도경계석" localSheetId="5">#REF!</definedName>
    <definedName name="보차도경계석" localSheetId="3">#REF!</definedName>
    <definedName name="보차도경계석" localSheetId="6">#REF!</definedName>
    <definedName name="보차도경계석" localSheetId="7">#REF!</definedName>
    <definedName name="보차도경계석" localSheetId="8">#REF!</definedName>
    <definedName name="보차도경계석" localSheetId="4">#REF!</definedName>
    <definedName name="보차도경계석" localSheetId="1">#REF!</definedName>
    <definedName name="보차도경계석">#REF!</definedName>
    <definedName name="보호강관케이싱" localSheetId="5">[37]검측서!#REF!</definedName>
    <definedName name="보호강관케이싱" localSheetId="3">[37]검측서!#REF!</definedName>
    <definedName name="보호강관케이싱" localSheetId="6">[37]검측서!#REF!</definedName>
    <definedName name="보호강관케이싱" localSheetId="7">[37]검측서!#REF!</definedName>
    <definedName name="보호강관케이싱" localSheetId="8">[37]검측서!#REF!</definedName>
    <definedName name="보호강관케이싱" localSheetId="4">[37]검측서!#REF!</definedName>
    <definedName name="보호강관케이싱" localSheetId="1">[37]검측서!#REF!</definedName>
    <definedName name="보호강관케이싱">[37]검측서!#REF!</definedName>
    <definedName name="보호철판" localSheetId="5">[37]검측서!#REF!</definedName>
    <definedName name="보호철판" localSheetId="3">[37]검측서!#REF!</definedName>
    <definedName name="보호철판" localSheetId="6">[37]검측서!#REF!</definedName>
    <definedName name="보호철판" localSheetId="7">[37]검측서!#REF!</definedName>
    <definedName name="보호철판" localSheetId="8">[37]검측서!#REF!</definedName>
    <definedName name="보호철판" localSheetId="4">[37]검측서!#REF!</definedName>
    <definedName name="보호철판" localSheetId="1">[37]검측서!#REF!</definedName>
    <definedName name="보호철판">[37]검측서!#REF!</definedName>
    <definedName name="복공용강판" localSheetId="5">#REF!</definedName>
    <definedName name="복공용강판" localSheetId="3">#REF!</definedName>
    <definedName name="복공용강판" localSheetId="6">#REF!</definedName>
    <definedName name="복공용강판" localSheetId="7">#REF!</definedName>
    <definedName name="복공용강판" localSheetId="8">#REF!</definedName>
    <definedName name="복공용강판" localSheetId="4">#REF!</definedName>
    <definedName name="복공용강판" localSheetId="1">#REF!</definedName>
    <definedName name="복공용강판">#REF!</definedName>
    <definedName name="복공판" localSheetId="5">#REF!</definedName>
    <definedName name="복공판" localSheetId="3">#REF!</definedName>
    <definedName name="복공판" localSheetId="6">#REF!</definedName>
    <definedName name="복공판" localSheetId="7">#REF!</definedName>
    <definedName name="복공판" localSheetId="8">#REF!</definedName>
    <definedName name="복공판" localSheetId="4">#REF!</definedName>
    <definedName name="복공판" localSheetId="1">#REF!</definedName>
    <definedName name="복공판">#REF!</definedName>
    <definedName name="볼밸브설치" localSheetId="5">#REF!</definedName>
    <definedName name="볼밸브설치" localSheetId="3">#REF!</definedName>
    <definedName name="볼밸브설치" localSheetId="6">#REF!</definedName>
    <definedName name="볼밸브설치" localSheetId="7">#REF!</definedName>
    <definedName name="볼밸브설치" localSheetId="8">#REF!</definedName>
    <definedName name="볼밸브설치" localSheetId="4">#REF!</definedName>
    <definedName name="볼밸브설치" localSheetId="1">#REF!</definedName>
    <definedName name="볼밸브설치">#REF!</definedName>
    <definedName name="부대공사산출">[47]기성내역서!$1:$3</definedName>
    <definedName name="부손익" hidden="1">{#N/A,#N/A,FALSE,"현장 NCR 분석";#N/A,#N/A,FALSE,"현장품질감사";#N/A,#N/A,FALSE,"현장품질감사"}</definedName>
    <definedName name="분류">#N/A</definedName>
    <definedName name="비_계_공" localSheetId="5">#REF!</definedName>
    <definedName name="비_계_공" localSheetId="3">#REF!</definedName>
    <definedName name="비_계_공" localSheetId="6">#REF!</definedName>
    <definedName name="비_계_공" localSheetId="7">#REF!</definedName>
    <definedName name="비_계_공" localSheetId="8">#REF!</definedName>
    <definedName name="비_계_공" localSheetId="4">#REF!</definedName>
    <definedName name="비_계_공" localSheetId="1">#REF!</definedName>
    <definedName name="비_계_공">#REF!</definedName>
    <definedName name="비고">#N/A</definedName>
    <definedName name="비궈" localSheetId="5">BlankMacro1</definedName>
    <definedName name="비궈" localSheetId="3">BlankMacro1</definedName>
    <definedName name="비궈" localSheetId="6">BlankMacro1</definedName>
    <definedName name="비궈" localSheetId="7">BlankMacro1</definedName>
    <definedName name="비궈" localSheetId="8">BlankMacro1</definedName>
    <definedName name="비궈" localSheetId="4">BlankMacro1</definedName>
    <definedName name="비궈" localSheetId="1">BlankMacro1</definedName>
    <definedName name="비궈">BlankMacro1</definedName>
    <definedName name="비목1" localSheetId="5">#REF!</definedName>
    <definedName name="비목1" localSheetId="3">#REF!</definedName>
    <definedName name="비목1" localSheetId="6">#REF!</definedName>
    <definedName name="비목1" localSheetId="7">#REF!</definedName>
    <definedName name="비목1" localSheetId="8">#REF!</definedName>
    <definedName name="비목1" localSheetId="4">#REF!</definedName>
    <definedName name="비목1" localSheetId="1">#REF!</definedName>
    <definedName name="비목1">#REF!</definedName>
    <definedName name="비목2" localSheetId="5">#REF!</definedName>
    <definedName name="비목2" localSheetId="3">#REF!</definedName>
    <definedName name="비목2" localSheetId="6">#REF!</definedName>
    <definedName name="비목2" localSheetId="7">#REF!</definedName>
    <definedName name="비목2" localSheetId="8">#REF!</definedName>
    <definedName name="비목2" localSheetId="4">#REF!</definedName>
    <definedName name="비목2" localSheetId="1">#REF!</definedName>
    <definedName name="비목2">#REF!</definedName>
    <definedName name="비목3" localSheetId="5">#REF!</definedName>
    <definedName name="비목3" localSheetId="3">#REF!</definedName>
    <definedName name="비목3" localSheetId="6">#REF!</definedName>
    <definedName name="비목3" localSheetId="7">#REF!</definedName>
    <definedName name="비목3" localSheetId="8">#REF!</definedName>
    <definedName name="비목3" localSheetId="4">#REF!</definedName>
    <definedName name="비목3" localSheetId="1">#REF!</definedName>
    <definedName name="비목3">#REF!</definedName>
    <definedName name="비목4" localSheetId="5">#REF!</definedName>
    <definedName name="비목4" localSheetId="3">#REF!</definedName>
    <definedName name="비목4" localSheetId="6">#REF!</definedName>
    <definedName name="비목4" localSheetId="7">#REF!</definedName>
    <definedName name="비목4" localSheetId="8">#REF!</definedName>
    <definedName name="비목4" localSheetId="4">#REF!</definedName>
    <definedName name="비목4" localSheetId="1">#REF!</definedName>
    <definedName name="비목4">#REF!</definedName>
    <definedName name="비율" localSheetId="5">#REF!</definedName>
    <definedName name="비율" localSheetId="3">#REF!</definedName>
    <definedName name="비율" localSheetId="6">#REF!</definedName>
    <definedName name="비율" localSheetId="7">#REF!</definedName>
    <definedName name="비율" localSheetId="8">#REF!</definedName>
    <definedName name="비율" localSheetId="4">#REF!</definedName>
    <definedName name="비율" localSheetId="1">#REF!</definedName>
    <definedName name="비율">#REF!</definedName>
    <definedName name="사">[0]!사</definedName>
    <definedName name="사급자재검사">[0]!사급자재검사</definedName>
    <definedName name="사급자재관리">[0]!사급자재관리</definedName>
    <definedName name="사급자재사용">[0]!사급자재사용</definedName>
    <definedName name="사급자재청구">[0]!사급자재청구</definedName>
    <definedName name="사급자재청구1">[0]!사급자재청구1</definedName>
    <definedName name="사급자재품목">[0]!사급자재품목</definedName>
    <definedName name="사용">[0]!사용</definedName>
    <definedName name="사진대지" localSheetId="5">#REF!</definedName>
    <definedName name="사진대지" localSheetId="3">#REF!</definedName>
    <definedName name="사진대지" localSheetId="6">#REF!</definedName>
    <definedName name="사진대지" localSheetId="7">#REF!</definedName>
    <definedName name="사진대지" localSheetId="8">#REF!</definedName>
    <definedName name="사진대지" localSheetId="4">#REF!</definedName>
    <definedName name="사진대지" localSheetId="1">#REF!</definedName>
    <definedName name="사진대지">#REF!</definedName>
    <definedName name="삭제" localSheetId="5">BlankMacro1</definedName>
    <definedName name="삭제" localSheetId="3">BlankMacro1</definedName>
    <definedName name="삭제" localSheetId="6">BlankMacro1</definedName>
    <definedName name="삭제" localSheetId="7">BlankMacro1</definedName>
    <definedName name="삭제" localSheetId="8">BlankMacro1</definedName>
    <definedName name="삭제" localSheetId="4">BlankMacro1</definedName>
    <definedName name="삭제" localSheetId="1">BlankMacro1</definedName>
    <definedName name="삭제">BlankMacro1</definedName>
    <definedName name="산재보험료" localSheetId="5">#REF!</definedName>
    <definedName name="산재보험료" localSheetId="3">#REF!</definedName>
    <definedName name="산재보험료" localSheetId="6">#REF!</definedName>
    <definedName name="산재보험료" localSheetId="7">#REF!</definedName>
    <definedName name="산재보험료" localSheetId="8">#REF!</definedName>
    <definedName name="산재보험료" localSheetId="4">#REF!</definedName>
    <definedName name="산재보험료" localSheetId="1">#REF!</definedName>
    <definedName name="산재보험료">#REF!</definedName>
    <definedName name="산출표1">[17]토공정보!$AF$7:$AR$17</definedName>
    <definedName name="산출표2">[48]토공정보!$B$7:$L$31</definedName>
    <definedName name="소방" localSheetId="5">BlankMacro1</definedName>
    <definedName name="소방" localSheetId="3">BlankMacro1</definedName>
    <definedName name="소방" localSheetId="6">BlankMacro1</definedName>
    <definedName name="소방" localSheetId="7">BlankMacro1</definedName>
    <definedName name="소방" localSheetId="8">BlankMacro1</definedName>
    <definedName name="소방" localSheetId="4">BlankMacro1</definedName>
    <definedName name="소방" localSheetId="1">BlankMacro1</definedName>
    <definedName name="소방">BlankMacro1</definedName>
    <definedName name="소장">ROUND([0]!소장*0.0254,3)</definedName>
    <definedName name="쇄석기층재포설" localSheetId="5">#REF!</definedName>
    <definedName name="쇄석기층재포설" localSheetId="3">#REF!</definedName>
    <definedName name="쇄석기층재포설" localSheetId="6">#REF!</definedName>
    <definedName name="쇄석기층재포설" localSheetId="7">#REF!</definedName>
    <definedName name="쇄석기층재포설" localSheetId="8">#REF!</definedName>
    <definedName name="쇄석기층재포설" localSheetId="4">#REF!</definedName>
    <definedName name="쇄석기층재포설" localSheetId="1">#REF!</definedName>
    <definedName name="쇄석기층재포설">#REF!</definedName>
    <definedName name="수목이식" localSheetId="5">[37]검측서!#REF!</definedName>
    <definedName name="수목이식" localSheetId="3">[37]검측서!#REF!</definedName>
    <definedName name="수목이식" localSheetId="6">[37]검측서!#REF!</definedName>
    <definedName name="수목이식" localSheetId="7">[37]검측서!#REF!</definedName>
    <definedName name="수목이식" localSheetId="8">[37]검측서!#REF!</definedName>
    <definedName name="수목이식" localSheetId="4">[37]검측서!#REF!</definedName>
    <definedName name="수목이식" localSheetId="1">[37]검측서!#REF!</definedName>
    <definedName name="수목이식">[37]검측서!#REF!</definedName>
    <definedName name="수용가명">#N/A</definedName>
    <definedName name="시공">#N/A</definedName>
    <definedName name="신규물량" localSheetId="5">#REF!</definedName>
    <definedName name="신규물량" localSheetId="3">#REF!</definedName>
    <definedName name="신규물량" localSheetId="6">#REF!</definedName>
    <definedName name="신규물량" localSheetId="7">#REF!</definedName>
    <definedName name="신규물량" localSheetId="8">#REF!</definedName>
    <definedName name="신규물량" localSheetId="4">#REF!</definedName>
    <definedName name="신규물량" localSheetId="1">#REF!</definedName>
    <definedName name="신규물량">#REF!</definedName>
    <definedName name="신규수량" localSheetId="5">[49]기시공토적!#REF!</definedName>
    <definedName name="신규수량" localSheetId="3">[49]기시공토적!#REF!</definedName>
    <definedName name="신규수량" localSheetId="6">[49]기시공토적!#REF!</definedName>
    <definedName name="신규수량" localSheetId="7">[49]기시공토적!#REF!</definedName>
    <definedName name="신규수량" localSheetId="8">[49]기시공토적!#REF!</definedName>
    <definedName name="신규수량" localSheetId="4">[49]기시공토적!#REF!</definedName>
    <definedName name="신규수량" localSheetId="1">[49]기시공토적!#REF!</definedName>
    <definedName name="신규수량">[49]기시공토적!#REF!</definedName>
    <definedName name="실공정" localSheetId="5">BlankMacro1</definedName>
    <definedName name="실공정" localSheetId="3">BlankMacro1</definedName>
    <definedName name="실공정" localSheetId="6">BlankMacro1</definedName>
    <definedName name="실공정" localSheetId="7">BlankMacro1</definedName>
    <definedName name="실공정" localSheetId="8">BlankMacro1</definedName>
    <definedName name="실공정" localSheetId="4">BlankMacro1</definedName>
    <definedName name="실공정" localSheetId="1">BlankMacro1</definedName>
    <definedName name="실공정">BlankMacro1</definedName>
    <definedName name="실행내역" localSheetId="5">BlankMacro1</definedName>
    <definedName name="실행내역" localSheetId="3">BlankMacro1</definedName>
    <definedName name="실행내역" localSheetId="6">BlankMacro1</definedName>
    <definedName name="실행내역" localSheetId="7">BlankMacro1</definedName>
    <definedName name="실행내역" localSheetId="8">BlankMacro1</definedName>
    <definedName name="실행내역" localSheetId="4">BlankMacro1</definedName>
    <definedName name="실행내역" localSheetId="1">BlankMacro1</definedName>
    <definedName name="실행내역">BlankMacro1</definedName>
    <definedName name="ㅇㄱ1" localSheetId="5">#REF!</definedName>
    <definedName name="ㅇㄱ1" localSheetId="3">#REF!</definedName>
    <definedName name="ㅇㄱ1" localSheetId="6">#REF!</definedName>
    <definedName name="ㅇㄱ1" localSheetId="7">#REF!</definedName>
    <definedName name="ㅇㄱ1" localSheetId="8">#REF!</definedName>
    <definedName name="ㅇㄱ1" localSheetId="4">#REF!</definedName>
    <definedName name="ㅇㄱ1" localSheetId="1">#REF!</definedName>
    <definedName name="ㅇㄱ1">#REF!</definedName>
    <definedName name="아스팔트포장" localSheetId="5">#REF!</definedName>
    <definedName name="아스팔트포장" localSheetId="3">#REF!</definedName>
    <definedName name="아스팔트포장" localSheetId="6">#REF!</definedName>
    <definedName name="아스팔트포장" localSheetId="7">#REF!</definedName>
    <definedName name="아스팔트포장" localSheetId="8">#REF!</definedName>
    <definedName name="아스팔트포장" localSheetId="4">#REF!</definedName>
    <definedName name="아스팔트포장" localSheetId="1">#REF!</definedName>
    <definedName name="아스팔트포장">#REF!</definedName>
    <definedName name="아스팔트포장철거" localSheetId="5">#REF!</definedName>
    <definedName name="아스팔트포장철거" localSheetId="3">#REF!</definedName>
    <definedName name="아스팔트포장철거" localSheetId="6">#REF!</definedName>
    <definedName name="아스팔트포장철거" localSheetId="7">#REF!</definedName>
    <definedName name="아스팔트포장철거" localSheetId="8">#REF!</definedName>
    <definedName name="아스팔트포장철거" localSheetId="4">#REF!</definedName>
    <definedName name="아스팔트포장철거" localSheetId="1">#REF!</definedName>
    <definedName name="아스팔트포장철거">#REF!</definedName>
    <definedName name="안전관리비" localSheetId="5">#REF!</definedName>
    <definedName name="안전관리비" localSheetId="3">#REF!</definedName>
    <definedName name="안전관리비" localSheetId="6">#REF!</definedName>
    <definedName name="안전관리비" localSheetId="7">#REF!</definedName>
    <definedName name="안전관리비" localSheetId="8">#REF!</definedName>
    <definedName name="안전관리비" localSheetId="4">#REF!</definedName>
    <definedName name="안전관리비" localSheetId="1">#REF!</definedName>
    <definedName name="안전관리비">#REF!</definedName>
    <definedName name="안전휀스" localSheetId="5">#REF!</definedName>
    <definedName name="안전휀스" localSheetId="3">#REF!</definedName>
    <definedName name="안전휀스" localSheetId="6">#REF!</definedName>
    <definedName name="안전휀스" localSheetId="7">#REF!</definedName>
    <definedName name="안전휀스" localSheetId="8">#REF!</definedName>
    <definedName name="안전휀스" localSheetId="4">#REF!</definedName>
    <definedName name="안전휀스" localSheetId="1">#REF!</definedName>
    <definedName name="안전휀스">#REF!</definedName>
    <definedName name="알아임마" localSheetId="5">#REF!</definedName>
    <definedName name="알아임마" localSheetId="3">#REF!</definedName>
    <definedName name="알아임마" localSheetId="6">#REF!</definedName>
    <definedName name="알아임마" localSheetId="7">#REF!</definedName>
    <definedName name="알아임마" localSheetId="8">#REF!</definedName>
    <definedName name="알아임마" localSheetId="4">#REF!</definedName>
    <definedName name="알아임마" localSheetId="1">#REF!</definedName>
    <definedName name="알아임마">#REF!</definedName>
    <definedName name="앙카" localSheetId="5">#REF!</definedName>
    <definedName name="앙카" localSheetId="3">#REF!</definedName>
    <definedName name="앙카" localSheetId="6">#REF!</definedName>
    <definedName name="앙카" localSheetId="7">#REF!</definedName>
    <definedName name="앙카" localSheetId="8">#REF!</definedName>
    <definedName name="앙카" localSheetId="4">#REF!</definedName>
    <definedName name="앙카" localSheetId="1">#REF!</definedName>
    <definedName name="앙카">#REF!</definedName>
    <definedName name="앙카블럭설치" localSheetId="5">#REF!</definedName>
    <definedName name="앙카블럭설치" localSheetId="3">#REF!</definedName>
    <definedName name="앙카블럭설치" localSheetId="6">#REF!</definedName>
    <definedName name="앙카블럭설치" localSheetId="7">#REF!</definedName>
    <definedName name="앙카블럭설치" localSheetId="8">#REF!</definedName>
    <definedName name="앙카블럭설치" localSheetId="4">#REF!</definedName>
    <definedName name="앙카블럭설치" localSheetId="1">#REF!</definedName>
    <definedName name="앙카블럭설치">#REF!</definedName>
    <definedName name="얄움" localSheetId="5">#REF!</definedName>
    <definedName name="얄움" localSheetId="3">#REF!</definedName>
    <definedName name="얄움" localSheetId="6">#REF!</definedName>
    <definedName name="얄움" localSheetId="7">#REF!</definedName>
    <definedName name="얄움" localSheetId="8">#REF!</definedName>
    <definedName name="얄움" localSheetId="4">#REF!</definedName>
    <definedName name="얄움" localSheetId="1">#REF!</definedName>
    <definedName name="얄움">#REF!</definedName>
    <definedName name="얄음계" localSheetId="5">#REF!</definedName>
    <definedName name="얄음계" localSheetId="3">#REF!</definedName>
    <definedName name="얄음계" localSheetId="6">#REF!</definedName>
    <definedName name="얄음계" localSheetId="7">#REF!</definedName>
    <definedName name="얄음계" localSheetId="8">#REF!</definedName>
    <definedName name="얄음계" localSheetId="4">#REF!</definedName>
    <definedName name="얄음계" localSheetId="1">#REF!</definedName>
    <definedName name="얄음계">#REF!</definedName>
    <definedName name="얄음국" localSheetId="5">#REF!</definedName>
    <definedName name="얄음국" localSheetId="3">#REF!</definedName>
    <definedName name="얄음국" localSheetId="6">#REF!</definedName>
    <definedName name="얄음국" localSheetId="7">#REF!</definedName>
    <definedName name="얄음국" localSheetId="8">#REF!</definedName>
    <definedName name="얄음국" localSheetId="4">#REF!</definedName>
    <definedName name="얄음국" localSheetId="1">#REF!</definedName>
    <definedName name="얄음국">#REF!</definedName>
    <definedName name="얄음대" localSheetId="5">#REF!</definedName>
    <definedName name="얄음대" localSheetId="3">#REF!</definedName>
    <definedName name="얄음대" localSheetId="6">#REF!</definedName>
    <definedName name="얄음대" localSheetId="7">#REF!</definedName>
    <definedName name="얄음대" localSheetId="8">#REF!</definedName>
    <definedName name="얄음대" localSheetId="4">#REF!</definedName>
    <definedName name="얄음대" localSheetId="1">#REF!</definedName>
    <definedName name="얄음대">#REF!</definedName>
    <definedName name="얄음현" localSheetId="5">#REF!</definedName>
    <definedName name="얄음현" localSheetId="3">#REF!</definedName>
    <definedName name="얄음현" localSheetId="6">#REF!</definedName>
    <definedName name="얄음현" localSheetId="7">#REF!</definedName>
    <definedName name="얄음현" localSheetId="8">#REF!</definedName>
    <definedName name="얄음현" localSheetId="4">#REF!</definedName>
    <definedName name="얄음현" localSheetId="1">#REF!</definedName>
    <definedName name="얄음현">#REF!</definedName>
    <definedName name="양수작업" localSheetId="5">#REF!</definedName>
    <definedName name="양수작업" localSheetId="3">#REF!</definedName>
    <definedName name="양수작업" localSheetId="6">#REF!</definedName>
    <definedName name="양수작업" localSheetId="7">#REF!</definedName>
    <definedName name="양수작업" localSheetId="8">#REF!</definedName>
    <definedName name="양수작업" localSheetId="4">#REF!</definedName>
    <definedName name="양수작업" localSheetId="1">#REF!</definedName>
    <definedName name="양수작업">#REF!</definedName>
    <definedName name="양재승" localSheetId="5">#REF!</definedName>
    <definedName name="양재승" localSheetId="3">#REF!</definedName>
    <definedName name="양재승" localSheetId="6">#REF!</definedName>
    <definedName name="양재승" localSheetId="7">#REF!</definedName>
    <definedName name="양재승" localSheetId="8">#REF!</definedName>
    <definedName name="양재승" localSheetId="4">#REF!</definedName>
    <definedName name="양재승" localSheetId="1">#REF!</definedName>
    <definedName name="양재승">#REF!</definedName>
    <definedName name="업체명" localSheetId="5">#REF!</definedName>
    <definedName name="업체명" localSheetId="3">#REF!</definedName>
    <definedName name="업체명" localSheetId="6">#REF!</definedName>
    <definedName name="업체명" localSheetId="7">#REF!</definedName>
    <definedName name="업체명" localSheetId="8">#REF!</definedName>
    <definedName name="업체명" localSheetId="4">#REF!</definedName>
    <definedName name="업체명" localSheetId="1">#REF!</definedName>
    <definedName name="업체명">#REF!</definedName>
    <definedName name="여과지동">[50]여과지동!$F$3:$AS$80</definedName>
    <definedName name="열차단및열공급" localSheetId="5">[37]검측서!#REF!</definedName>
    <definedName name="열차단및열공급" localSheetId="3">[37]검측서!#REF!</definedName>
    <definedName name="열차단및열공급" localSheetId="6">[37]검측서!#REF!</definedName>
    <definedName name="열차단및열공급" localSheetId="7">[37]검측서!#REF!</definedName>
    <definedName name="열차단및열공급" localSheetId="8">[37]검측서!#REF!</definedName>
    <definedName name="열차단및열공급" localSheetId="4">[37]검측서!#REF!</definedName>
    <definedName name="열차단및열공급" localSheetId="1">[37]검측서!#REF!</definedName>
    <definedName name="열차단및열공급">[37]검측서!#REF!</definedName>
    <definedName name="왜그래" localSheetId="5">#REF!</definedName>
    <definedName name="왜그래" localSheetId="3">#REF!</definedName>
    <definedName name="왜그래" localSheetId="6">#REF!</definedName>
    <definedName name="왜그래" localSheetId="7">#REF!</definedName>
    <definedName name="왜그래" localSheetId="8">#REF!</definedName>
    <definedName name="왜그래" localSheetId="4">#REF!</definedName>
    <definedName name="왜그래" localSheetId="1">#REF!</definedName>
    <definedName name="왜그래">#REF!</definedName>
    <definedName name="요소별" localSheetId="5">#REF!</definedName>
    <definedName name="요소별" localSheetId="3">#REF!</definedName>
    <definedName name="요소별" localSheetId="6">#REF!</definedName>
    <definedName name="요소별" localSheetId="7">#REF!</definedName>
    <definedName name="요소별" localSheetId="8">#REF!</definedName>
    <definedName name="요소별" localSheetId="4">#REF!</definedName>
    <definedName name="요소별" localSheetId="1">#REF!</definedName>
    <definedName name="요소별">#REF!</definedName>
    <definedName name="용">[0]!용</definedName>
    <definedName name="원하도급" localSheetId="5">[36]시행예산!#REF!</definedName>
    <definedName name="원하도급" localSheetId="3">[36]시행예산!#REF!</definedName>
    <definedName name="원하도급" localSheetId="6">[36]시행예산!#REF!</definedName>
    <definedName name="원하도급" localSheetId="7">[36]시행예산!#REF!</definedName>
    <definedName name="원하도급" localSheetId="8">[36]시행예산!#REF!</definedName>
    <definedName name="원하도급" localSheetId="4">[36]시행예산!#REF!</definedName>
    <definedName name="원하도급" localSheetId="1">[36]시행예산!#REF!</definedName>
    <definedName name="원하도급">[36]시행예산!#REF!</definedName>
    <definedName name="월간">[0]!월간</definedName>
    <definedName name="이윤" localSheetId="5">#REF!</definedName>
    <definedName name="이윤" localSheetId="3">#REF!</definedName>
    <definedName name="이윤" localSheetId="6">#REF!</definedName>
    <definedName name="이윤" localSheetId="7">#REF!</definedName>
    <definedName name="이윤" localSheetId="8">#REF!</definedName>
    <definedName name="이윤" localSheetId="4">#REF!</definedName>
    <definedName name="이윤" localSheetId="1">#REF!</definedName>
    <definedName name="이윤">#REF!</definedName>
    <definedName name="이윤율" localSheetId="5">#REF!</definedName>
    <definedName name="이윤율" localSheetId="3">#REF!</definedName>
    <definedName name="이윤율" localSheetId="6">#REF!</definedName>
    <definedName name="이윤율" localSheetId="7">#REF!</definedName>
    <definedName name="이윤율" localSheetId="8">#REF!</definedName>
    <definedName name="이윤율" localSheetId="4">#REF!</definedName>
    <definedName name="이윤율" localSheetId="1">#REF!</definedName>
    <definedName name="이윤율">#REF!</definedName>
    <definedName name="이정표이설및복구" localSheetId="5">[37]검측서!#REF!</definedName>
    <definedName name="이정표이설및복구" localSheetId="3">[37]검측서!#REF!</definedName>
    <definedName name="이정표이설및복구" localSheetId="6">[37]검측서!#REF!</definedName>
    <definedName name="이정표이설및복구" localSheetId="7">[37]검측서!#REF!</definedName>
    <definedName name="이정표이설및복구" localSheetId="8">[37]검측서!#REF!</definedName>
    <definedName name="이정표이설및복구" localSheetId="4">[37]검측서!#REF!</definedName>
    <definedName name="이정표이설및복구" localSheetId="1">[37]검측서!#REF!</definedName>
    <definedName name="이정표이설및복구">[37]검측서!#REF!</definedName>
    <definedName name="인건" localSheetId="5">[51]을!#REF!</definedName>
    <definedName name="인건" localSheetId="3">[51]을!#REF!</definedName>
    <definedName name="인건" localSheetId="6">[51]을!#REF!</definedName>
    <definedName name="인건" localSheetId="7">[51]을!#REF!</definedName>
    <definedName name="인건" localSheetId="8">[51]을!#REF!</definedName>
    <definedName name="인건" localSheetId="4">[51]을!#REF!</definedName>
    <definedName name="인건" localSheetId="1">[51]을!#REF!</definedName>
    <definedName name="인건">[51]을!#REF!</definedName>
    <definedName name="인도">[0]!인도</definedName>
    <definedName name="인력터파기" localSheetId="5">#REF!</definedName>
    <definedName name="인력터파기" localSheetId="3">#REF!</definedName>
    <definedName name="인력터파기" localSheetId="6">#REF!</definedName>
    <definedName name="인력터파기" localSheetId="7">#REF!</definedName>
    <definedName name="인력터파기" localSheetId="8">#REF!</definedName>
    <definedName name="인력터파기" localSheetId="4">#REF!</definedName>
    <definedName name="인력터파기" localSheetId="1">#REF!</definedName>
    <definedName name="인력터파기">#REF!</definedName>
    <definedName name="인부">[32]노임!$D$4</definedName>
    <definedName name="인원">[0]!인원</definedName>
    <definedName name="일반">[52]SHL!$D$62:$O$85</definedName>
    <definedName name="일반관리비" localSheetId="5">#REF!</definedName>
    <definedName name="일반관리비" localSheetId="3">#REF!</definedName>
    <definedName name="일반관리비" localSheetId="6">#REF!</definedName>
    <definedName name="일반관리비" localSheetId="7">#REF!</definedName>
    <definedName name="일반관리비" localSheetId="8">#REF!</definedName>
    <definedName name="일반관리비" localSheetId="4">#REF!</definedName>
    <definedName name="일반관리비" localSheetId="1">#REF!</definedName>
    <definedName name="일반관리비">#REF!</definedName>
    <definedName name="일반관리비율" localSheetId="5">#REF!</definedName>
    <definedName name="일반관리비율" localSheetId="3">#REF!</definedName>
    <definedName name="일반관리비율" localSheetId="6">#REF!</definedName>
    <definedName name="일반관리비율" localSheetId="7">#REF!</definedName>
    <definedName name="일반관리비율" localSheetId="8">#REF!</definedName>
    <definedName name="일반관리비율" localSheetId="4">#REF!</definedName>
    <definedName name="일반관리비율" localSheetId="1">#REF!</definedName>
    <definedName name="일반관리비율">#REF!</definedName>
    <definedName name="일위" localSheetId="5">#REF!,#REF!</definedName>
    <definedName name="일위" localSheetId="3">#REF!,#REF!</definedName>
    <definedName name="일위" localSheetId="6">#REF!,#REF!</definedName>
    <definedName name="일위" localSheetId="7">#REF!,#REF!</definedName>
    <definedName name="일위" localSheetId="8">#REF!,#REF!</definedName>
    <definedName name="일위" localSheetId="4">#REF!,#REF!</definedName>
    <definedName name="일위" localSheetId="1">#REF!,#REF!</definedName>
    <definedName name="일위">#REF!,#REF!</definedName>
    <definedName name="입출고">[0]!입출고</definedName>
    <definedName name="입출고1">[0]!입출고1</definedName>
    <definedName name="ㅈㅈㅈ">[0]!ㅈㅈㅈ</definedName>
    <definedName name="자료">[50]기초자료!$A$3:$X$80</definedName>
    <definedName name="재" localSheetId="5">[30]명세서!#REF!</definedName>
    <definedName name="재" localSheetId="3">[30]명세서!#REF!</definedName>
    <definedName name="재" localSheetId="6">[30]명세서!#REF!</definedName>
    <definedName name="재" localSheetId="7">[30]명세서!#REF!</definedName>
    <definedName name="재" localSheetId="8">[30]명세서!#REF!</definedName>
    <definedName name="재" localSheetId="4">[30]명세서!#REF!</definedName>
    <definedName name="재" localSheetId="1">[30]명세서!#REF!</definedName>
    <definedName name="재">[30]명세서!#REF!</definedName>
    <definedName name="재료01" localSheetId="5">#REF!</definedName>
    <definedName name="재료01" localSheetId="3">#REF!</definedName>
    <definedName name="재료01" localSheetId="6">#REF!</definedName>
    <definedName name="재료01" localSheetId="7">#REF!</definedName>
    <definedName name="재료01" localSheetId="8">#REF!</definedName>
    <definedName name="재료01" localSheetId="4">#REF!</definedName>
    <definedName name="재료01" localSheetId="1">#REF!</definedName>
    <definedName name="재료01">#REF!</definedName>
    <definedName name="재료fac" localSheetId="5">#REF!</definedName>
    <definedName name="재료fac" localSheetId="3">#REF!</definedName>
    <definedName name="재료fac" localSheetId="6">#REF!</definedName>
    <definedName name="재료fac" localSheetId="7">#REF!</definedName>
    <definedName name="재료fac" localSheetId="8">#REF!</definedName>
    <definedName name="재료fac" localSheetId="4">#REF!</definedName>
    <definedName name="재료fac" localSheetId="1">#REF!</definedName>
    <definedName name="재료fac">#REF!</definedName>
    <definedName name="재료계" localSheetId="5">'[53]실행(1)'!#REF!</definedName>
    <definedName name="재료계" localSheetId="3">'[53]실행(1)'!#REF!</definedName>
    <definedName name="재료계" localSheetId="6">'[53]실행(1)'!#REF!</definedName>
    <definedName name="재료계" localSheetId="7">'[53]실행(1)'!#REF!</definedName>
    <definedName name="재료계" localSheetId="8">'[53]실행(1)'!#REF!</definedName>
    <definedName name="재료계" localSheetId="4">'[53]실행(1)'!#REF!</definedName>
    <definedName name="재료계" localSheetId="1">'[53]실행(1)'!#REF!</definedName>
    <definedName name="재료계">'[53]실행(1)'!#REF!</definedName>
    <definedName name="재료비" localSheetId="5">#REF!</definedName>
    <definedName name="재료비" localSheetId="3">#REF!</definedName>
    <definedName name="재료비" localSheetId="6">#REF!</definedName>
    <definedName name="재료비" localSheetId="7">#REF!</definedName>
    <definedName name="재료비" localSheetId="8">#REF!</definedName>
    <definedName name="재료비" localSheetId="4">#REF!</definedName>
    <definedName name="재료비" localSheetId="1">#REF!</definedName>
    <definedName name="재료비">#REF!</definedName>
    <definedName name="재료비율" localSheetId="5">#REF!</definedName>
    <definedName name="재료비율" localSheetId="3">#REF!</definedName>
    <definedName name="재료비율" localSheetId="6">#REF!</definedName>
    <definedName name="재료비율" localSheetId="7">#REF!</definedName>
    <definedName name="재료비율" localSheetId="8">#REF!</definedName>
    <definedName name="재료비율" localSheetId="4">#REF!</definedName>
    <definedName name="재료비율" localSheetId="1">#REF!</definedName>
    <definedName name="재료비율">#REF!</definedName>
    <definedName name="전기경비" localSheetId="5">[45]방식총괄!#REF!</definedName>
    <definedName name="전기경비" localSheetId="3">[45]방식총괄!#REF!</definedName>
    <definedName name="전기경비" localSheetId="6">[45]방식총괄!#REF!</definedName>
    <definedName name="전기경비" localSheetId="7">[45]방식총괄!#REF!</definedName>
    <definedName name="전기경비" localSheetId="8">[45]방식총괄!#REF!</definedName>
    <definedName name="전기경비" localSheetId="4">[45]방식총괄!#REF!</definedName>
    <definedName name="전기경비" localSheetId="1">[45]방식총괄!#REF!</definedName>
    <definedName name="전기경비">[45]방식총괄!#REF!</definedName>
    <definedName name="정" localSheetId="5">#REF!</definedName>
    <definedName name="정" localSheetId="3">#REF!</definedName>
    <definedName name="정" localSheetId="6">#REF!</definedName>
    <definedName name="정" localSheetId="7">#REF!</definedName>
    <definedName name="정" localSheetId="8">#REF!</definedName>
    <definedName name="정" localSheetId="4">#REF!</definedName>
    <definedName name="정" localSheetId="1">#REF!</definedName>
    <definedName name="정">#REF!</definedName>
    <definedName name="정리" localSheetId="5">#REF!</definedName>
    <definedName name="정리" localSheetId="3">#REF!</definedName>
    <definedName name="정리" localSheetId="6">#REF!</definedName>
    <definedName name="정리" localSheetId="7">#REF!</definedName>
    <definedName name="정리" localSheetId="8">#REF!</definedName>
    <definedName name="정리" localSheetId="4">#REF!</definedName>
    <definedName name="정리" localSheetId="1">#REF!</definedName>
    <definedName name="정리">#REF!</definedName>
    <definedName name="정말" localSheetId="5">BlankMacro1</definedName>
    <definedName name="정말" localSheetId="3">BlankMacro1</definedName>
    <definedName name="정말" localSheetId="6">BlankMacro1</definedName>
    <definedName name="정말" localSheetId="7">BlankMacro1</definedName>
    <definedName name="정말" localSheetId="8">BlankMacro1</definedName>
    <definedName name="정말" localSheetId="4">BlankMacro1</definedName>
    <definedName name="정말" localSheetId="1">BlankMacro1</definedName>
    <definedName name="정말">BlankMacro1</definedName>
    <definedName name="정보1" localSheetId="5">#REF!</definedName>
    <definedName name="정보1" localSheetId="3">#REF!</definedName>
    <definedName name="정보1" localSheetId="6">#REF!</definedName>
    <definedName name="정보1" localSheetId="7">#REF!</definedName>
    <definedName name="정보1" localSheetId="8">#REF!</definedName>
    <definedName name="정보1" localSheetId="4">#REF!</definedName>
    <definedName name="정보1" localSheetId="1">#REF!</definedName>
    <definedName name="정보1">#REF!</definedName>
    <definedName name="정보10" localSheetId="5">#REF!</definedName>
    <definedName name="정보10" localSheetId="3">#REF!</definedName>
    <definedName name="정보10" localSheetId="6">#REF!</definedName>
    <definedName name="정보10" localSheetId="7">#REF!</definedName>
    <definedName name="정보10" localSheetId="8">#REF!</definedName>
    <definedName name="정보10" localSheetId="4">#REF!</definedName>
    <definedName name="정보10" localSheetId="1">#REF!</definedName>
    <definedName name="정보10">#REF!</definedName>
    <definedName name="정보2" localSheetId="5">#REF!</definedName>
    <definedName name="정보2" localSheetId="3">#REF!</definedName>
    <definedName name="정보2" localSheetId="6">#REF!</definedName>
    <definedName name="정보2" localSheetId="7">#REF!</definedName>
    <definedName name="정보2" localSheetId="8">#REF!</definedName>
    <definedName name="정보2" localSheetId="4">#REF!</definedName>
    <definedName name="정보2" localSheetId="1">#REF!</definedName>
    <definedName name="정보2">#REF!</definedName>
    <definedName name="정보3" localSheetId="5">#REF!</definedName>
    <definedName name="정보3" localSheetId="3">#REF!</definedName>
    <definedName name="정보3" localSheetId="6">#REF!</definedName>
    <definedName name="정보3" localSheetId="7">#REF!</definedName>
    <definedName name="정보3" localSheetId="8">#REF!</definedName>
    <definedName name="정보3" localSheetId="4">#REF!</definedName>
    <definedName name="정보3" localSheetId="1">#REF!</definedName>
    <definedName name="정보3">#REF!</definedName>
    <definedName name="정보4" localSheetId="5">#REF!</definedName>
    <definedName name="정보4" localSheetId="3">#REF!</definedName>
    <definedName name="정보4" localSheetId="6">#REF!</definedName>
    <definedName name="정보4" localSheetId="7">#REF!</definedName>
    <definedName name="정보4" localSheetId="8">#REF!</definedName>
    <definedName name="정보4" localSheetId="4">#REF!</definedName>
    <definedName name="정보4" localSheetId="1">#REF!</definedName>
    <definedName name="정보4">#REF!</definedName>
    <definedName name="정보5" localSheetId="5">#REF!</definedName>
    <definedName name="정보5" localSheetId="3">#REF!</definedName>
    <definedName name="정보5" localSheetId="6">#REF!</definedName>
    <definedName name="정보5" localSheetId="7">#REF!</definedName>
    <definedName name="정보5" localSheetId="8">#REF!</definedName>
    <definedName name="정보5" localSheetId="4">#REF!</definedName>
    <definedName name="정보5" localSheetId="1">#REF!</definedName>
    <definedName name="정보5">#REF!</definedName>
    <definedName name="정보6" localSheetId="5">#REF!</definedName>
    <definedName name="정보6" localSheetId="3">#REF!</definedName>
    <definedName name="정보6" localSheetId="6">#REF!</definedName>
    <definedName name="정보6" localSheetId="7">#REF!</definedName>
    <definedName name="정보6" localSheetId="8">#REF!</definedName>
    <definedName name="정보6" localSheetId="4">#REF!</definedName>
    <definedName name="정보6" localSheetId="1">#REF!</definedName>
    <definedName name="정보6">#REF!</definedName>
    <definedName name="정보7" localSheetId="5">#REF!</definedName>
    <definedName name="정보7" localSheetId="3">#REF!</definedName>
    <definedName name="정보7" localSheetId="6">#REF!</definedName>
    <definedName name="정보7" localSheetId="7">#REF!</definedName>
    <definedName name="정보7" localSheetId="8">#REF!</definedName>
    <definedName name="정보7" localSheetId="4">#REF!</definedName>
    <definedName name="정보7" localSheetId="1">#REF!</definedName>
    <definedName name="정보7">#REF!</definedName>
    <definedName name="정보8" localSheetId="5">#REF!</definedName>
    <definedName name="정보8" localSheetId="3">#REF!</definedName>
    <definedName name="정보8" localSheetId="6">#REF!</definedName>
    <definedName name="정보8" localSheetId="7">#REF!</definedName>
    <definedName name="정보8" localSheetId="8">#REF!</definedName>
    <definedName name="정보8" localSheetId="4">#REF!</definedName>
    <definedName name="정보8" localSheetId="1">#REF!</definedName>
    <definedName name="정보8">#REF!</definedName>
    <definedName name="정보9" localSheetId="5">#REF!</definedName>
    <definedName name="정보9" localSheetId="3">#REF!</definedName>
    <definedName name="정보9" localSheetId="6">#REF!</definedName>
    <definedName name="정보9" localSheetId="7">#REF!</definedName>
    <definedName name="정보9" localSheetId="8">#REF!</definedName>
    <definedName name="정보9" localSheetId="4">#REF!</definedName>
    <definedName name="정보9" localSheetId="1">#REF!</definedName>
    <definedName name="정보9">#REF!</definedName>
    <definedName name="정산내역" localSheetId="5">#REF!</definedName>
    <definedName name="정산내역" localSheetId="3">#REF!</definedName>
    <definedName name="정산내역" localSheetId="6">#REF!</definedName>
    <definedName name="정산내역" localSheetId="7">#REF!</definedName>
    <definedName name="정산내역" localSheetId="8">#REF!</definedName>
    <definedName name="정산내역" localSheetId="4">#REF!</definedName>
    <definedName name="정산내역" localSheetId="1">#REF!</definedName>
    <definedName name="정산내역">#REF!</definedName>
    <definedName name="정호" localSheetId="5">#REF!</definedName>
    <definedName name="정호" localSheetId="3">#REF!</definedName>
    <definedName name="정호" localSheetId="6">#REF!</definedName>
    <definedName name="정호" localSheetId="7">#REF!</definedName>
    <definedName name="정호" localSheetId="8">#REF!</definedName>
    <definedName name="정호" localSheetId="4">#REF!</definedName>
    <definedName name="정호" localSheetId="1">#REF!</definedName>
    <definedName name="정호">#REF!</definedName>
    <definedName name="제5호표" localSheetId="5">#REF!</definedName>
    <definedName name="제5호표" localSheetId="3">#REF!</definedName>
    <definedName name="제5호표" localSheetId="6">#REF!</definedName>
    <definedName name="제5호표" localSheetId="7">#REF!</definedName>
    <definedName name="제5호표" localSheetId="8">#REF!</definedName>
    <definedName name="제5호표" localSheetId="4">#REF!</definedName>
    <definedName name="제5호표" localSheetId="1">#REF!</definedName>
    <definedName name="제5호표">#REF!</definedName>
    <definedName name="제료01" localSheetId="5">#REF!</definedName>
    <definedName name="제료01" localSheetId="3">#REF!</definedName>
    <definedName name="제료01" localSheetId="6">#REF!</definedName>
    <definedName name="제료01" localSheetId="7">#REF!</definedName>
    <definedName name="제료01" localSheetId="8">#REF!</definedName>
    <definedName name="제료01" localSheetId="4">#REF!</definedName>
    <definedName name="제료01" localSheetId="1">#REF!</definedName>
    <definedName name="제료01">#REF!</definedName>
    <definedName name="제작사">#N/A</definedName>
    <definedName name="조달수수료" localSheetId="5">#REF!</definedName>
    <definedName name="조달수수료" localSheetId="3">#REF!</definedName>
    <definedName name="조달수수료" localSheetId="6">#REF!</definedName>
    <definedName name="조달수수료" localSheetId="7">#REF!</definedName>
    <definedName name="조달수수료" localSheetId="8">#REF!</definedName>
    <definedName name="조달수수료" localSheetId="4">#REF!</definedName>
    <definedName name="조달수수료" localSheetId="1">#REF!</definedName>
    <definedName name="조달수수료">#REF!</definedName>
    <definedName name="종류">#N/A</definedName>
    <definedName name="중기비율" localSheetId="5">#REF!</definedName>
    <definedName name="중기비율" localSheetId="3">#REF!</definedName>
    <definedName name="중기비율" localSheetId="6">#REF!</definedName>
    <definedName name="중기비율" localSheetId="7">#REF!</definedName>
    <definedName name="중기비율" localSheetId="8">#REF!</definedName>
    <definedName name="중기비율" localSheetId="4">#REF!</definedName>
    <definedName name="중기비율" localSheetId="1">#REF!</definedName>
    <definedName name="중기비율">#REF!</definedName>
    <definedName name="지역">#N/A</definedName>
    <definedName name="지장물매달기" localSheetId="5">#REF!</definedName>
    <definedName name="지장물매달기" localSheetId="3">#REF!</definedName>
    <definedName name="지장물매달기" localSheetId="6">#REF!</definedName>
    <definedName name="지장물매달기" localSheetId="7">#REF!</definedName>
    <definedName name="지장물매달기" localSheetId="8">#REF!</definedName>
    <definedName name="지장물매달기" localSheetId="4">#REF!</definedName>
    <definedName name="지장물매달기" localSheetId="1">#REF!</definedName>
    <definedName name="지장물매달기">#REF!</definedName>
    <definedName name="직접노무비" localSheetId="5">[41]설계명세서!#REF!</definedName>
    <definedName name="직접노무비" localSheetId="3">[41]설계명세서!#REF!</definedName>
    <definedName name="직접노무비" localSheetId="6">[41]설계명세서!#REF!</definedName>
    <definedName name="직접노무비" localSheetId="7">[41]설계명세서!#REF!</definedName>
    <definedName name="직접노무비" localSheetId="8">[41]설계명세서!#REF!</definedName>
    <definedName name="직접노무비" localSheetId="4">[41]설계명세서!#REF!</definedName>
    <definedName name="직접노무비" localSheetId="1">[41]설계명세서!#REF!</definedName>
    <definedName name="직접노무비">[41]설계명세서!#REF!</definedName>
    <definedName name="집계" localSheetId="5">BlankMacro1</definedName>
    <definedName name="집계" localSheetId="3">BlankMacro1</definedName>
    <definedName name="집계" localSheetId="6">BlankMacro1</definedName>
    <definedName name="집계" localSheetId="7">BlankMacro1</definedName>
    <definedName name="집계" localSheetId="8">BlankMacro1</definedName>
    <definedName name="집계" localSheetId="4">BlankMacro1</definedName>
    <definedName name="집계" localSheetId="1">BlankMacro1</definedName>
    <definedName name="집계">BlankMacro1</definedName>
    <definedName name="집계표">ROUND([0]!집계표*0.0254,3)</definedName>
    <definedName name="ㅊ40" localSheetId="5">#REF!</definedName>
    <definedName name="ㅊ40" localSheetId="3">#REF!</definedName>
    <definedName name="ㅊ40" localSheetId="6">#REF!</definedName>
    <definedName name="ㅊ40" localSheetId="7">#REF!</definedName>
    <definedName name="ㅊ40" localSheetId="8">#REF!</definedName>
    <definedName name="ㅊ40" localSheetId="4">#REF!</definedName>
    <definedName name="ㅊ40" localSheetId="1">#REF!</definedName>
    <definedName name="ㅊ40">#REF!</definedName>
    <definedName name="차" localSheetId="5">[11]예산M11A!#REF!</definedName>
    <definedName name="차" localSheetId="3">[11]예산M11A!#REF!</definedName>
    <definedName name="차" localSheetId="6">[11]예산M11A!#REF!</definedName>
    <definedName name="차" localSheetId="7">[11]예산M11A!#REF!</definedName>
    <definedName name="차" localSheetId="8">[11]예산M11A!#REF!</definedName>
    <definedName name="차" localSheetId="4">[11]예산M11A!#REF!</definedName>
    <definedName name="차" localSheetId="1">[11]예산M11A!#REF!</definedName>
    <definedName name="차">[11]예산M11A!#REF!</definedName>
    <definedName name="착공전" localSheetId="5">#REF!</definedName>
    <definedName name="착공전" localSheetId="3">#REF!</definedName>
    <definedName name="착공전" localSheetId="6">#REF!</definedName>
    <definedName name="착공전" localSheetId="7">#REF!</definedName>
    <definedName name="착공전" localSheetId="8">#REF!</definedName>
    <definedName name="착공전" localSheetId="4">#REF!</definedName>
    <definedName name="착공전" localSheetId="1">#REF!</definedName>
    <definedName name="착공전">#REF!</definedName>
    <definedName name="처리" localSheetId="5">#REF!</definedName>
    <definedName name="처리" localSheetId="3">#REF!</definedName>
    <definedName name="처리" localSheetId="6">#REF!</definedName>
    <definedName name="처리" localSheetId="7">#REF!</definedName>
    <definedName name="처리" localSheetId="8">#REF!</definedName>
    <definedName name="처리" localSheetId="4">#REF!</definedName>
    <definedName name="처리" localSheetId="1">#REF!</definedName>
    <definedName name="처리">#REF!</definedName>
    <definedName name="철____공" localSheetId="5">#REF!</definedName>
    <definedName name="철____공" localSheetId="3">#REF!</definedName>
    <definedName name="철____공" localSheetId="6">#REF!</definedName>
    <definedName name="철____공" localSheetId="7">#REF!</definedName>
    <definedName name="철____공" localSheetId="8">#REF!</definedName>
    <definedName name="철____공" localSheetId="4">#REF!</definedName>
    <definedName name="철____공" localSheetId="1">#REF!</definedName>
    <definedName name="철____공">#REF!</definedName>
    <definedName name="철골품">ROUND([0]!철골품*0.0254,3)</definedName>
    <definedName name="철근콘크리트깨기" localSheetId="5">[37]검측서!#REF!</definedName>
    <definedName name="철근콘크리트깨기" localSheetId="3">[37]검측서!#REF!</definedName>
    <definedName name="철근콘크리트깨기" localSheetId="6">[37]검측서!#REF!</definedName>
    <definedName name="철근콘크리트깨기" localSheetId="7">[37]검측서!#REF!</definedName>
    <definedName name="철근콘크리트깨기" localSheetId="8">[37]검측서!#REF!</definedName>
    <definedName name="철근콘크리트깨기" localSheetId="4">[37]검측서!#REF!</definedName>
    <definedName name="철근콘크리트깨기" localSheetId="1">[37]검측서!#REF!</definedName>
    <definedName name="철근콘크리트깨기">[37]검측서!#REF!</definedName>
    <definedName name="철재류" localSheetId="5">#REF!</definedName>
    <definedName name="철재류" localSheetId="3">#REF!</definedName>
    <definedName name="철재류" localSheetId="6">#REF!</definedName>
    <definedName name="철재류" localSheetId="7">#REF!</definedName>
    <definedName name="철재류" localSheetId="8">#REF!</definedName>
    <definedName name="철재류" localSheetId="4">#REF!</definedName>
    <definedName name="철재류" localSheetId="1">#REF!</definedName>
    <definedName name="철재류">#REF!</definedName>
    <definedName name="총괄" localSheetId="5">[16]공통비!#REF!</definedName>
    <definedName name="총괄" localSheetId="3">[16]공통비!#REF!</definedName>
    <definedName name="총괄" localSheetId="6">[16]공통비!#REF!</definedName>
    <definedName name="총괄" localSheetId="7">[16]공통비!#REF!</definedName>
    <definedName name="총괄" localSheetId="8">[16]공통비!#REF!</definedName>
    <definedName name="총괄" localSheetId="4">[16]공통비!#REF!</definedName>
    <definedName name="총괄" localSheetId="1">[16]공통비!#REF!</definedName>
    <definedName name="총괄">[16]공통비!#REF!</definedName>
    <definedName name="총괄물량표" localSheetId="5">#REF!</definedName>
    <definedName name="총괄물량표" localSheetId="3">#REF!</definedName>
    <definedName name="총괄물량표" localSheetId="6">#REF!</definedName>
    <definedName name="총괄물량표" localSheetId="7">#REF!</definedName>
    <definedName name="총괄물량표" localSheetId="8">#REF!</definedName>
    <definedName name="총괄물량표" localSheetId="4">#REF!</definedName>
    <definedName name="총괄물량표" localSheetId="1">#REF!</definedName>
    <definedName name="총괄물량표">#REF!</definedName>
    <definedName name="총괄표2" localSheetId="5">#REF!</definedName>
    <definedName name="총괄표2" localSheetId="3">#REF!</definedName>
    <definedName name="총괄표2" localSheetId="6">#REF!</definedName>
    <definedName name="총괄표2" localSheetId="7">#REF!</definedName>
    <definedName name="총괄표2" localSheetId="8">#REF!</definedName>
    <definedName name="총괄표2" localSheetId="4">#REF!</definedName>
    <definedName name="총괄표2" localSheetId="1">#REF!</definedName>
    <definedName name="총괄표2">#REF!</definedName>
    <definedName name="총원가" localSheetId="5">[54]하수처리장!#REF!</definedName>
    <definedName name="총원가" localSheetId="3">[54]하수처리장!#REF!</definedName>
    <definedName name="총원가" localSheetId="6">[54]하수처리장!#REF!</definedName>
    <definedName name="총원가" localSheetId="7">[54]하수처리장!#REF!</definedName>
    <definedName name="총원가" localSheetId="8">[54]하수처리장!#REF!</definedName>
    <definedName name="총원가" localSheetId="4">[54]하수처리장!#REF!</definedName>
    <definedName name="총원가" localSheetId="1">[54]하수처리장!#REF!</definedName>
    <definedName name="총원가">[54]하수처리장!#REF!</definedName>
    <definedName name="충돌">[0]!충돌</definedName>
    <definedName name="콘크리트패드" localSheetId="5">[37]검측서!#REF!</definedName>
    <definedName name="콘크리트패드" localSheetId="3">[37]검측서!#REF!</definedName>
    <definedName name="콘크리트패드" localSheetId="6">[37]검측서!#REF!</definedName>
    <definedName name="콘크리트패드" localSheetId="7">[37]검측서!#REF!</definedName>
    <definedName name="콘크리트패드" localSheetId="8">[37]검측서!#REF!</definedName>
    <definedName name="콘크리트패드" localSheetId="4">[37]검측서!#REF!</definedName>
    <definedName name="콘크리트패드" localSheetId="1">[37]검측서!#REF!</definedName>
    <definedName name="콘크리트패드">[37]검측서!#REF!</definedName>
    <definedName name="콘크리트포장철거" localSheetId="5">#REF!</definedName>
    <definedName name="콘크리트포장철거" localSheetId="3">#REF!</definedName>
    <definedName name="콘크리트포장철거" localSheetId="6">#REF!</definedName>
    <definedName name="콘크리트포장철거" localSheetId="7">#REF!</definedName>
    <definedName name="콘크리트포장철거" localSheetId="8">#REF!</definedName>
    <definedName name="콘크리트포장철거" localSheetId="4">#REF!</definedName>
    <definedName name="콘크리트포장철거" localSheetId="1">#REF!</definedName>
    <definedName name="콘크리트포장철거">#REF!</definedName>
    <definedName name="터파기" localSheetId="5">#REF!</definedName>
    <definedName name="터파기" localSheetId="3">#REF!</definedName>
    <definedName name="터파기" localSheetId="6">#REF!</definedName>
    <definedName name="터파기" localSheetId="7">#REF!</definedName>
    <definedName name="터파기" localSheetId="8">#REF!</definedName>
    <definedName name="터파기" localSheetId="4">#REF!</definedName>
    <definedName name="터파기" localSheetId="1">#REF!</definedName>
    <definedName name="터파기">#REF!</definedName>
    <definedName name="템플리트모듈1" localSheetId="5">BlankMacro1</definedName>
    <definedName name="템플리트모듈1" localSheetId="3">BlankMacro1</definedName>
    <definedName name="템플리트모듈1" localSheetId="6">BlankMacro1</definedName>
    <definedName name="템플리트모듈1" localSheetId="7">BlankMacro1</definedName>
    <definedName name="템플리트모듈1" localSheetId="8">BlankMacro1</definedName>
    <definedName name="템플리트모듈1" localSheetId="4">BlankMacro1</definedName>
    <definedName name="템플리트모듈1" localSheetId="1">BlankMacro1</definedName>
    <definedName name="템플리트모듈1">BlankMacro1</definedName>
    <definedName name="템플리트모듈2" localSheetId="5">BlankMacro1</definedName>
    <definedName name="템플리트모듈2" localSheetId="3">BlankMacro1</definedName>
    <definedName name="템플리트모듈2" localSheetId="6">BlankMacro1</definedName>
    <definedName name="템플리트모듈2" localSheetId="7">BlankMacro1</definedName>
    <definedName name="템플리트모듈2" localSheetId="8">BlankMacro1</definedName>
    <definedName name="템플리트모듈2" localSheetId="4">BlankMacro1</definedName>
    <definedName name="템플리트모듈2" localSheetId="1">BlankMacro1</definedName>
    <definedName name="템플리트모듈2">BlankMacro1</definedName>
    <definedName name="템플리트모듈3" localSheetId="5">BlankMacro1</definedName>
    <definedName name="템플리트모듈3" localSheetId="3">BlankMacro1</definedName>
    <definedName name="템플리트모듈3" localSheetId="6">BlankMacro1</definedName>
    <definedName name="템플리트모듈3" localSheetId="7">BlankMacro1</definedName>
    <definedName name="템플리트모듈3" localSheetId="8">BlankMacro1</definedName>
    <definedName name="템플리트모듈3" localSheetId="4">BlankMacro1</definedName>
    <definedName name="템플리트모듈3" localSheetId="1">BlankMacro1</definedName>
    <definedName name="템플리트모듈3">BlankMacro1</definedName>
    <definedName name="템플리트모듈4" localSheetId="5">BlankMacro1</definedName>
    <definedName name="템플리트모듈4" localSheetId="3">BlankMacro1</definedName>
    <definedName name="템플리트모듈4" localSheetId="6">BlankMacro1</definedName>
    <definedName name="템플리트모듈4" localSheetId="7">BlankMacro1</definedName>
    <definedName name="템플리트모듈4" localSheetId="8">BlankMacro1</definedName>
    <definedName name="템플리트모듈4" localSheetId="4">BlankMacro1</definedName>
    <definedName name="템플리트모듈4" localSheetId="1">BlankMacro1</definedName>
    <definedName name="템플리트모듈4">BlankMacro1</definedName>
    <definedName name="템플리트모듈5" localSheetId="5">BlankMacro1</definedName>
    <definedName name="템플리트모듈5" localSheetId="3">BlankMacro1</definedName>
    <definedName name="템플리트모듈5" localSheetId="6">BlankMacro1</definedName>
    <definedName name="템플리트모듈5" localSheetId="7">BlankMacro1</definedName>
    <definedName name="템플리트모듈5" localSheetId="8">BlankMacro1</definedName>
    <definedName name="템플리트모듈5" localSheetId="4">BlankMacro1</definedName>
    <definedName name="템플리트모듈5" localSheetId="1">BlankMacro1</definedName>
    <definedName name="템플리트모듈5">BlankMacro1</definedName>
    <definedName name="템플리트모듈6" localSheetId="5">BlankMacro1</definedName>
    <definedName name="템플리트모듈6" localSheetId="3">BlankMacro1</definedName>
    <definedName name="템플리트모듈6" localSheetId="6">BlankMacro1</definedName>
    <definedName name="템플리트모듈6" localSheetId="7">BlankMacro1</definedName>
    <definedName name="템플리트모듈6" localSheetId="8">BlankMacro1</definedName>
    <definedName name="템플리트모듈6" localSheetId="4">BlankMacro1</definedName>
    <definedName name="템플리트모듈6" localSheetId="1">BlankMacro1</definedName>
    <definedName name="템플리트모듈6">BlankMacro1</definedName>
    <definedName name="토" localSheetId="5">#REF!</definedName>
    <definedName name="토" localSheetId="3">#REF!</definedName>
    <definedName name="토" localSheetId="6">#REF!</definedName>
    <definedName name="토" localSheetId="7">#REF!</definedName>
    <definedName name="토" localSheetId="8">#REF!</definedName>
    <definedName name="토" localSheetId="4">#REF!</definedName>
    <definedName name="토" localSheetId="1">#REF!</definedName>
    <definedName name="토">#REF!</definedName>
    <definedName name="토목" localSheetId="5">#REF!</definedName>
    <definedName name="토목" localSheetId="3">#REF!</definedName>
    <definedName name="토목" localSheetId="6">#REF!</definedName>
    <definedName name="토목" localSheetId="7">#REF!</definedName>
    <definedName name="토목" localSheetId="8">#REF!</definedName>
    <definedName name="토목" localSheetId="4">#REF!</definedName>
    <definedName name="토목" localSheetId="1">#REF!</definedName>
    <definedName name="토목">#REF!</definedName>
    <definedName name="퇴직공제부금비" localSheetId="5">#REF!</definedName>
    <definedName name="퇴직공제부금비" localSheetId="3">#REF!</definedName>
    <definedName name="퇴직공제부금비" localSheetId="6">#REF!</definedName>
    <definedName name="퇴직공제부금비" localSheetId="7">#REF!</definedName>
    <definedName name="퇴직공제부금비" localSheetId="8">#REF!</definedName>
    <definedName name="퇴직공제부금비" localSheetId="4">#REF!</definedName>
    <definedName name="퇴직공제부금비" localSheetId="1">#REF!</definedName>
    <definedName name="퇴직공제부금비">#REF!</definedName>
    <definedName name="패드" localSheetId="5">#REF!</definedName>
    <definedName name="패드" localSheetId="3">#REF!</definedName>
    <definedName name="패드" localSheetId="6">#REF!</definedName>
    <definedName name="패드" localSheetId="7">#REF!</definedName>
    <definedName name="패드" localSheetId="8">#REF!</definedName>
    <definedName name="패드" localSheetId="4">#REF!</definedName>
    <definedName name="패드" localSheetId="1">#REF!</definedName>
    <definedName name="패드">#REF!</definedName>
    <definedName name="폐기물처리" localSheetId="5">[37]검측서!#REF!</definedName>
    <definedName name="폐기물처리" localSheetId="3">[37]검측서!#REF!</definedName>
    <definedName name="폐기물처리" localSheetId="6">[37]검측서!#REF!</definedName>
    <definedName name="폐기물처리" localSheetId="7">[37]검측서!#REF!</definedName>
    <definedName name="폐기물처리" localSheetId="8">[37]검측서!#REF!</definedName>
    <definedName name="폐기물처리" localSheetId="4">[37]검측서!#REF!</definedName>
    <definedName name="폐기물처리" localSheetId="1">[37]검측서!#REF!</definedName>
    <definedName name="폐기물처리">[37]검측서!#REF!</definedName>
    <definedName name="포장" localSheetId="5">BlankMacro1</definedName>
    <definedName name="포장" localSheetId="3">BlankMacro1</definedName>
    <definedName name="포장" localSheetId="6">BlankMacro1</definedName>
    <definedName name="포장" localSheetId="7">BlankMacro1</definedName>
    <definedName name="포장" localSheetId="8">BlankMacro1</definedName>
    <definedName name="포장" localSheetId="4">BlankMacro1</definedName>
    <definedName name="포장" localSheetId="1">BlankMacro1</definedName>
    <definedName name="포장">BlankMacro1</definedName>
    <definedName name="포장복구" localSheetId="5">#REF!</definedName>
    <definedName name="포장복구" localSheetId="3">#REF!</definedName>
    <definedName name="포장복구" localSheetId="6">#REF!</definedName>
    <definedName name="포장복구" localSheetId="7">#REF!</definedName>
    <definedName name="포장복구" localSheetId="8">#REF!</definedName>
    <definedName name="포장복구" localSheetId="4">#REF!</definedName>
    <definedName name="포장복구" localSheetId="1">#REF!</definedName>
    <definedName name="포장복구">#REF!</definedName>
    <definedName name="폼패드" localSheetId="5">#REF!</definedName>
    <definedName name="폼패드" localSheetId="3">#REF!</definedName>
    <definedName name="폼패드" localSheetId="6">#REF!</definedName>
    <definedName name="폼패드" localSheetId="7">#REF!</definedName>
    <definedName name="폼패드" localSheetId="8">#REF!</definedName>
    <definedName name="폼패드" localSheetId="4">#REF!</definedName>
    <definedName name="폼패드" localSheetId="1">#REF!</definedName>
    <definedName name="폼패드">#REF!</definedName>
    <definedName name="폼패드설치" localSheetId="5">#REF!</definedName>
    <definedName name="폼패드설치" localSheetId="3">#REF!</definedName>
    <definedName name="폼패드설치" localSheetId="6">#REF!</definedName>
    <definedName name="폼패드설치" localSheetId="7">#REF!</definedName>
    <definedName name="폼패드설치" localSheetId="8">#REF!</definedName>
    <definedName name="폼패드설치" localSheetId="4">#REF!</definedName>
    <definedName name="폼패드설치" localSheetId="1">#REF!</definedName>
    <definedName name="폼패드설치">#REF!</definedName>
    <definedName name="표지" localSheetId="5">BlankMacro1</definedName>
    <definedName name="표지" localSheetId="3">BlankMacro1</definedName>
    <definedName name="표지" localSheetId="6">BlankMacro1</definedName>
    <definedName name="표지" localSheetId="7">BlankMacro1</definedName>
    <definedName name="표지" localSheetId="8">BlankMacro1</definedName>
    <definedName name="표지" localSheetId="4">BlankMacro1</definedName>
    <definedName name="표지" localSheetId="1">BlankMacro1</definedName>
    <definedName name="표지">BlankMacro1</definedName>
    <definedName name="품1" localSheetId="5">[41]품셈표!#REF!</definedName>
    <definedName name="품1" localSheetId="3">[41]품셈표!#REF!</definedName>
    <definedName name="품1" localSheetId="6">[41]품셈표!#REF!</definedName>
    <definedName name="품1" localSheetId="7">[41]품셈표!#REF!</definedName>
    <definedName name="품1" localSheetId="8">[41]품셈표!#REF!</definedName>
    <definedName name="품1" localSheetId="4">[41]품셈표!#REF!</definedName>
    <definedName name="품1" localSheetId="1">[41]품셈표!#REF!</definedName>
    <definedName name="품1">[41]품셈표!#REF!</definedName>
    <definedName name="품10" localSheetId="5">[41]품셈표!#REF!</definedName>
    <definedName name="품10" localSheetId="3">[41]품셈표!#REF!</definedName>
    <definedName name="품10" localSheetId="6">[41]품셈표!#REF!</definedName>
    <definedName name="품10" localSheetId="7">[41]품셈표!#REF!</definedName>
    <definedName name="품10" localSheetId="8">[41]품셈표!#REF!</definedName>
    <definedName name="품10" localSheetId="4">[41]품셈표!#REF!</definedName>
    <definedName name="품10" localSheetId="1">[41]품셈표!#REF!</definedName>
    <definedName name="품10">[41]품셈표!#REF!</definedName>
    <definedName name="품11" localSheetId="5">[41]품셈표!#REF!</definedName>
    <definedName name="품11" localSheetId="3">[41]품셈표!#REF!</definedName>
    <definedName name="품11" localSheetId="6">[41]품셈표!#REF!</definedName>
    <definedName name="품11" localSheetId="7">[41]품셈표!#REF!</definedName>
    <definedName name="품11" localSheetId="8">[41]품셈표!#REF!</definedName>
    <definedName name="품11" localSheetId="4">[41]품셈표!#REF!</definedName>
    <definedName name="품11" localSheetId="1">[41]품셈표!#REF!</definedName>
    <definedName name="품11">[41]품셈표!#REF!</definedName>
    <definedName name="품12" localSheetId="5">[41]품셈표!#REF!</definedName>
    <definedName name="품12" localSheetId="3">[41]품셈표!#REF!</definedName>
    <definedName name="품12" localSheetId="6">[41]품셈표!#REF!</definedName>
    <definedName name="품12" localSheetId="7">[41]품셈표!#REF!</definedName>
    <definedName name="품12" localSheetId="8">[41]품셈표!#REF!</definedName>
    <definedName name="품12" localSheetId="4">[41]품셈표!#REF!</definedName>
    <definedName name="품12" localSheetId="1">[41]품셈표!#REF!</definedName>
    <definedName name="품12">[41]품셈표!#REF!</definedName>
    <definedName name="품13" localSheetId="5">[41]품셈표!#REF!</definedName>
    <definedName name="품13" localSheetId="3">[41]품셈표!#REF!</definedName>
    <definedName name="품13" localSheetId="6">[41]품셈표!#REF!</definedName>
    <definedName name="품13" localSheetId="7">[41]품셈표!#REF!</definedName>
    <definedName name="품13" localSheetId="8">[41]품셈표!#REF!</definedName>
    <definedName name="품13" localSheetId="4">[41]품셈표!#REF!</definedName>
    <definedName name="품13" localSheetId="1">[41]품셈표!#REF!</definedName>
    <definedName name="품13">[41]품셈표!#REF!</definedName>
    <definedName name="품14" localSheetId="5">[41]품셈표!#REF!</definedName>
    <definedName name="품14" localSheetId="3">[41]품셈표!#REF!</definedName>
    <definedName name="품14" localSheetId="6">[41]품셈표!#REF!</definedName>
    <definedName name="품14" localSheetId="7">[41]품셈표!#REF!</definedName>
    <definedName name="품14" localSheetId="8">[41]품셈표!#REF!</definedName>
    <definedName name="품14" localSheetId="4">[41]품셈표!#REF!</definedName>
    <definedName name="품14" localSheetId="1">[41]품셈표!#REF!</definedName>
    <definedName name="품14">[41]품셈표!#REF!</definedName>
    <definedName name="품15" localSheetId="5">[41]품셈표!#REF!</definedName>
    <definedName name="품15" localSheetId="3">[41]품셈표!#REF!</definedName>
    <definedName name="품15" localSheetId="6">[41]품셈표!#REF!</definedName>
    <definedName name="품15" localSheetId="7">[41]품셈표!#REF!</definedName>
    <definedName name="품15" localSheetId="8">[41]품셈표!#REF!</definedName>
    <definedName name="품15" localSheetId="4">[41]품셈표!#REF!</definedName>
    <definedName name="품15" localSheetId="1">[41]품셈표!#REF!</definedName>
    <definedName name="품15">[41]품셈표!#REF!</definedName>
    <definedName name="품16" localSheetId="5">[41]품셈표!#REF!</definedName>
    <definedName name="품16" localSheetId="3">[41]품셈표!#REF!</definedName>
    <definedName name="품16" localSheetId="6">[41]품셈표!#REF!</definedName>
    <definedName name="품16" localSheetId="7">[41]품셈표!#REF!</definedName>
    <definedName name="품16" localSheetId="8">[41]품셈표!#REF!</definedName>
    <definedName name="품16" localSheetId="4">[41]품셈표!#REF!</definedName>
    <definedName name="품16" localSheetId="1">[41]품셈표!#REF!</definedName>
    <definedName name="품16">[41]품셈표!#REF!</definedName>
    <definedName name="품18" localSheetId="5">[41]품셈표!#REF!</definedName>
    <definedName name="품18" localSheetId="3">[41]품셈표!#REF!</definedName>
    <definedName name="품18" localSheetId="6">[41]품셈표!#REF!</definedName>
    <definedName name="품18" localSheetId="7">[41]품셈표!#REF!</definedName>
    <definedName name="품18" localSheetId="8">[41]품셈표!#REF!</definedName>
    <definedName name="품18" localSheetId="4">[41]품셈표!#REF!</definedName>
    <definedName name="품18" localSheetId="1">[41]품셈표!#REF!</definedName>
    <definedName name="품18">[41]품셈표!#REF!</definedName>
    <definedName name="품19" localSheetId="5">[41]품셈표!#REF!</definedName>
    <definedName name="품19" localSheetId="3">[41]품셈표!#REF!</definedName>
    <definedName name="품19" localSheetId="6">[41]품셈표!#REF!</definedName>
    <definedName name="품19" localSheetId="7">[41]품셈표!#REF!</definedName>
    <definedName name="품19" localSheetId="8">[41]품셈표!#REF!</definedName>
    <definedName name="품19" localSheetId="4">[41]품셈표!#REF!</definedName>
    <definedName name="품19" localSheetId="1">[41]품셈표!#REF!</definedName>
    <definedName name="품19">[41]품셈표!#REF!</definedName>
    <definedName name="품2" localSheetId="5">[41]품셈표!#REF!</definedName>
    <definedName name="품2" localSheetId="3">[41]품셈표!#REF!</definedName>
    <definedName name="품2" localSheetId="6">[41]품셈표!#REF!</definedName>
    <definedName name="품2" localSheetId="7">[41]품셈표!#REF!</definedName>
    <definedName name="품2" localSheetId="8">[41]품셈표!#REF!</definedName>
    <definedName name="품2" localSheetId="4">[41]품셈표!#REF!</definedName>
    <definedName name="품2" localSheetId="1">[41]품셈표!#REF!</definedName>
    <definedName name="품2">[41]품셈표!#REF!</definedName>
    <definedName name="품20" localSheetId="5">[41]품셈표!#REF!</definedName>
    <definedName name="품20" localSheetId="3">[41]품셈표!#REF!</definedName>
    <definedName name="품20" localSheetId="6">[41]품셈표!#REF!</definedName>
    <definedName name="품20" localSheetId="7">[41]품셈표!#REF!</definedName>
    <definedName name="품20" localSheetId="8">[41]품셈표!#REF!</definedName>
    <definedName name="품20" localSheetId="4">[41]품셈표!#REF!</definedName>
    <definedName name="품20" localSheetId="1">[41]품셈표!#REF!</definedName>
    <definedName name="품20">[41]품셈표!#REF!</definedName>
    <definedName name="품22" localSheetId="5">[41]품셈표!#REF!</definedName>
    <definedName name="품22" localSheetId="3">[41]품셈표!#REF!</definedName>
    <definedName name="품22" localSheetId="6">[41]품셈표!#REF!</definedName>
    <definedName name="품22" localSheetId="7">[41]품셈표!#REF!</definedName>
    <definedName name="품22" localSheetId="8">[41]품셈표!#REF!</definedName>
    <definedName name="품22" localSheetId="4">[41]품셈표!#REF!</definedName>
    <definedName name="품22" localSheetId="1">[41]품셈표!#REF!</definedName>
    <definedName name="품22">[41]품셈표!#REF!</definedName>
    <definedName name="품23" localSheetId="5">[41]품셈표!#REF!</definedName>
    <definedName name="품23" localSheetId="3">[41]품셈표!#REF!</definedName>
    <definedName name="품23" localSheetId="6">[41]품셈표!#REF!</definedName>
    <definedName name="품23" localSheetId="7">[41]품셈표!#REF!</definedName>
    <definedName name="품23" localSheetId="8">[41]품셈표!#REF!</definedName>
    <definedName name="품23" localSheetId="4">[41]품셈표!#REF!</definedName>
    <definedName name="품23" localSheetId="1">[41]품셈표!#REF!</definedName>
    <definedName name="품23">[41]품셈표!#REF!</definedName>
    <definedName name="품3" localSheetId="5">[41]품셈표!#REF!</definedName>
    <definedName name="품3" localSheetId="3">[41]품셈표!#REF!</definedName>
    <definedName name="품3" localSheetId="6">[41]품셈표!#REF!</definedName>
    <definedName name="품3" localSheetId="7">[41]품셈표!#REF!</definedName>
    <definedName name="품3" localSheetId="8">[41]품셈표!#REF!</definedName>
    <definedName name="품3" localSheetId="4">[41]품셈표!#REF!</definedName>
    <definedName name="품3" localSheetId="1">[41]품셈표!#REF!</definedName>
    <definedName name="품3">[41]품셈표!#REF!</definedName>
    <definedName name="품4" localSheetId="5">[41]품셈표!#REF!</definedName>
    <definedName name="품4" localSheetId="3">[41]품셈표!#REF!</definedName>
    <definedName name="품4" localSheetId="6">[41]품셈표!#REF!</definedName>
    <definedName name="품4" localSheetId="7">[41]품셈표!#REF!</definedName>
    <definedName name="품4" localSheetId="8">[41]품셈표!#REF!</definedName>
    <definedName name="품4" localSheetId="4">[41]품셈표!#REF!</definedName>
    <definedName name="품4" localSheetId="1">[41]품셈표!#REF!</definedName>
    <definedName name="품4">[41]품셈표!#REF!</definedName>
    <definedName name="품5" localSheetId="5">[41]품셈표!#REF!</definedName>
    <definedName name="품5" localSheetId="3">[41]품셈표!#REF!</definedName>
    <definedName name="품5" localSheetId="6">[41]품셈표!#REF!</definedName>
    <definedName name="품5" localSheetId="7">[41]품셈표!#REF!</definedName>
    <definedName name="품5" localSheetId="8">[41]품셈표!#REF!</definedName>
    <definedName name="품5" localSheetId="4">[41]품셈표!#REF!</definedName>
    <definedName name="품5" localSheetId="1">[41]품셈표!#REF!</definedName>
    <definedName name="품5">[41]품셈표!#REF!</definedName>
    <definedName name="품6" localSheetId="5">[41]품셈표!#REF!</definedName>
    <definedName name="품6" localSheetId="3">[41]품셈표!#REF!</definedName>
    <definedName name="품6" localSheetId="6">[41]품셈표!#REF!</definedName>
    <definedName name="품6" localSheetId="7">[41]품셈표!#REF!</definedName>
    <definedName name="품6" localSheetId="8">[41]품셈표!#REF!</definedName>
    <definedName name="품6" localSheetId="4">[41]품셈표!#REF!</definedName>
    <definedName name="품6" localSheetId="1">[41]품셈표!#REF!</definedName>
    <definedName name="품6">[41]품셈표!#REF!</definedName>
    <definedName name="품8" localSheetId="5">[41]품셈표!#REF!</definedName>
    <definedName name="품8" localSheetId="3">[41]품셈표!#REF!</definedName>
    <definedName name="품8" localSheetId="6">[41]품셈표!#REF!</definedName>
    <definedName name="품8" localSheetId="7">[41]품셈표!#REF!</definedName>
    <definedName name="품8" localSheetId="8">[41]품셈표!#REF!</definedName>
    <definedName name="품8" localSheetId="4">[41]품셈표!#REF!</definedName>
    <definedName name="품8" localSheetId="1">[41]품셈표!#REF!</definedName>
    <definedName name="품8">[41]품셈표!#REF!</definedName>
    <definedName name="품C.S">ROUND([0]!품C.S*0.0254,3)</definedName>
    <definedName name="품CS">ROUND([0]!품CS*0.0254,3)</definedName>
    <definedName name="품목">[0]!품목</definedName>
    <definedName name="필드17" localSheetId="5">#REF!</definedName>
    <definedName name="필드17" localSheetId="3">#REF!</definedName>
    <definedName name="필드17" localSheetId="6">#REF!</definedName>
    <definedName name="필드17" localSheetId="7">#REF!</definedName>
    <definedName name="필드17" localSheetId="8">#REF!</definedName>
    <definedName name="필드17" localSheetId="4">#REF!</definedName>
    <definedName name="필드17" localSheetId="1">#REF!</definedName>
    <definedName name="필드17">#REF!</definedName>
    <definedName name="필드18" localSheetId="5">#REF!</definedName>
    <definedName name="필드18" localSheetId="3">#REF!</definedName>
    <definedName name="필드18" localSheetId="6">#REF!</definedName>
    <definedName name="필드18" localSheetId="7">#REF!</definedName>
    <definedName name="필드18" localSheetId="8">#REF!</definedName>
    <definedName name="필드18" localSheetId="4">#REF!</definedName>
    <definedName name="필드18" localSheetId="1">#REF!</definedName>
    <definedName name="필드18">#REF!</definedName>
    <definedName name="필드19" localSheetId="5">#REF!</definedName>
    <definedName name="필드19" localSheetId="3">#REF!</definedName>
    <definedName name="필드19" localSheetId="6">#REF!</definedName>
    <definedName name="필드19" localSheetId="7">#REF!</definedName>
    <definedName name="필드19" localSheetId="8">#REF!</definedName>
    <definedName name="필드19" localSheetId="4">#REF!</definedName>
    <definedName name="필드19" localSheetId="1">#REF!</definedName>
    <definedName name="필드19">#REF!</definedName>
    <definedName name="필드25" localSheetId="5">#REF!</definedName>
    <definedName name="필드25" localSheetId="3">#REF!</definedName>
    <definedName name="필드25" localSheetId="6">#REF!</definedName>
    <definedName name="필드25" localSheetId="7">#REF!</definedName>
    <definedName name="필드25" localSheetId="8">#REF!</definedName>
    <definedName name="필드25" localSheetId="4">#REF!</definedName>
    <definedName name="필드25" localSheetId="1">#REF!</definedName>
    <definedName name="필드25">#REF!</definedName>
    <definedName name="ㅎㄹ">[55]토공정보!$O$7:$AC$18</definedName>
    <definedName name="하자" localSheetId="5">#REF!</definedName>
    <definedName name="하자" localSheetId="3">#REF!</definedName>
    <definedName name="하자" localSheetId="6">#REF!</definedName>
    <definedName name="하자" localSheetId="7">#REF!</definedName>
    <definedName name="하자" localSheetId="8">#REF!</definedName>
    <definedName name="하자" localSheetId="4">#REF!</definedName>
    <definedName name="하자" localSheetId="1">#REF!</definedName>
    <definedName name="하자">#REF!</definedName>
    <definedName name="하저경비" localSheetId="5">#REF!</definedName>
    <definedName name="하저경비" localSheetId="3">#REF!</definedName>
    <definedName name="하저경비" localSheetId="6">#REF!</definedName>
    <definedName name="하저경비" localSheetId="7">#REF!</definedName>
    <definedName name="하저경비" localSheetId="8">#REF!</definedName>
    <definedName name="하저경비" localSheetId="4">#REF!</definedName>
    <definedName name="하저경비" localSheetId="1">#REF!</definedName>
    <definedName name="하저경비">#REF!</definedName>
    <definedName name="하저노무" localSheetId="5">#REF!</definedName>
    <definedName name="하저노무" localSheetId="3">#REF!</definedName>
    <definedName name="하저노무" localSheetId="6">#REF!</definedName>
    <definedName name="하저노무" localSheetId="7">#REF!</definedName>
    <definedName name="하저노무" localSheetId="8">#REF!</definedName>
    <definedName name="하저노무" localSheetId="4">#REF!</definedName>
    <definedName name="하저노무" localSheetId="1">#REF!</definedName>
    <definedName name="하저노무">#REF!</definedName>
    <definedName name="하저재료" localSheetId="5">#REF!</definedName>
    <definedName name="하저재료" localSheetId="3">#REF!</definedName>
    <definedName name="하저재료" localSheetId="6">#REF!</definedName>
    <definedName name="하저재료" localSheetId="7">#REF!</definedName>
    <definedName name="하저재료" localSheetId="8">#REF!</definedName>
    <definedName name="하저재료" localSheetId="4">#REF!</definedName>
    <definedName name="하저재료" localSheetId="1">#REF!</definedName>
    <definedName name="하저재료">#REF!</definedName>
    <definedName name="한전고압케이블" localSheetId="5">#REF!</definedName>
    <definedName name="한전고압케이블" localSheetId="3">#REF!</definedName>
    <definedName name="한전고압케이블" localSheetId="6">#REF!</definedName>
    <definedName name="한전고압케이블" localSheetId="7">#REF!</definedName>
    <definedName name="한전고압케이블" localSheetId="8">#REF!</definedName>
    <definedName name="한전고압케이블" localSheetId="4">#REF!</definedName>
    <definedName name="한전고압케이블" localSheetId="1">#REF!</definedName>
    <definedName name="한전고압케이블">#REF!</definedName>
    <definedName name="합_____계" localSheetId="5">#REF!</definedName>
    <definedName name="합_____계" localSheetId="3">#REF!</definedName>
    <definedName name="합_____계" localSheetId="6">#REF!</definedName>
    <definedName name="합_____계" localSheetId="7">#REF!</definedName>
    <definedName name="합_____계" localSheetId="8">#REF!</definedName>
    <definedName name="합_____계" localSheetId="4">#REF!</definedName>
    <definedName name="합_____계" localSheetId="1">#REF!</definedName>
    <definedName name="합_____계">#REF!</definedName>
    <definedName name="합계" localSheetId="5">#REF!</definedName>
    <definedName name="합계" localSheetId="3">#REF!</definedName>
    <definedName name="합계" localSheetId="6">#REF!</definedName>
    <definedName name="합계" localSheetId="7">#REF!</definedName>
    <definedName name="합계" localSheetId="8">#REF!</definedName>
    <definedName name="합계" localSheetId="4">#REF!</definedName>
    <definedName name="합계" localSheetId="1">#REF!</definedName>
    <definedName name="합계">#REF!</definedName>
    <definedName name="핸드홀설치" localSheetId="5">[37]검측서!#REF!</definedName>
    <definedName name="핸드홀설치" localSheetId="3">[37]검측서!#REF!</definedName>
    <definedName name="핸드홀설치" localSheetId="6">[37]검측서!#REF!</definedName>
    <definedName name="핸드홀설치" localSheetId="7">[37]검측서!#REF!</definedName>
    <definedName name="핸드홀설치" localSheetId="8">[37]검측서!#REF!</definedName>
    <definedName name="핸드홀설치" localSheetId="4">[37]검측서!#REF!</definedName>
    <definedName name="핸드홀설치" localSheetId="1">[37]검측서!#REF!</definedName>
    <definedName name="핸드홀설치">[37]검측서!#REF!</definedName>
    <definedName name="회전" localSheetId="5">BlankMacro1</definedName>
    <definedName name="회전" localSheetId="3">BlankMacro1</definedName>
    <definedName name="회전" localSheetId="6">BlankMacro1</definedName>
    <definedName name="회전" localSheetId="7">BlankMacro1</definedName>
    <definedName name="회전" localSheetId="8">BlankMacro1</definedName>
    <definedName name="회전" localSheetId="4">BlankMacro1</definedName>
    <definedName name="회전" localSheetId="1">BlankMacro1</definedName>
    <definedName name="회전">BlankMacro1</definedName>
    <definedName name="휘발유">[32]노임!$D$19</definedName>
    <definedName name="ㅏ166" localSheetId="5">#REF!</definedName>
    <definedName name="ㅏ166" localSheetId="3">#REF!</definedName>
    <definedName name="ㅏ166" localSheetId="6">#REF!</definedName>
    <definedName name="ㅏ166" localSheetId="7">#REF!</definedName>
    <definedName name="ㅏ166" localSheetId="8">#REF!</definedName>
    <definedName name="ㅏ166" localSheetId="4">#REF!</definedName>
    <definedName name="ㅏ166" localSheetId="1">#REF!</definedName>
    <definedName name="ㅏ166">#REF!</definedName>
    <definedName name="ㅏㅏㅇ">ROUND([0]!ㅏㅏㅇ*0.0254,3)</definedName>
    <definedName name="ㅑ650" localSheetId="5">#REF!</definedName>
    <definedName name="ㅑ650" localSheetId="3">#REF!</definedName>
    <definedName name="ㅑ650" localSheetId="6">#REF!</definedName>
    <definedName name="ㅑ650" localSheetId="7">#REF!</definedName>
    <definedName name="ㅑ650" localSheetId="8">#REF!</definedName>
    <definedName name="ㅑ650" localSheetId="4">#REF!</definedName>
    <definedName name="ㅑ650" localSheetId="1">#REF!</definedName>
    <definedName name="ㅑ650">#REF!</definedName>
    <definedName name="ㅔ6" localSheetId="5">[42]건축기성!#REF!</definedName>
    <definedName name="ㅔ6" localSheetId="3">[42]건축기성!#REF!</definedName>
    <definedName name="ㅔ6" localSheetId="6">[42]건축기성!#REF!</definedName>
    <definedName name="ㅔ6" localSheetId="7">[42]건축기성!#REF!</definedName>
    <definedName name="ㅔ6" localSheetId="8">[42]건축기성!#REF!</definedName>
    <definedName name="ㅔ6" localSheetId="4">[42]건축기성!#REF!</definedName>
    <definedName name="ㅔ6" localSheetId="1">[42]건축기성!#REF!</definedName>
    <definedName name="ㅔ6">[42]건축기성!#REF!</definedName>
    <definedName name="ㅕ422" localSheetId="5">#REF!</definedName>
    <definedName name="ㅕ422" localSheetId="3">#REF!</definedName>
    <definedName name="ㅕ422" localSheetId="6">#REF!</definedName>
    <definedName name="ㅕ422" localSheetId="7">#REF!</definedName>
    <definedName name="ㅕ422" localSheetId="8">#REF!</definedName>
    <definedName name="ㅕ422" localSheetId="4">#REF!</definedName>
    <definedName name="ㅕ422" localSheetId="1">#REF!</definedName>
    <definedName name="ㅕ422">#REF!</definedName>
    <definedName name="ㅣ178" localSheetId="5">'[56]실행(1)'!#REF!</definedName>
    <definedName name="ㅣ178" localSheetId="3">'[56]실행(1)'!#REF!</definedName>
    <definedName name="ㅣ178" localSheetId="6">'[56]실행(1)'!#REF!</definedName>
    <definedName name="ㅣ178" localSheetId="7">'[56]실행(1)'!#REF!</definedName>
    <definedName name="ㅣ178" localSheetId="8">'[56]실행(1)'!#REF!</definedName>
    <definedName name="ㅣ178" localSheetId="4">'[56]실행(1)'!#REF!</definedName>
    <definedName name="ㅣ178" localSheetId="1">'[56]실행(1)'!#REF!</definedName>
    <definedName name="ㅣ178">'[56]실행(1)'!#REF!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2" i="4" l="1"/>
  <c r="T112" i="4" s="1"/>
  <c r="R112" i="4"/>
  <c r="M113" i="4"/>
  <c r="T113" i="4" s="1"/>
  <c r="R113" i="4"/>
  <c r="M114" i="4"/>
  <c r="T114" i="4" s="1"/>
  <c r="R114" i="4"/>
  <c r="M115" i="4"/>
  <c r="T115" i="4" s="1"/>
  <c r="R115" i="4"/>
  <c r="M116" i="4"/>
  <c r="T116" i="4" s="1"/>
  <c r="R116" i="4"/>
  <c r="M117" i="4"/>
  <c r="T117" i="4" s="1"/>
  <c r="S117" i="4" s="1"/>
  <c r="R117" i="4"/>
  <c r="M118" i="4"/>
  <c r="T118" i="4" s="1"/>
  <c r="R118" i="4"/>
  <c r="M119" i="4"/>
  <c r="T119" i="4" s="1"/>
  <c r="R119" i="4"/>
  <c r="M120" i="4"/>
  <c r="T120" i="4" s="1"/>
  <c r="R120" i="4"/>
  <c r="M121" i="4"/>
  <c r="T121" i="4" s="1"/>
  <c r="R121" i="4"/>
  <c r="M122" i="4"/>
  <c r="T122" i="4" s="1"/>
  <c r="R122" i="4"/>
  <c r="M123" i="4"/>
  <c r="T123" i="4" s="1"/>
  <c r="R123" i="4"/>
  <c r="M124" i="4"/>
  <c r="T124" i="4" s="1"/>
  <c r="R124" i="4"/>
  <c r="M125" i="4"/>
  <c r="T125" i="4" s="1"/>
  <c r="R125" i="4"/>
  <c r="M126" i="4"/>
  <c r="T126" i="4" s="1"/>
  <c r="R126" i="4"/>
  <c r="M127" i="4"/>
  <c r="T127" i="4" s="1"/>
  <c r="R127" i="4"/>
  <c r="M128" i="4"/>
  <c r="T128" i="4" s="1"/>
  <c r="R128" i="4"/>
  <c r="M129" i="4"/>
  <c r="T129" i="4" s="1"/>
  <c r="R129" i="4"/>
  <c r="M130" i="4"/>
  <c r="T130" i="4" s="1"/>
  <c r="R130" i="4"/>
  <c r="M131" i="4"/>
  <c r="T131" i="4" s="1"/>
  <c r="R131" i="4"/>
  <c r="M132" i="4"/>
  <c r="T132" i="4" s="1"/>
  <c r="R132" i="4"/>
  <c r="M133" i="4"/>
  <c r="T133" i="4" s="1"/>
  <c r="R133" i="4"/>
  <c r="M134" i="4"/>
  <c r="T134" i="4" s="1"/>
  <c r="S134" i="4" s="1"/>
  <c r="R134" i="4"/>
  <c r="M135" i="4"/>
  <c r="T135" i="4" s="1"/>
  <c r="R135" i="4"/>
  <c r="M136" i="4"/>
  <c r="T136" i="4" s="1"/>
  <c r="R136" i="4"/>
  <c r="M137" i="4"/>
  <c r="T137" i="4" s="1"/>
  <c r="R137" i="4"/>
  <c r="M138" i="4"/>
  <c r="T138" i="4" s="1"/>
  <c r="R138" i="4"/>
  <c r="M139" i="4"/>
  <c r="T139" i="4" s="1"/>
  <c r="R139" i="4"/>
  <c r="M140" i="4"/>
  <c r="T140" i="4" s="1"/>
  <c r="S140" i="4" s="1"/>
  <c r="R140" i="4"/>
  <c r="M141" i="4"/>
  <c r="T141" i="4" s="1"/>
  <c r="R141" i="4"/>
  <c r="M142" i="4"/>
  <c r="T142" i="4" s="1"/>
  <c r="R142" i="4"/>
  <c r="S127" i="4" l="1"/>
  <c r="S119" i="4"/>
  <c r="S132" i="4"/>
  <c r="S137" i="4"/>
  <c r="S121" i="4"/>
  <c r="S126" i="4"/>
  <c r="S131" i="4"/>
  <c r="S141" i="4"/>
  <c r="S139" i="4"/>
  <c r="S116" i="4"/>
  <c r="S123" i="4"/>
  <c r="S125" i="4"/>
  <c r="S122" i="4"/>
  <c r="S135" i="4"/>
  <c r="S115" i="4"/>
  <c r="S118" i="4"/>
  <c r="S138" i="4"/>
  <c r="S133" i="4"/>
  <c r="S120" i="4"/>
  <c r="S124" i="4"/>
  <c r="S142" i="4"/>
  <c r="S128" i="4"/>
  <c r="S114" i="4"/>
  <c r="S113" i="4"/>
  <c r="S112" i="4"/>
  <c r="S136" i="4"/>
  <c r="S130" i="4"/>
  <c r="S129" i="4"/>
  <c r="R42" i="4"/>
  <c r="M815" i="1" l="1"/>
  <c r="M809" i="1"/>
  <c r="L107" i="4" l="1"/>
  <c r="L802" i="1" l="1"/>
  <c r="M800" i="1" l="1"/>
  <c r="M807" i="1" l="1"/>
  <c r="M805" i="1"/>
  <c r="Y94" i="4" l="1"/>
  <c r="Y86" i="4"/>
  <c r="M802" i="1" l="1"/>
  <c r="L79" i="4" l="1"/>
  <c r="R89" i="4" l="1"/>
  <c r="M85" i="4"/>
  <c r="M89" i="4" l="1"/>
  <c r="T89" i="4" s="1"/>
  <c r="S89" i="4" s="1"/>
  <c r="O83" i="4"/>
  <c r="R61" i="8" l="1"/>
  <c r="R56" i="4"/>
  <c r="R57" i="4"/>
  <c r="R58" i="4"/>
  <c r="R59" i="4"/>
  <c r="R60" i="4"/>
  <c r="R61" i="4"/>
  <c r="R62" i="4"/>
  <c r="R63" i="4"/>
  <c r="R64" i="4"/>
  <c r="R65" i="4"/>
  <c r="R66" i="4"/>
  <c r="R67" i="4"/>
  <c r="R68" i="4"/>
  <c r="R69" i="4"/>
  <c r="R70" i="4"/>
  <c r="R72" i="4"/>
  <c r="R73" i="4"/>
  <c r="R74" i="4"/>
  <c r="R34" i="4"/>
  <c r="R35" i="4"/>
  <c r="R38" i="4"/>
  <c r="R39" i="4"/>
  <c r="L55" i="4" l="1"/>
  <c r="L412" i="4" l="1"/>
  <c r="M795" i="1"/>
  <c r="M793" i="1" l="1"/>
  <c r="M794" i="1"/>
  <c r="M80" i="4" l="1"/>
  <c r="T80" i="4" s="1"/>
  <c r="M81" i="4"/>
  <c r="T81" i="4" s="1"/>
  <c r="R79" i="4"/>
  <c r="R80" i="4"/>
  <c r="R81" i="4"/>
  <c r="S80" i="4" l="1"/>
  <c r="S81" i="4"/>
  <c r="R60" i="8"/>
  <c r="R59" i="8"/>
  <c r="R88" i="8"/>
  <c r="L88" i="8"/>
  <c r="M88" i="8" s="1"/>
  <c r="L87" i="8"/>
  <c r="M87" i="8" s="1"/>
  <c r="L86" i="8"/>
  <c r="M86" i="8" s="1"/>
  <c r="R84" i="8"/>
  <c r="L84" i="8"/>
  <c r="M84" i="8" s="1"/>
  <c r="T84" i="8" s="1"/>
  <c r="M26" i="8"/>
  <c r="T26" i="8" s="1"/>
  <c r="T88" i="8" l="1"/>
  <c r="S88" i="8" s="1"/>
  <c r="S84" i="8"/>
  <c r="M791" i="1"/>
  <c r="M790" i="1"/>
  <c r="M62" i="8" l="1"/>
  <c r="T62" i="8" s="1"/>
  <c r="M61" i="8"/>
  <c r="T61" i="8" s="1"/>
  <c r="S61" i="8" s="1"/>
  <c r="M60" i="8"/>
  <c r="T60" i="8" s="1"/>
  <c r="S60" i="8" s="1"/>
  <c r="R83" i="4" l="1"/>
  <c r="M83" i="4"/>
  <c r="R82" i="4"/>
  <c r="M82" i="4"/>
  <c r="T82" i="4" s="1"/>
  <c r="T83" i="4" l="1"/>
  <c r="S83" i="4" s="1"/>
  <c r="S82" i="4"/>
  <c r="M789" i="1"/>
  <c r="M788" i="1"/>
  <c r="L38" i="4" l="1"/>
  <c r="M38" i="4" s="1"/>
  <c r="O37" i="4"/>
  <c r="R37" i="4" s="1"/>
  <c r="L37" i="4"/>
  <c r="M37" i="4" s="1"/>
  <c r="O36" i="4"/>
  <c r="R36" i="4" s="1"/>
  <c r="L36" i="4"/>
  <c r="M36" i="4" s="1"/>
  <c r="L54" i="4"/>
  <c r="L53" i="4"/>
  <c r="R76" i="4" l="1"/>
  <c r="M76" i="4"/>
  <c r="T76" i="4" s="1"/>
  <c r="S76" i="4" l="1"/>
  <c r="R75" i="4"/>
  <c r="M75" i="4"/>
  <c r="T75" i="4" s="1"/>
  <c r="S75" i="4" l="1"/>
  <c r="M74" i="4"/>
  <c r="T74" i="4" s="1"/>
  <c r="M73" i="4"/>
  <c r="T73" i="4" s="1"/>
  <c r="S73" i="4" l="1"/>
  <c r="S74" i="4"/>
  <c r="O71" i="4" l="1"/>
  <c r="R71" i="4" s="1"/>
  <c r="M72" i="4" l="1"/>
  <c r="T72" i="4" l="1"/>
  <c r="S72" i="4" l="1"/>
  <c r="M71" i="4"/>
  <c r="T71" i="4" s="1"/>
  <c r="S71" i="4" l="1"/>
  <c r="M70" i="4" l="1"/>
  <c r="T70" i="4" s="1"/>
  <c r="S70" i="4" l="1"/>
  <c r="S61" i="4"/>
  <c r="S60" i="4"/>
  <c r="R55" i="4"/>
  <c r="M69" i="4" l="1"/>
  <c r="T69" i="4" s="1"/>
  <c r="M68" i="4"/>
  <c r="T68" i="4" s="1"/>
  <c r="M67" i="4"/>
  <c r="T67" i="4" s="1"/>
  <c r="M66" i="4"/>
  <c r="T66" i="4" s="1"/>
  <c r="S66" i="4" s="1"/>
  <c r="M65" i="4"/>
  <c r="T65" i="4" s="1"/>
  <c r="S65" i="4" s="1"/>
  <c r="S69" i="4" l="1"/>
  <c r="S68" i="4"/>
  <c r="S67" i="4"/>
  <c r="M784" i="1"/>
  <c r="M64" i="4" l="1"/>
  <c r="T64" i="4" s="1"/>
  <c r="S64" i="4" s="1"/>
  <c r="M63" i="4"/>
  <c r="T63" i="4" s="1"/>
  <c r="S63" i="4" l="1"/>
  <c r="M62" i="4"/>
  <c r="T62" i="4" s="1"/>
  <c r="S62" i="4" s="1"/>
  <c r="L764" i="1" l="1"/>
  <c r="Y77" i="4" l="1"/>
  <c r="L58" i="4" l="1"/>
  <c r="R87" i="8" l="1"/>
  <c r="T87" i="8"/>
  <c r="M785" i="1"/>
  <c r="M786" i="1"/>
  <c r="M787" i="1"/>
  <c r="S87" i="8" l="1"/>
  <c r="M50" i="4"/>
  <c r="M51" i="4"/>
  <c r="B19" i="12" l="1"/>
  <c r="L773" i="1" l="1"/>
  <c r="M783" i="1" l="1"/>
  <c r="M777" i="1"/>
  <c r="M778" i="1"/>
  <c r="Y49" i="4" l="1"/>
  <c r="M780" i="1" l="1"/>
  <c r="M781" i="1"/>
  <c r="M782" i="1"/>
  <c r="M779" i="1" l="1"/>
  <c r="M776" i="1"/>
  <c r="A4" i="12" l="1"/>
  <c r="A5" i="12" s="1"/>
  <c r="M774" i="1" l="1"/>
  <c r="M770" i="1"/>
  <c r="M769" i="1"/>
  <c r="M766" i="1"/>
  <c r="M773" i="1"/>
  <c r="L772" i="1" l="1"/>
  <c r="L771" i="1"/>
  <c r="M775" i="1" l="1"/>
  <c r="M771" i="1"/>
  <c r="M772" i="1"/>
  <c r="M765" i="1"/>
  <c r="M767" i="1"/>
  <c r="M768" i="1"/>
  <c r="M760" i="1" l="1"/>
  <c r="Y41" i="4" l="1"/>
  <c r="R40" i="4"/>
  <c r="M761" i="1" l="1"/>
  <c r="M762" i="1"/>
  <c r="M763" i="1"/>
  <c r="M764" i="1"/>
  <c r="M758" i="1" l="1"/>
  <c r="M759" i="1"/>
  <c r="M42" i="4" l="1"/>
  <c r="M32" i="4" l="1"/>
  <c r="M33" i="4"/>
  <c r="M34" i="4"/>
  <c r="M35" i="4"/>
  <c r="M39" i="4"/>
  <c r="L40" i="4"/>
  <c r="M40" i="4" s="1"/>
  <c r="T39" i="4" l="1"/>
  <c r="S39" i="4" s="1"/>
  <c r="T40" i="4"/>
  <c r="S40" i="4" s="1"/>
  <c r="T36" i="4" l="1"/>
  <c r="S36" i="4" s="1"/>
  <c r="T37" i="4"/>
  <c r="S37" i="4" s="1"/>
  <c r="T38" i="4"/>
  <c r="S38" i="4" s="1"/>
  <c r="T34" i="4"/>
  <c r="S34" i="4" s="1"/>
  <c r="L751" i="1" l="1"/>
  <c r="M751" i="1" s="1"/>
  <c r="L750" i="1"/>
  <c r="M750" i="1" s="1"/>
  <c r="M756" i="1" l="1"/>
  <c r="M755" i="1" l="1"/>
  <c r="L740" i="1"/>
  <c r="M749" i="1"/>
  <c r="M748" i="1"/>
  <c r="M747" i="1"/>
  <c r="M746" i="1"/>
  <c r="M745" i="1"/>
  <c r="M735" i="1"/>
  <c r="M753" i="1"/>
  <c r="M754" i="1"/>
  <c r="M757" i="1"/>
  <c r="R27" i="4" l="1"/>
  <c r="M27" i="4"/>
  <c r="T27" i="4" s="1"/>
  <c r="R28" i="4"/>
  <c r="M28" i="4"/>
  <c r="T28" i="4" s="1"/>
  <c r="M31" i="4"/>
  <c r="S27" i="4" l="1"/>
  <c r="S28" i="4"/>
  <c r="M85" i="8"/>
  <c r="R26" i="8"/>
  <c r="S26" i="8" s="1"/>
  <c r="M743" i="1"/>
  <c r="M744" i="1"/>
  <c r="M752" i="1"/>
  <c r="M739" i="1"/>
  <c r="Y26" i="4" l="1"/>
  <c r="M59" i="8"/>
  <c r="T59" i="8" s="1"/>
  <c r="S59" i="8" s="1"/>
  <c r="M58" i="8"/>
  <c r="T58" i="8" s="1"/>
  <c r="R58" i="8"/>
  <c r="R25" i="4"/>
  <c r="R24" i="4"/>
  <c r="R23" i="4"/>
  <c r="R22" i="4"/>
  <c r="R21" i="4"/>
  <c r="R20" i="4"/>
  <c r="R19" i="4"/>
  <c r="R18" i="4"/>
  <c r="R17" i="4"/>
  <c r="M11" i="4"/>
  <c r="M12" i="4"/>
  <c r="M13" i="4"/>
  <c r="M14" i="4"/>
  <c r="M15" i="4"/>
  <c r="M16" i="4"/>
  <c r="M17" i="4"/>
  <c r="T17" i="4" s="1"/>
  <c r="S58" i="8" l="1"/>
  <c r="S17" i="4"/>
  <c r="M23" i="4" l="1"/>
  <c r="M24" i="4"/>
  <c r="R57" i="8" l="1"/>
  <c r="M18" i="4"/>
  <c r="T18" i="4" l="1"/>
  <c r="S18" i="4" s="1"/>
  <c r="M21" i="4"/>
  <c r="M720" i="1"/>
  <c r="M19" i="4"/>
  <c r="M20" i="4"/>
  <c r="M22" i="4"/>
  <c r="M740" i="1"/>
  <c r="M741" i="1"/>
  <c r="M742" i="1"/>
  <c r="M726" i="1" l="1"/>
  <c r="M725" i="1"/>
  <c r="L736" i="1" l="1"/>
  <c r="M736" i="1" l="1"/>
  <c r="M733" i="1"/>
  <c r="M732" i="1"/>
  <c r="M731" i="1"/>
  <c r="M730" i="1"/>
  <c r="M729" i="1"/>
  <c r="M734" i="1"/>
  <c r="R83" i="8" l="1"/>
  <c r="M83" i="8"/>
  <c r="M737" i="1"/>
  <c r="M738" i="1"/>
  <c r="T19" i="4"/>
  <c r="S19" i="4" s="1"/>
  <c r="T20" i="4"/>
  <c r="S20" i="4" s="1"/>
  <c r="T21" i="4"/>
  <c r="S21" i="4" s="1"/>
  <c r="T22" i="4"/>
  <c r="S22" i="4" s="1"/>
  <c r="T23" i="4"/>
  <c r="S23" i="4" s="1"/>
  <c r="T24" i="4"/>
  <c r="S24" i="4" s="1"/>
  <c r="M727" i="1"/>
  <c r="M728" i="1" l="1"/>
  <c r="M723" i="1" l="1"/>
  <c r="M722" i="1"/>
  <c r="M717" i="1"/>
  <c r="M716" i="1"/>
  <c r="M715" i="1"/>
  <c r="M721" i="1"/>
  <c r="M724" i="1"/>
  <c r="R5" i="4" l="1"/>
  <c r="M5" i="4"/>
  <c r="T5" i="4" s="1"/>
  <c r="M6" i="4"/>
  <c r="M7" i="4"/>
  <c r="S5" i="4" l="1"/>
  <c r="M719" i="1" l="1"/>
  <c r="M41" i="8" l="1"/>
  <c r="R56" i="8"/>
  <c r="R55" i="8"/>
  <c r="M57" i="8"/>
  <c r="T57" i="8" s="1"/>
  <c r="S57" i="8" s="1"/>
  <c r="R54" i="8"/>
  <c r="M714" i="1"/>
  <c r="M713" i="1" l="1"/>
  <c r="M712" i="1" l="1"/>
  <c r="M711" i="1" l="1"/>
  <c r="L706" i="1" l="1"/>
  <c r="M718" i="1" l="1"/>
  <c r="M709" i="1"/>
  <c r="M707" i="1" l="1"/>
  <c r="M710" i="1"/>
  <c r="M82" i="8" l="1"/>
  <c r="R82" i="8"/>
  <c r="L841" i="1" l="1"/>
  <c r="M705" i="1" l="1"/>
  <c r="M706" i="1"/>
  <c r="M708" i="1"/>
  <c r="M702" i="1"/>
  <c r="M701" i="1"/>
  <c r="M700" i="1"/>
  <c r="M699" i="1"/>
  <c r="M698" i="1"/>
  <c r="M696" i="1" l="1"/>
  <c r="M697" i="1"/>
  <c r="M703" i="1"/>
  <c r="M704" i="1"/>
  <c r="M695" i="1"/>
  <c r="L694" i="1" l="1"/>
  <c r="S694" i="1"/>
  <c r="M81" i="8" l="1"/>
  <c r="R81" i="8" l="1"/>
  <c r="R6" i="4" l="1"/>
  <c r="S6" i="4" s="1"/>
  <c r="M690" i="1"/>
  <c r="M686" i="1" l="1"/>
  <c r="M687" i="1"/>
  <c r="M691" i="1"/>
  <c r="M692" i="1"/>
  <c r="M693" i="1"/>
  <c r="M694" i="1"/>
  <c r="M792" i="1"/>
  <c r="M796" i="1"/>
  <c r="M797" i="1"/>
  <c r="M798" i="1"/>
  <c r="M799" i="1"/>
  <c r="M801" i="1"/>
  <c r="M803" i="1"/>
  <c r="M804" i="1"/>
  <c r="M806" i="1"/>
  <c r="M808" i="1"/>
  <c r="M810" i="1"/>
  <c r="M811" i="1"/>
  <c r="M812" i="1"/>
  <c r="M813" i="1"/>
  <c r="M814" i="1"/>
  <c r="M816" i="1"/>
  <c r="M817" i="1"/>
  <c r="M818" i="1"/>
  <c r="M819" i="1"/>
  <c r="M820" i="1"/>
  <c r="M821" i="1"/>
  <c r="M822" i="1"/>
  <c r="M823" i="1"/>
  <c r="M824" i="1"/>
  <c r="M688" i="1" l="1"/>
  <c r="M674" i="1" l="1"/>
  <c r="R67" i="8" l="1"/>
  <c r="R68" i="8"/>
  <c r="R69" i="8"/>
  <c r="R70" i="8"/>
  <c r="R71" i="8"/>
  <c r="R72" i="8"/>
  <c r="R73" i="8"/>
  <c r="R74" i="8"/>
  <c r="R75" i="8"/>
  <c r="R76" i="8"/>
  <c r="R77" i="8"/>
  <c r="R78" i="8"/>
  <c r="R79" i="8"/>
  <c r="R80" i="8"/>
  <c r="R66" i="8"/>
  <c r="M68" i="8"/>
  <c r="T68" i="8" s="1"/>
  <c r="M69" i="8"/>
  <c r="T69" i="8" s="1"/>
  <c r="M70" i="8"/>
  <c r="T70" i="8" s="1"/>
  <c r="M71" i="8"/>
  <c r="T71" i="8" s="1"/>
  <c r="M72" i="8"/>
  <c r="M73" i="8"/>
  <c r="M74" i="8"/>
  <c r="T74" i="8" s="1"/>
  <c r="M75" i="8"/>
  <c r="T75" i="8" s="1"/>
  <c r="M76" i="8"/>
  <c r="T76" i="8" s="1"/>
  <c r="M77" i="8"/>
  <c r="T77" i="8" s="1"/>
  <c r="M78" i="8"/>
  <c r="T78" i="8" s="1"/>
  <c r="M79" i="8"/>
  <c r="T79" i="8" s="1"/>
  <c r="M80" i="8"/>
  <c r="T80" i="8" s="1"/>
  <c r="M67" i="8"/>
  <c r="T67" i="8" s="1"/>
  <c r="K74" i="8"/>
  <c r="K75" i="8" s="1"/>
  <c r="K76" i="8" s="1"/>
  <c r="K77" i="8" s="1"/>
  <c r="K78" i="8" s="1"/>
  <c r="K79" i="8" s="1"/>
  <c r="K80" i="8" s="1"/>
  <c r="K81" i="8" s="1"/>
  <c r="K82" i="8" s="1"/>
  <c r="K83" i="8" s="1"/>
  <c r="K84" i="8" s="1"/>
  <c r="K85" i="8" s="1"/>
  <c r="K86" i="8" s="1"/>
  <c r="K87" i="8" s="1"/>
  <c r="K88" i="8" s="1"/>
  <c r="K67" i="8"/>
  <c r="K68" i="8" s="1"/>
  <c r="K69" i="8" s="1"/>
  <c r="K70" i="8" s="1"/>
  <c r="K71" i="8" s="1"/>
  <c r="K72" i="8" s="1"/>
  <c r="S68" i="8" l="1"/>
  <c r="S67" i="8"/>
  <c r="S69" i="8"/>
  <c r="S76" i="8"/>
  <c r="S80" i="8"/>
  <c r="S77" i="8"/>
  <c r="S78" i="8"/>
  <c r="S70" i="8"/>
  <c r="S74" i="8"/>
  <c r="S79" i="8"/>
  <c r="S75" i="8"/>
  <c r="S71" i="8"/>
  <c r="T73" i="8"/>
  <c r="S73" i="8" s="1"/>
  <c r="T83" i="8" l="1"/>
  <c r="S83" i="8" s="1"/>
  <c r="T82" i="8"/>
  <c r="S82" i="8" s="1"/>
  <c r="T81" i="8"/>
  <c r="S81" i="8" s="1"/>
  <c r="R52" i="8" l="1"/>
  <c r="M40" i="8"/>
  <c r="K46" i="8" l="1"/>
  <c r="K47" i="8" s="1"/>
  <c r="K48" i="8" s="1"/>
  <c r="K49" i="8" s="1"/>
  <c r="K50" i="8" s="1"/>
  <c r="K51" i="8" s="1"/>
  <c r="K52" i="8" s="1"/>
  <c r="M52" i="8"/>
  <c r="T52" i="8" s="1"/>
  <c r="S52" i="8" s="1"/>
  <c r="M56" i="8"/>
  <c r="T56" i="8" s="1"/>
  <c r="S56" i="8" s="1"/>
  <c r="M55" i="8"/>
  <c r="T55" i="8" s="1"/>
  <c r="R37" i="8"/>
  <c r="R38" i="8"/>
  <c r="R39" i="8"/>
  <c r="M39" i="8"/>
  <c r="T39" i="8" s="1"/>
  <c r="M38" i="8"/>
  <c r="T38" i="8" s="1"/>
  <c r="M37" i="8"/>
  <c r="T37" i="8" s="1"/>
  <c r="S37" i="8" l="1"/>
  <c r="S55" i="8"/>
  <c r="R25" i="8"/>
  <c r="M25" i="8"/>
  <c r="T25" i="8" s="1"/>
  <c r="S25" i="8" l="1"/>
  <c r="M54" i="8" l="1"/>
  <c r="L53" i="8"/>
  <c r="M53" i="8" l="1"/>
  <c r="K53" i="8"/>
  <c r="K54" i="8" s="1"/>
  <c r="K55" i="8" s="1"/>
  <c r="K56" i="8" s="1"/>
  <c r="K57" i="8" s="1"/>
  <c r="K58" i="8" s="1"/>
  <c r="K59" i="8" s="1"/>
  <c r="K60" i="8" s="1"/>
  <c r="K61" i="8" s="1"/>
  <c r="K62" i="8" s="1"/>
  <c r="M825" i="1"/>
  <c r="M684" i="1" l="1"/>
  <c r="M685" i="1"/>
  <c r="M689" i="1"/>
  <c r="M681" i="1" l="1"/>
  <c r="M682" i="1"/>
  <c r="M683" i="1"/>
  <c r="M679" i="1"/>
  <c r="M678" i="1"/>
  <c r="M676" i="1" l="1"/>
  <c r="M675" i="1"/>
  <c r="M677" i="1"/>
  <c r="M680" i="1"/>
  <c r="T53" i="8" l="1"/>
  <c r="T54" i="8"/>
  <c r="S54" i="8" s="1"/>
  <c r="R53" i="8"/>
  <c r="S53" i="8" l="1"/>
  <c r="M19" i="8"/>
  <c r="R24" i="8"/>
  <c r="R23" i="8"/>
  <c r="M24" i="8"/>
  <c r="T24" i="8" s="1"/>
  <c r="M22" i="8"/>
  <c r="M23" i="8"/>
  <c r="T23" i="8" s="1"/>
  <c r="S24" i="8" l="1"/>
  <c r="S23" i="8"/>
  <c r="M672" i="1" l="1"/>
  <c r="M673" i="1"/>
  <c r="M668" i="1"/>
  <c r="M667" i="1"/>
  <c r="M51" i="8" l="1"/>
  <c r="M665" i="1" l="1"/>
  <c r="M666" i="1" l="1"/>
  <c r="M664" i="1" l="1"/>
  <c r="M663" i="1"/>
  <c r="M655" i="1" l="1"/>
  <c r="M662" i="1" l="1"/>
  <c r="L647" i="1" l="1"/>
  <c r="L24" i="11" l="1"/>
  <c r="M36" i="8" l="1"/>
  <c r="R50" i="8"/>
  <c r="M654" i="1"/>
  <c r="M652" i="1"/>
  <c r="M653" i="1"/>
  <c r="M649" i="1" l="1"/>
  <c r="M648" i="1"/>
  <c r="M645" i="1" l="1"/>
  <c r="M646" i="1"/>
  <c r="M650" i="1"/>
  <c r="M651" i="1"/>
  <c r="M656" i="1"/>
  <c r="M657" i="1"/>
  <c r="M658" i="1"/>
  <c r="M659" i="1"/>
  <c r="M660" i="1"/>
  <c r="M661" i="1"/>
  <c r="M669" i="1"/>
  <c r="M670" i="1"/>
  <c r="M671" i="1"/>
  <c r="L644" i="1" l="1"/>
  <c r="M644" i="1" s="1"/>
  <c r="M641" i="1"/>
  <c r="M640" i="1"/>
  <c r="L639" i="1"/>
  <c r="M637" i="1" l="1"/>
  <c r="M638" i="1" l="1"/>
  <c r="M639" i="1"/>
  <c r="M642" i="1"/>
  <c r="M643" i="1"/>
  <c r="M647" i="1"/>
  <c r="R168" i="8" l="1"/>
  <c r="M168" i="8"/>
  <c r="T168" i="8" s="1"/>
  <c r="R167" i="8"/>
  <c r="M167" i="8"/>
  <c r="T167" i="8" s="1"/>
  <c r="R166" i="8"/>
  <c r="M166" i="8"/>
  <c r="T166" i="8" s="1"/>
  <c r="R165" i="8"/>
  <c r="M165" i="8"/>
  <c r="T165" i="8" s="1"/>
  <c r="R164" i="8"/>
  <c r="M164" i="8"/>
  <c r="T164" i="8" s="1"/>
  <c r="R163" i="8"/>
  <c r="M163" i="8"/>
  <c r="T163" i="8" s="1"/>
  <c r="R162" i="8"/>
  <c r="M162" i="8"/>
  <c r="T162" i="8" s="1"/>
  <c r="R161" i="8"/>
  <c r="M161" i="8"/>
  <c r="T161" i="8" s="1"/>
  <c r="R160" i="8"/>
  <c r="M160" i="8"/>
  <c r="T160" i="8" s="1"/>
  <c r="R159" i="8"/>
  <c r="M159" i="8"/>
  <c r="T159" i="8" s="1"/>
  <c r="K159" i="8"/>
  <c r="K160" i="8" s="1"/>
  <c r="K161" i="8" s="1"/>
  <c r="K162" i="8" s="1"/>
  <c r="K163" i="8" s="1"/>
  <c r="K164" i="8" s="1"/>
  <c r="K165" i="8" s="1"/>
  <c r="K166" i="8" s="1"/>
  <c r="K167" i="8" s="1"/>
  <c r="K168" i="8" s="1"/>
  <c r="R22" i="8"/>
  <c r="R21" i="8"/>
  <c r="R20" i="8"/>
  <c r="T22" i="8"/>
  <c r="M21" i="8"/>
  <c r="T21" i="8" s="1"/>
  <c r="R19" i="8"/>
  <c r="M20" i="8"/>
  <c r="T20" i="8" s="1"/>
  <c r="T19" i="8"/>
  <c r="M35" i="8"/>
  <c r="T35" i="8" s="1"/>
  <c r="M34" i="8"/>
  <c r="R35" i="8"/>
  <c r="R36" i="8"/>
  <c r="T36" i="8"/>
  <c r="R40" i="8"/>
  <c r="T40" i="8"/>
  <c r="R41" i="8"/>
  <c r="T41" i="8"/>
  <c r="R42" i="8"/>
  <c r="T42" i="8"/>
  <c r="M33" i="8"/>
  <c r="S36" i="8" l="1"/>
  <c r="S166" i="8"/>
  <c r="S168" i="8"/>
  <c r="S22" i="8"/>
  <c r="S160" i="8"/>
  <c r="S159" i="8"/>
  <c r="S161" i="8"/>
  <c r="S162" i="8"/>
  <c r="S42" i="8"/>
  <c r="S167" i="8"/>
  <c r="S41" i="8"/>
  <c r="S163" i="8"/>
  <c r="S19" i="8"/>
  <c r="S40" i="8"/>
  <c r="S164" i="8"/>
  <c r="S165" i="8"/>
  <c r="S35" i="8"/>
  <c r="M50" i="8"/>
  <c r="T50" i="8" s="1"/>
  <c r="S50" i="8" s="1"/>
  <c r="R49" i="8"/>
  <c r="R48" i="8"/>
  <c r="R47" i="8"/>
  <c r="M49" i="8"/>
  <c r="T49" i="8" s="1"/>
  <c r="M48" i="8"/>
  <c r="T48" i="8" s="1"/>
  <c r="M47" i="8"/>
  <c r="T47" i="8" s="1"/>
  <c r="S48" i="8" l="1"/>
  <c r="S49" i="8"/>
  <c r="S47" i="8"/>
  <c r="M631" i="1"/>
  <c r="M632" i="1"/>
  <c r="M633" i="1"/>
  <c r="M634" i="1"/>
  <c r="M635" i="1"/>
  <c r="M636" i="1"/>
  <c r="M628" i="1" l="1"/>
  <c r="M629" i="1"/>
  <c r="M630" i="1"/>
  <c r="M626" i="1" l="1"/>
  <c r="M625" i="1"/>
  <c r="M624" i="1" l="1"/>
  <c r="M623" i="1"/>
  <c r="M622" i="1" l="1"/>
  <c r="M621" i="1" l="1"/>
  <c r="M618" i="1" l="1"/>
  <c r="M600" i="1" l="1"/>
  <c r="M613" i="1" l="1"/>
  <c r="M620" i="1" l="1"/>
  <c r="M606" i="1" l="1"/>
  <c r="M605" i="1"/>
  <c r="M612" i="1"/>
  <c r="M611" i="1"/>
  <c r="M610" i="1"/>
  <c r="M604" i="1" l="1"/>
  <c r="M596" i="1" l="1"/>
  <c r="M609" i="1" l="1"/>
  <c r="M608" i="1" l="1"/>
  <c r="M603" i="1"/>
  <c r="M599" i="1"/>
  <c r="M18" i="8" l="1"/>
  <c r="T18" i="8" s="1"/>
  <c r="R18" i="8"/>
  <c r="M607" i="1"/>
  <c r="M602" i="1"/>
  <c r="S18" i="8" l="1"/>
  <c r="M601" i="1"/>
  <c r="R46" i="8" l="1"/>
  <c r="M46" i="8"/>
  <c r="M597" i="1"/>
  <c r="T46" i="8" l="1"/>
  <c r="S46" i="8" s="1"/>
  <c r="L13" i="11"/>
  <c r="L25" i="11" s="1"/>
  <c r="M598" i="1"/>
  <c r="M595" i="1" l="1"/>
  <c r="M594" i="1"/>
  <c r="M592" i="1" l="1"/>
  <c r="M591" i="1" l="1"/>
  <c r="M588" i="1"/>
  <c r="M589" i="1"/>
  <c r="M587" i="1"/>
  <c r="M586" i="1"/>
  <c r="M585" i="1"/>
  <c r="M584" i="1"/>
  <c r="M590" i="1" l="1"/>
  <c r="M593" i="1"/>
  <c r="M614" i="1"/>
  <c r="M615" i="1"/>
  <c r="M616" i="1"/>
  <c r="M617" i="1"/>
  <c r="M619" i="1"/>
  <c r="M627" i="1"/>
  <c r="M827" i="1"/>
  <c r="M828" i="1"/>
  <c r="M583" i="1"/>
  <c r="M582" i="1" l="1"/>
  <c r="M577" i="1" l="1"/>
  <c r="M575" i="1"/>
  <c r="M569" i="1" l="1"/>
  <c r="M567" i="1" l="1"/>
  <c r="M561" i="1" l="1"/>
  <c r="R561" i="1" l="1"/>
  <c r="L543" i="1" l="1"/>
  <c r="S543" i="1"/>
  <c r="M566" i="1" l="1"/>
  <c r="M565" i="1"/>
  <c r="T51" i="8" l="1"/>
  <c r="R51" i="8"/>
  <c r="T43" i="8"/>
  <c r="R43" i="8"/>
  <c r="T34" i="8"/>
  <c r="R34" i="8"/>
  <c r="T33" i="8"/>
  <c r="R33" i="8"/>
  <c r="R32" i="8"/>
  <c r="T31" i="8"/>
  <c r="R31" i="8"/>
  <c r="M562" i="1"/>
  <c r="S43" i="8" l="1"/>
  <c r="S51" i="8"/>
  <c r="S31" i="8"/>
  <c r="S33" i="8"/>
  <c r="S34" i="8"/>
  <c r="K32" i="8" l="1"/>
  <c r="K33" i="8" s="1"/>
  <c r="K34" i="8" s="1"/>
  <c r="K35" i="8" s="1"/>
  <c r="K36" i="8" s="1"/>
  <c r="K37" i="8" s="1"/>
  <c r="K38" i="8" s="1"/>
  <c r="K39" i="8" s="1"/>
  <c r="K40" i="8" s="1"/>
  <c r="K41" i="8" s="1"/>
  <c r="M32" i="8"/>
  <c r="T32" i="8" s="1"/>
  <c r="S32" i="8" s="1"/>
  <c r="M537" i="1" l="1"/>
  <c r="L549" i="1" l="1"/>
  <c r="M551" i="1"/>
  <c r="M550" i="1" l="1"/>
  <c r="M549" i="1" l="1"/>
  <c r="M548" i="1"/>
  <c r="M540" i="1" l="1"/>
  <c r="L544" i="1" l="1"/>
  <c r="M542" i="1" l="1"/>
  <c r="M16" i="8" l="1"/>
  <c r="R534" i="1"/>
  <c r="S534" i="1"/>
  <c r="L536" i="1" l="1"/>
  <c r="M538" i="1" l="1"/>
  <c r="M528" i="1" l="1"/>
  <c r="M532" i="1" l="1"/>
  <c r="M527" i="1" l="1"/>
  <c r="M526" i="1"/>
  <c r="M525" i="1"/>
  <c r="M524" i="1"/>
  <c r="N7" i="11" l="1"/>
  <c r="M7" i="11"/>
  <c r="L516" i="1" l="1"/>
  <c r="L522" i="1" l="1"/>
  <c r="L521" i="1"/>
  <c r="M521" i="1" s="1"/>
  <c r="M519" i="1" l="1"/>
  <c r="M516" i="1" l="1"/>
  <c r="M511" i="1"/>
  <c r="M498" i="1" l="1"/>
  <c r="M497" i="1"/>
  <c r="M14" i="8" l="1"/>
  <c r="T14" i="8" s="1"/>
  <c r="R14" i="8"/>
  <c r="R15" i="8"/>
  <c r="T16" i="8"/>
  <c r="R16" i="8"/>
  <c r="M17" i="8"/>
  <c r="T17" i="8" s="1"/>
  <c r="R17" i="8"/>
  <c r="M508" i="1"/>
  <c r="S16" i="8" l="1"/>
  <c r="S17" i="8"/>
  <c r="S14" i="8"/>
  <c r="M505" i="1"/>
  <c r="M529" i="1" l="1"/>
  <c r="M530" i="1"/>
  <c r="M531" i="1"/>
  <c r="M533" i="1"/>
  <c r="M534" i="1"/>
  <c r="M535" i="1"/>
  <c r="M536" i="1"/>
  <c r="M539" i="1"/>
  <c r="M541" i="1"/>
  <c r="M543" i="1"/>
  <c r="M544" i="1"/>
  <c r="M545" i="1"/>
  <c r="M546" i="1"/>
  <c r="M547" i="1"/>
  <c r="M552" i="1"/>
  <c r="M553" i="1"/>
  <c r="M554" i="1"/>
  <c r="M555" i="1"/>
  <c r="M556" i="1"/>
  <c r="M557" i="1"/>
  <c r="M558" i="1"/>
  <c r="M559" i="1"/>
  <c r="M560" i="1"/>
  <c r="M563" i="1"/>
  <c r="M564" i="1"/>
  <c r="M506" i="1"/>
  <c r="M507" i="1"/>
  <c r="M509" i="1"/>
  <c r="M510" i="1"/>
  <c r="M512" i="1"/>
  <c r="M513" i="1"/>
  <c r="M514" i="1"/>
  <c r="M515" i="1"/>
  <c r="M517" i="1"/>
  <c r="M518" i="1"/>
  <c r="M520" i="1"/>
  <c r="M522" i="1"/>
  <c r="M523" i="1"/>
  <c r="M568" i="1"/>
  <c r="M570" i="1"/>
  <c r="M571" i="1"/>
  <c r="M572" i="1"/>
  <c r="M574" i="1"/>
  <c r="M576" i="1"/>
  <c r="M578" i="1"/>
  <c r="M579" i="1"/>
  <c r="M580" i="1"/>
  <c r="M581" i="1"/>
  <c r="M500" i="1" l="1"/>
  <c r="M501" i="1"/>
  <c r="M499" i="1" l="1"/>
  <c r="R10" i="10" l="1"/>
  <c r="M10" i="10"/>
  <c r="T10" i="10" s="1"/>
  <c r="R9" i="10"/>
  <c r="M9" i="10"/>
  <c r="T9" i="10" s="1"/>
  <c r="R8" i="10"/>
  <c r="M8" i="10"/>
  <c r="T8" i="10" s="1"/>
  <c r="R7" i="10"/>
  <c r="M7" i="10"/>
  <c r="T7" i="10" s="1"/>
  <c r="R6" i="10"/>
  <c r="M6" i="10"/>
  <c r="T6" i="10" s="1"/>
  <c r="R5" i="10"/>
  <c r="M5" i="10"/>
  <c r="T5" i="10" s="1"/>
  <c r="O486" i="10"/>
  <c r="O485" i="10"/>
  <c r="O484" i="10"/>
  <c r="O483" i="10"/>
  <c r="O482" i="10"/>
  <c r="O481" i="10"/>
  <c r="O480" i="10"/>
  <c r="O479" i="10"/>
  <c r="O478" i="10"/>
  <c r="O477" i="10"/>
  <c r="O476" i="10"/>
  <c r="O475" i="10"/>
  <c r="O474" i="10"/>
  <c r="O473" i="10"/>
  <c r="O472" i="10"/>
  <c r="O471" i="10"/>
  <c r="O470" i="10"/>
  <c r="O469" i="10"/>
  <c r="O468" i="10"/>
  <c r="O467" i="10"/>
  <c r="O466" i="10"/>
  <c r="O465" i="10"/>
  <c r="O464" i="10"/>
  <c r="O463" i="10"/>
  <c r="O462" i="10"/>
  <c r="O461" i="10"/>
  <c r="O460" i="10"/>
  <c r="O459" i="10"/>
  <c r="O458" i="10"/>
  <c r="O457" i="10"/>
  <c r="O456" i="10"/>
  <c r="O455" i="10"/>
  <c r="O454" i="10"/>
  <c r="O453" i="10"/>
  <c r="O452" i="10"/>
  <c r="O451" i="10"/>
  <c r="O450" i="10"/>
  <c r="O449" i="10"/>
  <c r="O448" i="10"/>
  <c r="O447" i="10"/>
  <c r="O446" i="10"/>
  <c r="O445" i="10"/>
  <c r="O444" i="10"/>
  <c r="O443" i="10"/>
  <c r="O442" i="10"/>
  <c r="O441" i="10"/>
  <c r="O440" i="10"/>
  <c r="O439" i="10"/>
  <c r="O438" i="10"/>
  <c r="O437" i="10"/>
  <c r="O436" i="10"/>
  <c r="O435" i="10"/>
  <c r="O434" i="10"/>
  <c r="O433" i="10"/>
  <c r="O432" i="10"/>
  <c r="O431" i="10"/>
  <c r="O430" i="10"/>
  <c r="O429" i="10"/>
  <c r="O428" i="10"/>
  <c r="O427" i="10"/>
  <c r="O426" i="10"/>
  <c r="O425" i="10"/>
  <c r="O424" i="10"/>
  <c r="O423" i="10"/>
  <c r="O422" i="10"/>
  <c r="O421" i="10"/>
  <c r="O420" i="10"/>
  <c r="O419" i="10"/>
  <c r="O418" i="10"/>
  <c r="O417" i="10"/>
  <c r="O416" i="10"/>
  <c r="O415" i="10"/>
  <c r="O414" i="10"/>
  <c r="O413" i="10"/>
  <c r="O412" i="10"/>
  <c r="O411" i="10"/>
  <c r="O410" i="10"/>
  <c r="O409" i="10"/>
  <c r="O408" i="10"/>
  <c r="O407" i="10"/>
  <c r="O406" i="10"/>
  <c r="O405" i="10"/>
  <c r="O404" i="10"/>
  <c r="O403" i="10"/>
  <c r="O402" i="10"/>
  <c r="O401" i="10"/>
  <c r="O400" i="10"/>
  <c r="O399" i="10"/>
  <c r="O398" i="10"/>
  <c r="O397" i="10"/>
  <c r="O396" i="10"/>
  <c r="O395" i="10"/>
  <c r="O394" i="10"/>
  <c r="O393" i="10"/>
  <c r="O392" i="10"/>
  <c r="O391" i="10"/>
  <c r="O390" i="10"/>
  <c r="O389" i="10"/>
  <c r="O388" i="10"/>
  <c r="O387" i="10"/>
  <c r="O386" i="10"/>
  <c r="O385" i="10"/>
  <c r="O384" i="10"/>
  <c r="O383" i="10"/>
  <c r="O382" i="10"/>
  <c r="O381" i="10"/>
  <c r="O380" i="10"/>
  <c r="O379" i="10"/>
  <c r="O378" i="10"/>
  <c r="O377" i="10"/>
  <c r="O376" i="10"/>
  <c r="O375" i="10"/>
  <c r="O374" i="10"/>
  <c r="O373" i="10"/>
  <c r="O372" i="10"/>
  <c r="O371" i="10"/>
  <c r="O370" i="10"/>
  <c r="O369" i="10"/>
  <c r="O368" i="10"/>
  <c r="O367" i="10"/>
  <c r="O366" i="10"/>
  <c r="O365" i="10"/>
  <c r="O364" i="10"/>
  <c r="O363" i="10"/>
  <c r="O362" i="10"/>
  <c r="O361" i="10"/>
  <c r="O360" i="10"/>
  <c r="O359" i="10"/>
  <c r="O358" i="10"/>
  <c r="O357" i="10"/>
  <c r="O356" i="10"/>
  <c r="O355" i="10"/>
  <c r="O354" i="10"/>
  <c r="O353" i="10"/>
  <c r="O352" i="10"/>
  <c r="O351" i="10"/>
  <c r="O350" i="10"/>
  <c r="O349" i="10"/>
  <c r="O348" i="10"/>
  <c r="O347" i="10"/>
  <c r="O346" i="10"/>
  <c r="O345" i="10"/>
  <c r="O344" i="10"/>
  <c r="O343" i="10"/>
  <c r="O342" i="10"/>
  <c r="O341" i="10"/>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S6" i="10" l="1"/>
  <c r="S5" i="10"/>
  <c r="S7" i="10"/>
  <c r="S8" i="10"/>
  <c r="S9" i="10"/>
  <c r="S10" i="10"/>
  <c r="M496" i="1"/>
  <c r="M494" i="1" l="1"/>
  <c r="L492" i="1" l="1"/>
  <c r="L491" i="1"/>
  <c r="M10" i="8" l="1"/>
  <c r="T10" i="8" s="1"/>
  <c r="R85" i="8"/>
  <c r="T72" i="8"/>
  <c r="S72" i="8" s="1"/>
  <c r="T85" i="8"/>
  <c r="L66" i="8"/>
  <c r="M66" i="8" s="1"/>
  <c r="L65" i="8"/>
  <c r="S85" i="8" l="1"/>
  <c r="M490" i="1"/>
  <c r="M489" i="1"/>
  <c r="M488" i="1" l="1"/>
  <c r="M486" i="1" l="1"/>
  <c r="M12" i="8" l="1"/>
  <c r="R156" i="8"/>
  <c r="M156" i="8"/>
  <c r="T156" i="8" s="1"/>
  <c r="R155" i="8"/>
  <c r="M155" i="8"/>
  <c r="T155" i="8" s="1"/>
  <c r="R154" i="8"/>
  <c r="M154" i="8"/>
  <c r="T154" i="8" s="1"/>
  <c r="R153" i="8"/>
  <c r="M153" i="8"/>
  <c r="T153" i="8" s="1"/>
  <c r="R152" i="8"/>
  <c r="M152" i="8"/>
  <c r="T152" i="8" s="1"/>
  <c r="R151" i="8"/>
  <c r="M151" i="8"/>
  <c r="T151" i="8" s="1"/>
  <c r="R150" i="8"/>
  <c r="M150" i="8"/>
  <c r="T150" i="8" s="1"/>
  <c r="R149" i="8"/>
  <c r="M149" i="8"/>
  <c r="T149" i="8" s="1"/>
  <c r="R148" i="8"/>
  <c r="M148" i="8"/>
  <c r="T148" i="8" s="1"/>
  <c r="R147" i="8"/>
  <c r="M147" i="8"/>
  <c r="T147" i="8" s="1"/>
  <c r="R146" i="8"/>
  <c r="M146" i="8"/>
  <c r="T146" i="8" s="1"/>
  <c r="R145" i="8"/>
  <c r="M145" i="8"/>
  <c r="T145" i="8" s="1"/>
  <c r="R144" i="8"/>
  <c r="M144" i="8"/>
  <c r="T144" i="8" s="1"/>
  <c r="R143" i="8"/>
  <c r="M143" i="8"/>
  <c r="T143" i="8" s="1"/>
  <c r="R142" i="8"/>
  <c r="M142" i="8"/>
  <c r="T142" i="8" s="1"/>
  <c r="R141" i="8"/>
  <c r="M141" i="8"/>
  <c r="T141" i="8" s="1"/>
  <c r="R140" i="8"/>
  <c r="M140" i="8"/>
  <c r="T140" i="8" s="1"/>
  <c r="R139" i="8"/>
  <c r="M139" i="8"/>
  <c r="T139" i="8" s="1"/>
  <c r="R138" i="8"/>
  <c r="M138" i="8"/>
  <c r="T138" i="8" s="1"/>
  <c r="R137" i="8"/>
  <c r="M137" i="8"/>
  <c r="T137" i="8" s="1"/>
  <c r="R136" i="8"/>
  <c r="M136" i="8"/>
  <c r="T136" i="8" s="1"/>
  <c r="R135" i="8"/>
  <c r="M135" i="8"/>
  <c r="T135" i="8" s="1"/>
  <c r="R134" i="8"/>
  <c r="M134" i="8"/>
  <c r="T134" i="8" s="1"/>
  <c r="K134" i="8"/>
  <c r="K135" i="8" s="1"/>
  <c r="K136" i="8" s="1"/>
  <c r="K137" i="8" s="1"/>
  <c r="K138" i="8" s="1"/>
  <c r="K139" i="8" s="1"/>
  <c r="K140" i="8" s="1"/>
  <c r="K141" i="8" s="1"/>
  <c r="K142" i="8" s="1"/>
  <c r="K143" i="8" s="1"/>
  <c r="K144" i="8" s="1"/>
  <c r="K145" i="8" s="1"/>
  <c r="K146" i="8" s="1"/>
  <c r="K147" i="8" s="1"/>
  <c r="K148" i="8" s="1"/>
  <c r="K149" i="8" s="1"/>
  <c r="K150" i="8" s="1"/>
  <c r="K151" i="8" s="1"/>
  <c r="K152" i="8" s="1"/>
  <c r="K153" i="8" s="1"/>
  <c r="K154" i="8" s="1"/>
  <c r="K155" i="8" s="1"/>
  <c r="K156" i="8" s="1"/>
  <c r="K157" i="8" s="1"/>
  <c r="J134" i="8"/>
  <c r="M477" i="1"/>
  <c r="S146" i="8" l="1"/>
  <c r="S148" i="8"/>
  <c r="S150" i="8"/>
  <c r="S156" i="8"/>
  <c r="S135" i="8"/>
  <c r="S137" i="8"/>
  <c r="S138" i="8"/>
  <c r="S149" i="8"/>
  <c r="S155" i="8"/>
  <c r="S134" i="8"/>
  <c r="S144" i="8"/>
  <c r="S145" i="8"/>
  <c r="S136" i="8"/>
  <c r="S141" i="8"/>
  <c r="S143" i="8"/>
  <c r="S139" i="8"/>
  <c r="S140" i="8"/>
  <c r="S142" i="8"/>
  <c r="S147" i="8"/>
  <c r="L272" i="1"/>
  <c r="M468" i="1" l="1"/>
  <c r="M476" i="1" l="1"/>
  <c r="R409" i="1" l="1"/>
  <c r="M471" i="1" l="1"/>
  <c r="R456" i="1" l="1"/>
  <c r="S456" i="1"/>
  <c r="M465" i="1" l="1"/>
  <c r="L455" i="1" l="1"/>
  <c r="H19" i="9" l="1"/>
  <c r="M467" i="1" l="1"/>
  <c r="R9" i="8" l="1"/>
  <c r="R8" i="8"/>
  <c r="M8" i="8"/>
  <c r="T8" i="8" s="1"/>
  <c r="S8" i="8" l="1"/>
  <c r="M463" i="1" l="1"/>
  <c r="M460" i="1" l="1"/>
  <c r="M464" i="1"/>
  <c r="M466" i="1"/>
  <c r="M469" i="1"/>
  <c r="M470" i="1"/>
  <c r="M472" i="1"/>
  <c r="M473" i="1"/>
  <c r="M474" i="1"/>
  <c r="M475" i="1"/>
  <c r="M478" i="1"/>
  <c r="M479" i="1"/>
  <c r="M480" i="1"/>
  <c r="M481" i="1"/>
  <c r="M482" i="1"/>
  <c r="M483" i="1"/>
  <c r="M484" i="1"/>
  <c r="M485" i="1"/>
  <c r="M487" i="1"/>
  <c r="M491" i="1"/>
  <c r="M492" i="1"/>
  <c r="M493" i="1"/>
  <c r="M495" i="1"/>
  <c r="M502" i="1"/>
  <c r="M503" i="1"/>
  <c r="M504" i="1"/>
  <c r="M829" i="1"/>
  <c r="M830" i="1"/>
  <c r="M831" i="1"/>
  <c r="M832" i="1"/>
  <c r="M833" i="1"/>
  <c r="M456" i="1" l="1"/>
  <c r="M455" i="1" l="1"/>
  <c r="M454" i="1"/>
  <c r="L450" i="1" l="1"/>
  <c r="M458" i="1" l="1"/>
  <c r="M457" i="1" l="1"/>
  <c r="M453" i="1"/>
  <c r="M451" i="1" l="1"/>
  <c r="L432" i="1" l="1"/>
  <c r="M450" i="1" l="1"/>
  <c r="M449" i="1"/>
  <c r="M447" i="1"/>
  <c r="M444" i="1" l="1"/>
  <c r="M443" i="1" l="1"/>
  <c r="M441" i="1"/>
  <c r="M442" i="1"/>
  <c r="M440" i="1"/>
  <c r="M439" i="1"/>
  <c r="M438" i="1"/>
  <c r="M437" i="1" l="1"/>
  <c r="M434" i="1" l="1"/>
  <c r="M428" i="1" l="1"/>
  <c r="M423" i="1" l="1"/>
  <c r="M422" i="1"/>
  <c r="M420" i="1"/>
  <c r="M421" i="1"/>
  <c r="M419" i="1" l="1"/>
  <c r="M418" i="1"/>
  <c r="M417" i="1" l="1"/>
  <c r="R130" i="8" l="1"/>
  <c r="R129" i="8"/>
  <c r="M130" i="8"/>
  <c r="T130" i="8" s="1"/>
  <c r="M129" i="8"/>
  <c r="T129" i="8" s="1"/>
  <c r="K129" i="8"/>
  <c r="K130" i="8" s="1"/>
  <c r="K131" i="8" s="1"/>
  <c r="K132" i="8" s="1"/>
  <c r="K6" i="8"/>
  <c r="K7" i="8" s="1"/>
  <c r="K8" i="8" s="1"/>
  <c r="K9" i="8" s="1"/>
  <c r="K10" i="8" s="1"/>
  <c r="K11" i="8" s="1"/>
  <c r="M6" i="8"/>
  <c r="T6" i="8" s="1"/>
  <c r="K12" i="8" l="1"/>
  <c r="K13" i="8" s="1"/>
  <c r="K14" i="8" s="1"/>
  <c r="K15" i="8" s="1"/>
  <c r="K16" i="8" s="1"/>
  <c r="K17" i="8" s="1"/>
  <c r="K18" i="8" s="1"/>
  <c r="K19" i="8" s="1"/>
  <c r="K20" i="8" s="1"/>
  <c r="K21" i="8" s="1"/>
  <c r="K22" i="8" s="1"/>
  <c r="K23" i="8" s="1"/>
  <c r="K24" i="8" s="1"/>
  <c r="K25" i="8" s="1"/>
  <c r="K26" i="8" s="1"/>
  <c r="S130" i="8"/>
  <c r="S129" i="8"/>
  <c r="M414" i="1" l="1"/>
  <c r="M413" i="1"/>
  <c r="M412" i="1"/>
  <c r="S402" i="1" l="1"/>
  <c r="M402" i="1" s="1"/>
  <c r="T402" i="1" l="1"/>
  <c r="M408" i="1"/>
  <c r="M407" i="1"/>
  <c r="M406" i="1"/>
  <c r="M401" i="1" l="1"/>
  <c r="M400" i="1" l="1"/>
  <c r="M399" i="1" l="1"/>
  <c r="M397" i="1" l="1"/>
  <c r="M396" i="1"/>
  <c r="M398" i="1"/>
  <c r="M392" i="1" l="1"/>
  <c r="M389" i="1" l="1"/>
  <c r="M391" i="1"/>
  <c r="L387" i="1"/>
  <c r="M390" i="1"/>
  <c r="M384" i="1" l="1"/>
  <c r="M238" i="1" l="1"/>
  <c r="S360" i="1" l="1"/>
  <c r="R360" i="1"/>
  <c r="S357" i="1"/>
  <c r="T357" i="1" s="1"/>
  <c r="T360" i="1" l="1"/>
  <c r="M382" i="1"/>
  <c r="M381" i="1"/>
  <c r="R7" i="4" l="1"/>
  <c r="S7" i="4" s="1"/>
  <c r="M8" i="4"/>
  <c r="R8" i="4"/>
  <c r="S8" i="4" s="1"/>
  <c r="M9" i="4"/>
  <c r="T9" i="4" s="1"/>
  <c r="R9" i="4"/>
  <c r="M10" i="4"/>
  <c r="T10" i="4" s="1"/>
  <c r="R10" i="4"/>
  <c r="M25" i="4"/>
  <c r="T25" i="4" s="1"/>
  <c r="M29" i="4"/>
  <c r="T29" i="4" s="1"/>
  <c r="R29" i="4"/>
  <c r="M30" i="4"/>
  <c r="T30" i="4" s="1"/>
  <c r="R30" i="4"/>
  <c r="R31" i="4"/>
  <c r="R32" i="4"/>
  <c r="T33" i="4"/>
  <c r="R33" i="4"/>
  <c r="T35" i="4"/>
  <c r="T42" i="4"/>
  <c r="M43" i="4"/>
  <c r="T43" i="4" s="1"/>
  <c r="R43" i="4"/>
  <c r="M44" i="4"/>
  <c r="T44" i="4" s="1"/>
  <c r="R44" i="4"/>
  <c r="M45" i="4"/>
  <c r="T45" i="4" s="1"/>
  <c r="R45" i="4"/>
  <c r="M46" i="4"/>
  <c r="T46" i="4" s="1"/>
  <c r="R46" i="4"/>
  <c r="M47" i="4"/>
  <c r="T47" i="4" s="1"/>
  <c r="R47" i="4"/>
  <c r="M48" i="4"/>
  <c r="T48" i="4" s="1"/>
  <c r="R48" i="4"/>
  <c r="T50" i="4"/>
  <c r="R50" i="4"/>
  <c r="T51" i="4"/>
  <c r="R51" i="4"/>
  <c r="M52" i="4"/>
  <c r="T52" i="4" s="1"/>
  <c r="R52" i="4"/>
  <c r="M53" i="4"/>
  <c r="T53" i="4" s="1"/>
  <c r="R53" i="4"/>
  <c r="M54" i="4"/>
  <c r="T54" i="4" s="1"/>
  <c r="R54" i="4"/>
  <c r="M55" i="4"/>
  <c r="T55" i="4" s="1"/>
  <c r="S55" i="4" s="1"/>
  <c r="M56" i="4"/>
  <c r="T56" i="4" s="1"/>
  <c r="M57" i="4"/>
  <c r="T57" i="4" s="1"/>
  <c r="M58" i="4"/>
  <c r="T58" i="4" s="1"/>
  <c r="M59" i="4"/>
  <c r="T59" i="4" s="1"/>
  <c r="M78" i="4"/>
  <c r="T78" i="4" s="1"/>
  <c r="R78" i="4"/>
  <c r="M79" i="4"/>
  <c r="T79" i="4" s="1"/>
  <c r="S79" i="4" s="1"/>
  <c r="M84" i="4"/>
  <c r="T84" i="4" s="1"/>
  <c r="R84" i="4"/>
  <c r="R85" i="4"/>
  <c r="M87" i="4"/>
  <c r="T87" i="4" s="1"/>
  <c r="R87" i="4"/>
  <c r="M88" i="4"/>
  <c r="T88" i="4" s="1"/>
  <c r="R88" i="4"/>
  <c r="M90" i="4"/>
  <c r="T90" i="4" s="1"/>
  <c r="R90" i="4"/>
  <c r="M91" i="4"/>
  <c r="T91" i="4" s="1"/>
  <c r="R91" i="4"/>
  <c r="M92" i="4"/>
  <c r="T92" i="4" s="1"/>
  <c r="R92" i="4"/>
  <c r="M93" i="4"/>
  <c r="T93" i="4" s="1"/>
  <c r="R93" i="4"/>
  <c r="M95" i="4"/>
  <c r="T95" i="4" s="1"/>
  <c r="R95" i="4"/>
  <c r="M96" i="4"/>
  <c r="T96" i="4" s="1"/>
  <c r="R96" i="4"/>
  <c r="M97" i="4"/>
  <c r="M98" i="4"/>
  <c r="M99" i="4"/>
  <c r="M100" i="4"/>
  <c r="M101" i="4"/>
  <c r="M102" i="4"/>
  <c r="M103" i="4"/>
  <c r="M104" i="4"/>
  <c r="M105" i="4"/>
  <c r="M106" i="4"/>
  <c r="M107" i="4"/>
  <c r="T107" i="4" s="1"/>
  <c r="R107" i="4"/>
  <c r="M108" i="4"/>
  <c r="T108" i="4" s="1"/>
  <c r="R108" i="4"/>
  <c r="M109" i="4"/>
  <c r="T109" i="4" s="1"/>
  <c r="R109" i="4"/>
  <c r="M110" i="4"/>
  <c r="T110" i="4" s="1"/>
  <c r="R110" i="4"/>
  <c r="M111" i="4"/>
  <c r="T111" i="4" s="1"/>
  <c r="R111" i="4"/>
  <c r="M143" i="4"/>
  <c r="T143" i="4" s="1"/>
  <c r="R143" i="4"/>
  <c r="M144" i="4"/>
  <c r="T144" i="4" s="1"/>
  <c r="R144" i="4"/>
  <c r="M145" i="4"/>
  <c r="T145" i="4" s="1"/>
  <c r="R145" i="4"/>
  <c r="M146" i="4"/>
  <c r="T146" i="4" s="1"/>
  <c r="R146" i="4"/>
  <c r="M147" i="4"/>
  <c r="T147" i="4" s="1"/>
  <c r="R147" i="4"/>
  <c r="M148" i="4"/>
  <c r="T148" i="4" s="1"/>
  <c r="R148" i="4"/>
  <c r="M149" i="4"/>
  <c r="T149" i="4" s="1"/>
  <c r="R149" i="4"/>
  <c r="M150" i="4"/>
  <c r="T150" i="4" s="1"/>
  <c r="R150" i="4"/>
  <c r="M151" i="4"/>
  <c r="T151" i="4" s="1"/>
  <c r="R151" i="4"/>
  <c r="M152" i="4"/>
  <c r="T152" i="4" s="1"/>
  <c r="R152" i="4"/>
  <c r="M153" i="4"/>
  <c r="T153" i="4" s="1"/>
  <c r="R153" i="4"/>
  <c r="M154" i="4"/>
  <c r="T154" i="4" s="1"/>
  <c r="R154" i="4"/>
  <c r="M155" i="4"/>
  <c r="T155" i="4" s="1"/>
  <c r="R155" i="4"/>
  <c r="M156" i="4"/>
  <c r="T156" i="4" s="1"/>
  <c r="R156" i="4"/>
  <c r="M157" i="4"/>
  <c r="T157" i="4" s="1"/>
  <c r="R157" i="4"/>
  <c r="M158" i="4"/>
  <c r="T158" i="4" s="1"/>
  <c r="R158" i="4"/>
  <c r="M159" i="4"/>
  <c r="T159" i="4" s="1"/>
  <c r="R159" i="4"/>
  <c r="M160" i="4"/>
  <c r="T160" i="4" s="1"/>
  <c r="R160" i="4"/>
  <c r="M161" i="4"/>
  <c r="T161" i="4" s="1"/>
  <c r="R161" i="4"/>
  <c r="M162" i="4"/>
  <c r="T162" i="4" s="1"/>
  <c r="R162" i="4"/>
  <c r="M163" i="4"/>
  <c r="T163" i="4" s="1"/>
  <c r="R163" i="4"/>
  <c r="M164" i="4"/>
  <c r="T164" i="4" s="1"/>
  <c r="R164" i="4"/>
  <c r="M165" i="4"/>
  <c r="T165" i="4" s="1"/>
  <c r="R165" i="4"/>
  <c r="M166" i="4"/>
  <c r="T166" i="4" s="1"/>
  <c r="R166" i="4"/>
  <c r="M167" i="4"/>
  <c r="T167" i="4" s="1"/>
  <c r="R167" i="4"/>
  <c r="M168" i="4"/>
  <c r="T168" i="4" s="1"/>
  <c r="R168" i="4"/>
  <c r="M169" i="4"/>
  <c r="T169" i="4" s="1"/>
  <c r="R169" i="4"/>
  <c r="M170" i="4"/>
  <c r="T170" i="4" s="1"/>
  <c r="R170" i="4"/>
  <c r="M171" i="4"/>
  <c r="T171" i="4" s="1"/>
  <c r="R171" i="4"/>
  <c r="M172" i="4"/>
  <c r="T172" i="4" s="1"/>
  <c r="R172" i="4"/>
  <c r="M173" i="4"/>
  <c r="T173" i="4" s="1"/>
  <c r="R173" i="4"/>
  <c r="M174" i="4"/>
  <c r="T174" i="4" s="1"/>
  <c r="R174" i="4"/>
  <c r="M175" i="4"/>
  <c r="T175" i="4" s="1"/>
  <c r="R175" i="4"/>
  <c r="M176" i="4"/>
  <c r="T176" i="4" s="1"/>
  <c r="R176" i="4"/>
  <c r="M177" i="4"/>
  <c r="T177" i="4" s="1"/>
  <c r="R177" i="4"/>
  <c r="M178" i="4"/>
  <c r="T178" i="4" s="1"/>
  <c r="R178" i="4"/>
  <c r="M179" i="4"/>
  <c r="T179" i="4" s="1"/>
  <c r="R179" i="4"/>
  <c r="M180" i="4"/>
  <c r="T180" i="4" s="1"/>
  <c r="R180" i="4"/>
  <c r="M181" i="4"/>
  <c r="T181" i="4" s="1"/>
  <c r="R181" i="4"/>
  <c r="M182" i="4"/>
  <c r="T182" i="4" s="1"/>
  <c r="R182" i="4"/>
  <c r="M183" i="4"/>
  <c r="T183" i="4" s="1"/>
  <c r="R183" i="4"/>
  <c r="M184" i="4"/>
  <c r="T184" i="4" s="1"/>
  <c r="R184" i="4"/>
  <c r="M185" i="4"/>
  <c r="T185" i="4" s="1"/>
  <c r="R185" i="4"/>
  <c r="M186" i="4"/>
  <c r="T186" i="4" s="1"/>
  <c r="R186" i="4"/>
  <c r="M187" i="4"/>
  <c r="T187" i="4" s="1"/>
  <c r="R187" i="4"/>
  <c r="M188" i="4"/>
  <c r="T188" i="4" s="1"/>
  <c r="R188" i="4"/>
  <c r="M189" i="4"/>
  <c r="T189" i="4" s="1"/>
  <c r="R189" i="4"/>
  <c r="M190" i="4"/>
  <c r="T190" i="4" s="1"/>
  <c r="R190" i="4"/>
  <c r="M191" i="4"/>
  <c r="T191" i="4" s="1"/>
  <c r="R191" i="4"/>
  <c r="M192" i="4"/>
  <c r="T192" i="4" s="1"/>
  <c r="R192" i="4"/>
  <c r="M193" i="4"/>
  <c r="T193" i="4" s="1"/>
  <c r="R193" i="4"/>
  <c r="M194" i="4"/>
  <c r="T194" i="4" s="1"/>
  <c r="R194" i="4"/>
  <c r="M195" i="4"/>
  <c r="T195" i="4" s="1"/>
  <c r="R195" i="4"/>
  <c r="M196" i="4"/>
  <c r="T196" i="4" s="1"/>
  <c r="R196" i="4"/>
  <c r="M197" i="4"/>
  <c r="T197" i="4" s="1"/>
  <c r="R197" i="4"/>
  <c r="M198" i="4"/>
  <c r="T198" i="4" s="1"/>
  <c r="R198" i="4"/>
  <c r="M199" i="4"/>
  <c r="T199" i="4" s="1"/>
  <c r="R199" i="4"/>
  <c r="M200" i="4"/>
  <c r="T200" i="4" s="1"/>
  <c r="R200" i="4"/>
  <c r="M201" i="4"/>
  <c r="T201" i="4" s="1"/>
  <c r="R201" i="4"/>
  <c r="M202" i="4"/>
  <c r="T202" i="4" s="1"/>
  <c r="R202" i="4"/>
  <c r="M203" i="4"/>
  <c r="T203" i="4" s="1"/>
  <c r="R203" i="4"/>
  <c r="M204" i="4"/>
  <c r="T204" i="4" s="1"/>
  <c r="R204" i="4"/>
  <c r="M205" i="4"/>
  <c r="T205" i="4" s="1"/>
  <c r="R205" i="4"/>
  <c r="M206" i="4"/>
  <c r="T206" i="4" s="1"/>
  <c r="R206" i="4"/>
  <c r="M207" i="4"/>
  <c r="T207" i="4" s="1"/>
  <c r="R207" i="4"/>
  <c r="M208" i="4"/>
  <c r="T208" i="4" s="1"/>
  <c r="R208" i="4"/>
  <c r="M209" i="4"/>
  <c r="T209" i="4" s="1"/>
  <c r="R209" i="4"/>
  <c r="M210" i="4"/>
  <c r="T210" i="4" s="1"/>
  <c r="R210" i="4"/>
  <c r="M211" i="4"/>
  <c r="T211" i="4" s="1"/>
  <c r="R211" i="4"/>
  <c r="M212" i="4"/>
  <c r="T212" i="4" s="1"/>
  <c r="R212" i="4"/>
  <c r="M213" i="4"/>
  <c r="T213" i="4" s="1"/>
  <c r="R213" i="4"/>
  <c r="M214" i="4"/>
  <c r="T214" i="4" s="1"/>
  <c r="R214" i="4"/>
  <c r="M215" i="4"/>
  <c r="T215" i="4" s="1"/>
  <c r="R215" i="4"/>
  <c r="M216" i="4"/>
  <c r="T216" i="4" s="1"/>
  <c r="R216" i="4"/>
  <c r="M217" i="4"/>
  <c r="T217" i="4" s="1"/>
  <c r="R217" i="4"/>
  <c r="M218" i="4"/>
  <c r="T218" i="4" s="1"/>
  <c r="R218" i="4"/>
  <c r="M219" i="4"/>
  <c r="T219" i="4" s="1"/>
  <c r="R219" i="4"/>
  <c r="M220" i="4"/>
  <c r="T220" i="4" s="1"/>
  <c r="R220" i="4"/>
  <c r="M221" i="4"/>
  <c r="T221" i="4" s="1"/>
  <c r="R221" i="4"/>
  <c r="M222" i="4"/>
  <c r="T222" i="4" s="1"/>
  <c r="R222" i="4"/>
  <c r="M223" i="4"/>
  <c r="T223" i="4" s="1"/>
  <c r="R223" i="4"/>
  <c r="M224" i="4"/>
  <c r="T224" i="4" s="1"/>
  <c r="R224" i="4"/>
  <c r="M225" i="4"/>
  <c r="T225" i="4" s="1"/>
  <c r="R225" i="4"/>
  <c r="M226" i="4"/>
  <c r="T226" i="4" s="1"/>
  <c r="R226" i="4"/>
  <c r="M227" i="4"/>
  <c r="T227" i="4" s="1"/>
  <c r="R227" i="4"/>
  <c r="M228" i="4"/>
  <c r="T228" i="4" s="1"/>
  <c r="R228" i="4"/>
  <c r="M229" i="4"/>
  <c r="T229" i="4" s="1"/>
  <c r="R229" i="4"/>
  <c r="M230" i="4"/>
  <c r="T230" i="4" s="1"/>
  <c r="R230" i="4"/>
  <c r="M231" i="4"/>
  <c r="T231" i="4" s="1"/>
  <c r="R231" i="4"/>
  <c r="M232" i="4"/>
  <c r="T232" i="4" s="1"/>
  <c r="R232" i="4"/>
  <c r="M233" i="4"/>
  <c r="T233" i="4" s="1"/>
  <c r="R233" i="4"/>
  <c r="M234" i="4"/>
  <c r="T234" i="4" s="1"/>
  <c r="R234" i="4"/>
  <c r="M235" i="4"/>
  <c r="T235" i="4" s="1"/>
  <c r="R235" i="4"/>
  <c r="M236" i="4"/>
  <c r="T236" i="4" s="1"/>
  <c r="R236" i="4"/>
  <c r="M237" i="4"/>
  <c r="T237" i="4" s="1"/>
  <c r="R237" i="4"/>
  <c r="M238" i="4"/>
  <c r="T238" i="4" s="1"/>
  <c r="R238" i="4"/>
  <c r="M239" i="4"/>
  <c r="T239" i="4" s="1"/>
  <c r="R239" i="4"/>
  <c r="M240" i="4"/>
  <c r="T240" i="4" s="1"/>
  <c r="R240" i="4"/>
  <c r="M241" i="4"/>
  <c r="T241" i="4" s="1"/>
  <c r="R241" i="4"/>
  <c r="M242" i="4"/>
  <c r="T242" i="4" s="1"/>
  <c r="R242" i="4"/>
  <c r="M243" i="4"/>
  <c r="T243" i="4" s="1"/>
  <c r="R243" i="4"/>
  <c r="M244" i="4"/>
  <c r="T244" i="4" s="1"/>
  <c r="R244" i="4"/>
  <c r="M245" i="4"/>
  <c r="T245" i="4" s="1"/>
  <c r="R245" i="4"/>
  <c r="M246" i="4"/>
  <c r="T246" i="4" s="1"/>
  <c r="R246" i="4"/>
  <c r="M247" i="4"/>
  <c r="T247" i="4" s="1"/>
  <c r="R247" i="4"/>
  <c r="M248" i="4"/>
  <c r="T248" i="4" s="1"/>
  <c r="R248" i="4"/>
  <c r="M249" i="4"/>
  <c r="T249" i="4" s="1"/>
  <c r="R249" i="4"/>
  <c r="M250" i="4"/>
  <c r="T250" i="4" s="1"/>
  <c r="R250" i="4"/>
  <c r="M251" i="4"/>
  <c r="T251" i="4" s="1"/>
  <c r="R251" i="4"/>
  <c r="M252" i="4"/>
  <c r="T252" i="4" s="1"/>
  <c r="R252" i="4"/>
  <c r="M253" i="4"/>
  <c r="T253" i="4" s="1"/>
  <c r="R253" i="4"/>
  <c r="M254" i="4"/>
  <c r="T254" i="4" s="1"/>
  <c r="R254" i="4"/>
  <c r="M255" i="4"/>
  <c r="T255" i="4" s="1"/>
  <c r="R255" i="4"/>
  <c r="M256" i="4"/>
  <c r="T256" i="4" s="1"/>
  <c r="R256" i="4"/>
  <c r="M257" i="4"/>
  <c r="T257" i="4" s="1"/>
  <c r="R257" i="4"/>
  <c r="M258" i="4"/>
  <c r="T258" i="4" s="1"/>
  <c r="R258" i="4"/>
  <c r="M259" i="4"/>
  <c r="T259" i="4" s="1"/>
  <c r="R259" i="4"/>
  <c r="M260" i="4"/>
  <c r="T260" i="4" s="1"/>
  <c r="R260" i="4"/>
  <c r="M261" i="4"/>
  <c r="T261" i="4" s="1"/>
  <c r="R261" i="4"/>
  <c r="M262" i="4"/>
  <c r="T262" i="4" s="1"/>
  <c r="R262" i="4"/>
  <c r="M263" i="4"/>
  <c r="T263" i="4" s="1"/>
  <c r="R263" i="4"/>
  <c r="M264" i="4"/>
  <c r="T264" i="4" s="1"/>
  <c r="R264" i="4"/>
  <c r="M265" i="4"/>
  <c r="T265" i="4" s="1"/>
  <c r="R265" i="4"/>
  <c r="M266" i="4"/>
  <c r="T266" i="4" s="1"/>
  <c r="R266" i="4"/>
  <c r="M267" i="4"/>
  <c r="T267" i="4" s="1"/>
  <c r="R267" i="4"/>
  <c r="M268" i="4"/>
  <c r="T268" i="4" s="1"/>
  <c r="R268" i="4"/>
  <c r="M269" i="4"/>
  <c r="T269" i="4" s="1"/>
  <c r="R269" i="4"/>
  <c r="M270" i="4"/>
  <c r="T270" i="4" s="1"/>
  <c r="R270" i="4"/>
  <c r="M271" i="4"/>
  <c r="T271" i="4" s="1"/>
  <c r="R271" i="4"/>
  <c r="M272" i="4"/>
  <c r="T272" i="4" s="1"/>
  <c r="R272" i="4"/>
  <c r="M273" i="4"/>
  <c r="T273" i="4" s="1"/>
  <c r="R273" i="4"/>
  <c r="M274" i="4"/>
  <c r="T274" i="4" s="1"/>
  <c r="R274" i="4"/>
  <c r="M275" i="4"/>
  <c r="T275" i="4" s="1"/>
  <c r="R275" i="4"/>
  <c r="M276" i="4"/>
  <c r="T276" i="4" s="1"/>
  <c r="R276" i="4"/>
  <c r="M277" i="4"/>
  <c r="T277" i="4" s="1"/>
  <c r="R277" i="4"/>
  <c r="M278" i="4"/>
  <c r="T278" i="4" s="1"/>
  <c r="R278" i="4"/>
  <c r="M279" i="4"/>
  <c r="T279" i="4" s="1"/>
  <c r="R279" i="4"/>
  <c r="M280" i="4"/>
  <c r="T280" i="4" s="1"/>
  <c r="R280" i="4"/>
  <c r="M281" i="4"/>
  <c r="T281" i="4" s="1"/>
  <c r="R281" i="4"/>
  <c r="M282" i="4"/>
  <c r="T282" i="4" s="1"/>
  <c r="R282" i="4"/>
  <c r="M283" i="4"/>
  <c r="T283" i="4" s="1"/>
  <c r="R283" i="4"/>
  <c r="M284" i="4"/>
  <c r="T284" i="4" s="1"/>
  <c r="R284" i="4"/>
  <c r="M285" i="4"/>
  <c r="T285" i="4" s="1"/>
  <c r="R285" i="4"/>
  <c r="M286" i="4"/>
  <c r="T286" i="4" s="1"/>
  <c r="R286" i="4"/>
  <c r="M287" i="4"/>
  <c r="T287" i="4" s="1"/>
  <c r="R287" i="4"/>
  <c r="M288" i="4"/>
  <c r="T288" i="4" s="1"/>
  <c r="R288" i="4"/>
  <c r="M289" i="4"/>
  <c r="T289" i="4" s="1"/>
  <c r="R289" i="4"/>
  <c r="M290" i="4"/>
  <c r="T290" i="4" s="1"/>
  <c r="R290" i="4"/>
  <c r="M291" i="4"/>
  <c r="T291" i="4" s="1"/>
  <c r="R291" i="4"/>
  <c r="M292" i="4"/>
  <c r="T292" i="4" s="1"/>
  <c r="R292" i="4"/>
  <c r="M293" i="4"/>
  <c r="T293" i="4" s="1"/>
  <c r="R293" i="4"/>
  <c r="M294" i="4"/>
  <c r="T294" i="4" s="1"/>
  <c r="R294" i="4"/>
  <c r="M295" i="4"/>
  <c r="T295" i="4" s="1"/>
  <c r="R295" i="4"/>
  <c r="M296" i="4"/>
  <c r="T296" i="4" s="1"/>
  <c r="R296" i="4"/>
  <c r="M297" i="4"/>
  <c r="T297" i="4" s="1"/>
  <c r="R297" i="4"/>
  <c r="M298" i="4"/>
  <c r="T298" i="4" s="1"/>
  <c r="R298" i="4"/>
  <c r="M299" i="4"/>
  <c r="T299" i="4" s="1"/>
  <c r="R299" i="4"/>
  <c r="M300" i="4"/>
  <c r="T300" i="4" s="1"/>
  <c r="R300" i="4"/>
  <c r="M301" i="4"/>
  <c r="T301" i="4" s="1"/>
  <c r="R301" i="4"/>
  <c r="M302" i="4"/>
  <c r="T302" i="4" s="1"/>
  <c r="R302" i="4"/>
  <c r="M303" i="4"/>
  <c r="T303" i="4" s="1"/>
  <c r="R303" i="4"/>
  <c r="M304" i="4"/>
  <c r="T304" i="4" s="1"/>
  <c r="R304" i="4"/>
  <c r="M305" i="4"/>
  <c r="T305" i="4" s="1"/>
  <c r="R305" i="4"/>
  <c r="M306" i="4"/>
  <c r="T306" i="4" s="1"/>
  <c r="R306" i="4"/>
  <c r="M307" i="4"/>
  <c r="T307" i="4" s="1"/>
  <c r="R307" i="4"/>
  <c r="M308" i="4"/>
  <c r="T308" i="4" s="1"/>
  <c r="R308" i="4"/>
  <c r="M309" i="4"/>
  <c r="T309" i="4" s="1"/>
  <c r="R309" i="4"/>
  <c r="M310" i="4"/>
  <c r="T310" i="4" s="1"/>
  <c r="R310" i="4"/>
  <c r="M311" i="4"/>
  <c r="T311" i="4" s="1"/>
  <c r="R311" i="4"/>
  <c r="M312" i="4"/>
  <c r="T312" i="4" s="1"/>
  <c r="R312" i="4"/>
  <c r="M313" i="4"/>
  <c r="T313" i="4" s="1"/>
  <c r="R313" i="4"/>
  <c r="M314" i="4"/>
  <c r="T314" i="4" s="1"/>
  <c r="R314" i="4"/>
  <c r="M315" i="4"/>
  <c r="T315" i="4" s="1"/>
  <c r="R315" i="4"/>
  <c r="M316" i="4"/>
  <c r="T316" i="4" s="1"/>
  <c r="R316" i="4"/>
  <c r="M317" i="4"/>
  <c r="T317" i="4" s="1"/>
  <c r="R317" i="4"/>
  <c r="M318" i="4"/>
  <c r="T318" i="4" s="1"/>
  <c r="R318" i="4"/>
  <c r="M319" i="4"/>
  <c r="T319" i="4" s="1"/>
  <c r="R319" i="4"/>
  <c r="M320" i="4"/>
  <c r="T320" i="4" s="1"/>
  <c r="R320" i="4"/>
  <c r="M321" i="4"/>
  <c r="T321" i="4" s="1"/>
  <c r="R321" i="4"/>
  <c r="M322" i="4"/>
  <c r="T322" i="4" s="1"/>
  <c r="R322" i="4"/>
  <c r="M323" i="4"/>
  <c r="T323" i="4" s="1"/>
  <c r="R323" i="4"/>
  <c r="M324" i="4"/>
  <c r="T324" i="4" s="1"/>
  <c r="R324" i="4"/>
  <c r="M325" i="4"/>
  <c r="T325" i="4" s="1"/>
  <c r="R325" i="4"/>
  <c r="M326" i="4"/>
  <c r="T326" i="4" s="1"/>
  <c r="R326" i="4"/>
  <c r="M327" i="4"/>
  <c r="T327" i="4" s="1"/>
  <c r="R327" i="4"/>
  <c r="M328" i="4"/>
  <c r="T328" i="4" s="1"/>
  <c r="R328" i="4"/>
  <c r="M329" i="4"/>
  <c r="T329" i="4" s="1"/>
  <c r="R329" i="4"/>
  <c r="M330" i="4"/>
  <c r="T330" i="4" s="1"/>
  <c r="R330" i="4"/>
  <c r="M331" i="4"/>
  <c r="T331" i="4" s="1"/>
  <c r="R331" i="4"/>
  <c r="M332" i="4"/>
  <c r="T332" i="4" s="1"/>
  <c r="R332" i="4"/>
  <c r="M333" i="4"/>
  <c r="T333" i="4" s="1"/>
  <c r="R333" i="4"/>
  <c r="M334" i="4"/>
  <c r="T334" i="4" s="1"/>
  <c r="R334" i="4"/>
  <c r="M335" i="4"/>
  <c r="T335" i="4" s="1"/>
  <c r="R335" i="4"/>
  <c r="M336" i="4"/>
  <c r="T336" i="4" s="1"/>
  <c r="R336" i="4"/>
  <c r="M337" i="4"/>
  <c r="T337" i="4" s="1"/>
  <c r="R337" i="4"/>
  <c r="M338" i="4"/>
  <c r="T338" i="4" s="1"/>
  <c r="R338" i="4"/>
  <c r="M339" i="4"/>
  <c r="T339" i="4" s="1"/>
  <c r="R339" i="4"/>
  <c r="M340" i="4"/>
  <c r="T340" i="4" s="1"/>
  <c r="R340" i="4"/>
  <c r="M341" i="4"/>
  <c r="T341" i="4" s="1"/>
  <c r="R341" i="4"/>
  <c r="M342" i="4"/>
  <c r="T342" i="4" s="1"/>
  <c r="R342" i="4"/>
  <c r="M343" i="4"/>
  <c r="T343" i="4" s="1"/>
  <c r="R343" i="4"/>
  <c r="M344" i="4"/>
  <c r="T344" i="4" s="1"/>
  <c r="R344" i="4"/>
  <c r="M345" i="4"/>
  <c r="T345" i="4" s="1"/>
  <c r="R345" i="4"/>
  <c r="M346" i="4"/>
  <c r="T346" i="4" s="1"/>
  <c r="R346" i="4"/>
  <c r="M347" i="4"/>
  <c r="T347" i="4" s="1"/>
  <c r="R347" i="4"/>
  <c r="M348" i="4"/>
  <c r="T348" i="4" s="1"/>
  <c r="R348" i="4"/>
  <c r="M349" i="4"/>
  <c r="T349" i="4" s="1"/>
  <c r="R349" i="4"/>
  <c r="M350" i="4"/>
  <c r="T350" i="4" s="1"/>
  <c r="R350" i="4"/>
  <c r="M351" i="4"/>
  <c r="T351" i="4" s="1"/>
  <c r="R351" i="4"/>
  <c r="M352" i="4"/>
  <c r="T352" i="4" s="1"/>
  <c r="R352" i="4"/>
  <c r="M353" i="4"/>
  <c r="T353" i="4" s="1"/>
  <c r="R353" i="4"/>
  <c r="M354" i="4"/>
  <c r="T354" i="4" s="1"/>
  <c r="R354" i="4"/>
  <c r="M355" i="4"/>
  <c r="T355" i="4" s="1"/>
  <c r="R355" i="4"/>
  <c r="M356" i="4"/>
  <c r="T356" i="4" s="1"/>
  <c r="R356" i="4"/>
  <c r="M357" i="4"/>
  <c r="T357" i="4" s="1"/>
  <c r="R357" i="4"/>
  <c r="M358" i="4"/>
  <c r="T358" i="4" s="1"/>
  <c r="R358" i="4"/>
  <c r="M359" i="4"/>
  <c r="T359" i="4" s="1"/>
  <c r="R359" i="4"/>
  <c r="M360" i="4"/>
  <c r="T360" i="4" s="1"/>
  <c r="R360" i="4"/>
  <c r="M361" i="4"/>
  <c r="T361" i="4" s="1"/>
  <c r="R361" i="4"/>
  <c r="M362" i="4"/>
  <c r="T362" i="4" s="1"/>
  <c r="R362" i="4"/>
  <c r="M363" i="4"/>
  <c r="T363" i="4" s="1"/>
  <c r="R363" i="4"/>
  <c r="M364" i="4"/>
  <c r="T364" i="4" s="1"/>
  <c r="R364" i="4"/>
  <c r="M365" i="4"/>
  <c r="T365" i="4" s="1"/>
  <c r="R365" i="4"/>
  <c r="M366" i="4"/>
  <c r="T366" i="4" s="1"/>
  <c r="R366" i="4"/>
  <c r="M367" i="4"/>
  <c r="T367" i="4" s="1"/>
  <c r="R367" i="4"/>
  <c r="M368" i="4"/>
  <c r="T368" i="4" s="1"/>
  <c r="R368" i="4"/>
  <c r="M369" i="4"/>
  <c r="T369" i="4" s="1"/>
  <c r="R369" i="4"/>
  <c r="M370" i="4"/>
  <c r="T370" i="4" s="1"/>
  <c r="R370" i="4"/>
  <c r="M371" i="4"/>
  <c r="T371" i="4" s="1"/>
  <c r="R371" i="4"/>
  <c r="M372" i="4"/>
  <c r="T372" i="4" s="1"/>
  <c r="R372" i="4"/>
  <c r="M373" i="4"/>
  <c r="T373" i="4" s="1"/>
  <c r="R373" i="4"/>
  <c r="M374" i="4"/>
  <c r="T374" i="4" s="1"/>
  <c r="R374" i="4"/>
  <c r="M375" i="4"/>
  <c r="T375" i="4" s="1"/>
  <c r="R375" i="4"/>
  <c r="M376" i="4"/>
  <c r="T376" i="4" s="1"/>
  <c r="R376" i="4"/>
  <c r="M377" i="4"/>
  <c r="T377" i="4" s="1"/>
  <c r="R377" i="4"/>
  <c r="M378" i="4"/>
  <c r="T378" i="4" s="1"/>
  <c r="R378" i="4"/>
  <c r="M379" i="4"/>
  <c r="T379" i="4" s="1"/>
  <c r="R379" i="4"/>
  <c r="M380" i="4"/>
  <c r="T380" i="4" s="1"/>
  <c r="R380" i="4"/>
  <c r="M381" i="4"/>
  <c r="T381" i="4" s="1"/>
  <c r="R381" i="4"/>
  <c r="M382" i="4"/>
  <c r="T382" i="4" s="1"/>
  <c r="R382" i="4"/>
  <c r="M383" i="4"/>
  <c r="T383" i="4" s="1"/>
  <c r="R383" i="4"/>
  <c r="M384" i="4"/>
  <c r="T384" i="4" s="1"/>
  <c r="R384" i="4"/>
  <c r="M385" i="4"/>
  <c r="T385" i="4" s="1"/>
  <c r="R385" i="4"/>
  <c r="M386" i="4"/>
  <c r="T386" i="4" s="1"/>
  <c r="R386" i="4"/>
  <c r="M387" i="4"/>
  <c r="T387" i="4" s="1"/>
  <c r="R387" i="4"/>
  <c r="M388" i="4"/>
  <c r="T388" i="4" s="1"/>
  <c r="R388" i="4"/>
  <c r="M389" i="4"/>
  <c r="T389" i="4" s="1"/>
  <c r="R389" i="4"/>
  <c r="M390" i="4"/>
  <c r="T390" i="4" s="1"/>
  <c r="R390" i="4"/>
  <c r="M391" i="4"/>
  <c r="T391" i="4" s="1"/>
  <c r="R391" i="4"/>
  <c r="M392" i="4"/>
  <c r="T392" i="4" s="1"/>
  <c r="R392" i="4"/>
  <c r="M393" i="4"/>
  <c r="T393" i="4" s="1"/>
  <c r="R393" i="4"/>
  <c r="M394" i="4"/>
  <c r="T394" i="4" s="1"/>
  <c r="R394" i="4"/>
  <c r="M395" i="4"/>
  <c r="T395" i="4" s="1"/>
  <c r="R395" i="4"/>
  <c r="M396" i="4"/>
  <c r="T396" i="4" s="1"/>
  <c r="R396" i="4"/>
  <c r="M397" i="4"/>
  <c r="T397" i="4" s="1"/>
  <c r="R397" i="4"/>
  <c r="M398" i="4"/>
  <c r="T398" i="4" s="1"/>
  <c r="R398" i="4"/>
  <c r="M399" i="4"/>
  <c r="T399" i="4" s="1"/>
  <c r="R399" i="4"/>
  <c r="M400" i="4"/>
  <c r="T400" i="4" s="1"/>
  <c r="R400" i="4"/>
  <c r="M401" i="4"/>
  <c r="T401" i="4" s="1"/>
  <c r="R401" i="4"/>
  <c r="M402" i="4"/>
  <c r="T402" i="4" s="1"/>
  <c r="R402" i="4"/>
  <c r="M403" i="4"/>
  <c r="T403" i="4" s="1"/>
  <c r="R403" i="4"/>
  <c r="M404" i="4"/>
  <c r="T404" i="4" s="1"/>
  <c r="R404" i="4"/>
  <c r="M405" i="4"/>
  <c r="T405" i="4" s="1"/>
  <c r="R405" i="4"/>
  <c r="M406" i="4"/>
  <c r="T406" i="4" s="1"/>
  <c r="R406" i="4"/>
  <c r="M407" i="4"/>
  <c r="T407" i="4" s="1"/>
  <c r="R407" i="4"/>
  <c r="M408" i="4"/>
  <c r="T408" i="4" s="1"/>
  <c r="R408" i="4"/>
  <c r="M409" i="4"/>
  <c r="T409" i="4" s="1"/>
  <c r="R409" i="4"/>
  <c r="T94" i="4" l="1"/>
  <c r="L94" i="4" s="1"/>
  <c r="W94" i="4" s="1"/>
  <c r="T77" i="4"/>
  <c r="L77" i="4" s="1"/>
  <c r="W77" i="4" s="1"/>
  <c r="T49" i="4"/>
  <c r="L49" i="4" s="1"/>
  <c r="W49" i="4" s="1"/>
  <c r="S10" i="4"/>
  <c r="S242" i="4"/>
  <c r="S240" i="4"/>
  <c r="S236" i="4"/>
  <c r="S230" i="4"/>
  <c r="S222" i="4"/>
  <c r="S188" i="4"/>
  <c r="S407" i="4"/>
  <c r="S401" i="4"/>
  <c r="S180" i="4"/>
  <c r="S315" i="4"/>
  <c r="S295" i="4"/>
  <c r="S293" i="4"/>
  <c r="S285" i="4"/>
  <c r="S277" i="4"/>
  <c r="S263" i="4"/>
  <c r="S255" i="4"/>
  <c r="S191" i="4"/>
  <c r="S189" i="4"/>
  <c r="S398" i="4"/>
  <c r="S394" i="4"/>
  <c r="S390" i="4"/>
  <c r="S182" i="4"/>
  <c r="S166" i="4"/>
  <c r="S58" i="4"/>
  <c r="S345" i="4"/>
  <c r="S386" i="4"/>
  <c r="S382" i="4"/>
  <c r="S377" i="4"/>
  <c r="S354" i="4"/>
  <c r="S201" i="4"/>
  <c r="S370" i="4"/>
  <c r="S346" i="4"/>
  <c r="S337" i="4"/>
  <c r="S329" i="4"/>
  <c r="S324" i="4"/>
  <c r="S220" i="4"/>
  <c r="S216" i="4"/>
  <c r="S200" i="4"/>
  <c r="S194" i="4"/>
  <c r="S148" i="4"/>
  <c r="S144" i="4"/>
  <c r="S30" i="4"/>
  <c r="S385" i="4"/>
  <c r="S374" i="4"/>
  <c r="S355" i="4"/>
  <c r="S171" i="4"/>
  <c r="S169" i="4"/>
  <c r="S108" i="4"/>
  <c r="S52" i="4"/>
  <c r="S50" i="4"/>
  <c r="S48" i="4"/>
  <c r="S42" i="4"/>
  <c r="S369" i="4"/>
  <c r="S350" i="4"/>
  <c r="S327" i="4"/>
  <c r="S316" i="4"/>
  <c r="S251" i="4"/>
  <c r="S214" i="4"/>
  <c r="S204" i="4"/>
  <c r="S196" i="4"/>
  <c r="S192" i="4"/>
  <c r="S162" i="4"/>
  <c r="S158" i="4"/>
  <c r="S150" i="4"/>
  <c r="S146" i="4"/>
  <c r="S93" i="4"/>
  <c r="S402" i="4"/>
  <c r="S393" i="4"/>
  <c r="S389" i="4"/>
  <c r="S258" i="4"/>
  <c r="S366" i="4"/>
  <c r="S362" i="4"/>
  <c r="S338" i="4"/>
  <c r="S334" i="4"/>
  <c r="S297" i="4"/>
  <c r="S221" i="4"/>
  <c r="S211" i="4"/>
  <c r="S205" i="4"/>
  <c r="S186" i="4"/>
  <c r="S387" i="4"/>
  <c r="S384" i="4"/>
  <c r="S375" i="4"/>
  <c r="S365" i="4"/>
  <c r="S356" i="4"/>
  <c r="S212" i="4"/>
  <c r="S143" i="4"/>
  <c r="S406" i="4"/>
  <c r="S404" i="4"/>
  <c r="S378" i="4"/>
  <c r="S373" i="4"/>
  <c r="S359" i="4"/>
  <c r="S343" i="4"/>
  <c r="S340" i="4"/>
  <c r="S313" i="4"/>
  <c r="S309" i="4"/>
  <c r="S229" i="4"/>
  <c r="S403" i="4"/>
  <c r="S400" i="4"/>
  <c r="S391" i="4"/>
  <c r="S372" i="4"/>
  <c r="S358" i="4"/>
  <c r="S353" i="4"/>
  <c r="S339" i="4"/>
  <c r="S330" i="4"/>
  <c r="S326" i="4"/>
  <c r="S306" i="4"/>
  <c r="S302" i="4"/>
  <c r="S261" i="4"/>
  <c r="S252" i="4"/>
  <c r="S228" i="4"/>
  <c r="S172" i="4"/>
  <c r="S165" i="4"/>
  <c r="S161" i="4"/>
  <c r="S159" i="4"/>
  <c r="S157" i="4"/>
  <c r="S155" i="4"/>
  <c r="S111" i="4"/>
  <c r="S149" i="4"/>
  <c r="S409" i="4"/>
  <c r="S361" i="4"/>
  <c r="S368" i="4"/>
  <c r="S231" i="4"/>
  <c r="S107" i="4"/>
  <c r="S381" i="4"/>
  <c r="S342" i="4"/>
  <c r="S336" i="4"/>
  <c r="S179" i="4"/>
  <c r="S175" i="4"/>
  <c r="S110" i="4"/>
  <c r="S235" i="4"/>
  <c r="S371" i="4"/>
  <c r="S288" i="4"/>
  <c r="S349" i="4"/>
  <c r="S323" i="4"/>
  <c r="S264" i="4"/>
  <c r="S239" i="4"/>
  <c r="S153" i="4"/>
  <c r="S333" i="4"/>
  <c r="S397" i="4"/>
  <c r="S352" i="4"/>
  <c r="S206" i="4"/>
  <c r="S203" i="4"/>
  <c r="S388" i="4"/>
  <c r="S243" i="4"/>
  <c r="S51" i="4"/>
  <c r="S307" i="4"/>
  <c r="S253" i="4"/>
  <c r="S217" i="4"/>
  <c r="S164" i="4"/>
  <c r="S160" i="4"/>
  <c r="S156" i="4"/>
  <c r="S311" i="4"/>
  <c r="S405" i="4"/>
  <c r="S399" i="4"/>
  <c r="S396" i="4"/>
  <c r="S383" i="4"/>
  <c r="S380" i="4"/>
  <c r="S367" i="4"/>
  <c r="S364" i="4"/>
  <c r="S357" i="4"/>
  <c r="S351" i="4"/>
  <c r="S348" i="4"/>
  <c r="S341" i="4"/>
  <c r="S335" i="4"/>
  <c r="S332" i="4"/>
  <c r="S325" i="4"/>
  <c r="S322" i="4"/>
  <c r="S318" i="4"/>
  <c r="S291" i="4"/>
  <c r="S287" i="4"/>
  <c r="S283" i="4"/>
  <c r="S279" i="4"/>
  <c r="S275" i="4"/>
  <c r="S271" i="4"/>
  <c r="S256" i="4"/>
  <c r="S238" i="4"/>
  <c r="S223" i="4"/>
  <c r="S202" i="4"/>
  <c r="S198" i="4"/>
  <c r="S187" i="4"/>
  <c r="S184" i="4"/>
  <c r="S181" i="4"/>
  <c r="S178" i="4"/>
  <c r="S109" i="4"/>
  <c r="S92" i="4"/>
  <c r="S44" i="4"/>
  <c r="S25" i="4"/>
  <c r="S408" i="4"/>
  <c r="S395" i="4"/>
  <c r="S392" i="4"/>
  <c r="S379" i="4"/>
  <c r="S376" i="4"/>
  <c r="S363" i="4"/>
  <c r="S360" i="4"/>
  <c r="S347" i="4"/>
  <c r="S344" i="4"/>
  <c r="S331" i="4"/>
  <c r="S328" i="4"/>
  <c r="S294" i="4"/>
  <c r="S290" i="4"/>
  <c r="S270" i="4"/>
  <c r="S241" i="4"/>
  <c r="S237" i="4"/>
  <c r="S233" i="4"/>
  <c r="S197" i="4"/>
  <c r="S173" i="4"/>
  <c r="S151" i="4"/>
  <c r="S95" i="4"/>
  <c r="S84" i="4"/>
  <c r="S57" i="4"/>
  <c r="S53" i="4"/>
  <c r="S47" i="4"/>
  <c r="S289" i="4"/>
  <c r="S265" i="4"/>
  <c r="S262" i="4"/>
  <c r="S244" i="4"/>
  <c r="S207" i="4"/>
  <c r="S87" i="4"/>
  <c r="S78" i="4"/>
  <c r="S321" i="4"/>
  <c r="S319" i="4"/>
  <c r="S317" i="4"/>
  <c r="S314" i="4"/>
  <c r="S310" i="4"/>
  <c r="S308" i="4"/>
  <c r="S305" i="4"/>
  <c r="S303" i="4"/>
  <c r="S301" i="4"/>
  <c r="S299" i="4"/>
  <c r="S286" i="4"/>
  <c r="S269" i="4"/>
  <c r="S267" i="4"/>
  <c r="S259" i="4"/>
  <c r="S254" i="4"/>
  <c r="S250" i="4"/>
  <c r="S248" i="4"/>
  <c r="S246" i="4"/>
  <c r="S245" i="4"/>
  <c r="S226" i="4"/>
  <c r="S224" i="4"/>
  <c r="S215" i="4"/>
  <c r="S210" i="4"/>
  <c r="S208" i="4"/>
  <c r="S199" i="4"/>
  <c r="S195" i="4"/>
  <c r="S190" i="4"/>
  <c r="S176" i="4"/>
  <c r="S174" i="4"/>
  <c r="S170" i="4"/>
  <c r="S168" i="4"/>
  <c r="S163" i="4"/>
  <c r="S154" i="4"/>
  <c r="S147" i="4"/>
  <c r="S96" i="4"/>
  <c r="S90" i="4"/>
  <c r="S45" i="4"/>
  <c r="S43" i="4"/>
  <c r="S281" i="4"/>
  <c r="S278" i="4"/>
  <c r="S274" i="4"/>
  <c r="S272" i="4"/>
  <c r="S257" i="4"/>
  <c r="S234" i="4"/>
  <c r="S232" i="4"/>
  <c r="S227" i="4"/>
  <c r="S218" i="4"/>
  <c r="S213" i="4"/>
  <c r="S193" i="4"/>
  <c r="S185" i="4"/>
  <c r="S152" i="4"/>
  <c r="S88" i="4"/>
  <c r="S56" i="4"/>
  <c r="S54" i="4"/>
  <c r="S9" i="4"/>
  <c r="S273" i="4"/>
  <c r="S249" i="4"/>
  <c r="S219" i="4"/>
  <c r="S167" i="4"/>
  <c r="S59" i="4"/>
  <c r="S35" i="4"/>
  <c r="S33" i="4"/>
  <c r="S29" i="4"/>
  <c r="S292" i="4"/>
  <c r="S276" i="4"/>
  <c r="S209" i="4"/>
  <c r="S320" i="4"/>
  <c r="S312" i="4"/>
  <c r="S304" i="4"/>
  <c r="S298" i="4"/>
  <c r="S282" i="4"/>
  <c r="S266" i="4"/>
  <c r="S260" i="4"/>
  <c r="S225" i="4"/>
  <c r="S183" i="4"/>
  <c r="S300" i="4"/>
  <c r="S284" i="4"/>
  <c r="S268" i="4"/>
  <c r="S145" i="4"/>
  <c r="S296" i="4"/>
  <c r="S280" i="4"/>
  <c r="S247" i="4"/>
  <c r="S177" i="4"/>
  <c r="S91" i="4"/>
  <c r="S46" i="4"/>
  <c r="M376" i="1"/>
  <c r="M374" i="1"/>
  <c r="M365" i="1"/>
  <c r="M370" i="1"/>
  <c r="M364" i="1"/>
  <c r="M368" i="1" l="1"/>
  <c r="M367" i="1"/>
  <c r="M366" i="1"/>
  <c r="M363" i="1" l="1"/>
  <c r="M362" i="1"/>
  <c r="M359" i="1" l="1"/>
  <c r="L331" i="1" l="1"/>
  <c r="M298" i="1" l="1"/>
  <c r="M351" i="1" l="1"/>
  <c r="M350" i="1"/>
  <c r="M346" i="1" l="1"/>
  <c r="M342" i="1" l="1"/>
  <c r="M126" i="8" l="1"/>
  <c r="T126" i="8" s="1"/>
  <c r="M127" i="8"/>
  <c r="T127" i="8" s="1"/>
  <c r="R126" i="8"/>
  <c r="R127" i="8"/>
  <c r="R125" i="8"/>
  <c r="S126" i="8" l="1"/>
  <c r="S127" i="8"/>
  <c r="M341" i="1" l="1"/>
  <c r="M340" i="1"/>
  <c r="M337" i="1" l="1"/>
  <c r="M336" i="1"/>
  <c r="M335" i="1" l="1"/>
  <c r="T300" i="1" l="1"/>
  <c r="S837" i="1" l="1"/>
  <c r="M332" i="1" l="1"/>
  <c r="M331" i="1" l="1"/>
  <c r="L285" i="1" l="1"/>
  <c r="M330" i="1" l="1"/>
  <c r="M328" i="1"/>
  <c r="M327" i="1"/>
  <c r="M329" i="1"/>
  <c r="M326" i="1"/>
  <c r="M323" i="1"/>
  <c r="M324" i="1"/>
  <c r="M321" i="1" l="1"/>
  <c r="M320" i="1"/>
  <c r="M317" i="1" l="1"/>
  <c r="M316" i="1"/>
  <c r="M313" i="1"/>
  <c r="M310" i="1"/>
  <c r="M308" i="1"/>
  <c r="M304" i="1" l="1"/>
  <c r="I837" i="1" l="1"/>
  <c r="M303" i="1" l="1"/>
  <c r="M301" i="1" l="1"/>
  <c r="M300" i="1"/>
  <c r="H6" i="9" l="1"/>
  <c r="H10" i="9" l="1"/>
  <c r="H9" i="9"/>
  <c r="H8" i="9"/>
  <c r="H5" i="9"/>
  <c r="H4" i="9"/>
  <c r="H11" i="9" l="1"/>
  <c r="H7" i="9"/>
  <c r="H9" i="6"/>
  <c r="H8" i="6"/>
  <c r="H14" i="9" l="1"/>
  <c r="M297" i="1"/>
  <c r="M296" i="1"/>
  <c r="M295" i="1"/>
  <c r="M293" i="1"/>
  <c r="T273" i="1" l="1"/>
  <c r="M292" i="1" l="1"/>
  <c r="M289" i="1"/>
  <c r="M290" i="1"/>
  <c r="M285" i="1" l="1"/>
  <c r="M284" i="1"/>
  <c r="M283" i="1"/>
  <c r="M282" i="1"/>
  <c r="S268" i="1" l="1"/>
  <c r="R268" i="1"/>
  <c r="T268" i="1" l="1"/>
  <c r="M278" i="1" l="1"/>
  <c r="M276" i="1" l="1"/>
  <c r="M275" i="1" l="1"/>
  <c r="M274" i="1"/>
  <c r="M272" i="1" l="1"/>
  <c r="M271" i="1"/>
  <c r="M251" i="1" l="1"/>
  <c r="M255" i="1" l="1"/>
  <c r="M267" i="1" l="1"/>
  <c r="M125" i="8" l="1"/>
  <c r="T125" i="8" s="1"/>
  <c r="S125" i="8" s="1"/>
  <c r="M124" i="8"/>
  <c r="T124" i="8" s="1"/>
  <c r="R124" i="8"/>
  <c r="S124" i="8" l="1"/>
  <c r="R254" i="1"/>
  <c r="T254" i="1" s="1"/>
  <c r="M264" i="1" l="1"/>
  <c r="M260" i="1"/>
  <c r="M259" i="1"/>
  <c r="M263" i="1"/>
  <c r="M257" i="1" l="1"/>
  <c r="M164" i="1" l="1"/>
  <c r="M214" i="1" l="1"/>
  <c r="M256" i="1" l="1"/>
  <c r="R243" i="1" l="1"/>
  <c r="T243" i="1" s="1"/>
  <c r="T252" i="1"/>
  <c r="R250" i="1" l="1"/>
  <c r="T248" i="1"/>
  <c r="M253" i="1" l="1"/>
  <c r="T250" i="1" l="1"/>
  <c r="M250" i="1"/>
  <c r="M247" i="1"/>
  <c r="M245" i="1"/>
  <c r="M244" i="1"/>
  <c r="K120" i="8" l="1"/>
  <c r="K121" i="8" s="1"/>
  <c r="K122" i="8" s="1"/>
  <c r="K123" i="8" s="1"/>
  <c r="K124" i="8" s="1"/>
  <c r="K125" i="8" s="1"/>
  <c r="K126" i="8" s="1"/>
  <c r="K127" i="8" s="1"/>
  <c r="M541" i="8" l="1"/>
  <c r="M120" i="8"/>
  <c r="M121" i="8"/>
  <c r="M122" i="8"/>
  <c r="M123" i="8"/>
  <c r="M131" i="8"/>
  <c r="M132" i="8"/>
  <c r="T132" i="8" s="1"/>
  <c r="M5" i="8"/>
  <c r="M7" i="8"/>
  <c r="M9" i="8"/>
  <c r="M11" i="8"/>
  <c r="M13" i="8"/>
  <c r="M65"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28" i="8"/>
  <c r="M133" i="8"/>
  <c r="M157" i="8"/>
  <c r="M15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R541" i="8" l="1"/>
  <c r="T541" i="8"/>
  <c r="R540" i="8"/>
  <c r="T540" i="8"/>
  <c r="R539" i="8"/>
  <c r="T539" i="8"/>
  <c r="R538" i="8"/>
  <c r="T538" i="8"/>
  <c r="R537" i="8"/>
  <c r="T537" i="8"/>
  <c r="R536" i="8"/>
  <c r="T536" i="8"/>
  <c r="R535" i="8"/>
  <c r="T535" i="8"/>
  <c r="R534" i="8"/>
  <c r="T534" i="8"/>
  <c r="R533" i="8"/>
  <c r="T533" i="8"/>
  <c r="R532" i="8"/>
  <c r="T532" i="8"/>
  <c r="R531" i="8"/>
  <c r="T531" i="8"/>
  <c r="R530" i="8"/>
  <c r="T530" i="8"/>
  <c r="R529" i="8"/>
  <c r="T529" i="8"/>
  <c r="R528" i="8"/>
  <c r="T528" i="8"/>
  <c r="R527" i="8"/>
  <c r="T527" i="8"/>
  <c r="R526" i="8"/>
  <c r="T526" i="8"/>
  <c r="R525" i="8"/>
  <c r="T525" i="8"/>
  <c r="R524" i="8"/>
  <c r="T524" i="8"/>
  <c r="R523" i="8"/>
  <c r="T523" i="8"/>
  <c r="R522" i="8"/>
  <c r="T522" i="8"/>
  <c r="R521" i="8"/>
  <c r="T521" i="8"/>
  <c r="R520" i="8"/>
  <c r="T520" i="8"/>
  <c r="R519" i="8"/>
  <c r="T519" i="8"/>
  <c r="R518" i="8"/>
  <c r="T518" i="8"/>
  <c r="R517" i="8"/>
  <c r="T517" i="8"/>
  <c r="R516" i="8"/>
  <c r="T516" i="8"/>
  <c r="R515" i="8"/>
  <c r="T515" i="8"/>
  <c r="R514" i="8"/>
  <c r="T514" i="8"/>
  <c r="R513" i="8"/>
  <c r="T513" i="8"/>
  <c r="R512" i="8"/>
  <c r="T512" i="8"/>
  <c r="R511" i="8"/>
  <c r="T511" i="8"/>
  <c r="R510" i="8"/>
  <c r="T510" i="8"/>
  <c r="R509" i="8"/>
  <c r="T509" i="8"/>
  <c r="R508" i="8"/>
  <c r="T508" i="8"/>
  <c r="R507" i="8"/>
  <c r="T507" i="8"/>
  <c r="R506" i="8"/>
  <c r="T506" i="8"/>
  <c r="R505" i="8"/>
  <c r="T505" i="8"/>
  <c r="R504" i="8"/>
  <c r="T504" i="8"/>
  <c r="R503" i="8"/>
  <c r="T503" i="8"/>
  <c r="R502" i="8"/>
  <c r="T502" i="8"/>
  <c r="R501" i="8"/>
  <c r="T501" i="8"/>
  <c r="R500" i="8"/>
  <c r="T500" i="8"/>
  <c r="R499" i="8"/>
  <c r="T499" i="8"/>
  <c r="R498" i="8"/>
  <c r="T498" i="8"/>
  <c r="R497" i="8"/>
  <c r="T497" i="8"/>
  <c r="R496" i="8"/>
  <c r="T496" i="8"/>
  <c r="R495" i="8"/>
  <c r="T495" i="8"/>
  <c r="R494" i="8"/>
  <c r="T494" i="8"/>
  <c r="R493" i="8"/>
  <c r="T493" i="8"/>
  <c r="R492" i="8"/>
  <c r="T492" i="8"/>
  <c r="R491" i="8"/>
  <c r="T491" i="8"/>
  <c r="R490" i="8"/>
  <c r="T490" i="8"/>
  <c r="R489" i="8"/>
  <c r="T489" i="8"/>
  <c r="R488" i="8"/>
  <c r="T488" i="8"/>
  <c r="R487" i="8"/>
  <c r="T487" i="8"/>
  <c r="R486" i="8"/>
  <c r="T486" i="8"/>
  <c r="R485" i="8"/>
  <c r="T485" i="8"/>
  <c r="R484" i="8"/>
  <c r="T484" i="8"/>
  <c r="R483" i="8"/>
  <c r="T483" i="8"/>
  <c r="R482" i="8"/>
  <c r="T482" i="8"/>
  <c r="R481" i="8"/>
  <c r="T481" i="8"/>
  <c r="R480" i="8"/>
  <c r="T480" i="8"/>
  <c r="R479" i="8"/>
  <c r="T479" i="8"/>
  <c r="R478" i="8"/>
  <c r="T478" i="8"/>
  <c r="R477" i="8"/>
  <c r="T477" i="8"/>
  <c r="R476" i="8"/>
  <c r="T476" i="8"/>
  <c r="R475" i="8"/>
  <c r="T475" i="8"/>
  <c r="R474" i="8"/>
  <c r="T474" i="8"/>
  <c r="R473" i="8"/>
  <c r="T473" i="8"/>
  <c r="R472" i="8"/>
  <c r="T472" i="8"/>
  <c r="R471" i="8"/>
  <c r="T471" i="8"/>
  <c r="R470" i="8"/>
  <c r="T470" i="8"/>
  <c r="R469" i="8"/>
  <c r="T469" i="8"/>
  <c r="R468" i="8"/>
  <c r="T468" i="8"/>
  <c r="R467" i="8"/>
  <c r="T467" i="8"/>
  <c r="R466" i="8"/>
  <c r="T466" i="8"/>
  <c r="R465" i="8"/>
  <c r="T465" i="8"/>
  <c r="R464" i="8"/>
  <c r="T464" i="8"/>
  <c r="R463" i="8"/>
  <c r="T463" i="8"/>
  <c r="R462" i="8"/>
  <c r="T462" i="8"/>
  <c r="R461" i="8"/>
  <c r="T461" i="8"/>
  <c r="R460" i="8"/>
  <c r="T460" i="8"/>
  <c r="R459" i="8"/>
  <c r="T459" i="8"/>
  <c r="R458" i="8"/>
  <c r="T458" i="8"/>
  <c r="R457" i="8"/>
  <c r="T457" i="8"/>
  <c r="R456" i="8"/>
  <c r="T456" i="8"/>
  <c r="R455" i="8"/>
  <c r="T455" i="8"/>
  <c r="R454" i="8"/>
  <c r="T454" i="8"/>
  <c r="R453" i="8"/>
  <c r="T453" i="8"/>
  <c r="R452" i="8"/>
  <c r="T452" i="8"/>
  <c r="R451" i="8"/>
  <c r="T451" i="8"/>
  <c r="R450" i="8"/>
  <c r="T450" i="8"/>
  <c r="R449" i="8"/>
  <c r="T449" i="8"/>
  <c r="R448" i="8"/>
  <c r="T448" i="8"/>
  <c r="R447" i="8"/>
  <c r="T447" i="8"/>
  <c r="R446" i="8"/>
  <c r="T446" i="8"/>
  <c r="R445" i="8"/>
  <c r="T445" i="8"/>
  <c r="R444" i="8"/>
  <c r="T444" i="8"/>
  <c r="R443" i="8"/>
  <c r="T443" i="8"/>
  <c r="R442" i="8"/>
  <c r="T442" i="8"/>
  <c r="R441" i="8"/>
  <c r="T441" i="8"/>
  <c r="R440" i="8"/>
  <c r="T440" i="8"/>
  <c r="R439" i="8"/>
  <c r="T439" i="8"/>
  <c r="R438" i="8"/>
  <c r="T438" i="8"/>
  <c r="R437" i="8"/>
  <c r="T437" i="8"/>
  <c r="R436" i="8"/>
  <c r="T436" i="8"/>
  <c r="R435" i="8"/>
  <c r="T435" i="8"/>
  <c r="R434" i="8"/>
  <c r="T434" i="8"/>
  <c r="R433" i="8"/>
  <c r="T433" i="8"/>
  <c r="R432" i="8"/>
  <c r="T432" i="8"/>
  <c r="R431" i="8"/>
  <c r="T431" i="8"/>
  <c r="R430" i="8"/>
  <c r="T430" i="8"/>
  <c r="R429" i="8"/>
  <c r="T429" i="8"/>
  <c r="R428" i="8"/>
  <c r="T428" i="8"/>
  <c r="R427" i="8"/>
  <c r="T427" i="8"/>
  <c r="T426" i="8"/>
  <c r="R426" i="8"/>
  <c r="R425" i="8"/>
  <c r="T425" i="8"/>
  <c r="R424" i="8"/>
  <c r="T424" i="8"/>
  <c r="R423" i="8"/>
  <c r="T423" i="8"/>
  <c r="T422" i="8"/>
  <c r="R422" i="8"/>
  <c r="R421" i="8"/>
  <c r="T421" i="8"/>
  <c r="T420" i="8"/>
  <c r="R420" i="8"/>
  <c r="R419" i="8"/>
  <c r="T419" i="8"/>
  <c r="T418" i="8"/>
  <c r="R418" i="8"/>
  <c r="R417" i="8"/>
  <c r="T417" i="8"/>
  <c r="R416" i="8"/>
  <c r="T416" i="8"/>
  <c r="R415" i="8"/>
  <c r="T415" i="8"/>
  <c r="R414" i="8"/>
  <c r="T414" i="8"/>
  <c r="R413" i="8"/>
  <c r="T413" i="8"/>
  <c r="T412" i="8"/>
  <c r="R412" i="8"/>
  <c r="R411" i="8"/>
  <c r="T411" i="8"/>
  <c r="T410" i="8"/>
  <c r="R410" i="8"/>
  <c r="R409" i="8"/>
  <c r="T409" i="8"/>
  <c r="R408" i="8"/>
  <c r="T408" i="8"/>
  <c r="R407" i="8"/>
  <c r="T407" i="8"/>
  <c r="T406" i="8"/>
  <c r="R406" i="8"/>
  <c r="R405" i="8"/>
  <c r="T405" i="8"/>
  <c r="R404" i="8"/>
  <c r="T404" i="8"/>
  <c r="R403" i="8"/>
  <c r="T403" i="8"/>
  <c r="T402" i="8"/>
  <c r="R402" i="8"/>
  <c r="R401" i="8"/>
  <c r="T401" i="8"/>
  <c r="R400" i="8"/>
  <c r="T400" i="8"/>
  <c r="R399" i="8"/>
  <c r="T399" i="8"/>
  <c r="T398" i="8"/>
  <c r="R398" i="8"/>
  <c r="R397" i="8"/>
  <c r="T397" i="8"/>
  <c r="T396" i="8"/>
  <c r="R396" i="8"/>
  <c r="R395" i="8"/>
  <c r="T395" i="8"/>
  <c r="T394" i="8"/>
  <c r="R394" i="8"/>
  <c r="R393" i="8"/>
  <c r="T393" i="8"/>
  <c r="R392" i="8"/>
  <c r="T392" i="8"/>
  <c r="R391" i="8"/>
  <c r="T391" i="8"/>
  <c r="T390" i="8"/>
  <c r="R390" i="8"/>
  <c r="R389" i="8"/>
  <c r="T389" i="8"/>
  <c r="T388" i="8"/>
  <c r="R388" i="8"/>
  <c r="R387" i="8"/>
  <c r="T387" i="8"/>
  <c r="T386" i="8"/>
  <c r="R386" i="8"/>
  <c r="R385" i="8"/>
  <c r="T385" i="8"/>
  <c r="R384" i="8"/>
  <c r="T384" i="8"/>
  <c r="R383" i="8"/>
  <c r="T383" i="8"/>
  <c r="R382" i="8"/>
  <c r="T382" i="8"/>
  <c r="R381" i="8"/>
  <c r="T381" i="8"/>
  <c r="T380" i="8"/>
  <c r="R380" i="8"/>
  <c r="R379" i="8"/>
  <c r="T379" i="8"/>
  <c r="T378" i="8"/>
  <c r="R378" i="8"/>
  <c r="R377" i="8"/>
  <c r="T377" i="8"/>
  <c r="R376" i="8"/>
  <c r="T376" i="8"/>
  <c r="R375" i="8"/>
  <c r="T375" i="8"/>
  <c r="T374" i="8"/>
  <c r="R374" i="8"/>
  <c r="R373" i="8"/>
  <c r="T373" i="8"/>
  <c r="R372" i="8"/>
  <c r="T372" i="8"/>
  <c r="R371" i="8"/>
  <c r="T371" i="8"/>
  <c r="T370" i="8"/>
  <c r="R370" i="8"/>
  <c r="R369" i="8"/>
  <c r="T369" i="8"/>
  <c r="T368" i="8"/>
  <c r="R368" i="8"/>
  <c r="R367" i="8"/>
  <c r="T367" i="8"/>
  <c r="T366" i="8"/>
  <c r="R366" i="8"/>
  <c r="R365" i="8"/>
  <c r="T365" i="8"/>
  <c r="R364" i="8"/>
  <c r="T364" i="8"/>
  <c r="R363" i="8"/>
  <c r="T363" i="8"/>
  <c r="T362" i="8"/>
  <c r="R362" i="8"/>
  <c r="R361" i="8"/>
  <c r="T361" i="8"/>
  <c r="T360" i="8"/>
  <c r="R360" i="8"/>
  <c r="R359" i="8"/>
  <c r="T359" i="8"/>
  <c r="T358" i="8"/>
  <c r="R358" i="8"/>
  <c r="R357" i="8"/>
  <c r="T357" i="8"/>
  <c r="R356" i="8"/>
  <c r="T356" i="8"/>
  <c r="R355" i="8"/>
  <c r="T355" i="8"/>
  <c r="T354" i="8"/>
  <c r="R354" i="8"/>
  <c r="R353" i="8"/>
  <c r="T353" i="8"/>
  <c r="T352" i="8"/>
  <c r="R352" i="8"/>
  <c r="R351" i="8"/>
  <c r="T351" i="8"/>
  <c r="T350" i="8"/>
  <c r="R350" i="8"/>
  <c r="R349" i="8"/>
  <c r="T349" i="8"/>
  <c r="R348" i="8"/>
  <c r="T348" i="8"/>
  <c r="R347" i="8"/>
  <c r="T347" i="8"/>
  <c r="T346" i="8"/>
  <c r="R346" i="8"/>
  <c r="R345" i="8"/>
  <c r="T345" i="8"/>
  <c r="R344" i="8"/>
  <c r="T344" i="8"/>
  <c r="R343" i="8"/>
  <c r="T343" i="8"/>
  <c r="T342" i="8"/>
  <c r="R342" i="8"/>
  <c r="R341" i="8"/>
  <c r="T341" i="8"/>
  <c r="R340" i="8"/>
  <c r="T340" i="8"/>
  <c r="R339" i="8"/>
  <c r="T339" i="8"/>
  <c r="T338" i="8"/>
  <c r="R338" i="8"/>
  <c r="R337" i="8"/>
  <c r="T337" i="8"/>
  <c r="R336" i="8"/>
  <c r="T336" i="8"/>
  <c r="R335" i="8"/>
  <c r="T335" i="8"/>
  <c r="T334" i="8"/>
  <c r="R334" i="8"/>
  <c r="R333" i="8"/>
  <c r="T333" i="8"/>
  <c r="R332" i="8"/>
  <c r="T332" i="8"/>
  <c r="R331" i="8"/>
  <c r="T331" i="8"/>
  <c r="T330" i="8"/>
  <c r="R330" i="8"/>
  <c r="R329" i="8"/>
  <c r="T329" i="8"/>
  <c r="R328" i="8"/>
  <c r="T328" i="8"/>
  <c r="R327" i="8"/>
  <c r="T327" i="8"/>
  <c r="T326" i="8"/>
  <c r="R326" i="8"/>
  <c r="R325" i="8"/>
  <c r="T325" i="8"/>
  <c r="R324" i="8"/>
  <c r="T324" i="8"/>
  <c r="R323" i="8"/>
  <c r="T323" i="8"/>
  <c r="T322" i="8"/>
  <c r="R322" i="8"/>
  <c r="R321" i="8"/>
  <c r="T321" i="8"/>
  <c r="R320" i="8"/>
  <c r="T320" i="8"/>
  <c r="R319" i="8"/>
  <c r="T319" i="8"/>
  <c r="T318" i="8"/>
  <c r="R318" i="8"/>
  <c r="R317" i="8"/>
  <c r="T317" i="8"/>
  <c r="R316" i="8"/>
  <c r="T316" i="8"/>
  <c r="R315" i="8"/>
  <c r="T315" i="8"/>
  <c r="T314" i="8"/>
  <c r="R314" i="8"/>
  <c r="R313" i="8"/>
  <c r="T313" i="8"/>
  <c r="R312" i="8"/>
  <c r="T312" i="8"/>
  <c r="R311" i="8"/>
  <c r="T311" i="8"/>
  <c r="T310" i="8"/>
  <c r="R310" i="8"/>
  <c r="R309" i="8"/>
  <c r="T309" i="8"/>
  <c r="R308" i="8"/>
  <c r="T308" i="8"/>
  <c r="R307" i="8"/>
  <c r="T307" i="8"/>
  <c r="T306" i="8"/>
  <c r="R306" i="8"/>
  <c r="R305" i="8"/>
  <c r="T305" i="8"/>
  <c r="R304" i="8"/>
  <c r="T304" i="8"/>
  <c r="R303" i="8"/>
  <c r="T303" i="8"/>
  <c r="T302" i="8"/>
  <c r="R302" i="8"/>
  <c r="R301" i="8"/>
  <c r="T301" i="8"/>
  <c r="R300" i="8"/>
  <c r="T300" i="8"/>
  <c r="R299" i="8"/>
  <c r="T299" i="8"/>
  <c r="T298" i="8"/>
  <c r="R298" i="8"/>
  <c r="R297" i="8"/>
  <c r="T297" i="8"/>
  <c r="R296" i="8"/>
  <c r="T296" i="8"/>
  <c r="R295" i="8"/>
  <c r="T295" i="8"/>
  <c r="T294" i="8"/>
  <c r="R294" i="8"/>
  <c r="R293" i="8"/>
  <c r="T293" i="8"/>
  <c r="R292" i="8"/>
  <c r="T292" i="8"/>
  <c r="R291" i="8"/>
  <c r="T291" i="8"/>
  <c r="T290" i="8"/>
  <c r="R290" i="8"/>
  <c r="R289" i="8"/>
  <c r="T289" i="8"/>
  <c r="R288" i="8"/>
  <c r="T288" i="8"/>
  <c r="R287" i="8"/>
  <c r="T287" i="8"/>
  <c r="T286" i="8"/>
  <c r="R286" i="8"/>
  <c r="R285" i="8"/>
  <c r="T285" i="8"/>
  <c r="R284" i="8"/>
  <c r="T284" i="8"/>
  <c r="R283" i="8"/>
  <c r="T283" i="8"/>
  <c r="T282" i="8"/>
  <c r="R282" i="8"/>
  <c r="R281" i="8"/>
  <c r="T281" i="8"/>
  <c r="R280" i="8"/>
  <c r="T280" i="8"/>
  <c r="R279" i="8"/>
  <c r="T279" i="8"/>
  <c r="T278" i="8"/>
  <c r="R278" i="8"/>
  <c r="R277" i="8"/>
  <c r="T277" i="8"/>
  <c r="R276" i="8"/>
  <c r="T276" i="8"/>
  <c r="R275" i="8"/>
  <c r="T275" i="8"/>
  <c r="T274" i="8"/>
  <c r="R274" i="8"/>
  <c r="R273" i="8"/>
  <c r="T273" i="8"/>
  <c r="R272" i="8"/>
  <c r="T272" i="8"/>
  <c r="R271" i="8"/>
  <c r="T271" i="8"/>
  <c r="T270" i="8"/>
  <c r="R270" i="8"/>
  <c r="R269" i="8"/>
  <c r="T269" i="8"/>
  <c r="R268" i="8"/>
  <c r="T268" i="8"/>
  <c r="R267" i="8"/>
  <c r="T267" i="8"/>
  <c r="T266" i="8"/>
  <c r="R266" i="8"/>
  <c r="R265" i="8"/>
  <c r="T265" i="8"/>
  <c r="R264" i="8"/>
  <c r="T264" i="8"/>
  <c r="R263" i="8"/>
  <c r="T263" i="8"/>
  <c r="T262" i="8"/>
  <c r="R262" i="8"/>
  <c r="R261" i="8"/>
  <c r="T261" i="8"/>
  <c r="R260" i="8"/>
  <c r="T260" i="8"/>
  <c r="R259" i="8"/>
  <c r="T259" i="8"/>
  <c r="T258" i="8"/>
  <c r="R258" i="8"/>
  <c r="R257" i="8"/>
  <c r="T257" i="8"/>
  <c r="R256" i="8"/>
  <c r="T256" i="8"/>
  <c r="R255" i="8"/>
  <c r="T255" i="8"/>
  <c r="T254" i="8"/>
  <c r="R254" i="8"/>
  <c r="R253" i="8"/>
  <c r="T253" i="8"/>
  <c r="R252" i="8"/>
  <c r="T252" i="8"/>
  <c r="R251" i="8"/>
  <c r="T251" i="8"/>
  <c r="T250" i="8"/>
  <c r="R250" i="8"/>
  <c r="R249" i="8"/>
  <c r="T249" i="8"/>
  <c r="R248" i="8"/>
  <c r="T248" i="8"/>
  <c r="R247" i="8"/>
  <c r="T247" i="8"/>
  <c r="T246" i="8"/>
  <c r="R246" i="8"/>
  <c r="R245" i="8"/>
  <c r="T245" i="8"/>
  <c r="T244" i="8"/>
  <c r="R244" i="8"/>
  <c r="R243" i="8"/>
  <c r="T243" i="8"/>
  <c r="T242" i="8"/>
  <c r="R242" i="8"/>
  <c r="R241" i="8"/>
  <c r="T241" i="8"/>
  <c r="T240" i="8"/>
  <c r="R240" i="8"/>
  <c r="R239" i="8"/>
  <c r="T239" i="8"/>
  <c r="T238" i="8"/>
  <c r="R238" i="8"/>
  <c r="R237" i="8"/>
  <c r="T237" i="8"/>
  <c r="T236" i="8"/>
  <c r="R236" i="8"/>
  <c r="R235" i="8"/>
  <c r="T235" i="8"/>
  <c r="T234" i="8"/>
  <c r="R234" i="8"/>
  <c r="R233" i="8"/>
  <c r="T233" i="8"/>
  <c r="T232" i="8"/>
  <c r="R232" i="8"/>
  <c r="R231" i="8"/>
  <c r="T231" i="8"/>
  <c r="T230" i="8"/>
  <c r="R230" i="8"/>
  <c r="R229" i="8"/>
  <c r="T229" i="8"/>
  <c r="T228" i="8"/>
  <c r="R228" i="8"/>
  <c r="R227" i="8"/>
  <c r="T227" i="8"/>
  <c r="T226" i="8"/>
  <c r="R226" i="8"/>
  <c r="R225" i="8"/>
  <c r="T225" i="8"/>
  <c r="T224" i="8"/>
  <c r="R224" i="8"/>
  <c r="R223" i="8"/>
  <c r="T223" i="8"/>
  <c r="T222" i="8"/>
  <c r="R222" i="8"/>
  <c r="R221" i="8"/>
  <c r="T221" i="8"/>
  <c r="T220" i="8"/>
  <c r="R220" i="8"/>
  <c r="R219" i="8"/>
  <c r="T219" i="8"/>
  <c r="T218" i="8"/>
  <c r="R218" i="8"/>
  <c r="R217" i="8"/>
  <c r="T217" i="8"/>
  <c r="T216" i="8"/>
  <c r="R216" i="8"/>
  <c r="R215" i="8"/>
  <c r="T215" i="8"/>
  <c r="T214" i="8"/>
  <c r="R214" i="8"/>
  <c r="R213" i="8"/>
  <c r="T213" i="8"/>
  <c r="T212" i="8"/>
  <c r="R212" i="8"/>
  <c r="R211" i="8"/>
  <c r="T211" i="8"/>
  <c r="T210" i="8"/>
  <c r="R210" i="8"/>
  <c r="R209" i="8"/>
  <c r="T209" i="8"/>
  <c r="T208" i="8"/>
  <c r="R208" i="8"/>
  <c r="R207" i="8"/>
  <c r="T207" i="8"/>
  <c r="T206" i="8"/>
  <c r="R206" i="8"/>
  <c r="R205" i="8"/>
  <c r="T205" i="8"/>
  <c r="T204" i="8"/>
  <c r="R204" i="8"/>
  <c r="R203" i="8"/>
  <c r="T203" i="8"/>
  <c r="T202" i="8"/>
  <c r="R202" i="8"/>
  <c r="R201" i="8"/>
  <c r="T201" i="8"/>
  <c r="T200" i="8"/>
  <c r="R200" i="8"/>
  <c r="R199" i="8"/>
  <c r="T199" i="8"/>
  <c r="T198" i="8"/>
  <c r="R198" i="8"/>
  <c r="R197" i="8"/>
  <c r="T197" i="8"/>
  <c r="T196" i="8"/>
  <c r="R196" i="8"/>
  <c r="R195" i="8"/>
  <c r="T195" i="8"/>
  <c r="T194" i="8"/>
  <c r="R194" i="8"/>
  <c r="R193" i="8"/>
  <c r="T193" i="8"/>
  <c r="T192" i="8"/>
  <c r="R192" i="8"/>
  <c r="T191" i="8"/>
  <c r="R191" i="8"/>
  <c r="T190" i="8"/>
  <c r="R190" i="8"/>
  <c r="R189" i="8"/>
  <c r="T189" i="8"/>
  <c r="T188" i="8"/>
  <c r="R188" i="8"/>
  <c r="T187" i="8"/>
  <c r="R187" i="8"/>
  <c r="T186" i="8"/>
  <c r="R186" i="8"/>
  <c r="R185" i="8"/>
  <c r="T185" i="8"/>
  <c r="T184" i="8"/>
  <c r="R184" i="8"/>
  <c r="T183" i="8"/>
  <c r="R183" i="8"/>
  <c r="T182" i="8"/>
  <c r="R182" i="8"/>
  <c r="R181" i="8"/>
  <c r="T181" i="8"/>
  <c r="T180" i="8"/>
  <c r="R180" i="8"/>
  <c r="T179" i="8"/>
  <c r="R179" i="8"/>
  <c r="T178" i="8"/>
  <c r="R178" i="8"/>
  <c r="R177" i="8"/>
  <c r="T177" i="8"/>
  <c r="T176" i="8"/>
  <c r="R176" i="8"/>
  <c r="T175" i="8"/>
  <c r="R175" i="8"/>
  <c r="T174" i="8"/>
  <c r="R174" i="8"/>
  <c r="R173" i="8"/>
  <c r="T173" i="8"/>
  <c r="T172" i="8"/>
  <c r="R172" i="8"/>
  <c r="T171" i="8"/>
  <c r="R171" i="8"/>
  <c r="T170" i="8"/>
  <c r="R170" i="8"/>
  <c r="R169" i="8"/>
  <c r="T169" i="8"/>
  <c r="T158" i="8"/>
  <c r="R158" i="8"/>
  <c r="R157" i="8"/>
  <c r="T157" i="8"/>
  <c r="R133" i="8"/>
  <c r="T133" i="8"/>
  <c r="T128" i="8"/>
  <c r="R128" i="8"/>
  <c r="T118" i="8"/>
  <c r="R118" i="8"/>
  <c r="R117" i="8"/>
  <c r="T117" i="8"/>
  <c r="T116" i="8"/>
  <c r="R116" i="8"/>
  <c r="T115" i="8"/>
  <c r="R115" i="8"/>
  <c r="T114" i="8"/>
  <c r="R114" i="8"/>
  <c r="R113" i="8"/>
  <c r="T113" i="8"/>
  <c r="T112" i="8"/>
  <c r="R112" i="8"/>
  <c r="T111" i="8"/>
  <c r="R111" i="8"/>
  <c r="T110" i="8"/>
  <c r="R110" i="8"/>
  <c r="R109" i="8"/>
  <c r="T109" i="8"/>
  <c r="T108" i="8"/>
  <c r="R108" i="8"/>
  <c r="T107" i="8"/>
  <c r="R107" i="8"/>
  <c r="T106" i="8"/>
  <c r="R106" i="8"/>
  <c r="R105" i="8"/>
  <c r="T105" i="8"/>
  <c r="T104" i="8"/>
  <c r="R104" i="8"/>
  <c r="T103" i="8"/>
  <c r="R103" i="8"/>
  <c r="T102" i="8"/>
  <c r="R102" i="8"/>
  <c r="R101" i="8"/>
  <c r="T101" i="8"/>
  <c r="T100" i="8"/>
  <c r="R100" i="8"/>
  <c r="T99" i="8"/>
  <c r="R99" i="8"/>
  <c r="T98" i="8"/>
  <c r="R98" i="8"/>
  <c r="R97" i="8"/>
  <c r="T97" i="8"/>
  <c r="T96" i="8"/>
  <c r="R96" i="8"/>
  <c r="T95" i="8"/>
  <c r="R95" i="8"/>
  <c r="T94" i="8"/>
  <c r="R94" i="8"/>
  <c r="R93" i="8"/>
  <c r="T93" i="8"/>
  <c r="T92" i="8"/>
  <c r="R92" i="8"/>
  <c r="T91" i="8"/>
  <c r="R91" i="8"/>
  <c r="T90" i="8"/>
  <c r="R90" i="8"/>
  <c r="R86" i="8"/>
  <c r="T86" i="8"/>
  <c r="T66" i="8"/>
  <c r="S66" i="8" s="1"/>
  <c r="T65" i="8"/>
  <c r="R65" i="8"/>
  <c r="R13" i="8"/>
  <c r="T13" i="8"/>
  <c r="T12" i="8"/>
  <c r="R12" i="8"/>
  <c r="T11" i="8"/>
  <c r="R11" i="8"/>
  <c r="R10" i="8"/>
  <c r="T9" i="8"/>
  <c r="T7" i="8"/>
  <c r="R7" i="8"/>
  <c r="R6" i="8"/>
  <c r="S6" i="8" s="1"/>
  <c r="T5" i="8"/>
  <c r="R5" i="8"/>
  <c r="R132" i="8"/>
  <c r="T131" i="8"/>
  <c r="R131" i="8"/>
  <c r="T123" i="8"/>
  <c r="R123" i="8"/>
  <c r="T122" i="8"/>
  <c r="R122" i="8"/>
  <c r="R121" i="8"/>
  <c r="T121" i="8"/>
  <c r="T120" i="8"/>
  <c r="R120" i="8"/>
  <c r="S424" i="8" l="1"/>
  <c r="S428" i="8"/>
  <c r="S432" i="8"/>
  <c r="S436" i="8"/>
  <c r="S440" i="8"/>
  <c r="S444" i="8"/>
  <c r="S448" i="8"/>
  <c r="S452" i="8"/>
  <c r="S456" i="8"/>
  <c r="S460" i="8"/>
  <c r="S464" i="8"/>
  <c r="S468" i="8"/>
  <c r="S472" i="8"/>
  <c r="S508" i="8"/>
  <c r="S512" i="8"/>
  <c r="S516" i="8"/>
  <c r="S520" i="8"/>
  <c r="S524" i="8"/>
  <c r="S528" i="8"/>
  <c r="S532" i="8"/>
  <c r="S536" i="8"/>
  <c r="S392" i="8"/>
  <c r="S404" i="8"/>
  <c r="S408" i="8"/>
  <c r="S416" i="8"/>
  <c r="S248" i="8"/>
  <c r="S252" i="8"/>
  <c r="S260" i="8"/>
  <c r="S264" i="8"/>
  <c r="S268" i="8"/>
  <c r="S272" i="8"/>
  <c r="S276" i="8"/>
  <c r="S280" i="8"/>
  <c r="S284" i="8"/>
  <c r="S288" i="8"/>
  <c r="S292" i="8"/>
  <c r="S296" i="8"/>
  <c r="S300" i="8"/>
  <c r="S304" i="8"/>
  <c r="S308" i="8"/>
  <c r="S312" i="8"/>
  <c r="S316" i="8"/>
  <c r="S320" i="8"/>
  <c r="S324" i="8"/>
  <c r="S328" i="8"/>
  <c r="S332" i="8"/>
  <c r="S336" i="8"/>
  <c r="S340" i="8"/>
  <c r="S356" i="8"/>
  <c r="S372" i="8"/>
  <c r="S376" i="8"/>
  <c r="S256" i="8"/>
  <c r="S540" i="8"/>
  <c r="S9" i="8"/>
  <c r="S13" i="8"/>
  <c r="S86" i="8"/>
  <c r="S93" i="8"/>
  <c r="S97" i="8"/>
  <c r="S101" i="8"/>
  <c r="S109" i="8"/>
  <c r="S117" i="8"/>
  <c r="S133" i="8"/>
  <c r="S157" i="8"/>
  <c r="S169" i="8"/>
  <c r="S173" i="8"/>
  <c r="S177" i="8"/>
  <c r="S181" i="8"/>
  <c r="S185" i="8"/>
  <c r="S189" i="8"/>
  <c r="S193" i="8"/>
  <c r="S201" i="8"/>
  <c r="S209" i="8"/>
  <c r="S217" i="8"/>
  <c r="S401" i="8"/>
  <c r="S405" i="8"/>
  <c r="S409" i="8"/>
  <c r="S413" i="8"/>
  <c r="S417" i="8"/>
  <c r="S425" i="8"/>
  <c r="S429" i="8"/>
  <c r="S433" i="8"/>
  <c r="S437" i="8"/>
  <c r="S441" i="8"/>
  <c r="S445" i="8"/>
  <c r="S461" i="8"/>
  <c r="S465" i="8"/>
  <c r="S469" i="8"/>
  <c r="S473" i="8"/>
  <c r="S477" i="8"/>
  <c r="S481" i="8"/>
  <c r="S485" i="8"/>
  <c r="S489" i="8"/>
  <c r="S493" i="8"/>
  <c r="S497" i="8"/>
  <c r="S501" i="8"/>
  <c r="S505" i="8"/>
  <c r="S509" i="8"/>
  <c r="S513" i="8"/>
  <c r="S517" i="8"/>
  <c r="S521" i="8"/>
  <c r="S525" i="8"/>
  <c r="S529" i="8"/>
  <c r="S533" i="8"/>
  <c r="S537" i="8"/>
  <c r="S541" i="8"/>
  <c r="S105" i="8"/>
  <c r="S225" i="8"/>
  <c r="S7" i="8"/>
  <c r="S12" i="8"/>
  <c r="S92" i="8"/>
  <c r="S96" i="8"/>
  <c r="S100" i="8"/>
  <c r="S104" i="8"/>
  <c r="S108" i="8"/>
  <c r="S475" i="8"/>
  <c r="S479" i="8"/>
  <c r="S483" i="8"/>
  <c r="S487" i="8"/>
  <c r="S491" i="8"/>
  <c r="S495" i="8"/>
  <c r="S499" i="8"/>
  <c r="S503" i="8"/>
  <c r="S507" i="8"/>
  <c r="S515" i="8"/>
  <c r="S531" i="8"/>
  <c r="S535" i="8"/>
  <c r="S539" i="8"/>
  <c r="S226" i="8"/>
  <c r="S438" i="8"/>
  <c r="S442" i="8"/>
  <c r="S446" i="8"/>
  <c r="S450" i="8"/>
  <c r="S462" i="8"/>
  <c r="S474" i="8"/>
  <c r="S478" i="8"/>
  <c r="S482" i="8"/>
  <c r="S494" i="8"/>
  <c r="S498" i="8"/>
  <c r="S502" i="8"/>
  <c r="S506" i="8"/>
  <c r="S510" i="8"/>
  <c r="S514" i="8"/>
  <c r="S518" i="8"/>
  <c r="S522" i="8"/>
  <c r="S526" i="8"/>
  <c r="S530" i="8"/>
  <c r="S534" i="8"/>
  <c r="S538" i="8"/>
  <c r="S326" i="8"/>
  <c r="S289" i="8"/>
  <c r="S313" i="8"/>
  <c r="S486" i="8"/>
  <c r="S398" i="8"/>
  <c r="S259" i="8"/>
  <c r="S279" i="8"/>
  <c r="S113" i="8"/>
  <c r="S233" i="8"/>
  <c r="S382" i="8"/>
  <c r="S283" i="8"/>
  <c r="S315" i="8"/>
  <c r="S319" i="8"/>
  <c r="S261" i="8"/>
  <c r="S269" i="8"/>
  <c r="S325" i="8"/>
  <c r="S333" i="8"/>
  <c r="S341" i="8"/>
  <c r="S349" i="8"/>
  <c r="S365" i="8"/>
  <c r="S373" i="8"/>
  <c r="S377" i="8"/>
  <c r="S131" i="8"/>
  <c r="S5" i="8"/>
  <c r="S10" i="8"/>
  <c r="S65" i="8"/>
  <c r="S90" i="8"/>
  <c r="S94" i="8"/>
  <c r="S98" i="8"/>
  <c r="S102" i="8"/>
  <c r="S106" i="8"/>
  <c r="S110" i="8"/>
  <c r="S114" i="8"/>
  <c r="S118" i="8"/>
  <c r="S158" i="8"/>
  <c r="S170" i="8"/>
  <c r="S174" i="8"/>
  <c r="S178" i="8"/>
  <c r="S182" i="8"/>
  <c r="S186" i="8"/>
  <c r="S190" i="8"/>
  <c r="S194" i="8"/>
  <c r="S198" i="8"/>
  <c r="S202" i="8"/>
  <c r="S206" i="8"/>
  <c r="S210" i="8"/>
  <c r="S214" i="8"/>
  <c r="S218" i="8"/>
  <c r="S222" i="8"/>
  <c r="S458" i="8"/>
  <c r="S490" i="8"/>
  <c r="S195" i="8"/>
  <c r="S199" i="8"/>
  <c r="S203" i="8"/>
  <c r="S207" i="8"/>
  <c r="S211" i="8"/>
  <c r="S215" i="8"/>
  <c r="S219" i="8"/>
  <c r="S223" i="8"/>
  <c r="S227" i="8"/>
  <c r="S231" i="8"/>
  <c r="S235" i="8"/>
  <c r="S239" i="8"/>
  <c r="S241" i="8"/>
  <c r="S277" i="8"/>
  <c r="S380" i="8"/>
  <c r="S396" i="8"/>
  <c r="S504" i="8"/>
  <c r="S246" i="8"/>
  <c r="S254" i="8"/>
  <c r="S262" i="8"/>
  <c r="S270" i="8"/>
  <c r="S278" i="8"/>
  <c r="S386" i="8"/>
  <c r="S418" i="8"/>
  <c r="S430" i="8"/>
  <c r="S454" i="8"/>
  <c r="S466" i="8"/>
  <c r="S243" i="8"/>
  <c r="S263" i="8"/>
  <c r="S334" i="8"/>
  <c r="S350" i="8"/>
  <c r="S402" i="8"/>
  <c r="S406" i="8"/>
  <c r="S410" i="8"/>
  <c r="S422" i="8"/>
  <c r="S434" i="8"/>
  <c r="S327" i="8"/>
  <c r="S335" i="8"/>
  <c r="S343" i="8"/>
  <c r="S351" i="8"/>
  <c r="S359" i="8"/>
  <c r="S367" i="8"/>
  <c r="S379" i="8"/>
  <c r="S387" i="8"/>
  <c r="S423" i="8"/>
  <c r="S427" i="8"/>
  <c r="S431" i="8"/>
  <c r="S435" i="8"/>
  <c r="S439" i="8"/>
  <c r="S443" i="8"/>
  <c r="S447" i="8"/>
  <c r="S451" i="8"/>
  <c r="S455" i="8"/>
  <c r="S459" i="8"/>
  <c r="S463" i="8"/>
  <c r="S467" i="8"/>
  <c r="S358" i="8"/>
  <c r="S366" i="8"/>
  <c r="S374" i="8"/>
  <c r="S378" i="8"/>
  <c r="S412" i="8"/>
  <c r="S347" i="8"/>
  <c r="S390" i="8"/>
  <c r="S420" i="8"/>
  <c r="S470" i="8"/>
  <c r="S245" i="8"/>
  <c r="S273" i="8"/>
  <c r="S285" i="8"/>
  <c r="S293" i="8"/>
  <c r="S301" i="8"/>
  <c r="S309" i="8"/>
  <c r="S317" i="8"/>
  <c r="S344" i="8"/>
  <c r="S348" i="8"/>
  <c r="S394" i="8"/>
  <c r="S230" i="8"/>
  <c r="S234" i="8"/>
  <c r="S238" i="8"/>
  <c r="S242" i="8"/>
  <c r="S364" i="8"/>
  <c r="S384" i="8"/>
  <c r="S395" i="8"/>
  <c r="S414" i="8"/>
  <c r="S471" i="8"/>
  <c r="S352" i="8"/>
  <c r="S360" i="8"/>
  <c r="S368" i="8"/>
  <c r="S247" i="8"/>
  <c r="S255" i="8"/>
  <c r="S271" i="8"/>
  <c r="S286" i="8"/>
  <c r="S294" i="8"/>
  <c r="S302" i="8"/>
  <c r="S310" i="8"/>
  <c r="S318" i="8"/>
  <c r="S345" i="8"/>
  <c r="S357" i="8"/>
  <c r="S381" i="8"/>
  <c r="S385" i="8"/>
  <c r="S388" i="8"/>
  <c r="S403" i="8"/>
  <c r="S411" i="8"/>
  <c r="S511" i="8"/>
  <c r="S287" i="8"/>
  <c r="S295" i="8"/>
  <c r="S303" i="8"/>
  <c r="S311" i="8"/>
  <c r="S342" i="8"/>
  <c r="S361" i="8"/>
  <c r="S400" i="8"/>
  <c r="S419" i="8"/>
  <c r="S426" i="8"/>
  <c r="S449" i="8"/>
  <c r="S453" i="8"/>
  <c r="S457" i="8"/>
  <c r="S476" i="8"/>
  <c r="S480" i="8"/>
  <c r="S484" i="8"/>
  <c r="S488" i="8"/>
  <c r="S492" i="8"/>
  <c r="S496" i="8"/>
  <c r="S500" i="8"/>
  <c r="S519" i="8"/>
  <c r="S523" i="8"/>
  <c r="S527" i="8"/>
  <c r="S122" i="8"/>
  <c r="S121" i="8"/>
  <c r="S120" i="8"/>
  <c r="S257" i="8"/>
  <c r="S291" i="8"/>
  <c r="S321" i="8"/>
  <c r="S355" i="8"/>
  <c r="S265" i="8"/>
  <c r="S299" i="8"/>
  <c r="S329" i="8"/>
  <c r="S363" i="8"/>
  <c r="S307" i="8"/>
  <c r="S337" i="8"/>
  <c r="S371" i="8"/>
  <c r="S112" i="8"/>
  <c r="S116" i="8"/>
  <c r="S128" i="8"/>
  <c r="S172" i="8"/>
  <c r="S176" i="8"/>
  <c r="S180" i="8"/>
  <c r="S184" i="8"/>
  <c r="S188" i="8"/>
  <c r="S192" i="8"/>
  <c r="S196" i="8"/>
  <c r="S200" i="8"/>
  <c r="S204" i="8"/>
  <c r="S208" i="8"/>
  <c r="S212" i="8"/>
  <c r="S216" i="8"/>
  <c r="S220" i="8"/>
  <c r="S224" i="8"/>
  <c r="S228" i="8"/>
  <c r="S232" i="8"/>
  <c r="S236" i="8"/>
  <c r="S240" i="8"/>
  <c r="S251" i="8"/>
  <c r="S281" i="8"/>
  <c r="S249" i="8"/>
  <c r="S323" i="8"/>
  <c r="S353" i="8"/>
  <c r="S267" i="8"/>
  <c r="S297" i="8"/>
  <c r="S331" i="8"/>
  <c r="S275" i="8"/>
  <c r="S305" i="8"/>
  <c r="S339" i="8"/>
  <c r="S369" i="8"/>
  <c r="S103" i="8"/>
  <c r="S171" i="8"/>
  <c r="S179" i="8"/>
  <c r="S187" i="8"/>
  <c r="S123" i="8"/>
  <c r="S95" i="8"/>
  <c r="S111" i="8"/>
  <c r="S250" i="8"/>
  <c r="S197" i="8"/>
  <c r="S213" i="8"/>
  <c r="S229" i="8"/>
  <c r="S91" i="8"/>
  <c r="S115" i="8"/>
  <c r="S175" i="8"/>
  <c r="S132" i="8"/>
  <c r="S11" i="8"/>
  <c r="S99" i="8"/>
  <c r="S258" i="8"/>
  <c r="S107" i="8"/>
  <c r="S183" i="8"/>
  <c r="S191" i="8"/>
  <c r="S205" i="8"/>
  <c r="S221" i="8"/>
  <c r="S237" i="8"/>
  <c r="S253" i="8"/>
  <c r="S244" i="8"/>
  <c r="S393" i="8"/>
  <c r="S266" i="8"/>
  <c r="S274" i="8"/>
  <c r="S282" i="8"/>
  <c r="S290" i="8"/>
  <c r="S298" i="8"/>
  <c r="S306" i="8"/>
  <c r="S314" i="8"/>
  <c r="S322" i="8"/>
  <c r="S330" i="8"/>
  <c r="S338" i="8"/>
  <c r="S346" i="8"/>
  <c r="S354" i="8"/>
  <c r="S362" i="8"/>
  <c r="S370" i="8"/>
  <c r="S397" i="8"/>
  <c r="S389" i="8"/>
  <c r="S421" i="8"/>
  <c r="S375" i="8"/>
  <c r="S383" i="8"/>
  <c r="S391" i="8"/>
  <c r="S399" i="8"/>
  <c r="S407" i="8"/>
  <c r="S415" i="8"/>
  <c r="M243" i="1" l="1"/>
  <c r="M240" i="1"/>
  <c r="M218" i="1"/>
  <c r="M242" i="1"/>
  <c r="M241" i="1"/>
  <c r="S226" i="1" l="1"/>
  <c r="M226" i="1" s="1"/>
  <c r="S203" i="1"/>
  <c r="S187" i="1"/>
  <c r="M203" i="1" l="1"/>
  <c r="M187" i="1"/>
  <c r="M193" i="1"/>
  <c r="T236" i="1" l="1"/>
  <c r="T232" i="1"/>
  <c r="T230" i="1"/>
  <c r="T226" i="1"/>
  <c r="T237" i="1" l="1"/>
  <c r="M236" i="1" l="1"/>
  <c r="M235" i="1" l="1"/>
  <c r="T228" i="1" l="1"/>
  <c r="M228" i="1"/>
  <c r="M232" i="1" l="1"/>
  <c r="M231" i="1"/>
  <c r="M230" i="1"/>
  <c r="M229" i="1"/>
  <c r="M227" i="1"/>
  <c r="M225" i="1" l="1"/>
  <c r="T212" i="1" l="1"/>
  <c r="M212" i="1"/>
  <c r="M210" i="1" l="1"/>
  <c r="M209" i="1"/>
  <c r="T157" i="1" l="1"/>
  <c r="T201" i="1"/>
  <c r="M206" i="1" l="1"/>
  <c r="T203" i="1" l="1"/>
  <c r="M204" i="1"/>
  <c r="M200" i="1"/>
  <c r="R187" i="1" l="1"/>
  <c r="T187" i="1" s="1"/>
  <c r="T197" i="1"/>
  <c r="M201" i="1" l="1"/>
  <c r="M198" i="1" l="1"/>
  <c r="M195" i="1" l="1"/>
  <c r="S169" i="1" l="1"/>
  <c r="R169" i="1" l="1"/>
  <c r="T169" i="1" s="1"/>
  <c r="T173" i="1" l="1"/>
  <c r="M189" i="1" l="1"/>
  <c r="M188" i="1"/>
  <c r="M182" i="1" l="1"/>
  <c r="S177" i="1" l="1"/>
  <c r="T177" i="1" s="1"/>
  <c r="L177" i="1"/>
  <c r="M186" i="1" l="1"/>
  <c r="M179" i="1"/>
  <c r="M177" i="1" l="1"/>
  <c r="R154" i="1" l="1"/>
  <c r="R153" i="1" l="1"/>
  <c r="S134" i="1" l="1"/>
  <c r="S139" i="1"/>
  <c r="M173" i="1" l="1"/>
  <c r="M171" i="1"/>
  <c r="M170" i="1"/>
  <c r="M169" i="1" l="1"/>
  <c r="H5" i="6" l="1"/>
  <c r="H7" i="6"/>
  <c r="H4" i="6"/>
  <c r="H6" i="6" l="1"/>
  <c r="H10" i="6"/>
  <c r="M168" i="1" l="1"/>
  <c r="M153" i="1" l="1"/>
  <c r="S154" i="1" l="1"/>
  <c r="M154" i="1" s="1"/>
  <c r="S163" i="1"/>
  <c r="M166" i="1" l="1"/>
  <c r="M163" i="1"/>
  <c r="M162" i="1"/>
  <c r="M161" i="1"/>
  <c r="M160" i="1"/>
  <c r="M157" i="1"/>
  <c r="T163" i="1" l="1"/>
  <c r="T154" i="1"/>
  <c r="T136" i="1" l="1"/>
  <c r="M136" i="1"/>
  <c r="O486" i="5" l="1"/>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O449" i="5"/>
  <c r="O448" i="5"/>
  <c r="O447" i="5"/>
  <c r="O446" i="5"/>
  <c r="O445" i="5"/>
  <c r="O444" i="5"/>
  <c r="O443" i="5"/>
  <c r="O442" i="5"/>
  <c r="O441" i="5"/>
  <c r="O440" i="5"/>
  <c r="O439" i="5"/>
  <c r="O438" i="5"/>
  <c r="O437" i="5"/>
  <c r="O436" i="5"/>
  <c r="O435" i="5"/>
  <c r="O434" i="5"/>
  <c r="O433" i="5"/>
  <c r="O432" i="5"/>
  <c r="O431" i="5"/>
  <c r="O430" i="5"/>
  <c r="O429" i="5"/>
  <c r="O428" i="5"/>
  <c r="O427" i="5"/>
  <c r="O426" i="5"/>
  <c r="O425" i="5"/>
  <c r="O424" i="5"/>
  <c r="O423" i="5"/>
  <c r="O422" i="5"/>
  <c r="O421" i="5"/>
  <c r="O420" i="5"/>
  <c r="O419" i="5"/>
  <c r="O418" i="5"/>
  <c r="O417" i="5"/>
  <c r="O416" i="5"/>
  <c r="O415" i="5"/>
  <c r="O414" i="5"/>
  <c r="O413" i="5"/>
  <c r="O412" i="5"/>
  <c r="O411" i="5"/>
  <c r="O410" i="5"/>
  <c r="O409" i="5"/>
  <c r="O408" i="5"/>
  <c r="O407" i="5"/>
  <c r="O406" i="5"/>
  <c r="O405" i="5"/>
  <c r="O404" i="5"/>
  <c r="O403" i="5"/>
  <c r="O402"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6" i="5"/>
  <c r="O5" i="5"/>
  <c r="O4" i="5"/>
  <c r="T153" i="1" l="1"/>
  <c r="M151" i="1"/>
  <c r="M145" i="1"/>
  <c r="M117" i="1" l="1"/>
  <c r="L100" i="1" l="1"/>
  <c r="M100" i="1" s="1"/>
  <c r="T141" i="1" l="1"/>
  <c r="T139" i="1"/>
  <c r="T135" i="1"/>
  <c r="T134" i="1"/>
  <c r="R144" i="1"/>
  <c r="T144" i="1" s="1"/>
  <c r="M144" i="1"/>
  <c r="M139" i="1" l="1"/>
  <c r="M137" i="1"/>
  <c r="T132" i="1" l="1"/>
  <c r="R126" i="1"/>
  <c r="T126" i="1" s="1"/>
  <c r="R125" i="1"/>
  <c r="T125" i="1" s="1"/>
  <c r="M133" i="1" l="1"/>
  <c r="M130" i="1"/>
  <c r="M126" i="1" l="1"/>
  <c r="M54" i="1" l="1"/>
  <c r="M10" i="1" l="1"/>
  <c r="S58" i="1" l="1"/>
  <c r="M64" i="1" l="1"/>
  <c r="T121" i="1" l="1"/>
  <c r="T119" i="1"/>
  <c r="T110" i="1"/>
  <c r="T109" i="1"/>
  <c r="T108" i="1"/>
  <c r="T104" i="1"/>
  <c r="T98" i="1"/>
  <c r="M119" i="1" l="1"/>
  <c r="M116" i="1" l="1"/>
  <c r="M81" i="1" l="1"/>
  <c r="M459" i="1" l="1"/>
  <c r="M452" i="1"/>
  <c r="M448" i="1"/>
  <c r="M446" i="1"/>
  <c r="M445" i="1"/>
  <c r="M436" i="1"/>
  <c r="M435" i="1"/>
  <c r="M433" i="1"/>
  <c r="M432" i="1"/>
  <c r="M431" i="1"/>
  <c r="M430" i="1"/>
  <c r="M429" i="1"/>
  <c r="M427" i="1"/>
  <c r="M426" i="1"/>
  <c r="M425" i="1"/>
  <c r="M424" i="1"/>
  <c r="M416" i="1"/>
  <c r="M415" i="1"/>
  <c r="M411" i="1"/>
  <c r="M410" i="1"/>
  <c r="M409" i="1"/>
  <c r="M405" i="1"/>
  <c r="M404" i="1"/>
  <c r="M403" i="1"/>
  <c r="M395" i="1"/>
  <c r="M394" i="1"/>
  <c r="M393" i="1"/>
  <c r="M388" i="1"/>
  <c r="M387" i="1"/>
  <c r="M386" i="1"/>
  <c r="M385" i="1"/>
  <c r="M383" i="1"/>
  <c r="M380" i="1"/>
  <c r="M379" i="1"/>
  <c r="M378" i="1"/>
  <c r="M377" i="1"/>
  <c r="M375" i="1"/>
  <c r="M373" i="1"/>
  <c r="M372" i="1"/>
  <c r="M371" i="1"/>
  <c r="M369" i="1"/>
  <c r="M361" i="1"/>
  <c r="M360" i="1"/>
  <c r="M358" i="1"/>
  <c r="M357" i="1"/>
  <c r="M356" i="1"/>
  <c r="M355" i="1"/>
  <c r="M354" i="1"/>
  <c r="M353" i="1"/>
  <c r="M352" i="1"/>
  <c r="M349" i="1"/>
  <c r="M348" i="1"/>
  <c r="M347" i="1"/>
  <c r="M345" i="1"/>
  <c r="M344" i="1"/>
  <c r="M343" i="1"/>
  <c r="M339" i="1"/>
  <c r="M338" i="1"/>
  <c r="M334" i="1"/>
  <c r="M333" i="1"/>
  <c r="M325" i="1"/>
  <c r="M322" i="1"/>
  <c r="M319" i="1"/>
  <c r="M318" i="1"/>
  <c r="M315" i="1"/>
  <c r="M314" i="1"/>
  <c r="M312" i="1"/>
  <c r="M311" i="1"/>
  <c r="M309" i="1"/>
  <c r="M307" i="1"/>
  <c r="M306" i="1"/>
  <c r="M305" i="1"/>
  <c r="M302" i="1"/>
  <c r="M299" i="1"/>
  <c r="M294" i="1"/>
  <c r="M291" i="1"/>
  <c r="M288" i="1"/>
  <c r="M287" i="1"/>
  <c r="M286" i="1"/>
  <c r="M281" i="1"/>
  <c r="M280" i="1"/>
  <c r="M279" i="1"/>
  <c r="M277" i="1"/>
  <c r="M273" i="1"/>
  <c r="M270" i="1"/>
  <c r="M269" i="1"/>
  <c r="M268" i="1"/>
  <c r="M266" i="1"/>
  <c r="M265" i="1"/>
  <c r="M262" i="1"/>
  <c r="M261" i="1"/>
  <c r="M258" i="1"/>
  <c r="M254" i="1"/>
  <c r="M252" i="1"/>
  <c r="M249" i="1"/>
  <c r="M248" i="1"/>
  <c r="M246" i="1"/>
  <c r="M239" i="1"/>
  <c r="M237" i="1"/>
  <c r="M234" i="1"/>
  <c r="M233" i="1"/>
  <c r="M224" i="1"/>
  <c r="M223" i="1"/>
  <c r="M222" i="1"/>
  <c r="M221" i="1"/>
  <c r="M220" i="1"/>
  <c r="M219" i="1"/>
  <c r="M217" i="1"/>
  <c r="M216" i="1"/>
  <c r="M215" i="1"/>
  <c r="M213" i="1"/>
  <c r="M211" i="1"/>
  <c r="M208" i="1"/>
  <c r="M207" i="1"/>
  <c r="M205" i="1"/>
  <c r="M202" i="1"/>
  <c r="M199" i="1"/>
  <c r="M197" i="1"/>
  <c r="M196" i="1"/>
  <c r="M194" i="1"/>
  <c r="M192" i="1"/>
  <c r="M191" i="1"/>
  <c r="M190" i="1"/>
  <c r="M185" i="1"/>
  <c r="M184" i="1"/>
  <c r="M183" i="1"/>
  <c r="M181" i="1"/>
  <c r="M180" i="1"/>
  <c r="M178" i="1"/>
  <c r="M176" i="1"/>
  <c r="M175" i="1"/>
  <c r="M174" i="1"/>
  <c r="M172" i="1"/>
  <c r="M167" i="1"/>
  <c r="M165" i="1"/>
  <c r="M159" i="1"/>
  <c r="M158" i="1"/>
  <c r="M156" i="1"/>
  <c r="M155" i="1"/>
  <c r="M152" i="1"/>
  <c r="M150" i="1"/>
  <c r="M149" i="1"/>
  <c r="M148" i="1"/>
  <c r="M147" i="1"/>
  <c r="M146" i="1"/>
  <c r="M143" i="1"/>
  <c r="M142" i="1"/>
  <c r="M141" i="1"/>
  <c r="M140" i="1"/>
  <c r="M138" i="1"/>
  <c r="M135" i="1"/>
  <c r="M134" i="1"/>
  <c r="M132" i="1"/>
  <c r="M131" i="1"/>
  <c r="M129" i="1"/>
  <c r="M128" i="1"/>
  <c r="M127" i="1"/>
  <c r="M125" i="1"/>
  <c r="M124" i="1"/>
  <c r="M123" i="1"/>
  <c r="M122" i="1"/>
  <c r="M121" i="1"/>
  <c r="M120" i="1"/>
  <c r="M118" i="1"/>
  <c r="M115" i="1"/>
  <c r="M114" i="1"/>
  <c r="M113" i="1"/>
  <c r="M112" i="1"/>
  <c r="M111" i="1"/>
  <c r="M110" i="1"/>
  <c r="M109" i="1"/>
  <c r="M108" i="1"/>
  <c r="M107" i="1"/>
  <c r="M106" i="1"/>
  <c r="M105" i="1"/>
  <c r="M104" i="1"/>
  <c r="M103" i="1"/>
  <c r="M102" i="1"/>
  <c r="M101" i="1"/>
  <c r="M99" i="1"/>
  <c r="M98" i="1"/>
  <c r="M97" i="1"/>
  <c r="M96" i="1"/>
  <c r="M95" i="1"/>
  <c r="M94" i="1"/>
  <c r="M93" i="1"/>
  <c r="M92" i="1"/>
  <c r="M91" i="1"/>
  <c r="M89" i="1"/>
  <c r="M88" i="1"/>
  <c r="M87" i="1"/>
  <c r="M86" i="1"/>
  <c r="M85" i="1"/>
  <c r="M84" i="1"/>
  <c r="M83" i="1"/>
  <c r="M82" i="1"/>
  <c r="M80" i="1"/>
  <c r="M79" i="1"/>
  <c r="M78" i="1"/>
  <c r="M77" i="1"/>
  <c r="M76" i="1"/>
  <c r="M75" i="1"/>
  <c r="M74" i="1"/>
  <c r="M73" i="1"/>
  <c r="M72" i="1"/>
  <c r="M71" i="1"/>
  <c r="M70" i="1"/>
  <c r="M69" i="1"/>
  <c r="M68" i="1"/>
  <c r="M67" i="1"/>
  <c r="M66" i="1"/>
  <c r="M63" i="1"/>
  <c r="M62" i="1"/>
  <c r="M61" i="1"/>
  <c r="M60" i="1"/>
  <c r="M59" i="1"/>
  <c r="M58" i="1"/>
  <c r="M57" i="1"/>
  <c r="M56" i="1"/>
  <c r="M55" i="1"/>
  <c r="M53" i="1"/>
  <c r="M52" i="1"/>
  <c r="M51" i="1"/>
  <c r="M50" i="1"/>
  <c r="M49" i="1"/>
  <c r="M48" i="1"/>
  <c r="M47" i="1"/>
  <c r="M46" i="1"/>
  <c r="M45" i="1"/>
  <c r="M44" i="1"/>
  <c r="M43" i="1"/>
  <c r="M42" i="1"/>
  <c r="M41" i="1"/>
  <c r="M39" i="1"/>
  <c r="M38" i="1"/>
  <c r="M37" i="1"/>
  <c r="M35" i="1"/>
  <c r="M34" i="1"/>
  <c r="M33" i="1"/>
  <c r="M32" i="1"/>
  <c r="M31" i="1"/>
  <c r="M30" i="1"/>
  <c r="M29" i="1"/>
  <c r="M28" i="1"/>
  <c r="M27" i="1"/>
  <c r="M26" i="1"/>
  <c r="M25" i="1"/>
  <c r="M24" i="1"/>
  <c r="M23" i="1"/>
  <c r="M22" i="1"/>
  <c r="M21" i="1"/>
  <c r="M20" i="1"/>
  <c r="M19" i="1"/>
  <c r="M18" i="1"/>
  <c r="M17" i="1"/>
  <c r="M16" i="1"/>
  <c r="M14" i="1"/>
  <c r="M13" i="1"/>
  <c r="M12" i="1"/>
  <c r="M11" i="1"/>
  <c r="M9" i="1"/>
  <c r="M8" i="1"/>
  <c r="M7" i="1"/>
  <c r="M6" i="1"/>
  <c r="M5" i="1"/>
  <c r="M4" i="1"/>
  <c r="T96" i="1" l="1"/>
  <c r="T93" i="1"/>
  <c r="T87" i="1"/>
  <c r="T80" i="1"/>
  <c r="T73" i="1"/>
  <c r="T71" i="1"/>
  <c r="T56" i="1"/>
  <c r="T52" i="1"/>
  <c r="T51" i="1"/>
  <c r="T44" i="1"/>
  <c r="T43" i="1"/>
  <c r="T42" i="1"/>
  <c r="T39" i="1"/>
  <c r="T33" i="1"/>
  <c r="T29" i="1"/>
  <c r="T25" i="1"/>
  <c r="T21" i="1"/>
  <c r="T14" i="1"/>
  <c r="R58" i="1"/>
  <c r="T58" i="1" s="1"/>
  <c r="S65" i="1"/>
  <c r="R65" i="1"/>
  <c r="S40" i="1"/>
  <c r="R40" i="1"/>
  <c r="T40" i="1" l="1"/>
  <c r="M40" i="1"/>
  <c r="T65" i="1"/>
  <c r="M65" i="1"/>
  <c r="R15" i="1"/>
  <c r="S15" i="1"/>
  <c r="T15" i="1" l="1"/>
  <c r="M15" i="1"/>
  <c r="L90" i="1" l="1"/>
  <c r="M90" i="1" s="1"/>
  <c r="L36" i="1" l="1"/>
  <c r="M36" i="1" s="1"/>
  <c r="M837" i="1" s="1"/>
  <c r="M15" i="8" l="1"/>
  <c r="T15" i="8" s="1"/>
  <c r="T545" i="8" l="1"/>
  <c r="S15" i="8"/>
  <c r="M839" i="1" l="1"/>
  <c r="T26" i="4" l="1"/>
  <c r="L26" i="4" s="1"/>
  <c r="W26" i="4" s="1"/>
  <c r="T32" i="4" l="1"/>
  <c r="S32" i="4" s="1"/>
  <c r="T31" i="4"/>
  <c r="S31" i="4" l="1"/>
  <c r="T41" i="4"/>
  <c r="L41" i="4" s="1"/>
  <c r="W41" i="4" s="1"/>
  <c r="T85" i="4" l="1"/>
  <c r="S85" i="4" l="1"/>
  <c r="T86" i="4"/>
  <c r="L86" i="4" s="1"/>
  <c r="W8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lovely1002sr@naver.com</author>
  </authors>
  <commentList>
    <comment ref="S136" authorId="0" shapeId="0" xr:uid="{00000000-0006-0000-0000-000001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dhcst</author>
    <author>tc={D4D936F6-60FE-44D8-99AE-4496E3B5C4A9}</author>
  </authors>
  <commentList>
    <comment ref="Q22" authorId="0" shapeId="0" xr:uid="{00000000-0006-0000-0300-000001000000}">
      <text>
        <r>
          <rPr>
            <sz val="9"/>
            <color indexed="81"/>
            <rFont val="돋움"/>
            <family val="3"/>
            <charset val="129"/>
          </rPr>
          <t>두성토건</t>
        </r>
        <r>
          <rPr>
            <sz val="9"/>
            <color indexed="81"/>
            <rFont val="Tahoma"/>
            <family val="2"/>
          </rPr>
          <t xml:space="preserve"> </t>
        </r>
        <r>
          <rPr>
            <sz val="9"/>
            <color indexed="81"/>
            <rFont val="돋움"/>
            <family val="3"/>
            <charset val="129"/>
          </rPr>
          <t>가압류</t>
        </r>
        <r>
          <rPr>
            <sz val="9"/>
            <color indexed="81"/>
            <rFont val="Tahoma"/>
            <family val="2"/>
          </rPr>
          <t xml:space="preserve"> </t>
        </r>
        <r>
          <rPr>
            <sz val="9"/>
            <color indexed="81"/>
            <rFont val="돋움"/>
            <family val="3"/>
            <charset val="129"/>
          </rPr>
          <t xml:space="preserve">공제
</t>
        </r>
        <r>
          <rPr>
            <sz val="9"/>
            <color indexed="81"/>
            <rFont val="Tahoma"/>
            <family val="2"/>
          </rPr>
          <t xml:space="preserve">25-10-24 
</t>
        </r>
        <r>
          <rPr>
            <sz val="9"/>
            <color indexed="81"/>
            <rFont val="돋움"/>
            <family val="3"/>
            <charset val="129"/>
          </rPr>
          <t>두성토건</t>
        </r>
        <r>
          <rPr>
            <sz val="9"/>
            <color indexed="81"/>
            <rFont val="Tahoma"/>
            <family val="2"/>
          </rPr>
          <t xml:space="preserve"> </t>
        </r>
        <r>
          <rPr>
            <sz val="9"/>
            <color indexed="81"/>
            <rFont val="돋움"/>
            <family val="3"/>
            <charset val="129"/>
          </rPr>
          <t>채권압류해지완료</t>
        </r>
      </text>
    </comment>
    <comment ref="T61" authorId="1" shapeId="0" xr:uid="{00000000-0006-0000-0300-000002000000}">
      <text>
        <t xml:space="preserve">[스레드 댓글]
사용 중인 버전의 Excel에서 이 스레드 댓글을 읽을 수 있지만 파일을 이후 버전의 Excel에서 열면 편집 내용이 모두 제거됩니다. 자세한 정보: https://go.microsoft.com/fwlink/?linkid=870924.
댓글:
    고용보험공제 후 입금액:184,807,500원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dhcst</author>
  </authors>
  <commentList>
    <comment ref="D19" authorId="0" shapeId="0" xr:uid="{00000000-0006-0000-0800-000001000000}">
      <text>
        <r>
          <rPr>
            <sz val="10"/>
            <color indexed="81"/>
            <rFont val="Tahoma"/>
            <family val="2"/>
          </rPr>
          <t xml:space="preserve">24.04.30
</t>
        </r>
        <r>
          <rPr>
            <sz val="10"/>
            <color indexed="81"/>
            <rFont val="돋움"/>
            <family val="3"/>
            <charset val="129"/>
          </rPr>
          <t>동진산업</t>
        </r>
        <r>
          <rPr>
            <sz val="10"/>
            <color indexed="81"/>
            <rFont val="Tahoma"/>
            <family val="2"/>
          </rPr>
          <t xml:space="preserve"> </t>
        </r>
        <r>
          <rPr>
            <sz val="10"/>
            <color indexed="81"/>
            <rFont val="돋움"/>
            <family val="3"/>
            <charset val="129"/>
          </rPr>
          <t xml:space="preserve">미수금
</t>
        </r>
        <r>
          <rPr>
            <sz val="10"/>
            <color indexed="81"/>
            <rFont val="Tahoma"/>
            <family val="2"/>
          </rPr>
          <t>: 330,000,000(</t>
        </r>
        <r>
          <rPr>
            <sz val="10"/>
            <color indexed="81"/>
            <rFont val="돋움"/>
            <family val="3"/>
            <charset val="129"/>
          </rPr>
          <t>아산현장</t>
        </r>
        <r>
          <rPr>
            <sz val="10"/>
            <color indexed="81"/>
            <rFont val="Tahoma"/>
            <family val="2"/>
          </rPr>
          <t xml:space="preserve">) - </t>
        </r>
        <r>
          <rPr>
            <sz val="10"/>
            <color indexed="81"/>
            <rFont val="돋움"/>
            <family val="3"/>
            <charset val="129"/>
          </rPr>
          <t>관리부</t>
        </r>
        <r>
          <rPr>
            <sz val="10"/>
            <color indexed="81"/>
            <rFont val="Tahoma"/>
            <family val="2"/>
          </rPr>
          <t xml:space="preserve"> </t>
        </r>
        <r>
          <rPr>
            <sz val="10"/>
            <color indexed="81"/>
            <rFont val="돋움"/>
            <family val="3"/>
            <charset val="129"/>
          </rPr>
          <t>확인</t>
        </r>
      </text>
    </comment>
  </commentList>
</comments>
</file>

<file path=xl/sharedStrings.xml><?xml version="1.0" encoding="utf-8"?>
<sst xmlns="http://schemas.openxmlformats.org/spreadsheetml/2006/main" count="8191" uniqueCount="3622">
  <si>
    <t>No.</t>
    <phoneticPr fontId="2" type="noConversion"/>
  </si>
  <si>
    <t>작업일정 공사명</t>
    <phoneticPr fontId="2" type="noConversion"/>
  </si>
  <si>
    <t>관경</t>
    <phoneticPr fontId="2" type="noConversion"/>
  </si>
  <si>
    <t>Point</t>
    <phoneticPr fontId="2" type="noConversion"/>
  </si>
  <si>
    <t>작업수량</t>
    <phoneticPr fontId="2" type="noConversion"/>
  </si>
  <si>
    <t>착공일</t>
    <phoneticPr fontId="2" type="noConversion"/>
  </si>
  <si>
    <t>준공일</t>
    <phoneticPr fontId="2" type="noConversion"/>
  </si>
  <si>
    <t>발주처</t>
    <phoneticPr fontId="2" type="noConversion"/>
  </si>
  <si>
    <t>시공사</t>
    <phoneticPr fontId="2" type="noConversion"/>
  </si>
  <si>
    <t>계약금액</t>
    <phoneticPr fontId="2" type="noConversion"/>
  </si>
  <si>
    <t>총액</t>
    <phoneticPr fontId="2" type="noConversion"/>
  </si>
  <si>
    <t>단가</t>
    <phoneticPr fontId="2" type="noConversion"/>
  </si>
  <si>
    <t>계산서</t>
    <phoneticPr fontId="2" type="noConversion"/>
  </si>
  <si>
    <t>관련폴더</t>
    <phoneticPr fontId="2" type="noConversion"/>
  </si>
  <si>
    <t>공사명</t>
    <phoneticPr fontId="2" type="noConversion"/>
  </si>
  <si>
    <t>Project명</t>
    <phoneticPr fontId="2" type="noConversion"/>
  </si>
  <si>
    <t>가배관</t>
    <phoneticPr fontId="2" type="noConversion"/>
  </si>
  <si>
    <t>거리</t>
    <phoneticPr fontId="2" type="noConversion"/>
  </si>
  <si>
    <t>종류</t>
    <phoneticPr fontId="2" type="noConversion"/>
  </si>
  <si>
    <t>유체</t>
    <phoneticPr fontId="2" type="noConversion"/>
  </si>
  <si>
    <t>배관</t>
    <phoneticPr fontId="2" type="noConversion"/>
  </si>
  <si>
    <t>강관</t>
    <phoneticPr fontId="2" type="noConversion"/>
  </si>
  <si>
    <t>비고</t>
    <phoneticPr fontId="2" type="noConversion"/>
  </si>
  <si>
    <t>규격</t>
    <phoneticPr fontId="2" type="noConversion"/>
  </si>
  <si>
    <t>함안 600Ax450 2P 주철</t>
    <phoneticPr fontId="2" type="noConversion"/>
  </si>
  <si>
    <t>상수도</t>
    <phoneticPr fontId="2" type="noConversion"/>
  </si>
  <si>
    <t>주철관</t>
    <phoneticPr fontId="2" type="noConversion"/>
  </si>
  <si>
    <t>가야3단계 하수관로 정비사업/함안군 상수도 부단수 양단차단 공사</t>
    <phoneticPr fontId="2" type="noConversion"/>
  </si>
  <si>
    <t>600*450 / 2P</t>
    <phoneticPr fontId="2" type="noConversion"/>
  </si>
  <si>
    <t>창원 800Ax600 1P</t>
    <phoneticPr fontId="2" type="noConversion"/>
  </si>
  <si>
    <t>800*600</t>
    <phoneticPr fontId="2" type="noConversion"/>
  </si>
  <si>
    <t>수자원공사</t>
    <phoneticPr fontId="2" type="noConversion"/>
  </si>
  <si>
    <t>고양 900Ax900 1P풀패드 천공(제)</t>
    <phoneticPr fontId="2" type="noConversion"/>
  </si>
  <si>
    <t>SD-00671-01</t>
    <phoneticPr fontId="2" type="noConversion"/>
  </si>
  <si>
    <t>900*900</t>
    <phoneticPr fontId="2" type="noConversion"/>
  </si>
  <si>
    <t>대자배수지 및 상수관로 신설공사 中 상수도 관경별 부단수 천공 공사</t>
    <phoneticPr fontId="2" type="noConversion"/>
  </si>
  <si>
    <t>청주 1650Ax1200 1P 천공</t>
    <phoneticPr fontId="2" type="noConversion"/>
  </si>
  <si>
    <t>동명건설</t>
    <phoneticPr fontId="2" type="noConversion"/>
  </si>
  <si>
    <t>SK하이닉스 신규공장 공업용수 공급사업(2단계) 中 부단수 천공 공사</t>
    <phoneticPr fontId="2" type="noConversion"/>
  </si>
  <si>
    <t>SD-00672-01</t>
    <phoneticPr fontId="2" type="noConversion"/>
  </si>
  <si>
    <t>고양 1200Ax900 1P 풀패드 천공(제)</t>
    <phoneticPr fontId="2" type="noConversion"/>
  </si>
  <si>
    <t>동명건설</t>
    <phoneticPr fontId="2" type="noConversion"/>
  </si>
  <si>
    <t>수자원공사</t>
    <phoneticPr fontId="2" type="noConversion"/>
  </si>
  <si>
    <t>수자원기술주식회사</t>
    <phoneticPr fontId="2" type="noConversion"/>
  </si>
  <si>
    <t>신양건설</t>
    <phoneticPr fontId="2" type="noConversion"/>
  </si>
  <si>
    <t>JD-00453-01</t>
    <phoneticPr fontId="2" type="noConversion"/>
  </si>
  <si>
    <t>지역난방</t>
    <phoneticPr fontId="2" type="noConversion"/>
  </si>
  <si>
    <t>강관</t>
    <phoneticPr fontId="2" type="noConversion"/>
  </si>
  <si>
    <t>250 / 2P</t>
    <phoneticPr fontId="2" type="noConversion"/>
  </si>
  <si>
    <t>GS파워 부천</t>
    <phoneticPr fontId="2" type="noConversion"/>
  </si>
  <si>
    <t>승재공영</t>
    <phoneticPr fontId="2" type="noConversion"/>
  </si>
  <si>
    <t>2021년 안양 및 부천지역 열수송관 무차단공사 단가계약</t>
    <phoneticPr fontId="2" type="noConversion"/>
  </si>
  <si>
    <t>JD-00449-01</t>
    <phoneticPr fontId="2" type="noConversion"/>
  </si>
  <si>
    <t>500A / 4공</t>
    <phoneticPr fontId="2" type="noConversion"/>
  </si>
  <si>
    <t>GS건설</t>
    <phoneticPr fontId="2" type="noConversion"/>
  </si>
  <si>
    <t>GS네오텍㈜</t>
    <phoneticPr fontId="2" type="noConversion"/>
  </si>
  <si>
    <t>return 4천만원 건</t>
    <phoneticPr fontId="2" type="noConversion"/>
  </si>
  <si>
    <t>파주 800Ax400 1PSUS 천공(KS10K)</t>
    <phoneticPr fontId="2" type="noConversion"/>
  </si>
  <si>
    <t>SD-00794-01</t>
    <phoneticPr fontId="2" type="noConversion"/>
  </si>
  <si>
    <t>공업용수</t>
    <phoneticPr fontId="2" type="noConversion"/>
  </si>
  <si>
    <t>서스</t>
    <phoneticPr fontId="2" type="noConversion"/>
  </si>
  <si>
    <t>800x400</t>
    <phoneticPr fontId="2" type="noConversion"/>
  </si>
  <si>
    <t>대방건설</t>
    <phoneticPr fontId="2" type="noConversion"/>
  </si>
  <si>
    <t>미계약 선진행 건</t>
    <phoneticPr fontId="2" type="noConversion"/>
  </si>
  <si>
    <t>JD-00454-01</t>
    <phoneticPr fontId="2" type="noConversion"/>
  </si>
  <si>
    <t>700 / 4P</t>
    <phoneticPr fontId="2" type="noConversion"/>
  </si>
  <si>
    <t>지성엔지니어링</t>
    <phoneticPr fontId="2" type="noConversion"/>
  </si>
  <si>
    <t>분당 100A 2P</t>
    <phoneticPr fontId="2" type="noConversion"/>
  </si>
  <si>
    <t>JD-00466-01</t>
    <phoneticPr fontId="2" type="noConversion"/>
  </si>
  <si>
    <t>한국지역난방공사 분당</t>
    <phoneticPr fontId="2" type="noConversion"/>
  </si>
  <si>
    <t>2021년 열수송관 천공 및 차단공사(1권역)</t>
    <phoneticPr fontId="2" type="noConversion"/>
  </si>
  <si>
    <t>JD-00467-01</t>
    <phoneticPr fontId="2" type="noConversion"/>
  </si>
  <si>
    <t>한국지역난방공사 강남</t>
    <phoneticPr fontId="2" type="noConversion"/>
  </si>
  <si>
    <t>세경엔지니어링</t>
    <phoneticPr fontId="2" type="noConversion"/>
  </si>
  <si>
    <t>분당 600A 난방 4P</t>
    <phoneticPr fontId="2" type="noConversion"/>
  </si>
  <si>
    <t>JD-00465-01</t>
    <phoneticPr fontId="2" type="noConversion"/>
  </si>
  <si>
    <t>부천 125A 난방 2P</t>
    <phoneticPr fontId="2" type="noConversion"/>
  </si>
  <si>
    <t>JD-00462-01</t>
    <phoneticPr fontId="2" type="noConversion"/>
  </si>
  <si>
    <t>강남 800A 난방 2P T.O.R 4P 추가</t>
    <phoneticPr fontId="2" type="noConversion"/>
  </si>
  <si>
    <t>JD-00470-01</t>
    <phoneticPr fontId="2" type="noConversion"/>
  </si>
  <si>
    <t>리오트</t>
    <phoneticPr fontId="2" type="noConversion"/>
  </si>
  <si>
    <t>부단수 공사 계약 관리 대장</t>
    <phoneticPr fontId="2" type="noConversion"/>
  </si>
  <si>
    <t>JD-00474-01</t>
    <phoneticPr fontId="2" type="noConversion"/>
  </si>
  <si>
    <t>GS파워 안양</t>
    <phoneticPr fontId="2" type="noConversion"/>
  </si>
  <si>
    <t>한은ENC</t>
    <phoneticPr fontId="2" type="noConversion"/>
  </si>
  <si>
    <t>아전ENC</t>
    <phoneticPr fontId="2" type="noConversion"/>
  </si>
  <si>
    <t>청주 850A 난방 4P</t>
    <phoneticPr fontId="2" type="noConversion"/>
  </si>
  <si>
    <t>JD-00461-01</t>
    <phoneticPr fontId="2" type="noConversion"/>
  </si>
  <si>
    <t>한국지역난방공사 청주</t>
    <phoneticPr fontId="2" type="noConversion"/>
  </si>
  <si>
    <t>청주 300A 난방 2P</t>
    <phoneticPr fontId="2" type="noConversion"/>
  </si>
  <si>
    <t>JD-00459-01</t>
    <phoneticPr fontId="2" type="noConversion"/>
  </si>
  <si>
    <t>변경계약(TOR추가)</t>
    <phoneticPr fontId="2" type="noConversion"/>
  </si>
  <si>
    <t>변경계약(TOR 야간 추가건)</t>
    <phoneticPr fontId="2" type="noConversion"/>
  </si>
  <si>
    <t>SD-00798-01</t>
    <phoneticPr fontId="2" type="noConversion"/>
  </si>
  <si>
    <t>포항 1350Ax700 1P풀패드 천공(제)</t>
    <phoneticPr fontId="2" type="noConversion"/>
  </si>
  <si>
    <t>상수도</t>
    <phoneticPr fontId="2" type="noConversion"/>
  </si>
  <si>
    <t>1350*700 / 1P</t>
    <phoneticPr fontId="2" type="noConversion"/>
  </si>
  <si>
    <t>1200*900 / 1P</t>
    <phoneticPr fontId="2" type="noConversion"/>
  </si>
  <si>
    <t>엘케이건설</t>
    <phoneticPr fontId="2" type="noConversion"/>
  </si>
  <si>
    <t>그린개발</t>
    <phoneticPr fontId="2" type="noConversion"/>
  </si>
  <si>
    <t>포항 블루밸리 산업단지 용수공급 시설공사</t>
    <phoneticPr fontId="2" type="noConversion"/>
  </si>
  <si>
    <t>JD-00475-01</t>
    <phoneticPr fontId="2" type="noConversion"/>
  </si>
  <si>
    <t>부천 800A 난방 2P</t>
    <phoneticPr fontId="2" type="noConversion"/>
  </si>
  <si>
    <t>안산 600Ax450 2P 주철</t>
    <phoneticPr fontId="2" type="noConversion"/>
  </si>
  <si>
    <t>SD-00717-01</t>
    <phoneticPr fontId="2" type="noConversion"/>
  </si>
  <si>
    <t>600*450 / 2P</t>
    <phoneticPr fontId="2" type="noConversion"/>
  </si>
  <si>
    <t>주철관</t>
    <phoneticPr fontId="2" type="noConversion"/>
  </si>
  <si>
    <t>안산시</t>
    <phoneticPr fontId="2" type="noConversion"/>
  </si>
  <si>
    <t>안산시</t>
    <phoneticPr fontId="2" type="noConversion"/>
  </si>
  <si>
    <t>한두건설</t>
    <phoneticPr fontId="2" type="noConversion"/>
  </si>
  <si>
    <t>강관</t>
    <phoneticPr fontId="2" type="noConversion"/>
  </si>
  <si>
    <t>일동 성호로 노후관 교체공사</t>
    <phoneticPr fontId="2" type="noConversion"/>
  </si>
  <si>
    <t>800A / 2P</t>
    <phoneticPr fontId="2" type="noConversion"/>
  </si>
  <si>
    <t>FD-00035-01</t>
    <phoneticPr fontId="2" type="noConversion"/>
  </si>
  <si>
    <t>당진 분기티 500Ax400 1P</t>
    <phoneticPr fontId="2" type="noConversion"/>
  </si>
  <si>
    <t>당진 분기티 400Ax400 1P</t>
    <phoneticPr fontId="2" type="noConversion"/>
  </si>
  <si>
    <t>지역난방</t>
    <phoneticPr fontId="2" type="noConversion"/>
  </si>
  <si>
    <t>500*400</t>
    <phoneticPr fontId="2" type="noConversion"/>
  </si>
  <si>
    <t>400*400</t>
    <phoneticPr fontId="2" type="noConversion"/>
  </si>
  <si>
    <t>현대제철</t>
    <phoneticPr fontId="2" type="noConversion"/>
  </si>
  <si>
    <t>김남조</t>
    <phoneticPr fontId="2" type="noConversion"/>
  </si>
  <si>
    <t>피팅만 납품이였으나 천공을 못한다고 해서 천공 해줌</t>
    <phoneticPr fontId="2" type="noConversion"/>
  </si>
  <si>
    <t>JD-00477-01</t>
    <phoneticPr fontId="2" type="noConversion"/>
  </si>
  <si>
    <t>변경계약(TOR 야간 추가)</t>
    <phoneticPr fontId="2" type="noConversion"/>
  </si>
  <si>
    <t>JD-00455-01</t>
    <phoneticPr fontId="2" type="noConversion"/>
  </si>
  <si>
    <t>인천 500A 4P 난방</t>
    <phoneticPr fontId="2" type="noConversion"/>
  </si>
  <si>
    <t>500A / 4P</t>
    <phoneticPr fontId="2" type="noConversion"/>
  </si>
  <si>
    <t>인천 400A 10P 송유</t>
    <phoneticPr fontId="2" type="noConversion"/>
  </si>
  <si>
    <t>송유관</t>
    <phoneticPr fontId="2" type="noConversion"/>
  </si>
  <si>
    <t>400A</t>
    <phoneticPr fontId="2" type="noConversion"/>
  </si>
  <si>
    <t>문화지엔코</t>
    <phoneticPr fontId="2" type="noConversion"/>
  </si>
  <si>
    <t>인천국제공항공사</t>
    <phoneticPr fontId="2" type="noConversion"/>
  </si>
  <si>
    <t>인천국제공항 4단계 급유저장시설공사중 기계공사/라인스토핑 공사</t>
    <phoneticPr fontId="2" type="noConversion"/>
  </si>
  <si>
    <t>JD-00450-01</t>
    <phoneticPr fontId="2" type="noConversion"/>
  </si>
  <si>
    <t>과천 150A 4P 난방</t>
    <phoneticPr fontId="2" type="noConversion"/>
  </si>
  <si>
    <t>안산 600Ax450 2P 주철</t>
    <phoneticPr fontId="2" type="noConversion"/>
  </si>
  <si>
    <t>SD-00701-01</t>
    <phoneticPr fontId="2" type="noConversion"/>
  </si>
  <si>
    <t>보령 1200Ax850 2P</t>
    <phoneticPr fontId="2" type="noConversion"/>
  </si>
  <si>
    <t>SD-00714-01</t>
    <phoneticPr fontId="2" type="noConversion"/>
  </si>
  <si>
    <t>상수도</t>
    <phoneticPr fontId="2" type="noConversion"/>
  </si>
  <si>
    <t>강관</t>
    <phoneticPr fontId="2" type="noConversion"/>
  </si>
  <si>
    <t>1200A / 2P</t>
    <phoneticPr fontId="2" type="noConversion"/>
  </si>
  <si>
    <t>용두건설산업</t>
    <phoneticPr fontId="2" type="noConversion"/>
  </si>
  <si>
    <t>보령상수도현대화사업 창동중블록 유량계실 설치공사 중 상하수도설비공사</t>
    <phoneticPr fontId="2" type="noConversion"/>
  </si>
  <si>
    <t>새천년종합건설</t>
    <phoneticPr fontId="2" type="noConversion"/>
  </si>
  <si>
    <t>함안군 상하수도사업소</t>
    <phoneticPr fontId="2" type="noConversion"/>
  </si>
  <si>
    <t>SD-00796-01</t>
    <phoneticPr fontId="2" type="noConversion"/>
  </si>
  <si>
    <t>1650*1200</t>
    <phoneticPr fontId="2" type="noConversion"/>
  </si>
  <si>
    <t>SD-00791-01</t>
    <phoneticPr fontId="2" type="noConversion"/>
  </si>
  <si>
    <t>2021년 안양 및 부천지역 열수송관 무차단공사 단가계약</t>
    <phoneticPr fontId="2" type="noConversion"/>
  </si>
  <si>
    <t>과천 소각수열 열수송관 이설공사</t>
    <phoneticPr fontId="2" type="noConversion"/>
  </si>
  <si>
    <t>SD-00799-01</t>
    <phoneticPr fontId="2" type="noConversion"/>
  </si>
  <si>
    <t>포항 700Ax500 2P 주철</t>
    <phoneticPr fontId="2" type="noConversion"/>
  </si>
  <si>
    <t>700*500 / 2P</t>
    <phoneticPr fontId="2" type="noConversion"/>
  </si>
  <si>
    <t>수자원공사</t>
    <phoneticPr fontId="2" type="noConversion"/>
  </si>
  <si>
    <t>JD-00481-01</t>
    <phoneticPr fontId="2" type="noConversion"/>
  </si>
  <si>
    <t>부천 250A 난방 2P</t>
    <phoneticPr fontId="2" type="noConversion"/>
  </si>
  <si>
    <t>250 / 2P</t>
    <phoneticPr fontId="2" type="noConversion"/>
  </si>
  <si>
    <t>JD-00476-01</t>
    <phoneticPr fontId="2" type="noConversion"/>
  </si>
  <si>
    <t>부천 150A 난방 2P</t>
    <phoneticPr fontId="2" type="noConversion"/>
  </si>
  <si>
    <t>150 / 2P</t>
    <phoneticPr fontId="2" type="noConversion"/>
  </si>
  <si>
    <t>아전ENC</t>
    <phoneticPr fontId="2" type="noConversion"/>
  </si>
  <si>
    <t>천안 2200Ax1500 1P 차단</t>
    <phoneticPr fontId="2" type="noConversion"/>
  </si>
  <si>
    <t>SD-00606-01</t>
    <phoneticPr fontId="2" type="noConversion"/>
  </si>
  <si>
    <t>2200*1500</t>
    <phoneticPr fontId="2" type="noConversion"/>
  </si>
  <si>
    <t>동부건설</t>
    <phoneticPr fontId="2" type="noConversion"/>
  </si>
  <si>
    <t>대청댐계통(Ⅲ) 광역상수도사업 제2공구 정수시설공사</t>
    <phoneticPr fontId="2" type="noConversion"/>
  </si>
  <si>
    <t>JD-00478-01</t>
    <phoneticPr fontId="2" type="noConversion"/>
  </si>
  <si>
    <t>안양 200A 난방 2P</t>
    <phoneticPr fontId="2" type="noConversion"/>
  </si>
  <si>
    <t>200 / 2P</t>
    <phoneticPr fontId="2" type="noConversion"/>
  </si>
  <si>
    <t>분당 850A 난방 2P</t>
    <phoneticPr fontId="2" type="noConversion"/>
  </si>
  <si>
    <t>JD-00484-01</t>
    <phoneticPr fontId="2" type="noConversion"/>
  </si>
  <si>
    <t>JD-00485-01</t>
    <phoneticPr fontId="2" type="noConversion"/>
  </si>
  <si>
    <t>부천 125Ax65 2P 분기티</t>
    <phoneticPr fontId="2" type="noConversion"/>
  </si>
  <si>
    <t>김현수소장</t>
    <phoneticPr fontId="2" type="noConversion"/>
  </si>
  <si>
    <t>125*65 / 2P</t>
    <phoneticPr fontId="2" type="noConversion"/>
  </si>
  <si>
    <t>인천 400Ax400 1P 천공</t>
    <phoneticPr fontId="2" type="noConversion"/>
  </si>
  <si>
    <t>송유관</t>
    <phoneticPr fontId="2" type="noConversion"/>
  </si>
  <si>
    <t>400*400</t>
    <phoneticPr fontId="2" type="noConversion"/>
  </si>
  <si>
    <t>문화지엔코</t>
    <phoneticPr fontId="2" type="noConversion"/>
  </si>
  <si>
    <t>포항 도시가스 배관 Line Stopping</t>
    <phoneticPr fontId="2" type="noConversion"/>
  </si>
  <si>
    <t>수금현황</t>
    <phoneticPr fontId="2" type="noConversion"/>
  </si>
  <si>
    <t>1차</t>
    <phoneticPr fontId="2" type="noConversion"/>
  </si>
  <si>
    <t>2차</t>
    <phoneticPr fontId="2" type="noConversion"/>
  </si>
  <si>
    <t>VAT</t>
    <phoneticPr fontId="2" type="noConversion"/>
  </si>
  <si>
    <t>총 수금액
(VAT포함)</t>
    <phoneticPr fontId="2" type="noConversion"/>
  </si>
  <si>
    <t>미 수금액
(VAT포함)</t>
    <phoneticPr fontId="2" type="noConversion"/>
  </si>
  <si>
    <t>총  액
(VAT포함)</t>
    <phoneticPr fontId="2" type="noConversion"/>
  </si>
  <si>
    <t>신우엔지니어링</t>
    <phoneticPr fontId="2" type="noConversion"/>
  </si>
  <si>
    <t>500 / 2P</t>
    <phoneticPr fontId="2" type="noConversion"/>
  </si>
  <si>
    <t>GS파워</t>
    <phoneticPr fontId="2" type="noConversion"/>
  </si>
  <si>
    <t>승재공영</t>
    <phoneticPr fontId="2" type="noConversion"/>
  </si>
  <si>
    <t>당진 상수도 600A*500A*1P 천공(주철)</t>
    <phoneticPr fontId="2" type="noConversion"/>
  </si>
  <si>
    <t>준공처리할때 다른업체에 준 돈을 돌려받아야 함. 계약연기 21.9.30</t>
    <phoneticPr fontId="2" type="noConversion"/>
  </si>
  <si>
    <t>21.06.08(김종훈차장): 설계변경 후 타 업체에 내역 반영된 것 같다. 준공시 반영해 주겠다.</t>
    <phoneticPr fontId="2" type="noConversion"/>
  </si>
  <si>
    <t>시공계약 금액 맞추기 위해 자재계약 별도 체결(2017), 1백만 계산서 발행해야 함</t>
    <phoneticPr fontId="2" type="noConversion"/>
  </si>
  <si>
    <t>상수도</t>
    <phoneticPr fontId="2" type="noConversion"/>
  </si>
  <si>
    <t>주철관</t>
    <phoneticPr fontId="2" type="noConversion"/>
  </si>
  <si>
    <t>600*500</t>
    <phoneticPr fontId="2" type="noConversion"/>
  </si>
  <si>
    <t>동부건설</t>
    <phoneticPr fontId="2" type="noConversion"/>
  </si>
  <si>
    <t>1800*1000</t>
    <phoneticPr fontId="2" type="noConversion"/>
  </si>
  <si>
    <t>SD-00549-01</t>
    <phoneticPr fontId="2" type="noConversion"/>
  </si>
  <si>
    <t>강관</t>
    <phoneticPr fontId="2" type="noConversion"/>
  </si>
  <si>
    <t>대청댐 5공구 1800A*1000A*1P천공</t>
    <phoneticPr fontId="2" type="noConversion"/>
  </si>
  <si>
    <t>SD-00587-01</t>
    <phoneticPr fontId="2" type="noConversion"/>
  </si>
  <si>
    <t>충주댐 2공구 취수장 1500A*2P(재차단)</t>
    <phoneticPr fontId="2" type="noConversion"/>
  </si>
  <si>
    <t>1500*1000 / 2P</t>
    <phoneticPr fontId="2" type="noConversion"/>
  </si>
  <si>
    <r>
      <t xml:space="preserve">21.08.24 이준용이사-안병건팀장 ,최종 금액 확인. </t>
    </r>
    <r>
      <rPr>
        <sz val="9"/>
        <color rgb="FFFF0000"/>
        <rFont val="맑은 고딕"/>
        <family val="3"/>
        <charset val="129"/>
        <scheme val="minor"/>
      </rPr>
      <t>9월 계산서 발행예정</t>
    </r>
    <phoneticPr fontId="2" type="noConversion"/>
  </si>
  <si>
    <t>대청댐5공구 600A*300A*1P 천공(N)</t>
    <phoneticPr fontId="2" type="noConversion"/>
  </si>
  <si>
    <t>대청댐5공구 1800A*1000A*1P 천공(N)</t>
    <phoneticPr fontId="2" type="noConversion"/>
  </si>
  <si>
    <t>SD-00639-01</t>
    <phoneticPr fontId="2" type="noConversion"/>
  </si>
  <si>
    <t>SD-00638-01</t>
    <phoneticPr fontId="2" type="noConversion"/>
  </si>
  <si>
    <t>600*300</t>
    <phoneticPr fontId="2" type="noConversion"/>
  </si>
  <si>
    <t>600A차단건 -&gt; 600*500 1P 변경건</t>
    <phoneticPr fontId="2" type="noConversion"/>
  </si>
  <si>
    <t>공사현장 상황 상 추가건</t>
    <phoneticPr fontId="2" type="noConversion"/>
  </si>
  <si>
    <t>21.07.02(김종훈차장): 변경계약 후 기성진행 예정</t>
    <phoneticPr fontId="2" type="noConversion"/>
  </si>
  <si>
    <t>JD-00440-01</t>
    <phoneticPr fontId="2" type="noConversion"/>
  </si>
  <si>
    <t>송유관</t>
    <phoneticPr fontId="2" type="noConversion"/>
  </si>
  <si>
    <t>200 / 10P</t>
    <phoneticPr fontId="2" type="noConversion"/>
  </si>
  <si>
    <t>21/5/20 10P 중 3P 철거</t>
    <phoneticPr fontId="2" type="noConversion"/>
  </si>
  <si>
    <t>SD-00257-01</t>
    <phoneticPr fontId="2" type="noConversion"/>
  </si>
  <si>
    <t>과천 소각수열 열수송관 이설공사</t>
    <phoneticPr fontId="2" type="noConversion"/>
  </si>
  <si>
    <t>삼부토건</t>
    <phoneticPr fontId="2" type="noConversion"/>
  </si>
  <si>
    <t>강남 800A 난방 2P T.O.R 4P 추가</t>
    <phoneticPr fontId="2" type="noConversion"/>
  </si>
  <si>
    <t>대구 150A 난방 2P</t>
    <phoneticPr fontId="2" type="noConversion"/>
  </si>
  <si>
    <t>JD-00471-01</t>
    <phoneticPr fontId="2" type="noConversion"/>
  </si>
  <si>
    <t>한국지역난방공사 대구</t>
    <phoneticPr fontId="2" type="noConversion"/>
  </si>
  <si>
    <t>코오롱글로벌</t>
    <phoneticPr fontId="2" type="noConversion"/>
  </si>
  <si>
    <t>동해 1000Ax850 2P</t>
    <phoneticPr fontId="2" type="noConversion"/>
  </si>
  <si>
    <t>SD-00774-01</t>
    <phoneticPr fontId="2" type="noConversion"/>
  </si>
  <si>
    <t>상수도</t>
    <phoneticPr fontId="2" type="noConversion"/>
  </si>
  <si>
    <t>1000*850 / 2P</t>
    <phoneticPr fontId="2" type="noConversion"/>
  </si>
  <si>
    <t>동일건설</t>
    <phoneticPr fontId="2" type="noConversion"/>
  </si>
  <si>
    <t>청주 850A 난방 4P</t>
    <phoneticPr fontId="2" type="noConversion"/>
  </si>
  <si>
    <t>JD-00458-01</t>
    <phoneticPr fontId="2" type="noConversion"/>
  </si>
  <si>
    <t>한국지역난방공사 청주</t>
    <phoneticPr fontId="2" type="noConversion"/>
  </si>
  <si>
    <t>안양 300A 난방 4P</t>
    <phoneticPr fontId="2" type="noConversion"/>
  </si>
  <si>
    <t>JD-00479-01</t>
    <phoneticPr fontId="2" type="noConversion"/>
  </si>
  <si>
    <t>300 / 4P</t>
    <phoneticPr fontId="2" type="noConversion"/>
  </si>
  <si>
    <t>GS파워 안양</t>
    <phoneticPr fontId="2" type="noConversion"/>
  </si>
  <si>
    <t>9/9 2P 중 1P 철거/9/30 나머지 1P 철거</t>
    <phoneticPr fontId="2" type="noConversion"/>
  </si>
  <si>
    <t>부천 150A 난방 2P</t>
    <phoneticPr fontId="2" type="noConversion"/>
  </si>
  <si>
    <t>JD-00487-01</t>
    <phoneticPr fontId="2" type="noConversion"/>
  </si>
  <si>
    <t>150 / 2P</t>
    <phoneticPr fontId="2" type="noConversion"/>
  </si>
  <si>
    <t>포항 1000Ax750 1P</t>
    <phoneticPr fontId="2" type="noConversion"/>
  </si>
  <si>
    <t>화인종합건설-&gt;풍림건설</t>
    <phoneticPr fontId="2" type="noConversion"/>
  </si>
  <si>
    <t>수공 포항권관리단</t>
    <phoneticPr fontId="2" type="noConversion"/>
  </si>
  <si>
    <t>수공 태백권지사</t>
    <phoneticPr fontId="2" type="noConversion"/>
  </si>
  <si>
    <t>포항공업용수도 관로시설 개량사업(1) 2차 시설공사</t>
    <phoneticPr fontId="2" type="noConversion"/>
  </si>
  <si>
    <t>125 / 2P</t>
    <phoneticPr fontId="2" type="noConversion"/>
  </si>
  <si>
    <t>600 / 2P</t>
    <phoneticPr fontId="2" type="noConversion"/>
  </si>
  <si>
    <t>700*500 합쳐서</t>
    <phoneticPr fontId="2" type="noConversion"/>
  </si>
  <si>
    <t>용접사 비용 및 장비 야간들어간것=-100만</t>
    <phoneticPr fontId="2" type="noConversion"/>
  </si>
  <si>
    <t>대구 700A 난방 2P</t>
    <phoneticPr fontId="2" type="noConversion"/>
  </si>
  <si>
    <t>JD-00460-01</t>
    <phoneticPr fontId="2" type="noConversion"/>
  </si>
  <si>
    <t>인천 500A 4P 난방</t>
    <phoneticPr fontId="2" type="noConversion"/>
  </si>
  <si>
    <t>JD-00480-01</t>
    <phoneticPr fontId="2" type="noConversion"/>
  </si>
  <si>
    <t>500 / 4P</t>
    <phoneticPr fontId="2" type="noConversion"/>
  </si>
  <si>
    <t>지성엔지니어링</t>
    <phoneticPr fontId="2" type="noConversion"/>
  </si>
  <si>
    <t>JD-00486-01</t>
    <phoneticPr fontId="2" type="noConversion"/>
  </si>
  <si>
    <t>청주 300A 난방 2P</t>
    <phoneticPr fontId="2" type="noConversion"/>
  </si>
  <si>
    <t>엘케이건설</t>
    <phoneticPr fontId="2" type="noConversion"/>
  </si>
  <si>
    <t>JD-00489-01</t>
    <phoneticPr fontId="2" type="noConversion"/>
  </si>
  <si>
    <t>안양 750A 난방 2P</t>
    <phoneticPr fontId="2" type="noConversion"/>
  </si>
  <si>
    <t>750 / 2P</t>
    <phoneticPr fontId="2" type="noConversion"/>
  </si>
  <si>
    <t>분당 850A 난방 2P T.O.R 천공 6P 추가</t>
    <phoneticPr fontId="2" type="noConversion"/>
  </si>
  <si>
    <t>JD-00488-01</t>
    <phoneticPr fontId="2" type="noConversion"/>
  </si>
  <si>
    <t>한국지역난방공사 분당</t>
    <phoneticPr fontId="2" type="noConversion"/>
  </si>
  <si>
    <t>YD-00013-01</t>
    <phoneticPr fontId="2" type="noConversion"/>
  </si>
  <si>
    <r>
      <t xml:space="preserve">시공비-다받음 자재비-50만X2=100만원 </t>
    </r>
    <r>
      <rPr>
        <sz val="9"/>
        <color rgb="FFFF0000"/>
        <rFont val="맑은 고딕"/>
        <family val="3"/>
        <charset val="129"/>
        <scheme val="minor"/>
      </rPr>
      <t>준공</t>
    </r>
    <r>
      <rPr>
        <sz val="9"/>
        <color theme="1"/>
        <rFont val="맑은 고딕"/>
        <family val="2"/>
        <charset val="129"/>
        <scheme val="minor"/>
      </rPr>
      <t>시 받아야함</t>
    </r>
    <phoneticPr fontId="2" type="noConversion"/>
  </si>
  <si>
    <t>안산 800A 4P 난방</t>
    <phoneticPr fontId="2" type="noConversion"/>
  </si>
  <si>
    <t>신안산선구간 열수송관 이설 천공 및 차단공사(2구간)</t>
    <phoneticPr fontId="2" type="noConversion"/>
  </si>
  <si>
    <t>삼천리이엔지</t>
    <phoneticPr fontId="2" type="noConversion"/>
  </si>
  <si>
    <t>안산도시개발</t>
    <phoneticPr fontId="2" type="noConversion"/>
  </si>
  <si>
    <t>안산 700A 4P 난방</t>
    <phoneticPr fontId="2" type="noConversion"/>
  </si>
  <si>
    <t>JD-00451-01</t>
    <phoneticPr fontId="2" type="noConversion"/>
  </si>
  <si>
    <t>SD-00792-01</t>
    <phoneticPr fontId="2" type="noConversion"/>
  </si>
  <si>
    <t>이천~문경 철도건설사업 제6공구 건설공사-상수도 이설공사 중 부단수차단</t>
    <phoneticPr fontId="2" type="noConversion"/>
  </si>
  <si>
    <t>한국철도시설공단</t>
    <phoneticPr fontId="2" type="noConversion"/>
  </si>
  <si>
    <t>대성기공</t>
    <phoneticPr fontId="2" type="noConversion"/>
  </si>
  <si>
    <t>현대건설</t>
    <phoneticPr fontId="2" type="noConversion"/>
  </si>
  <si>
    <t>1350*900</t>
    <phoneticPr fontId="2" type="noConversion"/>
  </si>
  <si>
    <t>JD-00463-01</t>
    <phoneticPr fontId="2" type="noConversion"/>
  </si>
  <si>
    <t>과천 150A 2P 난방</t>
    <phoneticPr fontId="2" type="noConversion"/>
  </si>
  <si>
    <t>차단안하고 차단장비 먼저 철거</t>
    <phoneticPr fontId="2" type="noConversion"/>
  </si>
  <si>
    <t>JD-00456-01</t>
    <phoneticPr fontId="2" type="noConversion"/>
  </si>
  <si>
    <t>강남 900A 난방 2P</t>
    <phoneticPr fontId="2" type="noConversion"/>
  </si>
  <si>
    <t>한국지역난방공사 강남</t>
    <phoneticPr fontId="2" type="noConversion"/>
  </si>
  <si>
    <t>광진기업</t>
    <phoneticPr fontId="2" type="noConversion"/>
  </si>
  <si>
    <t>JD-00490-01</t>
    <phoneticPr fontId="2" type="noConversion"/>
  </si>
  <si>
    <t>김해 250A 난방 4P</t>
    <phoneticPr fontId="2" type="noConversion"/>
  </si>
  <si>
    <t>한국지역난방공사 김해</t>
    <phoneticPr fontId="2" type="noConversion"/>
  </si>
  <si>
    <t>해원산업</t>
    <phoneticPr fontId="2" type="noConversion"/>
  </si>
  <si>
    <t>영천 900Ax600 2P(Neck)</t>
    <phoneticPr fontId="2" type="noConversion"/>
  </si>
  <si>
    <t>900*600 / 2P</t>
    <phoneticPr fontId="2" type="noConversion"/>
  </si>
  <si>
    <t>수공 포항권관리단</t>
    <phoneticPr fontId="2" type="noConversion"/>
  </si>
  <si>
    <t>삼부토건</t>
    <phoneticPr fontId="2" type="noConversion"/>
  </si>
  <si>
    <t>JD-00492-01</t>
    <phoneticPr fontId="2" type="noConversion"/>
  </si>
  <si>
    <t>용인 200A 2P 난방</t>
    <phoneticPr fontId="2" type="noConversion"/>
  </si>
  <si>
    <t>한국지역난방공사 용인</t>
    <phoneticPr fontId="2" type="noConversion"/>
  </si>
  <si>
    <t>대주이엔티</t>
    <phoneticPr fontId="2" type="noConversion"/>
  </si>
  <si>
    <t>150A / 4공</t>
    <phoneticPr fontId="2" type="noConversion"/>
  </si>
  <si>
    <t>150A / 2공</t>
    <phoneticPr fontId="2" type="noConversion"/>
  </si>
  <si>
    <t>아이윌건설</t>
    <phoneticPr fontId="2" type="noConversion"/>
  </si>
  <si>
    <t>아이윌건설</t>
    <phoneticPr fontId="2" type="noConversion"/>
  </si>
  <si>
    <t>JD-00442-01</t>
    <phoneticPr fontId="2" type="noConversion"/>
  </si>
  <si>
    <t xml:space="preserve">인천 200A 10P 中 3P 송유 </t>
    <phoneticPr fontId="2" type="noConversion"/>
  </si>
  <si>
    <t>JD-00494-01</t>
    <phoneticPr fontId="2" type="noConversion"/>
  </si>
  <si>
    <t>125 / 2P</t>
    <phoneticPr fontId="2" type="noConversion"/>
  </si>
  <si>
    <t>SD-00801-01</t>
    <phoneticPr fontId="2" type="noConversion"/>
  </si>
  <si>
    <t>김포 700Ax500 4P (Neck)</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</si>
  <si>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</si>
  <si>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</si>
  <si>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</si>
  <si>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</si>
  <si>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21.10.21(전형순 관리차장 010.7576.7410) 계산서 끊어달라</t>
    <phoneticPr fontId="2" type="noConversion"/>
  </si>
  <si>
    <t>부천 125A 2P 난방</t>
    <phoneticPr fontId="2" type="noConversion"/>
  </si>
  <si>
    <t>JD-00488-01</t>
    <phoneticPr fontId="2" type="noConversion"/>
  </si>
  <si>
    <t>김진남부장</t>
    <phoneticPr fontId="2" type="noConversion"/>
  </si>
  <si>
    <t>JD-00495-01</t>
    <phoneticPr fontId="2" type="noConversion"/>
  </si>
  <si>
    <t>200 / 4P</t>
    <phoneticPr fontId="2" type="noConversion"/>
  </si>
  <si>
    <t>JD-00500-01</t>
    <phoneticPr fontId="2" type="noConversion"/>
  </si>
  <si>
    <t>분당 200A 2P 난방</t>
    <phoneticPr fontId="2" type="noConversion"/>
  </si>
  <si>
    <t>강남 800A 난방 2P</t>
    <phoneticPr fontId="2" type="noConversion"/>
  </si>
  <si>
    <t>광진기업</t>
    <phoneticPr fontId="2" type="noConversion"/>
  </si>
  <si>
    <t>충주 1000Ax850 2P</t>
    <phoneticPr fontId="2" type="noConversion"/>
  </si>
  <si>
    <t>1000*850 / 2P</t>
    <phoneticPr fontId="2" type="noConversion"/>
  </si>
  <si>
    <t>한신건설</t>
    <phoneticPr fontId="2" type="noConversion"/>
  </si>
  <si>
    <t>JD-00499-01</t>
    <phoneticPr fontId="2" type="noConversion"/>
  </si>
  <si>
    <t>강남 150A 2P 난방</t>
    <phoneticPr fontId="2" type="noConversion"/>
  </si>
  <si>
    <t>세경엔지니어링</t>
    <phoneticPr fontId="2" type="noConversion"/>
  </si>
  <si>
    <t>JD-00503-01</t>
    <phoneticPr fontId="2" type="noConversion"/>
  </si>
  <si>
    <t>용인 50A T.O.R 2P</t>
    <phoneticPr fontId="2" type="noConversion"/>
  </si>
  <si>
    <t>한국지역난방공사 용인</t>
    <phoneticPr fontId="2" type="noConversion"/>
  </si>
  <si>
    <t>충주댐공업용수도4공구 중 부단수 차단공사</t>
    <phoneticPr fontId="2" type="noConversion"/>
  </si>
  <si>
    <t>수공 충주권건설단</t>
    <phoneticPr fontId="2" type="noConversion"/>
  </si>
  <si>
    <t>2021년 열수송관 천공 및 차단공사(1권역)</t>
    <phoneticPr fontId="2" type="noConversion"/>
  </si>
  <si>
    <t>포항 블루밸리 산업단지 용수공급 시설공사</t>
    <phoneticPr fontId="2" type="noConversion"/>
  </si>
  <si>
    <t>SD-00797-01</t>
    <phoneticPr fontId="2" type="noConversion"/>
  </si>
  <si>
    <t>수공 창원권지사</t>
    <phoneticPr fontId="2" type="noConversion"/>
  </si>
  <si>
    <t>광역 상수관(800A, 강관) 라인스토핑 공사</t>
    <phoneticPr fontId="2" type="noConversion"/>
  </si>
  <si>
    <t>JD-00502-01</t>
    <phoneticPr fontId="2" type="noConversion"/>
  </si>
  <si>
    <t>125 / 2P</t>
    <phoneticPr fontId="2" type="noConversion"/>
  </si>
  <si>
    <t>SD-00595-01</t>
    <phoneticPr fontId="2" type="noConversion"/>
  </si>
  <si>
    <t>울산 2200Ax1500 1P 천공(3지점) 경사4도피팅</t>
    <phoneticPr fontId="2" type="noConversion"/>
  </si>
  <si>
    <t>2200*1500(천)</t>
    <phoneticPr fontId="2" type="noConversion"/>
  </si>
  <si>
    <t>회야댐~울산공업용수도 간 비상연계관로 설치사업</t>
    <phoneticPr fontId="2" type="noConversion"/>
  </si>
  <si>
    <t>수공 울산권지사</t>
    <phoneticPr fontId="2" type="noConversion"/>
  </si>
  <si>
    <t>해광건설</t>
    <phoneticPr fontId="2" type="noConversion"/>
  </si>
  <si>
    <t>SD-00781-01</t>
    <phoneticPr fontId="2" type="noConversion"/>
  </si>
  <si>
    <t>SD-00782-01</t>
    <phoneticPr fontId="2" type="noConversion"/>
  </si>
  <si>
    <t>파주 900Ax600 2P</t>
    <phoneticPr fontId="2" type="noConversion"/>
  </si>
  <si>
    <t>900*600 / 2P</t>
    <phoneticPr fontId="2" type="noConversion"/>
  </si>
  <si>
    <t>파주운정 택지개발 조성공사(2,5공구) 및 파주시도1호선확포장공사 중 상수도이설 및 설치공사</t>
    <phoneticPr fontId="2" type="noConversion"/>
  </si>
  <si>
    <t>파주시</t>
    <phoneticPr fontId="2" type="noConversion"/>
  </si>
  <si>
    <t>대방건설</t>
    <phoneticPr fontId="2" type="noConversion"/>
  </si>
  <si>
    <t>JD-00501-01</t>
    <phoneticPr fontId="2" type="noConversion"/>
  </si>
  <si>
    <t>강남 200A 2P 난방</t>
    <phoneticPr fontId="2" type="noConversion"/>
  </si>
  <si>
    <t>JD-00505-01</t>
    <phoneticPr fontId="2" type="noConversion"/>
  </si>
  <si>
    <t>청주 350A 2P 난방</t>
    <phoneticPr fontId="2" type="noConversion"/>
  </si>
  <si>
    <t>JD-00510-01</t>
    <phoneticPr fontId="2" type="noConversion"/>
  </si>
  <si>
    <t>부천 250A 난방 2P</t>
  </si>
  <si>
    <t>250 / 2P</t>
    <phoneticPr fontId="2" type="noConversion"/>
  </si>
  <si>
    <t>SM삼환기업</t>
    <phoneticPr fontId="2" type="noConversion"/>
  </si>
  <si>
    <t>김해 450A 4P 난방</t>
    <phoneticPr fontId="2" type="noConversion"/>
  </si>
  <si>
    <t>JD-00496-01</t>
    <phoneticPr fontId="2" type="noConversion"/>
  </si>
  <si>
    <t>한국지역난방공사 김해</t>
    <phoneticPr fontId="2" type="noConversion"/>
  </si>
  <si>
    <t>해원산업</t>
    <phoneticPr fontId="2" type="noConversion"/>
  </si>
  <si>
    <t>웅진고분자 계산서 발행</t>
    <phoneticPr fontId="2" type="noConversion"/>
  </si>
  <si>
    <t>SD-00660-01</t>
    <phoneticPr fontId="2" type="noConversion"/>
  </si>
  <si>
    <t>1500*1100 / 4P</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</si>
  <si>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</si>
  <si>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</si>
  <si>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</si>
  <si>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아산 1500A 2P-5차 준공금(시공)</t>
    <phoneticPr fontId="2" type="noConversion"/>
  </si>
  <si>
    <t>아산 1500A 2P-5차 준공금(납품)</t>
    <phoneticPr fontId="2" type="noConversion"/>
  </si>
  <si>
    <t>SD-00659-01</t>
    <phoneticPr fontId="2" type="noConversion"/>
  </si>
  <si>
    <t>역발행</t>
    <phoneticPr fontId="2" type="noConversion"/>
  </si>
  <si>
    <t>SD-00665-01</t>
    <phoneticPr fontId="2" type="noConversion"/>
  </si>
  <si>
    <t>실정보고 해야한다.</t>
    <phoneticPr fontId="2" type="noConversion"/>
  </si>
  <si>
    <t>JD-00508-01</t>
    <phoneticPr fontId="2" type="noConversion"/>
  </si>
  <si>
    <t>부천 200A 2P 난방</t>
    <phoneticPr fontId="2" type="noConversion"/>
  </si>
  <si>
    <t>200 / 2P</t>
    <phoneticPr fontId="2" type="noConversion"/>
  </si>
  <si>
    <t>JD-00513-01</t>
    <phoneticPr fontId="2" type="noConversion"/>
  </si>
  <si>
    <t>한국지역난방공사 분당</t>
    <phoneticPr fontId="2" type="noConversion"/>
  </si>
  <si>
    <t>JD-00514-01</t>
    <phoneticPr fontId="2" type="noConversion"/>
  </si>
  <si>
    <t>분당 80A 난방 2P(긴급)</t>
    <phoneticPr fontId="2" type="noConversion"/>
  </si>
  <si>
    <t>JD-00504-01</t>
    <phoneticPr fontId="2" type="noConversion"/>
  </si>
  <si>
    <t>인천 300A 2P 난방</t>
    <phoneticPr fontId="2" type="noConversion"/>
  </si>
  <si>
    <t>지성엔지니어링</t>
    <phoneticPr fontId="2" type="noConversion"/>
  </si>
  <si>
    <t>300 / 2P</t>
    <phoneticPr fontId="2" type="noConversion"/>
  </si>
  <si>
    <t>JD-00512-01</t>
    <phoneticPr fontId="2" type="noConversion"/>
  </si>
  <si>
    <t>부천 300Ax150 2P 분기티</t>
    <phoneticPr fontId="2" type="noConversion"/>
  </si>
  <si>
    <t>300*150 / 2P</t>
    <phoneticPr fontId="2" type="noConversion"/>
  </si>
  <si>
    <t>승재공영</t>
    <phoneticPr fontId="2" type="noConversion"/>
  </si>
  <si>
    <t>JD-00498-01</t>
    <phoneticPr fontId="2" type="noConversion"/>
  </si>
  <si>
    <t>부천 450A 4P 난방</t>
    <phoneticPr fontId="2" type="noConversion"/>
  </si>
  <si>
    <t>450 / 4P</t>
    <phoneticPr fontId="2" type="noConversion"/>
  </si>
  <si>
    <t>아전ENC</t>
    <phoneticPr fontId="2" type="noConversion"/>
  </si>
  <si>
    <t>일동 성호로 노후관 교체공사</t>
    <phoneticPr fontId="2" type="noConversion"/>
  </si>
  <si>
    <t>대우건설</t>
    <phoneticPr fontId="2" type="noConversion"/>
  </si>
  <si>
    <t>SD-00730-01</t>
    <phoneticPr fontId="2" type="noConversion"/>
  </si>
  <si>
    <t>2200*1500</t>
    <phoneticPr fontId="2" type="noConversion"/>
  </si>
  <si>
    <t>수공 경기서남권지사</t>
    <phoneticPr fontId="2" type="noConversion"/>
  </si>
  <si>
    <t>한영건설</t>
    <phoneticPr fontId="2" type="noConversion"/>
  </si>
  <si>
    <t>2021년 경기서남권 광역4단계 밸브 교체공사</t>
    <phoneticPr fontId="2" type="noConversion"/>
  </si>
  <si>
    <t>JD-00515-01</t>
    <phoneticPr fontId="2" type="noConversion"/>
  </si>
  <si>
    <t>용인 200A 난방 2P(긴급)</t>
    <phoneticPr fontId="2" type="noConversion"/>
  </si>
  <si>
    <t>한국지역난방공사 용인</t>
    <phoneticPr fontId="2" type="noConversion"/>
  </si>
  <si>
    <t>대주이엔티</t>
    <phoneticPr fontId="2" type="noConversion"/>
  </si>
  <si>
    <t>광역 상수관 관경별 부단수 천공 공사</t>
    <phoneticPr fontId="2" type="noConversion"/>
  </si>
  <si>
    <t>수공 충남중부권지사</t>
    <phoneticPr fontId="2" type="noConversion"/>
  </si>
  <si>
    <t>경도</t>
    <phoneticPr fontId="2" type="noConversion"/>
  </si>
  <si>
    <t>400*400</t>
    <phoneticPr fontId="2" type="noConversion"/>
  </si>
  <si>
    <t>300*300</t>
    <phoneticPr fontId="2" type="noConversion"/>
  </si>
  <si>
    <t>JD-00511-01</t>
    <phoneticPr fontId="2" type="noConversion"/>
  </si>
  <si>
    <t>안양 125A 2P 난방</t>
    <phoneticPr fontId="2" type="noConversion"/>
  </si>
  <si>
    <t>125 / 2P</t>
    <phoneticPr fontId="2" type="noConversion"/>
  </si>
  <si>
    <t>GS파워 안양</t>
    <phoneticPr fontId="2" type="noConversion"/>
  </si>
  <si>
    <t>한은ENC</t>
    <phoneticPr fontId="2" type="noConversion"/>
  </si>
  <si>
    <t>계룡건설</t>
    <phoneticPr fontId="2" type="noConversion"/>
  </si>
  <si>
    <t>JD-00452-01</t>
    <phoneticPr fontId="2" type="noConversion"/>
  </si>
  <si>
    <t>-</t>
    <phoneticPr fontId="2" type="noConversion"/>
  </si>
  <si>
    <t>-</t>
    <phoneticPr fontId="2" type="noConversion"/>
  </si>
  <si>
    <t>한국지역난방공사 청주 1회기성 직공비 外</t>
    <phoneticPr fontId="2" type="noConversion"/>
  </si>
  <si>
    <t>부단수 제외금액(예정금액)</t>
    <phoneticPr fontId="2" type="noConversion"/>
  </si>
  <si>
    <t>남는금액</t>
    <phoneticPr fontId="2" type="noConversion"/>
  </si>
  <si>
    <t>부천 250A 난방 2P</t>
    <phoneticPr fontId="2" type="noConversion"/>
  </si>
  <si>
    <t>과천 500A 4P 난방</t>
    <phoneticPr fontId="2" type="noConversion"/>
  </si>
  <si>
    <t>부천 700A 4P 난방</t>
    <phoneticPr fontId="2" type="noConversion"/>
  </si>
  <si>
    <t>안양 600A 난방 2P</t>
    <phoneticPr fontId="2" type="noConversion"/>
  </si>
  <si>
    <t>부단수 제외금액(실제계산서보온)</t>
    <phoneticPr fontId="2" type="noConversion"/>
  </si>
  <si>
    <t>1000*750</t>
    <phoneticPr fontId="2" type="noConversion"/>
  </si>
  <si>
    <t>SD-00735-01</t>
    <phoneticPr fontId="2" type="noConversion"/>
  </si>
  <si>
    <t>SD-00770-01</t>
    <phoneticPr fontId="2" type="noConversion"/>
  </si>
  <si>
    <t>용인 900Ax900 1P 풀패드천공(제)</t>
    <phoneticPr fontId="2" type="noConversion"/>
  </si>
  <si>
    <t>900*900</t>
    <phoneticPr fontId="2" type="noConversion"/>
  </si>
  <si>
    <t>수지정수장 2차 고도정수처리도입 시설공사 중 부단수 천공 용역</t>
    <phoneticPr fontId="2" type="noConversion"/>
  </si>
  <si>
    <t>대저건설</t>
    <phoneticPr fontId="2" type="noConversion"/>
  </si>
  <si>
    <t>수공 동남권지사</t>
    <phoneticPr fontId="2" type="noConversion"/>
  </si>
  <si>
    <t>인천국제공항공사</t>
    <phoneticPr fontId="2" type="noConversion"/>
  </si>
  <si>
    <t>영천댐 안전성 강화사업 건설공사 중 부단수 차단</t>
    <phoneticPr fontId="2" type="noConversion"/>
  </si>
  <si>
    <t>달방댐 안정성강화사업 건설공사 중 부단수 차단공사</t>
    <phoneticPr fontId="2" type="noConversion"/>
  </si>
  <si>
    <t>JD-00506-01</t>
    <phoneticPr fontId="2" type="noConversion"/>
  </si>
  <si>
    <t>부천 500Ax125 2P 분기티</t>
    <phoneticPr fontId="2" type="noConversion"/>
  </si>
  <si>
    <t>500*125 / 2P</t>
    <phoneticPr fontId="2" type="noConversion"/>
  </si>
  <si>
    <t>JD-00507-01</t>
    <phoneticPr fontId="2" type="noConversion"/>
  </si>
  <si>
    <t>JD-00517-01</t>
    <phoneticPr fontId="2" type="noConversion"/>
  </si>
  <si>
    <t>안양 125A 2P 난방</t>
    <phoneticPr fontId="2" type="noConversion"/>
  </si>
  <si>
    <t>125 / 2P</t>
    <phoneticPr fontId="2" type="noConversion"/>
  </si>
  <si>
    <t>JD-00516-01</t>
    <phoneticPr fontId="2" type="noConversion"/>
  </si>
  <si>
    <t>안양 250A 1P 난방</t>
    <phoneticPr fontId="2" type="noConversion"/>
  </si>
  <si>
    <t>JD-00521-01</t>
    <phoneticPr fontId="2" type="noConversion"/>
  </si>
  <si>
    <t>안양 150A 난방 2P</t>
    <phoneticPr fontId="2" type="noConversion"/>
  </si>
  <si>
    <t>150 / 2P</t>
    <phoneticPr fontId="2" type="noConversion"/>
  </si>
  <si>
    <t>250 / 1P</t>
    <phoneticPr fontId="2" type="noConversion"/>
  </si>
  <si>
    <t>JD-00522-01</t>
    <phoneticPr fontId="2" type="noConversion"/>
  </si>
  <si>
    <t>광교 200A 난방 1P</t>
    <phoneticPr fontId="2" type="noConversion"/>
  </si>
  <si>
    <t>한국지역난방공사 광교</t>
    <phoneticPr fontId="2" type="noConversion"/>
  </si>
  <si>
    <t>JD-00468-01</t>
    <phoneticPr fontId="2" type="noConversion"/>
  </si>
  <si>
    <t>양주 750A 4P</t>
    <phoneticPr fontId="2" type="noConversion"/>
  </si>
  <si>
    <t>아전이엔씨</t>
    <phoneticPr fontId="2" type="noConversion"/>
  </si>
  <si>
    <t>대륜발전</t>
    <phoneticPr fontId="2" type="noConversion"/>
  </si>
  <si>
    <t>JD-00520-01</t>
    <phoneticPr fontId="2" type="noConversion"/>
  </si>
  <si>
    <t>분당 500A 난방 1P(긴급)</t>
    <phoneticPr fontId="2" type="noConversion"/>
  </si>
  <si>
    <t>JD-00469-01</t>
    <phoneticPr fontId="2" type="noConversion"/>
  </si>
  <si>
    <t>JD-00519-01</t>
    <phoneticPr fontId="2" type="noConversion"/>
  </si>
  <si>
    <t>분당 100A 난방 2P(긴급)</t>
    <phoneticPr fontId="2" type="noConversion"/>
  </si>
  <si>
    <t>안양 125A 2P 난방</t>
    <phoneticPr fontId="2" type="noConversion"/>
  </si>
  <si>
    <t>인천공항 가스 100*1P, 125*1P</t>
    <phoneticPr fontId="2" type="noConversion"/>
  </si>
  <si>
    <t>-</t>
    <phoneticPr fontId="2" type="noConversion"/>
  </si>
  <si>
    <t>가스</t>
    <phoneticPr fontId="2" type="noConversion"/>
  </si>
  <si>
    <t>강관</t>
    <phoneticPr fontId="2" type="noConversion"/>
  </si>
  <si>
    <t>100*1P, 125*1P</t>
    <phoneticPr fontId="2" type="noConversion"/>
  </si>
  <si>
    <t>SD-00715-01</t>
    <phoneticPr fontId="2" type="noConversion"/>
  </si>
  <si>
    <t>연계열배관 이설공사</t>
    <phoneticPr fontId="2" type="noConversion"/>
  </si>
  <si>
    <t>울산 2200Ax1500 1P천공(2지점)</t>
    <phoneticPr fontId="2" type="noConversion"/>
  </si>
  <si>
    <t>JD-00518-01</t>
    <phoneticPr fontId="2" type="noConversion"/>
  </si>
  <si>
    <t>용인 450A 난방 4P(긴급)</t>
    <phoneticPr fontId="2" type="noConversion"/>
  </si>
  <si>
    <t>한국지역난방공사 용인</t>
    <phoneticPr fontId="2" type="noConversion"/>
  </si>
  <si>
    <t>의왕 T.O.R 200Ax50 천공</t>
    <phoneticPr fontId="2" type="noConversion"/>
  </si>
  <si>
    <t>YD-00014-01</t>
    <phoneticPr fontId="2" type="noConversion"/>
  </si>
  <si>
    <t>송유관</t>
    <phoneticPr fontId="2" type="noConversion"/>
  </si>
  <si>
    <t>남양진흥기업</t>
    <phoneticPr fontId="2" type="noConversion"/>
  </si>
  <si>
    <t>국방부</t>
    <phoneticPr fontId="2" type="noConversion"/>
  </si>
  <si>
    <t>JD-00457-01</t>
    <phoneticPr fontId="2" type="noConversion"/>
  </si>
  <si>
    <t>JD-00493-01</t>
    <phoneticPr fontId="2" type="noConversion"/>
  </si>
  <si>
    <t>JD-00497-01</t>
    <phoneticPr fontId="2" type="noConversion"/>
  </si>
  <si>
    <t>충주 1350A 4P</t>
    <phoneticPr fontId="2" type="noConversion"/>
  </si>
  <si>
    <t>에스코이에스</t>
    <phoneticPr fontId="2" type="noConversion"/>
  </si>
  <si>
    <t>JD-00491-01</t>
    <phoneticPr fontId="2" type="noConversion"/>
  </si>
  <si>
    <t>인천 500A 4P 난방</t>
    <phoneticPr fontId="2" type="noConversion"/>
  </si>
  <si>
    <t>500 / 4P</t>
    <phoneticPr fontId="2" type="noConversion"/>
  </si>
  <si>
    <t>지성엔지니어링</t>
    <phoneticPr fontId="2" type="noConversion"/>
  </si>
  <si>
    <t>JD-00524-01</t>
    <phoneticPr fontId="2" type="noConversion"/>
  </si>
  <si>
    <t>서울 600A 2P 난방</t>
    <phoneticPr fontId="2" type="noConversion"/>
  </si>
  <si>
    <t>서울에너지공사 동부지사</t>
    <phoneticPr fontId="2" type="noConversion"/>
  </si>
  <si>
    <t>JD-00525-01</t>
    <phoneticPr fontId="2" type="noConversion"/>
  </si>
  <si>
    <t>부천 125A 2P 난방</t>
    <phoneticPr fontId="2" type="noConversion"/>
  </si>
  <si>
    <t>125 / 2P</t>
    <phoneticPr fontId="2" type="noConversion"/>
  </si>
  <si>
    <t>아전이엔씨</t>
    <phoneticPr fontId="2" type="noConversion"/>
  </si>
  <si>
    <t>SD-00771-01</t>
    <phoneticPr fontId="2" type="noConversion"/>
  </si>
  <si>
    <t>전주 700Ax500 2P 주철(동진4P)</t>
    <phoneticPr fontId="2" type="noConversion"/>
  </si>
  <si>
    <t>700*500 / 2P</t>
    <phoneticPr fontId="2" type="noConversion"/>
  </si>
  <si>
    <t>21.11.19이병도팀장(010.3501.7875) 12월 5일 6일 다시 연락. 12/7 이민학 통화완료. 내용 확인후 전화주겠다</t>
    <phoneticPr fontId="2" type="noConversion"/>
  </si>
  <si>
    <t>부천 200A 4P 난방</t>
    <phoneticPr fontId="2" type="noConversion"/>
  </si>
  <si>
    <t>아태건설</t>
    <phoneticPr fontId="2" type="noConversion"/>
  </si>
  <si>
    <t>새만금-전주 고속도로 지장관로 이설공사</t>
    <phoneticPr fontId="2" type="noConversion"/>
  </si>
  <si>
    <t>수공 전주권지사</t>
    <phoneticPr fontId="2" type="noConversion"/>
  </si>
  <si>
    <t>12월20일까지 청구</t>
    <phoneticPr fontId="2" type="noConversion"/>
  </si>
  <si>
    <t>동진산업에서 작업건</t>
    <phoneticPr fontId="2" type="noConversion"/>
  </si>
  <si>
    <t>충주 1350A 4P 中 200A 2건(동진산업)</t>
    <phoneticPr fontId="2" type="noConversion"/>
  </si>
  <si>
    <t>구상에너지</t>
    <phoneticPr fontId="2" type="noConversion"/>
  </si>
  <si>
    <t>창원 상수도 600A*1P 차단</t>
    <phoneticPr fontId="2" type="noConversion"/>
  </si>
  <si>
    <t>창원 600Ax450 2P 주철</t>
    <phoneticPr fontId="2" type="noConversion"/>
  </si>
  <si>
    <t>450*350 / 2P</t>
    <phoneticPr fontId="2" type="noConversion"/>
  </si>
  <si>
    <t>수공 여수권지사</t>
    <phoneticPr fontId="2" type="noConversion"/>
  </si>
  <si>
    <t>SD-00736-01</t>
    <phoneticPr fontId="2" type="noConversion"/>
  </si>
  <si>
    <t>포항 1350Ax900 2P(동진)</t>
    <phoneticPr fontId="2" type="noConversion"/>
  </si>
  <si>
    <t>1350*900</t>
    <phoneticPr fontId="2" type="noConversion"/>
  </si>
  <si>
    <t>JD-00523-01</t>
    <phoneticPr fontId="2" type="noConversion"/>
  </si>
  <si>
    <t>안양 200A 4P 난방</t>
    <phoneticPr fontId="2" type="noConversion"/>
  </si>
  <si>
    <t>SD-00800-01</t>
    <phoneticPr fontId="2" type="noConversion"/>
  </si>
  <si>
    <t>SD-00594-01</t>
    <phoneticPr fontId="2" type="noConversion"/>
  </si>
  <si>
    <t>No.</t>
    <phoneticPr fontId="2" type="noConversion"/>
  </si>
  <si>
    <t>착공일</t>
    <phoneticPr fontId="2" type="noConversion"/>
  </si>
  <si>
    <t>준공일</t>
    <phoneticPr fontId="2" type="noConversion"/>
  </si>
  <si>
    <t>작업일정 공사명</t>
    <phoneticPr fontId="2" type="noConversion"/>
  </si>
  <si>
    <t>Project명</t>
    <phoneticPr fontId="2" type="noConversion"/>
  </si>
  <si>
    <t>종류</t>
    <phoneticPr fontId="2" type="noConversion"/>
  </si>
  <si>
    <t>작업수량</t>
    <phoneticPr fontId="2" type="noConversion"/>
  </si>
  <si>
    <t>발주처</t>
    <phoneticPr fontId="2" type="noConversion"/>
  </si>
  <si>
    <t>시공사</t>
    <phoneticPr fontId="2" type="noConversion"/>
  </si>
  <si>
    <t>계약금액</t>
    <phoneticPr fontId="2" type="noConversion"/>
  </si>
  <si>
    <t>계산서
(최초)</t>
    <phoneticPr fontId="2" type="noConversion"/>
  </si>
  <si>
    <t>공사명</t>
    <phoneticPr fontId="2" type="noConversion"/>
  </si>
  <si>
    <t>비고</t>
    <phoneticPr fontId="2" type="noConversion"/>
  </si>
  <si>
    <t>관련폴더</t>
    <phoneticPr fontId="2" type="noConversion"/>
  </si>
  <si>
    <t>부단수 제외금액</t>
    <phoneticPr fontId="2" type="noConversion"/>
  </si>
  <si>
    <t>단가</t>
    <phoneticPr fontId="2" type="noConversion"/>
  </si>
  <si>
    <t>배관</t>
    <phoneticPr fontId="2" type="noConversion"/>
  </si>
  <si>
    <t>Point</t>
    <phoneticPr fontId="2" type="noConversion"/>
  </si>
  <si>
    <t>원나인건설</t>
    <phoneticPr fontId="2" type="noConversion"/>
  </si>
  <si>
    <t>1350 / 2P</t>
    <phoneticPr fontId="2" type="noConversion"/>
  </si>
  <si>
    <t>400 / 4P</t>
    <phoneticPr fontId="2" type="noConversion"/>
  </si>
  <si>
    <t>에이치플러스에코</t>
    <phoneticPr fontId="2" type="noConversion"/>
  </si>
  <si>
    <t>1100 / 2P</t>
    <phoneticPr fontId="2" type="noConversion"/>
  </si>
  <si>
    <t>400 / 2P</t>
    <phoneticPr fontId="2" type="noConversion"/>
  </si>
  <si>
    <t>PC관</t>
    <phoneticPr fontId="2" type="noConversion"/>
  </si>
  <si>
    <t>350 / 2P</t>
    <phoneticPr fontId="2" type="noConversion"/>
  </si>
  <si>
    <t>800 / 2P</t>
    <phoneticPr fontId="2" type="noConversion"/>
  </si>
  <si>
    <t>700 / 2P</t>
    <phoneticPr fontId="2" type="noConversion"/>
  </si>
  <si>
    <t>900 / 4P</t>
    <phoneticPr fontId="2" type="noConversion"/>
  </si>
  <si>
    <t>900 / 2P</t>
    <phoneticPr fontId="2" type="noConversion"/>
  </si>
  <si>
    <t>1000 / 2P</t>
    <phoneticPr fontId="2" type="noConversion"/>
  </si>
  <si>
    <t>한신공영</t>
    <phoneticPr fontId="2" type="noConversion"/>
  </si>
  <si>
    <t>600 / 1P</t>
    <phoneticPr fontId="2" type="noConversion"/>
  </si>
  <si>
    <t>광명시</t>
    <phoneticPr fontId="2" type="noConversion"/>
  </si>
  <si>
    <t>350 / 4P</t>
    <phoneticPr fontId="2" type="noConversion"/>
  </si>
  <si>
    <t>거륜에너텍</t>
    <phoneticPr fontId="2" type="noConversion"/>
  </si>
  <si>
    <t>GS네오텍㈜</t>
    <phoneticPr fontId="2" type="noConversion"/>
  </si>
  <si>
    <t>GS파워 부천</t>
    <phoneticPr fontId="2" type="noConversion"/>
  </si>
  <si>
    <t>수자원기술주식회사</t>
    <phoneticPr fontId="2" type="noConversion"/>
  </si>
  <si>
    <t>2021년 열수송관 천공 및 차단공사(1권역)</t>
    <phoneticPr fontId="2" type="noConversion"/>
  </si>
  <si>
    <t>SD-00806-01</t>
    <phoneticPr fontId="2" type="noConversion"/>
  </si>
  <si>
    <t>SD-00807-01</t>
    <phoneticPr fontId="2" type="noConversion"/>
  </si>
  <si>
    <t>수공 동남권지사</t>
    <phoneticPr fontId="2" type="noConversion"/>
  </si>
  <si>
    <t>대성기공</t>
    <phoneticPr fontId="2" type="noConversion"/>
  </si>
  <si>
    <t>한국지역난방공사 강남</t>
    <phoneticPr fontId="2" type="noConversion"/>
  </si>
  <si>
    <t>700 / 4P</t>
    <phoneticPr fontId="2" type="noConversion"/>
  </si>
  <si>
    <t>광장이엠씨</t>
    <phoneticPr fontId="2" type="noConversion"/>
  </si>
  <si>
    <t>2200*1500 / 2P</t>
    <phoneticPr fontId="2" type="noConversion"/>
  </si>
  <si>
    <t>한국도로공사</t>
    <phoneticPr fontId="2" type="noConversion"/>
  </si>
  <si>
    <t>안성구리광역상수도이설공사 중 부단수차단 서울시4개소</t>
    <phoneticPr fontId="2" type="noConversion"/>
  </si>
  <si>
    <t>디엘건설(고려개발)</t>
    <phoneticPr fontId="2" type="noConversion"/>
  </si>
  <si>
    <t>LH</t>
    <phoneticPr fontId="2" type="noConversion"/>
  </si>
  <si>
    <t>200 / 4P</t>
    <phoneticPr fontId="2" type="noConversion"/>
  </si>
  <si>
    <t>JD-00523-01</t>
    <phoneticPr fontId="2" type="noConversion"/>
  </si>
  <si>
    <t>안양 200A 2P 난방</t>
    <phoneticPr fontId="2" type="noConversion"/>
  </si>
  <si>
    <t>200 / 2P</t>
    <phoneticPr fontId="2" type="noConversion"/>
  </si>
  <si>
    <t>SD-00811-01</t>
    <phoneticPr fontId="2" type="noConversion"/>
  </si>
  <si>
    <t>김포 1800Ax450 1P 천공</t>
    <phoneticPr fontId="2" type="noConversion"/>
  </si>
  <si>
    <t>1800*450 / 1P</t>
    <phoneticPr fontId="2" type="noConversion"/>
  </si>
  <si>
    <t>서부발전소</t>
    <phoneticPr fontId="2" type="noConversion"/>
  </si>
  <si>
    <t>김포열병합관 건설 공업용수 관로공사</t>
    <phoneticPr fontId="2" type="noConversion"/>
  </si>
  <si>
    <t>강우기업</t>
    <phoneticPr fontId="2" type="noConversion"/>
  </si>
  <si>
    <t>삼천리이엔지</t>
    <phoneticPr fontId="2" type="noConversion"/>
  </si>
  <si>
    <t>계약 900X2P=1개소
800X2P=3개소</t>
    <phoneticPr fontId="2" type="noConversion"/>
  </si>
  <si>
    <t>12월 안에 계산서 발행 예정(관로포함)-김진남부장</t>
    <phoneticPr fontId="2" type="noConversion"/>
  </si>
  <si>
    <t>파주 900Ax600 2P(80*80 주철천공 1P 추가, 12/17)</t>
    <phoneticPr fontId="2" type="noConversion"/>
  </si>
  <si>
    <t>SD-00728-01</t>
    <phoneticPr fontId="2" type="noConversion"/>
  </si>
  <si>
    <t>한신건설</t>
    <phoneticPr fontId="2" type="noConversion"/>
  </si>
  <si>
    <t>충주댐공업용수도4공구 중 부단수 차단공사</t>
    <phoneticPr fontId="2" type="noConversion"/>
  </si>
  <si>
    <t>SD-00758-01</t>
    <phoneticPr fontId="2" type="noConversion"/>
  </si>
  <si>
    <t>1650*1200 / 1P</t>
    <phoneticPr fontId="2" type="noConversion"/>
  </si>
  <si>
    <t>수공 여수권지사</t>
    <phoneticPr fontId="2" type="noConversion"/>
  </si>
  <si>
    <t>JD-00530-01</t>
    <phoneticPr fontId="2" type="noConversion"/>
  </si>
  <si>
    <t>강남 100A 4P 난방</t>
    <phoneticPr fontId="2" type="noConversion"/>
  </si>
  <si>
    <t>JD-00531-01</t>
    <phoneticPr fontId="2" type="noConversion"/>
  </si>
  <si>
    <t>분당 250A 2P 난방</t>
    <phoneticPr fontId="2" type="noConversion"/>
  </si>
  <si>
    <t>지성엔지니어링</t>
    <phoneticPr fontId="2" type="noConversion"/>
  </si>
  <si>
    <t>JD-00532-01</t>
    <phoneticPr fontId="2" type="noConversion"/>
  </si>
  <si>
    <t>안양 80A 1P 난방</t>
    <phoneticPr fontId="2" type="noConversion"/>
  </si>
  <si>
    <t>80 / 1P</t>
    <phoneticPr fontId="2" type="noConversion"/>
  </si>
  <si>
    <t>SD-00729-01</t>
    <phoneticPr fontId="2" type="noConversion"/>
  </si>
  <si>
    <t>SD-00814-01</t>
    <phoneticPr fontId="2" type="noConversion"/>
  </si>
  <si>
    <t>강우기업</t>
    <phoneticPr fontId="2" type="noConversion"/>
  </si>
  <si>
    <t>-</t>
    <phoneticPr fontId="2" type="noConversion"/>
  </si>
  <si>
    <t>창원공업용수도 관로시설 개량공사(2차)</t>
    <phoneticPr fontId="2" type="noConversion"/>
  </si>
  <si>
    <t>안양 750A 난방 4P</t>
    <phoneticPr fontId="2" type="noConversion"/>
  </si>
  <si>
    <t>750 / 4P</t>
    <phoneticPr fontId="2" type="noConversion"/>
  </si>
  <si>
    <t>JD-00533-01</t>
    <phoneticPr fontId="2" type="noConversion"/>
  </si>
  <si>
    <t>안양 100A 2P 난방</t>
    <phoneticPr fontId="2" type="noConversion"/>
  </si>
  <si>
    <t>100 / 2P</t>
    <phoneticPr fontId="2" type="noConversion"/>
  </si>
  <si>
    <t>SD-00817-01</t>
    <phoneticPr fontId="2" type="noConversion"/>
  </si>
  <si>
    <t>평택 900Ax600 1P(긴급)</t>
    <phoneticPr fontId="2" type="noConversion"/>
  </si>
  <si>
    <t>900*600 / 1P</t>
    <phoneticPr fontId="2" type="noConversion"/>
  </si>
  <si>
    <t>수자원기술주식회사</t>
    <phoneticPr fontId="2" type="noConversion"/>
  </si>
  <si>
    <t>수공 동남권지사</t>
    <phoneticPr fontId="2" type="noConversion"/>
  </si>
  <si>
    <t>SD-00810-01</t>
    <phoneticPr fontId="2" type="noConversion"/>
  </si>
  <si>
    <t>SD-00805-01</t>
    <phoneticPr fontId="2" type="noConversion"/>
  </si>
  <si>
    <t>김포 700Ax500 4P(Neck)</t>
    <phoneticPr fontId="2" type="noConversion"/>
  </si>
  <si>
    <t>700*500 / 4P</t>
    <phoneticPr fontId="2" type="noConversion"/>
  </si>
  <si>
    <t>SD-00820-01</t>
    <phoneticPr fontId="2" type="noConversion"/>
  </si>
  <si>
    <t>고흥 450A 2P 주철(긴급)</t>
    <phoneticPr fontId="2" type="noConversion"/>
  </si>
  <si>
    <t>450*350 / 2P</t>
    <phoneticPr fontId="2" type="noConversion"/>
  </si>
  <si>
    <t>한국수자원공사</t>
    <phoneticPr fontId="2" type="noConversion"/>
  </si>
  <si>
    <t>JD-00473-01</t>
    <phoneticPr fontId="2" type="noConversion"/>
  </si>
  <si>
    <t>안양 750A 난방 4P</t>
    <phoneticPr fontId="2" type="noConversion"/>
  </si>
  <si>
    <t>JD-00536-01</t>
    <phoneticPr fontId="2" type="noConversion"/>
  </si>
  <si>
    <t>서울 650A 2P 난방</t>
    <phoneticPr fontId="2" type="noConversion"/>
  </si>
  <si>
    <t>일반</t>
    <phoneticPr fontId="2" type="noConversion"/>
  </si>
  <si>
    <t>계약형태</t>
    <phoneticPr fontId="2" type="noConversion"/>
  </si>
  <si>
    <t>하도급</t>
    <phoneticPr fontId="2" type="noConversion"/>
  </si>
  <si>
    <t>원도급</t>
    <phoneticPr fontId="2" type="noConversion"/>
  </si>
  <si>
    <t>JD-00537-01</t>
    <phoneticPr fontId="2" type="noConversion"/>
  </si>
  <si>
    <t>안양 65A 2P 난방(긴급)</t>
    <phoneticPr fontId="2" type="noConversion"/>
  </si>
  <si>
    <t>65 / 2P</t>
    <phoneticPr fontId="2" type="noConversion"/>
  </si>
  <si>
    <t>SD-00748-01</t>
    <phoneticPr fontId="2" type="noConversion"/>
  </si>
  <si>
    <t>장흥 300A 4P 주철</t>
    <phoneticPr fontId="2" type="noConversion"/>
  </si>
  <si>
    <t>큰빛종합건설</t>
    <phoneticPr fontId="2" type="noConversion"/>
  </si>
  <si>
    <t>수공 전남서남권지사</t>
    <phoneticPr fontId="2" type="noConversion"/>
  </si>
  <si>
    <t>대덕-용산 지장관로 이설공사</t>
    <phoneticPr fontId="2" type="noConversion"/>
  </si>
  <si>
    <t>SD-00815-01</t>
    <phoneticPr fontId="2" type="noConversion"/>
  </si>
  <si>
    <t>광주 1800Ax1500 1P 천공(제)</t>
    <phoneticPr fontId="2" type="noConversion"/>
  </si>
  <si>
    <t>1800*1500 / 1P</t>
    <phoneticPr fontId="2" type="noConversion"/>
  </si>
  <si>
    <t>다비전산업개발</t>
    <phoneticPr fontId="2" type="noConversion"/>
  </si>
  <si>
    <t>봉선배수지 건설공사 중 송수1 부단수 천공공사</t>
    <phoneticPr fontId="2" type="noConversion"/>
  </si>
  <si>
    <t>JD-00540-01</t>
    <phoneticPr fontId="2" type="noConversion"/>
  </si>
  <si>
    <t>안양 200A 2P 난방(긴급)</t>
    <phoneticPr fontId="2" type="noConversion"/>
  </si>
  <si>
    <t>200 / 2P</t>
    <phoneticPr fontId="2" type="noConversion"/>
  </si>
  <si>
    <t>이천~문경 철도건설사업 제6공구 건설공사-상수도 이설공사 중 부단수차단</t>
    <phoneticPr fontId="2" type="noConversion"/>
  </si>
  <si>
    <t>한국철도시설공단</t>
    <phoneticPr fontId="2" type="noConversion"/>
  </si>
  <si>
    <t>충주댐공업용수도4공구 중 부단수 차단공사</t>
    <phoneticPr fontId="2" type="noConversion"/>
  </si>
  <si>
    <t>파주시</t>
    <phoneticPr fontId="2" type="noConversion"/>
  </si>
  <si>
    <t>남계어울마당 조성에 따른 지장관로 이설공사</t>
    <phoneticPr fontId="2" type="noConversion"/>
  </si>
  <si>
    <t>고흥 450Ax350 2P 주철(동진4P)</t>
    <phoneticPr fontId="2" type="noConversion"/>
  </si>
  <si>
    <t>SD-00813-01</t>
    <phoneticPr fontId="2" type="noConversion"/>
  </si>
  <si>
    <t>1회기성 과천 2200Ax1500 1P (Neck피팅)</t>
    <phoneticPr fontId="2" type="noConversion"/>
  </si>
  <si>
    <t>준공금 과천 2200Ax1500 1P (Neck피팅)</t>
    <phoneticPr fontId="2" type="noConversion"/>
  </si>
  <si>
    <t>하남 2200A 2P(동진작업)</t>
    <phoneticPr fontId="2" type="noConversion"/>
  </si>
  <si>
    <t>-</t>
    <phoneticPr fontId="2" type="noConversion"/>
  </si>
  <si>
    <t>디엘건설(고려개발)</t>
    <phoneticPr fontId="2" type="noConversion"/>
  </si>
  <si>
    <t>JD-00542-01</t>
    <phoneticPr fontId="2" type="noConversion"/>
  </si>
  <si>
    <t>서울 350A 2P 난방</t>
    <phoneticPr fontId="2" type="noConversion"/>
  </si>
  <si>
    <t>SD-00822-01</t>
    <phoneticPr fontId="2" type="noConversion"/>
  </si>
  <si>
    <t>1200 / 2P</t>
    <phoneticPr fontId="2" type="noConversion"/>
  </si>
  <si>
    <t>JD-00543-01</t>
    <phoneticPr fontId="2" type="noConversion"/>
  </si>
  <si>
    <t>YD-00015-01</t>
    <phoneticPr fontId="2" type="noConversion"/>
  </si>
  <si>
    <t>울산 1050A 2P</t>
    <phoneticPr fontId="2" type="noConversion"/>
  </si>
  <si>
    <t>송유관</t>
    <phoneticPr fontId="2" type="noConversion"/>
  </si>
  <si>
    <t>YD-00016-01</t>
    <phoneticPr fontId="2" type="noConversion"/>
  </si>
  <si>
    <t>울산 150A 2P 순수천공</t>
    <phoneticPr fontId="2" type="noConversion"/>
  </si>
  <si>
    <t>동부</t>
    <phoneticPr fontId="2" type="noConversion"/>
  </si>
  <si>
    <t>S-OIL 이진리 Booster Pump Area 시설물 철거 및 송유관 Re-routing 中 부단수 차단 공사</t>
    <phoneticPr fontId="2" type="noConversion"/>
  </si>
  <si>
    <t>장흥 250A 4P 주철</t>
    <phoneticPr fontId="2" type="noConversion"/>
  </si>
  <si>
    <t>250 / 4P</t>
    <phoneticPr fontId="2" type="noConversion"/>
  </si>
  <si>
    <t>부천 700A 8P 난방</t>
    <phoneticPr fontId="2" type="noConversion"/>
  </si>
  <si>
    <t>GS파워 부천</t>
    <phoneticPr fontId="2" type="noConversion"/>
  </si>
  <si>
    <t>지성엔지니어링</t>
    <phoneticPr fontId="2" type="noConversion"/>
  </si>
  <si>
    <t>안양 150A 4P 난방</t>
    <phoneticPr fontId="2" type="noConversion"/>
  </si>
  <si>
    <t>150 / 4P</t>
    <phoneticPr fontId="2" type="noConversion"/>
  </si>
  <si>
    <t>구상에너지</t>
    <phoneticPr fontId="2" type="noConversion"/>
  </si>
  <si>
    <t>350 / 1P</t>
    <phoneticPr fontId="2" type="noConversion"/>
  </si>
  <si>
    <t>650 / 1P</t>
    <phoneticPr fontId="2" type="noConversion"/>
  </si>
  <si>
    <t>수공 파주지사</t>
    <phoneticPr fontId="2" type="noConversion"/>
  </si>
  <si>
    <t>사장님 확인(동진)</t>
    <phoneticPr fontId="2" type="noConversion"/>
  </si>
  <si>
    <t>JD-00472-01</t>
    <phoneticPr fontId="2" type="noConversion"/>
  </si>
  <si>
    <t>2/15 유</t>
    <phoneticPr fontId="2" type="noConversion"/>
  </si>
  <si>
    <t>2월말</t>
    <phoneticPr fontId="2" type="noConversion"/>
  </si>
  <si>
    <t>2월안에 전화준다고함</t>
    <phoneticPr fontId="2" type="noConversion"/>
  </si>
  <si>
    <t>2월말</t>
    <phoneticPr fontId="2" type="noConversion"/>
  </si>
  <si>
    <t>광주광역시</t>
    <phoneticPr fontId="2" type="noConversion"/>
  </si>
  <si>
    <t>JD-00544-01</t>
    <phoneticPr fontId="2" type="noConversion"/>
  </si>
  <si>
    <t>에스와이이엔씨</t>
    <phoneticPr fontId="2" type="noConversion"/>
  </si>
  <si>
    <t>남경중공업</t>
    <phoneticPr fontId="2" type="noConversion"/>
  </si>
  <si>
    <t>해광건설</t>
    <phoneticPr fontId="2" type="noConversion"/>
  </si>
  <si>
    <t>그린개발</t>
    <phoneticPr fontId="2" type="noConversion"/>
  </si>
  <si>
    <t>JD-00528-01</t>
    <phoneticPr fontId="2" type="noConversion"/>
  </si>
  <si>
    <t>SD-00731-01</t>
    <phoneticPr fontId="2" type="noConversion"/>
  </si>
  <si>
    <t>SD-00732-01</t>
    <phoneticPr fontId="2" type="noConversion"/>
  </si>
  <si>
    <t>하남 2200Ax1500 2P</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</si>
  <si>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</si>
  <si>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</si>
  <si>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</si>
  <si>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</si>
  <si>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디엘건설(고려개발)</t>
    <phoneticPr fontId="2" type="noConversion"/>
  </si>
  <si>
    <t>안성구리광역상수도이설공사 중 부단수차단 서울시4개소</t>
    <phoneticPr fontId="2" type="noConversion"/>
  </si>
  <si>
    <t>JD-00550-01</t>
    <phoneticPr fontId="2" type="noConversion"/>
  </si>
  <si>
    <t>부천 125A 2P 난방</t>
    <phoneticPr fontId="2" type="noConversion"/>
  </si>
  <si>
    <t>125 / 2P</t>
    <phoneticPr fontId="2" type="noConversion"/>
  </si>
  <si>
    <t>SD-00740-01</t>
    <phoneticPr fontId="2" type="noConversion"/>
  </si>
  <si>
    <t>SD-00741-02</t>
    <phoneticPr fontId="2" type="noConversion"/>
  </si>
  <si>
    <t>울산 2000Ax1350 2P PC관</t>
    <phoneticPr fontId="2" type="noConversion"/>
  </si>
  <si>
    <t>울산 2000Ax1200A 2P PC관 가배관 플러깅용</t>
    <phoneticPr fontId="2" type="noConversion"/>
  </si>
  <si>
    <t>PC관</t>
    <phoneticPr fontId="2" type="noConversion"/>
  </si>
  <si>
    <t>2000*1350 / 2P</t>
    <phoneticPr fontId="2" type="noConversion"/>
  </si>
  <si>
    <t>2000*1200 / 2P</t>
    <phoneticPr fontId="2" type="noConversion"/>
  </si>
  <si>
    <t>세영종합건설</t>
    <phoneticPr fontId="2" type="noConversion"/>
  </si>
  <si>
    <t>울산선 범서 하이패스 IC 설치공사 중 관로공사</t>
    <phoneticPr fontId="2" type="noConversion"/>
  </si>
  <si>
    <t>한국도로공사</t>
    <phoneticPr fontId="2" type="noConversion"/>
  </si>
  <si>
    <t>SD-00747-01</t>
    <phoneticPr fontId="2" type="noConversion"/>
  </si>
  <si>
    <t>장흥 250A 4P 주철</t>
    <phoneticPr fontId="2" type="noConversion"/>
  </si>
  <si>
    <t>SD-00744-01</t>
    <phoneticPr fontId="2" type="noConversion"/>
  </si>
  <si>
    <t>SD-00745-02</t>
    <phoneticPr fontId="2" type="noConversion"/>
  </si>
  <si>
    <t>울산 2000Ax1500 2P</t>
    <phoneticPr fontId="2" type="noConversion"/>
  </si>
  <si>
    <t>울산 2000Ax1200A 2P 가배관 플러깅용</t>
    <phoneticPr fontId="2" type="noConversion"/>
  </si>
  <si>
    <t>2000*1500 / 2P</t>
    <phoneticPr fontId="2" type="noConversion"/>
  </si>
  <si>
    <t>JD-00545-01</t>
    <phoneticPr fontId="2" type="noConversion"/>
  </si>
  <si>
    <t>충주 1350Ax900 2P</t>
    <phoneticPr fontId="2" type="noConversion"/>
  </si>
  <si>
    <t>1350*900 / 2P</t>
    <phoneticPr fontId="2" type="noConversion"/>
  </si>
  <si>
    <t>동부건설</t>
    <phoneticPr fontId="2" type="noConversion"/>
  </si>
  <si>
    <t>충주댐계통 공업용수도사업 및 추가사업 제3공구 시설공사</t>
    <phoneticPr fontId="2" type="noConversion"/>
  </si>
  <si>
    <t>수공 충주권건설단</t>
    <phoneticPr fontId="2" type="noConversion"/>
  </si>
  <si>
    <t>1000*850 / 2P</t>
    <phoneticPr fontId="2" type="noConversion"/>
  </si>
  <si>
    <t>JD-00534-01</t>
    <phoneticPr fontId="2" type="noConversion"/>
  </si>
  <si>
    <t>강남 350 2P 난방</t>
    <phoneticPr fontId="2" type="noConversion"/>
  </si>
  <si>
    <t>JD-00526-01</t>
    <phoneticPr fontId="2" type="noConversion"/>
  </si>
  <si>
    <t>SD-00832-01</t>
    <phoneticPr fontId="2" type="noConversion"/>
  </si>
  <si>
    <t>2021년 안양 및 부천지역 열수송관 무차단공사 단가계약</t>
    <phoneticPr fontId="2" type="noConversion"/>
  </si>
  <si>
    <t>에스이건설</t>
    <phoneticPr fontId="2" type="noConversion"/>
  </si>
  <si>
    <r>
      <t xml:space="preserve">광양 1650Ax1200 1P </t>
    </r>
    <r>
      <rPr>
        <sz val="9"/>
        <color rgb="FFFF0000"/>
        <rFont val="맑은 고딕"/>
        <family val="3"/>
        <charset val="129"/>
        <scheme val="minor"/>
      </rPr>
      <t>(미청구분 5,000,000)</t>
    </r>
    <phoneticPr fontId="2" type="noConversion"/>
  </si>
  <si>
    <t>하남 2200Ax1500 2P(동진산업)</t>
    <phoneticPr fontId="2" type="noConversion"/>
  </si>
  <si>
    <t>하남 2200Ax1650 2P 가배관 1500A NECk 플러깅용(동진산업)</t>
    <phoneticPr fontId="2" type="noConversion"/>
  </si>
  <si>
    <t>-</t>
    <phoneticPr fontId="2" type="noConversion"/>
  </si>
  <si>
    <t>JD-00555-01</t>
    <phoneticPr fontId="2" type="noConversion"/>
  </si>
  <si>
    <t>청주 200A 2P 난방</t>
    <phoneticPr fontId="2" type="noConversion"/>
  </si>
  <si>
    <t>JD-00552-01</t>
    <phoneticPr fontId="2" type="noConversion"/>
  </si>
  <si>
    <t>부천 700A 8P 난방</t>
    <phoneticPr fontId="2" type="noConversion"/>
  </si>
  <si>
    <t>안양 200A 2P 난방</t>
    <phoneticPr fontId="2" type="noConversion"/>
  </si>
  <si>
    <t>SD-00803-01</t>
    <phoneticPr fontId="2" type="noConversion"/>
  </si>
  <si>
    <t>충주 1000Ax850 2P(오선연결밸브실)</t>
    <phoneticPr fontId="2" type="noConversion"/>
  </si>
  <si>
    <t>충주 1000Ax850 2P(덕고개가압장)</t>
    <phoneticPr fontId="2" type="noConversion"/>
  </si>
  <si>
    <t>충주 1000Ax850 2P(봉현연결밸브실)</t>
    <phoneticPr fontId="2" type="noConversion"/>
  </si>
  <si>
    <t>3470만-&gt;3200만 최종 네고-3/4 유이사</t>
    <phoneticPr fontId="2" type="noConversion"/>
  </si>
  <si>
    <t>SD-00746-01</t>
    <phoneticPr fontId="2" type="noConversion"/>
  </si>
  <si>
    <t>큰빛종합건설</t>
    <phoneticPr fontId="2" type="noConversion"/>
  </si>
  <si>
    <t>JD-00556-01</t>
    <phoneticPr fontId="2" type="noConversion"/>
  </si>
  <si>
    <t>분당 125A 2P 난방</t>
    <phoneticPr fontId="2" type="noConversion"/>
  </si>
  <si>
    <t>SD-00733-01</t>
    <phoneticPr fontId="2" type="noConversion"/>
  </si>
  <si>
    <t>SD-00734-01</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</si>
  <si>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</si>
  <si>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</si>
  <si>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</si>
  <si>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</si>
  <si>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안양 350A 1P 난방</t>
    <phoneticPr fontId="2" type="noConversion"/>
  </si>
  <si>
    <t>350 / 1P</t>
    <phoneticPr fontId="2" type="noConversion"/>
  </si>
  <si>
    <t>JD-00554-01</t>
    <phoneticPr fontId="2" type="noConversion"/>
  </si>
  <si>
    <t>승재공영</t>
    <phoneticPr fontId="2" type="noConversion"/>
  </si>
  <si>
    <t>SD-00700-01</t>
    <phoneticPr fontId="2" type="noConversion"/>
  </si>
  <si>
    <t>부여 400A 2P 천공(제)</t>
    <phoneticPr fontId="2" type="noConversion"/>
  </si>
  <si>
    <t>부여 300A 1P 주철 천공(제)</t>
    <phoneticPr fontId="2" type="noConversion"/>
  </si>
  <si>
    <t>600A</t>
    <phoneticPr fontId="2" type="noConversion"/>
  </si>
  <si>
    <t>\\Desktop-yang\(주)대호스토퍼\0영업사항(견적서)\AA지역별 견적현황\2021년\경상남도\창원공업용수도-수공,삼부토건\600Ax1P(주철)-21.03.08(이병도)</t>
    <phoneticPr fontId="2" type="noConversion"/>
  </si>
  <si>
    <t>가가건설-&gt;수양종합건설</t>
    <phoneticPr fontId="2" type="noConversion"/>
  </si>
  <si>
    <t>SD-00828-01</t>
    <phoneticPr fontId="2" type="noConversion"/>
  </si>
  <si>
    <t>한국수자원공사 여수</t>
    <phoneticPr fontId="2" type="noConversion"/>
  </si>
  <si>
    <t>두산중공업 / 와텍</t>
    <phoneticPr fontId="2" type="noConversion"/>
  </si>
  <si>
    <t>SD-00804-01</t>
    <phoneticPr fontId="2" type="noConversion"/>
  </si>
  <si>
    <t>충주 1100Ax850 2P</t>
    <phoneticPr fontId="2" type="noConversion"/>
  </si>
  <si>
    <t>1100*850 / 2P</t>
    <phoneticPr fontId="2" type="noConversion"/>
  </si>
  <si>
    <t>JD-00549-01</t>
    <phoneticPr fontId="2" type="noConversion"/>
  </si>
  <si>
    <t>용인 500A 2P 난방</t>
    <phoneticPr fontId="2" type="noConversion"/>
  </si>
  <si>
    <t>한국지역난방공사 용인</t>
    <phoneticPr fontId="2" type="noConversion"/>
  </si>
  <si>
    <t>JD-00551-01</t>
    <phoneticPr fontId="2" type="noConversion"/>
  </si>
  <si>
    <t>강남 500A 2P 난방</t>
    <phoneticPr fontId="2" type="noConversion"/>
  </si>
  <si>
    <t>수양종합건설</t>
    <phoneticPr fontId="2" type="noConversion"/>
  </si>
  <si>
    <t>파주 1200Ax850 2P(긴급) 동압 200A</t>
    <phoneticPr fontId="2" type="noConversion"/>
  </si>
  <si>
    <r>
      <t>긴급공사</t>
    </r>
    <r>
      <rPr>
        <sz val="9"/>
        <color rgb="FFFF0000"/>
        <rFont val="맑은 고딕"/>
        <family val="3"/>
        <charset val="129"/>
        <scheme val="minor"/>
      </rPr>
      <t>(50% 3/29 선발행(49,800,000원))</t>
    </r>
    <phoneticPr fontId="2" type="noConversion"/>
  </si>
  <si>
    <t>광양 1650Ax1350 1P 천공(제)</t>
    <phoneticPr fontId="2" type="noConversion"/>
  </si>
  <si>
    <t>1650*1350 / 1P</t>
    <phoneticPr fontId="2" type="noConversion"/>
  </si>
  <si>
    <t>1050A / 2P</t>
    <phoneticPr fontId="2" type="noConversion"/>
  </si>
  <si>
    <t>150A / 2P</t>
    <phoneticPr fontId="2" type="noConversion"/>
  </si>
  <si>
    <t>JD-00549-01</t>
    <phoneticPr fontId="2" type="noConversion"/>
  </si>
  <si>
    <t>용인 600A 4P 난방</t>
    <phoneticPr fontId="2" type="noConversion"/>
  </si>
  <si>
    <t>JD-00562-01</t>
    <phoneticPr fontId="2" type="noConversion"/>
  </si>
  <si>
    <t>강남 800A 4P 난방</t>
    <phoneticPr fontId="2" type="noConversion"/>
  </si>
  <si>
    <t>JD-00563-01</t>
    <phoneticPr fontId="2" type="noConversion"/>
  </si>
  <si>
    <t>부천 500Ax100 2P 분기티</t>
    <phoneticPr fontId="2" type="noConversion"/>
  </si>
  <si>
    <t xml:space="preserve">1차 132,169,080 (부과세 별도) </t>
    <phoneticPr fontId="2" type="noConversion"/>
  </si>
  <si>
    <t>부천 350Ax150 2P 분기티</t>
    <phoneticPr fontId="2" type="noConversion"/>
  </si>
  <si>
    <t>JD-00561-01</t>
    <phoneticPr fontId="2" type="noConversion"/>
  </si>
  <si>
    <t>JD-00509-01</t>
    <phoneticPr fontId="2" type="noConversion"/>
  </si>
  <si>
    <t>SD-00749-01</t>
    <phoneticPr fontId="2" type="noConversion"/>
  </si>
  <si>
    <t>SD-00834-01</t>
    <phoneticPr fontId="2" type="noConversion"/>
  </si>
  <si>
    <t>장흥 300A 2P 주철</t>
    <phoneticPr fontId="2" type="noConversion"/>
  </si>
  <si>
    <t>장흥 250A 2P 주철</t>
    <phoneticPr fontId="2" type="noConversion"/>
  </si>
  <si>
    <t>300 / 2P</t>
    <phoneticPr fontId="2" type="noConversion"/>
  </si>
  <si>
    <t>250 / 2P</t>
    <phoneticPr fontId="2" type="noConversion"/>
  </si>
  <si>
    <t>JD-00565-01</t>
    <phoneticPr fontId="2" type="noConversion"/>
  </si>
  <si>
    <t>분당 200A 2P 난방</t>
    <phoneticPr fontId="2" type="noConversion"/>
  </si>
  <si>
    <t>한국지역난방공사 분당</t>
    <phoneticPr fontId="2" type="noConversion"/>
  </si>
  <si>
    <t>JD-00553-01</t>
    <phoneticPr fontId="2" type="noConversion"/>
  </si>
  <si>
    <t>JD-00526-01</t>
    <phoneticPr fontId="2" type="noConversion"/>
  </si>
  <si>
    <t>보온 안함</t>
    <phoneticPr fontId="2" type="noConversion"/>
  </si>
  <si>
    <t>SD-00818-01</t>
    <phoneticPr fontId="2" type="noConversion"/>
  </si>
  <si>
    <t>창원 1500Ax1000 2P / 1500Ax1100 2P</t>
    <phoneticPr fontId="2" type="noConversion"/>
  </si>
  <si>
    <t>창원 1200Ax850 4P</t>
    <phoneticPr fontId="2" type="noConversion"/>
  </si>
  <si>
    <t>1500 / 4P</t>
    <phoneticPr fontId="2" type="noConversion"/>
  </si>
  <si>
    <t>1200 / 4P</t>
    <phoneticPr fontId="2" type="noConversion"/>
  </si>
  <si>
    <t>경상남도</t>
    <phoneticPr fontId="2" type="noConversion"/>
  </si>
  <si>
    <t>동부건설</t>
    <phoneticPr fontId="2" type="noConversion"/>
  </si>
  <si>
    <t>동읍-봉강도로건설공사 공업용수관로 이설 중 부단수차단 납품</t>
    <phoneticPr fontId="2" type="noConversion"/>
  </si>
  <si>
    <t>JD-00567-01</t>
    <phoneticPr fontId="2" type="noConversion"/>
  </si>
  <si>
    <t>청주 500A 2P 난방</t>
    <phoneticPr fontId="2" type="noConversion"/>
  </si>
  <si>
    <t>한국지역난방공사 청주</t>
    <phoneticPr fontId="2" type="noConversion"/>
  </si>
  <si>
    <t>아이윌건설</t>
    <phoneticPr fontId="2" type="noConversion"/>
  </si>
  <si>
    <t>SD-00828-01</t>
    <phoneticPr fontId="2" type="noConversion"/>
  </si>
  <si>
    <t>광양 1650Ax1350 1P 천공(제)</t>
    <phoneticPr fontId="2" type="noConversion"/>
  </si>
  <si>
    <t>1650*1350 / 1P</t>
    <phoneticPr fontId="2" type="noConversion"/>
  </si>
  <si>
    <t>용인 900Ax600 1P</t>
    <phoneticPr fontId="2" type="noConversion"/>
  </si>
  <si>
    <t>900*600 / 1P</t>
    <phoneticPr fontId="2" type="noConversion"/>
  </si>
  <si>
    <t>한국수자원공사 수지정수장</t>
    <phoneticPr fontId="2" type="noConversion"/>
  </si>
  <si>
    <t>대저건설</t>
    <phoneticPr fontId="2" type="noConversion"/>
  </si>
  <si>
    <t>용인수지정수장 상수관(900A, 강관) 부단수 차단공사</t>
    <phoneticPr fontId="2" type="noConversion"/>
  </si>
  <si>
    <t>JD-00570-01</t>
    <phoneticPr fontId="2" type="noConversion"/>
  </si>
  <si>
    <t>안양 200A 2P 난방</t>
    <phoneticPr fontId="2" type="noConversion"/>
  </si>
  <si>
    <t>200 / 2P</t>
    <phoneticPr fontId="2" type="noConversion"/>
  </si>
  <si>
    <t>JD-00572-01</t>
    <phoneticPr fontId="2" type="noConversion"/>
  </si>
  <si>
    <t>부천 800Ax125 2P 분기티</t>
    <phoneticPr fontId="2" type="noConversion"/>
  </si>
  <si>
    <t>SD-00836-01</t>
    <phoneticPr fontId="2" type="noConversion"/>
  </si>
  <si>
    <t>JD-00571-01</t>
    <phoneticPr fontId="2" type="noConversion"/>
  </si>
  <si>
    <t>사장님 확인(동진, 상기?)</t>
    <phoneticPr fontId="2" type="noConversion"/>
  </si>
  <si>
    <t>JD-00574-01</t>
    <phoneticPr fontId="2" type="noConversion"/>
  </si>
  <si>
    <t>시흥 200A 2P 난방</t>
    <phoneticPr fontId="2" type="noConversion"/>
  </si>
  <si>
    <t>200 / 2P</t>
    <phoneticPr fontId="2" type="noConversion"/>
  </si>
  <si>
    <t>GS파워 부천</t>
    <phoneticPr fontId="2" type="noConversion"/>
  </si>
  <si>
    <t>JD-00578-01</t>
    <phoneticPr fontId="2" type="noConversion"/>
  </si>
  <si>
    <t>분당 50A 4P T.O.R 천공</t>
    <phoneticPr fontId="2" type="noConversion"/>
  </si>
  <si>
    <t>50A</t>
    <phoneticPr fontId="2" type="noConversion"/>
  </si>
  <si>
    <t>포항 1350Ax900 2P</t>
    <phoneticPr fontId="2" type="noConversion"/>
  </si>
  <si>
    <t>하남 2200Ax1500 2P TOR 3P 천공</t>
    <phoneticPr fontId="2" type="noConversion"/>
  </si>
  <si>
    <r>
      <t>충주 1200Ax850 2P 주철</t>
    </r>
    <r>
      <rPr>
        <sz val="9"/>
        <color rgb="FFFF0000"/>
        <rFont val="맑은 고딕"/>
        <family val="3"/>
        <charset val="129"/>
        <scheme val="minor"/>
      </rPr>
      <t>(동진산업)</t>
    </r>
    <phoneticPr fontId="2" type="noConversion"/>
  </si>
  <si>
    <t>1200*850 / 2P</t>
    <phoneticPr fontId="2" type="noConversion"/>
  </si>
  <si>
    <t>JD-00509-01</t>
    <phoneticPr fontId="2" type="noConversion"/>
  </si>
  <si>
    <t>GS파워 시흥(목감) 열배관 핫태핑 공사</t>
    <phoneticPr fontId="2" type="noConversion"/>
  </si>
  <si>
    <t>GS파워</t>
    <phoneticPr fontId="2" type="noConversion"/>
  </si>
  <si>
    <t>에이치플러스에코</t>
    <phoneticPr fontId="2" type="noConversion"/>
  </si>
  <si>
    <t>JD-00575-01</t>
    <phoneticPr fontId="2" type="noConversion"/>
  </si>
  <si>
    <t>시흥 400Ax100 2P 분기티</t>
    <phoneticPr fontId="2" type="noConversion"/>
  </si>
  <si>
    <t>목감 450A 4P 난방</t>
    <phoneticPr fontId="2" type="noConversion"/>
  </si>
  <si>
    <t>목감 450A 4P 난방</t>
    <phoneticPr fontId="2" type="noConversion"/>
  </si>
  <si>
    <t>전북 900Ax600 2P</t>
    <phoneticPr fontId="2" type="noConversion"/>
  </si>
  <si>
    <t>900*600 / 2P</t>
    <phoneticPr fontId="2" type="noConversion"/>
  </si>
  <si>
    <t>수공 부안권지사</t>
    <phoneticPr fontId="2" type="noConversion"/>
  </si>
  <si>
    <t>지강</t>
    <phoneticPr fontId="2" type="noConversion"/>
  </si>
  <si>
    <t>직소천 하천정비사업 광역상수도 이설공사</t>
    <phoneticPr fontId="2" type="noConversion"/>
  </si>
  <si>
    <t>JD-00581-01</t>
    <phoneticPr fontId="2" type="noConversion"/>
  </si>
  <si>
    <t>대구 300A 2P 난방</t>
    <phoneticPr fontId="2" type="noConversion"/>
  </si>
  <si>
    <t>SD-00847-01</t>
    <phoneticPr fontId="2" type="noConversion"/>
  </si>
  <si>
    <t>SD-00845-01</t>
    <phoneticPr fontId="2" type="noConversion"/>
  </si>
  <si>
    <t>고양 1650Ax125 2P 천공(제)</t>
    <phoneticPr fontId="2" type="noConversion"/>
  </si>
  <si>
    <t>1650*125 / 2P</t>
    <phoneticPr fontId="2" type="noConversion"/>
  </si>
  <si>
    <t>수공 경기서북권지사</t>
    <phoneticPr fontId="2" type="noConversion"/>
  </si>
  <si>
    <t>대건개발산업</t>
    <phoneticPr fontId="2" type="noConversion"/>
  </si>
  <si>
    <t>SD-00844-01</t>
    <phoneticPr fontId="2" type="noConversion"/>
  </si>
  <si>
    <t>성남 1350Ax900 150# 2P 300# 2P</t>
    <phoneticPr fontId="2" type="noConversion"/>
  </si>
  <si>
    <t>1350*900 / 4P</t>
    <phoneticPr fontId="2" type="noConversion"/>
  </si>
  <si>
    <t>LH</t>
    <phoneticPr fontId="2" type="noConversion"/>
  </si>
  <si>
    <t>DL건설</t>
    <phoneticPr fontId="2" type="noConversion"/>
  </si>
  <si>
    <t>성남복정1·2 공공주택지구 조성공사</t>
    <phoneticPr fontId="2" type="noConversion"/>
  </si>
  <si>
    <t>JD-00584-01</t>
    <phoneticPr fontId="2" type="noConversion"/>
  </si>
  <si>
    <t>분당 50A 4P T.O.R 천공</t>
    <phoneticPr fontId="2" type="noConversion"/>
  </si>
  <si>
    <t>시흥 500Ax125 2P 분기티</t>
    <phoneticPr fontId="2" type="noConversion"/>
  </si>
  <si>
    <t>JD-00582-01</t>
    <phoneticPr fontId="2" type="noConversion"/>
  </si>
  <si>
    <t>대구 350A 2P 난방</t>
    <phoneticPr fontId="2" type="noConversion"/>
  </si>
  <si>
    <t>부천 200A 2P 난방</t>
    <phoneticPr fontId="2" type="noConversion"/>
  </si>
  <si>
    <t>한국지역난방공사 대구</t>
    <phoneticPr fontId="2" type="noConversion"/>
  </si>
  <si>
    <t>200 / 2P</t>
    <phoneticPr fontId="2" type="noConversion"/>
  </si>
  <si>
    <t>분당 350A 2P 난방</t>
    <phoneticPr fontId="2" type="noConversion"/>
  </si>
  <si>
    <t>-</t>
    <phoneticPr fontId="2" type="noConversion"/>
  </si>
  <si>
    <t>JD-00573-01</t>
    <phoneticPr fontId="2" type="noConversion"/>
  </si>
  <si>
    <t>한국지역난방공사 강남</t>
    <phoneticPr fontId="2" type="noConversion"/>
  </si>
  <si>
    <t>JD-00589-01</t>
    <phoneticPr fontId="2" type="noConversion"/>
  </si>
  <si>
    <t>분당 600A 2P 난방</t>
    <phoneticPr fontId="2" type="noConversion"/>
  </si>
  <si>
    <r>
      <t>강남 800A 2P 난방</t>
    </r>
    <r>
      <rPr>
        <sz val="9"/>
        <color rgb="FFFF0000"/>
        <rFont val="맑은 고딕"/>
        <family val="3"/>
        <charset val="129"/>
        <scheme val="minor"/>
      </rPr>
      <t>(야간)</t>
    </r>
    <phoneticPr fontId="2" type="noConversion"/>
  </si>
  <si>
    <r>
      <t>강남 700A 2P 난방</t>
    </r>
    <r>
      <rPr>
        <sz val="9"/>
        <color rgb="FFFF0000"/>
        <rFont val="맑은 고딕"/>
        <family val="3"/>
        <charset val="129"/>
        <scheme val="minor"/>
      </rPr>
      <t>(야간)</t>
    </r>
    <phoneticPr fontId="2" type="noConversion"/>
  </si>
  <si>
    <t>SD-00846-01</t>
    <phoneticPr fontId="2" type="noConversion"/>
  </si>
  <si>
    <t>김제 700Ax500 2P 주철</t>
    <phoneticPr fontId="2" type="noConversion"/>
  </si>
  <si>
    <t>700*500 / 2P</t>
    <phoneticPr fontId="2" type="noConversion"/>
  </si>
  <si>
    <t>YD-00017-01</t>
    <phoneticPr fontId="2" type="noConversion"/>
  </si>
  <si>
    <t>인천 600A 1P 송유</t>
    <phoneticPr fontId="2" type="noConversion"/>
  </si>
  <si>
    <t>브니엘네이처</t>
    <phoneticPr fontId="2" type="noConversion"/>
  </si>
  <si>
    <t>SD-00848-01</t>
    <phoneticPr fontId="2" type="noConversion"/>
  </si>
  <si>
    <t>고령 400Ax350 2P 주철</t>
    <phoneticPr fontId="2" type="noConversion"/>
  </si>
  <si>
    <t>400*350 / 2P</t>
    <phoneticPr fontId="2" type="noConversion"/>
  </si>
  <si>
    <t>유림건설</t>
    <phoneticPr fontId="2" type="noConversion"/>
  </si>
  <si>
    <t>수공 고령권지사</t>
    <phoneticPr fontId="2" type="noConversion"/>
  </si>
  <si>
    <t>고령~성산간 도로확포장공사(2단계) 지장관로 이설공사</t>
    <phoneticPr fontId="2" type="noConversion"/>
  </si>
  <si>
    <t>JD-00591-01</t>
    <phoneticPr fontId="2" type="noConversion"/>
  </si>
  <si>
    <r>
      <t>대구 300A 2P 난방</t>
    </r>
    <r>
      <rPr>
        <sz val="9"/>
        <color rgb="FFFF0000"/>
        <rFont val="맑은 고딕"/>
        <family val="3"/>
        <charset val="129"/>
        <scheme val="minor"/>
      </rPr>
      <t>(야간)</t>
    </r>
    <phoneticPr fontId="2" type="noConversion"/>
  </si>
  <si>
    <t>한국지역난방공사 대구</t>
    <phoneticPr fontId="2" type="noConversion"/>
  </si>
  <si>
    <t>SD-00751-01</t>
    <phoneticPr fontId="2" type="noConversion"/>
  </si>
  <si>
    <t>600*450 / 4P</t>
    <phoneticPr fontId="2" type="noConversion"/>
  </si>
  <si>
    <t>동원건설산업</t>
    <phoneticPr fontId="2" type="noConversion"/>
  </si>
  <si>
    <t>수공 충주권사업단</t>
    <phoneticPr fontId="2" type="noConversion"/>
  </si>
  <si>
    <t>충주댐계통 공업용수도사업 및 추가사업 증평계통 시설공사(1, 2구간)</t>
    <phoneticPr fontId="2" type="noConversion"/>
  </si>
  <si>
    <t>\\Desktop-yang\(주)대호스토퍼\0영업사항(견적서)\AA지역별 견적현황\2022년\충청북도\충주(600A,주철)-수공,동원건설산업</t>
    <phoneticPr fontId="2" type="noConversion"/>
  </si>
  <si>
    <r>
      <t>대구 400A 4P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</si>
  <si>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</si>
  <si>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</si>
  <si>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대주이엔티,문화지엔코</t>
    <phoneticPr fontId="2" type="noConversion"/>
  </si>
  <si>
    <t>JD-00585-01</t>
    <phoneticPr fontId="2" type="noConversion"/>
  </si>
  <si>
    <t>SD-00829-01</t>
    <phoneticPr fontId="2" type="noConversion"/>
  </si>
  <si>
    <t>SD-00830-01</t>
    <phoneticPr fontId="2" type="noConversion"/>
  </si>
  <si>
    <t>광양 600Ax600 1P 주철 천공(제)</t>
    <phoneticPr fontId="2" type="noConversion"/>
  </si>
  <si>
    <t>900*600 / 1P</t>
    <phoneticPr fontId="2" type="noConversion"/>
  </si>
  <si>
    <t>600*600 / 1P</t>
    <phoneticPr fontId="2" type="noConversion"/>
  </si>
  <si>
    <t>2021년 열수송관 천공 및 차단공사(1권역)</t>
    <phoneticPr fontId="2" type="noConversion"/>
  </si>
  <si>
    <t>JD-00576-01</t>
    <phoneticPr fontId="2" type="noConversion"/>
  </si>
  <si>
    <t>부천 200Ax50 2P 분기티</t>
    <phoneticPr fontId="2" type="noConversion"/>
  </si>
  <si>
    <t>JD-00440-01</t>
    <phoneticPr fontId="2" type="noConversion"/>
  </si>
  <si>
    <t>JD-00586-01</t>
    <phoneticPr fontId="2" type="noConversion"/>
  </si>
  <si>
    <t>목감 200A 4P 난방</t>
    <phoneticPr fontId="2" type="noConversion"/>
  </si>
  <si>
    <t>JD-00590-01</t>
    <phoneticPr fontId="2" type="noConversion"/>
  </si>
  <si>
    <t>강남 250A 1P 난방</t>
    <phoneticPr fontId="2" type="noConversion"/>
  </si>
  <si>
    <t>JD-00587-01</t>
    <phoneticPr fontId="2" type="noConversion"/>
  </si>
  <si>
    <t>부천 600A 2P 난방</t>
    <phoneticPr fontId="2" type="noConversion"/>
  </si>
  <si>
    <t>600 / 2P</t>
    <phoneticPr fontId="2" type="noConversion"/>
  </si>
  <si>
    <t>JD-00579-01</t>
    <phoneticPr fontId="2" type="noConversion"/>
  </si>
  <si>
    <t>JD-00588-01</t>
    <phoneticPr fontId="2" type="noConversion"/>
  </si>
  <si>
    <t>부천 450A 2P 난방</t>
    <phoneticPr fontId="2" type="noConversion"/>
  </si>
  <si>
    <t>450 / 2P</t>
    <phoneticPr fontId="2" type="noConversion"/>
  </si>
  <si>
    <t>SD-00853-01</t>
    <phoneticPr fontId="2" type="noConversion"/>
  </si>
  <si>
    <t>JD-00595-01</t>
    <phoneticPr fontId="2" type="noConversion"/>
  </si>
  <si>
    <t>분당 350A 2P 난방</t>
    <phoneticPr fontId="2" type="noConversion"/>
  </si>
  <si>
    <t>부천 450A 2P 난방</t>
    <phoneticPr fontId="2" type="noConversion"/>
  </si>
  <si>
    <t>승재공영</t>
    <phoneticPr fontId="2" type="noConversion"/>
  </si>
  <si>
    <t>SD-00823-01</t>
    <phoneticPr fontId="2" type="noConversion"/>
  </si>
  <si>
    <t>여수 1650x1200 2P</t>
    <phoneticPr fontId="2" type="noConversion"/>
  </si>
  <si>
    <t>1650*1200 / 2P</t>
    <phoneticPr fontId="2" type="noConversion"/>
  </si>
  <si>
    <t>수공 여수권지사</t>
    <phoneticPr fontId="2" type="noConversion"/>
  </si>
  <si>
    <t>KCC건설</t>
    <phoneticPr fontId="2" type="noConversion"/>
  </si>
  <si>
    <t>광양(Ⅰ단계) 공업용수도 노후관 개량사업 시설공사(여수구간)</t>
    <phoneticPr fontId="2" type="noConversion"/>
  </si>
  <si>
    <t>JD-00592-01</t>
    <phoneticPr fontId="2" type="noConversion"/>
  </si>
  <si>
    <t>용인 450A 2P 난방</t>
    <phoneticPr fontId="2" type="noConversion"/>
  </si>
  <si>
    <t>한난엔지니어링</t>
    <phoneticPr fontId="2" type="noConversion"/>
  </si>
  <si>
    <t>JD-00594-01</t>
    <phoneticPr fontId="2" type="noConversion"/>
  </si>
  <si>
    <t>JD-00598-01</t>
    <phoneticPr fontId="2" type="noConversion"/>
  </si>
  <si>
    <t>안양 750A 1P 난방 긴급</t>
    <phoneticPr fontId="2" type="noConversion"/>
  </si>
  <si>
    <t>750 / 1P</t>
    <phoneticPr fontId="2" type="noConversion"/>
  </si>
  <si>
    <t>JD-00597-01</t>
    <phoneticPr fontId="2" type="noConversion"/>
  </si>
  <si>
    <t>수원 700A 2P 난방</t>
    <phoneticPr fontId="2" type="noConversion"/>
  </si>
  <si>
    <t>부천 150Ax150 2P 분기티</t>
    <phoneticPr fontId="2" type="noConversion"/>
  </si>
  <si>
    <t>JD-00564-01</t>
    <phoneticPr fontId="2" type="noConversion"/>
  </si>
  <si>
    <t>200*50</t>
    <phoneticPr fontId="2" type="noConversion"/>
  </si>
  <si>
    <t>350*150</t>
    <phoneticPr fontId="2" type="noConversion"/>
  </si>
  <si>
    <t>500*100</t>
    <phoneticPr fontId="2" type="noConversion"/>
  </si>
  <si>
    <t>150*150</t>
    <phoneticPr fontId="2" type="noConversion"/>
  </si>
  <si>
    <t>800*125</t>
    <phoneticPr fontId="2" type="noConversion"/>
  </si>
  <si>
    <t>400*100</t>
    <phoneticPr fontId="2" type="noConversion"/>
  </si>
  <si>
    <t>500*125</t>
    <phoneticPr fontId="2" type="noConversion"/>
  </si>
  <si>
    <t>광양 900Ax600 1P 천공(제)</t>
    <phoneticPr fontId="2" type="noConversion"/>
  </si>
  <si>
    <r>
      <t>충주 600Ax450 4P 주철</t>
    </r>
    <r>
      <rPr>
        <sz val="9"/>
        <color rgb="FFFF0000"/>
        <rFont val="맑은 고딕"/>
        <family val="3"/>
        <charset val="129"/>
        <scheme val="minor"/>
      </rPr>
      <t>(200A 별도 천공)</t>
    </r>
    <phoneticPr fontId="2" type="noConversion"/>
  </si>
  <si>
    <t>JD-00599-01</t>
    <phoneticPr fontId="2" type="noConversion"/>
  </si>
  <si>
    <t>광교 TOR 2P 천공</t>
    <phoneticPr fontId="2" type="noConversion"/>
  </si>
  <si>
    <t>광장이엠씨</t>
    <phoneticPr fontId="2" type="noConversion"/>
  </si>
  <si>
    <t>SD-00843-01</t>
    <phoneticPr fontId="2" type="noConversion"/>
  </si>
  <si>
    <t>하남 100A 내시경1P 3P 수질검사 천공</t>
    <phoneticPr fontId="2" type="noConversion"/>
  </si>
  <si>
    <t>SD-00856-01</t>
    <phoneticPr fontId="2" type="noConversion"/>
  </si>
  <si>
    <t>김제 350 2P 주철</t>
    <phoneticPr fontId="2" type="noConversion"/>
  </si>
  <si>
    <t>주철관</t>
    <phoneticPr fontId="2" type="noConversion"/>
  </si>
  <si>
    <t>SD-00868-01</t>
    <phoneticPr fontId="2" type="noConversion"/>
  </si>
  <si>
    <t>안산 500Ax400 2P Neck</t>
    <phoneticPr fontId="2" type="noConversion"/>
  </si>
  <si>
    <t>500*400 / 2P</t>
    <phoneticPr fontId="2" type="noConversion"/>
  </si>
  <si>
    <t>안산시</t>
    <phoneticPr fontId="2" type="noConversion"/>
  </si>
  <si>
    <t>한두건설</t>
    <phoneticPr fontId="2" type="noConversion"/>
  </si>
  <si>
    <t>JD-00600-01</t>
    <phoneticPr fontId="2" type="noConversion"/>
  </si>
  <si>
    <t>부천 200A 2P 난방</t>
    <phoneticPr fontId="2" type="noConversion"/>
  </si>
  <si>
    <t>200 / 2P</t>
    <phoneticPr fontId="2" type="noConversion"/>
  </si>
  <si>
    <t>GS파워 부천</t>
    <phoneticPr fontId="2" type="noConversion"/>
  </si>
  <si>
    <r>
      <t xml:space="preserve">강남 450A 4P 난방 </t>
    </r>
    <r>
      <rPr>
        <sz val="9"/>
        <color rgb="FFFF0000"/>
        <rFont val="맑은 고딕"/>
        <family val="3"/>
        <charset val="129"/>
        <scheme val="minor"/>
      </rPr>
      <t>(동화산업 야간 작업)</t>
    </r>
    <phoneticPr fontId="2" type="noConversion"/>
  </si>
  <si>
    <t>인천 200A 4P/10P 중 4P 송유</t>
    <phoneticPr fontId="2" type="noConversion"/>
  </si>
  <si>
    <t>인천 200A 0P/10P 중 3P 송유</t>
    <phoneticPr fontId="2" type="noConversion"/>
  </si>
  <si>
    <t>분류</t>
    <phoneticPr fontId="2" type="noConversion"/>
  </si>
  <si>
    <t>기성금</t>
    <phoneticPr fontId="2" type="noConversion"/>
  </si>
  <si>
    <t>기성 &amp; 준공금</t>
    <phoneticPr fontId="2" type="noConversion"/>
  </si>
  <si>
    <t>VAT</t>
    <phoneticPr fontId="2" type="noConversion"/>
  </si>
  <si>
    <t>한국토지주택공사(LH)</t>
    <phoneticPr fontId="2" type="noConversion"/>
  </si>
  <si>
    <t>파주운정3지구 택지개발사업 조성공사(3,6공구)및파주시도 1호선외 1개노선 신설.확장공사 중 상수도이설공사</t>
    <phoneticPr fontId="2" type="noConversion"/>
  </si>
  <si>
    <t>1</t>
    <phoneticPr fontId="2" type="noConversion"/>
  </si>
  <si>
    <t>회차</t>
    <phoneticPr fontId="2" type="noConversion"/>
  </si>
  <si>
    <t>2</t>
  </si>
  <si>
    <t>12</t>
    <phoneticPr fontId="2" type="noConversion"/>
  </si>
  <si>
    <t>대방건설㈜</t>
    <phoneticPr fontId="2" type="noConversion"/>
  </si>
  <si>
    <t>계약일</t>
    <phoneticPr fontId="2" type="noConversion"/>
  </si>
  <si>
    <t>계약금액
(VAT 불포함)</t>
    <phoneticPr fontId="2" type="noConversion"/>
  </si>
  <si>
    <t>누계 기성
(VAT 불포함)</t>
    <phoneticPr fontId="2" type="noConversion"/>
  </si>
  <si>
    <t>2</t>
    <phoneticPr fontId="2" type="noConversion"/>
  </si>
  <si>
    <t>3</t>
  </si>
  <si>
    <t>4</t>
  </si>
  <si>
    <t>5</t>
  </si>
  <si>
    <t>6</t>
  </si>
  <si>
    <t>7</t>
  </si>
  <si>
    <t>8</t>
  </si>
  <si>
    <t>9</t>
  </si>
  <si>
    <t>10</t>
  </si>
  <si>
    <t>11</t>
  </si>
  <si>
    <t>13</t>
  </si>
  <si>
    <t>동읍-봉강간 도로건설공사 중 공업용수관로 이설 중 관로공사</t>
    <phoneticPr fontId="2" type="noConversion"/>
  </si>
  <si>
    <r>
      <rPr>
        <b/>
        <sz val="14"/>
        <color rgb="FFFF0000"/>
        <rFont val="맑은 고딕"/>
        <family val="3"/>
        <charset val="129"/>
        <scheme val="minor"/>
      </rPr>
      <t>관로</t>
    </r>
    <r>
      <rPr>
        <sz val="11"/>
        <color theme="1"/>
        <rFont val="맑은 고딕"/>
        <family val="2"/>
        <charset val="129"/>
        <scheme val="minor"/>
      </rPr>
      <t xml:space="preserve"> 공사 계약 관리 대장</t>
    </r>
    <phoneticPr fontId="2" type="noConversion"/>
  </si>
  <si>
    <t>포항 1350Ax900 2P PC관 300#</t>
    <phoneticPr fontId="2" type="noConversion"/>
  </si>
  <si>
    <t>1350*900 / 2P</t>
    <phoneticPr fontId="2" type="noConversion"/>
  </si>
  <si>
    <t>SD-00828-03</t>
    <phoneticPr fontId="2" type="noConversion"/>
  </si>
  <si>
    <t>광양 1650Ax1350 1P 천공(제)</t>
    <phoneticPr fontId="2" type="noConversion"/>
  </si>
  <si>
    <t>1650*1350 / 1P</t>
    <phoneticPr fontId="2" type="noConversion"/>
  </si>
  <si>
    <t>JD-00604-01</t>
    <phoneticPr fontId="2" type="noConversion"/>
  </si>
  <si>
    <t>JD-00602-01</t>
    <phoneticPr fontId="2" type="noConversion"/>
  </si>
  <si>
    <t>김포 300Ax80 2P 분기티</t>
    <phoneticPr fontId="2" type="noConversion"/>
  </si>
  <si>
    <t>청라에너지</t>
    <phoneticPr fontId="2" type="noConversion"/>
  </si>
  <si>
    <t>JD-00611-01</t>
    <phoneticPr fontId="2" type="noConversion"/>
  </si>
  <si>
    <t>분당 TOR 4P 천공</t>
    <phoneticPr fontId="2" type="noConversion"/>
  </si>
  <si>
    <t xml:space="preserve">분당 250A 2P 난방 </t>
    <phoneticPr fontId="2" type="noConversion"/>
  </si>
  <si>
    <t>대전열병합</t>
    <phoneticPr fontId="2" type="noConversion"/>
  </si>
  <si>
    <t>대전 250Ax150 2P 분기티</t>
    <phoneticPr fontId="2" type="noConversion"/>
  </si>
  <si>
    <t>JD-00603-01</t>
    <phoneticPr fontId="2" type="noConversion"/>
  </si>
  <si>
    <t>250*150 / 2P</t>
    <phoneticPr fontId="2" type="noConversion"/>
  </si>
  <si>
    <t>아전이엔씨</t>
    <phoneticPr fontId="2" type="noConversion"/>
  </si>
  <si>
    <t>JD-00606-01</t>
    <phoneticPr fontId="2" type="noConversion"/>
  </si>
  <si>
    <t>광명 300A 4P 난방</t>
    <phoneticPr fontId="2" type="noConversion"/>
  </si>
  <si>
    <t>300 / 4P</t>
    <phoneticPr fontId="2" type="noConversion"/>
  </si>
  <si>
    <t>JD-00607-01</t>
    <phoneticPr fontId="2" type="noConversion"/>
  </si>
  <si>
    <t>250 / 2P</t>
    <phoneticPr fontId="2" type="noConversion"/>
  </si>
  <si>
    <t>SD-00842-01</t>
    <phoneticPr fontId="2" type="noConversion"/>
  </si>
  <si>
    <t>1350*900 / 2P</t>
    <phoneticPr fontId="2" type="noConversion"/>
  </si>
  <si>
    <t>충주 1350Ax900 2P 4번밸브실 22.5도</t>
    <phoneticPr fontId="2" type="noConversion"/>
  </si>
  <si>
    <t>수공 충주권건설단</t>
    <phoneticPr fontId="2" type="noConversion"/>
  </si>
  <si>
    <t>JD-00601-01</t>
    <phoneticPr fontId="2" type="noConversion"/>
  </si>
  <si>
    <t>부천 900A 2P 난방</t>
    <phoneticPr fontId="2" type="noConversion"/>
  </si>
  <si>
    <t>900 / 2P</t>
    <phoneticPr fontId="2" type="noConversion"/>
  </si>
  <si>
    <t>지성엔지니어링</t>
    <phoneticPr fontId="2" type="noConversion"/>
  </si>
  <si>
    <t>수원시 권선구 호매실 열수송관 보수공사</t>
    <phoneticPr fontId="2" type="noConversion"/>
  </si>
  <si>
    <t>삼천리이엔지</t>
    <phoneticPr fontId="2" type="noConversion"/>
  </si>
  <si>
    <t>부천 250A 2P 난방</t>
    <phoneticPr fontId="2" type="noConversion"/>
  </si>
  <si>
    <t>JD-00610-01</t>
    <phoneticPr fontId="2" type="noConversion"/>
  </si>
  <si>
    <t>대전 150A 2P 난방</t>
    <phoneticPr fontId="2" type="noConversion"/>
  </si>
  <si>
    <t>대전열병합</t>
    <phoneticPr fontId="2" type="noConversion"/>
  </si>
  <si>
    <t>아전이엔씨</t>
    <phoneticPr fontId="2" type="noConversion"/>
  </si>
  <si>
    <t>송유관</t>
    <phoneticPr fontId="2" type="noConversion"/>
  </si>
  <si>
    <t>인천 400A 10P 송유 2Point</t>
    <phoneticPr fontId="2" type="noConversion"/>
  </si>
  <si>
    <t>JD-00583-01</t>
    <phoneticPr fontId="2" type="noConversion"/>
  </si>
  <si>
    <t>분당 50A 2P T.O.R 천공</t>
    <phoneticPr fontId="2" type="noConversion"/>
  </si>
  <si>
    <t>JD-00547-01</t>
    <phoneticPr fontId="2" type="noConversion"/>
  </si>
  <si>
    <r>
      <t xml:space="preserve">청주 200A 2P 난방 </t>
    </r>
    <r>
      <rPr>
        <sz val="9"/>
        <color rgb="FFFF0000"/>
        <rFont val="맑은 고딕"/>
        <family val="3"/>
        <charset val="129"/>
        <scheme val="minor"/>
      </rPr>
      <t>(동화산업 작업)</t>
    </r>
    <phoneticPr fontId="2" type="noConversion"/>
  </si>
  <si>
    <t>원나인건설</t>
    <phoneticPr fontId="2" type="noConversion"/>
  </si>
  <si>
    <r>
      <t>분당 80A 1P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</si>
  <si>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</si>
  <si>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</si>
  <si>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t>SD-00826-01</t>
    <phoneticPr fontId="2" type="noConversion"/>
  </si>
  <si>
    <t>광양 2000Ax1350 1P 천공(제) Neck</t>
    <phoneticPr fontId="2" type="noConversion"/>
  </si>
  <si>
    <t>2000*1350 / 1P</t>
    <phoneticPr fontId="2" type="noConversion"/>
  </si>
  <si>
    <t>JD-00613-01</t>
    <phoneticPr fontId="2" type="noConversion"/>
  </si>
  <si>
    <t>대산 750A 2P 난방(후렌지타입)</t>
    <phoneticPr fontId="2" type="noConversion"/>
  </si>
  <si>
    <t>대산LG화학</t>
    <phoneticPr fontId="2" type="noConversion"/>
  </si>
  <si>
    <t>SD-00869-01</t>
    <phoneticPr fontId="2" type="noConversion"/>
  </si>
  <si>
    <t>경주 900Ax200 1P 풀패드 천공(제)</t>
    <phoneticPr fontId="2" type="noConversion"/>
  </si>
  <si>
    <t>900*200 / 1P</t>
    <phoneticPr fontId="2" type="noConversion"/>
  </si>
  <si>
    <t>경주시</t>
    <phoneticPr fontId="2" type="noConversion"/>
  </si>
  <si>
    <t>서산 1100Ax800 1P 풀패드천공(제)</t>
    <phoneticPr fontId="2" type="noConversion"/>
  </si>
  <si>
    <t>SD-00854-01</t>
    <phoneticPr fontId="2" type="noConversion"/>
  </si>
  <si>
    <t>1100*800 / 1P</t>
    <phoneticPr fontId="2" type="noConversion"/>
  </si>
  <si>
    <t>안산도시개발</t>
    <phoneticPr fontId="2" type="noConversion"/>
  </si>
  <si>
    <t>S-Oil</t>
    <phoneticPr fontId="2" type="noConversion"/>
  </si>
  <si>
    <t>인천국제공항공사</t>
    <phoneticPr fontId="2" type="noConversion"/>
  </si>
  <si>
    <t>유앤드림(신대륙건설)</t>
    <phoneticPr fontId="2" type="noConversion"/>
  </si>
  <si>
    <t>JD-00608-01</t>
    <phoneticPr fontId="2" type="noConversion"/>
  </si>
  <si>
    <r>
      <t xml:space="preserve">청주 700A 4P 난방 </t>
    </r>
    <r>
      <rPr>
        <sz val="9"/>
        <color rgb="FFFF0000"/>
        <rFont val="맑은 고딕"/>
        <family val="3"/>
        <charset val="129"/>
        <scheme val="minor"/>
      </rPr>
      <t>(동화작업)</t>
    </r>
    <phoneticPr fontId="2" type="noConversion"/>
  </si>
  <si>
    <t>한국지역난방공사 청주</t>
    <phoneticPr fontId="2" type="noConversion"/>
  </si>
  <si>
    <t>SD-00837-01</t>
    <phoneticPr fontId="2" type="noConversion"/>
  </si>
  <si>
    <t>SD-00838-01</t>
    <phoneticPr fontId="2" type="noConversion"/>
  </si>
  <si>
    <t>고령 800Ax600 1P 주철</t>
    <phoneticPr fontId="2" type="noConversion"/>
  </si>
  <si>
    <t>고령 800Ax600 1P 천공(제)</t>
    <phoneticPr fontId="2" type="noConversion"/>
  </si>
  <si>
    <t>800*600 / 1P</t>
    <phoneticPr fontId="2" type="noConversion"/>
  </si>
  <si>
    <t>한국수자원공사</t>
    <phoneticPr fontId="2" type="noConversion"/>
  </si>
  <si>
    <t>동우건설</t>
    <phoneticPr fontId="2" type="noConversion"/>
  </si>
  <si>
    <t>고령정수장 전오존처리시설 도입</t>
    <phoneticPr fontId="2" type="noConversion"/>
  </si>
  <si>
    <t>SD-00876-01</t>
    <phoneticPr fontId="2" type="noConversion"/>
  </si>
  <si>
    <t>분당 TOR 4P 천공</t>
    <phoneticPr fontId="2" type="noConversion"/>
  </si>
  <si>
    <t>광양 2000x1500 1P</t>
    <phoneticPr fontId="2" type="noConversion"/>
  </si>
  <si>
    <t>2000*1500 / 1P</t>
    <phoneticPr fontId="2" type="noConversion"/>
  </si>
  <si>
    <t>SD-00855-01</t>
    <phoneticPr fontId="2" type="noConversion"/>
  </si>
  <si>
    <t>서산 800Ax600 2P</t>
    <phoneticPr fontId="2" type="noConversion"/>
  </si>
  <si>
    <t>800*600 / 2P</t>
    <phoneticPr fontId="2" type="noConversion"/>
  </si>
  <si>
    <t>규광</t>
    <phoneticPr fontId="2" type="noConversion"/>
  </si>
  <si>
    <t>규광 / 와텍</t>
    <phoneticPr fontId="2" type="noConversion"/>
  </si>
  <si>
    <t>수석계통 노후관교체 및 비상연계시설 설치공사</t>
    <phoneticPr fontId="2" type="noConversion"/>
  </si>
  <si>
    <t>수공 서산권지사</t>
    <phoneticPr fontId="2" type="noConversion"/>
  </si>
  <si>
    <t>양쪽 약 1미터 이내로 보온 슬리브 추가-임문범</t>
    <phoneticPr fontId="2" type="noConversion"/>
  </si>
  <si>
    <t>5</t>
    <phoneticPr fontId="2" type="noConversion"/>
  </si>
  <si>
    <t>6</t>
    <phoneticPr fontId="2" type="noConversion"/>
  </si>
  <si>
    <t>지역난방</t>
  </si>
  <si>
    <t>강관</t>
  </si>
  <si>
    <t>JD-00616-01</t>
    <phoneticPr fontId="2" type="noConversion"/>
  </si>
  <si>
    <t>부천 600A 4P 난방</t>
    <phoneticPr fontId="2" type="noConversion"/>
  </si>
  <si>
    <t>600 / 4P</t>
    <phoneticPr fontId="2" type="noConversion"/>
  </si>
  <si>
    <t>GS파워</t>
    <phoneticPr fontId="2" type="noConversion"/>
  </si>
  <si>
    <t>750 / 2P</t>
    <phoneticPr fontId="2" type="noConversion"/>
  </si>
  <si>
    <t>전주 100A 2P 주철(번암배수지)</t>
    <phoneticPr fontId="2" type="noConversion"/>
  </si>
  <si>
    <t>SD-00860-01</t>
    <phoneticPr fontId="2" type="noConversion"/>
  </si>
  <si>
    <t>SD-00875-01</t>
    <phoneticPr fontId="2" type="noConversion"/>
  </si>
  <si>
    <t>200 / 2P</t>
    <phoneticPr fontId="2" type="noConversion"/>
  </si>
  <si>
    <t>100 / 2P</t>
    <phoneticPr fontId="2" type="noConversion"/>
  </si>
  <si>
    <t>수공 동화권지사</t>
    <phoneticPr fontId="2" type="noConversion"/>
  </si>
  <si>
    <t>정풍건설</t>
    <phoneticPr fontId="2" type="noConversion"/>
  </si>
  <si>
    <t>동화댐광역 관로 상 정밀여과장치 설치공사</t>
    <phoneticPr fontId="2" type="noConversion"/>
  </si>
  <si>
    <t>용접사 3공 -180만원 추가</t>
    <phoneticPr fontId="2" type="noConversion"/>
  </si>
  <si>
    <t>거륜에너텍</t>
    <phoneticPr fontId="2" type="noConversion"/>
  </si>
  <si>
    <t>SD-00719-01</t>
    <phoneticPr fontId="2" type="noConversion"/>
  </si>
  <si>
    <t>1350*900 / 2P</t>
    <phoneticPr fontId="2" type="noConversion"/>
  </si>
  <si>
    <t>SD-00878-01</t>
    <phoneticPr fontId="2" type="noConversion"/>
  </si>
  <si>
    <r>
      <t xml:space="preserve">충주 1350Ax900 2P 4번밸브실 </t>
    </r>
    <r>
      <rPr>
        <sz val="9"/>
        <color rgb="FFFF0000"/>
        <rFont val="맑은 고딕"/>
        <family val="3"/>
        <charset val="129"/>
        <scheme val="minor"/>
      </rPr>
      <t>재플러깅</t>
    </r>
    <phoneticPr fontId="2" type="noConversion"/>
  </si>
  <si>
    <t>김포 100Ax80 2P-&gt;150Ax80 2P변경 분기티</t>
    <phoneticPr fontId="2" type="noConversion"/>
  </si>
  <si>
    <t>JD-00605-01</t>
    <phoneticPr fontId="2" type="noConversion"/>
  </si>
  <si>
    <t>GS네오텍</t>
    <phoneticPr fontId="2" type="noConversion"/>
  </si>
  <si>
    <t>SD-00835-01</t>
    <phoneticPr fontId="2" type="noConversion"/>
  </si>
  <si>
    <t>SD-00737-01</t>
    <phoneticPr fontId="2" type="noConversion"/>
  </si>
  <si>
    <t>충주 1350Ax900 2P 3번밸브실</t>
    <phoneticPr fontId="2" type="noConversion"/>
  </si>
  <si>
    <t>JD-00609-01</t>
    <phoneticPr fontId="2" type="noConversion"/>
  </si>
  <si>
    <t>청주 750A 4P 난방</t>
    <phoneticPr fontId="2" type="noConversion"/>
  </si>
  <si>
    <t>한국지역난방공사 청주</t>
    <phoneticPr fontId="2" type="noConversion"/>
  </si>
  <si>
    <t>원나인건설</t>
    <phoneticPr fontId="2" type="noConversion"/>
  </si>
  <si>
    <r>
      <t>분당 400A 난방 2P(긴급)</t>
    </r>
    <r>
      <rPr>
        <sz val="9"/>
        <color rgb="FFFF0000"/>
        <rFont val="맑은 고딕"/>
        <family val="3"/>
        <charset val="129"/>
        <scheme val="minor"/>
      </rPr>
      <t>(야간변경-220919)</t>
    </r>
    <phoneticPr fontId="2" type="noConversion"/>
  </si>
  <si>
    <r>
      <t>강남 TOR 4P 천공</t>
    </r>
    <r>
      <rPr>
        <sz val="9"/>
        <color rgb="FFFF0000"/>
        <rFont val="맑은 고딕"/>
        <family val="3"/>
        <charset val="129"/>
        <scheme val="minor"/>
      </rPr>
      <t>(야간)</t>
    </r>
    <phoneticPr fontId="2" type="noConversion"/>
  </si>
  <si>
    <r>
      <t>강남 T.O.R피팅 2P 천공/플러깅</t>
    </r>
    <r>
      <rPr>
        <sz val="9"/>
        <color rgb="FFFF0000"/>
        <rFont val="맑은 고딕"/>
        <family val="3"/>
        <charset val="129"/>
        <scheme val="minor"/>
      </rPr>
      <t>(야간)</t>
    </r>
    <phoneticPr fontId="2" type="noConversion"/>
  </si>
  <si>
    <t>대우건설</t>
    <phoneticPr fontId="2" type="noConversion"/>
  </si>
  <si>
    <t>대우건설</t>
    <phoneticPr fontId="2" type="noConversion"/>
  </si>
  <si>
    <t>JD-00612-01</t>
    <phoneticPr fontId="2" type="noConversion"/>
  </si>
  <si>
    <t>SD-00875-01</t>
    <phoneticPr fontId="2" type="noConversion"/>
  </si>
  <si>
    <t>용인 900Ax600 2P</t>
    <phoneticPr fontId="2" type="noConversion"/>
  </si>
  <si>
    <t>900*600 / 2P</t>
    <phoneticPr fontId="2" type="noConversion"/>
  </si>
  <si>
    <t>수공 수지정수장</t>
    <phoneticPr fontId="2" type="noConversion"/>
  </si>
  <si>
    <t>대저건설</t>
    <phoneticPr fontId="2" type="noConversion"/>
  </si>
  <si>
    <t>용인수지정수장 상수관(900A, 강관) 부단수 차단공사</t>
    <phoneticPr fontId="2" type="noConversion"/>
  </si>
  <si>
    <t>JD-00615-01</t>
    <phoneticPr fontId="2" type="noConversion"/>
  </si>
  <si>
    <t>350*300</t>
    <phoneticPr fontId="2" type="noConversion"/>
  </si>
  <si>
    <t>전주 250A 2P 주철(사치배수지)</t>
    <phoneticPr fontId="2" type="noConversion"/>
  </si>
  <si>
    <t>250 / 2P</t>
    <phoneticPr fontId="2" type="noConversion"/>
  </si>
  <si>
    <t>JD-00617-01</t>
    <phoneticPr fontId="2" type="noConversion"/>
  </si>
  <si>
    <t>고양 400A 1P 난방</t>
    <phoneticPr fontId="2" type="noConversion"/>
  </si>
  <si>
    <t>한국지역난방공사 고양</t>
    <phoneticPr fontId="2" type="noConversion"/>
  </si>
  <si>
    <t>2022년 열수송관 천공 및 차단공사(2권역)</t>
    <phoneticPr fontId="2" type="noConversion"/>
  </si>
  <si>
    <t>쌍용건설</t>
    <phoneticPr fontId="2" type="noConversion"/>
  </si>
  <si>
    <t>포천 700Ax500 4P 주철</t>
    <phoneticPr fontId="2" type="noConversion"/>
  </si>
  <si>
    <t>포천 600Ax450 4P Neck</t>
    <phoneticPr fontId="2" type="noConversion"/>
  </si>
  <si>
    <t>700*500 / 4P</t>
    <phoneticPr fontId="2" type="noConversion"/>
  </si>
  <si>
    <t>600*450 / 4P</t>
    <phoneticPr fontId="2" type="noConversion"/>
  </si>
  <si>
    <t>포천시</t>
    <phoneticPr fontId="2" type="noConversion"/>
  </si>
  <si>
    <t>SD-00871-01</t>
    <phoneticPr fontId="2" type="noConversion"/>
  </si>
  <si>
    <t>성진종합건설</t>
    <phoneticPr fontId="2" type="noConversion"/>
  </si>
  <si>
    <t>14</t>
  </si>
  <si>
    <t>JD-00596-01</t>
    <phoneticPr fontId="2" type="noConversion"/>
  </si>
  <si>
    <t>충주 1350Ax900 2P 2번밸브실</t>
    <phoneticPr fontId="2" type="noConversion"/>
  </si>
  <si>
    <t>SD-00718-01</t>
    <phoneticPr fontId="2" type="noConversion"/>
  </si>
  <si>
    <t>대양이엔지</t>
    <phoneticPr fontId="2" type="noConversion"/>
  </si>
  <si>
    <t>LG화학</t>
    <phoneticPr fontId="2" type="noConversion"/>
  </si>
  <si>
    <t>SD-00861-01</t>
    <phoneticPr fontId="2" type="noConversion"/>
  </si>
  <si>
    <t>JD-00621-01</t>
    <phoneticPr fontId="2" type="noConversion"/>
  </si>
  <si>
    <t>삼송 200A 2P 난방</t>
    <phoneticPr fontId="2" type="noConversion"/>
  </si>
  <si>
    <t>한국지역난방공사 삼송</t>
    <phoneticPr fontId="2" type="noConversion"/>
  </si>
  <si>
    <t>준에너지테크</t>
    <phoneticPr fontId="2" type="noConversion"/>
  </si>
  <si>
    <t>JD-00623-01</t>
    <phoneticPr fontId="2" type="noConversion"/>
  </si>
  <si>
    <t>고양 250A 2P 난방</t>
    <phoneticPr fontId="2" type="noConversion"/>
  </si>
  <si>
    <t>한국지역난방공사 고양</t>
    <phoneticPr fontId="2" type="noConversion"/>
  </si>
  <si>
    <t>신왕건설</t>
    <phoneticPr fontId="2" type="noConversion"/>
  </si>
  <si>
    <t>JD-00624-01</t>
    <phoneticPr fontId="2" type="noConversion"/>
  </si>
  <si>
    <t>800*125 / 2P</t>
    <phoneticPr fontId="2" type="noConversion"/>
  </si>
  <si>
    <t>SD-00877-01</t>
    <phoneticPr fontId="2" type="noConversion"/>
  </si>
  <si>
    <t>안양 1200Ax1100 1P 천공(제)</t>
    <phoneticPr fontId="2" type="noConversion"/>
  </si>
  <si>
    <t>1200*1100</t>
    <phoneticPr fontId="2" type="noConversion"/>
  </si>
  <si>
    <t>안양시</t>
    <phoneticPr fontId="2" type="noConversion"/>
  </si>
  <si>
    <t>신한건설</t>
    <phoneticPr fontId="2" type="noConversion"/>
  </si>
  <si>
    <t>비산, 포일 통합정수장 현대화사업 1공구</t>
    <phoneticPr fontId="2" type="noConversion"/>
  </si>
  <si>
    <t>JD-00620-01</t>
    <phoneticPr fontId="2" type="noConversion"/>
  </si>
  <si>
    <t>고양 700A 8P 난방</t>
    <phoneticPr fontId="2" type="noConversion"/>
  </si>
  <si>
    <t>JD-00618-01</t>
    <phoneticPr fontId="2" type="noConversion"/>
  </si>
  <si>
    <t>고양 300A 3P 난방</t>
    <phoneticPr fontId="2" type="noConversion"/>
  </si>
  <si>
    <t>쌍용건설</t>
    <phoneticPr fontId="2" type="noConversion"/>
  </si>
  <si>
    <t>SD-00827-01</t>
    <phoneticPr fontId="2" type="noConversion"/>
  </si>
  <si>
    <t>광양 1800Ax1350 1P 천공(제)</t>
    <phoneticPr fontId="2" type="noConversion"/>
  </si>
  <si>
    <t>1800*1350</t>
    <phoneticPr fontId="2" type="noConversion"/>
  </si>
  <si>
    <t>두산에너빌리티 / 와텍</t>
    <phoneticPr fontId="2" type="noConversion"/>
  </si>
  <si>
    <t>안양 800Ax600 3P Neck 800Ax600 1P주철</t>
    <phoneticPr fontId="2" type="noConversion"/>
  </si>
  <si>
    <t>SD-00881-01</t>
    <phoneticPr fontId="2" type="noConversion"/>
  </si>
  <si>
    <t>세광건설</t>
    <phoneticPr fontId="2" type="noConversion"/>
  </si>
  <si>
    <t>YD-00018-01</t>
    <phoneticPr fontId="2" type="noConversion"/>
  </si>
  <si>
    <t>송유관</t>
    <phoneticPr fontId="2" type="noConversion"/>
  </si>
  <si>
    <t>인천 600A 1P</t>
    <phoneticPr fontId="2" type="noConversion"/>
  </si>
  <si>
    <t>여수 1200Ax250 1P 천공(제)</t>
    <phoneticPr fontId="2" type="noConversion"/>
  </si>
  <si>
    <t>SD-00880-01</t>
    <phoneticPr fontId="2" type="noConversion"/>
  </si>
  <si>
    <t>1200*250</t>
    <phoneticPr fontId="2" type="noConversion"/>
  </si>
  <si>
    <t>150*80</t>
    <phoneticPr fontId="2" type="noConversion"/>
  </si>
  <si>
    <t>JD-00622-01</t>
    <phoneticPr fontId="2" type="noConversion"/>
  </si>
  <si>
    <t>수원 500A 4P 난방</t>
    <phoneticPr fontId="2" type="noConversion"/>
  </si>
  <si>
    <t>한국지역난방공사 수원</t>
    <phoneticPr fontId="2" type="noConversion"/>
  </si>
  <si>
    <t>다림건설</t>
    <phoneticPr fontId="2" type="noConversion"/>
  </si>
  <si>
    <t>JD-00627-01</t>
    <phoneticPr fontId="2" type="noConversion"/>
  </si>
  <si>
    <t>삼송 TOR 2P 난방</t>
    <phoneticPr fontId="2" type="noConversion"/>
  </si>
  <si>
    <t>한국지역난방공사 삼송</t>
    <phoneticPr fontId="2" type="noConversion"/>
  </si>
  <si>
    <t>준에너지테크</t>
    <phoneticPr fontId="2" type="noConversion"/>
  </si>
  <si>
    <t>광양 1650Ax1350 1P 천공(제)</t>
    <phoneticPr fontId="2" type="noConversion"/>
  </si>
  <si>
    <t>SD-00870-01</t>
    <phoneticPr fontId="2" type="noConversion"/>
  </si>
  <si>
    <t>수원 65A 2P 난방</t>
    <phoneticPr fontId="2" type="noConversion"/>
  </si>
  <si>
    <t>SD-00828-04</t>
    <phoneticPr fontId="2" type="noConversion"/>
  </si>
  <si>
    <t>JD-00626-01</t>
    <phoneticPr fontId="2" type="noConversion"/>
  </si>
  <si>
    <t>JD-00625-01</t>
    <phoneticPr fontId="2" type="noConversion"/>
  </si>
  <si>
    <t>고양 400A 2P 난방</t>
    <phoneticPr fontId="2" type="noConversion"/>
  </si>
  <si>
    <t>대보건설</t>
    <phoneticPr fontId="2" type="noConversion"/>
  </si>
  <si>
    <t>평택 200A 2P 난방</t>
    <phoneticPr fontId="2" type="noConversion"/>
  </si>
  <si>
    <t>JD-00628-01</t>
    <phoneticPr fontId="2" type="noConversion"/>
  </si>
  <si>
    <t>한국지역난방공사 평택</t>
    <phoneticPr fontId="2" type="noConversion"/>
  </si>
  <si>
    <t>수공 포항권관리단</t>
    <phoneticPr fontId="2" type="noConversion"/>
  </si>
  <si>
    <t>화인종합건설-&gt;풍림건설</t>
    <phoneticPr fontId="2" type="noConversion"/>
  </si>
  <si>
    <t>포항공업용수도 관로시설 개량사업(1) 2차 시설공사</t>
    <phoneticPr fontId="2" type="noConversion"/>
  </si>
  <si>
    <t>동진산업에서 대호스토퍼 줘야할 돈</t>
    <phoneticPr fontId="2" type="noConversion"/>
  </si>
  <si>
    <t>대호스토퍼에서 동진산업 줘야할 돈</t>
    <phoneticPr fontId="2" type="noConversion"/>
  </si>
  <si>
    <t>화인종합건설+대성기공 차단 건</t>
    <phoneticPr fontId="2" type="noConversion"/>
  </si>
  <si>
    <t>아태건설 시공비+간접비(?)</t>
    <phoneticPr fontId="2" type="noConversion"/>
  </si>
  <si>
    <t>총액(VAT 별도)</t>
    <phoneticPr fontId="2" type="noConversion"/>
  </si>
  <si>
    <t>아태건설 시공비(동진 견적서 직접공사비 기준)</t>
    <phoneticPr fontId="2" type="noConversion"/>
  </si>
  <si>
    <t>동진산업에서 대호스토퍼로 계산서 발행 예정 금액</t>
    <phoneticPr fontId="2" type="noConversion"/>
  </si>
  <si>
    <t>JD-00614-01</t>
    <phoneticPr fontId="2" type="noConversion"/>
  </si>
  <si>
    <t>김포 900Ax300 2P 분기티</t>
    <phoneticPr fontId="2" type="noConversion"/>
  </si>
  <si>
    <t>900*300</t>
    <phoneticPr fontId="2" type="noConversion"/>
  </si>
  <si>
    <t>SD-00884-01</t>
    <phoneticPr fontId="2" type="noConversion"/>
  </si>
  <si>
    <t>충주 450Ax350 2P 주철</t>
    <phoneticPr fontId="2" type="noConversion"/>
  </si>
  <si>
    <t>SD-00885-01</t>
    <phoneticPr fontId="2" type="noConversion"/>
  </si>
  <si>
    <t>아산 1100Ax850 1P 피팅,맹,볼트,가스켓 자재출고,용접까지</t>
    <phoneticPr fontId="2" type="noConversion"/>
  </si>
  <si>
    <t>1100*850 / 1P</t>
    <phoneticPr fontId="2" type="noConversion"/>
  </si>
  <si>
    <t>수공 아산권지사</t>
    <phoneticPr fontId="2" type="noConversion"/>
  </si>
  <si>
    <t>수자원기술주식회사</t>
    <phoneticPr fontId="2" type="noConversion"/>
  </si>
  <si>
    <t>150A 금액</t>
    <phoneticPr fontId="2" type="noConversion"/>
  </si>
  <si>
    <t>KCC건설 / 와텍</t>
    <phoneticPr fontId="2" type="noConversion"/>
  </si>
  <si>
    <t>=137,300,000-110,000,000</t>
    <phoneticPr fontId="2" type="noConversion"/>
  </si>
  <si>
    <r>
      <t>김제 700Ax500 2P 주철</t>
    </r>
    <r>
      <rPr>
        <sz val="9"/>
        <color rgb="FFFF0000"/>
        <rFont val="맑은 고딕"/>
        <family val="3"/>
        <charset val="129"/>
        <scheme val="minor"/>
      </rPr>
      <t>(동진계약)</t>
    </r>
    <phoneticPr fontId="2" type="noConversion"/>
  </si>
  <si>
    <r>
      <t>전주 700Ax500 2P 주철(</t>
    </r>
    <r>
      <rPr>
        <sz val="9"/>
        <color rgb="FFFF0000"/>
        <rFont val="맑은 고딕"/>
        <family val="3"/>
        <charset val="129"/>
        <scheme val="minor"/>
      </rPr>
      <t>동진계약</t>
    </r>
    <r>
      <rPr>
        <sz val="9"/>
        <color theme="1"/>
        <rFont val="맑은 고딕"/>
        <family val="3"/>
        <charset val="129"/>
        <scheme val="minor"/>
      </rPr>
      <t>)</t>
    </r>
    <phoneticPr fontId="2" type="noConversion"/>
  </si>
  <si>
    <r>
      <t>김제 350 2P 주철</t>
    </r>
    <r>
      <rPr>
        <sz val="9"/>
        <color rgb="FFFF0000"/>
        <rFont val="맑은 고딕"/>
        <family val="3"/>
        <charset val="129"/>
        <scheme val="minor"/>
      </rPr>
      <t>(동진계약)</t>
    </r>
    <phoneticPr fontId="2" type="noConversion"/>
  </si>
  <si>
    <t>GS건설</t>
    <phoneticPr fontId="2" type="noConversion"/>
  </si>
  <si>
    <t>과천 150A 4P 난방</t>
    <phoneticPr fontId="2" type="noConversion"/>
  </si>
  <si>
    <t>상수도</t>
    <phoneticPr fontId="2" type="noConversion"/>
  </si>
  <si>
    <t>JD-00629-01</t>
    <phoneticPr fontId="2" type="noConversion"/>
  </si>
  <si>
    <t>수원 700A 2P 난방</t>
    <phoneticPr fontId="2" type="noConversion"/>
  </si>
  <si>
    <t>SD-00886-01</t>
    <phoneticPr fontId="2" type="noConversion"/>
  </si>
  <si>
    <t>울산 900Ax600 1P 주철 + 1P 강관</t>
    <phoneticPr fontId="2" type="noConversion"/>
  </si>
  <si>
    <t>900*600 / 2P</t>
    <phoneticPr fontId="2" type="noConversion"/>
  </si>
  <si>
    <t>분당 1000Ax500 1P 분기티</t>
    <phoneticPr fontId="2" type="noConversion"/>
  </si>
  <si>
    <t>JD-00632-01</t>
    <phoneticPr fontId="2" type="noConversion"/>
  </si>
  <si>
    <t>JD-00633-01</t>
    <phoneticPr fontId="2" type="noConversion"/>
  </si>
  <si>
    <t>대한공조</t>
    <phoneticPr fontId="2" type="noConversion"/>
  </si>
  <si>
    <t>분당 800Ax500 1P 분기티</t>
    <phoneticPr fontId="2" type="noConversion"/>
  </si>
  <si>
    <t>CHP#1 초기기동시 저온 DH공급수 재순환라인 신설공사</t>
    <phoneticPr fontId="2" type="noConversion"/>
  </si>
  <si>
    <t>한국지역난방공사</t>
    <phoneticPr fontId="2" type="noConversion"/>
  </si>
  <si>
    <t>1000*500 / 1P</t>
    <phoneticPr fontId="2" type="noConversion"/>
  </si>
  <si>
    <t>800*500 / 1P</t>
    <phoneticPr fontId="2" type="noConversion"/>
  </si>
  <si>
    <t>소흘생활체육공원 확중사업 중 관로이설공사</t>
    <phoneticPr fontId="2" type="noConversion"/>
  </si>
  <si>
    <t>성진종합건설</t>
    <phoneticPr fontId="2" type="noConversion"/>
  </si>
  <si>
    <t>소흘생활체육공원 확중사업 중 관로이설공사</t>
    <phoneticPr fontId="2" type="noConversion"/>
  </si>
  <si>
    <t>울산선 범서 하이패스 IC 설치공사 중 관로공사</t>
    <phoneticPr fontId="2" type="noConversion"/>
  </si>
  <si>
    <t>안양 경수대로 송수관로 이설공사 2공구</t>
    <phoneticPr fontId="2" type="noConversion"/>
  </si>
  <si>
    <t>GS네오텍</t>
    <phoneticPr fontId="2" type="noConversion"/>
  </si>
  <si>
    <t>-</t>
    <phoneticPr fontId="2" type="noConversion"/>
  </si>
  <si>
    <t>서울 650A 2P 난방(긴급)</t>
    <phoneticPr fontId="2" type="noConversion"/>
  </si>
  <si>
    <t>JD-00637-01</t>
    <phoneticPr fontId="2" type="noConversion"/>
  </si>
  <si>
    <t>650 / 2P</t>
    <phoneticPr fontId="2" type="noConversion"/>
  </si>
  <si>
    <t>JD-00636-01</t>
    <phoneticPr fontId="2" type="noConversion"/>
  </si>
  <si>
    <t>중앙 200A 4P 난방</t>
    <phoneticPr fontId="2" type="noConversion"/>
  </si>
  <si>
    <t>한국지역난방공사 중앙</t>
    <phoneticPr fontId="2" type="noConversion"/>
  </si>
  <si>
    <t>SD-00890-01</t>
    <phoneticPr fontId="2" type="noConversion"/>
  </si>
  <si>
    <t>부산 400A 1P 주철</t>
    <phoneticPr fontId="2" type="noConversion"/>
  </si>
  <si>
    <t>400 / 1P</t>
    <phoneticPr fontId="2" type="noConversion"/>
  </si>
  <si>
    <t>부산시 상수도사업본부</t>
    <phoneticPr fontId="2" type="noConversion"/>
  </si>
  <si>
    <t>JD-00634-01</t>
    <phoneticPr fontId="2" type="noConversion"/>
  </si>
  <si>
    <t>고양 125A 2P 난방</t>
    <phoneticPr fontId="2" type="noConversion"/>
  </si>
  <si>
    <t>이천 900Ax600 4P 주철</t>
    <phoneticPr fontId="2" type="noConversion"/>
  </si>
  <si>
    <t>900 / 4P</t>
    <phoneticPr fontId="2" type="noConversion"/>
  </si>
  <si>
    <t>대포배수지 증설공사</t>
    <phoneticPr fontId="2" type="noConversion"/>
  </si>
  <si>
    <t>이천시</t>
    <phoneticPr fontId="2" type="noConversion"/>
  </si>
  <si>
    <t>기연건설</t>
    <phoneticPr fontId="2" type="noConversion"/>
  </si>
  <si>
    <t>시흥 1200Ax800 1P 천공(제)</t>
    <phoneticPr fontId="2" type="noConversion"/>
  </si>
  <si>
    <t>1200*800 / 1P</t>
    <phoneticPr fontId="2" type="noConversion"/>
  </si>
  <si>
    <t>수공 수도권수도사업단</t>
    <phoneticPr fontId="2" type="noConversion"/>
  </si>
  <si>
    <t>극동건설</t>
    <phoneticPr fontId="2" type="noConversion"/>
  </si>
  <si>
    <t>수도권(Ⅳ) 광역상수도(시화안산계통) 복선화사업 시설공사</t>
    <phoneticPr fontId="2" type="noConversion"/>
  </si>
  <si>
    <t>고양 450A 2P 난방</t>
    <phoneticPr fontId="2" type="noConversion"/>
  </si>
  <si>
    <t>JD-00635-01</t>
    <phoneticPr fontId="2" type="noConversion"/>
  </si>
  <si>
    <t>창원 500Ax400 2P 주철</t>
    <phoneticPr fontId="2" type="noConversion"/>
  </si>
  <si>
    <t>500 / 2P</t>
    <phoneticPr fontId="2" type="noConversion"/>
  </si>
  <si>
    <t>대득건설</t>
    <phoneticPr fontId="2" type="noConversion"/>
  </si>
  <si>
    <t>창원시</t>
    <phoneticPr fontId="2" type="noConversion"/>
  </si>
  <si>
    <t>동전배수지 유출 감압밸브 교체공사</t>
    <phoneticPr fontId="2" type="noConversion"/>
  </si>
  <si>
    <t>SD-00882-01</t>
    <phoneticPr fontId="2" type="noConversion"/>
  </si>
  <si>
    <t>아산 1350Ax900 2P 700Ax500 1P 동시</t>
    <phoneticPr fontId="2" type="noConversion"/>
  </si>
  <si>
    <t>1350 / 2P+700 1P</t>
    <phoneticPr fontId="2" type="noConversion"/>
  </si>
  <si>
    <t>아산(공) 대산계통 서산 타이밸브실 신규 밸브 설치공사</t>
    <phoneticPr fontId="2" type="noConversion"/>
  </si>
  <si>
    <t>흥화종합건설</t>
    <phoneticPr fontId="2" type="noConversion"/>
  </si>
  <si>
    <t>SD-00891-01</t>
    <phoneticPr fontId="2" type="noConversion"/>
  </si>
  <si>
    <t>안산 600Ax450 2P 주철</t>
    <phoneticPr fontId="2" type="noConversion"/>
  </si>
  <si>
    <t>600 / 2P</t>
    <phoneticPr fontId="2" type="noConversion"/>
  </si>
  <si>
    <t>SD-00899-01</t>
    <phoneticPr fontId="2" type="noConversion"/>
  </si>
  <si>
    <t>창원 500Ax300 2P 주철 천공</t>
    <phoneticPr fontId="2" type="noConversion"/>
  </si>
  <si>
    <t>500*300 / 2P</t>
    <phoneticPr fontId="2" type="noConversion"/>
  </si>
  <si>
    <t>CHP#1 초기기동시 저온 DH공급수 재순환라인 신설공사</t>
    <phoneticPr fontId="2" type="noConversion"/>
  </si>
  <si>
    <t>구상에너지</t>
    <phoneticPr fontId="2" type="noConversion"/>
  </si>
  <si>
    <t>핫라인</t>
    <phoneticPr fontId="2" type="noConversion"/>
  </si>
  <si>
    <t>SD-00896-01</t>
    <phoneticPr fontId="2" type="noConversion"/>
  </si>
  <si>
    <t>충주댐계통 공업용수도사업 및 추가사업 제2공구 시설공사</t>
    <phoneticPr fontId="2" type="noConversion"/>
  </si>
  <si>
    <t>SD-00897-01</t>
    <phoneticPr fontId="2" type="noConversion"/>
  </si>
  <si>
    <t>창원 600Ax450 2P 주철</t>
    <phoneticPr fontId="2" type="noConversion"/>
  </si>
  <si>
    <t>600 / 2P</t>
    <phoneticPr fontId="2" type="noConversion"/>
  </si>
  <si>
    <t>홍수건설</t>
    <phoneticPr fontId="2" type="noConversion"/>
  </si>
  <si>
    <t>SD-00900-01</t>
    <phoneticPr fontId="2" type="noConversion"/>
  </si>
  <si>
    <t>울산 1350A 2P 언플러깅</t>
    <phoneticPr fontId="2" type="noConversion"/>
  </si>
  <si>
    <t>1350 / 2P</t>
    <phoneticPr fontId="2" type="noConversion"/>
  </si>
  <si>
    <t>울산시</t>
    <phoneticPr fontId="2" type="noConversion"/>
  </si>
  <si>
    <t>조은환경기술</t>
    <phoneticPr fontId="2" type="noConversion"/>
  </si>
  <si>
    <t>JD-00640-01</t>
    <phoneticPr fontId="2" type="noConversion"/>
  </si>
  <si>
    <t>화성 200A 2P 난방</t>
    <phoneticPr fontId="2" type="noConversion"/>
  </si>
  <si>
    <t>한국지역난방공사 화성</t>
    <phoneticPr fontId="2" type="noConversion"/>
  </si>
  <si>
    <t>드림라인</t>
    <phoneticPr fontId="2" type="noConversion"/>
  </si>
  <si>
    <t>JD-00642-01</t>
    <phoneticPr fontId="2" type="noConversion"/>
  </si>
  <si>
    <t>중앙 TOR 1P 천공</t>
    <phoneticPr fontId="2" type="noConversion"/>
  </si>
  <si>
    <t>SD-00852-01</t>
    <phoneticPr fontId="2" type="noConversion"/>
  </si>
  <si>
    <t>익산 600Ax450 2P 주철</t>
    <phoneticPr fontId="2" type="noConversion"/>
  </si>
  <si>
    <t>수공 익산현대화사업소</t>
    <phoneticPr fontId="2" type="noConversion"/>
  </si>
  <si>
    <t>성민건설</t>
    <phoneticPr fontId="2" type="noConversion"/>
  </si>
  <si>
    <t>신흥중블록 구축공사</t>
    <phoneticPr fontId="2" type="noConversion"/>
  </si>
  <si>
    <t>SD-00898-01</t>
    <phoneticPr fontId="2" type="noConversion"/>
  </si>
  <si>
    <t>SD-00901-01</t>
    <phoneticPr fontId="2" type="noConversion"/>
  </si>
  <si>
    <t>청주 800Ax600 2P 주철</t>
    <phoneticPr fontId="2" type="noConversion"/>
  </si>
  <si>
    <t>800 / 2P</t>
    <phoneticPr fontId="2" type="noConversion"/>
  </si>
  <si>
    <t>청주시 석남천 배수분구 도시침수예방사업</t>
    <phoneticPr fontId="2" type="noConversion"/>
  </si>
  <si>
    <t>유진건설</t>
    <phoneticPr fontId="2" type="noConversion"/>
  </si>
  <si>
    <t>한국환경공단</t>
    <phoneticPr fontId="2" type="noConversion"/>
  </si>
  <si>
    <t>창원 600Ax400 2P 주철</t>
    <phoneticPr fontId="2" type="noConversion"/>
  </si>
  <si>
    <t>SD-00902-01</t>
    <phoneticPr fontId="2" type="noConversion"/>
  </si>
  <si>
    <t>이천 700Ax500 2P 주철</t>
    <phoneticPr fontId="2" type="noConversion"/>
  </si>
  <si>
    <t>600*400 / 2P</t>
    <phoneticPr fontId="2" type="noConversion"/>
  </si>
  <si>
    <t>700 / 2P</t>
    <phoneticPr fontId="2" type="noConversion"/>
  </si>
  <si>
    <t>이천시</t>
    <phoneticPr fontId="2" type="noConversion"/>
  </si>
  <si>
    <t>토수종합건설(기연건설)</t>
    <phoneticPr fontId="2" type="noConversion"/>
  </si>
  <si>
    <t>대포배수지 증설공사</t>
    <phoneticPr fontId="2" type="noConversion"/>
  </si>
  <si>
    <t>SD-00866-01</t>
    <phoneticPr fontId="2" type="noConversion"/>
  </si>
  <si>
    <t>전주 400Ax400 2P 천공(제)</t>
    <phoneticPr fontId="2" type="noConversion"/>
  </si>
  <si>
    <t>400*400 / 2P</t>
    <phoneticPr fontId="2" type="noConversion"/>
  </si>
  <si>
    <t>전주 300A 2P (장수배수지)</t>
    <phoneticPr fontId="2" type="noConversion"/>
  </si>
  <si>
    <t>SD-00863-01</t>
    <phoneticPr fontId="2" type="noConversion"/>
  </si>
  <si>
    <t>300 / 2P</t>
    <phoneticPr fontId="2" type="noConversion"/>
  </si>
  <si>
    <t>인천 800A 4P 난방</t>
    <phoneticPr fontId="2" type="noConversion"/>
  </si>
  <si>
    <t>JD-00638-01</t>
    <phoneticPr fontId="2" type="noConversion"/>
  </si>
  <si>
    <t>800 / 4P</t>
    <phoneticPr fontId="2" type="noConversion"/>
  </si>
  <si>
    <t>인천공항에너지</t>
    <phoneticPr fontId="2" type="noConversion"/>
  </si>
  <si>
    <t>정도</t>
    <phoneticPr fontId="2" type="noConversion"/>
  </si>
  <si>
    <t>IBC-3개발산업 1단계 기반시설 조성공사</t>
    <phoneticPr fontId="2" type="noConversion"/>
  </si>
  <si>
    <t>\\Desktop-yang\(주)대호스토퍼\0영업사항(견적서)\AA지역별 견적현황\2022년\지역난방\인천공항에너지\인천공항에너지 정도설비800x4가배관500 실행견적</t>
    <phoneticPr fontId="2" type="noConversion"/>
  </si>
  <si>
    <t>고양 350A 4P 난방</t>
    <phoneticPr fontId="2" type="noConversion"/>
  </si>
  <si>
    <t>고양 100A 2P 난방</t>
    <phoneticPr fontId="2" type="noConversion"/>
  </si>
  <si>
    <t>\\Desktop-yang\(주)대호스토퍼\0영업사항(견적서)\AA지역별 견적현황\2022년\충청북도\충주(이천~문경, 200A~1350A)-한국철도시설공단,현대건설,대성기공</t>
    <phoneticPr fontId="2" type="noConversion"/>
  </si>
  <si>
    <t>450 / 2P</t>
    <phoneticPr fontId="2" type="noConversion"/>
  </si>
  <si>
    <t>충주 600Ax450 4P 주철 200A 2P(플러깅)주철</t>
    <phoneticPr fontId="2" type="noConversion"/>
  </si>
  <si>
    <t>600 / 4P</t>
    <phoneticPr fontId="2" type="noConversion"/>
  </si>
  <si>
    <t>SD-00865-01</t>
    <phoneticPr fontId="2" type="noConversion"/>
  </si>
  <si>
    <t>전주 700Ax400 2P 주철 천공(제)</t>
    <phoneticPr fontId="2" type="noConversion"/>
  </si>
  <si>
    <t>700*400 / 2P</t>
    <phoneticPr fontId="2" type="noConversion"/>
  </si>
  <si>
    <t>SD-00906-01</t>
    <phoneticPr fontId="2" type="noConversion"/>
  </si>
  <si>
    <t>대구 1650Ax1200 1P 반패드 (12/4철거완료)</t>
    <phoneticPr fontId="2" type="noConversion"/>
  </si>
  <si>
    <t>대구시</t>
    <phoneticPr fontId="2" type="noConversion"/>
  </si>
  <si>
    <t>태왕/라온</t>
    <phoneticPr fontId="2" type="noConversion"/>
  </si>
  <si>
    <t>SD-00862-01</t>
    <phoneticPr fontId="2" type="noConversion"/>
  </si>
  <si>
    <t>부천 350Ax300 2P 분기티</t>
    <phoneticPr fontId="2" type="noConversion"/>
  </si>
  <si>
    <t>부천 800Ax125 2P 분기티</t>
    <phoneticPr fontId="2" type="noConversion"/>
  </si>
  <si>
    <t>JD-00641-01</t>
    <phoneticPr fontId="2" type="noConversion"/>
  </si>
  <si>
    <t>JD-00643-01</t>
    <phoneticPr fontId="2" type="noConversion"/>
  </si>
  <si>
    <t>검단 열배관 수용가 인입공사</t>
    <phoneticPr fontId="2" type="noConversion"/>
  </si>
  <si>
    <t>300*80</t>
    <phoneticPr fontId="2" type="noConversion"/>
  </si>
  <si>
    <t>JD-00639-01</t>
    <phoneticPr fontId="2" type="noConversion"/>
  </si>
  <si>
    <t>고양 800A 2P 난방</t>
    <phoneticPr fontId="2" type="noConversion"/>
  </si>
  <si>
    <t>SD-00905-01</t>
    <phoneticPr fontId="2" type="noConversion"/>
  </si>
  <si>
    <t>충주 600Ax450 2P</t>
    <phoneticPr fontId="2" type="noConversion"/>
  </si>
  <si>
    <t>600 / 2P</t>
    <phoneticPr fontId="2" type="noConversion"/>
  </si>
  <si>
    <t>SD-00887-01</t>
    <phoneticPr fontId="2" type="noConversion"/>
  </si>
  <si>
    <t>수성구 만촌동 1041-2번지 앞 부단수 차단설비 제작설치구매</t>
    <phoneticPr fontId="2" type="noConversion"/>
  </si>
  <si>
    <t>해원산업</t>
    <phoneticPr fontId="2" type="noConversion"/>
  </si>
  <si>
    <t>DHI</t>
    <phoneticPr fontId="2" type="noConversion"/>
  </si>
  <si>
    <t>전주 200A 2P 주철(이백배수지)</t>
    <phoneticPr fontId="2" type="noConversion"/>
  </si>
  <si>
    <t>전주 200A 2P 주철(대산배수지)</t>
    <phoneticPr fontId="2" type="noConversion"/>
  </si>
  <si>
    <t>SD-00888-01</t>
    <phoneticPr fontId="2" type="noConversion"/>
  </si>
  <si>
    <t>SD-00889-01</t>
    <phoneticPr fontId="2" type="noConversion"/>
  </si>
  <si>
    <t>파주 500Ax500 1P 천공</t>
    <phoneticPr fontId="2" type="noConversion"/>
  </si>
  <si>
    <t>파주 900Ax500 1P Neck 천공</t>
    <phoneticPr fontId="2" type="noConversion"/>
  </si>
  <si>
    <t>500*500</t>
    <phoneticPr fontId="2" type="noConversion"/>
  </si>
  <si>
    <t>900*500</t>
    <phoneticPr fontId="2" type="noConversion"/>
  </si>
  <si>
    <t>김진남 부장</t>
    <phoneticPr fontId="2" type="noConversion"/>
  </si>
  <si>
    <t>JD-00644-01</t>
    <phoneticPr fontId="2" type="noConversion"/>
  </si>
  <si>
    <t>인천 800A 2P 난방</t>
    <phoneticPr fontId="2" type="noConversion"/>
  </si>
  <si>
    <t>인천공항에너지</t>
    <phoneticPr fontId="2" type="noConversion"/>
  </si>
  <si>
    <t>열수송관 무단수공사 단가계약</t>
    <phoneticPr fontId="2" type="noConversion"/>
  </si>
  <si>
    <t>\\Desktop-yang\(주)대호스토퍼\0영업사항(견적서)\AA지역별 견적현황\2022년\지역난방\인천공항에너지\열수송관 무단수공사 단가계약 (입찰) - 22.07.11</t>
    <phoneticPr fontId="2" type="noConversion"/>
  </si>
  <si>
    <t>SD-00907-01</t>
    <phoneticPr fontId="2" type="noConversion"/>
  </si>
  <si>
    <t>현대제철</t>
    <phoneticPr fontId="2" type="noConversion"/>
  </si>
  <si>
    <t>\\Desktop-yang\(주)대호스토퍼\0영업사항(견적서)\AA지역별 견적현황\2022년\기타\당진 현대제철(천공)-케이제이엠아이, 백산테크\백산테크</t>
    <phoneticPr fontId="2" type="noConversion"/>
  </si>
  <si>
    <t>COG GAS 품질개선공사 中 부단수 천공 공사</t>
    <phoneticPr fontId="2" type="noConversion"/>
  </si>
  <si>
    <t>가스</t>
    <phoneticPr fontId="2" type="noConversion"/>
  </si>
  <si>
    <t>당진 2000Ax1600 1P 천공(시공사제작)</t>
    <phoneticPr fontId="2" type="noConversion"/>
  </si>
  <si>
    <t>2000*1600</t>
    <phoneticPr fontId="2" type="noConversion"/>
  </si>
  <si>
    <t>백산테크</t>
    <phoneticPr fontId="2" type="noConversion"/>
  </si>
  <si>
    <t>1차기성</t>
    <phoneticPr fontId="2" type="noConversion"/>
  </si>
  <si>
    <t>800 / 2p</t>
    <phoneticPr fontId="2" type="noConversion"/>
  </si>
  <si>
    <t>JD-00560-01</t>
    <phoneticPr fontId="2" type="noConversion"/>
  </si>
  <si>
    <t>시흥 1200Ax850 2P</t>
    <phoneticPr fontId="2" type="noConversion"/>
  </si>
  <si>
    <t>1200 / 2P</t>
    <phoneticPr fontId="2" type="noConversion"/>
  </si>
  <si>
    <t>극동건설, 건진건설</t>
    <phoneticPr fontId="2" type="noConversion"/>
  </si>
  <si>
    <t>SD-00911-01</t>
    <phoneticPr fontId="2" type="noConversion"/>
  </si>
  <si>
    <t>700*80</t>
    <phoneticPr fontId="2" type="noConversion"/>
  </si>
  <si>
    <t>이천 700Ax80 1P 천공 900Ax25 1P 천공</t>
    <phoneticPr fontId="2" type="noConversion"/>
  </si>
  <si>
    <t>15</t>
    <phoneticPr fontId="2" type="noConversion"/>
  </si>
  <si>
    <t>7</t>
    <phoneticPr fontId="2" type="noConversion"/>
  </si>
  <si>
    <t>8</t>
    <phoneticPr fontId="2" type="noConversion"/>
  </si>
  <si>
    <t>중흥토건㈜</t>
    <phoneticPr fontId="2" type="noConversion"/>
  </si>
  <si>
    <t>동부건설㈜</t>
    <phoneticPr fontId="2" type="noConversion"/>
  </si>
  <si>
    <t>울산선 범서 하이패스 IC 설치공사 중 관로공사</t>
    <phoneticPr fontId="2" type="noConversion"/>
  </si>
  <si>
    <t>울산선 범서 하이패스 IC 설치공사 중 관로공사</t>
    <phoneticPr fontId="2" type="noConversion"/>
  </si>
  <si>
    <t>상수도</t>
    <phoneticPr fontId="2" type="noConversion"/>
  </si>
  <si>
    <t>강관</t>
    <phoneticPr fontId="2" type="noConversion"/>
  </si>
  <si>
    <t>세영종합건설</t>
    <phoneticPr fontId="2" type="noConversion"/>
  </si>
  <si>
    <t>SD-00912-01</t>
    <phoneticPr fontId="2" type="noConversion"/>
  </si>
  <si>
    <t>대구 900Ax600 1P Neck</t>
    <phoneticPr fontId="2" type="noConversion"/>
  </si>
  <si>
    <t>경산시</t>
    <phoneticPr fontId="2" type="noConversion"/>
  </si>
  <si>
    <t>창성건설</t>
    <phoneticPr fontId="2" type="noConversion"/>
  </si>
  <si>
    <t>경산정수장 이차증설작업</t>
    <phoneticPr fontId="2" type="noConversion"/>
  </si>
  <si>
    <t>대구 1350Ax900 2P (300#) Neck</t>
    <phoneticPr fontId="2" type="noConversion"/>
  </si>
  <si>
    <t>대구 1350Ax900 2P (150#) 바이패스 플러깅용 Neck</t>
    <phoneticPr fontId="2" type="noConversion"/>
  </si>
  <si>
    <t>SD-00913-02</t>
    <phoneticPr fontId="2" type="noConversion"/>
  </si>
  <si>
    <t>1350*900 / 2P</t>
    <phoneticPr fontId="2" type="noConversion"/>
  </si>
  <si>
    <t>1350 / 2P</t>
    <phoneticPr fontId="2" type="noConversion"/>
  </si>
  <si>
    <t>수기주 이병섭팀장-010-2434-6257
수기주 전형진 과장 010-8507-8307
22/11/2 수공에 긴급보수 금액이 없어서 내년으로 연기될 수 있다...
용접사 2명, 직원 1명
22/12/9 수공도 돈이 없어서 내년 1월은 되야 가능할 것 같다. 나간곳도 한군데도 없다.
23/1/13 명절 이후에  곧장 계산서 관련한 연락 주겠다</t>
    <phoneticPr fontId="2" type="noConversion"/>
  </si>
  <si>
    <t>2022년도 긴급누수복구 및 수선 단가공사(장기계속) 2구역</t>
    <phoneticPr fontId="2" type="noConversion"/>
  </si>
  <si>
    <t>16</t>
    <phoneticPr fontId="2" type="noConversion"/>
  </si>
  <si>
    <t>JD-00645-01</t>
    <phoneticPr fontId="2" type="noConversion"/>
  </si>
  <si>
    <t>고양 700A 8P 난방</t>
    <phoneticPr fontId="2" type="noConversion"/>
  </si>
  <si>
    <t>신우엔지니어링</t>
    <phoneticPr fontId="2" type="noConversion"/>
  </si>
  <si>
    <t>노원교 진출램프 열배관이설</t>
    <phoneticPr fontId="2" type="noConversion"/>
  </si>
  <si>
    <t>JD-00651-01</t>
    <phoneticPr fontId="2" type="noConversion"/>
  </si>
  <si>
    <t>JD-00652-01</t>
    <phoneticPr fontId="2" type="noConversion"/>
  </si>
  <si>
    <t>서울 700A 1P 난방</t>
    <phoneticPr fontId="2" type="noConversion"/>
  </si>
  <si>
    <t>서울 650A 1P 난방</t>
    <phoneticPr fontId="2" type="noConversion"/>
  </si>
  <si>
    <t>서울 350A 1P 난방</t>
    <phoneticPr fontId="2" type="noConversion"/>
  </si>
  <si>
    <t>구상에너지</t>
    <phoneticPr fontId="2" type="noConversion"/>
  </si>
  <si>
    <t>JD-00653-01</t>
    <phoneticPr fontId="2" type="noConversion"/>
  </si>
  <si>
    <t>서울 800A 2P 난방</t>
    <phoneticPr fontId="2" type="noConversion"/>
  </si>
  <si>
    <t>한국지역난방공사 중앙</t>
    <phoneticPr fontId="2" type="noConversion"/>
  </si>
  <si>
    <t>혜원산업</t>
    <phoneticPr fontId="2" type="noConversion"/>
  </si>
  <si>
    <t>SD-00916-01</t>
    <phoneticPr fontId="2" type="noConversion"/>
  </si>
  <si>
    <t>주철관</t>
    <phoneticPr fontId="2" type="noConversion"/>
  </si>
  <si>
    <t>350/ 2P</t>
    <phoneticPr fontId="2" type="noConversion"/>
  </si>
  <si>
    <t>SD-00913-01</t>
    <phoneticPr fontId="2" type="noConversion"/>
  </si>
  <si>
    <t>SD-00752-01</t>
    <phoneticPr fontId="2" type="noConversion"/>
  </si>
  <si>
    <t>수도권(Ⅳ) 광역상수도(시화안산계통) 복선화사업 시설공사</t>
    <phoneticPr fontId="2" type="noConversion"/>
  </si>
  <si>
    <t>동원건설산업</t>
    <phoneticPr fontId="2" type="noConversion"/>
  </si>
  <si>
    <t>광양 1650Ax1200 1P</t>
    <phoneticPr fontId="2" type="noConversion"/>
  </si>
  <si>
    <t>JD-00558-01</t>
    <phoneticPr fontId="2" type="noConversion"/>
  </si>
  <si>
    <t>JD-00559-01</t>
    <phoneticPr fontId="2" type="noConversion"/>
  </si>
  <si>
    <t>시흥 800Ax600 1P 주철천공(제)</t>
    <phoneticPr fontId="2" type="noConversion"/>
  </si>
  <si>
    <t>상수도</t>
  </si>
  <si>
    <t>주철관</t>
  </si>
  <si>
    <t>SD-00769-01</t>
    <phoneticPr fontId="2" type="noConversion"/>
  </si>
  <si>
    <t>용인 1800Ax1650 1P 천공</t>
    <phoneticPr fontId="2" type="noConversion"/>
  </si>
  <si>
    <t>1800*1650</t>
    <phoneticPr fontId="2" type="noConversion"/>
  </si>
  <si>
    <t>한국수자원공사</t>
    <phoneticPr fontId="2" type="noConversion"/>
  </si>
  <si>
    <t>수지정수장 2차 고도정수처리도입 시설공사</t>
    <phoneticPr fontId="2" type="noConversion"/>
  </si>
  <si>
    <t>경산 1200Ax900 2P 가배관용Neck</t>
    <phoneticPr fontId="2" type="noConversion"/>
  </si>
  <si>
    <t>SD-00908-02</t>
    <phoneticPr fontId="2" type="noConversion"/>
  </si>
  <si>
    <t>대구 600Ax200 1P  주철</t>
    <phoneticPr fontId="2" type="noConversion"/>
  </si>
  <si>
    <t>SD-00917-01</t>
    <phoneticPr fontId="2" type="noConversion"/>
  </si>
  <si>
    <t>600*200</t>
    <phoneticPr fontId="2" type="noConversion"/>
  </si>
  <si>
    <t>1200*900 / 2P</t>
    <phoneticPr fontId="2" type="noConversion"/>
  </si>
  <si>
    <t>경산 1200Ax850 2P Neck</t>
    <phoneticPr fontId="2" type="noConversion"/>
  </si>
  <si>
    <t>SD-00908-01</t>
    <phoneticPr fontId="2" type="noConversion"/>
  </si>
  <si>
    <t>1200 / 2P</t>
    <phoneticPr fontId="2" type="noConversion"/>
  </si>
  <si>
    <t>JD-00647-01</t>
    <phoneticPr fontId="2" type="noConversion"/>
  </si>
  <si>
    <t>서울 450A 8P 난방</t>
    <phoneticPr fontId="2" type="noConversion"/>
  </si>
  <si>
    <t>450 / 8P</t>
    <phoneticPr fontId="2" type="noConversion"/>
  </si>
  <si>
    <t>서울에너지공사 동부지사</t>
    <phoneticPr fontId="2" type="noConversion"/>
  </si>
  <si>
    <t>수원 700A 2P 난방</t>
    <phoneticPr fontId="2" type="noConversion"/>
  </si>
  <si>
    <t>JD-00659-01</t>
    <phoneticPr fontId="2" type="noConversion"/>
  </si>
  <si>
    <t>한국지역난방공사 수원</t>
    <phoneticPr fontId="2" type="noConversion"/>
  </si>
  <si>
    <t>다림건설</t>
    <phoneticPr fontId="2" type="noConversion"/>
  </si>
  <si>
    <t>고양 125A 4P 난방</t>
    <phoneticPr fontId="2" type="noConversion"/>
  </si>
  <si>
    <t>JD-00661-01</t>
    <phoneticPr fontId="2" type="noConversion"/>
  </si>
  <si>
    <t>한국지역난방공사 고양</t>
    <phoneticPr fontId="2" type="noConversion"/>
  </si>
  <si>
    <t>신왕건설</t>
    <phoneticPr fontId="2" type="noConversion"/>
  </si>
  <si>
    <t>고양 200A 1P 난방</t>
    <phoneticPr fontId="2" type="noConversion"/>
  </si>
  <si>
    <t>JD-00663-01</t>
    <phoneticPr fontId="2" type="noConversion"/>
  </si>
  <si>
    <t>서울 300A 4P 난방</t>
    <phoneticPr fontId="2" type="noConversion"/>
  </si>
  <si>
    <t>SD-00918-01</t>
    <phoneticPr fontId="2" type="noConversion"/>
  </si>
  <si>
    <t>제주 600Ax450 2P 주철</t>
    <phoneticPr fontId="2" type="noConversion"/>
  </si>
  <si>
    <t>한국수자원공사</t>
    <phoneticPr fontId="2" type="noConversion"/>
  </si>
  <si>
    <t>천마종합건설</t>
    <phoneticPr fontId="2" type="noConversion"/>
  </si>
  <si>
    <t>경산 800Ax600 1P 주철 천공(제)</t>
    <phoneticPr fontId="2" type="noConversion"/>
  </si>
  <si>
    <t>SD-00925-01</t>
    <phoneticPr fontId="2" type="noConversion"/>
  </si>
  <si>
    <t>800*600</t>
    <phoneticPr fontId="2" type="noConversion"/>
  </si>
  <si>
    <t>경산 600Ax600 1P 주철 천공(제)</t>
    <phoneticPr fontId="2" type="noConversion"/>
  </si>
  <si>
    <t>SD-00926-01</t>
    <phoneticPr fontId="2" type="noConversion"/>
  </si>
  <si>
    <t>600*600</t>
    <phoneticPr fontId="2" type="noConversion"/>
  </si>
  <si>
    <t>대저건설</t>
    <phoneticPr fontId="2" type="noConversion"/>
  </si>
  <si>
    <t>JD-00648-01</t>
    <phoneticPr fontId="2" type="noConversion"/>
  </si>
  <si>
    <t>제주 700Ax500 2P 주철</t>
    <phoneticPr fontId="2" type="noConversion"/>
  </si>
  <si>
    <t>SD-00919-01</t>
    <phoneticPr fontId="2" type="noConversion"/>
  </si>
  <si>
    <t>700 / 2P</t>
    <phoneticPr fontId="2" type="noConversion"/>
  </si>
  <si>
    <t>제주시 동지역(서부) 지방상수도 현대화사업 블록시스템 구축 본공사</t>
    <phoneticPr fontId="2" type="noConversion"/>
  </si>
  <si>
    <t>제주시 동지역(서부) 지방상수도 현대화사업 블록시스템 구축 본공사</t>
    <phoneticPr fontId="2" type="noConversion"/>
  </si>
  <si>
    <t>SD-00921-01</t>
    <phoneticPr fontId="2" type="noConversion"/>
  </si>
  <si>
    <t>SD-00922-01</t>
    <phoneticPr fontId="2" type="noConversion"/>
  </si>
  <si>
    <t>파주 900Ax600 1P(언플러깅/재차단)800Ax600 1P</t>
    <phoneticPr fontId="2" type="noConversion"/>
  </si>
  <si>
    <t>파주 150Ax150 1P 주철천공(제)</t>
    <phoneticPr fontId="2" type="noConversion"/>
  </si>
  <si>
    <t>900 / 2P</t>
    <phoneticPr fontId="2" type="noConversion"/>
  </si>
  <si>
    <t>150*150 / 1P</t>
    <phoneticPr fontId="2" type="noConversion"/>
  </si>
  <si>
    <t>고양 300A 2P SUS냉각수(Neck)</t>
    <phoneticPr fontId="2" type="noConversion"/>
  </si>
  <si>
    <t>JD-00658-01</t>
    <phoneticPr fontId="2" type="noConversion"/>
  </si>
  <si>
    <t>냉각수</t>
    <phoneticPr fontId="2" type="noConversion"/>
  </si>
  <si>
    <t>서스</t>
    <phoneticPr fontId="2" type="noConversion"/>
  </si>
  <si>
    <t>300 / 2P</t>
    <phoneticPr fontId="2" type="noConversion"/>
  </si>
  <si>
    <t>일산동구 SK 브로드밴드</t>
    <phoneticPr fontId="2" type="noConversion"/>
  </si>
  <si>
    <t>서진E&amp;S</t>
    <phoneticPr fontId="2" type="noConversion"/>
  </si>
  <si>
    <t>SK 브로드밴드 데이터센터 내 냉각수 배관 라인스토핑 공사</t>
    <phoneticPr fontId="2" type="noConversion"/>
  </si>
  <si>
    <t>파주 900Ax600 2P</t>
    <phoneticPr fontId="2" type="noConversion"/>
  </si>
  <si>
    <t>SD-00920-01</t>
    <phoneticPr fontId="2" type="noConversion"/>
  </si>
  <si>
    <t>SD-00738-01</t>
    <phoneticPr fontId="2" type="noConversion"/>
  </si>
  <si>
    <t>포항 1350Ax900 1P PC관</t>
    <phoneticPr fontId="2" type="noConversion"/>
  </si>
  <si>
    <t>1350 / 1P</t>
    <phoneticPr fontId="2" type="noConversion"/>
  </si>
  <si>
    <t>강관</t>
    <phoneticPr fontId="2" type="noConversion"/>
  </si>
  <si>
    <t>SD-00931-01</t>
    <phoneticPr fontId="2" type="noConversion"/>
  </si>
  <si>
    <t>금강광역상수도 노후관개량사업(2차) 및 추가사업 시설공사</t>
    <phoneticPr fontId="2" type="noConversion"/>
  </si>
  <si>
    <t>수자원공사</t>
    <phoneticPr fontId="2" type="noConversion"/>
  </si>
  <si>
    <t>삼부토건</t>
    <phoneticPr fontId="2" type="noConversion"/>
  </si>
  <si>
    <t>군산 1000Ax850 1P</t>
    <phoneticPr fontId="2" type="noConversion"/>
  </si>
  <si>
    <t>1000 / 1P</t>
    <phoneticPr fontId="2" type="noConversion"/>
  </si>
  <si>
    <t>마산 900Ax600 2P 주철</t>
    <phoneticPr fontId="2" type="noConversion"/>
  </si>
  <si>
    <t>SD-00914-01</t>
    <phoneticPr fontId="2" type="noConversion"/>
  </si>
  <si>
    <t>900 / 2P</t>
    <phoneticPr fontId="2" type="noConversion"/>
  </si>
  <si>
    <t>주선건설</t>
    <phoneticPr fontId="2" type="noConversion"/>
  </si>
  <si>
    <t>창원시</t>
    <phoneticPr fontId="2" type="noConversion"/>
  </si>
  <si>
    <t>마산 화포구 신포동2가 삼익아파트 긴급보수공사</t>
    <phoneticPr fontId="2" type="noConversion"/>
  </si>
  <si>
    <t>SD-00923-01</t>
    <phoneticPr fontId="2" type="noConversion"/>
  </si>
  <si>
    <t>충주 600Ax400 1P 주철 천공(제)</t>
    <phoneticPr fontId="2" type="noConversion"/>
  </si>
  <si>
    <t>600*400 / 1P</t>
    <phoneticPr fontId="2" type="noConversion"/>
  </si>
  <si>
    <t>JD-00662-01</t>
    <phoneticPr fontId="2" type="noConversion"/>
  </si>
  <si>
    <t>삼송 250A 2P난방</t>
    <phoneticPr fontId="2" type="noConversion"/>
  </si>
  <si>
    <t>한국지역난방공사 삼송</t>
    <phoneticPr fontId="2" type="noConversion"/>
  </si>
  <si>
    <t>준에너지테크</t>
    <phoneticPr fontId="2" type="noConversion"/>
  </si>
  <si>
    <t>포항 600Ax450 1P</t>
    <phoneticPr fontId="2" type="noConversion"/>
  </si>
  <si>
    <t>600 / 1P</t>
    <phoneticPr fontId="2" type="noConversion"/>
  </si>
  <si>
    <t>대전 550A 1P 난방</t>
    <phoneticPr fontId="2" type="noConversion"/>
  </si>
  <si>
    <t>550 / 1P</t>
    <phoneticPr fontId="2" type="noConversion"/>
  </si>
  <si>
    <t>씨엔씨티에너지</t>
    <phoneticPr fontId="2" type="noConversion"/>
  </si>
  <si>
    <t>대전 학하발전소 내 열배관공사</t>
    <phoneticPr fontId="2" type="noConversion"/>
  </si>
  <si>
    <t>비씨플랜트</t>
    <phoneticPr fontId="2" type="noConversion"/>
  </si>
  <si>
    <t>익산 600Ax450 1P 주철 누수긴급</t>
    <phoneticPr fontId="2" type="noConversion"/>
  </si>
  <si>
    <t>SD-00930-01</t>
    <phoneticPr fontId="2" type="noConversion"/>
  </si>
  <si>
    <t>SD-00915-01</t>
    <phoneticPr fontId="2" type="noConversion"/>
  </si>
  <si>
    <t>600 / 2P</t>
    <phoneticPr fontId="2" type="noConversion"/>
  </si>
  <si>
    <t>SD-00850-01</t>
    <phoneticPr fontId="2" type="noConversion"/>
  </si>
  <si>
    <t>FD-00036-01</t>
    <phoneticPr fontId="2" type="noConversion"/>
  </si>
  <si>
    <t>가스</t>
    <phoneticPr fontId="2" type="noConversion"/>
  </si>
  <si>
    <t>450 / 2P</t>
    <phoneticPr fontId="2" type="noConversion"/>
  </si>
  <si>
    <t>백산테크</t>
    <phoneticPr fontId="2" type="noConversion"/>
  </si>
  <si>
    <t>당진 50A 1P(Cog가스)</t>
    <phoneticPr fontId="2" type="noConversion"/>
  </si>
  <si>
    <t>여수 750A 1P 송유</t>
    <phoneticPr fontId="2" type="noConversion"/>
  </si>
  <si>
    <t>YD-00020-01</t>
    <phoneticPr fontId="2" type="noConversion"/>
  </si>
  <si>
    <t>여수 900A 1P 송유</t>
    <phoneticPr fontId="2" type="noConversion"/>
  </si>
  <si>
    <t>송유관</t>
    <phoneticPr fontId="2" type="noConversion"/>
  </si>
  <si>
    <t>여수GS칼텍스</t>
    <phoneticPr fontId="2" type="noConversion"/>
  </si>
  <si>
    <t>대양이엔지</t>
    <phoneticPr fontId="2" type="noConversion"/>
  </si>
  <si>
    <t>JD-00664-01</t>
    <phoneticPr fontId="2" type="noConversion"/>
  </si>
  <si>
    <t>평택 800A 4P 난방</t>
    <phoneticPr fontId="2" type="noConversion"/>
  </si>
  <si>
    <t>전주 350Ax350 2P 주철</t>
    <phoneticPr fontId="2" type="noConversion"/>
  </si>
  <si>
    <t>정선 300A 2P 250A 가배관플러깅</t>
    <phoneticPr fontId="2" type="noConversion"/>
  </si>
  <si>
    <t>SD-00933-01</t>
    <phoneticPr fontId="2" type="noConversion"/>
  </si>
  <si>
    <t>300 / 2P</t>
    <phoneticPr fontId="2" type="noConversion"/>
  </si>
  <si>
    <t>정선군 상하수도사업소</t>
    <phoneticPr fontId="2" type="noConversion"/>
  </si>
  <si>
    <t>신동정수장 송수관로 공사</t>
    <phoneticPr fontId="2" type="noConversion"/>
  </si>
  <si>
    <t>호황건설</t>
    <phoneticPr fontId="2" type="noConversion"/>
  </si>
  <si>
    <t>신우엔지니어링(건가)</t>
    <phoneticPr fontId="2" type="noConversion"/>
  </si>
  <si>
    <t>안성구리광역상수도이설공사 중 부단수차단 서울시4개소</t>
    <phoneticPr fontId="2" type="noConversion"/>
  </si>
  <si>
    <t>남일건설</t>
    <phoneticPr fontId="2" type="noConversion"/>
  </si>
  <si>
    <t>TK-60-72_74 배관 END ZONE 제거 사업 中 송유관 라인스토핑 공사</t>
    <phoneticPr fontId="2" type="noConversion"/>
  </si>
  <si>
    <t>SK인천석유화학</t>
    <phoneticPr fontId="2" type="noConversion"/>
  </si>
  <si>
    <t>동일산업</t>
    <phoneticPr fontId="2" type="noConversion"/>
  </si>
  <si>
    <t>인천국제공항 4단계 급유저장시설공사중 기계공사/라인스토핑 공사</t>
    <phoneticPr fontId="2" type="noConversion"/>
  </si>
  <si>
    <t>인천국제공항 21년도 급유시설 개선사업</t>
    <phoneticPr fontId="2" type="noConversion"/>
  </si>
  <si>
    <t>S-Oil</t>
    <phoneticPr fontId="2" type="noConversion"/>
  </si>
  <si>
    <t>S-OIL 이진리 Booster Pump Area 시설물 철거 및 송유관 Re-routing 中 부단수 차단 공사</t>
    <phoneticPr fontId="2" type="noConversion"/>
  </si>
  <si>
    <t>광양(Ⅰ단계) 공업용수도 노후관 개량사업 시설공사(여수구간)</t>
    <phoneticPr fontId="2" type="noConversion"/>
  </si>
  <si>
    <t>광양공업용수도 1,2수관교 이설공사 중 부단수차단</t>
    <phoneticPr fontId="2" type="noConversion"/>
  </si>
  <si>
    <t>동남종합건설</t>
    <phoneticPr fontId="2" type="noConversion"/>
  </si>
  <si>
    <t>고속국도 제32호선 아산~천안간 건설공사 제1공구/상하수도(공업용수도 부단수차단)</t>
    <phoneticPr fontId="2" type="noConversion"/>
  </si>
  <si>
    <t>고양 700A 2P 난방</t>
    <phoneticPr fontId="2" type="noConversion"/>
  </si>
  <si>
    <t>SD-00932-01</t>
    <phoneticPr fontId="2" type="noConversion"/>
  </si>
  <si>
    <t>충주 200A 2P 주철</t>
    <phoneticPr fontId="2" type="noConversion"/>
  </si>
  <si>
    <t>SD-00941-01</t>
    <phoneticPr fontId="2" type="noConversion"/>
  </si>
  <si>
    <t>대산 1350Ax600 1P 천공(제)</t>
    <phoneticPr fontId="2" type="noConversion"/>
  </si>
  <si>
    <t>1350*600</t>
    <phoneticPr fontId="2" type="noConversion"/>
  </si>
  <si>
    <t>대산임해 해수담수화 현장</t>
    <phoneticPr fontId="2" type="noConversion"/>
  </si>
  <si>
    <t>한국수자원공사</t>
    <phoneticPr fontId="2" type="noConversion"/>
  </si>
  <si>
    <t>GS건설</t>
    <phoneticPr fontId="2" type="noConversion"/>
  </si>
  <si>
    <t>2400*2000</t>
    <phoneticPr fontId="2" type="noConversion"/>
  </si>
  <si>
    <t>부산시(시설부)</t>
    <phoneticPr fontId="2" type="noConversion"/>
  </si>
  <si>
    <t>낙동강 횡단수관교 비상관로 설치공사</t>
    <phoneticPr fontId="2" type="noConversion"/>
  </si>
  <si>
    <t>SD-00943-01</t>
    <phoneticPr fontId="2" type="noConversion"/>
  </si>
  <si>
    <t>SD-00944-01</t>
    <phoneticPr fontId="2" type="noConversion"/>
  </si>
  <si>
    <t>청주 1200Ax600 2P 천공 플러깅</t>
    <phoneticPr fontId="2" type="noConversion"/>
  </si>
  <si>
    <t>청주 2200Ax600 1P 천공 플러깅</t>
    <phoneticPr fontId="2" type="noConversion"/>
  </si>
  <si>
    <t>2200*600</t>
    <phoneticPr fontId="2" type="noConversion"/>
  </si>
  <si>
    <t>일광건설</t>
    <phoneticPr fontId="2" type="noConversion"/>
  </si>
  <si>
    <t>가경지구 기존관로시설 보강공사 점검구</t>
    <phoneticPr fontId="2" type="noConversion"/>
  </si>
  <si>
    <t>현대산업개발</t>
    <phoneticPr fontId="2" type="noConversion"/>
  </si>
  <si>
    <t>1200*600 / 2P</t>
    <phoneticPr fontId="2" type="noConversion"/>
  </si>
  <si>
    <t>남양주 600Ax450 1P Neck피팅</t>
    <phoneticPr fontId="2" type="noConversion"/>
  </si>
  <si>
    <t>SD-00945-01</t>
    <phoneticPr fontId="2" type="noConversion"/>
  </si>
  <si>
    <t>관수산업</t>
    <phoneticPr fontId="2" type="noConversion"/>
  </si>
  <si>
    <t>연간단가</t>
    <phoneticPr fontId="2" type="noConversion"/>
  </si>
  <si>
    <t>JD-00656-01</t>
    <phoneticPr fontId="2" type="noConversion"/>
  </si>
  <si>
    <t>YD-00019-01</t>
    <phoneticPr fontId="2" type="noConversion"/>
  </si>
  <si>
    <t>SD-00934-01</t>
    <phoneticPr fontId="2" type="noConversion"/>
  </si>
  <si>
    <t>800 / 2P</t>
    <phoneticPr fontId="2" type="noConversion"/>
  </si>
  <si>
    <t>수공 파주수도지사장</t>
    <phoneticPr fontId="2" type="noConversion"/>
  </si>
  <si>
    <t>YD-00021-01</t>
    <phoneticPr fontId="2" type="noConversion"/>
  </si>
  <si>
    <t>인천 400A 2P 송유</t>
    <phoneticPr fontId="2" type="noConversion"/>
  </si>
  <si>
    <t>울산 1100Ax850 1P</t>
    <phoneticPr fontId="2" type="noConversion"/>
  </si>
  <si>
    <t>울산 900Ax600 1P</t>
    <phoneticPr fontId="2" type="noConversion"/>
  </si>
  <si>
    <t>1100*850</t>
    <phoneticPr fontId="2" type="noConversion"/>
  </si>
  <si>
    <t>900*600</t>
    <phoneticPr fontId="2" type="noConversion"/>
  </si>
  <si>
    <t>금호건설</t>
    <phoneticPr fontId="2" type="noConversion"/>
  </si>
  <si>
    <t>울산공업용수도 노후관 개량사업(3차) 및 추가사업 시설공사</t>
    <phoneticPr fontId="2" type="noConversion"/>
  </si>
  <si>
    <t>JD-00665-01</t>
    <phoneticPr fontId="2" type="noConversion"/>
  </si>
  <si>
    <t>스팀</t>
    <phoneticPr fontId="2" type="noConversion"/>
  </si>
  <si>
    <t>강관</t>
    <phoneticPr fontId="2" type="noConversion"/>
  </si>
  <si>
    <t>백산테크</t>
    <phoneticPr fontId="2" type="noConversion"/>
  </si>
  <si>
    <t>현대제철</t>
    <phoneticPr fontId="2" type="noConversion"/>
  </si>
  <si>
    <t>SD-00857-01</t>
    <phoneticPr fontId="2" type="noConversion"/>
  </si>
  <si>
    <t>YD-00022-01</t>
    <phoneticPr fontId="2" type="noConversion"/>
  </si>
  <si>
    <t>SD-00946-01</t>
    <phoneticPr fontId="2" type="noConversion"/>
  </si>
  <si>
    <t>포항 900Ax600 1P Neck피팅</t>
    <phoneticPr fontId="2" type="noConversion"/>
  </si>
  <si>
    <t>수원 400A 2P 난방</t>
    <phoneticPr fontId="2" type="noConversion"/>
  </si>
  <si>
    <t>JD-00667-01</t>
    <phoneticPr fontId="2" type="noConversion"/>
  </si>
  <si>
    <t>다림건설</t>
    <phoneticPr fontId="2" type="noConversion"/>
  </si>
  <si>
    <t>수원 700A 4P 난방</t>
    <phoneticPr fontId="2" type="noConversion"/>
  </si>
  <si>
    <t>SD-00936-01</t>
    <phoneticPr fontId="2" type="noConversion"/>
  </si>
  <si>
    <t>우림이앤씨</t>
    <phoneticPr fontId="2" type="noConversion"/>
  </si>
  <si>
    <t>우림이앤씨</t>
    <phoneticPr fontId="2" type="noConversion"/>
  </si>
  <si>
    <t>JD-00669-01</t>
    <phoneticPr fontId="2" type="noConversion"/>
  </si>
  <si>
    <t>수원 TOR 3P</t>
    <phoneticPr fontId="2" type="noConversion"/>
  </si>
  <si>
    <t>SD-00873-01</t>
    <phoneticPr fontId="2" type="noConversion"/>
  </si>
  <si>
    <t>JD-00666-01</t>
    <phoneticPr fontId="2" type="noConversion"/>
  </si>
  <si>
    <t>TOR 1P</t>
    <phoneticPr fontId="2" type="noConversion"/>
  </si>
  <si>
    <t>YD-00023-01</t>
    <phoneticPr fontId="2" type="noConversion"/>
  </si>
  <si>
    <t>JD-00657-01</t>
    <phoneticPr fontId="2" type="noConversion"/>
  </si>
  <si>
    <t>고양 750A 2P 난방</t>
    <phoneticPr fontId="2" type="noConversion"/>
  </si>
  <si>
    <t>고양 600A 2P 난방</t>
    <phoneticPr fontId="2" type="noConversion"/>
  </si>
  <si>
    <t>JD-00655-01</t>
    <phoneticPr fontId="2" type="noConversion"/>
  </si>
  <si>
    <t>신우엔지니어링</t>
    <phoneticPr fontId="2" type="noConversion"/>
  </si>
  <si>
    <t>서산 900Ax600 1P</t>
    <phoneticPr fontId="2" type="noConversion"/>
  </si>
  <si>
    <t>JD-00670-01</t>
    <phoneticPr fontId="2" type="noConversion"/>
  </si>
  <si>
    <t>900*600</t>
    <phoneticPr fontId="2" type="noConversion"/>
  </si>
  <si>
    <t>수공 아산권지사</t>
    <phoneticPr fontId="2" type="noConversion"/>
  </si>
  <si>
    <t>케이워터기술</t>
    <phoneticPr fontId="2" type="noConversion"/>
  </si>
  <si>
    <t>대산정수장 유출관로 누수복구 관련 부단수 차단(900A, 강관) 공사</t>
    <phoneticPr fontId="2" type="noConversion"/>
  </si>
  <si>
    <t>JD-00668-01</t>
    <phoneticPr fontId="2" type="noConversion"/>
  </si>
  <si>
    <t>서울 800A 2P 난방</t>
    <phoneticPr fontId="2" type="noConversion"/>
  </si>
  <si>
    <t>혜원산업</t>
    <phoneticPr fontId="2" type="noConversion"/>
  </si>
  <si>
    <t>SD-00872-01</t>
    <phoneticPr fontId="2" type="noConversion"/>
  </si>
  <si>
    <t>부산 2200Ax1500 2P</t>
    <phoneticPr fontId="2" type="noConversion"/>
  </si>
  <si>
    <t>2200*1500 / 2P</t>
    <phoneticPr fontId="2" type="noConversion"/>
  </si>
  <si>
    <t>새벽건설(극동엔지니어링)</t>
    <phoneticPr fontId="2" type="noConversion"/>
  </si>
  <si>
    <t>JD-00671-01</t>
    <phoneticPr fontId="2" type="noConversion"/>
  </si>
  <si>
    <t>삼송 600A 4P 난방</t>
    <phoneticPr fontId="2" type="noConversion"/>
  </si>
  <si>
    <t>성지기공</t>
    <phoneticPr fontId="2" type="noConversion"/>
  </si>
  <si>
    <t>SD-00874-01</t>
    <phoneticPr fontId="2" type="noConversion"/>
  </si>
  <si>
    <t>2200*2000</t>
    <phoneticPr fontId="2" type="noConversion"/>
  </si>
  <si>
    <t>문화지엔코</t>
    <phoneticPr fontId="2" type="noConversion"/>
  </si>
  <si>
    <t>피팅만 납품, 용접x</t>
    <phoneticPr fontId="2" type="noConversion"/>
  </si>
  <si>
    <t>검단 열배관 수용가 인입공사</t>
    <phoneticPr fontId="2" type="noConversion"/>
  </si>
  <si>
    <t>17</t>
    <phoneticPr fontId="2" type="noConversion"/>
  </si>
  <si>
    <t>18</t>
    <phoneticPr fontId="2" type="noConversion"/>
  </si>
  <si>
    <t>19</t>
    <phoneticPr fontId="2" type="noConversion"/>
  </si>
  <si>
    <t>안양 750 4P 난방</t>
    <phoneticPr fontId="2" type="noConversion"/>
  </si>
  <si>
    <t>JD-00672-01</t>
    <phoneticPr fontId="2" type="noConversion"/>
  </si>
  <si>
    <t>GS파워</t>
    <phoneticPr fontId="2" type="noConversion"/>
  </si>
  <si>
    <t>아전이엔씨</t>
    <phoneticPr fontId="2" type="noConversion"/>
  </si>
  <si>
    <t>750 / 4P</t>
    <phoneticPr fontId="2" type="noConversion"/>
  </si>
  <si>
    <t>안양구도심 열수송망 연계공사(1단계 1공구) 中 라인스토핑 공사</t>
    <phoneticPr fontId="2" type="noConversion"/>
  </si>
  <si>
    <t>SD-00951-01</t>
    <phoneticPr fontId="2" type="noConversion"/>
  </si>
  <si>
    <t>청주 2200Ax300 Neck 2P천공</t>
    <phoneticPr fontId="2" type="noConversion"/>
  </si>
  <si>
    <t>2200*300 / 2P</t>
    <phoneticPr fontId="2" type="noConversion"/>
  </si>
  <si>
    <t>삼안종합건설/토명건설</t>
    <phoneticPr fontId="2" type="noConversion"/>
  </si>
  <si>
    <t>한국수자원공사</t>
    <phoneticPr fontId="2" type="noConversion"/>
  </si>
  <si>
    <t>청주전시관 수열관로 설치공사</t>
    <phoneticPr fontId="2" type="noConversion"/>
  </si>
  <si>
    <t>SD-00775-01</t>
    <phoneticPr fontId="2" type="noConversion"/>
  </si>
  <si>
    <t>1650 / 2P</t>
    <phoneticPr fontId="2" type="noConversion"/>
  </si>
  <si>
    <t>JD-00675-01</t>
    <phoneticPr fontId="2" type="noConversion"/>
  </si>
  <si>
    <t>DHI</t>
    <phoneticPr fontId="2" type="noConversion"/>
  </si>
  <si>
    <t>JD-00678-01</t>
    <phoneticPr fontId="2" type="noConversion"/>
  </si>
  <si>
    <t>수원 400A 2P 난방</t>
    <phoneticPr fontId="2" type="noConversion"/>
  </si>
  <si>
    <t>JD-00677-01</t>
    <phoneticPr fontId="2" type="noConversion"/>
  </si>
  <si>
    <t>고양 250A 2P 난방</t>
    <phoneticPr fontId="2" type="noConversion"/>
  </si>
  <si>
    <t>신왕건설</t>
    <phoneticPr fontId="2" type="noConversion"/>
  </si>
  <si>
    <t>삼송 250A 4P 난방</t>
    <phoneticPr fontId="2" type="noConversion"/>
  </si>
  <si>
    <t>JD-00673-01</t>
    <phoneticPr fontId="2" type="noConversion"/>
  </si>
  <si>
    <t>봉강~무안간 도로건설공사 중 부단수천공공사</t>
    <phoneticPr fontId="2" type="noConversion"/>
  </si>
  <si>
    <t>경상남도</t>
    <phoneticPr fontId="2" type="noConversion"/>
  </si>
  <si>
    <t>제일건설㈜</t>
    <phoneticPr fontId="2" type="noConversion"/>
  </si>
  <si>
    <t>20</t>
    <phoneticPr fontId="2" type="noConversion"/>
  </si>
  <si>
    <t>21</t>
    <phoneticPr fontId="2" type="noConversion"/>
  </si>
  <si>
    <t>9</t>
    <phoneticPr fontId="2" type="noConversion"/>
  </si>
  <si>
    <t>1</t>
    <phoneticPr fontId="2" type="noConversion"/>
  </si>
  <si>
    <t>2</t>
    <phoneticPr fontId="2" type="noConversion"/>
  </si>
  <si>
    <t>SD-00952-01</t>
    <phoneticPr fontId="2" type="noConversion"/>
  </si>
  <si>
    <t>800 / 2P</t>
    <phoneticPr fontId="2" type="noConversion"/>
  </si>
  <si>
    <t>동진산업</t>
    <phoneticPr fontId="2" type="noConversion"/>
  </si>
  <si>
    <t>-</t>
    <phoneticPr fontId="2" type="noConversion"/>
  </si>
  <si>
    <t>수원 300A 2P 난방</t>
    <phoneticPr fontId="2" type="noConversion"/>
  </si>
  <si>
    <t>JD-00679-01</t>
    <phoneticPr fontId="2" type="noConversion"/>
  </si>
  <si>
    <t>포항 1350Ax900 1P PC관</t>
    <phoneticPr fontId="2" type="noConversion"/>
  </si>
  <si>
    <t>SD-00739-01</t>
    <phoneticPr fontId="2" type="noConversion"/>
  </si>
  <si>
    <t>SD-00955-01</t>
    <phoneticPr fontId="2" type="noConversion"/>
  </si>
  <si>
    <t>파주 800Ax600 1P 피팅은 현장재고 사용</t>
    <phoneticPr fontId="2" type="noConversion"/>
  </si>
  <si>
    <t>파주 900Ax600 1P</t>
    <phoneticPr fontId="2" type="noConversion"/>
  </si>
  <si>
    <t>파주 900Ax800 1P 천공(제)</t>
    <phoneticPr fontId="2" type="noConversion"/>
  </si>
  <si>
    <t>SD-00956-01</t>
    <phoneticPr fontId="2" type="noConversion"/>
  </si>
  <si>
    <t>SD-00957-01</t>
    <phoneticPr fontId="2" type="noConversion"/>
  </si>
  <si>
    <t>900*800</t>
    <phoneticPr fontId="2" type="noConversion"/>
  </si>
  <si>
    <t>SD-00963-01</t>
    <phoneticPr fontId="2" type="noConversion"/>
  </si>
  <si>
    <t>고양 700A 4P 난방</t>
    <phoneticPr fontId="2" type="noConversion"/>
  </si>
  <si>
    <t>SD-00962-01</t>
    <phoneticPr fontId="2" type="noConversion"/>
  </si>
  <si>
    <t>경산 600Ax450 1P 주철</t>
    <phoneticPr fontId="2" type="noConversion"/>
  </si>
  <si>
    <t>SD-00959-01</t>
    <phoneticPr fontId="2" type="noConversion"/>
  </si>
  <si>
    <t>오산 900Ax600 4P</t>
    <phoneticPr fontId="2" type="noConversion"/>
  </si>
  <si>
    <t>오산 900Ax600 4P 가배관 플러깅 Neck</t>
    <phoneticPr fontId="2" type="noConversion"/>
  </si>
  <si>
    <t>SD-00960-01</t>
    <phoneticPr fontId="2" type="noConversion"/>
  </si>
  <si>
    <t>오산세교 2지구 택지개발사업(3공구) 및 도시시설물공사</t>
    <phoneticPr fontId="2" type="noConversion"/>
  </si>
  <si>
    <t>900*600 / 4P</t>
    <phoneticPr fontId="2" type="noConversion"/>
  </si>
  <si>
    <t>900 / 4P</t>
    <phoneticPr fontId="2" type="noConversion"/>
  </si>
  <si>
    <t>수공 동남권지사</t>
    <phoneticPr fontId="2" type="noConversion"/>
  </si>
  <si>
    <t>호반건설</t>
    <phoneticPr fontId="2" type="noConversion"/>
  </si>
  <si>
    <t>청라 1100Ax900 2P 분기티</t>
    <phoneticPr fontId="2" type="noConversion"/>
  </si>
  <si>
    <t>JD-00674-01</t>
    <phoneticPr fontId="2" type="noConversion"/>
  </si>
  <si>
    <t>1100*900 / 2P</t>
    <phoneticPr fontId="2" type="noConversion"/>
  </si>
  <si>
    <t>SD-00929-01</t>
    <phoneticPr fontId="2" type="noConversion"/>
  </si>
  <si>
    <t>2022년 열수송관 천공 및 차단공사(2권역)</t>
    <phoneticPr fontId="2" type="noConversion"/>
  </si>
  <si>
    <t>파주 800A 2P+동진 2P D-D</t>
    <phoneticPr fontId="2" type="noConversion"/>
  </si>
  <si>
    <t>파주시 월롱면 위전리(MS6-4) 관로이설 공사</t>
    <phoneticPr fontId="2" type="noConversion"/>
  </si>
  <si>
    <t>동영이엔씨</t>
    <phoneticPr fontId="2" type="noConversion"/>
  </si>
  <si>
    <t>부산시(시설부)</t>
    <phoneticPr fontId="2" type="noConversion"/>
  </si>
  <si>
    <t>금호건설</t>
    <phoneticPr fontId="2" type="noConversion"/>
  </si>
  <si>
    <t>울산공업용수도 노후관 개량사업(3차) 및 추가사업 시설공사</t>
    <phoneticPr fontId="2" type="noConversion"/>
  </si>
  <si>
    <t>고양 1650Ax1200 2P</t>
    <phoneticPr fontId="2" type="noConversion"/>
  </si>
  <si>
    <t>고양정수장 전오존 도입사업 시설공사</t>
    <phoneticPr fontId="2" type="noConversion"/>
  </si>
  <si>
    <t>대진종합건설</t>
    <phoneticPr fontId="2" type="noConversion"/>
  </si>
  <si>
    <t>포항공업용수도 관로시설 개량사업(1) 2차 시설공사</t>
    <phoneticPr fontId="2" type="noConversion"/>
  </si>
  <si>
    <t>고양 800Ax600 2P(동진오더D-D)</t>
    <phoneticPr fontId="2" type="noConversion"/>
  </si>
  <si>
    <t>SD-00961-01</t>
    <phoneticPr fontId="2" type="noConversion"/>
  </si>
  <si>
    <t>시흥 1650Ax250 1P 천공(제)Neck</t>
    <phoneticPr fontId="2" type="noConversion"/>
  </si>
  <si>
    <t>1650*250</t>
    <phoneticPr fontId="2" type="noConversion"/>
  </si>
  <si>
    <t>LH</t>
    <phoneticPr fontId="2" type="noConversion"/>
  </si>
  <si>
    <t>시흥은계공공주택지구조성공사</t>
    <phoneticPr fontId="2" type="noConversion"/>
  </si>
  <si>
    <t>계룡건설/우령건설</t>
    <phoneticPr fontId="2" type="noConversion"/>
  </si>
  <si>
    <t>파주 900Ax600 1P 언플러깅후 재차단</t>
    <phoneticPr fontId="2" type="noConversion"/>
  </si>
  <si>
    <t>SD-00954-01</t>
    <phoneticPr fontId="2" type="noConversion"/>
  </si>
  <si>
    <t>평택 1200Ax850 4P</t>
  </si>
  <si>
    <t>SD-00776-01</t>
    <phoneticPr fontId="2" type="noConversion"/>
  </si>
  <si>
    <t>1200 / 4P</t>
    <phoneticPr fontId="2" type="noConversion"/>
  </si>
  <si>
    <t>평택 1200Ax900 4P Neck 플러깅용</t>
    <phoneticPr fontId="2" type="noConversion"/>
  </si>
  <si>
    <t>SD-00776-02</t>
    <phoneticPr fontId="2" type="noConversion"/>
  </si>
  <si>
    <t>1200*900 / 4P</t>
    <phoneticPr fontId="2" type="noConversion"/>
  </si>
  <si>
    <t>지제세교지구 광역상수도 이설공사</t>
    <phoneticPr fontId="2" type="noConversion"/>
  </si>
  <si>
    <t>수공 동남권지사</t>
    <phoneticPr fontId="2" type="noConversion"/>
  </si>
  <si>
    <t>포스코건설/더원건설</t>
    <phoneticPr fontId="2" type="noConversion"/>
  </si>
  <si>
    <t>YD-00032-01</t>
    <phoneticPr fontId="2" type="noConversion"/>
  </si>
  <si>
    <t>현대제철</t>
    <phoneticPr fontId="2" type="noConversion"/>
  </si>
  <si>
    <t>백산테크</t>
    <phoneticPr fontId="2" type="noConversion"/>
  </si>
  <si>
    <t>충주 500A 4P 주철</t>
    <phoneticPr fontId="2" type="noConversion"/>
  </si>
  <si>
    <t>충주 500Ax100A? 충수 이토 플러깅용</t>
    <phoneticPr fontId="2" type="noConversion"/>
  </si>
  <si>
    <t>SD-00949-01</t>
    <phoneticPr fontId="2" type="noConversion"/>
  </si>
  <si>
    <t>SD-00949-02</t>
    <phoneticPr fontId="2" type="noConversion"/>
  </si>
  <si>
    <t>500 / 4P</t>
    <phoneticPr fontId="2" type="noConversion"/>
  </si>
  <si>
    <t>500*100 / 2P</t>
    <phoneticPr fontId="2" type="noConversion"/>
  </si>
  <si>
    <t>원광건설/거북토건</t>
    <phoneticPr fontId="2" type="noConversion"/>
  </si>
  <si>
    <t>한국수자원공사</t>
    <phoneticPr fontId="2" type="noConversion"/>
  </si>
  <si>
    <t>충주댐광역 앙성계통 지장관로 이설공사</t>
    <phoneticPr fontId="2" type="noConversion"/>
  </si>
  <si>
    <t>동탄 200A 2P 난방</t>
    <phoneticPr fontId="2" type="noConversion"/>
  </si>
  <si>
    <t>JD-00687-01</t>
    <phoneticPr fontId="2" type="noConversion"/>
  </si>
  <si>
    <t>한국지역난방공사 동탄</t>
    <phoneticPr fontId="2" type="noConversion"/>
  </si>
  <si>
    <t>미강기업</t>
    <phoneticPr fontId="2" type="noConversion"/>
  </si>
  <si>
    <t>중앙 TOR 2P 천공(야간)</t>
    <phoneticPr fontId="2" type="noConversion"/>
  </si>
  <si>
    <t>22</t>
  </si>
  <si>
    <t>JD-00682-01</t>
    <phoneticPr fontId="2" type="noConversion"/>
  </si>
  <si>
    <t>부천 800A 2P 난방</t>
    <phoneticPr fontId="2" type="noConversion"/>
  </si>
  <si>
    <t>800 / 2P</t>
    <phoneticPr fontId="2" type="noConversion"/>
  </si>
  <si>
    <t>GS파워</t>
    <phoneticPr fontId="2" type="noConversion"/>
  </si>
  <si>
    <t>지성엔지니어링</t>
    <phoneticPr fontId="2" type="noConversion"/>
  </si>
  <si>
    <t>열수송관 핫테핑</t>
    <phoneticPr fontId="2" type="noConversion"/>
  </si>
  <si>
    <t>JD-00651-01</t>
    <phoneticPr fontId="2" type="noConversion"/>
  </si>
  <si>
    <t>부산 700A 2P 난방</t>
    <phoneticPr fontId="2" type="noConversion"/>
  </si>
  <si>
    <t>700 / 2P</t>
    <phoneticPr fontId="2" type="noConversion"/>
  </si>
  <si>
    <t>부산도시가스</t>
    <phoneticPr fontId="2" type="noConversion"/>
  </si>
  <si>
    <t>에코델타시티(EDC) 열수송관 공사(2023년)</t>
    <phoneticPr fontId="2" type="noConversion"/>
  </si>
  <si>
    <t>SD-00964-01</t>
    <phoneticPr fontId="2" type="noConversion"/>
  </si>
  <si>
    <t>울산 1100Ax850 1P</t>
    <phoneticPr fontId="2" type="noConversion"/>
  </si>
  <si>
    <t>부산 2400Ax2000 1P 천공(제) 1차기성</t>
    <phoneticPr fontId="2" type="noConversion"/>
  </si>
  <si>
    <t>부산 2200Ax2000 1P 천공(제) 1차기성</t>
    <phoneticPr fontId="2" type="noConversion"/>
  </si>
  <si>
    <t>23</t>
    <phoneticPr fontId="2" type="noConversion"/>
  </si>
  <si>
    <t>완료</t>
    <phoneticPr fontId="2" type="noConversion"/>
  </si>
  <si>
    <t>YD-00025-01</t>
    <phoneticPr fontId="2" type="noConversion"/>
  </si>
  <si>
    <t>인천 500Ax500 1P  천공</t>
    <phoneticPr fontId="2" type="noConversion"/>
  </si>
  <si>
    <t>송유관</t>
    <phoneticPr fontId="2" type="noConversion"/>
  </si>
  <si>
    <t>500*500</t>
    <phoneticPr fontId="2" type="noConversion"/>
  </si>
  <si>
    <t>YD-00026-01</t>
    <phoneticPr fontId="2" type="noConversion"/>
  </si>
  <si>
    <t>YD-00027-01</t>
    <phoneticPr fontId="2" type="noConversion"/>
  </si>
  <si>
    <t>YD-00028-01</t>
    <phoneticPr fontId="2" type="noConversion"/>
  </si>
  <si>
    <t>YD-00029-01</t>
    <phoneticPr fontId="2" type="noConversion"/>
  </si>
  <si>
    <t>SD-00974-01</t>
    <phoneticPr fontId="2" type="noConversion"/>
  </si>
  <si>
    <t>평택 400Ax350 2P Neck</t>
    <phoneticPr fontId="2" type="noConversion"/>
  </si>
  <si>
    <t>태강건설</t>
    <phoneticPr fontId="2" type="noConversion"/>
  </si>
  <si>
    <t>수공 구미권지사</t>
    <phoneticPr fontId="2" type="noConversion"/>
  </si>
  <si>
    <t>구미광역(Ⅱ단계) 원호계통 송수관로 이설공사</t>
    <phoneticPr fontId="2" type="noConversion"/>
  </si>
  <si>
    <t>800*600 / 4P</t>
    <phoneticPr fontId="2" type="noConversion"/>
  </si>
  <si>
    <t>완주 1800Ax1200 2P</t>
    <phoneticPr fontId="2" type="noConversion"/>
  </si>
  <si>
    <t>SD-00976-01</t>
    <phoneticPr fontId="2" type="noConversion"/>
  </si>
  <si>
    <t>1800 / 2P</t>
    <phoneticPr fontId="2" type="noConversion"/>
  </si>
  <si>
    <t>학강건설</t>
    <phoneticPr fontId="2" type="noConversion"/>
  </si>
  <si>
    <t>전주권광역 도수관로 대아댐 비상연계시설 개선공사</t>
    <phoneticPr fontId="2" type="noConversion"/>
  </si>
  <si>
    <t>수원 1000Ax850 2P(동진2P D-D Tyep)</t>
    <phoneticPr fontId="2" type="noConversion"/>
  </si>
  <si>
    <t>SD-00978-01</t>
    <phoneticPr fontId="2" type="noConversion"/>
  </si>
  <si>
    <t>1000 / 2P</t>
    <phoneticPr fontId="2" type="noConversion"/>
  </si>
  <si>
    <t>JD-00692-01</t>
    <phoneticPr fontId="2" type="noConversion"/>
  </si>
  <si>
    <t>시흥 250Ax125 2P 분기티</t>
    <phoneticPr fontId="2" type="noConversion"/>
  </si>
  <si>
    <t>250*125 / 2P</t>
    <phoneticPr fontId="2" type="noConversion"/>
  </si>
  <si>
    <t>2023년 부천지역 신규고객 열수송관 공사</t>
    <phoneticPr fontId="2" type="noConversion"/>
  </si>
  <si>
    <t>GS파워 부천</t>
    <phoneticPr fontId="2" type="noConversion"/>
  </si>
  <si>
    <t>다림건설</t>
    <phoneticPr fontId="2" type="noConversion"/>
  </si>
  <si>
    <t>SD-00965-01</t>
    <phoneticPr fontId="2" type="noConversion"/>
  </si>
  <si>
    <t>포항 1000Ax750 1P PC관</t>
    <phoneticPr fontId="2" type="noConversion"/>
  </si>
  <si>
    <t>나주 600Ax450 4P 주철</t>
    <phoneticPr fontId="2" type="noConversion"/>
  </si>
  <si>
    <t>SD-00973-01</t>
    <phoneticPr fontId="2" type="noConversion"/>
  </si>
  <si>
    <t>주철관</t>
    <phoneticPr fontId="2" type="noConversion"/>
  </si>
  <si>
    <t>600 / 4P</t>
    <phoneticPr fontId="2" type="noConversion"/>
  </si>
  <si>
    <t>강진~광주6공구 고속도로 현장</t>
    <phoneticPr fontId="2" type="noConversion"/>
  </si>
  <si>
    <t>한국도로공사</t>
    <phoneticPr fontId="2" type="noConversion"/>
  </si>
  <si>
    <t>건진건설</t>
    <phoneticPr fontId="2" type="noConversion"/>
  </si>
  <si>
    <t>시흥 500Ax300 2P 분기티</t>
    <phoneticPr fontId="2" type="noConversion"/>
  </si>
  <si>
    <t>JD-00688-01</t>
    <phoneticPr fontId="2" type="noConversion"/>
  </si>
  <si>
    <t>500*300 / 2P</t>
    <phoneticPr fontId="2" type="noConversion"/>
  </si>
  <si>
    <t>인천 200A 2P 난방</t>
    <phoneticPr fontId="2" type="noConversion"/>
  </si>
  <si>
    <t>JD-00695-01</t>
    <phoneticPr fontId="2" type="noConversion"/>
  </si>
  <si>
    <t>200 / 2P</t>
    <phoneticPr fontId="2" type="noConversion"/>
  </si>
  <si>
    <t>고양 1650Ax1200 1P Neck피팅+보강</t>
    <phoneticPr fontId="2" type="noConversion"/>
  </si>
  <si>
    <t>SD-00975-01</t>
    <phoneticPr fontId="2" type="noConversion"/>
  </si>
  <si>
    <t>SD-00987-01</t>
    <phoneticPr fontId="2" type="noConversion"/>
  </si>
  <si>
    <t>남양주 700Ax500 2P Neck 긴급공사</t>
    <phoneticPr fontId="2" type="noConversion"/>
  </si>
  <si>
    <t>쏘일테크엔지니어링</t>
    <phoneticPr fontId="2" type="noConversion"/>
  </si>
  <si>
    <t>700 / 2P</t>
    <phoneticPr fontId="2" type="noConversion"/>
  </si>
  <si>
    <t>평택 400Ax350 2P Neck</t>
    <phoneticPr fontId="2" type="noConversion"/>
  </si>
  <si>
    <t>SD-00986-01</t>
    <phoneticPr fontId="2" type="noConversion"/>
  </si>
  <si>
    <t>400 / 2P</t>
    <phoneticPr fontId="2" type="noConversion"/>
  </si>
  <si>
    <t>관수산업</t>
    <phoneticPr fontId="2" type="noConversion"/>
  </si>
  <si>
    <t>연간단가</t>
    <phoneticPr fontId="2" type="noConversion"/>
  </si>
  <si>
    <t>SD-00966-01</t>
    <phoneticPr fontId="2" type="noConversion"/>
  </si>
  <si>
    <t>구미 800Ax600 4P D-D type</t>
    <phoneticPr fontId="2" type="noConversion"/>
  </si>
  <si>
    <t>JD-00691-01</t>
    <phoneticPr fontId="2" type="noConversion"/>
  </si>
  <si>
    <t>시흥 250Ax200 2P 분기티</t>
    <phoneticPr fontId="2" type="noConversion"/>
  </si>
  <si>
    <t>분기 250*200</t>
    <phoneticPr fontId="2" type="noConversion"/>
  </si>
  <si>
    <t>인천 450A 4P 난방</t>
    <phoneticPr fontId="2" type="noConversion"/>
  </si>
  <si>
    <t>JD-00694-01</t>
    <phoneticPr fontId="2" type="noConversion"/>
  </si>
  <si>
    <t>450 * 4P</t>
    <phoneticPr fontId="2" type="noConversion"/>
  </si>
  <si>
    <t>인천 450A 1P 난방</t>
    <phoneticPr fontId="2" type="noConversion"/>
  </si>
  <si>
    <t>JD-00697-01</t>
    <phoneticPr fontId="2" type="noConversion"/>
  </si>
  <si>
    <t>아전ENC</t>
    <phoneticPr fontId="2" type="noConversion"/>
  </si>
  <si>
    <t>인천 125A 2P 난방</t>
    <phoneticPr fontId="2" type="noConversion"/>
  </si>
  <si>
    <t>JD-00698-0</t>
    <phoneticPr fontId="2" type="noConversion"/>
  </si>
  <si>
    <t>125 * 2P</t>
    <phoneticPr fontId="2" type="noConversion"/>
  </si>
  <si>
    <t>삼천리이엔지</t>
    <phoneticPr fontId="2" type="noConversion"/>
  </si>
  <si>
    <t>SD-00989-01</t>
    <phoneticPr fontId="2" type="noConversion"/>
  </si>
  <si>
    <t>경주 1000Ax1000 1P 천공(제)</t>
    <phoneticPr fontId="2" type="noConversion"/>
  </si>
  <si>
    <t>1000*1000</t>
    <phoneticPr fontId="2" type="noConversion"/>
  </si>
  <si>
    <t>수공 포항권관리단</t>
    <phoneticPr fontId="2" type="noConversion"/>
  </si>
  <si>
    <t>극동건설</t>
    <phoneticPr fontId="2" type="noConversion"/>
  </si>
  <si>
    <t>안계댐 안전강화사업</t>
    <phoneticPr fontId="2" type="noConversion"/>
  </si>
  <si>
    <t>JD-00683-01</t>
    <phoneticPr fontId="2" type="noConversion"/>
  </si>
  <si>
    <t>부천 900A 4P 난방</t>
    <phoneticPr fontId="2" type="noConversion"/>
  </si>
  <si>
    <t>900 / 4P</t>
    <phoneticPr fontId="2" type="noConversion"/>
  </si>
  <si>
    <t>GS파워 부천</t>
    <phoneticPr fontId="2" type="noConversion"/>
  </si>
  <si>
    <t>SD-00971-01</t>
    <phoneticPr fontId="2" type="noConversion"/>
  </si>
  <si>
    <t>평택 1350Ax900 2P(진위교)</t>
    <phoneticPr fontId="2" type="noConversion"/>
  </si>
  <si>
    <t>SD-00971-02</t>
    <phoneticPr fontId="2" type="noConversion"/>
  </si>
  <si>
    <t>평택 1350Ax1200 2P Neck 플러깅 가배관 (진위교)</t>
    <phoneticPr fontId="2" type="noConversion"/>
  </si>
  <si>
    <t>1350*1200 / 2P</t>
    <phoneticPr fontId="2" type="noConversion"/>
  </si>
  <si>
    <t>1350 / 2P</t>
    <phoneticPr fontId="2" type="noConversion"/>
  </si>
  <si>
    <t>서울지방국토관리청</t>
    <phoneticPr fontId="2" type="noConversion"/>
  </si>
  <si>
    <t>상산건설</t>
    <phoneticPr fontId="2" type="noConversion"/>
  </si>
  <si>
    <t>진위교 수도권4단계 관로이설공사 중 진위역 3단계 관로이설공사(D1350)</t>
    <phoneticPr fontId="2" type="noConversion"/>
  </si>
  <si>
    <t>SD-00988-01</t>
    <phoneticPr fontId="2" type="noConversion"/>
  </si>
  <si>
    <t>아산 1100Ax850 2P</t>
    <phoneticPr fontId="2" type="noConversion"/>
  </si>
  <si>
    <t>시티건설</t>
    <phoneticPr fontId="2" type="noConversion"/>
  </si>
  <si>
    <t>1100 / 2P</t>
    <phoneticPr fontId="2" type="noConversion"/>
  </si>
  <si>
    <t>JD-00689-01</t>
    <phoneticPr fontId="2" type="noConversion"/>
  </si>
  <si>
    <t>시흥 300Ax200 2P 분기티</t>
    <phoneticPr fontId="2" type="noConversion"/>
  </si>
  <si>
    <t>분기 300*200</t>
    <phoneticPr fontId="2" type="noConversion"/>
  </si>
  <si>
    <t>여수 1650x1200 1P(갱생부)</t>
    <phoneticPr fontId="2" type="noConversion"/>
  </si>
  <si>
    <t>여수 1650x1200 2P(타이밸브실#3)</t>
    <phoneticPr fontId="2" type="noConversion"/>
  </si>
  <si>
    <t>1650 / 2P</t>
    <phoneticPr fontId="2" type="noConversion"/>
  </si>
  <si>
    <t>3</t>
    <phoneticPr fontId="2" type="noConversion"/>
  </si>
  <si>
    <t>4</t>
    <phoneticPr fontId="2" type="noConversion"/>
  </si>
  <si>
    <t>평택 900Ax600 4P D-D type</t>
    <phoneticPr fontId="2" type="noConversion"/>
  </si>
  <si>
    <t>SD-00967-01</t>
    <phoneticPr fontId="2" type="noConversion"/>
  </si>
  <si>
    <t>900 / 4P</t>
    <phoneticPr fontId="2" type="noConversion"/>
  </si>
  <si>
    <t>평택시</t>
    <phoneticPr fontId="2" type="noConversion"/>
  </si>
  <si>
    <t>평택호 횡단도로 건설공사(1-1공구)</t>
    <phoneticPr fontId="2" type="noConversion"/>
  </si>
  <si>
    <t>관보토건</t>
    <phoneticPr fontId="2" type="noConversion"/>
  </si>
  <si>
    <t>JD-00699-01</t>
    <phoneticPr fontId="2" type="noConversion"/>
  </si>
  <si>
    <t>부천 250A 난방 2P</t>
    <phoneticPr fontId="2" type="noConversion"/>
  </si>
  <si>
    <t>250 / 2P</t>
    <phoneticPr fontId="2" type="noConversion"/>
  </si>
  <si>
    <t>400 / 2P</t>
    <phoneticPr fontId="2" type="noConversion"/>
  </si>
  <si>
    <t>화성 1350Ax900 2P(동진2P)</t>
    <phoneticPr fontId="2" type="noConversion"/>
  </si>
  <si>
    <t>화성 1350Ax600 2P Neck플러깅(동진2P)</t>
    <phoneticPr fontId="2" type="noConversion"/>
  </si>
  <si>
    <t>SD-00712-01</t>
    <phoneticPr fontId="2" type="noConversion"/>
  </si>
  <si>
    <t>SD-00712-02</t>
    <phoneticPr fontId="2" type="noConversion"/>
  </si>
  <si>
    <t>1350 / 2P</t>
    <phoneticPr fontId="2" type="noConversion"/>
  </si>
  <si>
    <t>1350*600 / 2P</t>
    <phoneticPr fontId="2" type="noConversion"/>
  </si>
  <si>
    <t>대진종합건설/건양건설</t>
    <phoneticPr fontId="2" type="noConversion"/>
  </si>
  <si>
    <t>화성동탄2지구 수도권3단계 관로이설공사</t>
    <phoneticPr fontId="2" type="noConversion"/>
  </si>
  <si>
    <t>SD-00993-01</t>
    <phoneticPr fontId="2" type="noConversion"/>
  </si>
  <si>
    <t>거제도 900Ax900 1P천공(제)</t>
    <phoneticPr fontId="2" type="noConversion"/>
  </si>
  <si>
    <t>900*900</t>
    <phoneticPr fontId="2" type="noConversion"/>
  </si>
  <si>
    <t>수공 거제권지사</t>
    <phoneticPr fontId="2" type="noConversion"/>
  </si>
  <si>
    <t>하나엔지니어링</t>
    <phoneticPr fontId="2" type="noConversion"/>
  </si>
  <si>
    <t>거제도 부단수 천공공사</t>
    <phoneticPr fontId="2" type="noConversion"/>
  </si>
  <si>
    <t>당진 450A 2P(에어)</t>
    <phoneticPr fontId="2" type="noConversion"/>
  </si>
  <si>
    <t>현대제철 COG GAS LINE 부단수 차단 공사</t>
    <phoneticPr fontId="2" type="noConversion"/>
  </si>
  <si>
    <t>안산 350A 2P 주철</t>
    <phoneticPr fontId="2" type="noConversion"/>
  </si>
  <si>
    <t>서울 700Ax500 4P주철(700Ax100 1P)</t>
    <phoneticPr fontId="2" type="noConversion"/>
  </si>
  <si>
    <t>SD-00990-01</t>
    <phoneticPr fontId="2" type="noConversion"/>
  </si>
  <si>
    <t>주철관</t>
    <phoneticPr fontId="2" type="noConversion"/>
  </si>
  <si>
    <t>700 / 4P</t>
    <phoneticPr fontId="2" type="noConversion"/>
  </si>
  <si>
    <t>SK건설</t>
    <phoneticPr fontId="2" type="noConversion"/>
  </si>
  <si>
    <t>국가철도공단</t>
    <phoneticPr fontId="2" type="noConversion"/>
  </si>
  <si>
    <t>GTX-A노선 4공구 연시내정거장 개착대합실 공사</t>
    <phoneticPr fontId="2" type="noConversion"/>
  </si>
  <si>
    <t>\\Desktop-yang\(주)대호스토퍼\0영업사항(견적서)\AA지역별 견적현황\2023년\서울시\GTX-A노선 4공구 연시내정거장 개착대합실 공사(700A) - 23.10.12</t>
    <phoneticPr fontId="2" type="noConversion"/>
  </si>
  <si>
    <t>홍성 1500Ax1350 2P 천공(제)</t>
    <phoneticPr fontId="2" type="noConversion"/>
  </si>
  <si>
    <t>SD-00979-01</t>
    <phoneticPr fontId="2" type="noConversion"/>
  </si>
  <si>
    <t>수공 금강권수도사업단</t>
    <phoneticPr fontId="2" type="noConversion"/>
  </si>
  <si>
    <t>흥화</t>
    <phoneticPr fontId="2" type="noConversion"/>
  </si>
  <si>
    <t>충남서부권 광역상수도사업(제2공구-태안계통) 및 추가사업 시설공사</t>
    <phoneticPr fontId="2" type="noConversion"/>
  </si>
  <si>
    <t>1500*1350</t>
    <phoneticPr fontId="2" type="noConversion"/>
  </si>
  <si>
    <r>
      <t>당진 80A 스팀 1P</t>
    </r>
    <r>
      <rPr>
        <sz val="9"/>
        <color rgb="FFFF0000"/>
        <rFont val="맑은 고딕"/>
        <family val="3"/>
        <charset val="129"/>
        <scheme val="minor"/>
      </rPr>
      <t>(E&amp;C)</t>
    </r>
    <phoneticPr fontId="2" type="noConversion"/>
  </si>
  <si>
    <r>
      <t xml:space="preserve">당진 2000Ax1350 1P (COG라인) 65A 1P </t>
    </r>
    <r>
      <rPr>
        <sz val="9"/>
        <color rgb="FFFF0000"/>
        <rFont val="맑은 고딕"/>
        <family val="3"/>
        <charset val="129"/>
        <scheme val="minor"/>
      </rPr>
      <t>E&amp;C</t>
    </r>
    <phoneticPr fontId="2" type="noConversion"/>
  </si>
  <si>
    <t>부천 250A 난방 2P</t>
    <phoneticPr fontId="2" type="noConversion"/>
  </si>
  <si>
    <t>JD-00701-01</t>
    <phoneticPr fontId="2" type="noConversion"/>
  </si>
  <si>
    <t>여수 1650x1200 2P</t>
    <phoneticPr fontId="2" type="noConversion"/>
  </si>
  <si>
    <t>SD-00977-01</t>
    <phoneticPr fontId="2" type="noConversion"/>
  </si>
  <si>
    <t>1650 / 2P</t>
    <phoneticPr fontId="2" type="noConversion"/>
  </si>
  <si>
    <t>고양 1650Ax1200 1P 언플러깅재차단(긴급)</t>
    <phoneticPr fontId="2" type="noConversion"/>
  </si>
  <si>
    <t>SD-00991-01</t>
    <phoneticPr fontId="2" type="noConversion"/>
  </si>
  <si>
    <t>SD-00895-01</t>
    <phoneticPr fontId="2" type="noConversion"/>
  </si>
  <si>
    <t>부천 150A 1p 난방</t>
    <phoneticPr fontId="2" type="noConversion"/>
  </si>
  <si>
    <t>JD-00702-01</t>
    <phoneticPr fontId="2" type="noConversion"/>
  </si>
  <si>
    <t>SD-00997-01</t>
    <phoneticPr fontId="2" type="noConversion"/>
  </si>
  <si>
    <t>파주 600Ax450 2P</t>
    <phoneticPr fontId="2" type="noConversion"/>
  </si>
  <si>
    <t>600 / 2P</t>
    <phoneticPr fontId="2" type="noConversion"/>
  </si>
  <si>
    <t>한국수자원공사</t>
    <phoneticPr fontId="2" type="noConversion"/>
  </si>
  <si>
    <t>경인수도건설</t>
    <phoneticPr fontId="2" type="noConversion"/>
  </si>
  <si>
    <t>SD-00995-01</t>
    <phoneticPr fontId="2" type="noConversion"/>
  </si>
  <si>
    <t>김해 400Ax350 4P 주철관</t>
    <phoneticPr fontId="2" type="noConversion"/>
  </si>
  <si>
    <t>주철관</t>
    <phoneticPr fontId="2" type="noConversion"/>
  </si>
  <si>
    <t>400 / 4P</t>
    <phoneticPr fontId="2" type="noConversion"/>
  </si>
  <si>
    <t>새벽건설</t>
    <phoneticPr fontId="2" type="noConversion"/>
  </si>
  <si>
    <t>김해시 상수도사업소</t>
    <phoneticPr fontId="2" type="noConversion"/>
  </si>
  <si>
    <t>대동~매리간 도로건설공사구간(지방 상하수도등 이설공사,1~3구간)</t>
    <phoneticPr fontId="2" type="noConversion"/>
  </si>
  <si>
    <t>SD-00996-01</t>
    <phoneticPr fontId="2" type="noConversion"/>
  </si>
  <si>
    <t>SD-00996-02</t>
    <phoneticPr fontId="2" type="noConversion"/>
  </si>
  <si>
    <t>SD-00996-03</t>
    <phoneticPr fontId="2" type="noConversion"/>
  </si>
  <si>
    <t>SD-00996-04</t>
    <phoneticPr fontId="2" type="noConversion"/>
  </si>
  <si>
    <t>서울 1500Ax1000 1P</t>
    <phoneticPr fontId="2" type="noConversion"/>
  </si>
  <si>
    <t>서울 1500Ax900 1P Neck 플러깅용</t>
    <phoneticPr fontId="2" type="noConversion"/>
  </si>
  <si>
    <t>서울 1350Ax900 1P</t>
    <phoneticPr fontId="2" type="noConversion"/>
  </si>
  <si>
    <t>서울 1350Ax900 1P 플러깅용 F/Pad</t>
    <phoneticPr fontId="2" type="noConversion"/>
  </si>
  <si>
    <t>1500*900</t>
    <phoneticPr fontId="2" type="noConversion"/>
  </si>
  <si>
    <t>1350*900</t>
    <phoneticPr fontId="2" type="noConversion"/>
  </si>
  <si>
    <t>서울시 상수도사업본부</t>
    <phoneticPr fontId="2" type="noConversion"/>
  </si>
  <si>
    <t>청풍건설</t>
    <phoneticPr fontId="2" type="noConversion"/>
  </si>
  <si>
    <t>목동교~도림천간 장기사용 송배수관 정비공사</t>
    <phoneticPr fontId="2" type="noConversion"/>
  </si>
  <si>
    <t>정선 300A 2P(정수장유입부)</t>
    <phoneticPr fontId="2" type="noConversion"/>
  </si>
  <si>
    <t>SD-00983-01</t>
    <phoneticPr fontId="2" type="noConversion"/>
  </si>
  <si>
    <t>300 / 2P</t>
    <phoneticPr fontId="2" type="noConversion"/>
  </si>
  <si>
    <t>호황건설</t>
    <phoneticPr fontId="2" type="noConversion"/>
  </si>
  <si>
    <t>신동정수장 송수관로</t>
    <phoneticPr fontId="2" type="noConversion"/>
  </si>
  <si>
    <t>SD-00968-01</t>
    <phoneticPr fontId="2" type="noConversion"/>
  </si>
  <si>
    <t>평택 900Ax600 4PD-D type(동진2P,대호2P)</t>
    <phoneticPr fontId="2" type="noConversion"/>
  </si>
  <si>
    <t>900 / 4P</t>
    <phoneticPr fontId="2" type="noConversion"/>
  </si>
  <si>
    <t>수공 아산권지사</t>
    <phoneticPr fontId="2" type="noConversion"/>
  </si>
  <si>
    <t>대보건설</t>
    <phoneticPr fontId="2" type="noConversion"/>
  </si>
  <si>
    <t>평택~부여~익산(서부내륙)고속도로 14공구</t>
    <phoneticPr fontId="2" type="noConversion"/>
  </si>
  <si>
    <t>SD-001000-01</t>
    <phoneticPr fontId="2" type="noConversion"/>
  </si>
  <si>
    <t>SD-00992-01</t>
    <phoneticPr fontId="2" type="noConversion"/>
  </si>
  <si>
    <t>서산 800Ax100 1P 천공(제)</t>
    <phoneticPr fontId="2" type="noConversion"/>
  </si>
  <si>
    <t>800*100</t>
    <phoneticPr fontId="2" type="noConversion"/>
  </si>
  <si>
    <t>이노텍코리아</t>
    <phoneticPr fontId="2" type="noConversion"/>
  </si>
  <si>
    <t>부천 800A 1P 난방</t>
    <phoneticPr fontId="2" type="noConversion"/>
  </si>
  <si>
    <t>JD-00703-01</t>
    <phoneticPr fontId="2" type="noConversion"/>
  </si>
  <si>
    <t>SD-00894-01</t>
    <phoneticPr fontId="2" type="noConversion"/>
  </si>
  <si>
    <t>아산 1200Ax850 2P</t>
    <phoneticPr fontId="2" type="noConversion"/>
  </si>
  <si>
    <t>SD-00994-01</t>
    <phoneticPr fontId="2" type="noConversion"/>
  </si>
  <si>
    <t>1500 / 2P</t>
    <phoneticPr fontId="2" type="noConversion"/>
  </si>
  <si>
    <t>홍성 1500Ax1100 2P</t>
    <phoneticPr fontId="2" type="noConversion"/>
  </si>
  <si>
    <t>한국수자원공사</t>
    <phoneticPr fontId="2" type="noConversion"/>
  </si>
  <si>
    <t>구미 하이테크밸리(2단계) 조성공사(1공구)(1차년도)</t>
    <phoneticPr fontId="2" type="noConversion"/>
  </si>
  <si>
    <t>선급금</t>
    <phoneticPr fontId="2" type="noConversion"/>
  </si>
  <si>
    <t>3/4,5(=반나절), 3/6(하루) 25톤 카고크레인= 250만원 상계처리 하기로 함(전한익)</t>
    <phoneticPr fontId="2" type="noConversion"/>
  </si>
  <si>
    <t>아산 2000Ax1350 2P</t>
    <phoneticPr fontId="2" type="noConversion"/>
  </si>
  <si>
    <t>SD-00893-01</t>
    <phoneticPr fontId="2" type="noConversion"/>
  </si>
  <si>
    <t>SD-00892-01</t>
    <phoneticPr fontId="2" type="noConversion"/>
  </si>
  <si>
    <t>2000 / 2P</t>
    <phoneticPr fontId="2" type="noConversion"/>
  </si>
  <si>
    <t>2000*1350 / 2P</t>
    <phoneticPr fontId="2" type="noConversion"/>
  </si>
  <si>
    <t>아산 2000Ax1500 2P Neck(가배관)</t>
    <phoneticPr fontId="2" type="noConversion"/>
  </si>
  <si>
    <t>동진산업</t>
    <phoneticPr fontId="2" type="noConversion"/>
  </si>
  <si>
    <t>오산 500Ax250 2P 분기티</t>
    <phoneticPr fontId="2" type="noConversion"/>
  </si>
  <si>
    <t>JD-00704-01</t>
    <phoneticPr fontId="2" type="noConversion"/>
  </si>
  <si>
    <t>분기 500*250 / 2P</t>
    <phoneticPr fontId="2" type="noConversion"/>
  </si>
  <si>
    <t>대성물류건설</t>
    <phoneticPr fontId="2" type="noConversion"/>
  </si>
  <si>
    <t>DS파워</t>
    <phoneticPr fontId="2" type="noConversion"/>
  </si>
  <si>
    <t>세교 602-3번지 열수송관 공사</t>
    <phoneticPr fontId="2" type="noConversion"/>
  </si>
  <si>
    <t>제주 600Ax450 1P 주철</t>
    <phoneticPr fontId="2" type="noConversion"/>
  </si>
  <si>
    <t>SD-01004-01</t>
    <phoneticPr fontId="2" type="noConversion"/>
  </si>
  <si>
    <t>군산 1000Ax850 1P 재차단(언플러깅)</t>
    <phoneticPr fontId="2" type="noConversion"/>
  </si>
  <si>
    <t>SD-01005-01</t>
    <phoneticPr fontId="2" type="noConversion"/>
  </si>
  <si>
    <t>1000 / 1P</t>
    <phoneticPr fontId="2" type="noConversion"/>
  </si>
  <si>
    <t>삼부토건</t>
    <phoneticPr fontId="2" type="noConversion"/>
  </si>
  <si>
    <t>SD-00998-03</t>
    <phoneticPr fontId="2" type="noConversion"/>
  </si>
  <si>
    <t>서울 1500Ax1200 1P Full 피팅 플러깅용</t>
    <phoneticPr fontId="2" type="noConversion"/>
  </si>
  <si>
    <t>SD-00998-02</t>
    <phoneticPr fontId="2" type="noConversion"/>
  </si>
  <si>
    <t>SD-00998-01</t>
    <phoneticPr fontId="2" type="noConversion"/>
  </si>
  <si>
    <t>서울 2000Ax1200 1P Neck 피팅 플러깅용</t>
    <phoneticPr fontId="2" type="noConversion"/>
  </si>
  <si>
    <t>2000Ax1200</t>
    <phoneticPr fontId="2" type="noConversion"/>
  </si>
  <si>
    <t>1500Ax1200</t>
    <phoneticPr fontId="2" type="noConversion"/>
  </si>
  <si>
    <t>서울 1500Ax1100 1P</t>
    <phoneticPr fontId="2" type="noConversion"/>
  </si>
  <si>
    <t>창렬플랜트</t>
    <phoneticPr fontId="2" type="noConversion"/>
  </si>
  <si>
    <t>이사님발행건</t>
    <phoneticPr fontId="2" type="noConversion"/>
  </si>
  <si>
    <t>JD-00693-01</t>
    <phoneticPr fontId="2" type="noConversion"/>
  </si>
  <si>
    <t>안양 500Ax200 2P 분기티</t>
    <phoneticPr fontId="2" type="noConversion"/>
  </si>
  <si>
    <t>정선 300Ax300 1P 천공(제)</t>
    <phoneticPr fontId="2" type="noConversion"/>
  </si>
  <si>
    <t>정선 250Ax250 1P Neck천공(제)</t>
    <phoneticPr fontId="2" type="noConversion"/>
  </si>
  <si>
    <t>정선 300Ax100 1P Neck천공(제)</t>
    <phoneticPr fontId="2" type="noConversion"/>
  </si>
  <si>
    <t>SD-00985-01</t>
    <phoneticPr fontId="2" type="noConversion"/>
  </si>
  <si>
    <t>SD-01001-01</t>
    <phoneticPr fontId="2" type="noConversion"/>
  </si>
  <si>
    <t>SD-01002-01</t>
    <phoneticPr fontId="2" type="noConversion"/>
  </si>
  <si>
    <t>250*250</t>
    <phoneticPr fontId="2" type="noConversion"/>
  </si>
  <si>
    <t>300*100</t>
    <phoneticPr fontId="2" type="noConversion"/>
  </si>
  <si>
    <t>서울 1500Ax1000 1P</t>
    <phoneticPr fontId="2" type="noConversion"/>
  </si>
  <si>
    <t>SD-00998-01</t>
    <phoneticPr fontId="2" type="noConversion"/>
  </si>
  <si>
    <t>1500 / 1P</t>
    <phoneticPr fontId="2" type="noConversion"/>
  </si>
  <si>
    <t>천안 900Ax600 2P</t>
    <phoneticPr fontId="2" type="noConversion"/>
  </si>
  <si>
    <t>SD-01012-01</t>
    <phoneticPr fontId="2" type="noConversion"/>
  </si>
  <si>
    <t>900 / 2P</t>
    <phoneticPr fontId="2" type="noConversion"/>
  </si>
  <si>
    <t>핫라인</t>
    <phoneticPr fontId="2" type="noConversion"/>
  </si>
  <si>
    <t>부단수 양단차단 공사(900A)</t>
    <phoneticPr fontId="2" type="noConversion"/>
  </si>
  <si>
    <t>안성 1200Ax850 1P Neck피팅 오수</t>
    <phoneticPr fontId="2" type="noConversion"/>
  </si>
  <si>
    <t>오수</t>
    <phoneticPr fontId="2" type="noConversion"/>
  </si>
  <si>
    <t>1200 / 1P</t>
    <phoneticPr fontId="2" type="noConversion"/>
  </si>
  <si>
    <t>동진산업</t>
    <phoneticPr fontId="2" type="noConversion"/>
  </si>
  <si>
    <t>대한송유관공사</t>
    <phoneticPr fontId="2" type="noConversion"/>
  </si>
  <si>
    <t>장비 정산</t>
    <phoneticPr fontId="2" type="noConversion"/>
  </si>
  <si>
    <t>SD-01016-01</t>
    <phoneticPr fontId="2" type="noConversion"/>
  </si>
  <si>
    <t>SD-01007-01</t>
    <phoneticPr fontId="2" type="noConversion"/>
  </si>
  <si>
    <t>구미 700Ax500 2P</t>
    <phoneticPr fontId="2" type="noConversion"/>
  </si>
  <si>
    <t>700 / 2P</t>
    <phoneticPr fontId="2" type="noConversion"/>
  </si>
  <si>
    <t>시티</t>
    <phoneticPr fontId="2" type="noConversion"/>
  </si>
  <si>
    <t>구미광역(2단계) 김천계통 관로 개량공사</t>
    <phoneticPr fontId="2" type="noConversion"/>
  </si>
  <si>
    <t>JD-00705-01</t>
    <phoneticPr fontId="2" type="noConversion"/>
  </si>
  <si>
    <t>부산 700Ax125 2P 분기티(Neck+패드)</t>
    <phoneticPr fontId="2" type="noConversion"/>
  </si>
  <si>
    <t>분기 700*125 / 2P</t>
    <phoneticPr fontId="2" type="noConversion"/>
  </si>
  <si>
    <t>부산도시가스</t>
    <phoneticPr fontId="2" type="noConversion"/>
  </si>
  <si>
    <t>을묘종건</t>
    <phoneticPr fontId="2" type="noConversion"/>
  </si>
  <si>
    <t>구미 700Ax500 2P</t>
    <phoneticPr fontId="2" type="noConversion"/>
  </si>
  <si>
    <t>SD-01006-01</t>
    <phoneticPr fontId="2" type="noConversion"/>
  </si>
  <si>
    <t>광주 1800Ax1500 2P Neck 천공</t>
    <phoneticPr fontId="2" type="noConversion"/>
  </si>
  <si>
    <t>SD-01017-01</t>
    <phoneticPr fontId="2" type="noConversion"/>
  </si>
  <si>
    <t>1800*1500 / 2P</t>
    <phoneticPr fontId="2" type="noConversion"/>
  </si>
  <si>
    <t>DHD</t>
    <phoneticPr fontId="2" type="noConversion"/>
  </si>
  <si>
    <t>광주시</t>
    <phoneticPr fontId="2" type="noConversion"/>
  </si>
  <si>
    <t>광주용인 공동취수장</t>
    <phoneticPr fontId="2" type="noConversion"/>
  </si>
  <si>
    <t>JD-00708-01</t>
    <phoneticPr fontId="2" type="noConversion"/>
  </si>
  <si>
    <t>인천 700Ax700 2P 분기티</t>
    <phoneticPr fontId="2" type="noConversion"/>
  </si>
  <si>
    <t>700*700 / 2P</t>
    <phoneticPr fontId="2" type="noConversion"/>
  </si>
  <si>
    <t>승재</t>
    <phoneticPr fontId="2" type="noConversion"/>
  </si>
  <si>
    <t>계양 열수송관 공사</t>
    <phoneticPr fontId="2" type="noConversion"/>
  </si>
  <si>
    <t>분기 500*200 / 2P</t>
    <phoneticPr fontId="2" type="noConversion"/>
  </si>
  <si>
    <t>JD-00713-01</t>
    <phoneticPr fontId="2" type="noConversion"/>
  </si>
  <si>
    <t>인천 700A 2P 난방</t>
    <phoneticPr fontId="2" type="noConversion"/>
  </si>
  <si>
    <t>700 / 2P</t>
    <phoneticPr fontId="2" type="noConversion"/>
  </si>
  <si>
    <t>경신플랜트</t>
    <phoneticPr fontId="2" type="noConversion"/>
  </si>
  <si>
    <t>양부장님요청건</t>
    <phoneticPr fontId="2" type="noConversion"/>
  </si>
  <si>
    <t>24</t>
  </si>
  <si>
    <t>당진 250A 1P(농안수)</t>
    <phoneticPr fontId="2" type="noConversion"/>
  </si>
  <si>
    <t>FD-00039-01</t>
    <phoneticPr fontId="2" type="noConversion"/>
  </si>
  <si>
    <t>기타</t>
    <phoneticPr fontId="2" type="noConversion"/>
  </si>
  <si>
    <t>250 / 1P</t>
    <phoneticPr fontId="2" type="noConversion"/>
  </si>
  <si>
    <t>현대제철</t>
    <phoneticPr fontId="2" type="noConversion"/>
  </si>
  <si>
    <t>안산 150A 1P 난방-삼천리</t>
    <phoneticPr fontId="2" type="noConversion"/>
  </si>
  <si>
    <t>JD-00714-01</t>
    <phoneticPr fontId="2" type="noConversion"/>
  </si>
  <si>
    <t>150 / 1P</t>
    <phoneticPr fontId="2" type="noConversion"/>
  </si>
  <si>
    <t>삼천리이엔지</t>
    <phoneticPr fontId="2" type="noConversion"/>
  </si>
  <si>
    <t>SD-01019-01</t>
    <phoneticPr fontId="2" type="noConversion"/>
  </si>
  <si>
    <t>여수 900Ax400 1P PC관 천공(제)</t>
    <phoneticPr fontId="2" type="noConversion"/>
  </si>
  <si>
    <t>900*400 / 1P</t>
    <phoneticPr fontId="2" type="noConversion"/>
  </si>
  <si>
    <t>건희건설</t>
    <phoneticPr fontId="2" type="noConversion"/>
  </si>
  <si>
    <t>여수 800Ax400 1P PC관 천공(제)</t>
    <phoneticPr fontId="2" type="noConversion"/>
  </si>
  <si>
    <t>SD-01020-01</t>
    <phoneticPr fontId="2" type="noConversion"/>
  </si>
  <si>
    <t>여수 300Ax200 1P 주철관 천공(제)</t>
    <phoneticPr fontId="2" type="noConversion"/>
  </si>
  <si>
    <t>SD-01021-01</t>
    <phoneticPr fontId="2" type="noConversion"/>
  </si>
  <si>
    <t>800*400 / 1P</t>
    <phoneticPr fontId="2" type="noConversion"/>
  </si>
  <si>
    <t>300*200 / 1P</t>
    <phoneticPr fontId="2" type="noConversion"/>
  </si>
  <si>
    <t>안양 550A 1P 난방(긴급)</t>
    <phoneticPr fontId="2" type="noConversion"/>
  </si>
  <si>
    <t>JD-00716-01</t>
    <phoneticPr fontId="2" type="noConversion"/>
  </si>
  <si>
    <t>550 / 1P</t>
    <phoneticPr fontId="2" type="noConversion"/>
  </si>
  <si>
    <t>GS파워 안양</t>
    <phoneticPr fontId="2" type="noConversion"/>
  </si>
  <si>
    <t>SD-01023-01</t>
    <phoneticPr fontId="2" type="noConversion"/>
  </si>
  <si>
    <t>나주 600Ax450 2P 주철(동진오더)</t>
    <phoneticPr fontId="2" type="noConversion"/>
  </si>
  <si>
    <t>600 / 2P</t>
    <phoneticPr fontId="2" type="noConversion"/>
  </si>
  <si>
    <t>동진산업</t>
    <phoneticPr fontId="2" type="noConversion"/>
  </si>
  <si>
    <t>JD-00706-01</t>
    <phoneticPr fontId="2" type="noConversion"/>
  </si>
  <si>
    <t>부산 250Ax150 2P 분기티</t>
    <phoneticPr fontId="2" type="noConversion"/>
  </si>
  <si>
    <t>분기 250*150 / 2P</t>
    <phoneticPr fontId="2" type="noConversion"/>
  </si>
  <si>
    <t>구리 600Ax450 2P Neck</t>
    <phoneticPr fontId="2" type="noConversion"/>
  </si>
  <si>
    <t>SD-01022-01</t>
    <phoneticPr fontId="2" type="noConversion"/>
  </si>
  <si>
    <t>600 / 2P</t>
    <phoneticPr fontId="2" type="noConversion"/>
  </si>
  <si>
    <t>관수산업</t>
    <phoneticPr fontId="2" type="noConversion"/>
  </si>
  <si>
    <t>SD-01026-01</t>
    <phoneticPr fontId="2" type="noConversion"/>
  </si>
  <si>
    <t>여수 500Ax400 2P</t>
    <phoneticPr fontId="2" type="noConversion"/>
  </si>
  <si>
    <t>500 / 2P</t>
    <phoneticPr fontId="2" type="noConversion"/>
  </si>
  <si>
    <t>JD-00707-01</t>
    <phoneticPr fontId="2" type="noConversion"/>
  </si>
  <si>
    <t>대전 600A 1P 스팀(플랜지타입)</t>
    <phoneticPr fontId="2" type="noConversion"/>
  </si>
  <si>
    <t>스팀</t>
    <phoneticPr fontId="2" type="noConversion"/>
  </si>
  <si>
    <t>강관</t>
    <phoneticPr fontId="2" type="noConversion"/>
  </si>
  <si>
    <t>서한ENC</t>
    <phoneticPr fontId="2" type="noConversion"/>
  </si>
  <si>
    <t>아산 400A 4P 난방-삼천리</t>
    <phoneticPr fontId="2" type="noConversion"/>
  </si>
  <si>
    <t>JD-00719-01</t>
    <phoneticPr fontId="2" type="noConversion"/>
  </si>
  <si>
    <t>400 / 4P</t>
    <phoneticPr fontId="2" type="noConversion"/>
  </si>
  <si>
    <t>LH</t>
    <phoneticPr fontId="2" type="noConversion"/>
  </si>
  <si>
    <t>당진 350A 2P 스팀 600#</t>
    <phoneticPr fontId="2" type="noConversion"/>
  </si>
  <si>
    <t>JD-00717-01</t>
    <phoneticPr fontId="2" type="noConversion"/>
  </si>
  <si>
    <t>SD-01028-01</t>
    <phoneticPr fontId="2" type="noConversion"/>
  </si>
  <si>
    <t>350 / 2P</t>
    <phoneticPr fontId="2" type="noConversion"/>
  </si>
  <si>
    <t>50 / 2P</t>
    <phoneticPr fontId="2" type="noConversion"/>
  </si>
  <si>
    <t>대종엔지니어링</t>
    <phoneticPr fontId="2" type="noConversion"/>
  </si>
  <si>
    <t>현대제철</t>
    <phoneticPr fontId="2" type="noConversion"/>
  </si>
  <si>
    <t>케이제이엠아이</t>
    <phoneticPr fontId="2" type="noConversion"/>
  </si>
  <si>
    <t>실제 발행금액</t>
    <phoneticPr fontId="2" type="noConversion"/>
  </si>
  <si>
    <t>JD-00719-01</t>
    <phoneticPr fontId="2" type="noConversion"/>
  </si>
  <si>
    <t>김해 65A 1P 난방-삼천리</t>
    <phoneticPr fontId="2" type="noConversion"/>
  </si>
  <si>
    <t>65 / 1P</t>
    <phoneticPr fontId="2" type="noConversion"/>
  </si>
  <si>
    <t>JD-00721-01</t>
    <phoneticPr fontId="2" type="noConversion"/>
  </si>
  <si>
    <t>SD-01024-01</t>
    <phoneticPr fontId="2" type="noConversion"/>
  </si>
  <si>
    <t>대전 2400Ax1650 1P</t>
    <phoneticPr fontId="2" type="noConversion"/>
  </si>
  <si>
    <t>태림환경</t>
    <phoneticPr fontId="2" type="noConversion"/>
  </si>
  <si>
    <t>SD-01030-01</t>
    <phoneticPr fontId="2" type="noConversion"/>
  </si>
  <si>
    <t>충주 400Ax250A 1P Neck(제) 천공</t>
    <phoneticPr fontId="2" type="noConversion"/>
  </si>
  <si>
    <t>400*250</t>
    <phoneticPr fontId="2" type="noConversion"/>
  </si>
  <si>
    <t>대성기공</t>
    <phoneticPr fontId="2" type="noConversion"/>
  </si>
  <si>
    <t>충주 700Ax500 2P 주철</t>
    <phoneticPr fontId="2" type="noConversion"/>
  </si>
  <si>
    <t>SD-01025-01</t>
    <phoneticPr fontId="2" type="noConversion"/>
  </si>
  <si>
    <t>700 / 2P</t>
    <phoneticPr fontId="2" type="noConversion"/>
  </si>
  <si>
    <t>한국수자원공사</t>
    <phoneticPr fontId="2" type="noConversion"/>
  </si>
  <si>
    <t>한남건설</t>
    <phoneticPr fontId="2" type="noConversion"/>
  </si>
  <si>
    <t>시흥 700Ax500 1P</t>
    <phoneticPr fontId="2" type="noConversion"/>
  </si>
  <si>
    <t>SD-01029-01</t>
    <phoneticPr fontId="2" type="noConversion"/>
  </si>
  <si>
    <t>핫라인</t>
    <phoneticPr fontId="2" type="noConversion"/>
  </si>
  <si>
    <t>\\Desktop-yang\(주)대호스토퍼\0영업사항(견적서)\AA지역별 견적현황\2023년\경기남서부\시흥정수장(700A)-서남권관리단</t>
    <phoneticPr fontId="2" type="noConversion"/>
  </si>
  <si>
    <t>중리취수장 내 부단수차단</t>
    <phoneticPr fontId="2" type="noConversion"/>
  </si>
  <si>
    <t>충주댐계통 증평계통 지장관로 이설공사</t>
    <phoneticPr fontId="2" type="noConversion"/>
  </si>
  <si>
    <t>총 4P</t>
    <phoneticPr fontId="2" type="noConversion"/>
  </si>
  <si>
    <t>대전광역시 상수도사업소</t>
    <phoneticPr fontId="2" type="noConversion"/>
  </si>
  <si>
    <t>청라 350A 4P 난방</t>
    <phoneticPr fontId="2" type="noConversion"/>
  </si>
  <si>
    <t>JD-00720-01</t>
    <phoneticPr fontId="2" type="noConversion"/>
  </si>
  <si>
    <t>350 / 4P</t>
    <phoneticPr fontId="2" type="noConversion"/>
  </si>
  <si>
    <t>나라이엔씨</t>
    <phoneticPr fontId="2" type="noConversion"/>
  </si>
  <si>
    <t>창고시설 신축공사 이설공사</t>
    <phoneticPr fontId="2" type="noConversion"/>
  </si>
  <si>
    <t>완료</t>
    <phoneticPr fontId="2" type="noConversion"/>
  </si>
  <si>
    <t>공사 취소(대호)</t>
    <phoneticPr fontId="2" type="noConversion"/>
  </si>
  <si>
    <t>완료</t>
    <phoneticPr fontId="2" type="noConversion"/>
  </si>
  <si>
    <t>확인</t>
    <phoneticPr fontId="2" type="noConversion"/>
  </si>
  <si>
    <t>변경계약진행중(발주처-원청)</t>
    <phoneticPr fontId="2" type="noConversion"/>
  </si>
  <si>
    <t>계약및 공사 진행중</t>
    <phoneticPr fontId="2" type="noConversion"/>
  </si>
  <si>
    <t>동진</t>
    <phoneticPr fontId="2" type="noConversion"/>
  </si>
  <si>
    <t>안양 900A 2P 난방 재차단</t>
    <phoneticPr fontId="2" type="noConversion"/>
  </si>
  <si>
    <t>안양 900A 2P 난방</t>
    <phoneticPr fontId="2" type="noConversion"/>
  </si>
  <si>
    <t>총 금액</t>
    <phoneticPr fontId="2" type="noConversion"/>
  </si>
  <si>
    <t>1차 기성(24.04.30)</t>
    <phoneticPr fontId="2" type="noConversion"/>
  </si>
  <si>
    <t>2차 기성(24.05.31)</t>
    <phoneticPr fontId="2" type="noConversion"/>
  </si>
  <si>
    <t>계산서 발행금액: 110,000,000
7월2일 입금완료</t>
    <phoneticPr fontId="2" type="noConversion"/>
  </si>
  <si>
    <t>부천 900A 4P 난방</t>
    <phoneticPr fontId="2" type="noConversion"/>
  </si>
  <si>
    <t>JD-00715-01</t>
    <phoneticPr fontId="2" type="noConversion"/>
  </si>
  <si>
    <t>900 / 4P</t>
    <phoneticPr fontId="2" type="noConversion"/>
  </si>
  <si>
    <t>GS파워</t>
    <phoneticPr fontId="2" type="noConversion"/>
  </si>
  <si>
    <t>한은ENC</t>
    <phoneticPr fontId="2" type="noConversion"/>
  </si>
  <si>
    <t>부천 GS파워 발전소내 배관이설공사</t>
    <phoneticPr fontId="2" type="noConversion"/>
  </si>
  <si>
    <t>부천 250A 1P 난방</t>
    <phoneticPr fontId="2" type="noConversion"/>
  </si>
  <si>
    <t>JD-00723-01</t>
    <phoneticPr fontId="2" type="noConversion"/>
  </si>
  <si>
    <t>부산 250A 4P 난방-삼천리</t>
    <phoneticPr fontId="2" type="noConversion"/>
  </si>
  <si>
    <t>JD-00724-01</t>
    <phoneticPr fontId="2" type="noConversion"/>
  </si>
  <si>
    <t>250 / 4P</t>
    <phoneticPr fontId="2" type="noConversion"/>
  </si>
  <si>
    <t>삼천리이엔지</t>
    <phoneticPr fontId="2" type="noConversion"/>
  </si>
  <si>
    <t>JD-00736-01</t>
    <phoneticPr fontId="2" type="noConversion"/>
  </si>
  <si>
    <t>평택 150A 1P 난방</t>
    <phoneticPr fontId="2" type="noConversion"/>
  </si>
  <si>
    <t>부산환경공단</t>
    <phoneticPr fontId="2" type="noConversion"/>
  </si>
  <si>
    <t>당진 350A 2P 질소 600#</t>
    <phoneticPr fontId="2" type="noConversion"/>
  </si>
  <si>
    <t>JD-00718-01</t>
    <phoneticPr fontId="2" type="noConversion"/>
  </si>
  <si>
    <t>기타</t>
    <phoneticPr fontId="2" type="noConversion"/>
  </si>
  <si>
    <t>350 / 2P</t>
    <phoneticPr fontId="2" type="noConversion"/>
  </si>
  <si>
    <t>평택에너지서비스</t>
    <phoneticPr fontId="2" type="noConversion"/>
  </si>
  <si>
    <t>한국지역난방공사 김해</t>
    <phoneticPr fontId="2" type="noConversion"/>
  </si>
  <si>
    <t>한난 김해지사 축열조 배관보수공사</t>
    <phoneticPr fontId="2" type="noConversion"/>
  </si>
  <si>
    <t>23년 아산배방탕정지구 열수송관 입입관 공사</t>
    <phoneticPr fontId="2" type="noConversion"/>
  </si>
  <si>
    <t>2024년 열수송관 유지관리 긴급보수공사(순복음교회)</t>
    <phoneticPr fontId="2" type="noConversion"/>
  </si>
  <si>
    <t>7/31로 계산서 발행요망</t>
    <phoneticPr fontId="2" type="noConversion"/>
  </si>
  <si>
    <t>전한익부장 금액 확인 후 처리할 것(계약분 가배관 용접 제되어야 함)</t>
    <phoneticPr fontId="2" type="noConversion"/>
  </si>
  <si>
    <t>8월달 처리, (대산 650A 작업예정 완료되면 같이 처리. 담당자 해외출장중.)</t>
    <phoneticPr fontId="2" type="noConversion"/>
  </si>
  <si>
    <t>7월말 예정(발주처 준공검사 지연)/준공검사 완료되었고 8월3~4째주에 기성신청예정</t>
    <phoneticPr fontId="2" type="noConversion"/>
  </si>
  <si>
    <t>10</t>
    <phoneticPr fontId="2" type="noConversion"/>
  </si>
  <si>
    <t>11</t>
    <phoneticPr fontId="2" type="noConversion"/>
  </si>
  <si>
    <t>JD-00725-01</t>
    <phoneticPr fontId="2" type="noConversion"/>
  </si>
  <si>
    <t>전라광주 300Ax125 2P 분기티</t>
    <phoneticPr fontId="2" type="noConversion"/>
  </si>
  <si>
    <t>300*125 / 2P</t>
    <phoneticPr fontId="2" type="noConversion"/>
  </si>
  <si>
    <t>수완에너지</t>
    <phoneticPr fontId="2" type="noConversion"/>
  </si>
  <si>
    <t>부천 300A 2P 난방 긴급</t>
    <phoneticPr fontId="2" type="noConversion"/>
  </si>
  <si>
    <t>JD-00737-01</t>
    <phoneticPr fontId="2" type="noConversion"/>
  </si>
  <si>
    <t>300 / 2P</t>
    <phoneticPr fontId="2" type="noConversion"/>
  </si>
  <si>
    <t>JD-00734-01</t>
    <phoneticPr fontId="2" type="noConversion"/>
  </si>
  <si>
    <t>송도 500A 8P 난방</t>
    <phoneticPr fontId="2" type="noConversion"/>
  </si>
  <si>
    <t>500 / 8P</t>
    <phoneticPr fontId="2" type="noConversion"/>
  </si>
  <si>
    <t>인천종합에너지</t>
    <phoneticPr fontId="2" type="noConversion"/>
  </si>
  <si>
    <t>원나인건설</t>
    <phoneticPr fontId="2" type="noConversion"/>
  </si>
  <si>
    <t>인천종합에너지 23년 3차 열수송관공사(독배로 이설)</t>
    <phoneticPr fontId="2" type="noConversion"/>
  </si>
  <si>
    <t>안산 700A 2P 난방-삼천리</t>
    <phoneticPr fontId="2" type="noConversion"/>
  </si>
  <si>
    <t>JD-00731-01</t>
    <phoneticPr fontId="2" type="noConversion"/>
  </si>
  <si>
    <t>700 / 2P</t>
    <phoneticPr fontId="2" type="noConversion"/>
  </si>
  <si>
    <t>안산도시개발</t>
    <phoneticPr fontId="2" type="noConversion"/>
  </si>
  <si>
    <t>지역난방 열수송관 핫테핑</t>
    <phoneticPr fontId="2" type="noConversion"/>
  </si>
  <si>
    <t>광명 600A 난방타입피팅</t>
    <phoneticPr fontId="2" type="noConversion"/>
  </si>
  <si>
    <t>SD-01031-01</t>
    <phoneticPr fontId="2" type="noConversion"/>
  </si>
  <si>
    <t>광명시 정수과</t>
    <phoneticPr fontId="2" type="noConversion"/>
  </si>
  <si>
    <t>노온정수장 송수펌프 9호기 유출밸브 교체 공사</t>
    <phoneticPr fontId="2" type="noConversion"/>
  </si>
  <si>
    <t>gs자금부족으로 입찰 후 진행 / 발부가 10초 진행</t>
    <phoneticPr fontId="2" type="noConversion"/>
  </si>
  <si>
    <t>구미 800Ax250 2P 맹후렌지 천공</t>
    <phoneticPr fontId="2" type="noConversion"/>
  </si>
  <si>
    <t>SD-01051-02</t>
    <phoneticPr fontId="2" type="noConversion"/>
  </si>
  <si>
    <t>구미 300Ax250 1P 맹후렌지 천공(천공실패)</t>
    <phoneticPr fontId="2" type="noConversion"/>
  </si>
  <si>
    <t>SD-01051-01</t>
    <phoneticPr fontId="2" type="noConversion"/>
  </si>
  <si>
    <t>300*250 / 1P</t>
    <phoneticPr fontId="2" type="noConversion"/>
  </si>
  <si>
    <t>한국수자원공사</t>
    <phoneticPr fontId="2" type="noConversion"/>
  </si>
  <si>
    <t>한국수자원공사</t>
    <phoneticPr fontId="2" type="noConversion"/>
  </si>
  <si>
    <t>기타</t>
    <phoneticPr fontId="2" type="noConversion"/>
  </si>
  <si>
    <t>800*250 / 2P</t>
    <phoneticPr fontId="2" type="noConversion"/>
  </si>
  <si>
    <t>인천공항 400A 2P 송유</t>
    <phoneticPr fontId="2" type="noConversion"/>
  </si>
  <si>
    <t>YD-00034-01</t>
    <phoneticPr fontId="2" type="noConversion"/>
  </si>
  <si>
    <t>400 / 2P</t>
    <phoneticPr fontId="2" type="noConversion"/>
  </si>
  <si>
    <t>문화지엔코</t>
    <phoneticPr fontId="2" type="noConversion"/>
  </si>
  <si>
    <t>213밸브박스 기존관 TIE-IN 보수공사 및 부대설비 철거/라인스토핑 공사</t>
    <phoneticPr fontId="2" type="noConversion"/>
  </si>
  <si>
    <t>JD-00727-01</t>
    <phoneticPr fontId="2" type="noConversion"/>
  </si>
  <si>
    <t>전라광주 150Ax125 2P 분기티</t>
    <phoneticPr fontId="2" type="noConversion"/>
  </si>
  <si>
    <t>분기 150*125 / 2P</t>
    <phoneticPr fontId="2" type="noConversion"/>
  </si>
  <si>
    <t>안산 200A 4P 난방-삼천리</t>
    <phoneticPr fontId="2" type="noConversion"/>
  </si>
  <si>
    <t>JD-00712-01</t>
    <phoneticPr fontId="2" type="noConversion"/>
  </si>
  <si>
    <t>200 / 4P</t>
    <phoneticPr fontId="2" type="noConversion"/>
  </si>
  <si>
    <t>여수 1650x1200 1P 재차단</t>
    <phoneticPr fontId="2" type="noConversion"/>
  </si>
  <si>
    <t>SD-01033-01</t>
    <phoneticPr fontId="2" type="noConversion"/>
  </si>
  <si>
    <t>1650 / 1P</t>
    <phoneticPr fontId="2" type="noConversion"/>
  </si>
  <si>
    <t>한국수자원공사</t>
    <phoneticPr fontId="2" type="noConversion"/>
  </si>
  <si>
    <t>극동건설</t>
    <phoneticPr fontId="2" type="noConversion"/>
  </si>
  <si>
    <t>김포 900A 1P 난방</t>
    <phoneticPr fontId="2" type="noConversion"/>
  </si>
  <si>
    <t>안양 750Ax150 2P 분기티 N-&gt;풀보강</t>
    <phoneticPr fontId="2" type="noConversion"/>
  </si>
  <si>
    <t>분기 750*150 / 2P</t>
    <phoneticPr fontId="2" type="noConversion"/>
  </si>
  <si>
    <t>GS파워 안양</t>
    <phoneticPr fontId="2" type="noConversion"/>
  </si>
  <si>
    <t>2024년 안양지역 신규고객 열수송관공사</t>
    <phoneticPr fontId="2" type="noConversion"/>
  </si>
  <si>
    <t>아전이엔씨</t>
    <phoneticPr fontId="2" type="noConversion"/>
  </si>
  <si>
    <t>JD-00738-01</t>
    <phoneticPr fontId="2" type="noConversion"/>
  </si>
  <si>
    <t>세진이엔이</t>
    <phoneticPr fontId="2" type="noConversion"/>
  </si>
  <si>
    <t>주식회사 태영기업</t>
    <phoneticPr fontId="2" type="noConversion"/>
  </si>
  <si>
    <t>김포DH 배관개선공사</t>
    <phoneticPr fontId="2" type="noConversion"/>
  </si>
  <si>
    <t>SD-01056-01</t>
    <phoneticPr fontId="2" type="noConversion"/>
  </si>
  <si>
    <t>800 / 2P</t>
    <phoneticPr fontId="2" type="noConversion"/>
  </si>
  <si>
    <t>대산 650A 1P (후렌지700A)</t>
    <phoneticPr fontId="2" type="noConversion"/>
  </si>
  <si>
    <t>SD-01048-01</t>
    <phoneticPr fontId="2" type="noConversion"/>
  </si>
  <si>
    <t>광명 1200Ax850 2P</t>
    <phoneticPr fontId="2" type="noConversion"/>
  </si>
  <si>
    <t>광명 1200Ax1100 2P 천공(제)</t>
    <phoneticPr fontId="2" type="noConversion"/>
  </si>
  <si>
    <t>SD-01052-01</t>
    <phoneticPr fontId="2" type="noConversion"/>
  </si>
  <si>
    <t>SD-01052-02</t>
    <phoneticPr fontId="2" type="noConversion"/>
  </si>
  <si>
    <t>1200 / 2P</t>
    <phoneticPr fontId="2" type="noConversion"/>
  </si>
  <si>
    <t>1200*1100 / 2P</t>
    <phoneticPr fontId="2" type="noConversion"/>
  </si>
  <si>
    <t>정진건설</t>
    <phoneticPr fontId="2" type="noConversion"/>
  </si>
  <si>
    <t>광명~서울 고속도로 민간투자사업(제1공구) 공공지장물(광명시 상수관로) 이설공사</t>
    <phoneticPr fontId="2" type="noConversion"/>
  </si>
  <si>
    <t>JD-00722-01</t>
    <phoneticPr fontId="2" type="noConversion"/>
  </si>
  <si>
    <t>안양 350Ax250 2P 분기티</t>
    <phoneticPr fontId="2" type="noConversion"/>
  </si>
  <si>
    <t>분기 350*250 / 2P</t>
    <phoneticPr fontId="2" type="noConversion"/>
  </si>
  <si>
    <t>고령 800Ax600 1P 주철 긴급 /150A 1P천공</t>
    <phoneticPr fontId="2" type="noConversion"/>
  </si>
  <si>
    <t>보령 1500Ax100 1P Neck(제)천공</t>
    <phoneticPr fontId="2" type="noConversion"/>
  </si>
  <si>
    <t>1500*100 / 1P</t>
    <phoneticPr fontId="2" type="noConversion"/>
  </si>
  <si>
    <t>K-water tech</t>
    <phoneticPr fontId="2" type="noConversion"/>
  </si>
  <si>
    <t>매리-양산간 도로건설공사 중 공업용수관로 이설공사</t>
    <phoneticPr fontId="2" type="noConversion"/>
  </si>
  <si>
    <t>케이알산업</t>
    <phoneticPr fontId="2" type="noConversion"/>
  </si>
  <si>
    <t>시티건설현장</t>
    <phoneticPr fontId="2" type="noConversion"/>
  </si>
  <si>
    <t>평택대보건설현장</t>
    <phoneticPr fontId="2" type="noConversion"/>
  </si>
  <si>
    <t>핫태핑 장비임대</t>
    <phoneticPr fontId="2" type="noConversion"/>
  </si>
  <si>
    <t>고철(TOP Nipple 2*300,000원)</t>
    <phoneticPr fontId="2" type="noConversion"/>
  </si>
  <si>
    <t>임대료 (임대비용19종86톤)</t>
    <phoneticPr fontId="2" type="noConversion"/>
  </si>
  <si>
    <t>밸브설치비용(안계댐안정화사업현장)</t>
    <phoneticPr fontId="2" type="noConversion"/>
  </si>
  <si>
    <t>천안 1100Ax850 4P 반패드 피팅(D-D)</t>
    <phoneticPr fontId="2" type="noConversion"/>
  </si>
  <si>
    <t>SD-01062-01</t>
    <phoneticPr fontId="2" type="noConversion"/>
  </si>
  <si>
    <t>1100 / 4P</t>
    <phoneticPr fontId="2" type="noConversion"/>
  </si>
  <si>
    <t>천안시</t>
    <phoneticPr fontId="2" type="noConversion"/>
  </si>
  <si>
    <t>수도건설</t>
    <phoneticPr fontId="2" type="noConversion"/>
  </si>
  <si>
    <t>대풍오더</t>
    <phoneticPr fontId="2" type="noConversion"/>
  </si>
  <si>
    <t>창원 900Ax600 1P</t>
    <phoneticPr fontId="2" type="noConversion"/>
  </si>
  <si>
    <t>SD-01055-01</t>
    <phoneticPr fontId="2" type="noConversion"/>
  </si>
  <si>
    <t>형제</t>
    <phoneticPr fontId="2" type="noConversion"/>
  </si>
  <si>
    <t>광양 1650Ax1100 1P 천공(KSD 3578 F15)</t>
    <phoneticPr fontId="2" type="noConversion"/>
  </si>
  <si>
    <t>SD-01054-01</t>
    <phoneticPr fontId="2" type="noConversion"/>
  </si>
  <si>
    <t>1650*1100 / 1P</t>
    <phoneticPr fontId="2" type="noConversion"/>
  </si>
  <si>
    <t>주영개발</t>
    <phoneticPr fontId="2" type="noConversion"/>
  </si>
  <si>
    <t>시흥 300Ax125 2P 분기티</t>
    <phoneticPr fontId="2" type="noConversion"/>
  </si>
  <si>
    <t>JD-00690-01</t>
    <phoneticPr fontId="2" type="noConversion"/>
  </si>
  <si>
    <t>분기 300*125 / 2P</t>
    <phoneticPr fontId="2" type="noConversion"/>
  </si>
  <si>
    <t>GS파워</t>
    <phoneticPr fontId="2" type="noConversion"/>
  </si>
  <si>
    <t>화성 250A 4P 난방</t>
    <phoneticPr fontId="2" type="noConversion"/>
  </si>
  <si>
    <t>수원 100A 1P 난방 긴급</t>
    <phoneticPr fontId="2" type="noConversion"/>
  </si>
  <si>
    <t>JD-00746-01</t>
    <phoneticPr fontId="2" type="noConversion"/>
  </si>
  <si>
    <t>JD-00752-02</t>
    <phoneticPr fontId="2" type="noConversion"/>
  </si>
  <si>
    <t>한국지역난방공사 화성</t>
    <phoneticPr fontId="2" type="noConversion"/>
  </si>
  <si>
    <t>한국지역난방공사 수원</t>
    <phoneticPr fontId="2" type="noConversion"/>
  </si>
  <si>
    <t>창림플랜트</t>
    <phoneticPr fontId="2" type="noConversion"/>
  </si>
  <si>
    <t>2024년 열수송관 천공 및 차단공사(2권역)</t>
    <phoneticPr fontId="2" type="noConversion"/>
  </si>
  <si>
    <t>인천공항 600A 2P 송유</t>
    <phoneticPr fontId="2" type="noConversion"/>
  </si>
  <si>
    <t>YD-00033-01</t>
    <phoneticPr fontId="2" type="noConversion"/>
  </si>
  <si>
    <t>JD-00747-01</t>
    <phoneticPr fontId="2" type="noConversion"/>
  </si>
  <si>
    <t>안양 300Ax125 2P 분기티</t>
    <phoneticPr fontId="2" type="noConversion"/>
  </si>
  <si>
    <t>분기 300*125 / 2P</t>
    <phoneticPr fontId="2" type="noConversion"/>
  </si>
  <si>
    <t>SD-01053-01</t>
    <phoneticPr fontId="2" type="noConversion"/>
  </si>
  <si>
    <t>광양 2000Ax1100 1P 천공(KSD 3578 F15)</t>
    <phoneticPr fontId="2" type="noConversion"/>
  </si>
  <si>
    <t>2000*1100 / 1P</t>
    <phoneticPr fontId="2" type="noConversion"/>
  </si>
  <si>
    <t>JD-00739-01</t>
    <phoneticPr fontId="2" type="noConversion"/>
  </si>
  <si>
    <t>보온 추가비용 발생</t>
    <phoneticPr fontId="2" type="noConversion"/>
  </si>
  <si>
    <t>SD-01061-01</t>
    <phoneticPr fontId="2" type="noConversion"/>
  </si>
  <si>
    <t>2370만-&gt;2100만-&gt;1700만 사장님 최종 네고 확인 24.10.08</t>
    <phoneticPr fontId="2" type="noConversion"/>
  </si>
  <si>
    <t>안양 800Ax200 2P 분기티</t>
    <phoneticPr fontId="2" type="noConversion"/>
  </si>
  <si>
    <t>JD-00753-01</t>
    <phoneticPr fontId="2" type="noConversion"/>
  </si>
  <si>
    <t>분기 800*200 / 2P</t>
    <phoneticPr fontId="2" type="noConversion"/>
  </si>
  <si>
    <t>화성 300A 4P 난방</t>
    <phoneticPr fontId="2" type="noConversion"/>
  </si>
  <si>
    <t>JD-00754-01</t>
    <phoneticPr fontId="2" type="noConversion"/>
  </si>
  <si>
    <t>수원 250A 2P 난방</t>
    <phoneticPr fontId="2" type="noConversion"/>
  </si>
  <si>
    <t>JD-00755-01</t>
    <phoneticPr fontId="2" type="noConversion"/>
  </si>
  <si>
    <t>미강기업</t>
    <phoneticPr fontId="2" type="noConversion"/>
  </si>
  <si>
    <t>부천 150Ax65 2P 분기티 풀패드</t>
    <phoneticPr fontId="2" type="noConversion"/>
  </si>
  <si>
    <t>JD-00740-01</t>
    <phoneticPr fontId="2" type="noConversion"/>
  </si>
  <si>
    <t>분기 150*65 / 2P</t>
    <phoneticPr fontId="2" type="noConversion"/>
  </si>
  <si>
    <t>JD-00749-01</t>
    <phoneticPr fontId="2" type="noConversion"/>
  </si>
  <si>
    <t>2024년 부천지역 신규고객 열수송관공사</t>
    <phoneticPr fontId="2" type="noConversion"/>
  </si>
  <si>
    <t>풍림산업</t>
    <phoneticPr fontId="2" type="noConversion"/>
  </si>
  <si>
    <t>평택 1000Ax600 2P 분기티-삼천리</t>
    <phoneticPr fontId="2" type="noConversion"/>
  </si>
  <si>
    <t>JD-00732-01</t>
    <phoneticPr fontId="2" type="noConversion"/>
  </si>
  <si>
    <t>분기 1000*600 / 2P</t>
    <phoneticPr fontId="2" type="noConversion"/>
  </si>
  <si>
    <t>평택에너지서비스</t>
    <phoneticPr fontId="2" type="noConversion"/>
  </si>
  <si>
    <t>삼천리이엔지</t>
    <phoneticPr fontId="2" type="noConversion"/>
  </si>
  <si>
    <t>화양지구 연계 열수송관공사</t>
    <phoneticPr fontId="2" type="noConversion"/>
  </si>
  <si>
    <t>SD-01013-01</t>
    <phoneticPr fontId="2" type="noConversion"/>
  </si>
  <si>
    <t>대산 1100Ax850 1P</t>
    <phoneticPr fontId="2" type="noConversion"/>
  </si>
  <si>
    <t>물</t>
    <phoneticPr fontId="2" type="noConversion"/>
  </si>
  <si>
    <t>1100*850</t>
    <phoneticPr fontId="2" type="noConversion"/>
  </si>
  <si>
    <t>한화토탈</t>
    <phoneticPr fontId="2" type="noConversion"/>
  </si>
  <si>
    <t>대양이엔지</t>
    <phoneticPr fontId="2" type="noConversion"/>
  </si>
  <si>
    <t>한화토탈內 물라인 부단수 차단공사</t>
    <phoneticPr fontId="2" type="noConversion"/>
  </si>
  <si>
    <t>JD-00756-01</t>
    <phoneticPr fontId="2" type="noConversion"/>
  </si>
  <si>
    <t>인천 200A 2P 난방</t>
    <phoneticPr fontId="2" type="noConversion"/>
  </si>
  <si>
    <t>200 / 2P</t>
    <phoneticPr fontId="2" type="noConversion"/>
  </si>
  <si>
    <t>인천공항에너지</t>
    <phoneticPr fontId="2" type="noConversion"/>
  </si>
  <si>
    <t>24년 열수송관 무단수공사 단가계약 입찰공고</t>
    <phoneticPr fontId="2" type="noConversion"/>
  </si>
  <si>
    <t>JD-00757-01</t>
    <phoneticPr fontId="2" type="noConversion"/>
  </si>
  <si>
    <t>수원 700A 4P</t>
    <phoneticPr fontId="2" type="noConversion"/>
  </si>
  <si>
    <t>한국지역난방공사 수원</t>
    <phoneticPr fontId="2" type="noConversion"/>
  </si>
  <si>
    <t>창원 1350Ax900 2P</t>
    <phoneticPr fontId="2" type="noConversion"/>
  </si>
  <si>
    <t>남양주 700Ax500 2P Neck</t>
    <phoneticPr fontId="2" type="noConversion"/>
  </si>
  <si>
    <t>SD-01064-01</t>
    <phoneticPr fontId="2" type="noConversion"/>
  </si>
  <si>
    <t>700 / 2P</t>
    <phoneticPr fontId="2" type="noConversion"/>
  </si>
  <si>
    <t>관수산업</t>
    <phoneticPr fontId="2" type="noConversion"/>
  </si>
  <si>
    <t>수원 200A 4P</t>
    <phoneticPr fontId="2" type="noConversion"/>
  </si>
  <si>
    <t>JD-00760-01</t>
    <phoneticPr fontId="2" type="noConversion"/>
  </si>
  <si>
    <t>창원 1350Ax600 2P Neck</t>
    <phoneticPr fontId="2" type="noConversion"/>
  </si>
  <si>
    <t>SD-01037-01</t>
    <phoneticPr fontId="2" type="noConversion"/>
  </si>
  <si>
    <t>SD-01037-02</t>
    <phoneticPr fontId="2" type="noConversion"/>
  </si>
  <si>
    <t>1350 / 2P</t>
    <phoneticPr fontId="2" type="noConversion"/>
  </si>
  <si>
    <t>1350*600 / 2P</t>
    <phoneticPr fontId="2" type="noConversion"/>
  </si>
  <si>
    <t>제일건설</t>
    <phoneticPr fontId="2" type="noConversion"/>
  </si>
  <si>
    <t>경상남도</t>
    <phoneticPr fontId="2" type="noConversion"/>
  </si>
  <si>
    <r>
      <t>봉강~무안간 도로 확</t>
    </r>
    <r>
      <rPr>
        <sz val="9"/>
        <color theme="1"/>
        <rFont val="맑은 고딕"/>
        <family val="3"/>
        <charset val="128"/>
        <scheme val="minor"/>
      </rPr>
      <t>・</t>
    </r>
    <r>
      <rPr>
        <sz val="9"/>
        <color theme="1"/>
        <rFont val="맑은 고딕"/>
        <family val="3"/>
        <charset val="129"/>
        <scheme val="minor"/>
      </rPr>
      <t>포장공사</t>
    </r>
    <phoneticPr fontId="2" type="noConversion"/>
  </si>
  <si>
    <t>기발행건 취소진행</t>
    <phoneticPr fontId="2" type="noConversion"/>
  </si>
  <si>
    <t>창원 1100Ax850 2P PC관</t>
    <phoneticPr fontId="2" type="noConversion"/>
  </si>
  <si>
    <t>창원 1100Ax600 2P PC관(가배관플러깅)</t>
    <phoneticPr fontId="2" type="noConversion"/>
  </si>
  <si>
    <t>SD-01009-01</t>
    <phoneticPr fontId="2" type="noConversion"/>
  </si>
  <si>
    <t>SD-01010-01</t>
    <phoneticPr fontId="2" type="noConversion"/>
  </si>
  <si>
    <t>PC관</t>
    <phoneticPr fontId="2" type="noConversion"/>
  </si>
  <si>
    <t>1100*850 / 2P</t>
    <phoneticPr fontId="2" type="noConversion"/>
  </si>
  <si>
    <t>1100*600 / 2P</t>
    <phoneticPr fontId="2" type="noConversion"/>
  </si>
  <si>
    <t>여수 1500Ax1200 1P 천공(제)</t>
    <phoneticPr fontId="2" type="noConversion"/>
  </si>
  <si>
    <t>SD-01064-01</t>
    <phoneticPr fontId="2" type="noConversion"/>
  </si>
  <si>
    <t>1500*1200</t>
    <phoneticPr fontId="2" type="noConversion"/>
  </si>
  <si>
    <t>여수 1500Ax1500 1P 천공(제)</t>
    <phoneticPr fontId="2" type="noConversion"/>
  </si>
  <si>
    <t>SD-01063-01</t>
    <phoneticPr fontId="2" type="noConversion"/>
  </si>
  <si>
    <t>1500*1500</t>
    <phoneticPr fontId="2" type="noConversion"/>
  </si>
  <si>
    <t>부천 500Ax200 2P 분기티 풀패드</t>
    <phoneticPr fontId="2" type="noConversion"/>
  </si>
  <si>
    <t>JD-00741-01</t>
    <phoneticPr fontId="2" type="noConversion"/>
  </si>
  <si>
    <t>JD-00759-01</t>
    <phoneticPr fontId="2" type="noConversion"/>
  </si>
  <si>
    <t>한국지역난방공사 동탄</t>
    <phoneticPr fontId="2" type="noConversion"/>
  </si>
  <si>
    <t>미강기업</t>
    <phoneticPr fontId="2" type="noConversion"/>
  </si>
  <si>
    <r>
      <t>동탄 450A 2P 난방</t>
    </r>
    <r>
      <rPr>
        <sz val="9"/>
        <color rgb="FFFF0000"/>
        <rFont val="맑은 고딕"/>
        <family val="3"/>
        <charset val="129"/>
        <scheme val="minor"/>
      </rPr>
      <t>(야간)</t>
    </r>
    <phoneticPr fontId="2" type="noConversion"/>
  </si>
  <si>
    <t>수원 250A 2P 난방</t>
    <phoneticPr fontId="2" type="noConversion"/>
  </si>
  <si>
    <t>JD-00768-01</t>
    <phoneticPr fontId="2" type="noConversion"/>
  </si>
  <si>
    <t>휴세스</t>
    <phoneticPr fontId="2" type="noConversion"/>
  </si>
  <si>
    <t>삼천리이엔지</t>
    <phoneticPr fontId="2" type="noConversion"/>
  </si>
  <si>
    <t>250 / 2P</t>
    <phoneticPr fontId="2" type="noConversion"/>
  </si>
  <si>
    <t>고양 550A 2P 난방</t>
    <phoneticPr fontId="2" type="noConversion"/>
  </si>
  <si>
    <t>한국지역난방공사 고양</t>
    <phoneticPr fontId="2" type="noConversion"/>
  </si>
  <si>
    <t>GS네오텍</t>
    <phoneticPr fontId="2" type="noConversion"/>
  </si>
  <si>
    <t>고양 500A 2P 난방</t>
    <phoneticPr fontId="2" type="noConversion"/>
  </si>
  <si>
    <t>고양 150A 2P 난방</t>
    <phoneticPr fontId="2" type="noConversion"/>
  </si>
  <si>
    <t>JD-00766-01</t>
    <phoneticPr fontId="2" type="noConversion"/>
  </si>
  <si>
    <t>JD-00767-01</t>
    <phoneticPr fontId="2" type="noConversion"/>
  </si>
  <si>
    <t>화성 400A 4P 난방</t>
    <phoneticPr fontId="2" type="noConversion"/>
  </si>
  <si>
    <t>JD-00761-01</t>
    <phoneticPr fontId="2" type="noConversion"/>
  </si>
  <si>
    <t>JD-00758-01</t>
    <phoneticPr fontId="2" type="noConversion"/>
  </si>
  <si>
    <t>한국지역난방공사 화성</t>
    <phoneticPr fontId="2" type="noConversion"/>
  </si>
  <si>
    <t>수원 300A 2P 난방</t>
    <phoneticPr fontId="2" type="noConversion"/>
  </si>
  <si>
    <t>JD-00764-01</t>
    <phoneticPr fontId="2" type="noConversion"/>
  </si>
  <si>
    <t>청주 200A 송유 1P</t>
    <phoneticPr fontId="2" type="noConversion"/>
  </si>
  <si>
    <t>국방시설본부</t>
    <phoneticPr fontId="2" type="noConversion"/>
  </si>
  <si>
    <t>17비행단</t>
    <phoneticPr fontId="2" type="noConversion"/>
  </si>
  <si>
    <t>JD-00765-01</t>
    <phoneticPr fontId="2" type="noConversion"/>
  </si>
  <si>
    <t>한국지역난방공사 중앙</t>
    <phoneticPr fontId="2" type="noConversion"/>
  </si>
  <si>
    <t>중앙 400A 2P 난방</t>
    <phoneticPr fontId="2" type="noConversion"/>
  </si>
  <si>
    <t>고양 450A 2P 난방</t>
    <phoneticPr fontId="2" type="noConversion"/>
  </si>
  <si>
    <t>JD-00773-01</t>
    <phoneticPr fontId="2" type="noConversion"/>
  </si>
  <si>
    <t>나라이엔씨</t>
    <phoneticPr fontId="2" type="noConversion"/>
  </si>
  <si>
    <t>안양 450A 4P 난방</t>
    <phoneticPr fontId="2" type="noConversion"/>
  </si>
  <si>
    <t>JD-00733-01</t>
    <phoneticPr fontId="2" type="noConversion"/>
  </si>
  <si>
    <t>450 / 4P</t>
    <phoneticPr fontId="2" type="noConversion"/>
  </si>
  <si>
    <t>홍성 400A 2P 주철</t>
    <phoneticPr fontId="2" type="noConversion"/>
  </si>
  <si>
    <t>400 / 2P</t>
    <phoneticPr fontId="2" type="noConversion"/>
  </si>
  <si>
    <t>YD-00036-01</t>
    <phoneticPr fontId="2" type="noConversion"/>
  </si>
  <si>
    <t>고양 250A 4P 난방</t>
    <phoneticPr fontId="2" type="noConversion"/>
  </si>
  <si>
    <t>JD-00772-01</t>
    <phoneticPr fontId="2" type="noConversion"/>
  </si>
  <si>
    <t>9월11일 입금완료</t>
    <phoneticPr fontId="2" type="noConversion"/>
  </si>
  <si>
    <t>분기 400*300 / 2P</t>
    <phoneticPr fontId="2" type="noConversion"/>
  </si>
  <si>
    <t>서울 1100Ax850 2P</t>
    <phoneticPr fontId="2" type="noConversion"/>
  </si>
  <si>
    <t>1100 / 2P</t>
    <phoneticPr fontId="2" type="noConversion"/>
  </si>
  <si>
    <t>서울시 동대문구</t>
    <phoneticPr fontId="2" type="noConversion"/>
  </si>
  <si>
    <t>부경이엔씨</t>
    <phoneticPr fontId="2" type="noConversion"/>
  </si>
  <si>
    <t>정릉천유지용수공급관로 공사</t>
    <phoneticPr fontId="2" type="noConversion"/>
  </si>
  <si>
    <t>11월29일 입금완료</t>
    <phoneticPr fontId="2" type="noConversion"/>
  </si>
  <si>
    <t>평택~오송 2복선화 제5공구 건설공사 중 광역상수도 이설공사</t>
    <phoneticPr fontId="2" type="noConversion"/>
  </si>
  <si>
    <t>기성금</t>
    <phoneticPr fontId="2" type="noConversion"/>
  </si>
  <si>
    <t>국가철도공단</t>
    <phoneticPr fontId="2" type="noConversion"/>
  </si>
  <si>
    <t>쌍용건설</t>
    <phoneticPr fontId="2" type="noConversion"/>
  </si>
  <si>
    <t>1</t>
    <phoneticPr fontId="2" type="noConversion"/>
  </si>
  <si>
    <t>수원 150A 2P 난방</t>
    <phoneticPr fontId="2" type="noConversion"/>
  </si>
  <si>
    <t>JD-00775-01</t>
    <phoneticPr fontId="2" type="noConversion"/>
  </si>
  <si>
    <t>부천 150Ax80 2P 분기티 풀패드</t>
    <phoneticPr fontId="2" type="noConversion"/>
  </si>
  <si>
    <t>SD-01036-01</t>
    <phoneticPr fontId="2" type="noConversion"/>
  </si>
  <si>
    <t>JD-00745-01</t>
    <phoneticPr fontId="2" type="noConversion"/>
  </si>
  <si>
    <t>분기 150*80 / 2P</t>
    <phoneticPr fontId="2" type="noConversion"/>
  </si>
  <si>
    <t>GS파워 부천</t>
    <phoneticPr fontId="2" type="noConversion"/>
  </si>
  <si>
    <t>창림플랜트</t>
    <phoneticPr fontId="2" type="noConversion"/>
  </si>
  <si>
    <t>고양 700A 4P 난방</t>
    <phoneticPr fontId="2" type="noConversion"/>
  </si>
  <si>
    <t>한국지역난방공사 고양</t>
    <phoneticPr fontId="2" type="noConversion"/>
  </si>
  <si>
    <t>풍림산업</t>
    <phoneticPr fontId="2" type="noConversion"/>
  </si>
  <si>
    <t>디엘이엔씨</t>
    <phoneticPr fontId="2" type="noConversion"/>
  </si>
  <si>
    <t>수원 700A 4P 난방</t>
    <phoneticPr fontId="2" type="noConversion"/>
  </si>
  <si>
    <t>13</t>
    <phoneticPr fontId="2" type="noConversion"/>
  </si>
  <si>
    <t>부단수 중압차단</t>
    <phoneticPr fontId="2" type="noConversion"/>
  </si>
  <si>
    <t>업체측 잘못으로? 사장님과 협의하여 계산서 발행하는거임 , 이 내용에 대해 삼천리측에서도 아는 사람 몇없음.</t>
    <phoneticPr fontId="2" type="noConversion"/>
  </si>
  <si>
    <t>잔금70%(E&amp;C)</t>
    <phoneticPr fontId="2" type="noConversion"/>
  </si>
  <si>
    <t>JD-00762-01</t>
    <phoneticPr fontId="2" type="noConversion"/>
  </si>
  <si>
    <t>안양 400Ax300 2P 분기티 풀패드</t>
    <phoneticPr fontId="2" type="noConversion"/>
  </si>
  <si>
    <t>JD-00769-01</t>
    <phoneticPr fontId="2" type="noConversion"/>
  </si>
  <si>
    <t>SD-01057-01</t>
    <phoneticPr fontId="2" type="noConversion"/>
  </si>
  <si>
    <t>화성 600A 4P 난방</t>
    <phoneticPr fontId="2" type="noConversion"/>
  </si>
  <si>
    <t>JD-00779-01</t>
    <phoneticPr fontId="2" type="noConversion"/>
  </si>
  <si>
    <t>동탄 200A 2P 난방</t>
    <phoneticPr fontId="2" type="noConversion"/>
  </si>
  <si>
    <t>한국지역난방공사 동탄</t>
    <phoneticPr fontId="2" type="noConversion"/>
  </si>
  <si>
    <t>화성 400A 4P 난방</t>
    <phoneticPr fontId="2" type="noConversion"/>
  </si>
  <si>
    <t>미수금탭 포함</t>
    <phoneticPr fontId="2" type="noConversion"/>
  </si>
  <si>
    <r>
      <t>3-2차기성(24.09.10)</t>
    </r>
    <r>
      <rPr>
        <sz val="9"/>
        <color rgb="FFFF0000"/>
        <rFont val="맑은 고딕"/>
        <family val="3"/>
        <charset val="129"/>
        <scheme val="minor"/>
      </rPr>
      <t>ENC</t>
    </r>
    <phoneticPr fontId="2" type="noConversion"/>
  </si>
  <si>
    <t>대보건설(갈음처리)</t>
    <phoneticPr fontId="2" type="noConversion"/>
  </si>
  <si>
    <r>
      <t>3차 기성(24.07.01)</t>
    </r>
    <r>
      <rPr>
        <sz val="9"/>
        <color rgb="FFFF0000"/>
        <rFont val="맑은 고딕"/>
        <family val="3"/>
        <charset val="129"/>
        <scheme val="minor"/>
      </rPr>
      <t>ENC</t>
    </r>
    <phoneticPr fontId="2" type="noConversion"/>
  </si>
  <si>
    <r>
      <t>4차기성(24.08.31)</t>
    </r>
    <r>
      <rPr>
        <sz val="9"/>
        <color rgb="FFFF0000"/>
        <rFont val="맑은 고딕"/>
        <family val="3"/>
        <charset val="129"/>
        <scheme val="minor"/>
      </rPr>
      <t>ENC</t>
    </r>
    <phoneticPr fontId="2" type="noConversion"/>
  </si>
  <si>
    <r>
      <t>5차 기성(24.11.29)</t>
    </r>
    <r>
      <rPr>
        <sz val="9"/>
        <color rgb="FFFF0000"/>
        <rFont val="맑은 고딕"/>
        <family val="3"/>
        <charset val="129"/>
        <scheme val="minor"/>
      </rPr>
      <t>ENC</t>
    </r>
    <phoneticPr fontId="2" type="noConversion"/>
  </si>
  <si>
    <t>중앙 800A 4P 난방 TOR2P 추가</t>
    <phoneticPr fontId="2" type="noConversion"/>
  </si>
  <si>
    <t>계약 금액(2024년 2권역, 직접공사비 기준, 제경비 별도)</t>
    <phoneticPr fontId="2" type="noConversion"/>
  </si>
  <si>
    <t>계약금액 대비 기성 예정 금액 비율</t>
    <phoneticPr fontId="2" type="noConversion"/>
  </si>
  <si>
    <t>25년 예정 총 금액(직접공사비 기준, 제경비 별도)</t>
    <phoneticPr fontId="2" type="noConversion"/>
  </si>
  <si>
    <t>JD-00782-01</t>
    <phoneticPr fontId="2" type="noConversion"/>
  </si>
  <si>
    <t>JD-00780-01</t>
    <phoneticPr fontId="2" type="noConversion"/>
  </si>
  <si>
    <t>JD-00777-01</t>
    <phoneticPr fontId="2" type="noConversion"/>
  </si>
  <si>
    <t>JD-00774-01</t>
    <phoneticPr fontId="2" type="noConversion"/>
  </si>
  <si>
    <t>JD-00783-01</t>
    <phoneticPr fontId="2" type="noConversion"/>
  </si>
  <si>
    <t>JD-00785-01</t>
    <phoneticPr fontId="2" type="noConversion"/>
  </si>
  <si>
    <t>아산 250A 2P 난방</t>
    <phoneticPr fontId="2" type="noConversion"/>
  </si>
  <si>
    <t>아산 125A 2P 난방</t>
    <phoneticPr fontId="2" type="noConversion"/>
  </si>
  <si>
    <t>LH</t>
    <phoneticPr fontId="2" type="noConversion"/>
  </si>
  <si>
    <t>아이윌건설</t>
    <phoneticPr fontId="2" type="noConversion"/>
  </si>
  <si>
    <t>250 / 2P</t>
    <phoneticPr fontId="2" type="noConversion"/>
  </si>
  <si>
    <t>125 / 2P</t>
    <phoneticPr fontId="2" type="noConversion"/>
  </si>
  <si>
    <t>2024년도 아산배방 탕정지구 열수송관 인입공사 및 유지관리 공사</t>
    <phoneticPr fontId="2" type="noConversion"/>
  </si>
  <si>
    <t>JD-00786-01</t>
    <phoneticPr fontId="2" type="noConversion"/>
  </si>
  <si>
    <t>500 / 2P</t>
    <phoneticPr fontId="2" type="noConversion"/>
  </si>
  <si>
    <t>수원 700A 4P 난방</t>
    <phoneticPr fontId="2" type="noConversion"/>
  </si>
  <si>
    <t>JD-00770-01</t>
    <phoneticPr fontId="2" type="noConversion"/>
  </si>
  <si>
    <t>당진 50A 2P</t>
    <phoneticPr fontId="2" type="noConversion"/>
  </si>
  <si>
    <t>1차기성</t>
    <phoneticPr fontId="2" type="noConversion"/>
  </si>
  <si>
    <r>
      <t>6차 기성(24.12.24)</t>
    </r>
    <r>
      <rPr>
        <sz val="9"/>
        <color rgb="FFFF0000"/>
        <rFont val="맑은 고딕"/>
        <family val="3"/>
        <charset val="129"/>
        <scheme val="minor"/>
      </rPr>
      <t>ENC</t>
    </r>
    <phoneticPr fontId="2" type="noConversion"/>
  </si>
  <si>
    <t>남양주1200Ax850 2P</t>
    <phoneticPr fontId="2" type="noConversion"/>
  </si>
  <si>
    <t>SD-01073-01</t>
    <phoneticPr fontId="2" type="noConversion"/>
  </si>
  <si>
    <t>1200 / 2P</t>
    <phoneticPr fontId="2" type="noConversion"/>
  </si>
  <si>
    <t>JD-00776-01</t>
    <phoneticPr fontId="2" type="noConversion"/>
  </si>
  <si>
    <t>인천 500Ax400 2P Neck긴급</t>
    <phoneticPr fontId="2" type="noConversion"/>
  </si>
  <si>
    <t>SD-01078-01</t>
    <phoneticPr fontId="2" type="noConversion"/>
  </si>
  <si>
    <t>인천시 상수도사업본부</t>
    <phoneticPr fontId="2" type="noConversion"/>
  </si>
  <si>
    <t>아산 500A 4P 난방</t>
    <phoneticPr fontId="2" type="noConversion"/>
  </si>
  <si>
    <t>대전1650Ax1200 2P</t>
    <phoneticPr fontId="2" type="noConversion"/>
  </si>
  <si>
    <t>대전1650Ax1200 2P Neck 플러깅</t>
    <phoneticPr fontId="2" type="noConversion"/>
  </si>
  <si>
    <t>SD-01069-01</t>
    <phoneticPr fontId="2" type="noConversion"/>
  </si>
  <si>
    <t>SD-01069-02</t>
    <phoneticPr fontId="2" type="noConversion"/>
  </si>
  <si>
    <t>1650 / 2P</t>
    <phoneticPr fontId="2" type="noConversion"/>
  </si>
  <si>
    <t>1650*1200 / 2P</t>
    <phoneticPr fontId="2" type="noConversion"/>
  </si>
  <si>
    <t>성산산업개발</t>
    <phoneticPr fontId="2" type="noConversion"/>
  </si>
  <si>
    <t>대전시/용덕건설</t>
    <phoneticPr fontId="2" type="noConversion"/>
  </si>
  <si>
    <t>대전광역시 상수도 고도정수처리시설 3단계 설치공사</t>
    <phoneticPr fontId="2" type="noConversion"/>
  </si>
  <si>
    <t>중앙 600A 2P 난방</t>
    <phoneticPr fontId="2" type="noConversion"/>
  </si>
  <si>
    <t>JD-00778-01</t>
    <phoneticPr fontId="2" type="noConversion"/>
  </si>
  <si>
    <t>천안 400Ax350 2P 주철</t>
    <phoneticPr fontId="2" type="noConversion"/>
  </si>
  <si>
    <t>천안 200A 2P 주철</t>
    <phoneticPr fontId="2" type="noConversion"/>
  </si>
  <si>
    <t>SD-01079-01</t>
    <phoneticPr fontId="2" type="noConversion"/>
  </si>
  <si>
    <t>400 / 2P</t>
    <phoneticPr fontId="2" type="noConversion"/>
  </si>
  <si>
    <t>200 / 2P</t>
    <phoneticPr fontId="2" type="noConversion"/>
  </si>
  <si>
    <t>천안시</t>
    <phoneticPr fontId="2" type="noConversion"/>
  </si>
  <si>
    <t>신명종합건설</t>
    <phoneticPr fontId="2" type="noConversion"/>
  </si>
  <si>
    <t>천안북부 BIT일반산업단지 용수공급시설 건설공사</t>
    <phoneticPr fontId="2" type="noConversion"/>
  </si>
  <si>
    <t>중앙 125A 4P 난방</t>
    <phoneticPr fontId="2" type="noConversion"/>
  </si>
  <si>
    <t>JD-00790-01</t>
    <phoneticPr fontId="2" type="noConversion"/>
  </si>
  <si>
    <t>SD-01079-01</t>
    <phoneticPr fontId="2" type="noConversion"/>
  </si>
  <si>
    <t>파주 900Ax600 2P 주철관</t>
    <phoneticPr fontId="2" type="noConversion"/>
  </si>
  <si>
    <t>한국수자원공사 고양</t>
    <phoneticPr fontId="2" type="noConversion"/>
  </si>
  <si>
    <t>대방건설 / 청원건설</t>
    <phoneticPr fontId="2" type="noConversion"/>
  </si>
  <si>
    <t>창원 1350Ax900 2P PC관</t>
    <phoneticPr fontId="2" type="noConversion"/>
  </si>
  <si>
    <t>창원 1350Ax900 2P PC관</t>
    <phoneticPr fontId="2" type="noConversion"/>
  </si>
  <si>
    <t>SD-01039-01</t>
    <phoneticPr fontId="2" type="noConversion"/>
  </si>
  <si>
    <t>PC관</t>
    <phoneticPr fontId="2" type="noConversion"/>
  </si>
  <si>
    <t>1350 / 2P</t>
    <phoneticPr fontId="2" type="noConversion"/>
  </si>
  <si>
    <t>\\Dhcmain\(주)대호스토퍼\0영업사항(견적서)\AA지역별 견적현황\2020년\충청남도\대청III5공구-수공,동부건설\기성-2020.10</t>
  </si>
  <si>
    <t>\\Dhcmain\(주)대호스토퍼\0영업사항(견적서)\AA지역별 견적현황\2020년\충청남도\대청III(2공구)-수공,동부건설\계약</t>
  </si>
  <si>
    <t>\\Dhcmain\(주)대호스토퍼\0영업사항(견적서)\AA지역별 견적현황\2021년\충청북도\충주댐계통-수자원공사,계룡,동부,한신\2공구(1500A)-계룡건설</t>
  </si>
  <si>
    <t>\\Dhcmain\(주)대호스토퍼\0영업사항(견적서)\AA지역별 견적현황\2021년\충청남도\대청III5공구-수공,동부건설</t>
  </si>
  <si>
    <t>\\Dhcmain\(주)대호스토퍼\0영업사항(견적서)\AA지역별 견적현황\2021년\송유관\인천국제공항-문화지엔코,세보엠이씨\문화지엔코</t>
  </si>
  <si>
    <t>\\Dhcmain\(주)대호스토퍼\0영업사항(견적서)\AA지역별 견적현황\2021년\충청남도\보령현대화(1200A, 300A)-수공, 건화</t>
  </si>
  <si>
    <t>\\Dhcmain\(주)대호스토퍼\0영업사항(견적서)\AA지역별 견적현황\2021년\지역난방\GS파워\2021년 무차단공사 입찰</t>
  </si>
  <si>
    <t>\\Dhcmain\(주)대호스토퍼\0영업사항(견적서)\AA지역별 견적현황\2021년\지역난방\GS파워\500Ax8P, 150Ax12P-GS네오텍(21.06.02)</t>
  </si>
  <si>
    <t>\\Dhcmain\(주)대호스토퍼\0영업사항(견적서)\AA지역별 견적현황\2021년\경기북부\파주(350A~900A)-파주시,대방건설</t>
  </si>
  <si>
    <t>\\Dhcmain\(주)대호스토퍼\0영업사항(견적서)\AA지역별 견적현황\2021년\경상남도\함안(600A, 주철)-수공,함안군,새천년종합건설</t>
  </si>
  <si>
    <t>\\Dhcmain\(주)대호스토퍼\0영업사항(견적서)\AA지역별 견적현황\2021년\경상남도\창원(800Ax1P, 강관)-수자원기술</t>
  </si>
  <si>
    <t>\\Dhcmain\(주)대호스토퍼\0영업사항(견적서)\AA지역별 견적현황\2021년\경기북부\고양(450A, 900A 천공, 강관)-고양시, (주)동명건설</t>
  </si>
  <si>
    <t>\\Dhcmain\(주)대호스토퍼\0영업사항(견적서)\AA지역별 견적현황\2021년\충청북도\청주(1650Ax1200A천공)-수공,SK하이닉스,신양건설</t>
  </si>
  <si>
    <t>\\Dhcmain\(주)대호스토퍼\0영업사항(견적서)\AA지역별 견적현황\2021년\지역난방\한국지역난방공사\2021년 열수송관 천공 및 차단공사(1권역)</t>
  </si>
  <si>
    <t>\\Dhcmain\(주)대호스토퍼\0영업사항(견적서)\AA지역별 견적현황\2021년\경상북도\포항(1350Ax700A, 700Ax1P)-수공, 그린개발</t>
  </si>
  <si>
    <t>\\Dhcmain\(주)대호스토퍼\0영업사항(견적서)\AA지역별 견적현황\2021년\경기남서부\안산(500A, 600A, 주철)-안산시,신광기업사, 한두건설</t>
  </si>
  <si>
    <t>\\Dhcmain\(주)대호스토퍼\0영업사항(견적서)\AA지역별 견적현황\2021년\도시가스\포항(600Ax1P)-태광-21.07.13</t>
  </si>
  <si>
    <t>\\Dhcmain\(주)대호스토퍼\0영업사항(견적서)\AA지역별 견적현황\2021년\지역난방\GS파워\승재공영\125Ax65A 분기티천공-210915</t>
  </si>
  <si>
    <t>\\Dhcmain\(주)대호스토퍼\0영업사항(견적서)\AA지역별 견적현황\2021년\강원도\동해(1000AxD,강관)-수공, 동일건설, 세명건설</t>
  </si>
  <si>
    <t>\\Dhcmain\(주)대호스토퍼\0영업사항(견적서)\AA지역별 견적현황\2022년\경상북도\포항공업용수도2차(1350A PC관 외)-수공,화인종합건설\</t>
  </si>
  <si>
    <t>\\Dhcmain\(주)대호스토퍼\0영업사항(견적서)\AA지역별 견적현황\2021년\지역난방\안산도시개발\안산(700A,800A)-삼천리</t>
  </si>
  <si>
    <t>\\Dhcmain\(주)대호스토퍼\0영업사항(견적서)\AA지역별 견적현황\2021년\충청북도\충주(이천~문경, 200A~1350A)-한국철도시설공단,현대건설,대성기공</t>
  </si>
  <si>
    <t>\\Dhcmain\(주)대호스토퍼\0영업사항(견적서)\AA지역별 견적현황\2021년\경상북도\영천댐 안전성강화사업(900A, 강관)-삼부토건</t>
  </si>
  <si>
    <t>\\Dhcmain\(주)대호스토퍼\0영업사항(견적서)\AA지역별 견적현황\2021년\경기남서부\인천 검단 반석건설 강관700</t>
  </si>
  <si>
    <t>\\Dhcmain\(주)대호스토퍼\0영업사항(견적서)\AA지역별 견적현황\2021년\충청북도\충주댐계통-수자원공사,계룡,동부,한신\4공구(1000A,1100A)-한신공영</t>
  </si>
  <si>
    <t>\\Dhcmain\(주)대호스토퍼\0영업사항(견적서)\AA지역별 견적현황\2021년\기타\인천국제공항(가스 125A,100A)-광장EMC, 태광PST</t>
  </si>
  <si>
    <t>\\Dhcmain\(주)대호스토퍼\0영업사항(견적서)\AA지역별 견적현황\2020년\경상남도\울산(2200Ax1500A)-수공,하나기술단,해광건설</t>
  </si>
  <si>
    <t>\\Dhcmain\(주)대호스토퍼\0영업사항(견적서)\AA지역별 견적현황\2021년\충청남도\천안~아산(1500A공업용수)-수공,대우건설</t>
  </si>
  <si>
    <t>\\Dhcmain\(주)대호스토퍼\0영업사항(견적서)\AA지역별 견적현황\2021년\지역난방\GS파워\승재공영\300Ax150Ax2P 분기티천공-211112</t>
  </si>
  <si>
    <t>\\Dhcmain\(주)대호스토퍼\0영업사항(견적서)\AA지역별 견적현황\2021년\경기남서부\경기서남권 4단계 밸브교체공사(2200A)-수공경기서남권, 한영ENG</t>
  </si>
  <si>
    <t>\\Dhcmain\(주)대호스토퍼\0영업사항(견적서)\AA지역별 견적현황\2021년\충청남도\부여(강 400x400, 주300x300)-수공 충남중부권, 경도</t>
  </si>
  <si>
    <t>\\Dhcmain\(주)대호스토퍼\0영업사항(견적서)\AA지역별 견적현황\2021년\경기남동부\수지정수장(1800Ax1650A 천공 외)-수공,대저건설</t>
  </si>
  <si>
    <t>\\Dhcmain\(주)대호스토퍼\0영업사항(견적서)\AA지역별 견적현황\2021년\지역난방\양주(750Ax16P)-대륜발전,유피이엔지,승재공영,광장이엠씨\아전이엔씨</t>
  </si>
  <si>
    <t>\\Dhcmain\(주)대호스토퍼\0영업사항(견적서)\AA지역별 견적현황\2021년\송유관\의왕(200x50 TOR천공)-남양진흥기업</t>
  </si>
  <si>
    <t>\\Dhcmain\(주)대호스토퍼\0영업사항(견적서)\AA지역별 견적현황\2022년\지역난방\서울에너지공사\서울에너지공사 동부지사\서울에너지공사 동부지사 구상에너지</t>
  </si>
  <si>
    <t>\\Dhcmain\(주)대호스토퍼\0영업사항(견적서)\AA지역별 견적현황\2021년\전라북도\전주 새만금~(350A,700A.주철)-수공전주권,아태건설</t>
  </si>
  <si>
    <t>\\Dhcmain\(주)대호스토퍼\0영업사항(견적서)\AA지역별 견적현황\2021년\경상남도\창원공업용수도-수공,삼부토건\기성</t>
  </si>
  <si>
    <t>\\Dhcmain\(주)대호스토퍼\0영업사항(견적서)\AA지역별 견적현황\2021년\전라남도\광양공업용수도(450A, 1650A)-수공여수권, 남경중공업(450A),동남종합건설(1650A)\(고흥)남계어울마당 450AxD-D-고흥군,경성건설</t>
  </si>
  <si>
    <t>\\Dhcmain\(주)대호스토퍼\0영업사항(견적서)\AA지역별 견적현황\2021년\경기남서부\김포(1800x450, 주철800x450)-서부발전소, 에스와이이앤씨</t>
  </si>
  <si>
    <t>\\Dhcmain\(주)대호스토퍼\0영업사항(견적서)\AA지역별 견적현황\2022년\충청북도\충주댐계통-수자원공사,계룡,동부,한신\4공구(1000A,1100A)-한신공영</t>
  </si>
  <si>
    <t>\\Dhcmain\(주)대호스토퍼\0영업사항(견적서)\AA지역별 견적현황\2021년\전라남도\광양공업용수도(450A, 1650A)-수공여수권, 남경중공업(450A),동남종합건설(1650A)\광양공업용수도 수관교이설 1650Ax1P-동남종합건설,와텍</t>
  </si>
  <si>
    <t>\\Dhcmain\(주)대호스토퍼\0영업사항(견적서)\AA지역별 견적현황\2022년\경기남동부\평택(강관 900A 1P 긴급)-수기주</t>
  </si>
  <si>
    <t>\\Dhcmain\(주)대호스토퍼\0영업사항(견적서)\AA지역별 견적현황\2022년\전라남도\고흥(주철 450A, 긴급)-수자원, 수기주</t>
  </si>
  <si>
    <t>\\Dhcmain\(주)대호스토퍼\0영업사항(견적서)\AA지역별 견적현황\2022년\전라남도\장흥(250A,300A.주철)-수공,서영엔지니어링,큰빛종합건설</t>
  </si>
  <si>
    <t>\\Dhcmain\(주)대호스토퍼\0영업사항(견적서)\AA지역별 견적현황\2022년\전라남도\광주(1800A,1200A 외)-광주시,류영욱,두원정공,다비전산업개발</t>
  </si>
  <si>
    <t>\\Dhcmain\(주)대호스토퍼\0영업사항(견적서)\AA지역별 견적현황\2022년\경기남동부\안성~구리 고속도로 12공구(2000A,2200A)-도로공사,고려개발</t>
  </si>
  <si>
    <t>\\Dhcmain\(주)대호스토퍼\0영업사항(견적서)\AA지역별 견적현황\2022년\경기북부\파주(1200A 긴급)-수공, 가가건설</t>
  </si>
  <si>
    <t>\\Dhcmain\(주)대호스토퍼\0영업사항(견적서)\AA지역별 견적현황\2022년\송유관\울산 S-Oil\울산 S-Oil 크루드오일(1050Ax2P)-2021.03</t>
  </si>
  <si>
    <t>\\Dhcmain\(주)대호스토퍼\0영업사항(견적서)\AA지역별 견적현황\2022년\지역난방\GS파워\2021년 무차단공사 입찰</t>
  </si>
  <si>
    <t>\\Dhcmain\(주)대호스토퍼\0영업사항(견적서)\AA지역별 견적현황\2022년\경상남도\울산 범서IC(2000A, PC관, 강관)-한국도로공사,도원,세영종합건설</t>
  </si>
  <si>
    <t>\\Dhcmain\(주)대호스토퍼\0영업사항(견적서)\AA지역별 견적현황\2022년\충청북도\충주댐계통-수자원공사,계룡,동부,한신\3공구(1350A,1500A)-동부건설</t>
  </si>
  <si>
    <t>\\Dhcmain\(주)대호스토퍼\0영업사항(견적서)\AA지역별 견적현황\2022년\지역난방\GS파워\2021년 부천지역 신규고객 열수송관공사\승재공영</t>
  </si>
  <si>
    <t>\\Dhcmain\(주)대호스토퍼\0영업사항(견적서)\AA지역별 견적현황\2022년\지역난방\GS파워\시흥목감(450Ax8P)-에이치플러스에코</t>
  </si>
  <si>
    <t>\\Dhcmain\(주)대호스토퍼\0영업사항(견적서)\AA지역별 견적현황\2022년\경상남도\창원 동읍~봉강(1200A,1500A)-수공,경남,동부,BK eng,극동eng</t>
  </si>
  <si>
    <t>\\Dhcmain\(주)대호스토퍼\0영업사항(견적서)\AA지역별 견적현황\2022년\경기남동부\용인수지정수장(900A, 강관)-대저건설</t>
  </si>
  <si>
    <t>\\Dhcmain\(주)대호스토퍼\0영업사항(견적서)\AA지역별 견적현황\2022년\전라북도\부안 직소천~(400A,900A)-수공, 세원이엔, 지강</t>
  </si>
  <si>
    <t>\\Dhcmain\(주)대호스토퍼\0영업사항(견적서)\AA지역별 견적현황\2022년\경기남동부\성남복정지구(1350A)-LH,대림건설,대화이앤씨</t>
  </si>
  <si>
    <t>\\Dhcmain\(주)대호스토퍼\0영업사항(견적서)\AA지역별 견적현황\2022년\송유관\인천국제공항\브니엘네이처</t>
  </si>
  <si>
    <t>\\Dhcmain\(주)대호스토퍼\0영업사항(견적서)\AA지역별 견적현황\2022년\경상북도\고령(주철 800, 400)-고령권지사, 한주엔지니어링</t>
  </si>
  <si>
    <t>\\Dhcmain\(주)대호스토퍼\0영업사항(견적서)\AA지역별 견적현황\2022년\전라남도\광양1단계(광양구간 2000, 1650 차단 外)-수공, 와텍</t>
  </si>
  <si>
    <t>\\Dhcmain\(주)대호스토퍼\0영업사항(견적서)\AA지역별 견적현황\2022년\지역난방\삼천리이엔지</t>
  </si>
  <si>
    <t>\\Dhcmain\(주)대호스토퍼\0영업사항(견적서)\AA지역별 견적현황\2022년\경기남서부\안산(500A, 600A, 주철)-안산시,신광기업사, 한두건설\22.07.05</t>
  </si>
  <si>
    <t>\\Dhcmain\(주)대호스토퍼\0영업사항(견적서)\AA지역별 견적현황\2023년\지역난방\GS네오텍\인천 및 김포 수용가 인입 열수송관공사 중 분기TEE천공 공사-220922</t>
  </si>
  <si>
    <t>\\Dhcmain\(주)대호스토퍼\0영업사항(견적서)\AA지역별 견적현황\2022년\지역난방\LH\실행\계약 22.07.12 (아전이엔씨)</t>
  </si>
  <si>
    <t>\\Dhcmain\(주)대호스토퍼\0영업사항(견적서)\AA지역별 견적현황\2022년\지역난방\대전열병합</t>
  </si>
  <si>
    <t>\\Dhcmain\(주)대호스토퍼\0영업사항(견적서)\AA지역별 견적현황\2022년\기타\대산 LG화학</t>
  </si>
  <si>
    <t>\\Dhcmain\(주)대호스토퍼\0영업사항(견적서)\AA지역별 견적현황\2022년\경상북도\고령(강관 800A)-수자원공사, 동우건설</t>
  </si>
  <si>
    <t>\\Dhcmain\(주)대호스토퍼\0영업사항(견적서)\AA지역별 견적현황\2022년\경상남도\경주(강관 900x200 천공)-경주시, 유앤드림</t>
  </si>
  <si>
    <t>\\Dhcmain\(주)대호스토퍼\0영업사항(견적서)\AA지역별 견적현황\2022년\충청남도\서산(강관 800x600, 1100x800)- 규광,와텍</t>
  </si>
  <si>
    <t>\\Dhcmain\(주)대호스토퍼\0영업사항(견적서)\AA지역별 견적현황\2022년\지역난방\GS파워\굴포천하천 정비사업중 열배관 부단수차단 600A 4공(지성엔지니어링)</t>
  </si>
  <si>
    <t>\\Dhcmain\(주)대호스토퍼\0영업사항(견적서)\AA지역별 견적현황\2022년\전라북도\장수군(주철 350A 外, 특허협약)-수공 동화권지사</t>
  </si>
  <si>
    <t>\\Dhcmain\(주)대호스토퍼\0영업사항(견적서)\AA지역별 견적현황\2022년\지역난방\한국지역난방공사\2022년 열수송관 천공 및 차단공사(2권역)</t>
  </si>
  <si>
    <t>\\Dhcmain\(주)대호스토퍼\0영업사항(견적서)\AA지역별 견적현황\2022년\경기북부\포천(700A,600A)성진종합건설</t>
  </si>
  <si>
    <t>\\Dhcmain\(주)대호스토퍼\0영업사항(견적서)\AA지역별 견적현황\2022년\경기남서부\안양(1200A, 강관)-안양시,웰시티</t>
  </si>
  <si>
    <t>\\Dhcmain\(주)대호스토퍼\0영업사항(견적서)\AA지역별 견적현황\2022년\경기남서부\안양(800A, 주철관)-세광건설</t>
  </si>
  <si>
    <t>\\Dhcmain\(주)대호스토퍼\0영업사항(견적서)\AA지역별 견적현황\2022년\송유관\인천(600A)-SK인천석유화학</t>
  </si>
  <si>
    <t>\\Dhcmain\(주)대호스토퍼\0영업사항(견적서)\AA지역별 견적현황\2022년\전라남도\여수(1200x250)-수공</t>
  </si>
  <si>
    <t>\\Dhcmain\(주)대호스토퍼\0영업사항(견적서)\AA지역별 견적현황\2022년\경기남서부\시흥(1200A 외)-수공,극동건설, 청수(호연토건)</t>
  </si>
  <si>
    <t>\\Dhcmain\(주)대호스토퍼\0영업사항(견적서)\AA지역별 견적현황\2022년\충청남도\아산(1100A 1Set 피팅 납품건)-수기주, 실비</t>
  </si>
  <si>
    <t>\\Dhcmain\(주)대호스토퍼\0영업사항(견적서)\AA지역별 견적현황\2022년\지역난방\한국지역난방공사\분당사업소\2022.10.24-열배관 1000x500, 800x500</t>
  </si>
  <si>
    <t>\\Dhcmain\(주)대호스토퍼\0영업사항(견적서)\AA지역별 견적현황\2022년\지역난방\서울에너지공사\650Ax2P(22.11)-동부지사</t>
  </si>
  <si>
    <t>\\Dhcmain\(주)대호스토퍼\0영업사항(견적서)\AA지역별 견적현황\2022년\경상남도\부산(주철 400x1P)-부산시상수도사업본부, 핫라인</t>
  </si>
  <si>
    <t>\\Dhcmain\(주)대호스토퍼\0영업사항(견적서)\AA지역별 견적현황\2022년\경기남동부\이천 대포배수지(900A4P주철)기연건설</t>
  </si>
  <si>
    <t>\\Dhcmain\(주)대호스토퍼\0영업사항(견적서)\AA지역별 견적현황\2022년\경상남도\창원(주철 500A, 500x300)-대득건설</t>
  </si>
  <si>
    <t>\\Dhcmain\(주)대호스토퍼\0영업사항(견적서)\AA지역별 견적현황\2022년\충청남도\서산(1350, 700)-수공, 수기주</t>
  </si>
  <si>
    <t>\\Dhcmain\(주)대호스토퍼\0영업사항(견적서)\AA지역별 견적현황\2022년\경상남도\창원(주철 600A, 양단)-수공, 홍수건설</t>
  </si>
  <si>
    <t>\\Dhcmain\(주)대호스토퍼\0영업사항(견적서)\AA지역별 견적현황\2022년\경상남도\울산(언플러깅 차단 1350A)-울산시, 우경</t>
  </si>
  <si>
    <t>\\Dhcmain\(주)대호스토퍼\0영업사항(견적서)\AA지역별 견적현황\2022년\전라북도\익산(주철 600A)-수공</t>
  </si>
  <si>
    <t>\\Dhcmain\(주)대호스토퍼\0영업사항(견적서)\AA지역별 견적현황\2022년\충청북도\청주(주철관 800A)-한국환경공단, 유진건설</t>
  </si>
  <si>
    <t>\\Dhcmain\(주)대호스토퍼\0영업사항(견적서)\AA지역별 견적현황\2023년\경상남도\창원공업용수도-수공,삼부토건</t>
  </si>
  <si>
    <t>\\Dhcmain\(주)대호스토퍼\0영업사항(견적서)\AA지역별 견적현황\2022년\경상북도\대구(1650x1P 긴급 야간)-대구시상수도사업본부</t>
  </si>
  <si>
    <t>\\Dhcmain\(주)대호스토퍼\0영업사항(견적서)\AA지역별 견적현황\2023년\전라남도\광양1단계(광양구간 2000, 1650 차단 外)-수공, 와텍</t>
  </si>
  <si>
    <t>\\Dhcmain\(주)대호스토퍼\0영업사항(견적서)\AA지역별 견적현황\2023년\경상북도\경산(강관 1500外 차단, 천공 포함) 경산정수장, 경산시, 핫라인</t>
  </si>
  <si>
    <t>\\Dhcmain\(주)대호스토퍼\0영업사항(견적서)\AA지역별 견적현황\2023년\지역난방\서울에너지공사\구상에너지 단가</t>
  </si>
  <si>
    <t>\\Dhcmain\(주)대호스토퍼\0영업사항(견적서)\AA지역별 견적현황\2023년\경기남서부\안산 한두건설\23.01.27-주철 350A 긴급건</t>
  </si>
  <si>
    <t>\\Dhcmain\(주)대호스토퍼\0영업사항(견적서)\AA지역별 견적현황\2023년\경기남동부\수지정수장(1800Ax1650A 천공 외)-수공,대저건설</t>
  </si>
  <si>
    <t>\\Dhcmain\(주)대호스토퍼\0영업사항(견적서)\AA지역별 견적현황\2023년\지역난방\서울에너지공사\2022.12.13-450, 300 아이윌건설</t>
  </si>
  <si>
    <t>\\Dhcmain\(주)대호스토퍼\0영업사항(견적서)\AA지역별 견적현황\2022년\제주도\제주수자원(700,600)</t>
  </si>
  <si>
    <t>\\Dhcmain\(주)대호스토퍼\0영업사항(견적서)\AA지역별 견적현황\2023년\기타\일산동구 sk브로드밴드 데이터센터D300mm SUS관</t>
  </si>
  <si>
    <t>\\Dhcmain\(주)대호스토퍼\0영업사항(견적서)\AA지역별 견적현황\2022년\경상남도\마산(주철 900A 2P)-창원시, 주선건설</t>
  </si>
  <si>
    <t>\\Dhcmain\(주)대호스토퍼\0영업사항(견적서)\AA지역별 견적현황\2023년\경기북부\파주(350A~900A)-파주시,대방건설</t>
  </si>
  <si>
    <t>\\Dhcmain\(주)대호스토퍼\0영업사항(견적서)\AA지역별 견적현황\2023년\경상북도\포항공업용수도2차(1350A PC관 외)-수공,화인종합건설</t>
  </si>
  <si>
    <t>\\Dhcmain\(주)대호스토퍼\0영업사항(견적서)\AA지역별 견적현황\2023년\전라북도\군산,전주(1100, 900 각1P 강관)-수공, 삼부토건</t>
  </si>
  <si>
    <t>\\Dhcmain\(주)대호스토퍼\0영업사항(견적서)\AA지역별 견적현황\2023년\지역난방\대전 씨엔씨티에너지</t>
  </si>
  <si>
    <t>\\Dhcmain\(주)대호스토퍼\0영업사항(견적서)\AA지역별 견적현황\2023년\전라북도\익산(D600 1P)-수공</t>
  </si>
  <si>
    <t>\\Dhcmain\(주)대호스토퍼\0영업사항(견적서)\AA지역별 견적현황\2023년\송유관\GS칼텍스(여수, 750, 900)-대양이엔지</t>
  </si>
  <si>
    <t>\\Dhcmain\(주)대호스토퍼\0영업사항(견적서)\AA지역별 견적현황\2023년\강원도\정선 신동정수장(강관 300)-정선군, 호황건설</t>
  </si>
  <si>
    <t>\\Dhcmain\(주)대호스토퍼\0영업사항(견적서)\AA지역별 견적현황\2023년\충청북도\충주(이천~문경, 200A~1350A)-한국철도시설공단,현대건설,대성기공</t>
  </si>
  <si>
    <t>\\Dhcmain\(주)대호스토퍼\0영업사항(견적서)\AA지역별 견적현황\2023년\기타\대산임해(강관 1350x600)-지에스건설</t>
  </si>
  <si>
    <t>\\Dhcmain\(주)대호스토퍼\0영업사항(견적서)\AA지역별 견적현황\2023년\충청북도\청주(2200x600 外 천공)-명지기술단</t>
  </si>
  <si>
    <t>\\Dhcmain\(주)대호스토퍼\0영업사항(견적서)\AA지역별 견적현황\2023년\경기북부\파주 월롱면 위전리(800 4P)-수공 파주수도지사</t>
  </si>
  <si>
    <t>\\Dhcmain\(주)대호스토퍼\0영업사항(견적서)\AA지역별 견적현황\2023년\경기북부\남양주 하남시 단가견적(설계가 50%)-관수산업</t>
  </si>
  <si>
    <t>\\Dhcmain\(주)대호스토퍼\0영업사항(견적서)\AA지역별 견적현황\2023년\경상남도\부산새벽건설(D2200)-극동건설</t>
  </si>
  <si>
    <t>\\Dhcmain\(주)대호스토퍼\0영업사항(견적서)\AA지역별 견적현황\2023년\송유관\문화지엔코</t>
  </si>
  <si>
    <t>\\Dhcmain\(주)대호스토퍼\0영업사항(견적서)\AA지역별 견적현황\2023년\경상남도\울산(울산공업용수도 노후관 개량공사(3차))-수자원공사</t>
  </si>
  <si>
    <t>\\Dhcmain\(주)대호스토퍼\0영업사항(견적서)\AA지역별 견적현황\2023년\경상북도\영천댐 안전성강화사업(900A, 강관)-삼부토건</t>
  </si>
  <si>
    <t>\\Dhcmain\(주)대호스토퍼\0영업사항(견적서)\AA지역별 견적현황\2023년\충청남도\대산 누수복구(D900)-케이워터기술</t>
  </si>
  <si>
    <t>\\Dhcmain\(주)대호스토퍼\0영업사항(견적서)\AA지역별 견적현황\2023년\지역난방\GS파워\2023년 안양 냉천지구(750A)-에스엔제이엔지니어링</t>
  </si>
  <si>
    <t>\\Dhcmain\(주)대호스토퍼\0영업사항(견적서)\AA지역별 견적현황\2023년\충청북도\충주(2200x300, 2200x350)-수공, 삼영기술</t>
  </si>
  <si>
    <t>\\Dhcmain\(주)대호스토퍼\0영업사항(견적서)\AA지역별 견적현황\2023년\경기북부\고양(1650A)-수공,한국종합기술,지센엔지니어링</t>
  </si>
  <si>
    <t>\\Dhcmain\(주)대호스토퍼\0영업사항(견적서)\AA지역별 견적현황\2022년\경기남서부\오산(900A, 강관)-수공, 명보P&amp;C, 오산세교</t>
  </si>
  <si>
    <t>\\Dhcmain\(주)대호스토퍼\0영업사항(견적서)\AA지역별 견적현황\2023년\지역난방\청라에너지\1100x900 gs네오텍 분기티</t>
  </si>
  <si>
    <t>\\Dhcmain\(주)대호스토퍼\0영업사항(견적서)\AA지역별 견적현황\2023년\경기남서부\시흥 은계 공공주택(1650x250)-LH, 계룡건설, 우령건설</t>
  </si>
  <si>
    <t>\\Dhcmain\(주)대호스토퍼\0영업사항(견적서)\AA지역별 견적현황\2023년\경기남동부\평택 지제세교지구(1200A,450A)-수공</t>
  </si>
  <si>
    <t>\\Dhcmain\(주)대호스토퍼\0영업사항(견적서)\AA지역별 견적현황\2023년\기타\현대제철 2000A 차단  - 23.03.10\백산테크</t>
  </si>
  <si>
    <t>\\Dhcmain\(주)대호스토퍼\0영업사항(견적서)\AA지역별 견적현황\2023년\충청북도\충주댐 앙성계통(주철 500Ax8P)-수공, 세종이엔씨</t>
  </si>
  <si>
    <t>\\Dhcmain\(주)대호스토퍼\0영업사항(견적서)\AA지역별 견적현황\2023년\지역난방\GS파워\★2023.6.8~15 입찰 4건</t>
  </si>
  <si>
    <t>\\Dhcmain\(주)대호스토퍼\0영업사항(견적서)\AA지역별 견적현황\2023년\지역난방\부산도시가스\드림나인(지성엔지니어링)</t>
  </si>
  <si>
    <t>\\Dhcmain\(주)대호스토퍼\0영업사항(견적서)\AA지역별 견적현황\2023년\전라북도\완주-전주권광역 대아댐(D1800)-수공 전주권지사</t>
  </si>
  <si>
    <t>\\Dhcmain\(주)대호스토퍼\0영업사항(견적서)\AA지역별 견적현황\2023년\지역난방\GS파워\2023년 부천지역 신규고객\실행-다림건설</t>
  </si>
  <si>
    <t>\\Dhcmain\(주)대호스토퍼\0영업사항(견적서)\AA지역별 견적현황\2023년\전라남도\강진~광주6공구(주철 600)-한국도로공사, 극동건설</t>
  </si>
  <si>
    <t>\\Dhcmain\(주)대호스토퍼\0영업사항(견적서)\AA지역별 견적현황\2023년\지역난방\GS파워</t>
  </si>
  <si>
    <t>\\Dhcmain\(주)대호스토퍼\0영업사항(견적서)\AA지역별 견적현황\2023년\경기북부\남양주(700A Neck 긴급공사)-쏘일테크엔지니어링</t>
  </si>
  <si>
    <t>\\Dhcmain\(주)대호스토퍼\0영업사항(견적서)\AA지역별 견적현황\2023년\경상북도\구미(강관 D800)-수공, 우수이앤씨</t>
  </si>
  <si>
    <t>\\Dhcmain\(주)대호스토퍼\0영업사항(견적서)\AA지역별 견적현황\2023년\경상북도\포항 안계댐(1350A)-수공,유신,극동건설\23년 천공견적</t>
  </si>
  <si>
    <t>\\Dhcmain\(주)대호스토퍼\0영업사항(견적서)\AA지역별 견적현황\2023년\경기남동부\평택~오산 국도확장공사(1350A 이설)-수공,서울지방국토관리청,효광eng\상산건설-23.04.05</t>
  </si>
  <si>
    <t>\\Dhcmain\(주)대호스토퍼\0영업사항(견적서)\AA지역별 견적현황\2023년\전라남도\광양1단계(광양구간 2000, 1650 차단 外)-수공, 와텍\KCC건설\추가건(1650x1P)-231116</t>
  </si>
  <si>
    <t>\\Dhcmain\(주)대호스토퍼\0영업사항(견적서)\AA지역별 견적현황\2024년\충청남도\아산(2000A,1200A)-수공,씨티건설, (주)강물</t>
  </si>
  <si>
    <t>\\Dhcmain\(주)대호스토퍼\0영업사항(견적서)\AA지역별 견적현황\2023년\경기남동부\평택호(900)-관보토건</t>
  </si>
  <si>
    <t>\\Dhcmain\(주)대호스토퍼\0영업사항(견적서)\AA지역별 견적현황\2023년\경기남서부\화성동탄(1350A)-수공,대진종합건설,건양건설</t>
  </si>
  <si>
    <t>\\Dhcmain\(주)대호스토퍼\0영업사항(견적서)\AA지역별 견적현황\2023년\전라남도\광양1단계(광양구간 2000, 1650 차단 外)-수공, 와텍\KCC건설</t>
  </si>
  <si>
    <t>\\Dhcmain\(주)대호스토퍼\0영업사항(견적서)\AA지역별 견적현황\2023년\경상남도\거제도(900x900)-수공,오득근</t>
  </si>
  <si>
    <t>\\Dhcmain\(주)대호스토퍼\0영업사항(견적서)\AA지역별 견적현황\2023년\충청남도\충남서부권 제2공구 태안-수공, 흥화</t>
  </si>
  <si>
    <t>\\Dhcmain\(주)대호스토퍼\0영업사항(견적서)\AA지역별 견적현황\2024년\지역난방\GS파워\아전이엔씨</t>
  </si>
  <si>
    <t>\\Dhcmain\(주)대호스토퍼\0영업사항(견적서)\AA지역별 견적현황\2024년\경기북부\파주 긴급(강관 600A)-수공, 경인수도건설</t>
  </si>
  <si>
    <t>\\Dhcmain\(주)대호스토퍼\0영업사항(견적서)\AA지역별 견적현황\2024년\서울시\목동교~도림천간 장기사용 송배수관~(1500A)-서울시 상수도사업본부</t>
  </si>
  <si>
    <t>\\Dhcmain\(주)대호스토퍼\0영업사항(견적서)\AA지역별 견적현황\2024년\강원도\정선 신동정수장(강관 300)-정선군, 호황건설</t>
  </si>
  <si>
    <t>\\Dhcmain\(주)대호스토퍼\0영업사항(견적서)\AA지역별 견적현황\2023년\충청남도\아산(강 900, 주철 600)-수공, 제이엠</t>
  </si>
  <si>
    <t>\\Dhcmain\(주)대호스토퍼\0영업사항(견적서)\AA지역별 견적현황\2024년\경상남도\김해 대동~매리간(주철 400x4P)-김해시, 새벽건설</t>
  </si>
  <si>
    <t>\\Dhcmain\(주)대호스토퍼\0영업사항(견적서)\AA지역별 견적현황\2024년\충청남도\충남서부권 제2공구 태안-수공, 흥화</t>
  </si>
  <si>
    <t>\\Dhcmain\(주)대호스토퍼\0영업사항(견적서)\AA지역별 견적현황\2023년\충청남도\아산(2000A,1200A)-수공,씨티건설, (주)강물</t>
  </si>
  <si>
    <t>\\Dhcmain\(주)대호스토퍼\0영업사항(견적서)\AA지역별 견적현황\2024년\지역난방\DS파워\분기티 500x250-대성물류산업</t>
  </si>
  <si>
    <t>\\Dhcmain\(주)대호스토퍼\0영업사항(견적서)\AA지역별 견적현황\2024년\제주도\제주수자원(600)</t>
  </si>
  <si>
    <t>\\Dhcmain\(주)대호스토퍼\0영업사항(견적서)\AA지역별 견적현황\2024년\전라북도\군산 공업용수도(1000A 재차단)-수공, 삼부토건</t>
  </si>
  <si>
    <t>\\Dhcmain\(주)대호스토퍼\0영업사항(견적서)\AA지역별 견적현황\2024년\경상북도\구미광역(2단계)김천계통(1구간) 추가건(D700)-수공</t>
  </si>
  <si>
    <t>\\Dhcmain\(주)대호스토퍼\0영업사항(견적서)\AA지역별 견적현황\2024년\지역난방\부산도시가스\분기티 천공(700x125, 250x200)-을묘종건</t>
  </si>
  <si>
    <t>\\Dhcmain\(주)대호스토퍼\0영업사항(견적서)\AA지역별 견적현황\2023년\경기남동부\광주-용인 공동취수장(1650x500, 1800x1500)</t>
  </si>
  <si>
    <t>\\Dhcmain\(주)대호스토퍼\0영업사항(견적서)\AA지역별 견적현황\2023년\지역난방\GS파워\계양지구(700Ax4P)-승재</t>
  </si>
  <si>
    <t>\\Dhcmain\(주)대호스토퍼\0영업사항(견적서)\AA지역별 견적현황\2024년\기타\현대제철\화성 1,2기 농안수 열교환기 밸브교체 공사(250A) 24.03.21</t>
  </si>
  <si>
    <t>\\Dhcmain\(주)대호스토퍼\0영업사항(견적서)\AA지역별 견적현황\2024년\지역난방\삼천리이엔지</t>
  </si>
  <si>
    <t>\\Dhcmain\(주)대호스토퍼\0영업사항(견적서)\AA지역별 견적현황\2024년\전라남도\여수 pc관 천공(900x600A 외)</t>
  </si>
  <si>
    <t>\\Dhcmain\(주)대호스토퍼\0영업사항(견적서)\AA지역별 견적현황\2024년\전라남도\여수 국가폐수(강관 500A)-한국환경공단, 건희건설</t>
  </si>
  <si>
    <t>\\Dhcmain\(주)대호스토퍼\0영업사항(견적서)\AA지역별 견적현황\2024년\지역난방\GS파워\안양 gs파워 내 900A 차단 후 재차단 공사\한은이엔씨</t>
  </si>
  <si>
    <t>\\Dhcmain\(주)대호스토퍼\0영업사항(견적서)\AA지역별 견적현황\2023년\기타\대전열병합(스팀 600A)</t>
  </si>
  <si>
    <t>\\Dhcmain\(주)대호스토퍼\0영업사항(견적서)\AA지역별 견적현황\2023년\기타\현대제철(Steam 350A 4P 外) - 두형엔지니어링</t>
  </si>
  <si>
    <t>\\Dhcmain\(주)대호스토퍼\0영업사항(견적서)\AA지역별 견적현황\2024년\충청남도\대전 중리취수장(2400x1P)-대전시, 태림환경</t>
  </si>
  <si>
    <t>\\Dhcmain\(주)대호스토퍼\0영업사항(견적서)\AA지역별 견적현황\2024년\충청북도\충주댐 증평(주철 700, 4P)-수공, 티에스케이</t>
  </si>
  <si>
    <t>\\Dhcmain\(주)대호스토퍼\0영업사항(견적서)\AA지역별 견적현황\2024년\지역난방\청라에너지\창고시설 신축공사 이설공사(350x4P)</t>
  </si>
  <si>
    <t>\\Dhcmain\(주)대호스토퍼\0영업사항(견적서)\AA지역별 견적현황\2023년\경상남도\창원 봉강~무안(1350A)-수공,경남,BK eng</t>
  </si>
  <si>
    <t>\\Dhcmain\(주)대호스토퍼\0영업사항(견적서)\AA지역별 견적현황\2023년\충청남도\아산(2000A,1200A)-수공,씨티건설, (주)강물\기성</t>
  </si>
  <si>
    <t>\\Dhcmain\(주)대호스토퍼\0영업사항(견적서)\AA지역별 견적현황\2023년\지역난방\GS파워\부천 GS파워 발전소내 배관이설공사 23.09</t>
  </si>
  <si>
    <t>\\Dhcmain\(주)대호스토퍼\0영업사항(견적서)\AA지역별 견적현황\2024년\기타\현대제철\대양이엔지</t>
  </si>
  <si>
    <t>\\Dhcmain\(주)대호스토퍼\0영업사항(견적서)\AA지역별 견적현황\2024년\지역난방\평택에너지서비스\신촌3BL(150A x 1P)-드림라인</t>
  </si>
  <si>
    <t>\\Dhcmain\(주)대호스토퍼\0영업사항(견적서)\AA지역별 견적현황\2024년\경상북도\구미 맨프랜지 천공공사 300x250</t>
  </si>
  <si>
    <t>\\Dhcmain\(주)대호스토퍼\0영업사항(견적서)\AA지역별 견적현황\2024년\지역난방\수완에너지\첨단3지구(450, 분기 300x100, 150x125)-수완에너지, 유피이엔지</t>
  </si>
  <si>
    <t>\\Dhcmain\(주)대호스토퍼\0영업사항(견적서)\AA지역별 견적현황\2023년\지역난방\인천종합에너지\23년 3차 열수송관공사(독배로)</t>
  </si>
  <si>
    <t>\\Dhcmain\(주)대호스토퍼\0영업사항(견적서)\AA지역별 견적현황\2024년\경기남서부\노온정수장 송수펌프 9호기 유출밸브 교체 공사</t>
  </si>
  <si>
    <t>\\Dhcmain\(주)대호스토퍼\0영업사항(견적서)\AA지역별 견적현황\2024년\송유관\인천국제공항\인천 공항 600A 차단공사(남구희)\계약서(600Ax2P)-2408</t>
  </si>
  <si>
    <t>\\Dhcmain\(주)대호스토퍼\0영업사항(견적서)\AA지역별 견적현황\2024년\지역난방\GS파워\3.2024년 안양지역 신규고객 열수송관공사</t>
  </si>
  <si>
    <t>\\Dhcmain\(주)대호스토퍼\0영업사항(견적서)\AA지역별 견적현황\2024년\지역난방\청라에너지\김포DH 배관개선공사\세진이엔이</t>
  </si>
  <si>
    <t>\\Dhcmain\(주)대호스토퍼\0영업사항(견적서)\AA지역별 견적현황\2024년\경상북도\고령(주철 800 1P 긴급)-수공, 수기주</t>
  </si>
  <si>
    <t>\\Dhcmain\(주)대호스토퍼\0영업사항(견적서)\AA지역별 견적현황\2022년\경기남서부\광명~서울 상수관로이설</t>
  </si>
  <si>
    <t>\\Dhcmain\(주)대호스토퍼\0영업사항(견적서)\AA지역별 견적현황\2024년\충청남도\홍성(1500x100)-수기주</t>
  </si>
  <si>
    <t>\\Dhcmain\(주)대호스토퍼\0영업사항(견적서)\AA지역별 견적현황\2024년\경상남도\창원 공업용수도(900Ax1P)-수공, 명보</t>
  </si>
  <si>
    <t>\\Dhcmain\(주)대호스토퍼\0영업사항(견적서)\AA지역별 견적현황\2024년\전라남도\광양 이사천 스탠드파이프(2000x1100, 1650x1100)-수공, 주형개발</t>
  </si>
  <si>
    <t>\\Dhcmain\(주)대호스토퍼\0영업사항(견적서)\AA지역별 견적현황\2023년\지역난방\GS파워\2023년 부천지역 신규고객</t>
  </si>
  <si>
    <t>\\Dhcmain\(주)대호스토퍼\0영업사항(견적서)\AA지역별 견적현황\2024년\지역난방\한국지역난방공사\2024년 열수송관 천공 및 차단공사(2권역)</t>
  </si>
  <si>
    <t>\\Dhcmain\(주)대호스토퍼\0영업사항(견적서)\AA지역별 견적현황\2024년\지역난방\GS파워\4.2024년 부천지역 신규고객 열수송관공사\실행</t>
  </si>
  <si>
    <t>\\Dhcmain\(주)대호스토퍼\0영업사항(견적서)\AA지역별 견적현황\2023년\지역난방\평택에너지서비스\화양지구(분기 1000x600)</t>
  </si>
  <si>
    <t>\\Dhcmain\(주)대호스토퍼\0영업사항(견적서)\AA지역별 견적현황\2024년\기타\대산 한화토탈 -대양이엔지(1100A)</t>
  </si>
  <si>
    <t>\\Dhcmain\(주)대호스토퍼\0영업사항(견적서)\AA지역별 견적현황\2024년\지역난방\인천공항에너지\24년 열수송관 무단수공사 단가계약 입찰공고</t>
  </si>
  <si>
    <t>\\Dhcmain\(주)대호스토퍼\0영업사항(견적서)\AA지역별 견적현황\2022년\충청북도\충주 공군17비행단(강관-송유관 200A,150A) - 국방시설본부,하이폴\17비행단 유영욱</t>
  </si>
  <si>
    <t>\\Dhcmain\(주)대호스토퍼\0영업사항(견적서)\AA지역별 견적현황\2022년\서울시\동대문 정릉천(1100A)-동대문구, 송영엔지니어링</t>
  </si>
  <si>
    <t>\\Dhcmain\(주)대호스토퍼\0영업사항(견적서)\AA지역별 견적현황\2024년\지역난방\대전충남지역본부 아산에너지사업단\아이윌건설</t>
  </si>
  <si>
    <t>\\Dhcmain\(주)대호스토퍼\0영업사항(견적서)\AA지역별 견적현황\2025년\경기남동부\남양주 긴급(1200Ax2P)-수공</t>
  </si>
  <si>
    <t>\\Dhcmain\(주)대호스토퍼\0영업사항(견적서)\AA지역별 견적현황\2025년\경기남서부\인천(500A 긴급 투입 건)-인천시상수도사업본부</t>
  </si>
  <si>
    <t>\\Dhcmain\(주)대호스토퍼\0영업사항(견적서)\AA지역별 견적현황\2023년\충청남도\대전 월평정수장(D2400,2000, 1650 등)-대전시, KCC건설</t>
  </si>
  <si>
    <t>\\Dhcmain\(주)대호스토퍼\0영업사항(견적서)\AA지역별 견적현황\2024년\충청남도\천안북부 BIT(주철 200, 400)-천안시, 신명종합건설</t>
  </si>
  <si>
    <t>천안 500Ax350 1P 주철 천공(제)</t>
    <phoneticPr fontId="2" type="noConversion"/>
  </si>
  <si>
    <t>SD-01081-01</t>
    <phoneticPr fontId="2" type="noConversion"/>
  </si>
  <si>
    <t>500*350</t>
    <phoneticPr fontId="2" type="noConversion"/>
  </si>
  <si>
    <t>중앙 TOR 2P</t>
    <phoneticPr fontId="2" type="noConversion"/>
  </si>
  <si>
    <t>JD-00792-01</t>
    <phoneticPr fontId="2" type="noConversion"/>
  </si>
  <si>
    <t>화성 700A 2P 난방</t>
    <phoneticPr fontId="2" type="noConversion"/>
  </si>
  <si>
    <t>JD-00794-01</t>
    <phoneticPr fontId="2" type="noConversion"/>
  </si>
  <si>
    <t>한국지역난방공사 화성</t>
    <phoneticPr fontId="2" type="noConversion"/>
  </si>
  <si>
    <t>창림플랜트</t>
    <phoneticPr fontId="2" type="noConversion"/>
  </si>
  <si>
    <t>중앙 400A 4P 난방</t>
    <phoneticPr fontId="2" type="noConversion"/>
  </si>
  <si>
    <t>JD-00796-01</t>
    <phoneticPr fontId="2" type="noConversion"/>
  </si>
  <si>
    <t>화성 125A 1P 난방</t>
    <phoneticPr fontId="2" type="noConversion"/>
  </si>
  <si>
    <t>JD-00795-01</t>
    <phoneticPr fontId="2" type="noConversion"/>
  </si>
  <si>
    <t>삼송 250A 2P 난방</t>
    <phoneticPr fontId="2" type="noConversion"/>
  </si>
  <si>
    <t>JD-00797-01</t>
    <phoneticPr fontId="2" type="noConversion"/>
  </si>
  <si>
    <t>대지에너텍</t>
    <phoneticPr fontId="2" type="noConversion"/>
  </si>
  <si>
    <t>수원 700A 1P 난방</t>
    <phoneticPr fontId="2" type="noConversion"/>
  </si>
  <si>
    <t>수원 200A 1P 난방</t>
    <phoneticPr fontId="2" type="noConversion"/>
  </si>
  <si>
    <t>JD-00799-01</t>
    <phoneticPr fontId="2" type="noConversion"/>
  </si>
  <si>
    <t>JD-00800-01</t>
    <phoneticPr fontId="2" type="noConversion"/>
  </si>
  <si>
    <t>청주 900Ax600 1P Neck피팅</t>
    <phoneticPr fontId="2" type="noConversion"/>
  </si>
  <si>
    <t>SD-01066-01</t>
    <phoneticPr fontId="2" type="noConversion"/>
  </si>
  <si>
    <t>900 / 1P</t>
    <phoneticPr fontId="2" type="noConversion"/>
  </si>
  <si>
    <t>보광코퍼레이션</t>
    <phoneticPr fontId="2" type="noConversion"/>
  </si>
  <si>
    <t>K-water</t>
    <phoneticPr fontId="2" type="noConversion"/>
  </si>
  <si>
    <t>\\Dhcmain\(주)대호스토퍼\0영업사항(견적서)\AA지역별 견적현황\2024년\충청북도\청주 정수장(900A 1p)</t>
    <phoneticPr fontId="2" type="noConversion"/>
  </si>
  <si>
    <t>15</t>
  </si>
  <si>
    <t>16</t>
  </si>
  <si>
    <t>17</t>
  </si>
  <si>
    <t>키스콘입력완</t>
    <phoneticPr fontId="2" type="noConversion"/>
  </si>
  <si>
    <t>업데이트날짜</t>
    <phoneticPr fontId="2" type="noConversion"/>
  </si>
  <si>
    <t>양산 2400Ax1650 4P</t>
    <phoneticPr fontId="2" type="noConversion"/>
  </si>
  <si>
    <t>양산 2400Ax1800 4PNeck(천공1650A)플러깅</t>
    <phoneticPr fontId="2" type="noConversion"/>
  </si>
  <si>
    <t>SD-01075-01</t>
    <phoneticPr fontId="2" type="noConversion"/>
  </si>
  <si>
    <t>2400 / 4P</t>
    <phoneticPr fontId="2" type="noConversion"/>
  </si>
  <si>
    <t>2400*1800 / 4P</t>
    <phoneticPr fontId="2" type="noConversion"/>
  </si>
  <si>
    <t>매리~양산간 도로건설공사내 광역상수도 관로이설공사</t>
    <phoneticPr fontId="2" type="noConversion"/>
  </si>
  <si>
    <t>\\Dhcmain\(주)대호스토퍼\0영업사항(견적서)\AA지역별 견적현황\2024년\경상남도\김해(매리~양산 2400A)-경상남도, KR건설, 도원</t>
    <phoneticPr fontId="2" type="noConversion"/>
  </si>
  <si>
    <t>경상남도</t>
    <phoneticPr fontId="2" type="noConversion"/>
  </si>
  <si>
    <t>KR산업/대호스토퍼</t>
    <phoneticPr fontId="2" type="noConversion"/>
  </si>
  <si>
    <t>여수 1650x1200 1P 재차단</t>
    <phoneticPr fontId="2" type="noConversion"/>
  </si>
  <si>
    <t>부천 900A 4P 난방</t>
    <phoneticPr fontId="2" type="noConversion"/>
  </si>
  <si>
    <t>JD-00696-01</t>
    <phoneticPr fontId="2" type="noConversion"/>
  </si>
  <si>
    <t>900 / 4P</t>
    <phoneticPr fontId="2" type="noConversion"/>
  </si>
  <si>
    <t>JD-00803-01</t>
    <phoneticPr fontId="2" type="noConversion"/>
  </si>
  <si>
    <t>600 / 2P</t>
    <phoneticPr fontId="2" type="noConversion"/>
  </si>
  <si>
    <t>대륜발전</t>
    <phoneticPr fontId="2" type="noConversion"/>
  </si>
  <si>
    <t>전남 250A 4P 난방</t>
    <phoneticPr fontId="2" type="noConversion"/>
  </si>
  <si>
    <t>JD-00801-01</t>
    <phoneticPr fontId="2" type="noConversion"/>
  </si>
  <si>
    <t>한국지역난방공사 광주전남</t>
    <phoneticPr fontId="2" type="noConversion"/>
  </si>
  <si>
    <t>광진기업</t>
    <phoneticPr fontId="2" type="noConversion"/>
  </si>
  <si>
    <t>청라 1100A 2P 난방</t>
    <phoneticPr fontId="2" type="noConversion"/>
  </si>
  <si>
    <t>JD-00729-01</t>
    <phoneticPr fontId="2" type="noConversion"/>
  </si>
  <si>
    <t>1100 / 2P</t>
    <phoneticPr fontId="2" type="noConversion"/>
  </si>
  <si>
    <t>대지에너텍</t>
    <phoneticPr fontId="2" type="noConversion"/>
  </si>
  <si>
    <t>\\Dhcmain\(주)대호스토퍼\0영업사항(견적서)\AA지역별 견적현황\2024년\지역난방\청라에너지\1100A, 800A(추가) 이설</t>
    <phoneticPr fontId="2" type="noConversion"/>
  </si>
  <si>
    <t>검단지구 집단에너지사업 열공급시설 건설공사</t>
    <phoneticPr fontId="2" type="noConversion"/>
  </si>
  <si>
    <t>SD-01067-01</t>
    <phoneticPr fontId="2" type="noConversion"/>
  </si>
  <si>
    <t>파주 800Ax800 1P 천공(제)</t>
    <phoneticPr fontId="2" type="noConversion"/>
  </si>
  <si>
    <t>SD-01067-03</t>
    <phoneticPr fontId="2" type="noConversion"/>
  </si>
  <si>
    <t>800*800 / 1P</t>
    <phoneticPr fontId="2" type="noConversion"/>
  </si>
  <si>
    <t>청원건설</t>
    <phoneticPr fontId="2" type="noConversion"/>
  </si>
  <si>
    <t>파주운정3지구 택지개발사업 조성공사(2,5공구) 및 파주시도1호선(출판단지~삽다리) 확.포장공사</t>
    <phoneticPr fontId="2" type="noConversion"/>
  </si>
  <si>
    <t>\\Dhcmain\(주)대호스토퍼\0영업사항(견적서)\AA지역별 견적현황\2024년\경기북부\파주(350A~900A)-파주시,대방건설\추가견적(900, 800, 200)-240611</t>
    <phoneticPr fontId="2" type="noConversion"/>
  </si>
  <si>
    <t>수원 200A 2P 난방</t>
    <phoneticPr fontId="2" type="noConversion"/>
  </si>
  <si>
    <t>고양 125A 2P 난방 긴급</t>
    <phoneticPr fontId="2" type="noConversion"/>
  </si>
  <si>
    <t>JD-00807-01</t>
    <phoneticPr fontId="2" type="noConversion"/>
  </si>
  <si>
    <t>JD-00784-01</t>
    <phoneticPr fontId="2" type="noConversion"/>
  </si>
  <si>
    <t>2차기성</t>
    <phoneticPr fontId="2" type="noConversion"/>
  </si>
  <si>
    <t>청라 800A 2P 난방</t>
    <phoneticPr fontId="2" type="noConversion"/>
  </si>
  <si>
    <t>JD-00730-01</t>
    <phoneticPr fontId="2" type="noConversion"/>
  </si>
  <si>
    <t>파주 800Ax600 1P</t>
    <phoneticPr fontId="2" type="noConversion"/>
  </si>
  <si>
    <t>광양 700A 2P 질소</t>
    <phoneticPr fontId="2" type="noConversion"/>
  </si>
  <si>
    <t>질소</t>
    <phoneticPr fontId="2" type="noConversion"/>
  </si>
  <si>
    <t>광양제철소</t>
    <phoneticPr fontId="2" type="noConversion"/>
  </si>
  <si>
    <t>광양제철소 내 핫테핑</t>
    <phoneticPr fontId="2" type="noConversion"/>
  </si>
  <si>
    <t>\\Dhcmain\(주)대호스토퍼\0영업사항(견적서)\AA지역별 견적현황\2025년\기타\광양제철소(700Ax2P)-대양이엔지</t>
    <phoneticPr fontId="2" type="noConversion"/>
  </si>
  <si>
    <t>수원 300A 2P 난방</t>
    <phoneticPr fontId="2" type="noConversion"/>
  </si>
  <si>
    <t>JD-00809-01</t>
    <phoneticPr fontId="2" type="noConversion"/>
  </si>
  <si>
    <t>중앙 450A 2P 난방</t>
    <phoneticPr fontId="2" type="noConversion"/>
  </si>
  <si>
    <t>JD-00751-01</t>
    <phoneticPr fontId="2" type="noConversion"/>
  </si>
  <si>
    <t>FD-00040-01</t>
    <phoneticPr fontId="2" type="noConversion"/>
  </si>
  <si>
    <t>김현명(4/7):용역계약+하자등 이번주마무리예정, 계산서도 이번주</t>
    <phoneticPr fontId="2" type="noConversion"/>
  </si>
  <si>
    <t>양주 600A 2P 난방</t>
    <phoneticPr fontId="2" type="noConversion"/>
  </si>
  <si>
    <t>고양 500A 2P 난방</t>
    <phoneticPr fontId="2" type="noConversion"/>
  </si>
  <si>
    <t>JD-00804-01</t>
    <phoneticPr fontId="2" type="noConversion"/>
  </si>
  <si>
    <t>한국지역난방공사 고양</t>
    <phoneticPr fontId="2" type="noConversion"/>
  </si>
  <si>
    <t>GS네오텍</t>
    <phoneticPr fontId="2" type="noConversion"/>
  </si>
  <si>
    <t>안양 300Ax100 2P 분기티 풀패드</t>
    <phoneticPr fontId="2" type="noConversion"/>
  </si>
  <si>
    <t>분기 300*100 / 2P</t>
    <phoneticPr fontId="2" type="noConversion"/>
  </si>
  <si>
    <t>GS파워</t>
    <phoneticPr fontId="2" type="noConversion"/>
  </si>
  <si>
    <t>2024년 안양지역 신규고객 열수송관공사</t>
    <phoneticPr fontId="2" type="noConversion"/>
  </si>
  <si>
    <t>아전이엔씨</t>
    <phoneticPr fontId="2" type="noConversion"/>
  </si>
  <si>
    <t>\\Dhcmain\(주)대호스토퍼\0영업사항(견적서)\AA지역별 견적현황\2025년\지역난방\삼천리이엔지\양주 600A 긴급</t>
    <phoneticPr fontId="2" type="noConversion"/>
  </si>
  <si>
    <t>엘에스건설</t>
    <phoneticPr fontId="2" type="noConversion"/>
  </si>
  <si>
    <t>수원 200A 2P 난방</t>
    <phoneticPr fontId="2" type="noConversion"/>
  </si>
  <si>
    <t>JD-00813-01</t>
    <phoneticPr fontId="2" type="noConversion"/>
  </si>
  <si>
    <t>JD-00802-01</t>
    <phoneticPr fontId="2" type="noConversion"/>
  </si>
  <si>
    <t>대전 200A 2P 난방</t>
    <phoneticPr fontId="2" type="noConversion"/>
  </si>
  <si>
    <t>대전 400Ax250 2P 분기티</t>
    <phoneticPr fontId="2" type="noConversion"/>
  </si>
  <si>
    <t>JD-00805-01</t>
    <phoneticPr fontId="2" type="noConversion"/>
  </si>
  <si>
    <t>JD-00806-01</t>
    <phoneticPr fontId="2" type="noConversion"/>
  </si>
  <si>
    <t>200 / 2P</t>
    <phoneticPr fontId="2" type="noConversion"/>
  </si>
  <si>
    <t>분기 400*250/ 2P</t>
    <phoneticPr fontId="2" type="noConversion"/>
  </si>
  <si>
    <t>\\Dhcmain\(주)대호스토퍼\0영업사항(견적서)\AA지역별 견적현황\2025년\지역난방\대전열병합\을묘종합건설㈜</t>
    <phoneticPr fontId="2" type="noConversion"/>
  </si>
  <si>
    <t>중앙 65A 1P</t>
    <phoneticPr fontId="2" type="noConversion"/>
  </si>
  <si>
    <t>JD-00814-01</t>
    <phoneticPr fontId="2" type="noConversion"/>
  </si>
  <si>
    <t>5</t>
    <phoneticPr fontId="2" type="noConversion"/>
  </si>
  <si>
    <t>수자원공사에서 불법하도 아니냐? 본사쪽에서 긴급복구로 하는걸 어떤방식으로 나가야할지. 규칙을 세워야한다.</t>
    <phoneticPr fontId="2" type="noConversion"/>
  </si>
  <si>
    <t>사업소에서 금액을 주려 했는데 1억이상은 일상감사를 받고 부서장에 보고를 득한다. 사장득까지 해야하는데 그러다보니, 본사에서 이게 일상감사에 해당이 되는지 용역계약을 맺어야 하는지 이런 절차를 혼란스러워 한다. 1억이 넘어가면 본사에서 계약을 했어야 했다. 질의를 했더니 회의를 해얗나다고 했다.</t>
    <phoneticPr fontId="2" type="noConversion"/>
  </si>
  <si>
    <t>4/15 사업소에서는 끝났는데, 본사에서 어떻게 풀어야할지? 자체적으로 1억 이상일때 용역계약을 어떻게 맺어야할지 계획을..</t>
    <phoneticPr fontId="2" type="noConversion"/>
  </si>
  <si>
    <t>JD-00750-01</t>
    <phoneticPr fontId="2" type="noConversion"/>
  </si>
  <si>
    <t>남해 350A 4P 주철</t>
    <phoneticPr fontId="2" type="noConversion"/>
  </si>
  <si>
    <t>SD-01080-01</t>
    <phoneticPr fontId="2" type="noConversion"/>
  </si>
  <si>
    <t>350 / 4P</t>
    <phoneticPr fontId="2" type="noConversion"/>
  </si>
  <si>
    <t>지방도 1024호선 남해계통 지장관로 이설공사</t>
    <phoneticPr fontId="2" type="noConversion"/>
  </si>
  <si>
    <t>부경개발</t>
    <phoneticPr fontId="2" type="noConversion"/>
  </si>
  <si>
    <t>K-water 경남서부권지사</t>
    <phoneticPr fontId="2" type="noConversion"/>
  </si>
  <si>
    <t>\\Dhcmain\(주)대호스토퍼\0영업사항(견적서)\AA지역별 견적현황\2024년\경상남도\남해 지방도 1024호(주철 350 4P)-수공, 케이에스엠기술</t>
    <phoneticPr fontId="2" type="noConversion"/>
  </si>
  <si>
    <t>JD-00808-01</t>
    <phoneticPr fontId="2" type="noConversion"/>
  </si>
  <si>
    <t>중앙 700A 4P 난방</t>
    <phoneticPr fontId="2" type="noConversion"/>
  </si>
  <si>
    <t>JD-00787-01</t>
    <phoneticPr fontId="2" type="noConversion"/>
  </si>
  <si>
    <t>4/18 K-water에 기성을 해야 계산서 발행가능하다.</t>
    <phoneticPr fontId="2" type="noConversion"/>
  </si>
  <si>
    <t>대호스토퍼에서 동진산업으로 계산서 발행 예정 금액</t>
    <phoneticPr fontId="2" type="noConversion"/>
  </si>
  <si>
    <t>7-1차 기성(25.4.18)</t>
    <phoneticPr fontId="2" type="noConversion"/>
  </si>
  <si>
    <r>
      <t>7-2차 기성(25.4.18)</t>
    </r>
    <r>
      <rPr>
        <sz val="9"/>
        <color rgb="FFFF0000"/>
        <rFont val="맑은 고딕"/>
        <family val="3"/>
        <charset val="129"/>
        <scheme val="minor"/>
      </rPr>
      <t>ENC</t>
    </r>
    <phoneticPr fontId="2" type="noConversion"/>
  </si>
  <si>
    <t>파주 600A 4P 난방</t>
    <phoneticPr fontId="2" type="noConversion"/>
  </si>
  <si>
    <t>JD-00812-01</t>
    <phoneticPr fontId="2" type="noConversion"/>
  </si>
  <si>
    <t>한국지역난방공사 파주</t>
    <phoneticPr fontId="2" type="noConversion"/>
  </si>
  <si>
    <t>예일엔지니어링</t>
    <phoneticPr fontId="2" type="noConversion"/>
  </si>
  <si>
    <t>평택 900Ax500 1P 천공(풀패드-제)</t>
    <phoneticPr fontId="2" type="noConversion"/>
  </si>
  <si>
    <t>SD-01090-01</t>
    <phoneticPr fontId="2" type="noConversion"/>
  </si>
  <si>
    <t>900*500</t>
    <phoneticPr fontId="2" type="noConversion"/>
  </si>
  <si>
    <t>영건설</t>
    <phoneticPr fontId="2" type="noConversion"/>
  </si>
  <si>
    <t>\\Dhcmain\(주)대호스토퍼\0영업사항(견적서)\AA지역별 견적현황\2023년\경기남동부\평택(1200x500, 900x500)-영건설, 평택시</t>
    <phoneticPr fontId="2" type="noConversion"/>
  </si>
  <si>
    <t>K-water 동남권지사</t>
    <phoneticPr fontId="2" type="noConversion"/>
  </si>
  <si>
    <t>중앙 800A 4P 난방</t>
    <phoneticPr fontId="2" type="noConversion"/>
  </si>
  <si>
    <t>JD-00815-01</t>
    <phoneticPr fontId="2" type="noConversion"/>
  </si>
  <si>
    <t>DL ENC</t>
    <phoneticPr fontId="2" type="noConversion"/>
  </si>
  <si>
    <t>800 / 2P</t>
    <phoneticPr fontId="2" type="noConversion"/>
  </si>
  <si>
    <t>SD-01096-01</t>
    <phoneticPr fontId="2" type="noConversion"/>
  </si>
  <si>
    <t>4/30 수공 감독은 연휴 끝나고 5월3째주에 준공검사를 하고 세금계산서 발행해주겠다.</t>
    <phoneticPr fontId="2" type="noConversion"/>
  </si>
  <si>
    <t>5/7: 원도급사와 계산서 발행 협의중, 협의되면 전화주기로함</t>
    <phoneticPr fontId="2" type="noConversion"/>
  </si>
  <si>
    <t>고양 700A 4P 난방</t>
    <phoneticPr fontId="2" type="noConversion"/>
  </si>
  <si>
    <t>JD-00821-01</t>
    <phoneticPr fontId="2" type="noConversion"/>
  </si>
  <si>
    <t>JD-00820-01</t>
    <phoneticPr fontId="2" type="noConversion"/>
  </si>
  <si>
    <t>SD-01081-01</t>
    <phoneticPr fontId="2" type="noConversion"/>
  </si>
  <si>
    <t>SD-01074-01</t>
    <phoneticPr fontId="2" type="noConversion"/>
  </si>
  <si>
    <t>SD-01080-01</t>
    <phoneticPr fontId="2" type="noConversion"/>
  </si>
  <si>
    <t>SD-00825-01</t>
    <phoneticPr fontId="2" type="noConversion"/>
  </si>
  <si>
    <t>1500 / 2P</t>
    <phoneticPr fontId="2" type="noConversion"/>
  </si>
  <si>
    <t>여수 1500x1100 2P(타이밸브실#5)</t>
    <phoneticPr fontId="2" type="noConversion"/>
  </si>
  <si>
    <t>용인 65A 1P 난방</t>
    <phoneticPr fontId="2" type="noConversion"/>
  </si>
  <si>
    <t>SD-01095-01</t>
    <phoneticPr fontId="2" type="noConversion"/>
  </si>
  <si>
    <t>JD-00823-01</t>
    <phoneticPr fontId="2" type="noConversion"/>
  </si>
  <si>
    <t>중앙 250A 2P 난방</t>
    <phoneticPr fontId="2" type="noConversion"/>
  </si>
  <si>
    <t>수원 200A 2P 난방</t>
    <phoneticPr fontId="2" type="noConversion"/>
  </si>
  <si>
    <t>JD-00822-01</t>
    <phoneticPr fontId="2" type="noConversion"/>
  </si>
  <si>
    <t>시티</t>
    <phoneticPr fontId="2" type="noConversion"/>
  </si>
  <si>
    <t>동탄 250A 2P 난방</t>
    <phoneticPr fontId="2" type="noConversion"/>
  </si>
  <si>
    <t>SD-01091-01</t>
    <phoneticPr fontId="2" type="noConversion"/>
  </si>
  <si>
    <t>한국지역난방공사 동탄</t>
    <phoneticPr fontId="2" type="noConversion"/>
  </si>
  <si>
    <t>안양 300A 1P 난방</t>
    <phoneticPr fontId="2" type="noConversion"/>
  </si>
  <si>
    <t>JD-00824-01</t>
    <phoneticPr fontId="2" type="noConversion"/>
  </si>
  <si>
    <t>JD-00827-01</t>
    <phoneticPr fontId="2" type="noConversion"/>
  </si>
  <si>
    <t>안양 750A 1P 난방</t>
    <phoneticPr fontId="2" type="noConversion"/>
  </si>
  <si>
    <t>아전이엔씨</t>
    <phoneticPr fontId="2" type="noConversion"/>
  </si>
  <si>
    <t>\\Dhcmain\(주)대호스토퍼\0영업사항(견적서)\AA지역별 견적현황\2025년\지역난방\GS파워\1.안양\6.안양열병합발전소 내 수직배관(750x1P)</t>
    <phoneticPr fontId="2" type="noConversion"/>
  </si>
  <si>
    <t>-</t>
    <phoneticPr fontId="2" type="noConversion"/>
  </si>
  <si>
    <t>SD-01038-01</t>
    <phoneticPr fontId="2" type="noConversion"/>
  </si>
  <si>
    <t>18</t>
  </si>
  <si>
    <t>19</t>
  </si>
  <si>
    <t>시흥 1350x900 1P</t>
    <phoneticPr fontId="2" type="noConversion"/>
  </si>
  <si>
    <t>K-water 수도권수도사업단</t>
    <phoneticPr fontId="2" type="noConversion"/>
  </si>
  <si>
    <t>극동건설</t>
    <phoneticPr fontId="2" type="noConversion"/>
  </si>
  <si>
    <t>수도권(Ⅳ) 광역상수도(시화안산계통) 복선화사업</t>
    <phoneticPr fontId="2" type="noConversion"/>
  </si>
  <si>
    <t>\\Dhcmain\(주)대호스토퍼\0영업사항(견적서)\AA지역별 견적현황\2025년\경기남서부\시흥 수도권 4단계 광역상수도 복선화사업(1800, 1500, 1000)</t>
    <phoneticPr fontId="2" type="noConversion"/>
  </si>
  <si>
    <t>시흥 700Ax500 1P</t>
    <phoneticPr fontId="2" type="noConversion"/>
  </si>
  <si>
    <t>SD-01094-03</t>
    <phoneticPr fontId="2" type="noConversion"/>
  </si>
  <si>
    <t>\\Dhcmain\(주)대호스토퍼\0영업사항(견적서)\AA지역별 견적현황\2024년\전라남도\광양1단계(광양구간 2000, 1650 차단 外)-수공, 와텍</t>
    <phoneticPr fontId="2" type="noConversion"/>
  </si>
  <si>
    <t>SD-00824-01</t>
    <phoneticPr fontId="2" type="noConversion"/>
  </si>
  <si>
    <t>5/31 1차기성</t>
    <phoneticPr fontId="2" type="noConversion"/>
  </si>
  <si>
    <t>6/10 김찬우 :이번주에 계산서를 발행하면 되는데 담당자가 이번주 휴가라 다음주 수공과 계산서 끊으면 다음 절차 진행중이다. 업체당 5천~1억이상이 한업체에 나가면 사장 결재가 필요하다. 그래서 다음주에 본사 들어가서 대면보고 후 일주일이면 진행 예정</t>
    <phoneticPr fontId="2" type="noConversion"/>
  </si>
  <si>
    <t>중앙 300A 4P 난방</t>
    <phoneticPr fontId="2" type="noConversion"/>
  </si>
  <si>
    <t>JD-00828-01</t>
    <phoneticPr fontId="2" type="noConversion"/>
  </si>
  <si>
    <t>분기 300*250/2P</t>
    <phoneticPr fontId="2" type="noConversion"/>
  </si>
  <si>
    <t>일성건설</t>
    <phoneticPr fontId="2" type="noConversion"/>
  </si>
  <si>
    <t>JD-00825-01</t>
    <phoneticPr fontId="2" type="noConversion"/>
  </si>
  <si>
    <t>고양 800A 4P 난방</t>
    <phoneticPr fontId="2" type="noConversion"/>
  </si>
  <si>
    <t>DL ENC (세보)</t>
    <phoneticPr fontId="2" type="noConversion"/>
  </si>
  <si>
    <t>수원 400A 4P</t>
    <phoneticPr fontId="2" type="noConversion"/>
  </si>
  <si>
    <t>JD-00816-01</t>
    <phoneticPr fontId="2" type="noConversion"/>
  </si>
  <si>
    <t>JD-00834-01</t>
    <phoneticPr fontId="2" type="noConversion"/>
  </si>
  <si>
    <t>삭선~원북 지방도 확포장공사 중 부단수 차단 공사</t>
    <phoneticPr fontId="2" type="noConversion"/>
  </si>
  <si>
    <t>JD-00818-01</t>
    <phoneticPr fontId="2" type="noConversion"/>
  </si>
  <si>
    <t>선급금</t>
    <phoneticPr fontId="2" type="noConversion"/>
  </si>
  <si>
    <t>파주 500A 4P 난방</t>
    <phoneticPr fontId="2" type="noConversion"/>
  </si>
  <si>
    <t>JD-00819-01</t>
    <phoneticPr fontId="2" type="noConversion"/>
  </si>
  <si>
    <t>화성 125A 2P 난방</t>
    <phoneticPr fontId="2" type="noConversion"/>
  </si>
  <si>
    <t>JD-00833-01</t>
    <phoneticPr fontId="2" type="noConversion"/>
  </si>
  <si>
    <t>한국지역난방공사 파주</t>
    <phoneticPr fontId="2" type="noConversion"/>
  </si>
  <si>
    <t>한국지역난방공사 화성</t>
    <phoneticPr fontId="2" type="noConversion"/>
  </si>
  <si>
    <t>준공기성 태울예정</t>
    <phoneticPr fontId="2" type="noConversion"/>
  </si>
  <si>
    <t>3회 기성</t>
    <phoneticPr fontId="2" type="noConversion"/>
  </si>
  <si>
    <t>부천 250A 2P 난방</t>
    <phoneticPr fontId="2" type="noConversion"/>
  </si>
  <si>
    <t>JD-00835-01</t>
    <phoneticPr fontId="2" type="noConversion"/>
  </si>
  <si>
    <t>2공은 3회기성 / 2공은 준공기성으로</t>
    <phoneticPr fontId="2" type="noConversion"/>
  </si>
  <si>
    <t>삼송 250A 2P 난방</t>
    <phoneticPr fontId="2" type="noConversion"/>
  </si>
  <si>
    <t>JD-00829-01</t>
    <phoneticPr fontId="2" type="noConversion"/>
  </si>
  <si>
    <t>한국지역난방공사 삼송</t>
    <phoneticPr fontId="2" type="noConversion"/>
  </si>
  <si>
    <t>시흥 1000Ax750 1P 긴급</t>
    <phoneticPr fontId="2" type="noConversion"/>
  </si>
  <si>
    <t>SD-01115-01</t>
    <phoneticPr fontId="2" type="noConversion"/>
  </si>
  <si>
    <t>1000*750/1P</t>
    <phoneticPr fontId="2" type="noConversion"/>
  </si>
  <si>
    <t>극동건설</t>
    <phoneticPr fontId="2" type="noConversion"/>
  </si>
  <si>
    <t>케이워터기술</t>
    <phoneticPr fontId="2" type="noConversion"/>
  </si>
  <si>
    <t>6/30: 아직 기성관련 협의 안함 / 협의되면 전화준다고 함</t>
    <phoneticPr fontId="2" type="noConversion"/>
  </si>
  <si>
    <t>안양 열병합 발전소 內 열배관 천공 및 차단 공사</t>
  </si>
  <si>
    <t>250 / 2P</t>
    <phoneticPr fontId="2" type="noConversion"/>
  </si>
  <si>
    <t>여수 1650x1200 1P Neck피팅+보강패드</t>
    <phoneticPr fontId="2" type="noConversion"/>
  </si>
  <si>
    <t>SD-01049-01</t>
    <phoneticPr fontId="2" type="noConversion"/>
  </si>
  <si>
    <t>1650*1200/1P</t>
    <phoneticPr fontId="2" type="noConversion"/>
  </si>
  <si>
    <t>한국수자원공사</t>
    <phoneticPr fontId="2" type="noConversion"/>
  </si>
  <si>
    <t>7</t>
    <phoneticPr fontId="2" type="noConversion"/>
  </si>
  <si>
    <t>8</t>
    <phoneticPr fontId="2" type="noConversion"/>
  </si>
  <si>
    <t>한국지역난방공사 광교</t>
    <phoneticPr fontId="2" type="noConversion"/>
  </si>
  <si>
    <t xml:space="preserve">1회 기성 </t>
    <phoneticPr fontId="2" type="noConversion"/>
  </si>
  <si>
    <t>관로 제외금액(실제계산서보온) 부단수 금액</t>
    <phoneticPr fontId="2" type="noConversion"/>
  </si>
  <si>
    <t>20</t>
    <phoneticPr fontId="2" type="noConversion"/>
  </si>
  <si>
    <t>내역서 확인필요</t>
    <phoneticPr fontId="2" type="noConversion"/>
  </si>
  <si>
    <t>9</t>
    <phoneticPr fontId="2" type="noConversion"/>
  </si>
  <si>
    <t>6</t>
    <phoneticPr fontId="2" type="noConversion"/>
  </si>
  <si>
    <t>선급금</t>
    <phoneticPr fontId="2" type="noConversion"/>
  </si>
  <si>
    <t>1</t>
    <phoneticPr fontId="2" type="noConversion"/>
  </si>
  <si>
    <t>한국수자원공사
(KCC)</t>
    <phoneticPr fontId="2" type="noConversion"/>
  </si>
  <si>
    <t>선급금</t>
    <phoneticPr fontId="2" type="noConversion"/>
  </si>
  <si>
    <t>구미 하이테크밸리(2단계) 조성공사(1공구)(2차년도)</t>
    <phoneticPr fontId="2" type="noConversion"/>
  </si>
  <si>
    <t xml:space="preserve">선급금 </t>
    <phoneticPr fontId="2" type="noConversion"/>
  </si>
  <si>
    <t>기성금</t>
    <phoneticPr fontId="2" type="noConversion"/>
  </si>
  <si>
    <t>1-1</t>
    <phoneticPr fontId="2" type="noConversion"/>
  </si>
  <si>
    <t>1-2</t>
    <phoneticPr fontId="2" type="noConversion"/>
  </si>
  <si>
    <t>준공금</t>
    <phoneticPr fontId="2" type="noConversion"/>
  </si>
  <si>
    <t>2-1</t>
    <phoneticPr fontId="2" type="noConversion"/>
  </si>
  <si>
    <t>2-2</t>
    <phoneticPr fontId="2" type="noConversion"/>
  </si>
  <si>
    <t>2-3</t>
    <phoneticPr fontId="2" type="noConversion"/>
  </si>
  <si>
    <t>준공금</t>
    <phoneticPr fontId="2" type="noConversion"/>
  </si>
  <si>
    <t>1-3</t>
    <phoneticPr fontId="2" type="noConversion"/>
  </si>
  <si>
    <t>2-4</t>
    <phoneticPr fontId="2" type="noConversion"/>
  </si>
  <si>
    <t>\\192.168.0.68\(주)대호스토퍼\0영업사항(견적서)\AA지역별 견적현황\2025년\경상북도\구미 하이테크 산업단지-수공, KCC건설</t>
    <phoneticPr fontId="2" type="noConversion"/>
  </si>
  <si>
    <t xml:space="preserve">1회기성(노무비) </t>
    <phoneticPr fontId="2" type="noConversion"/>
  </si>
  <si>
    <t xml:space="preserve">1회기성       </t>
    <phoneticPr fontId="2" type="noConversion"/>
  </si>
  <si>
    <t>2회기성(노무비)</t>
    <phoneticPr fontId="2" type="noConversion"/>
  </si>
  <si>
    <t xml:space="preserve">2회기성       </t>
    <phoneticPr fontId="2" type="noConversion"/>
  </si>
  <si>
    <t>\\Dhcmain\(주)대호스토퍼\0영업사항(견적서)\AA지역별 견적현황\2024년\지역난방\GS파워\3.2024년 안양지역 신규고객 열수송관공사\아전이엔씨\계약</t>
    <phoneticPr fontId="2" type="noConversion"/>
  </si>
  <si>
    <t>\\Dhcmain\(주)대호스토퍼\0영업사항(견적서)\AA지역별 견적현황\2023년\경상남도\창원 봉강~무안(1350A)-수공,경남,BK eng</t>
    <phoneticPr fontId="2" type="noConversion"/>
  </si>
  <si>
    <t>태안 700Ax500 4P 주철</t>
    <phoneticPr fontId="2" type="noConversion"/>
  </si>
  <si>
    <t>\\Dhcmain\(주)대호스토퍼\0영업사항(견적서)\AA지역별 견적현황\2024년\충청남도\태안 삭선~원북 지방도(주철 700x20P)-태안북부발전, 일성건설</t>
    <phoneticPr fontId="2" type="noConversion"/>
  </si>
  <si>
    <t>수원 700A 2P 난방</t>
    <phoneticPr fontId="2" type="noConversion"/>
  </si>
  <si>
    <t>JD-00817-01</t>
    <phoneticPr fontId="2" type="noConversion"/>
  </si>
  <si>
    <t>시흥 1500Ax1000 2P</t>
    <phoneticPr fontId="2" type="noConversion"/>
  </si>
  <si>
    <t>SD-01113-01</t>
    <phoneticPr fontId="2" type="noConversion"/>
  </si>
  <si>
    <t>1500 / 2P</t>
    <phoneticPr fontId="2" type="noConversion"/>
  </si>
  <si>
    <t>광명 300A 2P 난방</t>
    <phoneticPr fontId="2" type="noConversion"/>
  </si>
  <si>
    <t>JD-00830-01</t>
    <phoneticPr fontId="2" type="noConversion"/>
  </si>
  <si>
    <t>삼천리이엔지</t>
    <phoneticPr fontId="2" type="noConversion"/>
  </si>
  <si>
    <t>고양 850A 2P 난방</t>
    <phoneticPr fontId="2" type="noConversion"/>
  </si>
  <si>
    <t>JD-00836-01</t>
    <phoneticPr fontId="2" type="noConversion"/>
  </si>
  <si>
    <t>한국지역난방공사 고양</t>
    <phoneticPr fontId="2" type="noConversion"/>
  </si>
  <si>
    <t>GS네오텍</t>
    <phoneticPr fontId="2" type="noConversion"/>
  </si>
  <si>
    <t>화성 600A 2P 난방</t>
    <phoneticPr fontId="2" type="noConversion"/>
  </si>
  <si>
    <t>JD-00837-01</t>
    <phoneticPr fontId="2" type="noConversion"/>
  </si>
  <si>
    <t>한국지역난방공사 화성</t>
    <phoneticPr fontId="2" type="noConversion"/>
  </si>
  <si>
    <t>세진이엔이</t>
    <phoneticPr fontId="2" type="noConversion"/>
  </si>
  <si>
    <t>6</t>
    <phoneticPr fontId="2" type="noConversion"/>
  </si>
  <si>
    <t>6회 기성(노무비)</t>
    <phoneticPr fontId="2" type="noConversion"/>
  </si>
  <si>
    <t>JD-00826-01</t>
    <phoneticPr fontId="2" type="noConversion"/>
  </si>
  <si>
    <t>시티</t>
    <phoneticPr fontId="2" type="noConversion"/>
  </si>
  <si>
    <t>중앙 TOR 2P (본관100A) 난방</t>
    <phoneticPr fontId="2" type="noConversion"/>
  </si>
  <si>
    <t>JD-00847-01</t>
    <phoneticPr fontId="2" type="noConversion"/>
  </si>
  <si>
    <t>풍림산업</t>
    <phoneticPr fontId="2" type="noConversion"/>
  </si>
  <si>
    <t>서울 300A 4P 난방</t>
    <phoneticPr fontId="2" type="noConversion"/>
  </si>
  <si>
    <t>JD-00838-01</t>
    <phoneticPr fontId="2" type="noConversion"/>
  </si>
  <si>
    <t>300 / 4P</t>
    <phoneticPr fontId="2" type="noConversion"/>
  </si>
  <si>
    <t>서울에너지공사</t>
    <phoneticPr fontId="2" type="noConversion"/>
  </si>
  <si>
    <t>\\Dhcmain\(주)대호스토퍼\0영업사항(견적서)\AA지역별 견적현황\2024년\지역난방\서울에너지공사\공구A-동북선 도시철도(300x12, 150x4, 65x4)</t>
    <phoneticPr fontId="2" type="noConversion"/>
  </si>
  <si>
    <t>공구A - 동북선 도시철도 민간투자사업 건설공사 (CFKR1810)</t>
    <phoneticPr fontId="2" type="noConversion"/>
  </si>
  <si>
    <t>SD-01067-02</t>
    <phoneticPr fontId="2" type="noConversion"/>
  </si>
  <si>
    <t>JD-00831-01</t>
    <phoneticPr fontId="2" type="noConversion"/>
  </si>
  <si>
    <t>안양 350Ax150 2P 분기티</t>
    <phoneticPr fontId="2" type="noConversion"/>
  </si>
  <si>
    <t>분기 350*150 / 2P</t>
    <phoneticPr fontId="2" type="noConversion"/>
  </si>
  <si>
    <t>파주 600Ax450 1P</t>
    <phoneticPr fontId="2" type="noConversion"/>
  </si>
  <si>
    <t>파주 600Ax450 1P(언플러깅)</t>
    <phoneticPr fontId="2" type="noConversion"/>
  </si>
  <si>
    <t>SD-01116-01</t>
    <phoneticPr fontId="2" type="noConversion"/>
  </si>
  <si>
    <t>SD-01117-01</t>
    <phoneticPr fontId="2" type="noConversion"/>
  </si>
  <si>
    <t>경인수도건설</t>
    <phoneticPr fontId="2" type="noConversion"/>
  </si>
  <si>
    <t>\\Dhcmain\(주)대호스토퍼\0영업사항(견적서)\AA지역별 견적현황\2025년\경기북부\경인수도건설(D600mm)</t>
    <phoneticPr fontId="2" type="noConversion"/>
  </si>
  <si>
    <t>K-water</t>
    <phoneticPr fontId="2" type="noConversion"/>
  </si>
  <si>
    <t>용인 350A 2P 주철긴급</t>
    <phoneticPr fontId="2" type="noConversion"/>
  </si>
  <si>
    <t>SD-01125-01</t>
    <phoneticPr fontId="2" type="noConversion"/>
  </si>
  <si>
    <t>350 / 2P</t>
    <phoneticPr fontId="2" type="noConversion"/>
  </si>
  <si>
    <t>전진디엔씨</t>
    <phoneticPr fontId="2" type="noConversion"/>
  </si>
  <si>
    <t>간접비 : 76,417,722</t>
    <phoneticPr fontId="2" type="noConversion"/>
  </si>
  <si>
    <t>2024년 열수송관 천공 및 차단공사(2권역)</t>
  </si>
  <si>
    <t>수원 300A 2P 난방 TOR 4P추가</t>
    <phoneticPr fontId="2" type="noConversion"/>
  </si>
  <si>
    <t>JD-00849-01</t>
    <phoneticPr fontId="2" type="noConversion"/>
  </si>
  <si>
    <t>수원 난방 TOR 4P추가</t>
    <phoneticPr fontId="2" type="noConversion"/>
  </si>
  <si>
    <t>고양 100A 2P 난방</t>
    <phoneticPr fontId="2" type="noConversion"/>
  </si>
  <si>
    <t>나라이엔씨</t>
    <phoneticPr fontId="2" type="noConversion"/>
  </si>
  <si>
    <t>수원 150A 2P 난방</t>
    <phoneticPr fontId="2" type="noConversion"/>
  </si>
  <si>
    <t>SD-01094-01</t>
    <phoneticPr fontId="2" type="noConversion"/>
  </si>
  <si>
    <t>2024년 안양지역 신규고객 열수송관공사</t>
    <phoneticPr fontId="2" type="noConversion"/>
  </si>
  <si>
    <t>고성 800Ax600 4P</t>
    <phoneticPr fontId="2" type="noConversion"/>
  </si>
  <si>
    <t>SD-01111-01</t>
    <phoneticPr fontId="2" type="noConversion"/>
  </si>
  <si>
    <t>800A / 4P</t>
    <phoneticPr fontId="2" type="noConversion"/>
  </si>
  <si>
    <t>고성 월평지구 지장관로 이설공사</t>
    <phoneticPr fontId="2" type="noConversion"/>
  </si>
  <si>
    <t>\\Dhcmain\(주)대호스토퍼\0영업사항(견적서)\AA지역별 견적현황\2024년\경상남도\고성 월평지구(800x4P)-수공, 경화엔지니어링\원우건설</t>
    <phoneticPr fontId="2" type="noConversion"/>
  </si>
  <si>
    <t>원우건설</t>
    <phoneticPr fontId="2" type="noConversion"/>
  </si>
  <si>
    <t>증평 600Ax450 2P 주철 긴급</t>
    <phoneticPr fontId="2" type="noConversion"/>
  </si>
  <si>
    <t>SD-01126-01</t>
    <phoneticPr fontId="2" type="noConversion"/>
  </si>
  <si>
    <t>600 / 2P</t>
    <phoneticPr fontId="2" type="noConversion"/>
  </si>
  <si>
    <t>긴급</t>
    <phoneticPr fontId="2" type="noConversion"/>
  </si>
  <si>
    <t>고양 200A 2P 난방</t>
    <phoneticPr fontId="2" type="noConversion"/>
  </si>
  <si>
    <t>JD-0886-01</t>
    <phoneticPr fontId="2" type="noConversion"/>
  </si>
  <si>
    <t>서울 300A 4P 난방</t>
    <phoneticPr fontId="2" type="noConversion"/>
  </si>
  <si>
    <t>JD-00852-01</t>
    <phoneticPr fontId="2" type="noConversion"/>
  </si>
  <si>
    <t>300 / 4P</t>
    <phoneticPr fontId="2" type="noConversion"/>
  </si>
  <si>
    <t>서울에너지공사</t>
    <phoneticPr fontId="2" type="noConversion"/>
  </si>
  <si>
    <t>삼천리이엔지</t>
    <phoneticPr fontId="2" type="noConversion"/>
  </si>
  <si>
    <t>\\Dhcmain\(주)대호스토퍼\0영업사항(견적서)\AA지역별 견적현황\2025년\지역난방\삼천리이엔지</t>
    <phoneticPr fontId="2" type="noConversion"/>
  </si>
  <si>
    <t>JD-00850-01</t>
    <phoneticPr fontId="2" type="noConversion"/>
  </si>
  <si>
    <t>7회 기성(노무비)</t>
    <phoneticPr fontId="2" type="noConversion"/>
  </si>
  <si>
    <t>7</t>
    <phoneticPr fontId="2" type="noConversion"/>
  </si>
  <si>
    <t>유에이치파워, 관로공사를 통으로 땃다.</t>
    <phoneticPr fontId="2" type="noConversion"/>
  </si>
  <si>
    <t>고양 300A 2P 난방 긴급</t>
    <phoneticPr fontId="2" type="noConversion"/>
  </si>
  <si>
    <t>JD-00895-01</t>
    <phoneticPr fontId="2" type="noConversion"/>
  </si>
  <si>
    <t>GS네오텍</t>
    <phoneticPr fontId="2" type="noConversion"/>
  </si>
  <si>
    <t>\\Dhcmain\(주)대호스토퍼\0영업사항(견적서)\AA지역별 견적현황\2025년\경기남동부\용인 350A 긴급-용인시, 전진씨엔디</t>
    <phoneticPr fontId="2" type="noConversion"/>
  </si>
  <si>
    <t>JD-00848-01</t>
    <phoneticPr fontId="2" type="noConversion"/>
  </si>
  <si>
    <t>안양 500Ax250 2P 분기티</t>
    <phoneticPr fontId="2" type="noConversion"/>
  </si>
  <si>
    <t>JD-00851-01</t>
    <phoneticPr fontId="2" type="noConversion"/>
  </si>
  <si>
    <t>JD-00900-01</t>
    <phoneticPr fontId="2" type="noConversion"/>
  </si>
  <si>
    <t>500 / 2P</t>
    <phoneticPr fontId="2" type="noConversion"/>
  </si>
  <si>
    <t>대성기공</t>
    <phoneticPr fontId="2" type="noConversion"/>
  </si>
  <si>
    <t>경기도 광주시</t>
    <phoneticPr fontId="2" type="noConversion"/>
  </si>
  <si>
    <t>300 / 2P</t>
    <phoneticPr fontId="2" type="noConversion"/>
  </si>
  <si>
    <t>동탄 600A 4P 난방</t>
    <phoneticPr fontId="2" type="noConversion"/>
  </si>
  <si>
    <t>SD-01093-01</t>
    <phoneticPr fontId="2" type="noConversion"/>
  </si>
  <si>
    <t>한국지역난방공사 동탄</t>
    <phoneticPr fontId="2" type="noConversion"/>
  </si>
  <si>
    <t>성남 1350Ax900 2P</t>
    <phoneticPr fontId="2" type="noConversion"/>
  </si>
  <si>
    <t>\\Dhcmain\(주)대호스토퍼\0영업사항(견적서)\AA지역별 견적현황\2024년\지역난방\GS파워\3.2024년 안양지역 신규고객 열수송관공사</t>
    <phoneticPr fontId="2" type="noConversion"/>
  </si>
  <si>
    <t>\\Dhcmain\(주)대호스토퍼\0영업사항(견적서)\AA지역별 견적현황\2024년\지역난방\GS파워\3.2024년 안양지역 신규고객 열수송관공사</t>
    <phoneticPr fontId="2" type="noConversion"/>
  </si>
  <si>
    <t>안양 300Ax250 2P 분기티</t>
    <phoneticPr fontId="2" type="noConversion"/>
  </si>
  <si>
    <t>광양 1650A 1P 재차단</t>
    <phoneticPr fontId="2" type="noConversion"/>
  </si>
  <si>
    <t>SD-01141-01</t>
    <phoneticPr fontId="2" type="noConversion"/>
  </si>
  <si>
    <t>상수도</t>
    <phoneticPr fontId="2" type="noConversion"/>
  </si>
  <si>
    <t>강관</t>
    <phoneticPr fontId="2" type="noConversion"/>
  </si>
  <si>
    <t>K-water</t>
    <phoneticPr fontId="2" type="noConversion"/>
  </si>
  <si>
    <t>극동건설</t>
    <phoneticPr fontId="2" type="noConversion"/>
  </si>
  <si>
    <t>JD-00898-01</t>
    <phoneticPr fontId="2" type="noConversion"/>
  </si>
  <si>
    <r>
      <t>고양 700A 4P 난방</t>
    </r>
    <r>
      <rPr>
        <sz val="9"/>
        <color rgb="FFFF0000"/>
        <rFont val="맑은 고딕"/>
        <family val="3"/>
        <charset val="129"/>
        <scheme val="minor"/>
      </rPr>
      <t>(야간)</t>
    </r>
    <phoneticPr fontId="2" type="noConversion"/>
  </si>
  <si>
    <r>
      <t>화성 100A 2P 난방</t>
    </r>
    <r>
      <rPr>
        <sz val="9"/>
        <color rgb="FFFF0000"/>
        <rFont val="맑은 고딕"/>
        <family val="3"/>
        <charset val="129"/>
        <scheme val="minor"/>
      </rPr>
      <t>(야간)</t>
    </r>
    <phoneticPr fontId="2" type="noConversion"/>
  </si>
  <si>
    <t>파주 800Ax600 2P</t>
    <phoneticPr fontId="2" type="noConversion"/>
  </si>
  <si>
    <t>SD-01142-01</t>
    <phoneticPr fontId="2" type="noConversion"/>
  </si>
  <si>
    <t>800 / 2P</t>
    <phoneticPr fontId="2" type="noConversion"/>
  </si>
  <si>
    <t>JD-00853-01</t>
    <phoneticPr fontId="2" type="noConversion"/>
  </si>
  <si>
    <t>11</t>
    <phoneticPr fontId="2" type="noConversion"/>
  </si>
  <si>
    <t>10</t>
    <phoneticPr fontId="2" type="noConversion"/>
  </si>
  <si>
    <t>SD-01140-01</t>
    <phoneticPr fontId="2" type="noConversion"/>
  </si>
  <si>
    <t>광주 500Ax400 2P(장비대+용접사+인건비 청구)</t>
    <phoneticPr fontId="2" type="noConversion"/>
  </si>
  <si>
    <t>2025년 09월 계산서</t>
    <phoneticPr fontId="2" type="noConversion"/>
  </si>
  <si>
    <t>파주지사 1차기성 간접비</t>
    <phoneticPr fontId="2" type="noConversion"/>
  </si>
  <si>
    <t>파주지사 1차 기성</t>
    <phoneticPr fontId="2" type="noConversion"/>
  </si>
  <si>
    <t>-</t>
    <phoneticPr fontId="2" type="noConversion"/>
  </si>
  <si>
    <t>선급금</t>
    <phoneticPr fontId="2" type="noConversion"/>
  </si>
  <si>
    <t>제이에스씨</t>
    <phoneticPr fontId="2" type="noConversion"/>
  </si>
  <si>
    <t>두산에너빌리티</t>
    <phoneticPr fontId="2" type="noConversion"/>
  </si>
  <si>
    <t>광양 2000x1500 1P(준공기성)</t>
    <phoneticPr fontId="2" type="noConversion"/>
  </si>
  <si>
    <t>하남 300Ax100 2P 분기티</t>
    <phoneticPr fontId="2" type="noConversion"/>
  </si>
  <si>
    <t>JD-00845-01</t>
    <phoneticPr fontId="2" type="noConversion"/>
  </si>
  <si>
    <t>분기300*100 / 2P</t>
    <phoneticPr fontId="2" type="noConversion"/>
  </si>
  <si>
    <t>을묘종건</t>
    <phoneticPr fontId="2" type="noConversion"/>
  </si>
  <si>
    <t>나래에너지서비스</t>
    <phoneticPr fontId="2" type="noConversion"/>
  </si>
  <si>
    <t>2025년 신규 열수송관공사</t>
    <phoneticPr fontId="2" type="noConversion"/>
  </si>
  <si>
    <t>\\Dhcmain\(주)대호스토퍼\0영업사항(견적서)\AA지역별 견적현황\2025년\지역난방\나래에너지서비스\2025년 신규 열수송관공사</t>
    <phoneticPr fontId="2" type="noConversion"/>
  </si>
  <si>
    <t>구리 700A 8P 난방</t>
    <phoneticPr fontId="2" type="noConversion"/>
  </si>
  <si>
    <t>JD-00884-01</t>
    <phoneticPr fontId="2" type="noConversion"/>
  </si>
  <si>
    <t>700 / 8P</t>
    <phoneticPr fontId="2" type="noConversion"/>
  </si>
  <si>
    <t>대륜발전</t>
    <phoneticPr fontId="2" type="noConversion"/>
  </si>
  <si>
    <t>삼천리이엔지</t>
    <phoneticPr fontId="2" type="noConversion"/>
  </si>
  <si>
    <t>구리갈매 역세권 공공주택지구 열수송관 이설공사</t>
    <phoneticPr fontId="2" type="noConversion"/>
  </si>
  <si>
    <t>\\Dhcmain\(주)대호스토퍼\0영업사항(견적서)\AA지역별 견적현황\2025년\지역난방\대륜발전\별내에너지</t>
    <phoneticPr fontId="2" type="noConversion"/>
  </si>
  <si>
    <t>충주 1000Ax250 1P 풀패드 천공(제)</t>
    <phoneticPr fontId="2" type="noConversion"/>
  </si>
  <si>
    <t>SD-01139-01</t>
    <phoneticPr fontId="2" type="noConversion"/>
  </si>
  <si>
    <t>1000*250 / 1P</t>
    <phoneticPr fontId="2" type="noConversion"/>
  </si>
  <si>
    <t>대원종합개발</t>
    <phoneticPr fontId="2" type="noConversion"/>
  </si>
  <si>
    <t>\\Dhcmain\(주)대호스토퍼\0영업사항(견적서)\AA지역별 견적현황\2025년\충청북도\삼정배수지(1000x250)-음성군, 대원종합건설</t>
    <phoneticPr fontId="2" type="noConversion"/>
  </si>
  <si>
    <t>음성군</t>
    <phoneticPr fontId="2" type="noConversion"/>
  </si>
  <si>
    <t>JD-00901-01</t>
    <phoneticPr fontId="2" type="noConversion"/>
  </si>
  <si>
    <t>수원 300A 2P 난방</t>
    <phoneticPr fontId="2" type="noConversion"/>
  </si>
  <si>
    <t>인천 300A 4P 난방</t>
    <phoneticPr fontId="2" type="noConversion"/>
  </si>
  <si>
    <t>JD-00897-01</t>
    <phoneticPr fontId="2" type="noConversion"/>
  </si>
  <si>
    <t>300 / 4P</t>
    <phoneticPr fontId="2" type="noConversion"/>
  </si>
  <si>
    <t>구상에너지</t>
    <phoneticPr fontId="2" type="noConversion"/>
  </si>
  <si>
    <t>인천공항에너지</t>
    <phoneticPr fontId="2" type="noConversion"/>
  </si>
  <si>
    <t>\\Dhcmain\(주)대호스토퍼\0영업사항(견적서)\AA지역별 견적현황\2024년\지역난방\인천공항에너지\정도</t>
    <phoneticPr fontId="2" type="noConversion"/>
  </si>
  <si>
    <t>인천공항 열배관 천공 및 차단공사</t>
    <phoneticPr fontId="2" type="noConversion"/>
  </si>
  <si>
    <t>수원 200A 4P 난방</t>
    <phoneticPr fontId="2" type="noConversion"/>
  </si>
  <si>
    <t>JD-00902-01</t>
    <phoneticPr fontId="2" type="noConversion"/>
  </si>
  <si>
    <t>JD-00907-01</t>
    <phoneticPr fontId="2" type="noConversion"/>
  </si>
  <si>
    <t>세진이엔이</t>
    <phoneticPr fontId="2" type="noConversion"/>
  </si>
  <si>
    <t>수원 125A 2P 난방</t>
    <phoneticPr fontId="2" type="noConversion"/>
  </si>
  <si>
    <t>JD-00909-01</t>
    <phoneticPr fontId="2" type="noConversion"/>
  </si>
  <si>
    <t>증평 600Ax450 2P 주철</t>
    <phoneticPr fontId="2" type="noConversion"/>
  </si>
  <si>
    <t>증평 600Ax450 1P 주철천공(제)</t>
    <phoneticPr fontId="2" type="noConversion"/>
  </si>
  <si>
    <t>SD-01147-01</t>
    <phoneticPr fontId="2" type="noConversion"/>
  </si>
  <si>
    <t>SD-01148-01</t>
    <phoneticPr fontId="2" type="noConversion"/>
  </si>
  <si>
    <t>600 / 2P</t>
    <phoneticPr fontId="2" type="noConversion"/>
  </si>
  <si>
    <t>600*450 / 1P</t>
    <phoneticPr fontId="2" type="noConversion"/>
  </si>
  <si>
    <t>K-water</t>
    <phoneticPr fontId="2" type="noConversion"/>
  </si>
  <si>
    <t>\\Dhcmain\(주)대호스토퍼\0영업사항(견적서)\AA지역별 견적현황\2025년\충청북도\증평계통(주철관 600A)-도화엔지니어링, 수공</t>
    <phoneticPr fontId="2" type="noConversion"/>
  </si>
  <si>
    <t>JD-00910-01</t>
    <phoneticPr fontId="2" type="noConversion"/>
  </si>
  <si>
    <t>삼천리이엔지</t>
    <phoneticPr fontId="2" type="noConversion"/>
  </si>
  <si>
    <t>\\Dhcmain\(주)대호스토퍼\0영업사항(견적서)\AA지역별 견적현황\2025년\지역난방\삼천리이엔지\안산도시개발(800, 300)</t>
    <phoneticPr fontId="2" type="noConversion"/>
  </si>
  <si>
    <t>부천 900A 2P 난방</t>
    <phoneticPr fontId="2" type="noConversion"/>
  </si>
  <si>
    <t>900 / 2P</t>
    <phoneticPr fontId="2" type="noConversion"/>
  </si>
  <si>
    <t>GS파워</t>
    <phoneticPr fontId="2" type="noConversion"/>
  </si>
  <si>
    <t>부천현대화사업 열배관 핫테핑 차단 자재납품</t>
    <phoneticPr fontId="2" type="noConversion"/>
  </si>
  <si>
    <t>\\Dhcmain\(주)대호스토퍼\0영업사항(견적서)\AA지역별 견적현황\2025년\지역난방\GS파워\2.부천\2.부천현대화사업 소내 열배관3차공사(900x4P)-한은</t>
    <phoneticPr fontId="2" type="noConversion"/>
  </si>
  <si>
    <t>안산 800A 4P 난방</t>
    <phoneticPr fontId="2" type="noConversion"/>
  </si>
  <si>
    <t>800 / 4P</t>
    <phoneticPr fontId="2" type="noConversion"/>
  </si>
  <si>
    <t>안산도시개발</t>
    <phoneticPr fontId="2" type="noConversion"/>
  </si>
  <si>
    <t>안산 300A 2P 난방</t>
    <phoneticPr fontId="2" type="noConversion"/>
  </si>
  <si>
    <t>JD-00887-02</t>
    <phoneticPr fontId="2" type="noConversion"/>
  </si>
  <si>
    <t>300 / 2P</t>
    <phoneticPr fontId="2" type="noConversion"/>
  </si>
  <si>
    <t>8회 기성(노무비)</t>
    <phoneticPr fontId="2" type="noConversion"/>
  </si>
  <si>
    <t>고양 300A 2P 난방</t>
    <phoneticPr fontId="2" type="noConversion"/>
  </si>
  <si>
    <t>동탄 600A 4P 난방</t>
    <phoneticPr fontId="2" type="noConversion"/>
  </si>
  <si>
    <t>JD-00911-01</t>
    <phoneticPr fontId="2" type="noConversion"/>
  </si>
  <si>
    <t>한국지역난방공사 동탄</t>
    <phoneticPr fontId="2" type="noConversion"/>
  </si>
  <si>
    <t>파주 1000Ax850 2P 주철</t>
    <phoneticPr fontId="2" type="noConversion"/>
  </si>
  <si>
    <t>SD-01143-01</t>
    <phoneticPr fontId="2" type="noConversion"/>
  </si>
  <si>
    <t>1000 / 2P</t>
    <phoneticPr fontId="2" type="noConversion"/>
  </si>
  <si>
    <t>수원 400A 4P 난방</t>
    <phoneticPr fontId="2" type="noConversion"/>
  </si>
  <si>
    <t>JD-00905-01</t>
    <phoneticPr fontId="2" type="noConversion"/>
  </si>
  <si>
    <t>JD-00906-01</t>
    <phoneticPr fontId="2" type="noConversion"/>
  </si>
  <si>
    <t>JD-00885-01</t>
    <phoneticPr fontId="2" type="noConversion"/>
  </si>
  <si>
    <t>울산 1100Ax850 1P Neck피팅</t>
    <phoneticPr fontId="2" type="noConversion"/>
  </si>
  <si>
    <t>SD-01145-01</t>
    <phoneticPr fontId="2" type="noConversion"/>
  </si>
  <si>
    <t>K-water</t>
    <phoneticPr fontId="2" type="noConversion"/>
  </si>
  <si>
    <t>\\Dhcmain\(주)대호스토퍼\0영업사항(견적서)\AA지역별 견적현황\2025년\경상남도\울산(울산공업용수도 노후관 개량공사(3차))-수자원공사\금호건설</t>
    <phoneticPr fontId="2" type="noConversion"/>
  </si>
  <si>
    <t>700 / 4P</t>
    <phoneticPr fontId="2" type="noConversion"/>
  </si>
  <si>
    <t>휴세스</t>
    <phoneticPr fontId="2" type="noConversion"/>
  </si>
  <si>
    <t>안양 700A 2P 난방</t>
    <phoneticPr fontId="2" type="noConversion"/>
  </si>
  <si>
    <t>안양 500A 1P 난방</t>
    <phoneticPr fontId="2" type="noConversion"/>
  </si>
  <si>
    <t>JD-00912-01</t>
    <phoneticPr fontId="2" type="noConversion"/>
  </si>
  <si>
    <t>JD-00913-01</t>
    <phoneticPr fontId="2" type="noConversion"/>
  </si>
  <si>
    <t>700 / 2P</t>
    <phoneticPr fontId="2" type="noConversion"/>
  </si>
  <si>
    <t>500 / 1P</t>
    <phoneticPr fontId="2" type="noConversion"/>
  </si>
  <si>
    <t>GS파워</t>
    <phoneticPr fontId="2" type="noConversion"/>
  </si>
  <si>
    <t>한은ENC</t>
    <phoneticPr fontId="2" type="noConversion"/>
  </si>
  <si>
    <t>\\Dhcmain\(주)대호스토퍼\0영업사항(견적서)\AA지역별 견적현황\2025년\지역난방\GS파워\1.안양\12.2025년 안양지역 열수송관 성능취약 개선공사(700, 550 외)</t>
    <phoneticPr fontId="2" type="noConversion"/>
  </si>
  <si>
    <t>2025년 안양지역 열수송관 성능취약 개선공사</t>
    <phoneticPr fontId="2" type="noConversion"/>
  </si>
  <si>
    <t>삼정배수지 조성사업</t>
    <phoneticPr fontId="2" type="noConversion"/>
  </si>
  <si>
    <t>2024년 열수송관 천공 및 차단공사(2권역)</t>
    <phoneticPr fontId="2" type="noConversion"/>
  </si>
  <si>
    <t>SD-01097-01</t>
    <phoneticPr fontId="2" type="noConversion"/>
  </si>
  <si>
    <t>고양 1000Ax850 2P 주철</t>
    <phoneticPr fontId="2" type="noConversion"/>
  </si>
  <si>
    <t>1000 / 2P</t>
    <phoneticPr fontId="2" type="noConversion"/>
  </si>
  <si>
    <t>K-water</t>
    <phoneticPr fontId="2" type="noConversion"/>
  </si>
  <si>
    <t>경남기업</t>
    <phoneticPr fontId="2" type="noConversion"/>
  </si>
  <si>
    <t>한강하류권 4차 급수체계조정사업 시설공사(제1공구)</t>
    <phoneticPr fontId="2" type="noConversion"/>
  </si>
  <si>
    <t>\\Dhcmain\(주)대호스토퍼\0영업사항(견적서)\AA지역별 견적현황\2024년\경기북부\고양,파주(한강하류권4차~ 1공구, 700A~1350A)-수공,삼안</t>
    <phoneticPr fontId="2" type="noConversion"/>
  </si>
  <si>
    <t>JD-00887-01</t>
    <phoneticPr fontId="2" type="noConversion"/>
  </si>
  <si>
    <t>SD-01138-01</t>
    <phoneticPr fontId="2" type="noConversion"/>
  </si>
  <si>
    <t>극동건설 3차 기성</t>
    <phoneticPr fontId="2" type="noConversion"/>
  </si>
  <si>
    <t>3회기성</t>
    <phoneticPr fontId="2" type="noConversion"/>
  </si>
  <si>
    <t>고양 700A 4P 난방(야간)</t>
    <phoneticPr fontId="2" type="noConversion"/>
  </si>
  <si>
    <t>고양지사 3차 기성</t>
    <phoneticPr fontId="2" type="noConversion"/>
  </si>
  <si>
    <t>고양지사 3차기성 간접비</t>
    <phoneticPr fontId="2" type="noConversion"/>
  </si>
  <si>
    <t>12</t>
    <phoneticPr fontId="2" type="noConversion"/>
  </si>
  <si>
    <t xml:space="preserve"> 키스콘입력완</t>
    <phoneticPr fontId="2" type="noConversion"/>
  </si>
  <si>
    <t>고양 300A 2P 난방</t>
    <phoneticPr fontId="2" type="noConversion"/>
  </si>
  <si>
    <t>JD-00919-01</t>
    <phoneticPr fontId="2" type="noConversion"/>
  </si>
  <si>
    <t>나라이엔씨</t>
    <phoneticPr fontId="2" type="noConversion"/>
  </si>
  <si>
    <t xml:space="preserve">남양주 400Ax350 2P 주철 </t>
    <phoneticPr fontId="2" type="noConversion"/>
  </si>
  <si>
    <t>SD-01150-01</t>
    <phoneticPr fontId="2" type="noConversion"/>
  </si>
  <si>
    <t>400 / 2P</t>
    <phoneticPr fontId="2" type="noConversion"/>
  </si>
  <si>
    <t>\\Dhcmain\(주)대호스토퍼\0영업사항(견적서)\AA지역별 견적현황\2025년\경기북부\관수산업</t>
    <phoneticPr fontId="2" type="noConversion"/>
  </si>
  <si>
    <t>중앙 800A 4P 난방</t>
    <phoneticPr fontId="2" type="noConversion"/>
  </si>
  <si>
    <t>수원 400A 2P 난방</t>
    <phoneticPr fontId="2" type="noConversion"/>
  </si>
  <si>
    <t>JD-00916-01</t>
    <phoneticPr fontId="2" type="noConversion"/>
  </si>
  <si>
    <t>JD-00917-01</t>
    <phoneticPr fontId="2" type="noConversion"/>
  </si>
  <si>
    <t>JD-00918-01</t>
    <phoneticPr fontId="2" type="noConversion"/>
  </si>
  <si>
    <t>한국지역난방공사 중앙</t>
    <phoneticPr fontId="2" type="noConversion"/>
  </si>
  <si>
    <t>DL이앤씨</t>
    <phoneticPr fontId="2" type="noConversion"/>
  </si>
  <si>
    <t>GS네오텍</t>
    <phoneticPr fontId="2" type="noConversion"/>
  </si>
  <si>
    <t>9회 기성(노무비)</t>
  </si>
  <si>
    <t>9</t>
    <phoneticPr fontId="2" type="noConversion"/>
  </si>
  <si>
    <t>25-09-25(1차기성)</t>
    <phoneticPr fontId="2" type="noConversion"/>
  </si>
  <si>
    <t>25-10-30(일부기성)</t>
    <phoneticPr fontId="2" type="noConversion"/>
  </si>
  <si>
    <t>12차 기성</t>
    <phoneticPr fontId="2" type="noConversion"/>
  </si>
  <si>
    <t>2025년 10월 계산서</t>
    <phoneticPr fontId="2" type="noConversion"/>
  </si>
  <si>
    <t>하남 '250Ax100 2P 분기티</t>
    <phoneticPr fontId="2" type="noConversion"/>
  </si>
  <si>
    <t>JD-00846-01</t>
    <phoneticPr fontId="2" type="noConversion"/>
  </si>
  <si>
    <t>분기 250*100 / 2P</t>
    <phoneticPr fontId="2" type="noConversion"/>
  </si>
  <si>
    <t>을묘종건</t>
    <phoneticPr fontId="2" type="noConversion"/>
  </si>
  <si>
    <t>울산 1200Ax850 4P 흄관 D-Dtype</t>
    <phoneticPr fontId="2" type="noConversion"/>
  </si>
  <si>
    <t>SD-01118-01</t>
    <phoneticPr fontId="2" type="noConversion"/>
  </si>
  <si>
    <t>흄관</t>
    <phoneticPr fontId="2" type="noConversion"/>
  </si>
  <si>
    <t>1200 / 4P</t>
    <phoneticPr fontId="2" type="noConversion"/>
  </si>
  <si>
    <t>국제산업개발</t>
    <phoneticPr fontId="2" type="noConversion"/>
  </si>
  <si>
    <t>남구 B-14구역 주택재개발 정비사업조합</t>
    <phoneticPr fontId="2" type="noConversion"/>
  </si>
  <si>
    <t>남구 B-14구역 주택재개발 정비사업</t>
    <phoneticPr fontId="2" type="noConversion"/>
  </si>
  <si>
    <t>\\Dhcmain\(주)대호스토퍼\0영업사항(견적서)\AA지역별 견적현황\2024년\경상남도\울산 남구 B-14구역(PC관 1200, 900)-조합, 하람엔지니어링</t>
    <phoneticPr fontId="2" type="noConversion"/>
  </si>
  <si>
    <t>울산 900Ax600 4P PC관 D-Dtype</t>
    <phoneticPr fontId="2" type="noConversion"/>
  </si>
  <si>
    <t>SD-01119-01</t>
    <phoneticPr fontId="2" type="noConversion"/>
  </si>
  <si>
    <t>900 / 4P</t>
    <phoneticPr fontId="2" type="noConversion"/>
  </si>
  <si>
    <t>충주 500Ax400 2P 주철</t>
    <phoneticPr fontId="2" type="noConversion"/>
  </si>
  <si>
    <t>충주 150Ax50 1P 주철천공</t>
    <phoneticPr fontId="2" type="noConversion"/>
  </si>
  <si>
    <t>SD-01120-01</t>
    <phoneticPr fontId="2" type="noConversion"/>
  </si>
  <si>
    <t>500 / 2P</t>
    <phoneticPr fontId="2" type="noConversion"/>
  </si>
  <si>
    <t>150*50 / 1P</t>
    <phoneticPr fontId="2" type="noConversion"/>
  </si>
  <si>
    <t>\\Dhcmain\(주)대호스토퍼\0영업사항(견적서)\AA지역별 견적현황\2025년\충청북도\충주 개선공사(주철 300x4P, 150x4P)-이한표</t>
    <phoneticPr fontId="2" type="noConversion"/>
  </si>
  <si>
    <t>K-water 충주수도지사</t>
    <phoneticPr fontId="2" type="noConversion"/>
  </si>
  <si>
    <t>2025년 충주권 관로시설 개선공사</t>
    <phoneticPr fontId="2" type="noConversion"/>
  </si>
  <si>
    <t>제이에스씨, 정우건설</t>
    <phoneticPr fontId="2" type="noConversion"/>
  </si>
  <si>
    <r>
      <t>파주 700Ax500 2P 주철</t>
    </r>
    <r>
      <rPr>
        <sz val="9"/>
        <color rgb="FFFF0000"/>
        <rFont val="맑은 고딕"/>
        <family val="3"/>
        <charset val="129"/>
        <scheme val="minor"/>
      </rPr>
      <t xml:space="preserve"> (동진작업)</t>
    </r>
    <phoneticPr fontId="2" type="noConversion"/>
  </si>
  <si>
    <t>SD-01144-01</t>
    <phoneticPr fontId="2" type="noConversion"/>
  </si>
  <si>
    <t>부천 800Ax125 2P 분기티</t>
    <phoneticPr fontId="2" type="noConversion"/>
  </si>
  <si>
    <t>JD-00914-01</t>
    <phoneticPr fontId="2" type="noConversion"/>
  </si>
  <si>
    <t>분기 800*125 / 2P</t>
    <phoneticPr fontId="2" type="noConversion"/>
  </si>
  <si>
    <t>GS파워</t>
    <phoneticPr fontId="2" type="noConversion"/>
  </si>
  <si>
    <t>구상에너지</t>
    <phoneticPr fontId="2" type="noConversion"/>
  </si>
  <si>
    <t>안양 300A 4P 난방</t>
    <phoneticPr fontId="2" type="noConversion"/>
  </si>
  <si>
    <t>JD-00924-01</t>
    <phoneticPr fontId="2" type="noConversion"/>
  </si>
  <si>
    <t>300 / 4P</t>
    <phoneticPr fontId="2" type="noConversion"/>
  </si>
  <si>
    <t>화성 250A 2P 난방</t>
    <phoneticPr fontId="2" type="noConversion"/>
  </si>
  <si>
    <t>화성 150A 2P 난방</t>
    <phoneticPr fontId="2" type="noConversion"/>
  </si>
  <si>
    <t>화성 300A 2P 난방</t>
    <phoneticPr fontId="2" type="noConversion"/>
  </si>
  <si>
    <t>JD-00921-01</t>
    <phoneticPr fontId="2" type="noConversion"/>
  </si>
  <si>
    <t>JD-00922-01</t>
    <phoneticPr fontId="2" type="noConversion"/>
  </si>
  <si>
    <t>청라 250A 1P 난방</t>
    <phoneticPr fontId="2" type="noConversion"/>
  </si>
  <si>
    <t>JD-00935-01</t>
    <phoneticPr fontId="2" type="noConversion"/>
  </si>
  <si>
    <t>JD-00937-01</t>
    <phoneticPr fontId="2" type="noConversion"/>
  </si>
  <si>
    <t>80 / 2P</t>
    <phoneticPr fontId="2" type="noConversion"/>
  </si>
  <si>
    <t>안산도시개발</t>
    <phoneticPr fontId="2" type="noConversion"/>
  </si>
  <si>
    <t>청라에너지</t>
    <phoneticPr fontId="2" type="noConversion"/>
  </si>
  <si>
    <t>세진이엔이</t>
    <phoneticPr fontId="2" type="noConversion"/>
  </si>
  <si>
    <t>서울 2200Ax1500 2P</t>
    <phoneticPr fontId="2" type="noConversion"/>
  </si>
  <si>
    <t>서울 2200Ax1650 2P Neck</t>
    <phoneticPr fontId="2" type="noConversion"/>
  </si>
  <si>
    <t>SD-01123-01</t>
    <phoneticPr fontId="2" type="noConversion"/>
  </si>
  <si>
    <t>SD-01123-02</t>
    <phoneticPr fontId="2" type="noConversion"/>
  </si>
  <si>
    <t>2200 / 2P</t>
    <phoneticPr fontId="2" type="noConversion"/>
  </si>
  <si>
    <t>2200*1650 / 2P</t>
    <phoneticPr fontId="2" type="noConversion"/>
  </si>
  <si>
    <t>현대자동차</t>
    <phoneticPr fontId="2" type="noConversion"/>
  </si>
  <si>
    <t>현대건설</t>
    <phoneticPr fontId="2" type="noConversion"/>
  </si>
  <si>
    <t>\\Dhcmain\(주)대호스토퍼\0영업사항(견적서)\AA지역별 견적현황\2025년\지역난방\나래에너지서비스\2025년 신규 열수송관공사\을묘종건</t>
    <phoneticPr fontId="2" type="noConversion"/>
  </si>
  <si>
    <t>26년1월계산서?</t>
    <phoneticPr fontId="2" type="noConversion"/>
  </si>
  <si>
    <t>\\Dhcmain\(주)대호스토퍼\0영업사항(견적서)\AA지역별 견적현황\2024년\지역난방\GS파워\4.2024년 부천지역 신규고객 열수송관공사\실행</t>
    <phoneticPr fontId="2" type="noConversion"/>
  </si>
  <si>
    <t>\\Dhcmain\(주)대호스토퍼\0영업사항(견적서)\AA지역별 견적현황\2025년\서울시\잠실(2400, 1800)-현대차, 현대건설, 현대엔지니어링</t>
    <phoneticPr fontId="2" type="noConversion"/>
  </si>
  <si>
    <t>11월말에 추가 분기티 수행후 발행 예정</t>
    <phoneticPr fontId="2" type="noConversion"/>
  </si>
  <si>
    <t>\\Dhcmain\(주)대호스토퍼\0영업사항(견적서)\AA지역별 견적현황\2025년\지역난방\청라에너지</t>
    <phoneticPr fontId="2" type="noConversion"/>
  </si>
  <si>
    <t>10/31 0.5기성</t>
    <phoneticPr fontId="2" type="noConversion"/>
  </si>
  <si>
    <t>관수산업(수림산업)</t>
    <phoneticPr fontId="2" type="noConversion"/>
  </si>
  <si>
    <t>10회 기성(노무비)</t>
    <phoneticPr fontId="2" type="noConversion"/>
  </si>
  <si>
    <t>시흥 1800Ax1200 2P</t>
    <phoneticPr fontId="2" type="noConversion"/>
  </si>
  <si>
    <t>SD-01112-01</t>
    <phoneticPr fontId="2" type="noConversion"/>
  </si>
  <si>
    <t>1800 / 2P</t>
    <phoneticPr fontId="2" type="noConversion"/>
  </si>
  <si>
    <t>중앙 300A 4P 난방</t>
    <phoneticPr fontId="2" type="noConversion"/>
  </si>
  <si>
    <t>JD-00923-01</t>
    <phoneticPr fontId="2" type="noConversion"/>
  </si>
  <si>
    <t>한국지역난방공사 중앙</t>
    <phoneticPr fontId="2" type="noConversion"/>
  </si>
  <si>
    <t>풍림산업</t>
    <phoneticPr fontId="2" type="noConversion"/>
  </si>
  <si>
    <t>예수금</t>
    <phoneticPr fontId="2" type="noConversion"/>
  </si>
  <si>
    <t>건가</t>
    <phoneticPr fontId="2" type="noConversion"/>
  </si>
  <si>
    <t>건가</t>
    <phoneticPr fontId="2" type="noConversion"/>
  </si>
  <si>
    <r>
      <t>화성 500A 2P 난방</t>
    </r>
    <r>
      <rPr>
        <sz val="9"/>
        <color rgb="FFFF0000"/>
        <rFont val="맑은 고딕"/>
        <family val="3"/>
        <charset val="129"/>
        <scheme val="minor"/>
      </rPr>
      <t>(야간)</t>
    </r>
    <phoneticPr fontId="2" type="noConversion"/>
  </si>
  <si>
    <r>
      <t xml:space="preserve">안산 80A 2P 난방 (삼천리, </t>
    </r>
    <r>
      <rPr>
        <sz val="9"/>
        <color rgb="FFFF0000"/>
        <rFont val="맑은 고딕"/>
        <family val="3"/>
        <charset val="129"/>
        <scheme val="minor"/>
      </rPr>
      <t>야간</t>
    </r>
    <r>
      <rPr>
        <sz val="9"/>
        <color theme="1"/>
        <rFont val="맑은 고딕"/>
        <family val="3"/>
        <charset val="129"/>
        <scheme val="minor"/>
      </rPr>
      <t>)</t>
    </r>
    <phoneticPr fontId="2" type="noConversion"/>
  </si>
  <si>
    <t>하남 300Ax150 2P 분기티</t>
    <phoneticPr fontId="2" type="noConversion"/>
  </si>
  <si>
    <t>JD-00844-01</t>
    <phoneticPr fontId="2" type="noConversion"/>
  </si>
  <si>
    <t>분기 300*150 / 2P</t>
    <phoneticPr fontId="2" type="noConversion"/>
  </si>
  <si>
    <t>충주 300A 2P 송유 피팅타입 미확인</t>
    <phoneticPr fontId="2" type="noConversion"/>
  </si>
  <si>
    <t>부천 200Ax80 2P 분기티</t>
    <phoneticPr fontId="2" type="noConversion"/>
  </si>
  <si>
    <t>JD-00915-01</t>
    <phoneticPr fontId="2" type="noConversion"/>
  </si>
  <si>
    <t>분기 200*80 / 2P</t>
    <phoneticPr fontId="2" type="noConversion"/>
  </si>
  <si>
    <t>GS파워</t>
    <phoneticPr fontId="2" type="noConversion"/>
  </si>
  <si>
    <t>충주 200A 1P 송유</t>
    <phoneticPr fontId="2" type="noConversion"/>
  </si>
  <si>
    <t>YD-00037-01</t>
    <phoneticPr fontId="2" type="noConversion"/>
  </si>
  <si>
    <t>YD-00038-01</t>
    <phoneticPr fontId="2" type="noConversion"/>
  </si>
  <si>
    <t>300 / 2P</t>
    <phoneticPr fontId="2" type="noConversion"/>
  </si>
  <si>
    <t>200 / 1P</t>
    <phoneticPr fontId="2" type="noConversion"/>
  </si>
  <si>
    <t>아이비솔류션</t>
    <phoneticPr fontId="2" type="noConversion"/>
  </si>
  <si>
    <t>국방시설본부</t>
    <phoneticPr fontId="2" type="noConversion"/>
  </si>
  <si>
    <t>\\Dhcmain\(주)대호스토퍼\0영업사항(견적서)\AA지역별 견적현황\2025년\송유관\공군 00부대 송유관(300, 250)-하이폴</t>
    <phoneticPr fontId="2" type="noConversion"/>
  </si>
  <si>
    <t>수원 900Ax600 4P 주철</t>
    <phoneticPr fontId="2" type="noConversion"/>
  </si>
  <si>
    <t>SD-01149-01</t>
    <phoneticPr fontId="2" type="noConversion"/>
  </si>
  <si>
    <t>900 / 4P</t>
    <phoneticPr fontId="2" type="noConversion"/>
  </si>
  <si>
    <t>국가철도공단</t>
    <phoneticPr fontId="2" type="noConversion"/>
  </si>
  <si>
    <t>HJ중공업</t>
    <phoneticPr fontId="2" type="noConversion"/>
  </si>
  <si>
    <t>신분당선 광교~호매실 복선전철 제1공구 건설공사</t>
    <phoneticPr fontId="2" type="noConversion"/>
  </si>
  <si>
    <t>\\Dhcmain\(주)대호스토퍼\0영업사항(견적서)\AA지역별 견적현황\2024년\경기남서부\신분당선 광교~호매실(주철 900A)-국가철도공단, HJ중공업</t>
    <phoneticPr fontId="2" type="noConversion"/>
  </si>
  <si>
    <t>동탄 450A 4P 난방</t>
    <phoneticPr fontId="2" type="noConversion"/>
  </si>
  <si>
    <t>JD-00938-01</t>
    <phoneticPr fontId="2" type="noConversion"/>
  </si>
  <si>
    <t>성남 1350Ax900 2P</t>
    <phoneticPr fontId="2" type="noConversion"/>
  </si>
  <si>
    <t>SD-01108-01</t>
    <phoneticPr fontId="2" type="noConversion"/>
  </si>
  <si>
    <t>1350 / 2P</t>
    <phoneticPr fontId="2" type="noConversion"/>
  </si>
  <si>
    <t>DL건설</t>
    <phoneticPr fontId="2" type="noConversion"/>
  </si>
  <si>
    <t>성남복정1·2 공공주택지구 조성공사 중 송수관 이설 부단수차단</t>
    <phoneticPr fontId="2" type="noConversion"/>
  </si>
  <si>
    <t>LH</t>
    <phoneticPr fontId="2" type="noConversion"/>
  </si>
  <si>
    <t>\\Dhcmain\(주)대호스토퍼\0영업사항(견적서)\AA지역별 견적현황\2025년\경기남동부\성남복정지구(1350A)-LH,대림건설,대화이앤씨</t>
    <phoneticPr fontId="2" type="noConversion"/>
  </si>
  <si>
    <t>월곶 350A 4P 난방</t>
    <phoneticPr fontId="2" type="noConversion"/>
  </si>
  <si>
    <t>JD-00890-01</t>
    <phoneticPr fontId="2" type="noConversion"/>
  </si>
  <si>
    <t>350 / 4P</t>
    <phoneticPr fontId="2" type="noConversion"/>
  </si>
  <si>
    <t>지성엔지니어링</t>
    <phoneticPr fontId="2" type="noConversion"/>
  </si>
  <si>
    <t>월곶~판교선 제2공구 장곡역 정거장 간섭구간 열수송관 이설공사(2공구)(1공구)</t>
    <phoneticPr fontId="2" type="noConversion"/>
  </si>
  <si>
    <t>\\Dhcmain\(주)대호스토퍼\0영업사항(견적서)\AA지역별 견적현황\2025년\지역난방\GS파워\1.안양\7.월곶 판교 제2공구 장곡역(150x8P)-250610\지성엔지니어링</t>
    <phoneticPr fontId="2" type="noConversion"/>
  </si>
  <si>
    <t>인천 600A 2P 난방</t>
    <phoneticPr fontId="2" type="noConversion"/>
  </si>
  <si>
    <t>JD-00908-01</t>
    <phoneticPr fontId="2" type="noConversion"/>
  </si>
  <si>
    <t>600 / 2P</t>
    <phoneticPr fontId="2" type="noConversion"/>
  </si>
  <si>
    <t>인천공항에너지</t>
    <phoneticPr fontId="2" type="noConversion"/>
  </si>
  <si>
    <t>24년 열수송관 무단수공사 단가계약</t>
    <phoneticPr fontId="2" type="noConversion"/>
  </si>
  <si>
    <t>\\Dhcmain\(주)대호스토퍼\0영업사항(견적서)\AA지역별 견적현황\2024년\지역난방\인천공항에너지\24년 열수송관 무단수공사 단가계약 입찰공고</t>
    <phoneticPr fontId="2" type="noConversion"/>
  </si>
  <si>
    <t>인천 500A 2P 난방</t>
    <phoneticPr fontId="2" type="noConversion"/>
  </si>
  <si>
    <t>JD-00908-02</t>
    <phoneticPr fontId="2" type="noConversion"/>
  </si>
  <si>
    <t>500 / 2P</t>
    <phoneticPr fontId="2" type="noConversion"/>
  </si>
  <si>
    <t>전라 450Ax350 2P 분기티</t>
    <phoneticPr fontId="2" type="noConversion"/>
  </si>
  <si>
    <t>JD-00936-01</t>
    <phoneticPr fontId="2" type="noConversion"/>
  </si>
  <si>
    <t>분기 450*350 / 2P</t>
    <phoneticPr fontId="2" type="noConversion"/>
  </si>
  <si>
    <t>고양 125A 4P 난방</t>
    <phoneticPr fontId="2" type="noConversion"/>
  </si>
  <si>
    <t>수원 400A 4P 난방</t>
    <phoneticPr fontId="2" type="noConversion"/>
  </si>
  <si>
    <t>수원 250A 4P 난방</t>
    <phoneticPr fontId="2" type="noConversion"/>
  </si>
  <si>
    <t>JD-00937-01</t>
    <phoneticPr fontId="2" type="noConversion"/>
  </si>
  <si>
    <t>JD-00940-01</t>
    <phoneticPr fontId="2" type="noConversion"/>
  </si>
  <si>
    <t xml:space="preserve">고양 500A 4P 난방 </t>
    <phoneticPr fontId="2" type="noConversion"/>
  </si>
  <si>
    <t>JD-00939-01</t>
    <phoneticPr fontId="2" type="noConversion"/>
  </si>
  <si>
    <t>세진이엔이</t>
    <phoneticPr fontId="2" type="noConversion"/>
  </si>
  <si>
    <r>
      <t>화성 150A 4P 난방</t>
    </r>
    <r>
      <rPr>
        <sz val="9"/>
        <color rgb="FFFF0000"/>
        <rFont val="맑은 고딕"/>
        <family val="3"/>
        <charset val="129"/>
        <scheme val="minor"/>
      </rPr>
      <t>(야간)</t>
    </r>
    <phoneticPr fontId="2" type="noConversion"/>
  </si>
  <si>
    <t>SD-01120-02</t>
    <phoneticPr fontId="2" type="noConversion"/>
  </si>
  <si>
    <t>강우기업</t>
    <phoneticPr fontId="2" type="noConversion"/>
  </si>
  <si>
    <t>거륜에너텍</t>
    <phoneticPr fontId="2" type="noConversion"/>
  </si>
  <si>
    <t>수원 300A 2P 난방</t>
    <phoneticPr fontId="2" type="noConversion"/>
  </si>
  <si>
    <t>2025년 11월 계산서</t>
    <phoneticPr fontId="2" type="noConversion"/>
  </si>
  <si>
    <t>안산 800A 4P 난방(300A포함금액)</t>
    <phoneticPr fontId="2" type="noConversion"/>
  </si>
  <si>
    <t>월곶 300A 4P 난방</t>
    <phoneticPr fontId="2" type="noConversion"/>
  </si>
  <si>
    <t>JD-00891-01</t>
    <phoneticPr fontId="2" type="noConversion"/>
  </si>
  <si>
    <t>300 / 4P</t>
    <phoneticPr fontId="2" type="noConversion"/>
  </si>
  <si>
    <t>JD-00941-01</t>
    <phoneticPr fontId="2" type="noConversion"/>
  </si>
  <si>
    <t>수원 250A 2P 난방</t>
    <phoneticPr fontId="2" type="noConversion"/>
  </si>
  <si>
    <t>JD-00944-01</t>
    <phoneticPr fontId="2" type="noConversion"/>
  </si>
  <si>
    <t>부천 150Ax150 2P 분기티</t>
    <phoneticPr fontId="2" type="noConversion"/>
  </si>
  <si>
    <t>JD-00942-01</t>
    <phoneticPr fontId="2" type="noConversion"/>
  </si>
  <si>
    <t>승재</t>
    <phoneticPr fontId="2" type="noConversion"/>
  </si>
  <si>
    <t>JD-00945-01</t>
    <phoneticPr fontId="2" type="noConversion"/>
  </si>
  <si>
    <t>동탄 600A 4P 난방</t>
    <phoneticPr fontId="2" type="noConversion"/>
  </si>
  <si>
    <t>고양 250A 2P 난방</t>
    <phoneticPr fontId="2" type="noConversion"/>
  </si>
  <si>
    <t>JD-00939-01</t>
    <phoneticPr fontId="2" type="noConversion"/>
  </si>
  <si>
    <t>JD-00940-01</t>
    <phoneticPr fontId="2" type="noConversion"/>
  </si>
  <si>
    <t>증평 600Ax450 2P 주철</t>
    <phoneticPr fontId="2" type="noConversion"/>
  </si>
  <si>
    <t>2024년 열수송관 천공 및 차단공사(2권역)</t>
    <phoneticPr fontId="2" type="noConversion"/>
  </si>
  <si>
    <t>제조/나라</t>
    <phoneticPr fontId="2" type="noConversion"/>
  </si>
  <si>
    <t>JD-00920-01</t>
    <phoneticPr fontId="2" type="noConversion"/>
  </si>
  <si>
    <t>세보엠이씨</t>
    <phoneticPr fontId="2" type="noConversion"/>
  </si>
  <si>
    <t>중앙</t>
    <phoneticPr fontId="2" type="noConversion"/>
  </si>
  <si>
    <t>수원</t>
    <phoneticPr fontId="2" type="noConversion"/>
  </si>
  <si>
    <t>고양</t>
    <phoneticPr fontId="2" type="noConversion"/>
  </si>
  <si>
    <t>화성</t>
    <phoneticPr fontId="2" type="noConversion"/>
  </si>
  <si>
    <t>동탄</t>
    <phoneticPr fontId="2" type="noConversion"/>
  </si>
  <si>
    <t>삼송</t>
    <phoneticPr fontId="2" type="noConversion"/>
  </si>
  <si>
    <t>파주</t>
    <phoneticPr fontId="2" type="noConversion"/>
  </si>
  <si>
    <t>광교</t>
    <phoneticPr fontId="2" type="noConversion"/>
  </si>
  <si>
    <t>광주전남</t>
    <phoneticPr fontId="2" type="noConversion"/>
  </si>
  <si>
    <t>아이비솔류션/정원엔지니어링</t>
    <phoneticPr fontId="2" type="noConversion"/>
  </si>
  <si>
    <r>
      <t>충주 300A 2P 송유 피팅타입 미확인</t>
    </r>
    <r>
      <rPr>
        <sz val="9"/>
        <color rgb="FFFF0000"/>
        <rFont val="맑은 고딕"/>
        <family val="3"/>
        <charset val="129"/>
        <scheme val="minor"/>
      </rPr>
      <t>(E&amp;C)</t>
    </r>
    <phoneticPr fontId="2" type="noConversion"/>
  </si>
  <si>
    <r>
      <t>충주 200A 1P 송유</t>
    </r>
    <r>
      <rPr>
        <sz val="9"/>
        <color rgb="FFFF0000"/>
        <rFont val="맑은 고딕"/>
        <family val="3"/>
        <charset val="129"/>
        <scheme val="minor"/>
      </rPr>
      <t>(E&amp;C)</t>
    </r>
    <phoneticPr fontId="2" type="noConversion"/>
  </si>
  <si>
    <t>익산 1500Ax1100 2P</t>
    <phoneticPr fontId="2" type="noConversion"/>
  </si>
  <si>
    <t>익산 1500Ax1200 2P</t>
    <phoneticPr fontId="2" type="noConversion"/>
  </si>
  <si>
    <t>SD-01156-01</t>
    <phoneticPr fontId="2" type="noConversion"/>
  </si>
  <si>
    <t>SD-01157-01</t>
    <phoneticPr fontId="2" type="noConversion"/>
  </si>
  <si>
    <t>1500 / 2P</t>
    <phoneticPr fontId="2" type="noConversion"/>
  </si>
  <si>
    <t>K-water</t>
    <phoneticPr fontId="2" type="noConversion"/>
  </si>
  <si>
    <t>신성건설</t>
    <phoneticPr fontId="2" type="noConversion"/>
  </si>
  <si>
    <t>석탄 자연재해위험 개선지구 정비사업</t>
    <phoneticPr fontId="2" type="noConversion"/>
  </si>
  <si>
    <t>\\Dhcmain\(주)대호스토퍼\0영업사항(견적서)\AA지역별 견적현황\2024년\전라북도\익산 석탄 자연재해(1500A D-D)-익산시, 한가람</t>
    <phoneticPr fontId="2" type="noConversion"/>
  </si>
  <si>
    <t>11회 기성(노무비)</t>
    <phoneticPr fontId="2" type="noConversion"/>
  </si>
  <si>
    <t>제2회 기성</t>
    <phoneticPr fontId="2" type="noConversion"/>
  </si>
  <si>
    <t>24년 열수송관 무단수공사 단가계약</t>
    <phoneticPr fontId="2" type="noConversion"/>
  </si>
  <si>
    <t>24년 열수송관 무단수공사 단가계약</t>
    <phoneticPr fontId="2" type="noConversion"/>
  </si>
  <si>
    <t>현대건설중기, 강토중기</t>
    <phoneticPr fontId="2" type="noConversion"/>
  </si>
  <si>
    <r>
      <t>용인 350A 2P 주철긴급</t>
    </r>
    <r>
      <rPr>
        <sz val="9"/>
        <color rgb="FFFF0000"/>
        <rFont val="맑은 고딕"/>
        <family val="3"/>
        <charset val="129"/>
        <scheme val="minor"/>
      </rPr>
      <t>(E&amp;C)</t>
    </r>
    <phoneticPr fontId="2" type="noConversion"/>
  </si>
  <si>
    <t>안산 80A 2P 난방 (삼천리, 야간)</t>
  </si>
  <si>
    <t>JD-00937-01</t>
  </si>
  <si>
    <t>80 / 2P</t>
  </si>
  <si>
    <t>안산도시개발</t>
  </si>
  <si>
    <t>삼천리이엔지</t>
  </si>
  <si>
    <t>울산 1200Ax850 4P 흄관 D-Dtype</t>
  </si>
  <si>
    <t>SD-01118-01</t>
  </si>
  <si>
    <t>흄관</t>
  </si>
  <si>
    <t>1200 / 4P</t>
  </si>
  <si>
    <t>남구 B-14구역 주택재개발 정비사업조합</t>
  </si>
  <si>
    <t>국제산업개발</t>
  </si>
  <si>
    <t>울산 900Ax600 4P PC관 D-Dtype</t>
  </si>
  <si>
    <t>SD-01119-01</t>
  </si>
  <si>
    <t>PC관</t>
  </si>
  <si>
    <t>900 / 4P</t>
  </si>
  <si>
    <t>분기 150*150 / 2P</t>
    <phoneticPr fontId="2" type="noConversion"/>
  </si>
  <si>
    <t>SD-01156-01</t>
  </si>
  <si>
    <t>K-water</t>
  </si>
  <si>
    <t>신성건설</t>
  </si>
  <si>
    <t>익산 1500Ax1100 4P</t>
    <phoneticPr fontId="2" type="noConversion"/>
  </si>
  <si>
    <t>SD-01120-01</t>
  </si>
  <si>
    <t>500 / 2P</t>
  </si>
  <si>
    <t>K-water 충주수도지사</t>
  </si>
  <si>
    <t>2025년 12월 계산서</t>
    <phoneticPr fontId="2" type="noConversion"/>
  </si>
  <si>
    <t>한국지역난방공사 중앙</t>
    <phoneticPr fontId="2" type="noConversion"/>
  </si>
  <si>
    <t>한국지역난방공사 동탄</t>
    <phoneticPr fontId="2" type="noConversion"/>
  </si>
  <si>
    <t>한국지역난방공사 광교</t>
    <phoneticPr fontId="2" type="noConversion"/>
  </si>
  <si>
    <t>한국지역난방공사 광주전남</t>
    <phoneticPr fontId="2" type="noConversion"/>
  </si>
  <si>
    <t>제4회 준공 기성</t>
    <phoneticPr fontId="2" type="noConversion"/>
  </si>
  <si>
    <t>제2회 준공 기성</t>
    <phoneticPr fontId="2" type="noConversion"/>
  </si>
  <si>
    <t>제3회 준공 기성</t>
    <phoneticPr fontId="2" type="noConversion"/>
  </si>
  <si>
    <t>제1회 준공 기성</t>
    <phoneticPr fontId="2" type="noConversion"/>
  </si>
  <si>
    <t>-</t>
    <phoneticPr fontId="2" type="noConversion"/>
  </si>
  <si>
    <t>\\192.168.0.68\(주)대호스토퍼\0영업사항(견적서)\AA지역별 견적현황\2025년\지역난방\GS파워\1.안양\5.안양열병합발전소 內 공사(300x1p)\300a 한은이엔씨</t>
    <phoneticPr fontId="2" type="noConversion"/>
  </si>
  <si>
    <t>안양 750A 2P 난방 긴급</t>
    <phoneticPr fontId="2" type="noConversion"/>
  </si>
  <si>
    <t>JD-00949-01</t>
    <phoneticPr fontId="2" type="noConversion"/>
  </si>
  <si>
    <t>750 / 2P</t>
    <phoneticPr fontId="2" type="noConversion"/>
  </si>
  <si>
    <t>\\Dhcmain\(주)대호스토퍼\0영업사항(견적서)\AA지역별 견적현황\2025년\지역난방\GS파워\1.안양\14.안양 750A(한은)</t>
    <phoneticPr fontId="2" type="noConversion"/>
  </si>
  <si>
    <t>인천 400A 4P 난방</t>
    <phoneticPr fontId="2" type="noConversion"/>
  </si>
  <si>
    <t>JD-00947-01</t>
    <phoneticPr fontId="2" type="noConversion"/>
  </si>
  <si>
    <t>400 / 4P</t>
    <phoneticPr fontId="2" type="noConversion"/>
  </si>
  <si>
    <t>\\Dhcmain\(주)대호스토퍼\0영업사항(견적서)\AA지역별 견적현황\2025년\기타\인천공항(문화지엔코)</t>
    <phoneticPr fontId="2" type="noConversion"/>
  </si>
  <si>
    <t>분당 100A 4P 난방</t>
    <phoneticPr fontId="2" type="noConversion"/>
  </si>
  <si>
    <t>JD-00948-01</t>
    <phoneticPr fontId="2" type="noConversion"/>
  </si>
  <si>
    <t>한국지역난방공사 분당</t>
    <phoneticPr fontId="2" type="noConversion"/>
  </si>
  <si>
    <t>2025년 열수송관 천공 및 차단공사(1권역)</t>
    <phoneticPr fontId="2" type="noConversion"/>
  </si>
  <si>
    <t>\\Dhcmain\(주)대호스토퍼\0영업사항(견적서)\AA지역별 견적현황\2025년\지역난방\한국지역난방공사\2025년 열수송관 천공 및 차단공사(1권역)</t>
    <phoneticPr fontId="2" type="noConversion"/>
  </si>
  <si>
    <t>전진디엔씨, 흥인건설</t>
    <phoneticPr fontId="2" type="noConversion"/>
  </si>
  <si>
    <t>부천 150Ax150 2P 분기티</t>
    <phoneticPr fontId="2" type="noConversion"/>
  </si>
  <si>
    <t>중앙 150A 4P 난방(2권역대행)</t>
    <phoneticPr fontId="2" type="noConversion"/>
  </si>
  <si>
    <t>JD-00950-01</t>
    <phoneticPr fontId="2" type="noConversion"/>
  </si>
  <si>
    <t>시티</t>
    <phoneticPr fontId="2" type="noConversion"/>
  </si>
  <si>
    <t>현대건설 제1회 기성</t>
    <phoneticPr fontId="2" type="noConversion"/>
  </si>
  <si>
    <t>문화지엔코/해원산업㈜</t>
    <phoneticPr fontId="2" type="noConversion"/>
  </si>
  <si>
    <t>해원산업㈜으로 계산서 발행</t>
    <phoneticPr fontId="2" type="noConversion"/>
  </si>
  <si>
    <t>문화지엔코/해원산업㈜</t>
    <phoneticPr fontId="2" type="noConversion"/>
  </si>
  <si>
    <t>청원건설</t>
    <phoneticPr fontId="2" type="noConversion"/>
  </si>
  <si>
    <t>청원건설</t>
    <phoneticPr fontId="2" type="noConversion"/>
  </si>
  <si>
    <t>1000 / 2P</t>
    <phoneticPr fontId="2" type="noConversion"/>
  </si>
  <si>
    <t>청원건설</t>
    <phoneticPr fontId="2" type="noConversion"/>
  </si>
  <si>
    <t>계약단가의 0.5</t>
    <phoneticPr fontId="2" type="noConversion"/>
  </si>
  <si>
    <t>SD-01162-01</t>
    <phoneticPr fontId="2" type="noConversion"/>
  </si>
  <si>
    <t>양산 1000Ax750 1P neck</t>
    <phoneticPr fontId="2" type="noConversion"/>
  </si>
  <si>
    <t>서스316L</t>
    <phoneticPr fontId="2" type="noConversion"/>
  </si>
  <si>
    <t>양산시 신도시 정수장 증설공사 건설사업</t>
    <phoneticPr fontId="2" type="noConversion"/>
  </si>
  <si>
    <t>대성기공</t>
    <phoneticPr fontId="2" type="noConversion"/>
  </si>
  <si>
    <t>양산시</t>
    <phoneticPr fontId="2" type="noConversion"/>
  </si>
  <si>
    <t>\\Dhcmain\(주)대호스토퍼\0영업사항(견적서)\AA지역별 견적현황\2025년\경상남도\양산시(1500 外) 신도시 정수장 증설공사 건설사업\견적</t>
    <phoneticPr fontId="2" type="noConversion"/>
  </si>
  <si>
    <t>JD-00954-01</t>
    <phoneticPr fontId="2" type="noConversion"/>
  </si>
  <si>
    <t>분당 65A 2P 난방</t>
    <phoneticPr fontId="2" type="noConversion"/>
  </si>
  <si>
    <t>양산 1000Ax750 1P 반패드</t>
    <phoneticPr fontId="2" type="noConversion"/>
  </si>
  <si>
    <t>SD-01163-01</t>
    <phoneticPr fontId="2" type="noConversion"/>
  </si>
  <si>
    <t>중원건기로 계산서 발행</t>
    <phoneticPr fontId="2" type="noConversion"/>
  </si>
  <si>
    <t>양산 1000Ax750 1P SUS Neck피팅</t>
    <phoneticPr fontId="2" type="noConversion"/>
  </si>
  <si>
    <t>SD-01160-01</t>
    <phoneticPr fontId="2" type="noConversion"/>
  </si>
  <si>
    <t>JD-00956-01</t>
    <phoneticPr fontId="2" type="noConversion"/>
  </si>
  <si>
    <t>분당 400A 4P 난방</t>
    <phoneticPr fontId="2" type="noConversion"/>
  </si>
  <si>
    <t>광진기업</t>
    <phoneticPr fontId="2" type="noConversion"/>
  </si>
  <si>
    <t>교육비</t>
    <phoneticPr fontId="2" type="noConversion"/>
  </si>
  <si>
    <t>21</t>
    <phoneticPr fontId="2" type="noConversion"/>
  </si>
  <si>
    <t>선수금 361,181,600차감</t>
    <phoneticPr fontId="2" type="noConversion"/>
  </si>
  <si>
    <t>선수금 727,448,400차감</t>
    <phoneticPr fontId="2" type="noConversion"/>
  </si>
  <si>
    <t>JD-00955-01</t>
    <phoneticPr fontId="2" type="noConversion"/>
  </si>
  <si>
    <t>세종150Ax65 2P 분기티</t>
    <phoneticPr fontId="2" type="noConversion"/>
  </si>
  <si>
    <t>분기 150*65 / 2P</t>
    <phoneticPr fontId="2" type="noConversion"/>
  </si>
  <si>
    <t>한국지역난방공사 세종</t>
    <phoneticPr fontId="2" type="noConversion"/>
  </si>
  <si>
    <t>GS네오텍</t>
    <phoneticPr fontId="2" type="noConversion"/>
  </si>
  <si>
    <t>JD-00958-01</t>
    <phoneticPr fontId="2" type="noConversion"/>
  </si>
  <si>
    <t>용인 700A 4P 난방</t>
    <phoneticPr fontId="2" type="noConversion"/>
  </si>
  <si>
    <t>JD-00953-01</t>
    <phoneticPr fontId="2" type="noConversion"/>
  </si>
  <si>
    <t>한국지역난방공사 용인</t>
    <phoneticPr fontId="2" type="noConversion"/>
  </si>
  <si>
    <t>시티</t>
    <phoneticPr fontId="2" type="noConversion"/>
  </si>
  <si>
    <t>분당 80A 2P 난방</t>
    <phoneticPr fontId="2" type="noConversion"/>
  </si>
  <si>
    <t>JD-00959-01</t>
    <phoneticPr fontId="2" type="noConversion"/>
  </si>
  <si>
    <t>중앙 500A 4P 난방(야간)</t>
    <phoneticPr fontId="2" type="noConversion"/>
  </si>
  <si>
    <t>정산 기성</t>
    <phoneticPr fontId="2" type="noConversion"/>
  </si>
  <si>
    <t>2026년 1월 계산서</t>
    <phoneticPr fontId="2" type="noConversion"/>
  </si>
  <si>
    <t>분당 150A 난방 2P</t>
    <phoneticPr fontId="2" type="noConversion"/>
  </si>
  <si>
    <t>분당 125A 난방 2P</t>
    <phoneticPr fontId="2" type="noConversion"/>
  </si>
  <si>
    <t>분당 100A 난방 2P</t>
    <phoneticPr fontId="2" type="noConversion"/>
  </si>
  <si>
    <t>JD-00971-01</t>
  </si>
  <si>
    <t>JD-00971-02</t>
  </si>
  <si>
    <t>JD-00971-03</t>
  </si>
  <si>
    <t>분당 600A 난방 2P</t>
    <phoneticPr fontId="2" type="noConversion"/>
  </si>
  <si>
    <t>JD-00960-01</t>
    <phoneticPr fontId="2" type="noConversion"/>
  </si>
  <si>
    <t>분당 700A 난방 4P</t>
    <phoneticPr fontId="2" type="noConversion"/>
  </si>
  <si>
    <t>JD-00961-01</t>
    <phoneticPr fontId="2" type="noConversion"/>
  </si>
  <si>
    <t>한국지역난방공사 용인</t>
    <phoneticPr fontId="2" type="noConversion"/>
  </si>
  <si>
    <t>시티</t>
    <phoneticPr fontId="2" type="noConversion"/>
  </si>
  <si>
    <t>용인 700A 난방 6P(재차단2P)</t>
    <phoneticPr fontId="2" type="noConversion"/>
  </si>
  <si>
    <r>
      <t>양산 1000Ax750 1P neck</t>
    </r>
    <r>
      <rPr>
        <sz val="9"/>
        <color rgb="FFFF0000"/>
        <rFont val="맑은 고딕"/>
        <family val="3"/>
        <charset val="129"/>
        <scheme val="minor"/>
      </rPr>
      <t>(E&amp;C)</t>
    </r>
    <phoneticPr fontId="2" type="noConversion"/>
  </si>
  <si>
    <r>
      <t>양산 1000Ax750 1P 반패드</t>
    </r>
    <r>
      <rPr>
        <sz val="9"/>
        <color rgb="FFFF0000"/>
        <rFont val="맑은 고딕"/>
        <family val="3"/>
        <charset val="129"/>
        <scheme val="minor"/>
      </rPr>
      <t>(E&amp;C)</t>
    </r>
    <phoneticPr fontId="2" type="noConversion"/>
  </si>
  <si>
    <r>
      <t>양산 1000Ax750 1P SUS Neck피팅</t>
    </r>
    <r>
      <rPr>
        <sz val="9"/>
        <color rgb="FFFF0000"/>
        <rFont val="맑은 고딕"/>
        <family val="3"/>
        <charset val="129"/>
        <scheme val="minor"/>
      </rPr>
      <t>(E&amp;C)</t>
    </r>
    <phoneticPr fontId="2" type="noConversion"/>
  </si>
  <si>
    <t>판교 450A 2P 난방</t>
    <phoneticPr fontId="2" type="noConversion"/>
  </si>
  <si>
    <t>JD-00028-0A</t>
    <phoneticPr fontId="2" type="noConversion"/>
  </si>
  <si>
    <t>한국지역난방공사 판교</t>
    <phoneticPr fontId="2" type="noConversion"/>
  </si>
  <si>
    <t>보령 1500Ax1200 2P</t>
    <phoneticPr fontId="2" type="noConversion"/>
  </si>
  <si>
    <t>SD-00083-0A</t>
    <phoneticPr fontId="2" type="noConversion"/>
  </si>
  <si>
    <t>1500 / 2P</t>
    <phoneticPr fontId="2" type="noConversion"/>
  </si>
  <si>
    <t>청현</t>
    <phoneticPr fontId="2" type="noConversion"/>
  </si>
  <si>
    <t>(긴급)국도21호선 횡단구간 보령댐계통 광역상수도 긴급복구(복선화) 공사</t>
    <phoneticPr fontId="2" type="noConversion"/>
  </si>
  <si>
    <t>2026년 2월 계산서</t>
    <phoneticPr fontId="2" type="noConversion"/>
  </si>
  <si>
    <t>용인 200A 2P 난방</t>
    <phoneticPr fontId="2" type="noConversion"/>
  </si>
  <si>
    <t>JD-00029-0A</t>
    <phoneticPr fontId="2" type="noConversion"/>
  </si>
  <si>
    <t>지성엔지니어링</t>
    <phoneticPr fontId="2" type="noConversion"/>
  </si>
  <si>
    <t>JD-00020-0A</t>
    <phoneticPr fontId="2" type="noConversion"/>
  </si>
  <si>
    <t>대전1650Ax1200 1P</t>
    <phoneticPr fontId="2" type="noConversion"/>
  </si>
  <si>
    <t>SD-00026-0A</t>
    <phoneticPr fontId="2" type="noConversion"/>
  </si>
  <si>
    <t>SD-00025-0A</t>
    <phoneticPr fontId="2" type="noConversion"/>
  </si>
  <si>
    <t>1650/1P</t>
    <phoneticPr fontId="2" type="noConversion"/>
  </si>
  <si>
    <t>성산산업개발</t>
    <phoneticPr fontId="2" type="noConversion"/>
  </si>
  <si>
    <t>광양 1650Ax1500 1P 천공(제)</t>
    <phoneticPr fontId="2" type="noConversion"/>
  </si>
  <si>
    <t>SD-00039-0A</t>
    <phoneticPr fontId="2" type="noConversion"/>
  </si>
  <si>
    <t>1650*1500 / 1P</t>
    <phoneticPr fontId="2" type="noConversion"/>
  </si>
  <si>
    <t>구의 1650Ax1200 1P 재차단</t>
    <phoneticPr fontId="2" type="noConversion"/>
  </si>
  <si>
    <t>SD-000085-0A</t>
    <phoneticPr fontId="2" type="noConversion"/>
  </si>
  <si>
    <t>구의정수장</t>
    <phoneticPr fontId="2" type="noConversion"/>
  </si>
  <si>
    <t>동진산업</t>
    <phoneticPr fontId="2" type="noConversion"/>
  </si>
  <si>
    <t>대전1650Ax1200 1P(동진작업)</t>
    <phoneticPr fontId="2" type="noConversion"/>
  </si>
  <si>
    <t>\\Dhcmain\(주)대호스토퍼\0영업사항(견적서)\AA지역별 견적현황\2024년\전라남도\광양(1) 광양신구계통(D2000)-동명기술공단, 수공\극동건설</t>
    <phoneticPr fontId="2" type="noConversion"/>
  </si>
  <si>
    <t>\\Dhcmain\(주)대호스토퍼\0영업사항(견적서)\AA지역별 견적현황\2026년\충청남도\보령 국도21호선(1500x4P)-수공 보령권\주식회사 청현</t>
    <phoneticPr fontId="2" type="noConversion"/>
  </si>
  <si>
    <t>1회기성 간접비</t>
    <phoneticPr fontId="2" type="noConversion"/>
  </si>
  <si>
    <t>1회기성 분당</t>
    <phoneticPr fontId="2" type="noConversion"/>
  </si>
  <si>
    <t>-</t>
    <phoneticPr fontId="2" type="noConversion"/>
  </si>
  <si>
    <t>-</t>
    <phoneticPr fontId="2" type="noConversion"/>
  </si>
  <si>
    <t>용인 150A 2P 난방</t>
    <phoneticPr fontId="2" type="noConversion"/>
  </si>
  <si>
    <t>JD-00030-0A</t>
    <phoneticPr fontId="2" type="noConversion"/>
  </si>
  <si>
    <t>고덕 1500Ax 1000 2P</t>
    <phoneticPr fontId="2" type="noConversion"/>
  </si>
  <si>
    <t>JD-00033-0A</t>
    <phoneticPr fontId="2" type="noConversion"/>
  </si>
  <si>
    <t>1500 / 2P</t>
    <phoneticPr fontId="2" type="noConversion"/>
  </si>
  <si>
    <t>씨티건설</t>
    <phoneticPr fontId="2" type="noConversion"/>
  </si>
  <si>
    <t>평택시</t>
    <phoneticPr fontId="2" type="noConversion"/>
  </si>
  <si>
    <t>삼송 500A 2P 난방</t>
    <phoneticPr fontId="2" type="noConversion"/>
  </si>
  <si>
    <t>JD-00031-0A</t>
    <phoneticPr fontId="2" type="noConversion"/>
  </si>
  <si>
    <t>시티</t>
    <phoneticPr fontId="2" type="noConversion"/>
  </si>
  <si>
    <t>2024년 열수송관 천공 및 차단공사(2권역)</t>
    <phoneticPr fontId="2" type="noConversion"/>
  </si>
  <si>
    <t>제이에스씨, 정우건설</t>
    <phoneticPr fontId="2" type="noConversion"/>
  </si>
  <si>
    <t>충주 500Ax400 2P 주철</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</si>
</sst>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4" formatCode="_-&quot;₩&quot;* #,##0.00_-;\-&quot;₩&quot;* #,##0.00_-;_-&quot;₩&quot;* &quot;-&quot;??_-;_-@_-"/>
    <numFmt numFmtId="176" formatCode="_(* #,##0_);_(* \(#,##0\);_(* &quot;-&quot;_);_(@_)"/>
    <numFmt numFmtId="177" formatCode="####&quot;A&quot;"/>
    <numFmt numFmtId="178" formatCode="yy&quot;-&quot;m&quot;-&quot;d;@"/>
    <numFmt numFmtId="179" formatCode="@&quot;회&quot;"/>
    <numFmt numFmtId="180" formatCode="0_);[Red]\(0\)"/>
    <numFmt numFmtId="181" formatCode="#,##0.000_);\(#,##0.000\)"/>
  </numFmts>
  <fonts count="34"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0"/>
      <color theme="1"/>
      <name val="맑은 고딕"/>
      <family val="3"/>
      <charset val="129"/>
      <scheme val="minor"/>
    </font>
    <font>
      <sz val="9"/>
      <color theme="1"/>
      <name val="맑은 고딕"/>
      <family val="3"/>
      <charset val="129"/>
      <scheme val="minor"/>
    </font>
    <font>
      <sz val="9"/>
      <color theme="1"/>
      <name val="맑은 고딕"/>
      <family val="2"/>
      <charset val="129"/>
      <scheme val="minor"/>
    </font>
    <font>
      <sz val="11"/>
      <color theme="1"/>
      <name val="맑은 고딕"/>
      <family val="3"/>
      <charset val="129"/>
      <scheme val="minor"/>
    </font>
    <font>
      <b/>
      <sz val="11"/>
      <color rgb="FF0070C0"/>
      <name val="맑은 고딕"/>
      <family val="3"/>
      <charset val="129"/>
      <scheme val="minor"/>
    </font>
    <font>
      <sz val="11"/>
      <color rgb="FF0070C0"/>
      <name val="맑은 고딕"/>
      <family val="3"/>
      <charset val="129"/>
      <scheme val="minor"/>
    </font>
    <font>
      <sz val="9"/>
      <color rgb="FFFF0000"/>
      <name val="맑은 고딕"/>
      <family val="3"/>
      <charset val="129"/>
      <scheme val="minor"/>
    </font>
    <font>
      <sz val="9"/>
      <name val="맑은 고딕"/>
      <family val="3"/>
      <charset val="129"/>
      <scheme val="minor"/>
    </font>
    <font>
      <b/>
      <sz val="9"/>
      <name val="맑은 고딕"/>
      <family val="3"/>
      <charset val="129"/>
      <scheme val="minor"/>
    </font>
    <font>
      <b/>
      <sz val="9"/>
      <color theme="1"/>
      <name val="맑은 고딕"/>
      <family val="3"/>
      <charset val="129"/>
      <scheme val="minor"/>
    </font>
    <font>
      <sz val="9"/>
      <color indexed="81"/>
      <name val="Tahoma"/>
      <family val="2"/>
    </font>
    <font>
      <sz val="9"/>
      <color indexed="81"/>
      <name val="돋움"/>
      <family val="3"/>
      <charset val="129"/>
    </font>
    <font>
      <b/>
      <sz val="9"/>
      <color indexed="81"/>
      <name val="Tahoma"/>
      <family val="2"/>
    </font>
    <font>
      <sz val="11"/>
      <name val="돋움체"/>
      <family val="3"/>
      <charset val="129"/>
    </font>
    <font>
      <u/>
      <sz val="11"/>
      <color theme="10"/>
      <name val="맑은 고딕"/>
      <family val="3"/>
      <charset val="129"/>
      <scheme val="minor"/>
    </font>
    <font>
      <b/>
      <sz val="14"/>
      <color rgb="FFFF0000"/>
      <name val="맑은 고딕"/>
      <family val="3"/>
      <charset val="129"/>
      <scheme val="minor"/>
    </font>
    <font>
      <b/>
      <sz val="10"/>
      <color theme="1"/>
      <name val="맑은 고딕"/>
      <family val="3"/>
      <charset val="129"/>
      <scheme val="minor"/>
    </font>
    <font>
      <b/>
      <sz val="11"/>
      <color theme="1"/>
      <name val="맑은 고딕"/>
      <family val="3"/>
      <charset val="129"/>
      <scheme val="minor"/>
    </font>
    <font>
      <b/>
      <sz val="9"/>
      <color rgb="FFFF0000"/>
      <name val="맑은 고딕"/>
      <family val="3"/>
      <charset val="129"/>
      <scheme val="minor"/>
    </font>
    <font>
      <sz val="9"/>
      <color rgb="FFFF3300"/>
      <name val="맑은 고딕"/>
      <family val="3"/>
      <charset val="129"/>
      <scheme val="minor"/>
    </font>
    <font>
      <b/>
      <sz val="18"/>
      <color theme="1"/>
      <name val="맑은 고딕"/>
      <family val="3"/>
      <charset val="129"/>
      <scheme val="minor"/>
    </font>
    <font>
      <sz val="10"/>
      <color indexed="81"/>
      <name val="돋움"/>
      <family val="3"/>
      <charset val="129"/>
    </font>
    <font>
      <sz val="10"/>
      <color indexed="81"/>
      <name val="Tahoma"/>
      <family val="2"/>
    </font>
    <font>
      <sz val="9"/>
      <color rgb="FF0000FF"/>
      <name val="맑은 고딕"/>
      <family val="3"/>
      <charset val="129"/>
      <scheme val="minor"/>
    </font>
    <font>
      <strike/>
      <sz val="9"/>
      <color rgb="FFFF0000"/>
      <name val="맑은 고딕"/>
      <family val="3"/>
      <charset val="129"/>
      <scheme val="minor"/>
    </font>
    <font>
      <sz val="9"/>
      <color theme="1"/>
      <name val="맑은 고딕"/>
      <family val="3"/>
      <charset val="128"/>
      <scheme val="minor"/>
    </font>
    <font>
      <sz val="11"/>
      <color theme="0"/>
      <name val="맑은 고딕"/>
      <family val="2"/>
      <charset val="129"/>
      <scheme val="minor"/>
    </font>
    <font>
      <b/>
      <sz val="11"/>
      <color theme="0"/>
      <name val="맑은 고딕"/>
      <family val="3"/>
      <charset val="129"/>
      <scheme val="minor"/>
    </font>
    <font>
      <sz val="11"/>
      <name val="돋움"/>
      <family val="3"/>
      <charset val="129"/>
    </font>
    <font>
      <sz val="8"/>
      <name val="돋움"/>
      <family val="3"/>
      <charset val="129"/>
    </font>
  </fonts>
  <fills count="18">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5"/>
      </patternFill>
    </fill>
    <fill>
      <patternFill patternType="solid">
        <fgColor rgb="FF00B050"/>
        <bgColor indexed="64"/>
      </patternFill>
    </fill>
  </fills>
  <borders count="12">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style="hair">
        <color auto="1"/>
      </left>
      <right style="hair">
        <color auto="1"/>
      </right>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s>
  <cellStyleXfs count="8">
    <xf numFmtId="0" fontId="0" fillId="0" borderId="0">
      <alignment vertical="center"/>
    </xf>
    <xf numFmtId="176"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17" fillId="0" borderId="0"/>
    <xf numFmtId="0" fontId="30" fillId="16" borderId="0" applyNumberFormat="0" applyBorder="0" applyAlignment="0" applyProtection="0">
      <alignment vertical="center"/>
    </xf>
    <xf numFmtId="0" fontId="32" fillId="0" borderId="0">
      <alignment vertical="center"/>
    </xf>
    <xf numFmtId="41" fontId="32" fillId="0" borderId="0" applyFont="0" applyFill="0" applyBorder="0" applyAlignment="0" applyProtection="0">
      <alignment vertical="center"/>
    </xf>
    <xf numFmtId="41" fontId="32" fillId="0" borderId="0" applyFont="0" applyFill="0" applyBorder="0" applyAlignment="0" applyProtection="0"/>
  </cellStyleXfs>
  <cellXfs count="318">
    <xf numFmtId="0" fontId="0" fillId="0" borderId="0" xfId="0">
      <alignment vertical="center"/>
    </xf>
    <xf numFmtId="0" fontId="0" fillId="0" borderId="0" xfId="0"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6" fontId="0" fillId="0" borderId="0" xfId="1" applyFont="1">
      <alignment vertical="center"/>
    </xf>
    <xf numFmtId="0" fontId="4" fillId="0" borderId="0" xfId="0" applyFont="1" applyAlignment="1">
      <alignment horizontal="center" vertical="center"/>
    </xf>
    <xf numFmtId="177" fontId="4" fillId="0" borderId="0" xfId="0" applyNumberFormat="1" applyFont="1" applyAlignment="1">
      <alignment horizontal="center" vertical="center"/>
    </xf>
    <xf numFmtId="178" fontId="4" fillId="0" borderId="0" xfId="0" applyNumberFormat="1" applyFont="1" applyAlignment="1">
      <alignment horizontal="center" vertical="center"/>
    </xf>
    <xf numFmtId="176" fontId="4" fillId="0" borderId="0" xfId="1" applyFont="1">
      <alignment vertical="center"/>
    </xf>
    <xf numFmtId="0" fontId="4" fillId="0" borderId="0" xfId="0" applyFont="1">
      <alignment vertical="center"/>
    </xf>
    <xf numFmtId="0" fontId="5" fillId="0" borderId="0" xfId="0" applyFont="1" applyAlignment="1">
      <alignment horizontal="center" vertical="center"/>
    </xf>
    <xf numFmtId="177" fontId="5" fillId="0" borderId="0" xfId="0" applyNumberFormat="1" applyFont="1" applyAlignment="1">
      <alignment horizontal="center" vertical="center"/>
    </xf>
    <xf numFmtId="178" fontId="5" fillId="0" borderId="0" xfId="0" applyNumberFormat="1" applyFont="1" applyAlignment="1">
      <alignment horizontal="center" vertical="center"/>
    </xf>
    <xf numFmtId="176" fontId="5" fillId="0" borderId="0" xfId="1" applyFont="1">
      <alignment vertical="center"/>
    </xf>
    <xf numFmtId="0" fontId="0" fillId="0" borderId="1" xfId="0" applyBorder="1">
      <alignment vertical="center"/>
    </xf>
    <xf numFmtId="0" fontId="5" fillId="0" borderId="1" xfId="0" applyFont="1" applyBorder="1" applyAlignment="1">
      <alignment horizontal="center" vertical="center"/>
    </xf>
    <xf numFmtId="177" fontId="5" fillId="0" borderId="1" xfId="0" applyNumberFormat="1" applyFont="1" applyBorder="1" applyAlignment="1">
      <alignment horizontal="center" vertical="center"/>
    </xf>
    <xf numFmtId="178" fontId="5" fillId="0" borderId="1" xfId="0" applyNumberFormat="1" applyFont="1" applyBorder="1" applyAlignment="1">
      <alignment horizontal="center" vertical="center"/>
    </xf>
    <xf numFmtId="176" fontId="5" fillId="0" borderId="1" xfId="1" applyFont="1" applyBorder="1" applyAlignment="1">
      <alignment horizontal="center" vertical="center"/>
    </xf>
    <xf numFmtId="176" fontId="5" fillId="0" borderId="1" xfId="1" applyFont="1" applyBorder="1">
      <alignment vertical="center"/>
    </xf>
    <xf numFmtId="0" fontId="5" fillId="0" borderId="1" xfId="0" applyFont="1" applyBorder="1">
      <alignment vertical="center"/>
    </xf>
    <xf numFmtId="0" fontId="5" fillId="0" borderId="0" xfId="0" applyFont="1">
      <alignment vertical="center"/>
    </xf>
    <xf numFmtId="0" fontId="5" fillId="0" borderId="1" xfId="0" applyFont="1" applyBorder="1" applyAlignment="1">
      <alignment vertical="center" wrapText="1"/>
    </xf>
    <xf numFmtId="0" fontId="6" fillId="0" borderId="1" xfId="0" applyFont="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177"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49" fontId="0" fillId="0" borderId="0" xfId="0" applyNumberFormat="1" applyAlignment="1">
      <alignment horizontal="center" vertical="center"/>
    </xf>
    <xf numFmtId="49" fontId="5" fillId="0" borderId="1" xfId="0" applyNumberFormat="1" applyFont="1" applyBorder="1" applyAlignment="1">
      <alignment horizontal="center" vertical="center"/>
    </xf>
    <xf numFmtId="49" fontId="5" fillId="0" borderId="1" xfId="0" quotePrefix="1" applyNumberFormat="1" applyFont="1" applyBorder="1" applyAlignment="1">
      <alignment horizontal="center" vertical="center"/>
    </xf>
    <xf numFmtId="49" fontId="5" fillId="0" borderId="0" xfId="0" applyNumberFormat="1" applyFont="1" applyAlignment="1">
      <alignment horizontal="center" vertical="center"/>
    </xf>
    <xf numFmtId="49" fontId="4" fillId="0" borderId="0" xfId="0" applyNumberFormat="1" applyFont="1" applyAlignment="1">
      <alignment horizontal="center" vertical="center"/>
    </xf>
    <xf numFmtId="178" fontId="5" fillId="0" borderId="2" xfId="0" applyNumberFormat="1" applyFont="1" applyBorder="1" applyAlignment="1">
      <alignment horizontal="center" vertical="center"/>
    </xf>
    <xf numFmtId="176" fontId="8" fillId="0" borderId="1" xfId="1" applyFont="1" applyBorder="1" applyAlignment="1">
      <alignment horizontal="center" vertical="center"/>
    </xf>
    <xf numFmtId="178" fontId="5" fillId="0" borderId="1" xfId="1" applyNumberFormat="1" applyFont="1" applyBorder="1" applyAlignment="1">
      <alignment horizontal="center" vertical="center"/>
    </xf>
    <xf numFmtId="178" fontId="0" fillId="0" borderId="0" xfId="1" applyNumberFormat="1" applyFont="1" applyAlignment="1">
      <alignment horizontal="center" vertical="center"/>
    </xf>
    <xf numFmtId="0" fontId="0" fillId="0" borderId="0" xfId="0" applyAlignment="1">
      <alignment vertical="center" wrapText="1"/>
    </xf>
    <xf numFmtId="0" fontId="3" fillId="0" borderId="1" xfId="2" applyBorder="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xf>
    <xf numFmtId="176" fontId="6" fillId="0" borderId="1" xfId="1" applyFont="1" applyBorder="1">
      <alignment vertical="center"/>
    </xf>
    <xf numFmtId="176" fontId="10" fillId="0" borderId="1" xfId="1" applyFont="1" applyBorder="1">
      <alignment vertical="center"/>
    </xf>
    <xf numFmtId="176" fontId="11" fillId="6" borderId="1" xfId="1" applyFont="1" applyFill="1" applyBorder="1">
      <alignment vertical="center"/>
    </xf>
    <xf numFmtId="176" fontId="6" fillId="0" borderId="1" xfId="0" applyNumberFormat="1" applyFont="1" applyBorder="1">
      <alignment vertical="center"/>
    </xf>
    <xf numFmtId="176" fontId="5" fillId="6" borderId="1" xfId="1" applyFont="1" applyFill="1" applyBorder="1">
      <alignment vertical="center"/>
    </xf>
    <xf numFmtId="176" fontId="5" fillId="0" borderId="8" xfId="1" applyFont="1" applyBorder="1">
      <alignment vertical="center"/>
    </xf>
    <xf numFmtId="178" fontId="5" fillId="0" borderId="4" xfId="0" applyNumberFormat="1" applyFont="1" applyBorder="1" applyAlignment="1">
      <alignment horizontal="center" vertical="center"/>
    </xf>
    <xf numFmtId="178" fontId="5" fillId="0" borderId="5" xfId="0" applyNumberFormat="1" applyFont="1" applyBorder="1" applyAlignment="1">
      <alignment horizontal="center" vertical="center"/>
    </xf>
    <xf numFmtId="177" fontId="5" fillId="0" borderId="5"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3" xfId="0" applyNumberFormat="1" applyFont="1" applyBorder="1" applyAlignment="1">
      <alignment horizontal="center" vertical="center"/>
    </xf>
    <xf numFmtId="176" fontId="5" fillId="0" borderId="3" xfId="1" applyFont="1" applyBorder="1" applyAlignment="1">
      <alignment horizontal="center" vertical="center"/>
    </xf>
    <xf numFmtId="0" fontId="5" fillId="0" borderId="3" xfId="0" applyFont="1" applyBorder="1" applyAlignment="1">
      <alignment horizontal="center" vertical="center"/>
    </xf>
    <xf numFmtId="178" fontId="5" fillId="0" borderId="3" xfId="0" applyNumberFormat="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7" borderId="1" xfId="0" applyFont="1" applyFill="1" applyBorder="1" applyAlignment="1">
      <alignment vertical="center" wrapText="1"/>
    </xf>
    <xf numFmtId="0" fontId="5" fillId="6" borderId="1" xfId="0" applyFont="1" applyFill="1" applyBorder="1" applyAlignment="1">
      <alignment vertical="center" wrapText="1"/>
    </xf>
    <xf numFmtId="0" fontId="11" fillId="6" borderId="1" xfId="0" applyFont="1" applyFill="1" applyBorder="1" applyAlignment="1">
      <alignment vertical="center" wrapText="1"/>
    </xf>
    <xf numFmtId="0" fontId="11" fillId="6" borderId="1" xfId="0" applyFont="1" applyFill="1" applyBorder="1">
      <alignment vertical="center"/>
    </xf>
    <xf numFmtId="0" fontId="5" fillId="9" borderId="6" xfId="0" applyFont="1" applyFill="1" applyBorder="1" applyAlignment="1">
      <alignment vertical="center" wrapText="1"/>
    </xf>
    <xf numFmtId="0" fontId="18" fillId="0" borderId="1" xfId="2" applyFont="1" applyBorder="1" applyAlignment="1">
      <alignment vertical="center" wrapText="1"/>
    </xf>
    <xf numFmtId="178" fontId="5" fillId="9" borderId="1" xfId="0" applyNumberFormat="1" applyFont="1" applyFill="1" applyBorder="1" applyAlignment="1">
      <alignment horizontal="center" vertical="center"/>
    </xf>
    <xf numFmtId="0" fontId="5" fillId="9" borderId="1" xfId="0" applyFont="1" applyFill="1" applyBorder="1" applyAlignment="1">
      <alignment horizontal="center" vertical="center"/>
    </xf>
    <xf numFmtId="177" fontId="5" fillId="9" borderId="1" xfId="0" applyNumberFormat="1" applyFont="1" applyFill="1" applyBorder="1" applyAlignment="1">
      <alignment horizontal="center" vertical="center"/>
    </xf>
    <xf numFmtId="49" fontId="5" fillId="9" borderId="1" xfId="0" applyNumberFormat="1" applyFont="1" applyFill="1" applyBorder="1" applyAlignment="1">
      <alignment horizontal="center" vertical="center"/>
    </xf>
    <xf numFmtId="176" fontId="5" fillId="9" borderId="1" xfId="1" applyFont="1" applyFill="1" applyBorder="1">
      <alignment vertical="center"/>
    </xf>
    <xf numFmtId="178" fontId="5" fillId="9" borderId="1" xfId="1" applyNumberFormat="1" applyFont="1" applyFill="1" applyBorder="1" applyAlignment="1">
      <alignment horizontal="center" vertical="center"/>
    </xf>
    <xf numFmtId="176" fontId="5" fillId="9" borderId="1" xfId="1" applyFont="1" applyFill="1" applyBorder="1" applyAlignment="1">
      <alignment horizontal="center" vertical="center"/>
    </xf>
    <xf numFmtId="0" fontId="5" fillId="9" borderId="1" xfId="0" applyFont="1" applyFill="1" applyBorder="1">
      <alignment vertical="center"/>
    </xf>
    <xf numFmtId="176" fontId="9" fillId="9" borderId="1" xfId="1" applyFont="1" applyFill="1" applyBorder="1" applyAlignment="1">
      <alignment horizontal="center" vertical="center"/>
    </xf>
    <xf numFmtId="178" fontId="13" fillId="9" borderId="1" xfId="0" applyNumberFormat="1" applyFont="1" applyFill="1" applyBorder="1" applyAlignment="1">
      <alignment horizontal="center" vertical="center"/>
    </xf>
    <xf numFmtId="176" fontId="5" fillId="8" borderId="1" xfId="1" applyFont="1" applyFill="1" applyBorder="1">
      <alignment vertical="center"/>
    </xf>
    <xf numFmtId="178" fontId="5" fillId="8" borderId="1" xfId="0" applyNumberFormat="1" applyFont="1" applyFill="1" applyBorder="1" applyAlignment="1">
      <alignment horizontal="center" vertical="center"/>
    </xf>
    <xf numFmtId="0" fontId="5" fillId="8" borderId="1" xfId="0" applyFont="1" applyFill="1" applyBorder="1">
      <alignment vertical="center"/>
    </xf>
    <xf numFmtId="49" fontId="5" fillId="0" borderId="1" xfId="0" applyNumberFormat="1" applyFont="1" applyBorder="1" applyAlignment="1">
      <alignment horizontal="center" vertical="center" wrapText="1"/>
    </xf>
    <xf numFmtId="176" fontId="10" fillId="0" borderId="1" xfId="1" applyFont="1" applyBorder="1" applyAlignment="1">
      <alignment horizontal="center" vertical="center"/>
    </xf>
    <xf numFmtId="176" fontId="5" fillId="0" borderId="1" xfId="0" applyNumberFormat="1" applyFont="1" applyBorder="1">
      <alignment vertical="center"/>
    </xf>
    <xf numFmtId="178" fontId="5" fillId="10" borderId="1" xfId="0" applyNumberFormat="1" applyFont="1" applyFill="1" applyBorder="1" applyAlignment="1">
      <alignment horizontal="center" vertical="center"/>
    </xf>
    <xf numFmtId="178" fontId="5" fillId="6" borderId="1" xfId="0" applyNumberFormat="1" applyFont="1" applyFill="1" applyBorder="1" applyAlignment="1">
      <alignment horizontal="center" vertical="center"/>
    </xf>
    <xf numFmtId="0" fontId="10" fillId="0" borderId="1" xfId="0" applyFont="1"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176" fontId="11" fillId="0" borderId="1" xfId="1" applyFont="1" applyBorder="1">
      <alignment vertical="center"/>
    </xf>
    <xf numFmtId="178" fontId="11" fillId="0" borderId="1" xfId="0" applyNumberFormat="1" applyFont="1" applyBorder="1" applyAlignment="1">
      <alignment horizontal="center" vertical="center"/>
    </xf>
    <xf numFmtId="178" fontId="0" fillId="0" borderId="0" xfId="1" applyNumberFormat="1" applyFont="1">
      <alignment vertical="center"/>
    </xf>
    <xf numFmtId="178" fontId="4" fillId="0" borderId="0" xfId="1" applyNumberFormat="1" applyFont="1">
      <alignment vertical="center"/>
    </xf>
    <xf numFmtId="176" fontId="13" fillId="9" borderId="1" xfId="1" applyFont="1" applyFill="1" applyBorder="1" applyAlignment="1">
      <alignment horizontal="center" vertical="center"/>
    </xf>
    <xf numFmtId="179" fontId="0" fillId="0" borderId="0" xfId="0" applyNumberFormat="1" applyAlignment="1">
      <alignment horizontal="center" vertical="center"/>
    </xf>
    <xf numFmtId="179" fontId="5" fillId="0" borderId="1" xfId="0" applyNumberFormat="1" applyFont="1" applyBorder="1" applyAlignment="1">
      <alignment horizontal="center" vertical="center"/>
    </xf>
    <xf numFmtId="179" fontId="5" fillId="0" borderId="0" xfId="0" applyNumberFormat="1" applyFont="1" applyAlignment="1">
      <alignment horizontal="center" vertical="center"/>
    </xf>
    <xf numFmtId="179" fontId="4" fillId="0" borderId="0" xfId="0" applyNumberFormat="1" applyFont="1" applyAlignment="1">
      <alignment horizontal="center" vertical="center"/>
    </xf>
    <xf numFmtId="178" fontId="5" fillId="0" borderId="1" xfId="0" applyNumberFormat="1" applyFont="1" applyBorder="1" applyAlignment="1">
      <alignment horizontal="center" vertical="center" wrapText="1"/>
    </xf>
    <xf numFmtId="178" fontId="5"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178" fontId="0" fillId="0" borderId="0" xfId="0" applyNumberFormat="1" applyAlignment="1">
      <alignment horizontal="center" vertical="center" wrapText="1"/>
    </xf>
    <xf numFmtId="176" fontId="5" fillId="11" borderId="1" xfId="1" applyFont="1" applyFill="1" applyBorder="1" applyAlignment="1">
      <alignment horizontal="center" vertical="center"/>
    </xf>
    <xf numFmtId="176" fontId="5" fillId="11" borderId="1" xfId="1" applyFont="1" applyFill="1" applyBorder="1">
      <alignment vertical="center"/>
    </xf>
    <xf numFmtId="176" fontId="5" fillId="11" borderId="8" xfId="1" applyFont="1" applyFill="1" applyBorder="1">
      <alignment vertical="center"/>
    </xf>
    <xf numFmtId="178" fontId="7" fillId="0" borderId="0" xfId="0" applyNumberFormat="1" applyFont="1">
      <alignment vertical="center"/>
    </xf>
    <xf numFmtId="0" fontId="5" fillId="6" borderId="1" xfId="0" applyFont="1" applyFill="1" applyBorder="1">
      <alignment vertical="center"/>
    </xf>
    <xf numFmtId="178" fontId="5" fillId="12" borderId="1" xfId="0" applyNumberFormat="1" applyFont="1" applyFill="1" applyBorder="1" applyAlignment="1">
      <alignment horizontal="center" vertical="center"/>
    </xf>
    <xf numFmtId="0" fontId="5" fillId="12" borderId="1" xfId="0" applyFont="1" applyFill="1" applyBorder="1">
      <alignment vertical="center"/>
    </xf>
    <xf numFmtId="176" fontId="5" fillId="12" borderId="1" xfId="1" applyFont="1" applyFill="1" applyBorder="1">
      <alignment vertical="center"/>
    </xf>
    <xf numFmtId="176" fontId="21" fillId="3" borderId="1" xfId="1" applyFont="1" applyFill="1" applyBorder="1" applyAlignment="1">
      <alignment horizontal="center" vertical="center"/>
    </xf>
    <xf numFmtId="178" fontId="5" fillId="3" borderId="1" xfId="0" applyNumberFormat="1" applyFont="1" applyFill="1" applyBorder="1" applyAlignment="1">
      <alignment horizontal="center" vertical="center"/>
    </xf>
    <xf numFmtId="176" fontId="5" fillId="3" borderId="1" xfId="1" applyFont="1" applyFill="1" applyBorder="1">
      <alignment vertical="center"/>
    </xf>
    <xf numFmtId="10" fontId="4" fillId="0" borderId="0" xfId="1" applyNumberFormat="1" applyFont="1">
      <alignment vertical="center"/>
    </xf>
    <xf numFmtId="0" fontId="5" fillId="10" borderId="1" xfId="0" applyFont="1" applyFill="1" applyBorder="1" applyAlignment="1">
      <alignment vertical="center" wrapText="1"/>
    </xf>
    <xf numFmtId="0" fontId="5" fillId="6" borderId="1" xfId="0" applyFont="1" applyFill="1" applyBorder="1" applyAlignment="1">
      <alignment horizontal="center" vertical="center"/>
    </xf>
    <xf numFmtId="177"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center" vertical="center"/>
    </xf>
    <xf numFmtId="176" fontId="5" fillId="6" borderId="1" xfId="1" applyFont="1" applyFill="1" applyBorder="1" applyAlignment="1">
      <alignment horizontal="center" vertical="center"/>
    </xf>
    <xf numFmtId="178"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177" fontId="10"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0" fontId="10" fillId="0" borderId="1" xfId="0" applyFont="1" applyBorder="1" applyAlignment="1">
      <alignment vertical="center" wrapText="1"/>
    </xf>
    <xf numFmtId="0" fontId="13" fillId="0" borderId="1" xfId="0" applyFont="1" applyBorder="1" applyAlignment="1">
      <alignment vertical="center" wrapText="1"/>
    </xf>
    <xf numFmtId="176" fontId="6" fillId="10" borderId="1" xfId="1" applyFont="1" applyFill="1" applyBorder="1">
      <alignment vertical="center"/>
    </xf>
    <xf numFmtId="176" fontId="5" fillId="10" borderId="1" xfId="1" applyFont="1" applyFill="1" applyBorder="1">
      <alignment vertical="center"/>
    </xf>
    <xf numFmtId="176" fontId="11" fillId="10" borderId="1" xfId="1" applyFont="1" applyFill="1" applyBorder="1">
      <alignment vertical="center"/>
    </xf>
    <xf numFmtId="0" fontId="3" fillId="0" borderId="1" xfId="2" applyBorder="1" applyAlignment="1">
      <alignment vertical="center"/>
    </xf>
    <xf numFmtId="176" fontId="5" fillId="0" borderId="2" xfId="1" applyFont="1" applyBorder="1" applyAlignment="1">
      <alignment vertical="center"/>
    </xf>
    <xf numFmtId="176" fontId="13" fillId="10" borderId="1" xfId="1" applyFont="1" applyFill="1" applyBorder="1" applyAlignment="1">
      <alignment horizontal="center" vertical="center"/>
    </xf>
    <xf numFmtId="176" fontId="5" fillId="0" borderId="1" xfId="1" applyFont="1" applyFill="1" applyBorder="1" applyAlignment="1">
      <alignment horizontal="center" vertical="center"/>
    </xf>
    <xf numFmtId="177" fontId="11" fillId="0" borderId="1" xfId="0" applyNumberFormat="1" applyFont="1" applyBorder="1" applyAlignment="1">
      <alignment horizontal="center" vertical="center"/>
    </xf>
    <xf numFmtId="176" fontId="5" fillId="10" borderId="1" xfId="1" applyFont="1" applyFill="1" applyBorder="1" applyAlignment="1">
      <alignment horizontal="center" vertical="center"/>
    </xf>
    <xf numFmtId="178" fontId="5" fillId="0" borderId="3" xfId="0" applyNumberFormat="1" applyFont="1" applyBorder="1">
      <alignment vertical="center"/>
    </xf>
    <xf numFmtId="178" fontId="5" fillId="14" borderId="1" xfId="0" applyNumberFormat="1" applyFont="1" applyFill="1" applyBorder="1" applyAlignment="1">
      <alignment horizontal="center" vertical="center"/>
    </xf>
    <xf numFmtId="180" fontId="5" fillId="0" borderId="1" xfId="0" applyNumberFormat="1" applyFont="1" applyBorder="1" applyAlignment="1">
      <alignment horizontal="center" vertical="center"/>
    </xf>
    <xf numFmtId="176" fontId="11" fillId="0" borderId="1" xfId="1" applyFont="1" applyBorder="1" applyAlignment="1">
      <alignment horizontal="center" vertical="center"/>
    </xf>
    <xf numFmtId="178" fontId="27" fillId="0" borderId="1" xfId="0" applyNumberFormat="1" applyFont="1" applyBorder="1" applyAlignment="1">
      <alignment horizontal="center" vertical="center"/>
    </xf>
    <xf numFmtId="176" fontId="5" fillId="9" borderId="1" xfId="0" applyNumberFormat="1" applyFont="1" applyFill="1" applyBorder="1">
      <alignment vertical="center"/>
    </xf>
    <xf numFmtId="176" fontId="27" fillId="0" borderId="1" xfId="1" applyFont="1" applyBorder="1">
      <alignment vertical="center"/>
    </xf>
    <xf numFmtId="176" fontId="27" fillId="0" borderId="1" xfId="1" applyFont="1" applyBorder="1" applyAlignment="1">
      <alignment horizontal="center" vertical="center"/>
    </xf>
    <xf numFmtId="178" fontId="5" fillId="0" borderId="3" xfId="0" applyNumberFormat="1" applyFont="1" applyBorder="1" applyAlignment="1">
      <alignment horizontal="center" vertical="center" wrapText="1"/>
    </xf>
    <xf numFmtId="0" fontId="11" fillId="0" borderId="1" xfId="0" applyFont="1" applyBorder="1" applyAlignment="1">
      <alignment vertical="center" wrapText="1"/>
    </xf>
    <xf numFmtId="0" fontId="5" fillId="8" borderId="4" xfId="0" applyFont="1" applyFill="1" applyBorder="1">
      <alignment vertical="center"/>
    </xf>
    <xf numFmtId="0" fontId="5" fillId="12" borderId="4" xfId="0" applyFont="1" applyFill="1" applyBorder="1">
      <alignment vertical="center"/>
    </xf>
    <xf numFmtId="176" fontId="5" fillId="0" borderId="0" xfId="1" applyFont="1" applyBorder="1" applyAlignment="1">
      <alignment horizontal="center" vertical="center"/>
    </xf>
    <xf numFmtId="176" fontId="5" fillId="15" borderId="1" xfId="1" applyFont="1" applyFill="1" applyBorder="1" applyAlignment="1">
      <alignment horizontal="center" vertical="center"/>
    </xf>
    <xf numFmtId="176" fontId="5" fillId="13" borderId="1" xfId="1" applyFont="1" applyFill="1" applyBorder="1" applyAlignment="1">
      <alignment horizontal="center" vertical="center"/>
    </xf>
    <xf numFmtId="177" fontId="5" fillId="0" borderId="4" xfId="0" applyNumberFormat="1" applyFont="1" applyBorder="1" applyAlignment="1">
      <alignment horizontal="center" vertical="center"/>
    </xf>
    <xf numFmtId="0" fontId="5"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49" fontId="5" fillId="10" borderId="6" xfId="0" applyNumberFormat="1" applyFont="1" applyFill="1" applyBorder="1" applyAlignment="1">
      <alignment horizontal="center" vertical="center"/>
    </xf>
    <xf numFmtId="178" fontId="28" fillId="0" borderId="1" xfId="0" applyNumberFormat="1" applyFont="1" applyBorder="1" applyAlignment="1">
      <alignment horizontal="center" vertical="center"/>
    </xf>
    <xf numFmtId="0" fontId="28" fillId="0" borderId="1" xfId="0" applyFont="1" applyBorder="1" applyAlignment="1">
      <alignment vertical="center" wrapText="1"/>
    </xf>
    <xf numFmtId="0" fontId="28" fillId="0" borderId="1" xfId="0" applyFont="1" applyBorder="1" applyAlignment="1">
      <alignment horizontal="center" vertical="center"/>
    </xf>
    <xf numFmtId="177" fontId="28"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76" fontId="28" fillId="0" borderId="1" xfId="1" applyFont="1" applyBorder="1">
      <alignment vertical="center"/>
    </xf>
    <xf numFmtId="176" fontId="28" fillId="0" borderId="1" xfId="1" applyFont="1" applyBorder="1" applyAlignment="1">
      <alignment horizontal="center" vertical="center"/>
    </xf>
    <xf numFmtId="176" fontId="27" fillId="0" borderId="1" xfId="1" applyFont="1" applyFill="1" applyBorder="1">
      <alignment vertical="center"/>
    </xf>
    <xf numFmtId="0" fontId="5" fillId="0" borderId="6" xfId="0" applyFont="1" applyBorder="1" applyAlignment="1">
      <alignment vertical="center" wrapText="1"/>
    </xf>
    <xf numFmtId="178" fontId="27" fillId="6" borderId="1" xfId="0" applyNumberFormat="1" applyFont="1" applyFill="1" applyBorder="1" applyAlignment="1">
      <alignment horizontal="center" vertical="center"/>
    </xf>
    <xf numFmtId="181" fontId="0" fillId="0" borderId="0" xfId="1" applyNumberFormat="1" applyFont="1">
      <alignment vertical="center"/>
    </xf>
    <xf numFmtId="176" fontId="20" fillId="0" borderId="0" xfId="1" applyFont="1">
      <alignment vertical="center"/>
    </xf>
    <xf numFmtId="10" fontId="20" fillId="0" borderId="0" xfId="1" applyNumberFormat="1" applyFont="1">
      <alignment vertical="center"/>
    </xf>
    <xf numFmtId="0" fontId="31" fillId="4" borderId="0" xfId="4" applyFont="1" applyFill="1" applyAlignment="1">
      <alignment horizontal="center" vertical="center"/>
    </xf>
    <xf numFmtId="49" fontId="31" fillId="4" borderId="0" xfId="4" applyNumberFormat="1" applyFont="1" applyFill="1" applyAlignment="1">
      <alignment horizontal="center" vertical="center"/>
    </xf>
    <xf numFmtId="176" fontId="31" fillId="4" borderId="0" xfId="4" applyNumberFormat="1" applyFont="1" applyFill="1">
      <alignment vertical="center"/>
    </xf>
    <xf numFmtId="49" fontId="11" fillId="6" borderId="1" xfId="0" applyNumberFormat="1" applyFont="1" applyFill="1" applyBorder="1" applyAlignment="1">
      <alignment horizontal="center" vertical="center"/>
    </xf>
    <xf numFmtId="178" fontId="10" fillId="6" borderId="1" xfId="0" applyNumberFormat="1" applyFont="1" applyFill="1" applyBorder="1" applyAlignment="1">
      <alignment horizontal="center" vertical="center"/>
    </xf>
    <xf numFmtId="0" fontId="10" fillId="6" borderId="1" xfId="0" applyFont="1" applyFill="1" applyBorder="1" applyAlignment="1">
      <alignment vertical="center" wrapText="1"/>
    </xf>
    <xf numFmtId="0" fontId="23" fillId="0" borderId="1" xfId="0" applyFont="1" applyBorder="1" applyAlignment="1">
      <alignment vertical="center" wrapText="1"/>
    </xf>
    <xf numFmtId="14" fontId="0" fillId="0" borderId="0" xfId="0" applyNumberFormat="1" applyAlignment="1">
      <alignment horizontal="center" vertical="center"/>
    </xf>
    <xf numFmtId="14" fontId="0" fillId="0" borderId="0" xfId="0" applyNumberFormat="1" applyAlignment="1">
      <alignment horizontal="left" vertical="center"/>
    </xf>
    <xf numFmtId="0" fontId="27" fillId="0" borderId="1" xfId="0" applyFont="1" applyBorder="1" applyAlignment="1">
      <alignment vertical="center" wrapText="1"/>
    </xf>
    <xf numFmtId="0" fontId="27" fillId="6" borderId="1" xfId="0" applyFont="1" applyFill="1" applyBorder="1" applyAlignment="1">
      <alignment vertical="center" wrapText="1"/>
    </xf>
    <xf numFmtId="49" fontId="27" fillId="0" borderId="1" xfId="0" applyNumberFormat="1" applyFont="1" applyBorder="1" applyAlignment="1">
      <alignment horizontal="center" vertical="center"/>
    </xf>
    <xf numFmtId="178" fontId="11" fillId="6" borderId="1" xfId="0" applyNumberFormat="1" applyFont="1" applyFill="1" applyBorder="1" applyAlignment="1">
      <alignment horizontal="center" vertical="center"/>
    </xf>
    <xf numFmtId="176" fontId="13" fillId="11" borderId="1" xfId="1" applyFont="1" applyFill="1" applyBorder="1">
      <alignment vertical="center"/>
    </xf>
    <xf numFmtId="178" fontId="5" fillId="0" borderId="1" xfId="0" applyNumberFormat="1" applyFont="1" applyBorder="1" applyAlignment="1">
      <alignment horizontal="left" vertical="center"/>
    </xf>
    <xf numFmtId="176" fontId="5" fillId="0" borderId="1" xfId="1" applyFont="1" applyFill="1" applyBorder="1">
      <alignment vertical="center"/>
    </xf>
    <xf numFmtId="0" fontId="3" fillId="0" borderId="1" xfId="2" applyBorder="1" applyAlignment="1" applyProtection="1">
      <alignment vertical="center" wrapText="1"/>
    </xf>
    <xf numFmtId="176" fontId="0" fillId="0" borderId="0" xfId="1" applyFont="1" applyAlignment="1">
      <alignment horizontal="center" vertical="center"/>
    </xf>
    <xf numFmtId="178" fontId="5" fillId="0" borderId="1" xfId="1" applyNumberFormat="1" applyFont="1" applyFill="1" applyBorder="1" applyAlignment="1">
      <alignment horizontal="center" vertical="center"/>
    </xf>
    <xf numFmtId="41" fontId="5" fillId="0" borderId="1" xfId="7" applyFont="1" applyBorder="1" applyAlignment="1">
      <alignment vertical="center"/>
    </xf>
    <xf numFmtId="0" fontId="5" fillId="0" borderId="1" xfId="0" quotePrefix="1" applyFont="1" applyBorder="1" applyAlignment="1">
      <alignment vertical="center" wrapText="1"/>
    </xf>
    <xf numFmtId="176" fontId="0" fillId="0" borderId="0" xfId="0" applyNumberFormat="1">
      <alignment vertical="center"/>
    </xf>
    <xf numFmtId="44" fontId="0" fillId="0" borderId="0" xfId="0" applyNumberFormat="1">
      <alignment vertical="center"/>
    </xf>
    <xf numFmtId="0" fontId="0" fillId="5" borderId="0" xfId="0" applyFill="1">
      <alignment vertical="center"/>
    </xf>
    <xf numFmtId="176" fontId="8" fillId="0" borderId="1" xfId="1" applyFont="1" applyFill="1" applyBorder="1" applyAlignment="1">
      <alignment horizontal="center" vertical="center"/>
    </xf>
    <xf numFmtId="0" fontId="13" fillId="0" borderId="1" xfId="0" applyFont="1" applyBorder="1">
      <alignment vertical="center"/>
    </xf>
    <xf numFmtId="0" fontId="5" fillId="17" borderId="1" xfId="0" applyFont="1" applyFill="1" applyBorder="1" applyAlignment="1">
      <alignment horizontal="center" vertical="center"/>
    </xf>
    <xf numFmtId="0" fontId="11" fillId="17" borderId="1" xfId="0" applyFont="1" applyFill="1" applyBorder="1" applyAlignment="1">
      <alignment horizontal="center" vertical="center"/>
    </xf>
    <xf numFmtId="177" fontId="5" fillId="17" borderId="1" xfId="0" applyNumberFormat="1" applyFont="1" applyFill="1" applyBorder="1" applyAlignment="1">
      <alignment horizontal="center" vertical="center"/>
    </xf>
    <xf numFmtId="176" fontId="5" fillId="17" borderId="1" xfId="1" applyFont="1" applyFill="1" applyBorder="1">
      <alignment vertical="center"/>
    </xf>
    <xf numFmtId="0" fontId="0" fillId="17" borderId="0" xfId="0" applyFill="1">
      <alignment vertical="center"/>
    </xf>
    <xf numFmtId="178" fontId="5" fillId="7"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11" fillId="7" borderId="1" xfId="0" applyFont="1" applyFill="1" applyBorder="1" applyAlignment="1">
      <alignment horizontal="center" vertical="center"/>
    </xf>
    <xf numFmtId="177" fontId="5" fillId="7" borderId="1" xfId="0" applyNumberFormat="1" applyFont="1" applyFill="1" applyBorder="1" applyAlignment="1">
      <alignment horizontal="center" vertical="center"/>
    </xf>
    <xf numFmtId="176" fontId="5" fillId="7" borderId="1" xfId="1" applyFont="1" applyFill="1" applyBorder="1">
      <alignment vertical="center"/>
    </xf>
    <xf numFmtId="178" fontId="5" fillId="7" borderId="1" xfId="1" applyNumberFormat="1" applyFont="1" applyFill="1" applyBorder="1" applyAlignment="1">
      <alignment horizontal="center" vertical="center"/>
    </xf>
    <xf numFmtId="176" fontId="5" fillId="7" borderId="1" xfId="1" applyFont="1" applyFill="1" applyBorder="1" applyAlignment="1">
      <alignment horizontal="center" vertical="center"/>
    </xf>
    <xf numFmtId="176" fontId="8" fillId="7" borderId="1" xfId="1" applyFont="1" applyFill="1" applyBorder="1" applyAlignment="1">
      <alignment horizontal="center" vertical="center"/>
    </xf>
    <xf numFmtId="0" fontId="5" fillId="7" borderId="1" xfId="0" applyFont="1" applyFill="1" applyBorder="1">
      <alignment vertical="center"/>
    </xf>
    <xf numFmtId="0" fontId="0" fillId="7" borderId="0" xfId="0" applyFill="1">
      <alignment vertical="center"/>
    </xf>
    <xf numFmtId="49" fontId="5" fillId="7" borderId="1" xfId="0" applyNumberFormat="1" applyFont="1" applyFill="1" applyBorder="1" applyAlignment="1">
      <alignment horizontal="center" vertical="center"/>
    </xf>
    <xf numFmtId="178" fontId="0" fillId="0" borderId="0" xfId="0" applyNumberFormat="1" applyAlignment="1">
      <alignment horizontal="left" vertical="center"/>
    </xf>
    <xf numFmtId="178" fontId="27" fillId="0" borderId="1" xfId="0" applyNumberFormat="1" applyFont="1" applyBorder="1" applyAlignment="1">
      <alignment horizontal="left" vertical="center"/>
    </xf>
    <xf numFmtId="178" fontId="11" fillId="0" borderId="1" xfId="0" applyNumberFormat="1" applyFont="1" applyBorder="1" applyAlignment="1">
      <alignment horizontal="left" vertical="center"/>
    </xf>
    <xf numFmtId="178" fontId="4" fillId="0" borderId="0" xfId="0" applyNumberFormat="1" applyFont="1" applyAlignment="1">
      <alignment horizontal="left" vertical="center"/>
    </xf>
    <xf numFmtId="178" fontId="5" fillId="5" borderId="1" xfId="0" applyNumberFormat="1" applyFont="1" applyFill="1" applyBorder="1" applyAlignment="1">
      <alignment horizontal="center" vertical="center"/>
    </xf>
    <xf numFmtId="0" fontId="13" fillId="5" borderId="1" xfId="0" applyFont="1" applyFill="1" applyBorder="1">
      <alignment vertical="center"/>
    </xf>
    <xf numFmtId="0" fontId="5" fillId="5" borderId="1" xfId="0" applyFont="1" applyFill="1" applyBorder="1" applyAlignment="1">
      <alignment horizontal="center" vertical="center"/>
    </xf>
    <xf numFmtId="0" fontId="11" fillId="5" borderId="1" xfId="0" applyFont="1" applyFill="1" applyBorder="1" applyAlignment="1">
      <alignment horizontal="center" vertical="center"/>
    </xf>
    <xf numFmtId="177" fontId="5" fillId="5" borderId="1" xfId="0" applyNumberFormat="1" applyFont="1" applyFill="1" applyBorder="1" applyAlignment="1">
      <alignment horizontal="center" vertical="center"/>
    </xf>
    <xf numFmtId="49" fontId="11" fillId="5" borderId="1" xfId="0" applyNumberFormat="1" applyFont="1" applyFill="1" applyBorder="1" applyAlignment="1">
      <alignment horizontal="center" vertical="center"/>
    </xf>
    <xf numFmtId="176" fontId="5" fillId="5" borderId="1" xfId="1" applyFont="1" applyFill="1" applyBorder="1">
      <alignment vertical="center"/>
    </xf>
    <xf numFmtId="178" fontId="5" fillId="5" borderId="1" xfId="1" applyNumberFormat="1" applyFont="1" applyFill="1" applyBorder="1" applyAlignment="1">
      <alignment horizontal="center" vertical="center"/>
    </xf>
    <xf numFmtId="176" fontId="5" fillId="5" borderId="1" xfId="1" applyFont="1" applyFill="1" applyBorder="1" applyAlignment="1">
      <alignment horizontal="center" vertical="center"/>
    </xf>
    <xf numFmtId="176" fontId="8" fillId="5" borderId="1" xfId="1" applyFont="1" applyFill="1" applyBorder="1" applyAlignment="1">
      <alignment horizontal="center" vertical="center"/>
    </xf>
    <xf numFmtId="0" fontId="5" fillId="5" borderId="1" xfId="0" applyFont="1" applyFill="1" applyBorder="1">
      <alignment vertical="center"/>
    </xf>
    <xf numFmtId="0" fontId="5" fillId="5" borderId="1" xfId="0" applyFont="1" applyFill="1" applyBorder="1" applyAlignment="1">
      <alignment vertical="center" wrapText="1"/>
    </xf>
    <xf numFmtId="0" fontId="5" fillId="11" borderId="1" xfId="0" applyFont="1" applyFill="1" applyBorder="1" applyAlignment="1">
      <alignment horizontal="center" vertical="center"/>
    </xf>
    <xf numFmtId="177" fontId="5" fillId="11" borderId="1" xfId="0" applyNumberFormat="1" applyFont="1" applyFill="1" applyBorder="1" applyAlignment="1">
      <alignment horizontal="center" vertical="center"/>
    </xf>
    <xf numFmtId="0" fontId="0" fillId="11" borderId="0" xfId="0" applyFill="1">
      <alignment vertical="center"/>
    </xf>
    <xf numFmtId="0" fontId="11" fillId="11" borderId="1" xfId="0" applyFont="1" applyFill="1" applyBorder="1" applyAlignment="1">
      <alignment horizontal="center" vertic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 xfId="0" applyFill="1" applyBorder="1" applyAlignment="1">
      <alignment horizontal="center" vertical="center"/>
    </xf>
    <xf numFmtId="49" fontId="0" fillId="3" borderId="1" xfId="0" applyNumberFormat="1" applyFill="1" applyBorder="1" applyAlignment="1">
      <alignment horizontal="center" vertical="center"/>
    </xf>
    <xf numFmtId="176" fontId="0" fillId="3" borderId="2" xfId="1" applyFont="1" applyFill="1" applyBorder="1" applyAlignment="1">
      <alignment horizontal="center" vertical="center" wrapText="1"/>
    </xf>
    <xf numFmtId="176" fontId="0" fillId="3" borderId="8" xfId="1" applyFont="1" applyFill="1" applyBorder="1" applyAlignment="1">
      <alignment horizontal="center" vertical="center" wrapText="1"/>
    </xf>
    <xf numFmtId="176" fontId="0" fillId="3" borderId="3" xfId="1" applyFont="1" applyFill="1" applyBorder="1" applyAlignment="1">
      <alignment horizontal="center" vertical="center" wrapText="1"/>
    </xf>
    <xf numFmtId="0" fontId="0" fillId="3" borderId="2" xfId="0" applyFill="1" applyBorder="1" applyAlignment="1">
      <alignment horizontal="center" vertical="center"/>
    </xf>
    <xf numFmtId="0" fontId="0" fillId="3" borderId="8" xfId="0" applyFill="1" applyBorder="1" applyAlignment="1">
      <alignment horizontal="center" vertical="center"/>
    </xf>
    <xf numFmtId="0" fontId="0" fillId="3" borderId="3" xfId="0" applyFill="1" applyBorder="1" applyAlignment="1">
      <alignment horizontal="center" vertical="center"/>
    </xf>
    <xf numFmtId="176" fontId="0" fillId="3" borderId="2" xfId="1" applyFont="1" applyFill="1" applyBorder="1" applyAlignment="1">
      <alignment horizontal="center" vertical="center"/>
    </xf>
    <xf numFmtId="176" fontId="0" fillId="3" borderId="3" xfId="1" applyFont="1" applyFill="1" applyBorder="1" applyAlignment="1">
      <alignment horizontal="center" vertical="center"/>
    </xf>
    <xf numFmtId="176" fontId="0" fillId="4" borderId="4" xfId="1" applyFont="1" applyFill="1" applyBorder="1" applyAlignment="1">
      <alignment horizontal="center" vertical="center"/>
    </xf>
    <xf numFmtId="176" fontId="0" fillId="4" borderId="5" xfId="1" applyFont="1" applyFill="1" applyBorder="1" applyAlignment="1">
      <alignment horizontal="center" vertical="center"/>
    </xf>
    <xf numFmtId="176" fontId="8" fillId="3" borderId="2" xfId="1" applyFont="1" applyFill="1" applyBorder="1" applyAlignment="1">
      <alignment horizontal="center" vertical="center" wrapText="1"/>
    </xf>
    <xf numFmtId="176" fontId="8" fillId="3" borderId="3" xfId="1" applyFont="1" applyFill="1" applyBorder="1" applyAlignment="1">
      <alignment horizontal="center" vertical="center"/>
    </xf>
    <xf numFmtId="176" fontId="0" fillId="3" borderId="1" xfId="1" applyFont="1" applyFill="1" applyBorder="1" applyAlignment="1">
      <alignment horizontal="center" vertical="center"/>
    </xf>
    <xf numFmtId="178" fontId="0" fillId="3" borderId="1" xfId="0" applyNumberFormat="1" applyFill="1" applyBorder="1" applyAlignment="1">
      <alignment horizontal="center" vertical="center" wrapText="1"/>
    </xf>
    <xf numFmtId="178" fontId="0" fillId="3" borderId="1" xfId="0" applyNumberFormat="1" applyFill="1" applyBorder="1" applyAlignment="1">
      <alignment horizontal="center" vertical="center"/>
    </xf>
    <xf numFmtId="176" fontId="0" fillId="3" borderId="4" xfId="1" applyFont="1" applyFill="1" applyBorder="1" applyAlignment="1">
      <alignment horizontal="center" vertical="center"/>
    </xf>
    <xf numFmtId="176" fontId="0" fillId="3" borderId="6" xfId="1" applyFont="1" applyFill="1" applyBorder="1" applyAlignment="1">
      <alignment horizontal="center" vertical="center"/>
    </xf>
    <xf numFmtId="0" fontId="0" fillId="3" borderId="1" xfId="0" applyFill="1" applyBorder="1" applyAlignment="1">
      <alignment horizontal="center" vertical="center" wrapText="1"/>
    </xf>
    <xf numFmtId="0" fontId="0" fillId="2" borderId="1" xfId="0" applyFill="1" applyBorder="1" applyAlignment="1">
      <alignment horizontal="center" vertical="center"/>
    </xf>
    <xf numFmtId="0" fontId="3" fillId="0" borderId="2" xfId="2" applyBorder="1" applyAlignment="1">
      <alignment horizontal="center" vertical="center" wrapText="1"/>
    </xf>
    <xf numFmtId="0" fontId="5" fillId="0" borderId="3" xfId="0" applyFont="1" applyBorder="1" applyAlignment="1">
      <alignment horizontal="center" vertical="center" wrapText="1"/>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lignment vertical="center"/>
    </xf>
    <xf numFmtId="0" fontId="5" fillId="0" borderId="3" xfId="0" applyFont="1" applyBorder="1">
      <alignment vertical="center"/>
    </xf>
    <xf numFmtId="0" fontId="31" fillId="4" borderId="0" xfId="4" applyFont="1" applyFill="1" applyAlignment="1">
      <alignment horizontal="center" vertical="center"/>
    </xf>
    <xf numFmtId="178" fontId="0" fillId="0" borderId="0" xfId="0" applyNumberFormat="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178" fontId="0" fillId="3" borderId="1" xfId="0" applyNumberFormat="1" applyFill="1" applyBorder="1" applyAlignment="1">
      <alignment horizontal="left" vertical="center"/>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5" fillId="0" borderId="2" xfId="0" applyFont="1" applyBorder="1" applyAlignment="1">
      <alignment horizontal="center" vertical="center" wrapText="1"/>
    </xf>
    <xf numFmtId="178" fontId="5" fillId="0" borderId="2" xfId="0" applyNumberFormat="1" applyFont="1" applyBorder="1" applyAlignment="1">
      <alignment horizontal="center" vertical="center"/>
    </xf>
    <xf numFmtId="178" fontId="5" fillId="0" borderId="8" xfId="0" applyNumberFormat="1" applyFont="1" applyBorder="1" applyAlignment="1">
      <alignment horizontal="center" vertical="center"/>
    </xf>
    <xf numFmtId="178" fontId="5" fillId="0" borderId="3" xfId="0" applyNumberFormat="1" applyFont="1" applyBorder="1" applyAlignment="1">
      <alignment horizontal="center" vertical="center"/>
    </xf>
    <xf numFmtId="176" fontId="5" fillId="0" borderId="8" xfId="1" applyFont="1" applyBorder="1" applyAlignment="1">
      <alignment horizontal="center" vertical="center"/>
    </xf>
    <xf numFmtId="49" fontId="13" fillId="0" borderId="2"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49" fontId="13" fillId="0" borderId="3" xfId="0" applyNumberFormat="1" applyFont="1" applyBorder="1" applyAlignment="1">
      <alignment horizontal="center" vertical="center" wrapText="1"/>
    </xf>
    <xf numFmtId="0" fontId="5" fillId="0" borderId="8" xfId="0" applyFont="1" applyBorder="1" applyAlignment="1">
      <alignment horizontal="center" vertical="center"/>
    </xf>
    <xf numFmtId="178" fontId="5" fillId="0" borderId="2" xfId="0" applyNumberFormat="1" applyFont="1" applyBorder="1" applyAlignment="1">
      <alignment horizontal="center" vertical="center" wrapText="1"/>
    </xf>
    <xf numFmtId="178" fontId="5" fillId="0" borderId="8" xfId="0" applyNumberFormat="1" applyFont="1" applyBorder="1" applyAlignment="1">
      <alignment horizontal="center" vertical="center" wrapText="1"/>
    </xf>
    <xf numFmtId="178" fontId="5" fillId="0" borderId="3" xfId="0" applyNumberFormat="1" applyFont="1" applyBorder="1" applyAlignment="1">
      <alignment horizontal="center" vertical="center" wrapText="1"/>
    </xf>
    <xf numFmtId="49" fontId="5" fillId="0" borderId="8" xfId="0" applyNumberFormat="1" applyFont="1" applyBorder="1" applyAlignment="1">
      <alignment horizontal="center" vertical="center"/>
    </xf>
    <xf numFmtId="0" fontId="0" fillId="3" borderId="8" xfId="0" applyFill="1" applyBorder="1" applyAlignment="1">
      <alignment horizontal="center" vertical="center" wrapText="1"/>
    </xf>
    <xf numFmtId="176" fontId="24" fillId="13" borderId="4" xfId="1" applyFont="1" applyFill="1" applyBorder="1" applyAlignment="1">
      <alignment horizontal="left" vertical="center"/>
    </xf>
    <xf numFmtId="176" fontId="24" fillId="13" borderId="5" xfId="1" applyFont="1" applyFill="1" applyBorder="1" applyAlignment="1">
      <alignment horizontal="left" vertical="center"/>
    </xf>
    <xf numFmtId="176" fontId="24" fillId="13" borderId="6" xfId="1" applyFont="1" applyFill="1" applyBorder="1" applyAlignment="1">
      <alignment horizontal="left" vertical="center"/>
    </xf>
    <xf numFmtId="178" fontId="5" fillId="10" borderId="4" xfId="0" applyNumberFormat="1" applyFont="1" applyFill="1" applyBorder="1" applyAlignment="1">
      <alignment horizontal="center" vertical="center"/>
    </xf>
    <xf numFmtId="178" fontId="5" fillId="10" borderId="5" xfId="0" applyNumberFormat="1" applyFont="1" applyFill="1" applyBorder="1" applyAlignment="1">
      <alignment horizontal="center" vertical="center"/>
    </xf>
    <xf numFmtId="178" fontId="5" fillId="10" borderId="6" xfId="0" applyNumberFormat="1" applyFont="1" applyFill="1" applyBorder="1" applyAlignment="1">
      <alignment horizontal="center" vertical="center"/>
    </xf>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12" borderId="6" xfId="0" applyFont="1" applyFill="1" applyBorder="1" applyAlignment="1">
      <alignment horizontal="center" vertical="center"/>
    </xf>
    <xf numFmtId="0" fontId="5" fillId="8" borderId="4" xfId="0" applyFont="1" applyFill="1" applyBorder="1" applyAlignment="1">
      <alignment horizontal="left" vertical="center"/>
    </xf>
    <xf numFmtId="0" fontId="5" fillId="8" borderId="6" xfId="0" applyFont="1" applyFill="1" applyBorder="1" applyAlignment="1">
      <alignment horizontal="left" vertical="center"/>
    </xf>
    <xf numFmtId="0" fontId="5" fillId="12" borderId="4" xfId="0" applyFont="1" applyFill="1" applyBorder="1" applyAlignment="1">
      <alignment horizontal="left" vertical="center" wrapText="1"/>
    </xf>
    <xf numFmtId="0" fontId="5" fillId="12" borderId="6" xfId="0" applyFont="1" applyFill="1" applyBorder="1" applyAlignment="1">
      <alignment horizontal="left" vertical="center" wrapText="1"/>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5" fillId="12" borderId="4" xfId="0" applyFont="1" applyFill="1" applyBorder="1" applyAlignment="1">
      <alignment horizontal="left" vertical="center"/>
    </xf>
    <xf numFmtId="0" fontId="5" fillId="12" borderId="6" xfId="0" applyFont="1" applyFill="1" applyBorder="1" applyAlignment="1">
      <alignment horizontal="left" vertical="center"/>
    </xf>
    <xf numFmtId="0" fontId="20" fillId="3" borderId="4" xfId="0" applyFont="1" applyFill="1" applyBorder="1" applyAlignment="1">
      <alignment horizontal="left" vertical="center"/>
    </xf>
    <xf numFmtId="0" fontId="20" fillId="3" borderId="5" xfId="0" applyFont="1" applyFill="1" applyBorder="1" applyAlignment="1">
      <alignment horizontal="left" vertical="center"/>
    </xf>
    <xf numFmtId="0" fontId="20" fillId="3" borderId="6" xfId="0" applyFont="1" applyFill="1" applyBorder="1" applyAlignment="1">
      <alignment horizontal="left" vertical="center"/>
    </xf>
    <xf numFmtId="176" fontId="5" fillId="10" borderId="4" xfId="1" quotePrefix="1" applyFont="1" applyFill="1" applyBorder="1" applyAlignment="1">
      <alignment horizontal="right" vertical="center"/>
    </xf>
    <xf numFmtId="176" fontId="5" fillId="10" borderId="6" xfId="1" applyFont="1" applyFill="1" applyBorder="1" applyAlignment="1">
      <alignment horizontal="right" vertical="center"/>
    </xf>
    <xf numFmtId="0" fontId="5" fillId="5" borderId="0" xfId="0" applyFont="1" applyFill="1">
      <alignment vertical="center"/>
    </xf>
    <xf numFmtId="0" fontId="22" fillId="5" borderId="1" xfId="0" applyFont="1" applyFill="1" applyBorder="1">
      <alignment vertical="center"/>
    </xf>
    <xf numFmtId="49" fontId="5" fillId="5" borderId="1" xfId="0" applyNumberFormat="1" applyFont="1" applyFill="1" applyBorder="1" applyAlignment="1">
      <alignment horizontal="center" vertical="center"/>
    </xf>
    <xf numFmtId="176" fontId="5" fillId="5" borderId="1" xfId="0" applyNumberFormat="1" applyFont="1" applyFill="1" applyBorder="1">
      <alignment vertical="center"/>
    </xf>
    <xf numFmtId="176" fontId="13" fillId="5" borderId="1" xfId="1" applyFont="1" applyFill="1" applyBorder="1" applyAlignment="1">
      <alignment horizontal="center" vertical="center"/>
    </xf>
    <xf numFmtId="0" fontId="12" fillId="5" borderId="1" xfId="0" applyFont="1" applyFill="1" applyBorder="1" applyAlignment="1">
      <alignment vertical="center" wrapText="1"/>
    </xf>
    <xf numFmtId="177" fontId="11" fillId="5" borderId="1" xfId="0" applyNumberFormat="1" applyFont="1" applyFill="1" applyBorder="1" applyAlignment="1">
      <alignment horizontal="center" vertical="center"/>
    </xf>
    <xf numFmtId="178" fontId="5"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178" fontId="5" fillId="4" borderId="1" xfId="1" applyNumberFormat="1" applyFont="1" applyFill="1" applyBorder="1" applyAlignment="1">
      <alignment horizontal="center" vertical="center"/>
    </xf>
    <xf numFmtId="176" fontId="5" fillId="4" borderId="1" xfId="1" applyFont="1" applyFill="1" applyBorder="1">
      <alignment vertical="center"/>
    </xf>
    <xf numFmtId="176" fontId="5" fillId="4" borderId="1" xfId="1" applyFont="1" applyFill="1" applyBorder="1" applyAlignment="1">
      <alignment horizontal="center" vertical="center"/>
    </xf>
    <xf numFmtId="176" fontId="8" fillId="4" borderId="1" xfId="1" applyFont="1" applyFill="1" applyBorder="1" applyAlignment="1">
      <alignment horizontal="center" vertical="center"/>
    </xf>
    <xf numFmtId="0" fontId="5" fillId="4" borderId="1" xfId="0" applyFont="1" applyFill="1" applyBorder="1">
      <alignment vertical="center"/>
    </xf>
    <xf numFmtId="0" fontId="5" fillId="4" borderId="1" xfId="0" applyFont="1" applyFill="1" applyBorder="1" applyAlignment="1">
      <alignment vertical="center" wrapText="1"/>
    </xf>
    <xf numFmtId="0" fontId="0" fillId="4" borderId="0" xfId="0" applyFill="1">
      <alignment vertical="center"/>
    </xf>
    <xf numFmtId="0" fontId="5" fillId="5" borderId="1" xfId="0" quotePrefix="1" applyFont="1" applyFill="1" applyBorder="1" applyAlignment="1">
      <alignment horizontal="center" vertical="center"/>
    </xf>
    <xf numFmtId="49" fontId="11" fillId="4" borderId="1" xfId="0" applyNumberFormat="1" applyFont="1" applyFill="1" applyBorder="1" applyAlignment="1">
      <alignment horizontal="center" vertical="center"/>
    </xf>
  </cellXfs>
  <cellStyles count="8">
    <cellStyle name="강조색2" xfId="4" builtinId="33"/>
    <cellStyle name="쉼표 [0]" xfId="1" builtinId="6"/>
    <cellStyle name="쉼표 [0] 2" xfId="7" xr:uid="{00000000-0005-0000-0000-000002000000}"/>
    <cellStyle name="쉼표 [0] 3" xfId="6" xr:uid="{00000000-0005-0000-0000-000003000000}"/>
    <cellStyle name="표준" xfId="0" builtinId="0"/>
    <cellStyle name="표준 2" xfId="3" xr:uid="{00000000-0005-0000-0000-000005000000}"/>
    <cellStyle name="표준 3" xfId="5" xr:uid="{00000000-0005-0000-0000-000006000000}"/>
    <cellStyle name="하이퍼링크" xfId="2" builtinId="8"/>
  </cellStyles>
  <dxfs count="180">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5BD4FF"/>
        </patternFill>
      </fill>
    </dxf>
    <dxf>
      <fill>
        <patternFill>
          <bgColor theme="5"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s>
  <tableStyles count="0" defaultTableStyle="TableStyleMedium2" defaultPivotStyle="PivotStyleLight16"/>
  <colors>
    <mruColors>
      <color rgb="FF0000FF"/>
      <color rgb="FFFF3300"/>
      <color rgb="FF5BD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63" Type="http://schemas.openxmlformats.org/officeDocument/2006/relationships/externalLink" Target="externalLinks/externalLink54.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52.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externalLink" Target="externalLinks/externalLink47.xml"/><Relationship Id="rId64" Type="http://schemas.openxmlformats.org/officeDocument/2006/relationships/externalLink" Target="externalLinks/externalLink55.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59" Type="http://schemas.openxmlformats.org/officeDocument/2006/relationships/externalLink" Target="externalLinks/externalLink50.xml"/><Relationship Id="rId67" Type="http://schemas.openxmlformats.org/officeDocument/2006/relationships/styles" Target="styles.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62" Type="http://schemas.openxmlformats.org/officeDocument/2006/relationships/externalLink" Target="externalLinks/externalLink53.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447675</xdr:colOff>
      <xdr:row>24</xdr:row>
      <xdr:rowOff>190524</xdr:rowOff>
    </xdr:from>
    <xdr:to>
      <xdr:col>34</xdr:col>
      <xdr:colOff>85725</xdr:colOff>
      <xdr:row>37</xdr:row>
      <xdr:rowOff>9118</xdr:rowOff>
    </xdr:to>
    <xdr:pic>
      <xdr:nvPicPr>
        <xdr:cNvPr id="2" name="그림 1">
          <a:extLst>
            <a:ext uri="{FF2B5EF4-FFF2-40B4-BE49-F238E27FC236}">
              <a16:creationId xmlns:a16="http://schemas.microsoft.com/office/drawing/2014/main" id="{54897D42-2B50-4D6D-BB30-56AA39097476}"/>
            </a:ext>
          </a:extLst>
        </xdr:cNvPr>
        <xdr:cNvPicPr>
          <a:picLocks noChangeAspect="1"/>
        </xdr:cNvPicPr>
      </xdr:nvPicPr>
      <xdr:blipFill>
        <a:blip xmlns:r="http://schemas.openxmlformats.org/officeDocument/2006/relationships" r:embed="rId1"/>
        <a:stretch>
          <a:fillRect/>
        </a:stretch>
      </xdr:blipFill>
      <xdr:spPr>
        <a:xfrm>
          <a:off x="27890881" y="5345230"/>
          <a:ext cx="4422962" cy="25864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9960979\WORK\001%20&#44204;&#51201;\02&#51221;&#50976;&#44277;&#51109;\2001%2002%20NO.3%20PX%20PROJECT\NO.3%20PX%20&#44204;&#51201;&#45236;&#50669;&#49436;(&#51204;&#445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H-PILE&#48149;&#44592;&#48977;&#445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2\&#50504;&#51204;\&#50504;&#51204;\&#52264;&#51109;&#45784;&#51060;%20&#51456;%20&#51088;&#47308;\&#50504;&#51204;\&#44204;&#51201;\&#51312;&#54788;&#52384;\&#51088;&#51064;-&#51652;&#47049;\S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STIMATE\&#49688;&#46020;&#44428;&#54872;&#49328;&#47581;\1&#44277;&#44396;\1&#44277;&#44396;&#44208;&#51116;&#49436;&#474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1109;&#49437;&#54665;\&#49892;&#54665;\&#48372;&#50728;&#48372;&#45257;\berth\&#48512;&#51088;&#51116;2actu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ITE9\&#51333;&#54633;&#44160;&#52769;&#49436;\WINDOWS\GI-LI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HDLAN\HDEC30\CACHE\0INV\HEC\SHIP-SC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PROP\DA0630\INQ'Y\STEEL\DA0463BQ.XLW"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04;&#54952;&#44221;\C\&#44608;&#51221;&#51068;\HYUNDAI\Bill_Material\Hdo(10)1220\HDO(10)1203_Support%20upd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LINER-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97plan\97plan87pFI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BOP56-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2\&#51648;&#50669;&#45212;&#48169;\&#44256;&#50577;\&#49884;&#54665;&#50696;&#4932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5796;&#47548;1\MY%20DOCUMENTS\My%20Documents\&#47928;&#49436;\&#44608;&#55148;&#52384;\&#53664;&#44277;&#49688;&#47049;&#49328;&#52636;&#49436;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53664;&#47448;&#54032;&#49444;&#52824;&#52384;&#4414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2\&#51648;&#50669;&#45212;&#48169;\&#44256;&#50577;\&#49884;&#54665;&#50696;&#4932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JJ20826\B&#49892;&#54665;\HLOTUS\9801J\OUT\Y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ITE9\&#51333;&#54633;&#44160;&#52769;&#49436;\USER1\&#54616;&#49688;&#52376;&#47532;\&#44221;&#50504;&#54616;&#49688;\CO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DATA\&#49444;&#44228;&#48320;&#44221;\&#54217;&#52492;\V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HE&#44608;&#49437;&#44592;\C\&#51089;&#50629;&#48169;\&#49884;&#54665;&#50696;&#49328;\&#44592;&#44228;\&#49688;&#50517;&#50696;&#4932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6-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cc\pe\My%20Documents\TAIWAN\C4\&#44208;&#51116;&#49436;&#47448;\C4MEC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50976;&#44600;&#54840;\&#47196;&#52972;%20&#46356;&#49828;&#53356;%20(d)\My%20Documents\UTILITY\STL\stl_statu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4608;&#54805;&#44540;\&#54616;&#50669;\UG2\pu&#49444;\&#49444;&#44228;&#4943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DATA\&#51456;&#44277;\&#51473;&#50521;\1&#52264;&#51221;&#4932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0976;&#44600;&#54840;\&#47196;&#52972;%20&#46356;&#49828;&#53356;%20(d)\jjo\jts\&#44288;&#47196;\&#54644;&#51200;&#44288;&#47196;\&#44288;&#4719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HE&#44608;&#49437;&#44592;\C\&#50696;&#49328;&#51088;&#47308;\&#45824;&#50577;1\&#44592;&#50864;&#44592;&#5164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961303\&#50577;&#51116;&#49849;DATA\Data\&#44204;&#51201;\&#44552;&#54840;%20BISPHENOL\&#49328;-&#44552;&#5484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1060;&#46041;&#54984;\&#51060;&#46041;&#54984;&#51032;%20C\&#44053;&#45224;&#51648;&#49324;\8)&#44160;&#52769;&#49436;\6)&#51312;&#54633;\&#44160;&#52769;&#49436;(&#49569;&#54028;&#51312;&#5463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DOCUME~1\711204\LOCALS~1\Temp\MSE\&#44264;&#51312;\%23REF"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44204;&#51201;\PUSAN_CO\PUSAN_~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JJH\MM\&#49884;&#54665;&#50696;&#4932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0976;&#44600;&#54840;\&#47196;&#52972;%20&#46356;&#49828;&#53356;%20(d)\&#54868;&#49457;&#46041;&#53444;(1&#44277;&#44396;)\&#44160;&#52769;&#49436;\04)&#44400;&#54252;&#50672;&#44228;SEC.2\&#44400;&#54252;SEC.2&#44160;&#527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51064;&#47141;&#53552;&#54028;&#4459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ABB\SEBANG\INCHON\ELEC\DAT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19960979&#45224;&#54840;\WORK\My%20Documents\&#45236;&#5066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19960979\work\&#44060;&#49328;&#44277;&#49324;\&#44288;&#49444;&#44228;\&#51204;&#44592;&#44277;&#49324;\Prfgd1.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44148;&#52629;&#44592;&#49457;"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JJ20826\B&#49892;&#54665;\EST\civil\345kv&#44256;&#47161;\H&#54620;&#51204;&#51201;&#4420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SULGAE\SAN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HE&#44608;&#49437;&#44592;\C\&#49884;&#54665;&#50504;\&#51204;&#4459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51221;&#49328;&#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2SP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5796;&#47548;3\D\My%20Documents\2000\&#53664;&#44277;&#4704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My%20Documents\&#49328;&#52636;9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EXCEL\YESTER\&#44540;&#44144;&#494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mpark\c\My%20Job\&#51228;&#51068;&#47784;&#46304;&#44163;!\Excel-&#44204;&#51201;\&#52397;&#50864;&#51060;&#50644;&#51060;\My%20Documents\&#46020;&#49884;5-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PCY\&#50696;&#49328;&#49436;\&#50696;&#49328;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53489;&#53356;&#49444;&#52824;\&#54616;&#46160;&#5089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ITE9\&#51333;&#54633;&#44160;&#52769;&#49436;\SINGLE\EMAIL32\temp\&#52572;&#51333;&#53804;&#5227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NKYUM\&#54252;&#50577;DATA\My%20Documents\&#48177;&#45824;&#47532;\&#44160;&#52769;&#49436;\&#53664;&#44277;&#49324;\&#49688;&#47049;&#49328;&#52636;\sec1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kmail.dic.co.kr/windows/TEMP/C.Lotus.Notes.Data/2001%2002%20&#51064;&#52380;%20&#49569;&#46020;&#48156;&#51204;&#49548;/&#49892;&#54665;&#44204;&#51201;&#49436;/&#44277;&#49324;&#44288;&#47532;/OH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0"/>
      <sheetName val="Cover"/>
      <sheetName val="Elect. BM(0720)"/>
      <sheetName val="Elect. (경비)"/>
      <sheetName val="일위대가(전기)"/>
      <sheetName val="STATION산출서1"/>
      <sheetName val="STATION산출서2"/>
      <sheetName val="Sheet1"/>
      <sheetName val="설계명세서"/>
      <sheetName val="품셈표"/>
      <sheetName val="PIPE"/>
      <sheetName val="FLANGE"/>
      <sheetName val="VALVE"/>
      <sheetName val="당초"/>
      <sheetName val="BM"/>
      <sheetName val="금액내역서"/>
      <sheetName val="포장"/>
      <sheetName val="구조물"/>
      <sheetName val="환기구수량"/>
      <sheetName val="가설집계"/>
      <sheetName val="CB"/>
      <sheetName val="기초자료입력"/>
      <sheetName val="기성검사원"/>
    </sheetNames>
    <sheetDataSet>
      <sheetData sheetId="0" refreshError="1"/>
      <sheetData sheetId="1" refreshError="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ILE 박기"/>
      <sheetName val="H-PILE 뽑기"/>
      <sheetName val="Hpile자립7"/>
      <sheetName val="Hpile자립7 (뽑기)"/>
      <sheetName val="Hpile자립9"/>
      <sheetName val="Hpile자립9 (뽑기)"/>
      <sheetName val="Sheet1"/>
      <sheetName val="일위대가(계측기설치)"/>
      <sheetName val="H-PILE박기뽑기"/>
      <sheetName val="공사내역"/>
      <sheetName val="토공정보"/>
      <sheetName val="금액내역서"/>
      <sheetName val="HANDHOLE(2)"/>
      <sheetName val="PAD TR보호대기초"/>
      <sheetName val="가로등기초"/>
      <sheetName val="토목검측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
      <sheetName val="토공정보"/>
      <sheetName val="내역(한신APT)"/>
      <sheetName val="수압집계"/>
    </sheetNames>
    <sheetDataSet>
      <sheetData sheetId="0" refreshError="1">
        <row r="1">
          <cell r="A1" t="str">
            <v>명     칭</v>
          </cell>
          <cell r="B1" t="str">
            <v>규      격</v>
          </cell>
          <cell r="C1" t="str">
            <v>수   량</v>
          </cell>
          <cell r="D1" t="str">
            <v>단위</v>
          </cell>
          <cell r="E1" t="str">
            <v>단  가</v>
          </cell>
          <cell r="F1" t="str">
            <v>금    액</v>
          </cell>
          <cell r="G1" t="str">
            <v>비   고</v>
          </cell>
        </row>
        <row r="2">
          <cell r="A2" t="str">
            <v>서부산업도로 유수암 ~ 어음간 (95호선)도로확장및 포장공사</v>
          </cell>
        </row>
        <row r="3">
          <cell r="A3" t="str">
            <v>1.토공</v>
          </cell>
          <cell r="F3">
            <v>2788053189</v>
          </cell>
        </row>
        <row r="4">
          <cell r="A4" t="str">
            <v>2.배수공</v>
          </cell>
          <cell r="F4">
            <v>2289695623</v>
          </cell>
        </row>
        <row r="5">
          <cell r="A5" t="str">
            <v>3.구조물공</v>
          </cell>
          <cell r="F5">
            <v>3077551089</v>
          </cell>
        </row>
        <row r="6">
          <cell r="A6" t="str">
            <v>4.옹벽공</v>
          </cell>
          <cell r="F6">
            <v>1489415358</v>
          </cell>
        </row>
        <row r="7">
          <cell r="A7" t="str">
            <v>5.포장공</v>
          </cell>
          <cell r="F7">
            <v>961010035</v>
          </cell>
        </row>
        <row r="8">
          <cell r="A8" t="str">
            <v>6.안전시설공</v>
          </cell>
          <cell r="F8">
            <v>1050676904</v>
          </cell>
        </row>
        <row r="9">
          <cell r="A9" t="str">
            <v>7.부대공</v>
          </cell>
          <cell r="F9">
            <v>360087650</v>
          </cell>
        </row>
        <row r="10">
          <cell r="A10" t="str">
            <v xml:space="preserve">    계</v>
          </cell>
          <cell r="F10">
            <v>12016489848</v>
          </cell>
        </row>
        <row r="11">
          <cell r="A11" t="str">
            <v>8. 간접노무비</v>
          </cell>
          <cell r="F11">
            <v>1211200000</v>
          </cell>
        </row>
        <row r="12">
          <cell r="A12" t="str">
            <v>9. 산재보험료</v>
          </cell>
          <cell r="F12">
            <v>281000000</v>
          </cell>
        </row>
        <row r="13">
          <cell r="A13" t="str">
            <v>10.고용보험료</v>
          </cell>
          <cell r="F13">
            <v>7500000</v>
          </cell>
        </row>
        <row r="14">
          <cell r="A14" t="str">
            <v>11.안전관리비</v>
          </cell>
          <cell r="F14">
            <v>361700000</v>
          </cell>
        </row>
        <row r="15">
          <cell r="A15" t="str">
            <v>12.기타경비</v>
          </cell>
          <cell r="F15">
            <v>909900000</v>
          </cell>
        </row>
        <row r="16">
          <cell r="A16" t="str">
            <v xml:space="preserve">   순공사원가</v>
          </cell>
          <cell r="F16">
            <v>14787789848</v>
          </cell>
        </row>
        <row r="17">
          <cell r="A17" t="str">
            <v>13.일반관리비</v>
          </cell>
          <cell r="F17">
            <v>739300000</v>
          </cell>
        </row>
        <row r="18">
          <cell r="A18" t="str">
            <v xml:space="preserve">   합    계</v>
          </cell>
          <cell r="F18">
            <v>15527089848</v>
          </cell>
        </row>
        <row r="19">
          <cell r="A19" t="str">
            <v>14.이          윤</v>
          </cell>
          <cell r="C19">
            <v>1</v>
          </cell>
          <cell r="D19" t="str">
            <v>식</v>
          </cell>
          <cell r="F19">
            <v>1892910152</v>
          </cell>
        </row>
        <row r="20">
          <cell r="A20" t="str">
            <v xml:space="preserve">   공급가액</v>
          </cell>
          <cell r="F20">
            <v>17420000000</v>
          </cell>
        </row>
        <row r="21">
          <cell r="A21" t="str">
            <v>15.부 가 가 치 세</v>
          </cell>
          <cell r="C21">
            <v>1</v>
          </cell>
          <cell r="D21" t="str">
            <v>식</v>
          </cell>
          <cell r="F21">
            <v>1742000000</v>
          </cell>
        </row>
        <row r="22">
          <cell r="A22" t="str">
            <v>16.도로 대장 전산화</v>
          </cell>
          <cell r="C22">
            <v>1</v>
          </cell>
          <cell r="D22" t="str">
            <v>식</v>
          </cell>
          <cell r="F22">
            <v>17000000</v>
          </cell>
        </row>
        <row r="23">
          <cell r="A23" t="str">
            <v>17.안 전 점 검 비</v>
          </cell>
          <cell r="C23">
            <v>1</v>
          </cell>
          <cell r="D23" t="str">
            <v>식</v>
          </cell>
          <cell r="F23">
            <v>19000000</v>
          </cell>
        </row>
        <row r="24">
          <cell r="A24" t="str">
            <v>18.폐기물 처리비</v>
          </cell>
          <cell r="C24">
            <v>1</v>
          </cell>
          <cell r="D24" t="str">
            <v>식</v>
          </cell>
          <cell r="F24">
            <v>15000000</v>
          </cell>
        </row>
        <row r="25">
          <cell r="A25" t="str">
            <v xml:space="preserve">   도급금액</v>
          </cell>
          <cell r="F25">
            <v>19218100000</v>
          </cell>
        </row>
        <row r="26">
          <cell r="A26" t="str">
            <v>1. 토            공</v>
          </cell>
          <cell r="F26">
            <v>2788053189</v>
          </cell>
        </row>
        <row r="27">
          <cell r="A27" t="str">
            <v>1.01 기존 구조물 철거공</v>
          </cell>
        </row>
        <row r="28">
          <cell r="A28" t="str">
            <v>a. 철근 콘크리트 깨기</v>
          </cell>
        </row>
        <row r="29">
          <cell r="A29" t="str">
            <v>-1.철근 콘크리트 깨기</v>
          </cell>
          <cell r="B29" t="str">
            <v>t=30cm 미만</v>
          </cell>
          <cell r="C29">
            <v>648</v>
          </cell>
          <cell r="D29" t="str">
            <v>㎥</v>
          </cell>
          <cell r="E29">
            <v>104209</v>
          </cell>
          <cell r="F29">
            <v>67527432</v>
          </cell>
        </row>
        <row r="30">
          <cell r="A30" t="str">
            <v>-2.철근 콘크리트 깨기</v>
          </cell>
          <cell r="B30" t="str">
            <v>t=30cm 이상</v>
          </cell>
          <cell r="C30">
            <v>193</v>
          </cell>
          <cell r="D30" t="str">
            <v>㎥</v>
          </cell>
          <cell r="E30">
            <v>107724</v>
          </cell>
          <cell r="F30">
            <v>20790732</v>
          </cell>
        </row>
        <row r="31">
          <cell r="A31" t="str">
            <v>b. 무근 콘크리트 깨기</v>
          </cell>
          <cell r="B31" t="str">
            <v>t=30cm 미만</v>
          </cell>
          <cell r="C31">
            <v>154</v>
          </cell>
          <cell r="D31" t="str">
            <v>㎥</v>
          </cell>
          <cell r="E31">
            <v>44859</v>
          </cell>
          <cell r="F31">
            <v>6908286</v>
          </cell>
        </row>
        <row r="32">
          <cell r="A32" t="str">
            <v>c. 포   장    절   단</v>
          </cell>
        </row>
        <row r="33">
          <cell r="A33" t="str">
            <v>-1. 아 스 콘  포 장</v>
          </cell>
          <cell r="C33">
            <v>819</v>
          </cell>
          <cell r="D33" t="str">
            <v>m</v>
          </cell>
          <cell r="E33">
            <v>1328</v>
          </cell>
          <cell r="F33">
            <v>1087632</v>
          </cell>
        </row>
        <row r="34">
          <cell r="A34" t="str">
            <v>-2. 콘 크 리 트 포 장</v>
          </cell>
          <cell r="C34">
            <v>114</v>
          </cell>
          <cell r="D34" t="str">
            <v>m</v>
          </cell>
          <cell r="E34">
            <v>1506</v>
          </cell>
          <cell r="F34">
            <v>171684</v>
          </cell>
        </row>
        <row r="35">
          <cell r="A35" t="str">
            <v>d. 포   장    깨   기</v>
          </cell>
        </row>
        <row r="36">
          <cell r="A36" t="str">
            <v>-1. 아 스 콘  포 장</v>
          </cell>
          <cell r="C36">
            <v>4179</v>
          </cell>
          <cell r="D36" t="str">
            <v>㎥</v>
          </cell>
          <cell r="E36">
            <v>9743</v>
          </cell>
          <cell r="F36">
            <v>40715997</v>
          </cell>
        </row>
        <row r="37">
          <cell r="A37" t="str">
            <v>-2. 콘 크 리 트 포 장</v>
          </cell>
          <cell r="C37">
            <v>251</v>
          </cell>
          <cell r="D37" t="str">
            <v>㎥</v>
          </cell>
          <cell r="E37">
            <v>19489</v>
          </cell>
          <cell r="F37">
            <v>4891739</v>
          </cell>
        </row>
        <row r="38">
          <cell r="A38" t="str">
            <v>d. 돌담 헐기 및 쌓기</v>
          </cell>
        </row>
        <row r="39">
          <cell r="A39" t="str">
            <v>-1. 돌  담  헐  기</v>
          </cell>
          <cell r="C39">
            <v>1771</v>
          </cell>
          <cell r="D39" t="str">
            <v>㎡</v>
          </cell>
          <cell r="E39">
            <v>8597</v>
          </cell>
          <cell r="F39">
            <v>15225287</v>
          </cell>
        </row>
        <row r="40">
          <cell r="A40" t="str">
            <v>-2. 돌  담  쌓  기</v>
          </cell>
          <cell r="B40" t="str">
            <v>막쌓기</v>
          </cell>
          <cell r="C40">
            <v>1084</v>
          </cell>
          <cell r="D40" t="str">
            <v>㎡</v>
          </cell>
          <cell r="E40">
            <v>21027</v>
          </cell>
          <cell r="F40">
            <v>22793268</v>
          </cell>
        </row>
        <row r="41">
          <cell r="A41" t="str">
            <v>e. 석 축 헐 기</v>
          </cell>
          <cell r="C41">
            <v>629</v>
          </cell>
          <cell r="D41" t="str">
            <v>㎡</v>
          </cell>
          <cell r="E41">
            <v>8597</v>
          </cell>
          <cell r="F41">
            <v>5407513</v>
          </cell>
        </row>
        <row r="42">
          <cell r="A42" t="str">
            <v>1.02 표   토   제   거</v>
          </cell>
          <cell r="B42" t="str">
            <v>답외구간</v>
          </cell>
          <cell r="C42">
            <v>122043</v>
          </cell>
          <cell r="D42" t="str">
            <v>㎡</v>
          </cell>
          <cell r="E42">
            <v>100</v>
          </cell>
          <cell r="F42">
            <v>12204300</v>
          </cell>
        </row>
        <row r="43">
          <cell r="A43" t="str">
            <v>1.03 층     따     기</v>
          </cell>
          <cell r="B43" t="str">
            <v>도쟈 19ton</v>
          </cell>
          <cell r="C43">
            <v>3653</v>
          </cell>
          <cell r="D43" t="str">
            <v>㎥</v>
          </cell>
          <cell r="E43">
            <v>842</v>
          </cell>
          <cell r="F43">
            <v>3075826</v>
          </cell>
        </row>
        <row r="44">
          <cell r="A44" t="str">
            <v>1.04 벌   개   제   근</v>
          </cell>
          <cell r="C44">
            <v>73909</v>
          </cell>
          <cell r="D44" t="str">
            <v>㎡</v>
          </cell>
          <cell r="E44">
            <v>222</v>
          </cell>
          <cell r="F44">
            <v>16407798</v>
          </cell>
        </row>
        <row r="45">
          <cell r="A45" t="str">
            <v>1.05 흙   깍   기   공</v>
          </cell>
        </row>
        <row r="46">
          <cell r="A46" t="str">
            <v>a. 토            사</v>
          </cell>
          <cell r="C46">
            <v>442362</v>
          </cell>
          <cell r="D46" t="str">
            <v>㎥</v>
          </cell>
          <cell r="E46">
            <v>672</v>
          </cell>
          <cell r="F46">
            <v>297267264</v>
          </cell>
        </row>
        <row r="47">
          <cell r="A47" t="str">
            <v>b.        암</v>
          </cell>
          <cell r="B47" t="str">
            <v>브레이카</v>
          </cell>
          <cell r="C47">
            <v>16355</v>
          </cell>
          <cell r="D47" t="str">
            <v>㎥</v>
          </cell>
          <cell r="E47">
            <v>18486</v>
          </cell>
          <cell r="F47">
            <v>302338530</v>
          </cell>
        </row>
        <row r="48">
          <cell r="A48" t="str">
            <v>1.06 측  구  터  파  기</v>
          </cell>
        </row>
        <row r="49">
          <cell r="A49" t="str">
            <v>a. 토            사</v>
          </cell>
          <cell r="B49" t="str">
            <v>토  사</v>
          </cell>
          <cell r="C49">
            <v>948</v>
          </cell>
          <cell r="D49" t="str">
            <v>㎥</v>
          </cell>
          <cell r="E49">
            <v>4508</v>
          </cell>
          <cell r="F49">
            <v>4273584</v>
          </cell>
        </row>
        <row r="50">
          <cell r="A50" t="str">
            <v>1.07 흙   운   반   공</v>
          </cell>
        </row>
        <row r="51">
          <cell r="A51" t="str">
            <v>a. 무           대</v>
          </cell>
        </row>
        <row r="52">
          <cell r="A52" t="str">
            <v>-1. 토        사</v>
          </cell>
          <cell r="B52" t="str">
            <v>ℓ =  20m</v>
          </cell>
          <cell r="C52">
            <v>136275</v>
          </cell>
          <cell r="D52" t="str">
            <v>㎥</v>
          </cell>
          <cell r="E52">
            <v>0</v>
          </cell>
          <cell r="F52">
            <v>0</v>
          </cell>
        </row>
        <row r="53">
          <cell r="A53" t="str">
            <v>-2.      암</v>
          </cell>
          <cell r="B53" t="str">
            <v>ℓ =  20m</v>
          </cell>
          <cell r="C53">
            <v>3957</v>
          </cell>
          <cell r="D53" t="str">
            <v>㎥</v>
          </cell>
          <cell r="E53">
            <v>0</v>
          </cell>
          <cell r="F53">
            <v>0</v>
          </cell>
        </row>
        <row r="54">
          <cell r="A54" t="str">
            <v>b. 도           쟈</v>
          </cell>
        </row>
        <row r="55">
          <cell r="A55" t="str">
            <v>-1. 토        사</v>
          </cell>
          <cell r="B55" t="str">
            <v>ℓ =  42m</v>
          </cell>
          <cell r="C55">
            <v>13054</v>
          </cell>
          <cell r="D55" t="str">
            <v>㎥</v>
          </cell>
          <cell r="E55">
            <v>508</v>
          </cell>
          <cell r="F55">
            <v>6631432</v>
          </cell>
        </row>
        <row r="56">
          <cell r="A56" t="str">
            <v>-2.      암</v>
          </cell>
          <cell r="B56" t="str">
            <v>ℓ =  42m</v>
          </cell>
          <cell r="C56">
            <v>268</v>
          </cell>
          <cell r="D56" t="str">
            <v>㎥</v>
          </cell>
          <cell r="E56">
            <v>1485</v>
          </cell>
          <cell r="F56">
            <v>397980</v>
          </cell>
        </row>
        <row r="57">
          <cell r="A57" t="str">
            <v>c. 덤           프</v>
          </cell>
        </row>
        <row r="58">
          <cell r="A58" t="str">
            <v>-1. 토        사</v>
          </cell>
          <cell r="B58" t="str">
            <v>ℓ = 1141m</v>
          </cell>
          <cell r="C58">
            <v>393284</v>
          </cell>
          <cell r="D58" t="str">
            <v>㎥</v>
          </cell>
          <cell r="E58">
            <v>1716</v>
          </cell>
          <cell r="F58">
            <v>674875344</v>
          </cell>
        </row>
        <row r="59">
          <cell r="A59" t="str">
            <v>-2.      암</v>
          </cell>
          <cell r="B59" t="str">
            <v>ℓ = 1582m</v>
          </cell>
          <cell r="C59">
            <v>15434</v>
          </cell>
          <cell r="D59" t="str">
            <v>㎥</v>
          </cell>
          <cell r="E59">
            <v>6989</v>
          </cell>
          <cell r="F59">
            <v>107868226</v>
          </cell>
        </row>
        <row r="60">
          <cell r="A60" t="str">
            <v>1.08 순성토 운반</v>
          </cell>
          <cell r="D60" t="str">
            <v>M3</v>
          </cell>
          <cell r="E60">
            <v>0</v>
          </cell>
        </row>
        <row r="61">
          <cell r="A61" t="str">
            <v>1.09 노 반   준 비 공</v>
          </cell>
          <cell r="B61" t="str">
            <v>절토부</v>
          </cell>
          <cell r="C61">
            <v>42577</v>
          </cell>
          <cell r="D61" t="str">
            <v>㎡</v>
          </cell>
          <cell r="E61">
            <v>160</v>
          </cell>
          <cell r="F61">
            <v>6812320</v>
          </cell>
        </row>
        <row r="62">
          <cell r="A62" t="str">
            <v>1.10 흙쌓기 및 다짐공</v>
          </cell>
        </row>
        <row r="63">
          <cell r="A63" t="str">
            <v>a.       〃</v>
          </cell>
          <cell r="B63" t="str">
            <v>노체, 토사</v>
          </cell>
          <cell r="C63">
            <v>493642</v>
          </cell>
          <cell r="D63" t="str">
            <v>㎥</v>
          </cell>
          <cell r="E63">
            <v>779</v>
          </cell>
          <cell r="F63">
            <v>384547118</v>
          </cell>
        </row>
        <row r="64">
          <cell r="A64" t="str">
            <v>b.       〃</v>
          </cell>
          <cell r="B64" t="str">
            <v>노상, 토사</v>
          </cell>
          <cell r="C64">
            <v>147579</v>
          </cell>
          <cell r="D64" t="str">
            <v>㎥</v>
          </cell>
          <cell r="E64">
            <v>967</v>
          </cell>
          <cell r="F64">
            <v>142708893</v>
          </cell>
        </row>
        <row r="65">
          <cell r="A65" t="str">
            <v>1.11 측 구   뚝 쌓 기</v>
          </cell>
          <cell r="C65">
            <v>200</v>
          </cell>
          <cell r="D65" t="str">
            <v>㎥</v>
          </cell>
          <cell r="E65">
            <v>2556</v>
          </cell>
          <cell r="F65">
            <v>511200</v>
          </cell>
        </row>
        <row r="66">
          <cell r="A66" t="str">
            <v>1.12 법 면   보 호 공</v>
          </cell>
        </row>
        <row r="67">
          <cell r="A67" t="str">
            <v>a. 씨앗 뿜어 붙이기</v>
          </cell>
          <cell r="C67">
            <v>106612</v>
          </cell>
          <cell r="D67" t="str">
            <v>㎡</v>
          </cell>
          <cell r="E67">
            <v>5672</v>
          </cell>
          <cell r="F67">
            <v>604703264</v>
          </cell>
        </row>
        <row r="68">
          <cell r="A68" t="str">
            <v>b. 암절개면 보호식재공</v>
          </cell>
          <cell r="B68" t="str">
            <v>t = 15㎝</v>
          </cell>
          <cell r="C68">
            <v>815</v>
          </cell>
          <cell r="D68" t="str">
            <v>㎡</v>
          </cell>
          <cell r="E68">
            <v>46516</v>
          </cell>
          <cell r="F68">
            <v>37910540</v>
          </cell>
        </row>
        <row r="70">
          <cell r="A70" t="str">
            <v>2. 배     수     공</v>
          </cell>
          <cell r="F70">
            <v>2289695623</v>
          </cell>
        </row>
        <row r="71">
          <cell r="A71" t="str">
            <v>2.01 측      구      공</v>
          </cell>
        </row>
        <row r="72">
          <cell r="A72" t="str">
            <v>a. 측 구 터 파 기</v>
          </cell>
        </row>
        <row r="73">
          <cell r="A73" t="str">
            <v>-1. 측 구 터 파 기</v>
          </cell>
          <cell r="B73" t="str">
            <v>토  사</v>
          </cell>
          <cell r="C73">
            <v>1701</v>
          </cell>
          <cell r="D73" t="str">
            <v>㎥</v>
          </cell>
          <cell r="E73">
            <v>4508</v>
          </cell>
          <cell r="F73">
            <v>7668108</v>
          </cell>
        </row>
        <row r="74">
          <cell r="A74" t="str">
            <v>b. 되   메   우   기</v>
          </cell>
        </row>
        <row r="75">
          <cell r="A75" t="str">
            <v>-1. 되  메  우  기</v>
          </cell>
          <cell r="B75" t="str">
            <v>다짐제외</v>
          </cell>
          <cell r="C75">
            <v>1556</v>
          </cell>
          <cell r="D75" t="str">
            <v>㎥</v>
          </cell>
          <cell r="E75">
            <v>1505</v>
          </cell>
          <cell r="F75">
            <v>2341780</v>
          </cell>
        </row>
        <row r="76">
          <cell r="A76" t="str">
            <v>-1. 되  메  우  기</v>
          </cell>
          <cell r="B76" t="str">
            <v>다짐포함</v>
          </cell>
          <cell r="C76">
            <v>753</v>
          </cell>
          <cell r="D76" t="str">
            <v>㎥</v>
          </cell>
          <cell r="E76">
            <v>3385</v>
          </cell>
          <cell r="F76">
            <v>2548905</v>
          </cell>
        </row>
        <row r="77">
          <cell r="A77" t="str">
            <v>c. L   형    측   구</v>
          </cell>
        </row>
        <row r="78">
          <cell r="A78" t="str">
            <v>-1. 형  식  -  1</v>
          </cell>
          <cell r="C78">
            <v>6791</v>
          </cell>
          <cell r="D78" t="str">
            <v>m</v>
          </cell>
          <cell r="E78">
            <v>17000</v>
          </cell>
          <cell r="F78">
            <v>115447000</v>
          </cell>
        </row>
        <row r="79">
          <cell r="A79" t="str">
            <v>-2. 형  식  -  2</v>
          </cell>
          <cell r="C79">
            <v>1356</v>
          </cell>
          <cell r="D79" t="str">
            <v>m</v>
          </cell>
          <cell r="E79">
            <v>17500</v>
          </cell>
          <cell r="F79">
            <v>23730000</v>
          </cell>
        </row>
        <row r="80">
          <cell r="A80" t="str">
            <v>-3. 형  식  -  3</v>
          </cell>
          <cell r="C80">
            <v>2868</v>
          </cell>
          <cell r="D80" t="str">
            <v>m</v>
          </cell>
          <cell r="E80">
            <v>18000</v>
          </cell>
          <cell r="F80">
            <v>51624000</v>
          </cell>
        </row>
        <row r="81">
          <cell r="A81" t="str">
            <v>d. V  형   측  구</v>
          </cell>
        </row>
        <row r="82">
          <cell r="A82" t="str">
            <v>-1. 형  식  -  1</v>
          </cell>
          <cell r="C82">
            <v>941</v>
          </cell>
          <cell r="D82" t="str">
            <v>m</v>
          </cell>
          <cell r="E82">
            <v>45210</v>
          </cell>
          <cell r="F82">
            <v>42542610</v>
          </cell>
        </row>
        <row r="83">
          <cell r="A83" t="str">
            <v>e.  U  형   측  구</v>
          </cell>
          <cell r="C83">
            <v>104</v>
          </cell>
          <cell r="D83" t="str">
            <v>m</v>
          </cell>
          <cell r="E83">
            <v>50000</v>
          </cell>
          <cell r="F83">
            <v>5200000</v>
          </cell>
        </row>
        <row r="84">
          <cell r="A84" t="str">
            <v>2.02  횡  배  수  관  공</v>
          </cell>
        </row>
        <row r="85">
          <cell r="A85" t="str">
            <v>a. 구 조 물 터 파 기</v>
          </cell>
        </row>
        <row r="86">
          <cell r="A86" t="str">
            <v>-1.구조물 터파기</v>
          </cell>
          <cell r="B86" t="str">
            <v>(육상토사,0~2m)</v>
          </cell>
          <cell r="C86">
            <v>1939</v>
          </cell>
          <cell r="D86" t="str">
            <v>㎥</v>
          </cell>
          <cell r="E86">
            <v>3161</v>
          </cell>
          <cell r="F86">
            <v>6129179</v>
          </cell>
        </row>
        <row r="87">
          <cell r="A87" t="str">
            <v>-2.구조물 터파기</v>
          </cell>
          <cell r="B87" t="str">
            <v>(육상토사,2~4m)</v>
          </cell>
          <cell r="C87">
            <v>120</v>
          </cell>
          <cell r="D87" t="str">
            <v>㎥</v>
          </cell>
          <cell r="E87">
            <v>4598</v>
          </cell>
          <cell r="F87">
            <v>551760</v>
          </cell>
        </row>
        <row r="88">
          <cell r="A88" t="str">
            <v>-3.구조물 터파기</v>
          </cell>
          <cell r="B88" t="str">
            <v>(육상암,0~2m)</v>
          </cell>
          <cell r="C88">
            <v>227</v>
          </cell>
          <cell r="D88" t="str">
            <v>㎥</v>
          </cell>
          <cell r="E88">
            <v>94660</v>
          </cell>
          <cell r="F88">
            <v>21487820</v>
          </cell>
        </row>
        <row r="89">
          <cell r="A89" t="str">
            <v>b. 되   메   우   기</v>
          </cell>
          <cell r="B89" t="str">
            <v>다짐포함</v>
          </cell>
          <cell r="C89">
            <v>2136</v>
          </cell>
          <cell r="D89" t="str">
            <v>㎥</v>
          </cell>
          <cell r="E89">
            <v>3385</v>
          </cell>
          <cell r="F89">
            <v>7230360</v>
          </cell>
        </row>
        <row r="90">
          <cell r="A90" t="str">
            <v>c. 배  수  관  부  설</v>
          </cell>
          <cell r="B90" t="str">
            <v>VR관</v>
          </cell>
        </row>
        <row r="91">
          <cell r="A91" t="str">
            <v>-1.       〃</v>
          </cell>
          <cell r="B91" t="str">
            <v>φ 600mm</v>
          </cell>
          <cell r="C91">
            <v>95</v>
          </cell>
          <cell r="D91" t="str">
            <v>m</v>
          </cell>
          <cell r="E91">
            <v>70801</v>
          </cell>
          <cell r="F91">
            <v>6726095</v>
          </cell>
        </row>
        <row r="92">
          <cell r="A92" t="str">
            <v>-2.       〃</v>
          </cell>
          <cell r="B92" t="str">
            <v>φ 800mm</v>
          </cell>
          <cell r="C92">
            <v>415</v>
          </cell>
          <cell r="D92" t="str">
            <v>m</v>
          </cell>
          <cell r="E92">
            <v>98466</v>
          </cell>
          <cell r="F92">
            <v>40863390</v>
          </cell>
        </row>
        <row r="93">
          <cell r="A93" t="str">
            <v>-3.       〃</v>
          </cell>
          <cell r="B93" t="str">
            <v>φ1000mm</v>
          </cell>
          <cell r="C93">
            <v>272</v>
          </cell>
          <cell r="D93" t="str">
            <v>m</v>
          </cell>
          <cell r="E93">
            <v>135049</v>
          </cell>
          <cell r="F93">
            <v>36733328</v>
          </cell>
        </row>
        <row r="94">
          <cell r="A94" t="str">
            <v>d. 배 수 관  날 개 벽</v>
          </cell>
        </row>
        <row r="95">
          <cell r="A95" t="str">
            <v>-1. 합판 거푸집</v>
          </cell>
          <cell r="B95" t="str">
            <v>3회,소형</v>
          </cell>
          <cell r="C95">
            <v>332</v>
          </cell>
          <cell r="D95" t="str">
            <v>㎡</v>
          </cell>
          <cell r="E95">
            <v>26387</v>
          </cell>
          <cell r="F95">
            <v>8760484</v>
          </cell>
        </row>
        <row r="96">
          <cell r="A96" t="str">
            <v>-2. 콘크리트 타설</v>
          </cell>
          <cell r="B96" t="str">
            <v>소형구조물</v>
          </cell>
          <cell r="C96">
            <v>72</v>
          </cell>
          <cell r="D96" t="str">
            <v>㎥</v>
          </cell>
          <cell r="E96">
            <v>32371</v>
          </cell>
          <cell r="F96">
            <v>2330712</v>
          </cell>
        </row>
        <row r="97">
          <cell r="A97" t="str">
            <v>2.03  집      수      정</v>
          </cell>
        </row>
        <row r="98">
          <cell r="A98" t="str">
            <v>a. 구 조 물 터 파 기</v>
          </cell>
        </row>
        <row r="99">
          <cell r="A99" t="str">
            <v>구조물 터파기</v>
          </cell>
          <cell r="B99" t="str">
            <v>(토사,0~2m)</v>
          </cell>
          <cell r="C99">
            <v>1048</v>
          </cell>
          <cell r="D99" t="str">
            <v>㎥</v>
          </cell>
          <cell r="E99">
            <v>3161</v>
          </cell>
          <cell r="F99">
            <v>3312728</v>
          </cell>
        </row>
        <row r="100">
          <cell r="A100" t="str">
            <v>구조물 터파기</v>
          </cell>
          <cell r="B100" t="str">
            <v>(암,0~2m)</v>
          </cell>
          <cell r="C100">
            <v>384</v>
          </cell>
          <cell r="D100" t="str">
            <v>㎥</v>
          </cell>
          <cell r="E100">
            <v>94660</v>
          </cell>
          <cell r="F100">
            <v>36349440</v>
          </cell>
        </row>
        <row r="101">
          <cell r="A101" t="str">
            <v>b. 되   메   우   기</v>
          </cell>
          <cell r="B101" t="str">
            <v>다짐포함</v>
          </cell>
          <cell r="C101">
            <v>1008</v>
          </cell>
          <cell r="D101" t="str">
            <v>㎥</v>
          </cell>
          <cell r="E101">
            <v>3385</v>
          </cell>
          <cell r="F101">
            <v>3412080</v>
          </cell>
        </row>
        <row r="102">
          <cell r="A102" t="str">
            <v>c. 콘크리트 타설</v>
          </cell>
          <cell r="B102" t="str">
            <v>(소형구조물)</v>
          </cell>
          <cell r="C102">
            <v>260</v>
          </cell>
          <cell r="D102" t="str">
            <v>㎥</v>
          </cell>
          <cell r="E102">
            <v>32371</v>
          </cell>
          <cell r="F102">
            <v>8416460</v>
          </cell>
        </row>
        <row r="103">
          <cell r="A103" t="str">
            <v>d. 합판 거푸집</v>
          </cell>
          <cell r="B103" t="str">
            <v>(4회, 0~ 7m)</v>
          </cell>
          <cell r="C103">
            <v>2839</v>
          </cell>
          <cell r="D103" t="str">
            <v>㎡</v>
          </cell>
          <cell r="E103">
            <v>19038</v>
          </cell>
          <cell r="F103">
            <v>54048882</v>
          </cell>
        </row>
        <row r="104">
          <cell r="A104" t="str">
            <v>e.철근 가공 조립</v>
          </cell>
          <cell r="B104" t="str">
            <v>(간 단)</v>
          </cell>
          <cell r="C104">
            <v>14</v>
          </cell>
          <cell r="D104" t="str">
            <v>ton</v>
          </cell>
          <cell r="E104">
            <v>264204</v>
          </cell>
          <cell r="F104">
            <v>3698856</v>
          </cell>
        </row>
        <row r="105">
          <cell r="A105" t="str">
            <v>f. 스 틸  그 레 이 팅</v>
          </cell>
        </row>
        <row r="106">
          <cell r="A106" t="str">
            <v>스틸 그레이팅</v>
          </cell>
          <cell r="B106" t="str">
            <v>아연도,1130×420×75</v>
          </cell>
          <cell r="C106">
            <v>172</v>
          </cell>
          <cell r="D106" t="str">
            <v>조</v>
          </cell>
          <cell r="E106">
            <v>33636</v>
          </cell>
          <cell r="F106">
            <v>5785392</v>
          </cell>
        </row>
        <row r="107">
          <cell r="A107" t="str">
            <v>스틸 그레이팅</v>
          </cell>
          <cell r="B107" t="str">
            <v>아연도,1180×980×50mm</v>
          </cell>
          <cell r="C107">
            <v>89</v>
          </cell>
          <cell r="D107" t="str">
            <v>조</v>
          </cell>
          <cell r="E107">
            <v>54000</v>
          </cell>
          <cell r="F107">
            <v>4806000</v>
          </cell>
        </row>
        <row r="108">
          <cell r="A108" t="str">
            <v>스틸 그레이팅</v>
          </cell>
          <cell r="B108" t="str">
            <v>아연도,940×1340×75</v>
          </cell>
          <cell r="C108">
            <v>5</v>
          </cell>
          <cell r="D108" t="str">
            <v>조</v>
          </cell>
          <cell r="E108">
            <v>75000</v>
          </cell>
          <cell r="F108">
            <v>375000</v>
          </cell>
        </row>
        <row r="109">
          <cell r="A109" t="str">
            <v>2.04  종  배  수  관  공</v>
          </cell>
        </row>
        <row r="110">
          <cell r="A110" t="str">
            <v>a. 구 조 물 터 파 기</v>
          </cell>
        </row>
        <row r="111">
          <cell r="A111" t="str">
            <v>구조물 터파기</v>
          </cell>
          <cell r="B111" t="str">
            <v>(육상토사,0~2m)</v>
          </cell>
          <cell r="C111">
            <v>7194</v>
          </cell>
          <cell r="D111" t="str">
            <v>㎥</v>
          </cell>
          <cell r="E111">
            <v>3161</v>
          </cell>
          <cell r="F111">
            <v>22740234</v>
          </cell>
        </row>
        <row r="112">
          <cell r="A112" t="str">
            <v>구조물 터파기</v>
          </cell>
          <cell r="B112" t="str">
            <v>(육상암,0~2m)</v>
          </cell>
          <cell r="C112">
            <v>2002</v>
          </cell>
          <cell r="D112" t="str">
            <v>㎥</v>
          </cell>
          <cell r="E112">
            <v>94660</v>
          </cell>
          <cell r="F112">
            <v>189509320</v>
          </cell>
        </row>
        <row r="113">
          <cell r="A113" t="str">
            <v>b. 되   메   우   기</v>
          </cell>
        </row>
        <row r="114">
          <cell r="A114" t="str">
            <v>-1.       〃</v>
          </cell>
          <cell r="B114" t="str">
            <v>다짐포함</v>
          </cell>
          <cell r="C114">
            <v>7472</v>
          </cell>
          <cell r="D114" t="str">
            <v>㎥</v>
          </cell>
          <cell r="E114">
            <v>3385</v>
          </cell>
          <cell r="F114">
            <v>25292720</v>
          </cell>
        </row>
        <row r="115">
          <cell r="A115" t="str">
            <v>c. 배  수  관  부  설</v>
          </cell>
          <cell r="B115" t="str">
            <v>흄관</v>
          </cell>
        </row>
        <row r="116">
          <cell r="A116" t="str">
            <v>-1.       〃</v>
          </cell>
          <cell r="B116" t="str">
            <v>φ 600mm</v>
          </cell>
          <cell r="C116">
            <v>52</v>
          </cell>
          <cell r="D116" t="str">
            <v>m</v>
          </cell>
          <cell r="E116">
            <v>35017</v>
          </cell>
          <cell r="F116">
            <v>1820884</v>
          </cell>
        </row>
        <row r="117">
          <cell r="A117" t="str">
            <v>-3.       〃</v>
          </cell>
          <cell r="B117" t="str">
            <v>φ1000mm</v>
          </cell>
          <cell r="C117">
            <v>90</v>
          </cell>
          <cell r="D117" t="str">
            <v>m</v>
          </cell>
          <cell r="E117">
            <v>74249</v>
          </cell>
          <cell r="F117">
            <v>6682410</v>
          </cell>
        </row>
        <row r="118">
          <cell r="A118" t="str">
            <v>d. 배  수  관  부  설</v>
          </cell>
          <cell r="B118" t="str">
            <v>V.R.관</v>
          </cell>
        </row>
        <row r="119">
          <cell r="A119" t="str">
            <v>-1        〃</v>
          </cell>
          <cell r="B119" t="str">
            <v>φ 300mm</v>
          </cell>
          <cell r="C119">
            <v>2720</v>
          </cell>
          <cell r="D119" t="str">
            <v>m</v>
          </cell>
          <cell r="E119">
            <v>17205</v>
          </cell>
          <cell r="F119">
            <v>46797600</v>
          </cell>
        </row>
        <row r="120">
          <cell r="A120" t="str">
            <v>-1.       〃</v>
          </cell>
          <cell r="B120" t="str">
            <v>φ 600mm</v>
          </cell>
          <cell r="C120">
            <v>1857</v>
          </cell>
          <cell r="D120" t="str">
            <v>m</v>
          </cell>
          <cell r="E120">
            <v>35017</v>
          </cell>
          <cell r="F120">
            <v>65026569</v>
          </cell>
        </row>
        <row r="121">
          <cell r="A121" t="str">
            <v>-2.       〃</v>
          </cell>
          <cell r="B121" t="str">
            <v>φ 800mm</v>
          </cell>
          <cell r="C121">
            <v>237</v>
          </cell>
          <cell r="D121" t="str">
            <v>m</v>
          </cell>
          <cell r="E121">
            <v>53473</v>
          </cell>
          <cell r="F121">
            <v>12673101</v>
          </cell>
        </row>
        <row r="122">
          <cell r="A122" t="str">
            <v>e.중분대 횡배수관 부설</v>
          </cell>
          <cell r="B122" t="str">
            <v>φ 300mm</v>
          </cell>
          <cell r="C122">
            <v>505</v>
          </cell>
          <cell r="D122" t="str">
            <v>m</v>
          </cell>
          <cell r="E122">
            <v>17205</v>
          </cell>
          <cell r="F122">
            <v>8688525</v>
          </cell>
        </row>
        <row r="123">
          <cell r="A123" t="str">
            <v>f.  면벽 및 날개벽</v>
          </cell>
        </row>
        <row r="124">
          <cell r="A124" t="str">
            <v>콘크리트 타설</v>
          </cell>
          <cell r="B124" t="str">
            <v>소형구조물</v>
          </cell>
          <cell r="C124">
            <v>1</v>
          </cell>
          <cell r="D124" t="str">
            <v>㎥</v>
          </cell>
          <cell r="E124">
            <v>32371</v>
          </cell>
          <cell r="F124">
            <v>32371</v>
          </cell>
        </row>
        <row r="125">
          <cell r="A125" t="str">
            <v>합 판 거 푸 집</v>
          </cell>
          <cell r="B125" t="str">
            <v>4회</v>
          </cell>
          <cell r="C125">
            <v>27</v>
          </cell>
          <cell r="D125" t="str">
            <v>㎡</v>
          </cell>
          <cell r="E125">
            <v>19038</v>
          </cell>
          <cell r="F125">
            <v>514026</v>
          </cell>
        </row>
        <row r="126">
          <cell r="A126" t="str">
            <v>2.05 도 수 로 공</v>
          </cell>
        </row>
        <row r="127">
          <cell r="A127" t="str">
            <v>a. 구 조 물 터 파 기</v>
          </cell>
        </row>
        <row r="128">
          <cell r="A128" t="str">
            <v>구조물 터파기</v>
          </cell>
          <cell r="B128" t="str">
            <v>(육상토사,0~2m)</v>
          </cell>
          <cell r="C128">
            <v>261</v>
          </cell>
          <cell r="D128" t="str">
            <v>㎥</v>
          </cell>
          <cell r="E128">
            <v>3161</v>
          </cell>
          <cell r="F128">
            <v>825021</v>
          </cell>
        </row>
        <row r="129">
          <cell r="A129" t="str">
            <v>b. 콘크리트타설</v>
          </cell>
        </row>
        <row r="130">
          <cell r="A130" t="str">
            <v>콘크리트 타설</v>
          </cell>
          <cell r="B130" t="str">
            <v>(소형구조물)</v>
          </cell>
          <cell r="C130">
            <v>53</v>
          </cell>
          <cell r="D130" t="str">
            <v>㎥</v>
          </cell>
          <cell r="E130">
            <v>32371</v>
          </cell>
          <cell r="F130">
            <v>1715663</v>
          </cell>
        </row>
        <row r="131">
          <cell r="A131" t="str">
            <v>콘크리트 타설</v>
          </cell>
          <cell r="B131" t="str">
            <v>(철근,진동기사용)</v>
          </cell>
          <cell r="C131">
            <v>41</v>
          </cell>
          <cell r="D131" t="str">
            <v>㎥</v>
          </cell>
          <cell r="E131">
            <v>22907</v>
          </cell>
          <cell r="F131">
            <v>939187</v>
          </cell>
        </row>
        <row r="132">
          <cell r="A132" t="str">
            <v>c. 거 푸 집</v>
          </cell>
        </row>
        <row r="133">
          <cell r="A133" t="str">
            <v>합 판 거 푸 집</v>
          </cell>
          <cell r="B133" t="str">
            <v>4회</v>
          </cell>
          <cell r="C133">
            <v>651</v>
          </cell>
          <cell r="D133" t="str">
            <v>㎡</v>
          </cell>
          <cell r="E133">
            <v>19038</v>
          </cell>
          <cell r="F133">
            <v>12393738</v>
          </cell>
        </row>
        <row r="134">
          <cell r="A134" t="str">
            <v>d.철근 가공 조립</v>
          </cell>
          <cell r="B134" t="str">
            <v>(간 단)</v>
          </cell>
          <cell r="C134">
            <v>2.117</v>
          </cell>
          <cell r="D134" t="str">
            <v>ton</v>
          </cell>
          <cell r="E134">
            <v>264204</v>
          </cell>
          <cell r="F134">
            <v>559319</v>
          </cell>
        </row>
        <row r="135">
          <cell r="A135" t="str">
            <v>2.07 석  축  공</v>
          </cell>
        </row>
        <row r="136">
          <cell r="A136" t="str">
            <v>구조물 터파기</v>
          </cell>
          <cell r="B136" t="str">
            <v>(육상토사,0~2m)</v>
          </cell>
          <cell r="C136">
            <v>50999</v>
          </cell>
          <cell r="D136" t="str">
            <v>㎥</v>
          </cell>
          <cell r="E136">
            <v>3161</v>
          </cell>
          <cell r="F136">
            <v>161207839</v>
          </cell>
        </row>
        <row r="137">
          <cell r="A137" t="str">
            <v>되 메 우 기</v>
          </cell>
          <cell r="B137" t="str">
            <v>다짐포함</v>
          </cell>
          <cell r="C137">
            <v>1197</v>
          </cell>
          <cell r="D137" t="str">
            <v>㎥</v>
          </cell>
          <cell r="E137">
            <v>3385</v>
          </cell>
          <cell r="F137">
            <v>4051845</v>
          </cell>
        </row>
        <row r="138">
          <cell r="A138" t="str">
            <v>석  축  쌓 기</v>
          </cell>
          <cell r="C138">
            <v>1197</v>
          </cell>
          <cell r="D138" t="str">
            <v>M2</v>
          </cell>
          <cell r="E138">
            <v>23090</v>
          </cell>
          <cell r="F138">
            <v>27638730</v>
          </cell>
        </row>
        <row r="139">
          <cell r="A139" t="str">
            <v>콘크리트 타설</v>
          </cell>
          <cell r="B139" t="str">
            <v>(무근구조물)</v>
          </cell>
          <cell r="C139">
            <v>305</v>
          </cell>
          <cell r="D139" t="str">
            <v>㎥</v>
          </cell>
          <cell r="E139">
            <v>20803</v>
          </cell>
          <cell r="F139">
            <v>6344915</v>
          </cell>
        </row>
        <row r="140">
          <cell r="A140" t="str">
            <v>몰    탈</v>
          </cell>
          <cell r="B140" t="str">
            <v>( 1 : 3 )</v>
          </cell>
          <cell r="C140">
            <v>10</v>
          </cell>
          <cell r="D140" t="str">
            <v>㎥</v>
          </cell>
          <cell r="E140">
            <v>34947</v>
          </cell>
          <cell r="F140">
            <v>349470</v>
          </cell>
        </row>
        <row r="141">
          <cell r="A141" t="str">
            <v>합판 거푸집</v>
          </cell>
          <cell r="B141" t="str">
            <v>(6회 ; 소형)</v>
          </cell>
          <cell r="C141">
            <v>171</v>
          </cell>
          <cell r="D141" t="str">
            <v>㎡</v>
          </cell>
          <cell r="E141">
            <v>20796</v>
          </cell>
          <cell r="F141">
            <v>3556116</v>
          </cell>
        </row>
        <row r="142">
          <cell r="A142" t="str">
            <v>배수 파이프</v>
          </cell>
          <cell r="B142" t="str">
            <v>(PVC PIPE φ50mm)</v>
          </cell>
          <cell r="C142">
            <v>419</v>
          </cell>
          <cell r="D142" t="str">
            <v>m</v>
          </cell>
          <cell r="E142">
            <v>1472</v>
          </cell>
          <cell r="F142">
            <v>616768</v>
          </cell>
        </row>
        <row r="143">
          <cell r="A143" t="str">
            <v>뒷 채 움</v>
          </cell>
          <cell r="B143" t="str">
            <v>보조기층재</v>
          </cell>
          <cell r="C143">
            <v>1137</v>
          </cell>
          <cell r="D143" t="str">
            <v>㎥</v>
          </cell>
          <cell r="E143">
            <v>16460</v>
          </cell>
          <cell r="F143">
            <v>18715020</v>
          </cell>
        </row>
        <row r="144">
          <cell r="A144" t="str">
            <v>2.08 수로보호공</v>
          </cell>
        </row>
        <row r="145">
          <cell r="A145" t="str">
            <v>구조물 터파기</v>
          </cell>
          <cell r="B145" t="str">
            <v>(육상토사,0~2m)</v>
          </cell>
          <cell r="C145">
            <v>9</v>
          </cell>
          <cell r="D145" t="str">
            <v>㎥</v>
          </cell>
          <cell r="E145">
            <v>3161</v>
          </cell>
          <cell r="F145">
            <v>28449</v>
          </cell>
        </row>
        <row r="146">
          <cell r="A146" t="str">
            <v>콘크리트 타설</v>
          </cell>
          <cell r="B146" t="str">
            <v>(소형구조물)</v>
          </cell>
          <cell r="C146">
            <v>7</v>
          </cell>
          <cell r="D146" t="str">
            <v>㎥</v>
          </cell>
          <cell r="E146">
            <v>32371</v>
          </cell>
          <cell r="F146">
            <v>226597</v>
          </cell>
        </row>
        <row r="147">
          <cell r="A147" t="str">
            <v>합 판 거 푸 집</v>
          </cell>
          <cell r="B147" t="str">
            <v>4회</v>
          </cell>
          <cell r="C147">
            <v>12</v>
          </cell>
          <cell r="D147" t="str">
            <v>㎡</v>
          </cell>
          <cell r="E147">
            <v>19038</v>
          </cell>
          <cell r="F147">
            <v>228456</v>
          </cell>
        </row>
        <row r="148">
          <cell r="A148" t="str">
            <v>2.07 암      거      공</v>
          </cell>
        </row>
        <row r="149">
          <cell r="A149" t="str">
            <v>◈ Sta. 4 ＋ 727</v>
          </cell>
        </row>
        <row r="150">
          <cell r="A150" t="str">
            <v>a. 구 조 물 터 파 기</v>
          </cell>
        </row>
        <row r="151">
          <cell r="A151" t="str">
            <v>구조물 터파기</v>
          </cell>
          <cell r="B151" t="str">
            <v>(육상토사,0~2m)</v>
          </cell>
          <cell r="C151">
            <v>669</v>
          </cell>
          <cell r="D151" t="str">
            <v>㎥</v>
          </cell>
          <cell r="E151">
            <v>3161</v>
          </cell>
          <cell r="F151">
            <v>2114709</v>
          </cell>
        </row>
        <row r="152">
          <cell r="A152" t="str">
            <v>되   메   우   기</v>
          </cell>
          <cell r="B152" t="str">
            <v>다짐포함</v>
          </cell>
          <cell r="C152">
            <v>173</v>
          </cell>
          <cell r="D152" t="str">
            <v>㎥</v>
          </cell>
          <cell r="E152">
            <v>3385</v>
          </cell>
          <cell r="F152">
            <v>585605</v>
          </cell>
        </row>
        <row r="153">
          <cell r="A153" t="str">
            <v>b. 뒷      채      움</v>
          </cell>
          <cell r="B153" t="str">
            <v>보조기층재</v>
          </cell>
          <cell r="C153">
            <v>1116</v>
          </cell>
          <cell r="D153" t="str">
            <v>㎥</v>
          </cell>
          <cell r="E153">
            <v>16460</v>
          </cell>
          <cell r="F153">
            <v>18369360</v>
          </cell>
        </row>
        <row r="154">
          <cell r="A154" t="str">
            <v>c. 콘 크 리 트  타 설</v>
          </cell>
        </row>
        <row r="155">
          <cell r="A155" t="str">
            <v>-1.       〃</v>
          </cell>
          <cell r="B155" t="str">
            <v>철근,진동기,펌프카</v>
          </cell>
          <cell r="C155">
            <v>439</v>
          </cell>
          <cell r="D155" t="str">
            <v>㎥</v>
          </cell>
          <cell r="E155">
            <v>10947</v>
          </cell>
          <cell r="F155">
            <v>4805733</v>
          </cell>
        </row>
        <row r="156">
          <cell r="A156" t="str">
            <v>-2.       〃</v>
          </cell>
          <cell r="B156" t="str">
            <v>무근구조물</v>
          </cell>
          <cell r="C156">
            <v>66</v>
          </cell>
          <cell r="D156" t="str">
            <v>㎥</v>
          </cell>
          <cell r="E156">
            <v>20803</v>
          </cell>
          <cell r="F156">
            <v>1372998</v>
          </cell>
        </row>
        <row r="157">
          <cell r="A157" t="str">
            <v>d. 거     푸     집</v>
          </cell>
        </row>
        <row r="158">
          <cell r="A158" t="str">
            <v>-1. 합 판  거 푸 집</v>
          </cell>
          <cell r="B158" t="str">
            <v>3회</v>
          </cell>
          <cell r="C158">
            <v>472</v>
          </cell>
          <cell r="D158" t="str">
            <v>㎡</v>
          </cell>
          <cell r="E158">
            <v>22050</v>
          </cell>
          <cell r="F158">
            <v>10407600</v>
          </cell>
        </row>
        <row r="159">
          <cell r="A159" t="str">
            <v>-2.합판 거푸집</v>
          </cell>
          <cell r="B159" t="str">
            <v>4회</v>
          </cell>
          <cell r="C159">
            <v>49</v>
          </cell>
          <cell r="D159" t="str">
            <v>㎡</v>
          </cell>
          <cell r="E159">
            <v>19038</v>
          </cell>
          <cell r="F159">
            <v>932862</v>
          </cell>
        </row>
        <row r="160">
          <cell r="A160" t="str">
            <v>-3.합판 거푸집</v>
          </cell>
          <cell r="B160" t="str">
            <v>6회</v>
          </cell>
          <cell r="C160">
            <v>4</v>
          </cell>
          <cell r="D160" t="str">
            <v>㎡</v>
          </cell>
          <cell r="E160">
            <v>15879</v>
          </cell>
          <cell r="F160">
            <v>63516</v>
          </cell>
        </row>
        <row r="161">
          <cell r="A161" t="str">
            <v>-4. 코팅 거푸집</v>
          </cell>
          <cell r="B161" t="str">
            <v>3회</v>
          </cell>
          <cell r="C161">
            <v>135</v>
          </cell>
          <cell r="D161" t="str">
            <v>㎡</v>
          </cell>
          <cell r="E161">
            <v>22050</v>
          </cell>
          <cell r="F161">
            <v>2976750</v>
          </cell>
        </row>
        <row r="162">
          <cell r="A162" t="str">
            <v>-5. 무늬거푸집</v>
          </cell>
          <cell r="C162">
            <v>340</v>
          </cell>
          <cell r="D162" t="str">
            <v>M2</v>
          </cell>
          <cell r="E162">
            <v>29285</v>
          </cell>
          <cell r="F162">
            <v>9956900</v>
          </cell>
        </row>
        <row r="163">
          <cell r="A163" t="str">
            <v>e. 철 근 가 공 조 립</v>
          </cell>
          <cell r="B163" t="str">
            <v>복 잡</v>
          </cell>
          <cell r="C163">
            <v>71.41</v>
          </cell>
          <cell r="D163" t="str">
            <v>ton</v>
          </cell>
          <cell r="E163">
            <v>456666</v>
          </cell>
          <cell r="F163">
            <v>32610519</v>
          </cell>
        </row>
        <row r="164">
          <cell r="A164" t="str">
            <v>f. 지     수     판</v>
          </cell>
          <cell r="B164" t="str">
            <v>PVC, 200×5㎜</v>
          </cell>
          <cell r="C164">
            <v>19</v>
          </cell>
          <cell r="D164" t="str">
            <v>m</v>
          </cell>
          <cell r="E164">
            <v>14840</v>
          </cell>
          <cell r="F164">
            <v>281960</v>
          </cell>
        </row>
        <row r="165">
          <cell r="A165" t="str">
            <v>g. 신   축   이   음</v>
          </cell>
          <cell r="B165" t="str">
            <v>Exp. Joint Filler,t=20mm</v>
          </cell>
          <cell r="C165">
            <v>9</v>
          </cell>
          <cell r="D165" t="str">
            <v>㎡</v>
          </cell>
          <cell r="E165">
            <v>5907</v>
          </cell>
          <cell r="F165">
            <v>53163</v>
          </cell>
        </row>
        <row r="166">
          <cell r="A166" t="str">
            <v>h. 실     런     트</v>
          </cell>
          <cell r="B166" t="str">
            <v>20 x 25mm</v>
          </cell>
          <cell r="C166">
            <v>16</v>
          </cell>
          <cell r="D166" t="str">
            <v>m</v>
          </cell>
          <cell r="E166">
            <v>2315</v>
          </cell>
          <cell r="F166">
            <v>37040</v>
          </cell>
        </row>
        <row r="167">
          <cell r="A167" t="str">
            <v>i. 강   관   비  계</v>
          </cell>
          <cell r="C167">
            <v>444</v>
          </cell>
          <cell r="D167" t="str">
            <v>㎡</v>
          </cell>
          <cell r="E167">
            <v>10525</v>
          </cell>
          <cell r="F167">
            <v>4673100</v>
          </cell>
        </row>
        <row r="168">
          <cell r="A168" t="str">
            <v>j. 강  관  동  바  리</v>
          </cell>
          <cell r="B168" t="str">
            <v>(암거구조물용)</v>
          </cell>
          <cell r="C168">
            <v>562</v>
          </cell>
          <cell r="D168" t="str">
            <v>공㎥</v>
          </cell>
          <cell r="E168">
            <v>6834</v>
          </cell>
          <cell r="F168">
            <v>3840708</v>
          </cell>
        </row>
        <row r="169">
          <cell r="A169" t="str">
            <v>k. 스   페   이   셔</v>
          </cell>
          <cell r="C169">
            <v>1084</v>
          </cell>
          <cell r="D169" t="str">
            <v>㎡</v>
          </cell>
          <cell r="E169">
            <v>230</v>
          </cell>
          <cell r="F169">
            <v>249320</v>
          </cell>
        </row>
        <row r="170">
          <cell r="A170" t="str">
            <v>l  아 스 팔 트 코 팅</v>
          </cell>
          <cell r="C170">
            <v>460</v>
          </cell>
          <cell r="D170" t="str">
            <v>M2</v>
          </cell>
          <cell r="E170">
            <v>4406</v>
          </cell>
          <cell r="F170">
            <v>2026760</v>
          </cell>
        </row>
        <row r="171">
          <cell r="A171" t="str">
            <v>m. 전 선 관</v>
          </cell>
          <cell r="B171" t="str">
            <v>(PVC PIPE φ16mm)</v>
          </cell>
          <cell r="C171">
            <v>28</v>
          </cell>
          <cell r="D171" t="str">
            <v>m</v>
          </cell>
          <cell r="E171">
            <v>381</v>
          </cell>
          <cell r="F171">
            <v>10668</v>
          </cell>
        </row>
        <row r="172">
          <cell r="A172" t="str">
            <v>m.부 직 포</v>
          </cell>
          <cell r="C172">
            <v>12</v>
          </cell>
          <cell r="D172" t="str">
            <v>㎡</v>
          </cell>
          <cell r="E172">
            <v>1604</v>
          </cell>
          <cell r="F172">
            <v>19248</v>
          </cell>
        </row>
        <row r="173">
          <cell r="A173" t="str">
            <v>n. 배수관</v>
          </cell>
          <cell r="B173" t="str">
            <v>φ100mm</v>
          </cell>
          <cell r="C173">
            <v>36</v>
          </cell>
          <cell r="D173" t="str">
            <v>개</v>
          </cell>
          <cell r="E173">
            <v>4473</v>
          </cell>
          <cell r="F173">
            <v>161028</v>
          </cell>
        </row>
        <row r="174">
          <cell r="A174" t="str">
            <v>p. 다웰바설치공</v>
          </cell>
          <cell r="C174">
            <v>88</v>
          </cell>
          <cell r="D174" t="str">
            <v>EA</v>
          </cell>
          <cell r="E174">
            <v>6278</v>
          </cell>
          <cell r="F174">
            <v>552464</v>
          </cell>
        </row>
        <row r="175">
          <cell r="A175" t="str">
            <v>q. 보조기층재 구입 및 운반</v>
          </cell>
          <cell r="C175">
            <v>29</v>
          </cell>
          <cell r="D175" t="str">
            <v>㎥</v>
          </cell>
          <cell r="E175">
            <v>5800</v>
          </cell>
          <cell r="F175">
            <v>168200</v>
          </cell>
        </row>
        <row r="176">
          <cell r="A176" t="str">
            <v>r. 보조기층 포설 및 다짐</v>
          </cell>
          <cell r="B176" t="str">
            <v>(t=20cm)</v>
          </cell>
          <cell r="C176">
            <v>22</v>
          </cell>
          <cell r="D176" t="str">
            <v>㎥</v>
          </cell>
          <cell r="E176">
            <v>1971</v>
          </cell>
          <cell r="F176">
            <v>43362</v>
          </cell>
        </row>
        <row r="177">
          <cell r="A177" t="str">
            <v>s. 스치로폴</v>
          </cell>
          <cell r="B177" t="str">
            <v>t = 20mm</v>
          </cell>
          <cell r="C177">
            <v>14</v>
          </cell>
          <cell r="D177" t="str">
            <v>M2</v>
          </cell>
          <cell r="E177">
            <v>2441</v>
          </cell>
          <cell r="F177">
            <v>34174</v>
          </cell>
        </row>
        <row r="178">
          <cell r="A178" t="str">
            <v>◈ Sta. 4 ＋ 774</v>
          </cell>
        </row>
        <row r="179">
          <cell r="A179" t="str">
            <v>a. 구 조 물 터 파 기</v>
          </cell>
        </row>
        <row r="180">
          <cell r="A180" t="str">
            <v>구조물 터파기</v>
          </cell>
          <cell r="B180" t="str">
            <v>(육상토사,0~2m)</v>
          </cell>
          <cell r="C180">
            <v>1740</v>
          </cell>
          <cell r="D180" t="str">
            <v>㎥</v>
          </cell>
          <cell r="E180">
            <v>3161</v>
          </cell>
          <cell r="F180">
            <v>5500140</v>
          </cell>
        </row>
        <row r="181">
          <cell r="A181" t="str">
            <v>구조물 터파기</v>
          </cell>
          <cell r="B181" t="str">
            <v>(육상토사,2~4m)</v>
          </cell>
          <cell r="C181">
            <v>934</v>
          </cell>
          <cell r="D181" t="str">
            <v>㎥</v>
          </cell>
          <cell r="E181">
            <v>4598</v>
          </cell>
          <cell r="F181">
            <v>4294532</v>
          </cell>
        </row>
        <row r="182">
          <cell r="A182" t="str">
            <v>되   메   우   기</v>
          </cell>
          <cell r="B182" t="str">
            <v>다짐포함</v>
          </cell>
          <cell r="C182">
            <v>124</v>
          </cell>
          <cell r="D182" t="str">
            <v>㎥</v>
          </cell>
          <cell r="E182">
            <v>3385</v>
          </cell>
          <cell r="F182">
            <v>419740</v>
          </cell>
        </row>
        <row r="183">
          <cell r="A183" t="str">
            <v>b. 뒷      채      움</v>
          </cell>
          <cell r="B183" t="str">
            <v>보조기층재</v>
          </cell>
          <cell r="C183">
            <v>1626</v>
          </cell>
          <cell r="D183" t="str">
            <v>㎥</v>
          </cell>
          <cell r="E183">
            <v>16460</v>
          </cell>
          <cell r="F183">
            <v>26763960</v>
          </cell>
        </row>
        <row r="184">
          <cell r="A184" t="str">
            <v>c. 콘 크 리 트  타 설</v>
          </cell>
        </row>
        <row r="185">
          <cell r="A185" t="str">
            <v>-1.       〃</v>
          </cell>
          <cell r="B185" t="str">
            <v>철근,진동기,펌프카</v>
          </cell>
          <cell r="C185">
            <v>570</v>
          </cell>
          <cell r="D185" t="str">
            <v>㎥</v>
          </cell>
          <cell r="E185">
            <v>10947</v>
          </cell>
          <cell r="F185">
            <v>6239790</v>
          </cell>
        </row>
        <row r="186">
          <cell r="A186" t="str">
            <v>-2.       〃</v>
          </cell>
          <cell r="B186" t="str">
            <v>무근구조물</v>
          </cell>
          <cell r="C186">
            <v>49</v>
          </cell>
          <cell r="D186" t="str">
            <v>㎥</v>
          </cell>
          <cell r="E186">
            <v>20803</v>
          </cell>
          <cell r="F186">
            <v>1019347</v>
          </cell>
        </row>
        <row r="187">
          <cell r="A187" t="str">
            <v>d. 거     푸     집</v>
          </cell>
        </row>
        <row r="188">
          <cell r="A188" t="str">
            <v>-1. 합 판  거 푸 집</v>
          </cell>
          <cell r="B188" t="str">
            <v>3회</v>
          </cell>
          <cell r="C188">
            <v>1422</v>
          </cell>
          <cell r="D188" t="str">
            <v>㎡</v>
          </cell>
          <cell r="E188">
            <v>22050</v>
          </cell>
          <cell r="F188">
            <v>31355100</v>
          </cell>
        </row>
        <row r="189">
          <cell r="A189" t="str">
            <v>-2. 합 판  거 푸 집</v>
          </cell>
          <cell r="B189" t="str">
            <v>4회</v>
          </cell>
          <cell r="C189">
            <v>43</v>
          </cell>
          <cell r="D189" t="str">
            <v>㎡</v>
          </cell>
          <cell r="E189">
            <v>19038</v>
          </cell>
          <cell r="F189">
            <v>818634</v>
          </cell>
        </row>
        <row r="190">
          <cell r="A190" t="str">
            <v>e. 철 근 가 공 조 립</v>
          </cell>
          <cell r="B190" t="str">
            <v>복 잡</v>
          </cell>
          <cell r="C190">
            <v>62.28</v>
          </cell>
          <cell r="D190" t="str">
            <v>ton</v>
          </cell>
          <cell r="E190">
            <v>456666</v>
          </cell>
          <cell r="F190">
            <v>28441158</v>
          </cell>
        </row>
        <row r="191">
          <cell r="A191" t="str">
            <v>f. 지     수     판</v>
          </cell>
          <cell r="B191" t="str">
            <v>PVC, 200×5㎜</v>
          </cell>
          <cell r="C191">
            <v>56</v>
          </cell>
          <cell r="D191" t="str">
            <v>m</v>
          </cell>
          <cell r="E191">
            <v>14840</v>
          </cell>
          <cell r="F191">
            <v>831040</v>
          </cell>
        </row>
        <row r="192">
          <cell r="A192" t="str">
            <v>g. 신   축   이   음</v>
          </cell>
          <cell r="B192" t="str">
            <v>Exp. Joint Filler,t=20mm</v>
          </cell>
          <cell r="C192">
            <v>28</v>
          </cell>
          <cell r="D192" t="str">
            <v>㎡</v>
          </cell>
          <cell r="E192">
            <v>5907</v>
          </cell>
          <cell r="F192">
            <v>165396</v>
          </cell>
        </row>
        <row r="193">
          <cell r="A193" t="str">
            <v>h. 실     런     트</v>
          </cell>
          <cell r="B193" t="str">
            <v>20 x 25mm</v>
          </cell>
          <cell r="C193">
            <v>48</v>
          </cell>
          <cell r="D193" t="str">
            <v>m</v>
          </cell>
          <cell r="E193">
            <v>2315</v>
          </cell>
          <cell r="F193">
            <v>111120</v>
          </cell>
        </row>
        <row r="194">
          <cell r="A194" t="str">
            <v>i. 강   관   비  계</v>
          </cell>
          <cell r="C194">
            <v>592</v>
          </cell>
          <cell r="D194" t="str">
            <v>㎡</v>
          </cell>
          <cell r="E194">
            <v>10525</v>
          </cell>
          <cell r="F194">
            <v>6230800</v>
          </cell>
        </row>
        <row r="195">
          <cell r="A195" t="str">
            <v>j. 강  관  동  바  리</v>
          </cell>
          <cell r="B195" t="str">
            <v>(암거구조물용)</v>
          </cell>
          <cell r="C195">
            <v>658</v>
          </cell>
          <cell r="D195" t="str">
            <v>공㎥</v>
          </cell>
          <cell r="E195">
            <v>6834</v>
          </cell>
          <cell r="F195">
            <v>4496772</v>
          </cell>
        </row>
        <row r="196">
          <cell r="A196" t="str">
            <v>k. 스   페   이   셔</v>
          </cell>
          <cell r="C196">
            <v>1549</v>
          </cell>
          <cell r="D196" t="str">
            <v>㎡</v>
          </cell>
          <cell r="E196">
            <v>230</v>
          </cell>
          <cell r="F196">
            <v>356270</v>
          </cell>
        </row>
        <row r="197">
          <cell r="A197" t="str">
            <v>m.부 직 포</v>
          </cell>
          <cell r="C197">
            <v>8</v>
          </cell>
          <cell r="D197" t="str">
            <v>㎡</v>
          </cell>
          <cell r="E197">
            <v>1604</v>
          </cell>
          <cell r="F197">
            <v>12832</v>
          </cell>
        </row>
        <row r="198">
          <cell r="A198" t="str">
            <v>n. 배수관</v>
          </cell>
          <cell r="B198" t="str">
            <v>φ100mm</v>
          </cell>
          <cell r="C198">
            <v>24</v>
          </cell>
          <cell r="D198" t="str">
            <v>개</v>
          </cell>
          <cell r="E198">
            <v>4473</v>
          </cell>
          <cell r="F198">
            <v>107352</v>
          </cell>
        </row>
        <row r="199">
          <cell r="A199" t="str">
            <v>◈ Sta. 5 ＋ 032</v>
          </cell>
        </row>
        <row r="200">
          <cell r="A200" t="str">
            <v>a. 구 조 물 터 파 기</v>
          </cell>
        </row>
        <row r="201">
          <cell r="A201" t="str">
            <v>구조물 터파기</v>
          </cell>
          <cell r="B201" t="str">
            <v>(육상토사,0~2m)</v>
          </cell>
          <cell r="C201">
            <v>877</v>
          </cell>
          <cell r="D201" t="str">
            <v>㎥</v>
          </cell>
          <cell r="E201">
            <v>3161</v>
          </cell>
          <cell r="F201">
            <v>2772197</v>
          </cell>
        </row>
        <row r="202">
          <cell r="A202" t="str">
            <v>구조물 터파기</v>
          </cell>
          <cell r="B202" t="str">
            <v>(육상토사,2~4m)</v>
          </cell>
          <cell r="C202">
            <v>70</v>
          </cell>
          <cell r="D202" t="str">
            <v>㎥</v>
          </cell>
          <cell r="E202">
            <v>4598</v>
          </cell>
          <cell r="F202">
            <v>321860</v>
          </cell>
        </row>
        <row r="203">
          <cell r="A203" t="str">
            <v>되   메   우   기</v>
          </cell>
          <cell r="B203" t="str">
            <v>다짐포함</v>
          </cell>
          <cell r="C203">
            <v>173</v>
          </cell>
          <cell r="D203" t="str">
            <v>㎥</v>
          </cell>
          <cell r="E203">
            <v>3385</v>
          </cell>
          <cell r="F203">
            <v>585605</v>
          </cell>
        </row>
        <row r="204">
          <cell r="A204" t="str">
            <v>b. 뒷      채      움</v>
          </cell>
          <cell r="B204" t="str">
            <v>보조기층재</v>
          </cell>
          <cell r="C204">
            <v>1337</v>
          </cell>
          <cell r="D204" t="str">
            <v>㎥</v>
          </cell>
          <cell r="E204">
            <v>16460</v>
          </cell>
          <cell r="F204">
            <v>22007020</v>
          </cell>
        </row>
        <row r="205">
          <cell r="A205" t="str">
            <v>c. 콘 크 리 트  타 설</v>
          </cell>
        </row>
        <row r="206">
          <cell r="A206" t="str">
            <v>-1.       〃</v>
          </cell>
          <cell r="B206" t="str">
            <v>철근,진동기,펌프카</v>
          </cell>
          <cell r="C206">
            <v>740</v>
          </cell>
          <cell r="D206" t="str">
            <v>㎥</v>
          </cell>
          <cell r="E206">
            <v>10947</v>
          </cell>
          <cell r="F206">
            <v>8100780</v>
          </cell>
        </row>
        <row r="207">
          <cell r="A207" t="str">
            <v>-2.       〃</v>
          </cell>
          <cell r="B207" t="str">
            <v>무근구조물</v>
          </cell>
          <cell r="C207">
            <v>86</v>
          </cell>
          <cell r="D207" t="str">
            <v>㎥</v>
          </cell>
          <cell r="E207">
            <v>20803</v>
          </cell>
          <cell r="F207">
            <v>1789058</v>
          </cell>
        </row>
        <row r="208">
          <cell r="A208" t="str">
            <v>d. 거     푸     집</v>
          </cell>
        </row>
        <row r="209">
          <cell r="A209" t="str">
            <v>-1. 합 판  거 푸 집</v>
          </cell>
          <cell r="B209" t="str">
            <v>3회</v>
          </cell>
          <cell r="C209">
            <v>541</v>
          </cell>
          <cell r="D209" t="str">
            <v>㎡</v>
          </cell>
          <cell r="E209">
            <v>22050</v>
          </cell>
          <cell r="F209">
            <v>11929050</v>
          </cell>
        </row>
        <row r="210">
          <cell r="A210" t="str">
            <v>-2. 합 판  거 푸 집</v>
          </cell>
          <cell r="B210" t="str">
            <v>4회</v>
          </cell>
          <cell r="C210">
            <v>50</v>
          </cell>
          <cell r="D210" t="str">
            <v>㎡</v>
          </cell>
          <cell r="E210">
            <v>19038</v>
          </cell>
          <cell r="F210">
            <v>951900</v>
          </cell>
        </row>
        <row r="211">
          <cell r="A211" t="str">
            <v>-3. 합 판  거 푸 집</v>
          </cell>
          <cell r="B211" t="str">
            <v>6회</v>
          </cell>
          <cell r="C211">
            <v>49</v>
          </cell>
          <cell r="D211" t="str">
            <v>㎡</v>
          </cell>
          <cell r="E211">
            <v>15879</v>
          </cell>
          <cell r="F211">
            <v>778071</v>
          </cell>
        </row>
        <row r="212">
          <cell r="A212" t="str">
            <v>-4. 코 팅  거 푸 집</v>
          </cell>
          <cell r="B212" t="str">
            <v>3회</v>
          </cell>
          <cell r="C212">
            <v>295</v>
          </cell>
          <cell r="D212" t="str">
            <v>㎡</v>
          </cell>
          <cell r="E212">
            <v>22050</v>
          </cell>
          <cell r="F212">
            <v>6504750</v>
          </cell>
        </row>
        <row r="213">
          <cell r="A213" t="str">
            <v>-5. 무 늬  거 푸 집</v>
          </cell>
          <cell r="C213">
            <v>337</v>
          </cell>
          <cell r="D213" t="str">
            <v>M2</v>
          </cell>
          <cell r="E213">
            <v>29285</v>
          </cell>
          <cell r="F213">
            <v>9869045</v>
          </cell>
        </row>
        <row r="214">
          <cell r="A214" t="str">
            <v>e. 철 근 가 공 조 립</v>
          </cell>
          <cell r="B214" t="str">
            <v>복 잡</v>
          </cell>
          <cell r="C214">
            <v>103.31</v>
          </cell>
          <cell r="D214" t="str">
            <v>ton</v>
          </cell>
          <cell r="E214">
            <v>456666</v>
          </cell>
          <cell r="F214">
            <v>47178164</v>
          </cell>
        </row>
        <row r="215">
          <cell r="A215" t="str">
            <v>f. 지     수     판</v>
          </cell>
          <cell r="B215" t="str">
            <v>PVC, 200×5㎜</v>
          </cell>
          <cell r="C215">
            <v>25</v>
          </cell>
          <cell r="D215" t="str">
            <v>m</v>
          </cell>
          <cell r="E215">
            <v>14840</v>
          </cell>
          <cell r="F215">
            <v>371000</v>
          </cell>
        </row>
        <row r="216">
          <cell r="A216" t="str">
            <v>g. 신   축   이   음</v>
          </cell>
          <cell r="B216" t="str">
            <v>Exp. Joint Filler,t=20mm</v>
          </cell>
          <cell r="C216">
            <v>21</v>
          </cell>
          <cell r="D216" t="str">
            <v>㎡</v>
          </cell>
          <cell r="E216">
            <v>5907</v>
          </cell>
          <cell r="F216">
            <v>124047</v>
          </cell>
        </row>
        <row r="217">
          <cell r="A217" t="str">
            <v>h. 실     런     트</v>
          </cell>
          <cell r="B217" t="str">
            <v>20 x 25mm</v>
          </cell>
          <cell r="C217">
            <v>20</v>
          </cell>
          <cell r="D217" t="str">
            <v>m</v>
          </cell>
          <cell r="E217">
            <v>2315</v>
          </cell>
          <cell r="F217">
            <v>46300</v>
          </cell>
        </row>
        <row r="218">
          <cell r="A218" t="str">
            <v>i. 강   관   비  계</v>
          </cell>
          <cell r="C218">
            <v>490</v>
          </cell>
          <cell r="D218" t="str">
            <v>㎡</v>
          </cell>
          <cell r="E218">
            <v>10525</v>
          </cell>
          <cell r="F218">
            <v>5157250</v>
          </cell>
        </row>
        <row r="219">
          <cell r="A219" t="str">
            <v>j. 강  관  동  바  리</v>
          </cell>
          <cell r="B219" t="str">
            <v>(암거구조물용)</v>
          </cell>
          <cell r="C219">
            <v>792</v>
          </cell>
          <cell r="D219" t="str">
            <v>공㎥</v>
          </cell>
          <cell r="E219">
            <v>6834</v>
          </cell>
          <cell r="F219">
            <v>5412528</v>
          </cell>
        </row>
        <row r="220">
          <cell r="A220" t="str">
            <v>k. 스   페   이   셔</v>
          </cell>
          <cell r="C220">
            <v>1243</v>
          </cell>
          <cell r="D220" t="str">
            <v>㎡</v>
          </cell>
          <cell r="E220">
            <v>230</v>
          </cell>
          <cell r="F220">
            <v>285890</v>
          </cell>
        </row>
        <row r="221">
          <cell r="A221" t="str">
            <v>l  아 스 팔 트 코 팅</v>
          </cell>
          <cell r="C221">
            <v>571</v>
          </cell>
          <cell r="D221" t="str">
            <v>M2</v>
          </cell>
          <cell r="E221">
            <v>4406</v>
          </cell>
          <cell r="F221">
            <v>2515826</v>
          </cell>
        </row>
        <row r="222">
          <cell r="A222" t="str">
            <v>m. 전 선 관</v>
          </cell>
          <cell r="B222" t="str">
            <v>(PVC PIPE φ16mm)</v>
          </cell>
          <cell r="C222">
            <v>27</v>
          </cell>
          <cell r="D222" t="str">
            <v>m</v>
          </cell>
          <cell r="E222">
            <v>381</v>
          </cell>
          <cell r="F222">
            <v>10287</v>
          </cell>
        </row>
        <row r="223">
          <cell r="A223" t="str">
            <v>n.부 직 포</v>
          </cell>
          <cell r="C223">
            <v>12</v>
          </cell>
          <cell r="D223" t="str">
            <v>㎡</v>
          </cell>
          <cell r="E223">
            <v>1604</v>
          </cell>
          <cell r="F223">
            <v>19248</v>
          </cell>
        </row>
        <row r="224">
          <cell r="A224" t="str">
            <v>o. 배수관</v>
          </cell>
          <cell r="B224" t="str">
            <v>φ100mm</v>
          </cell>
          <cell r="C224">
            <v>36</v>
          </cell>
          <cell r="D224" t="str">
            <v>개</v>
          </cell>
          <cell r="E224">
            <v>4473</v>
          </cell>
          <cell r="F224">
            <v>161028</v>
          </cell>
        </row>
        <row r="225">
          <cell r="A225" t="str">
            <v>p. 다웰바설치공</v>
          </cell>
          <cell r="C225">
            <v>88</v>
          </cell>
          <cell r="D225" t="str">
            <v>EA</v>
          </cell>
          <cell r="E225">
            <v>6278</v>
          </cell>
          <cell r="F225">
            <v>552464</v>
          </cell>
        </row>
        <row r="226">
          <cell r="A226" t="str">
            <v>q. 보조기층재 구입 및 운반</v>
          </cell>
          <cell r="C226">
            <v>46</v>
          </cell>
          <cell r="D226" t="str">
            <v>㎥</v>
          </cell>
          <cell r="E226">
            <v>5800</v>
          </cell>
          <cell r="F226">
            <v>266800</v>
          </cell>
        </row>
        <row r="227">
          <cell r="A227" t="str">
            <v>r. 보조기층 포설 및 다짐</v>
          </cell>
          <cell r="B227" t="str">
            <v>(t=20cm)</v>
          </cell>
          <cell r="C227">
            <v>36</v>
          </cell>
          <cell r="D227" t="str">
            <v>㎥</v>
          </cell>
          <cell r="E227">
            <v>1971</v>
          </cell>
          <cell r="F227">
            <v>70956</v>
          </cell>
        </row>
        <row r="228">
          <cell r="A228" t="str">
            <v>s. 스치로폴</v>
          </cell>
          <cell r="B228" t="str">
            <v>t = 20mm</v>
          </cell>
          <cell r="C228">
            <v>14</v>
          </cell>
          <cell r="D228" t="str">
            <v>M2</v>
          </cell>
          <cell r="E228">
            <v>2441</v>
          </cell>
          <cell r="F228">
            <v>34174</v>
          </cell>
        </row>
        <row r="229">
          <cell r="A229" t="str">
            <v>◈ Sta. 5 ＋ 546</v>
          </cell>
        </row>
        <row r="230">
          <cell r="A230" t="str">
            <v>a. 구 조 물 터 파 기</v>
          </cell>
        </row>
        <row r="231">
          <cell r="A231" t="str">
            <v>구조물 터파기</v>
          </cell>
          <cell r="B231" t="str">
            <v>(육상토사,0~2m)</v>
          </cell>
          <cell r="C231">
            <v>1605</v>
          </cell>
          <cell r="D231" t="str">
            <v>㎥</v>
          </cell>
          <cell r="E231">
            <v>3161</v>
          </cell>
          <cell r="F231">
            <v>5073405</v>
          </cell>
        </row>
        <row r="232">
          <cell r="A232" t="str">
            <v>되   메   우   기</v>
          </cell>
          <cell r="B232" t="str">
            <v>다짐포함</v>
          </cell>
          <cell r="C232">
            <v>179</v>
          </cell>
          <cell r="D232" t="str">
            <v>㎥</v>
          </cell>
          <cell r="E232">
            <v>3385</v>
          </cell>
          <cell r="F232">
            <v>605915</v>
          </cell>
        </row>
        <row r="233">
          <cell r="A233" t="str">
            <v>b. 뒷      채      움</v>
          </cell>
          <cell r="B233" t="str">
            <v>보조기층재</v>
          </cell>
          <cell r="C233">
            <v>1685</v>
          </cell>
          <cell r="D233" t="str">
            <v>㎥</v>
          </cell>
          <cell r="E233">
            <v>16460</v>
          </cell>
          <cell r="F233">
            <v>27735100</v>
          </cell>
        </row>
        <row r="234">
          <cell r="A234" t="str">
            <v>c. 콘 크 리 트  타 설</v>
          </cell>
        </row>
        <row r="235">
          <cell r="A235" t="str">
            <v>-1.       〃</v>
          </cell>
          <cell r="B235" t="str">
            <v>철근,진동기,펌프카</v>
          </cell>
          <cell r="C235">
            <v>656</v>
          </cell>
          <cell r="D235" t="str">
            <v>㎥</v>
          </cell>
          <cell r="E235">
            <v>10947</v>
          </cell>
          <cell r="F235">
            <v>7181232</v>
          </cell>
        </row>
        <row r="236">
          <cell r="A236" t="str">
            <v>-2.       〃</v>
          </cell>
          <cell r="B236" t="str">
            <v>무근구조물</v>
          </cell>
          <cell r="C236">
            <v>95</v>
          </cell>
          <cell r="D236" t="str">
            <v>㎥</v>
          </cell>
          <cell r="E236">
            <v>20803</v>
          </cell>
          <cell r="F236">
            <v>1976285</v>
          </cell>
        </row>
        <row r="237">
          <cell r="A237" t="str">
            <v>d. 거     푸     집</v>
          </cell>
        </row>
        <row r="238">
          <cell r="A238" t="str">
            <v>-1. 합 판  거 푸 집</v>
          </cell>
          <cell r="B238" t="str">
            <v>3회</v>
          </cell>
          <cell r="C238">
            <v>2288</v>
          </cell>
          <cell r="D238" t="str">
            <v>㎡</v>
          </cell>
          <cell r="E238">
            <v>22050</v>
          </cell>
          <cell r="F238">
            <v>50450400</v>
          </cell>
        </row>
        <row r="239">
          <cell r="A239" t="str">
            <v>-2. 합 판  거 푸 집</v>
          </cell>
          <cell r="B239" t="str">
            <v>4회</v>
          </cell>
          <cell r="C239">
            <v>46</v>
          </cell>
          <cell r="D239" t="str">
            <v>㎡</v>
          </cell>
          <cell r="E239">
            <v>19038</v>
          </cell>
          <cell r="F239">
            <v>875748</v>
          </cell>
        </row>
        <row r="240">
          <cell r="A240" t="str">
            <v>e. 철 근 가 공 조 립</v>
          </cell>
          <cell r="B240" t="str">
            <v>복 잡</v>
          </cell>
          <cell r="C240">
            <v>117.49</v>
          </cell>
          <cell r="D240" t="str">
            <v>ton</v>
          </cell>
          <cell r="E240">
            <v>456666</v>
          </cell>
          <cell r="F240">
            <v>53653688</v>
          </cell>
        </row>
        <row r="241">
          <cell r="A241" t="str">
            <v>f. 지     수     판</v>
          </cell>
          <cell r="B241" t="str">
            <v>PVC, 200×5㎜</v>
          </cell>
          <cell r="C241">
            <v>91</v>
          </cell>
          <cell r="D241" t="str">
            <v>m</v>
          </cell>
          <cell r="E241">
            <v>14840</v>
          </cell>
          <cell r="F241">
            <v>1350440</v>
          </cell>
        </row>
        <row r="242">
          <cell r="A242" t="str">
            <v>g. 신   축   이   음</v>
          </cell>
          <cell r="B242" t="str">
            <v>Exp. Joint Filler,t=20mm</v>
          </cell>
          <cell r="C242">
            <v>33</v>
          </cell>
          <cell r="D242" t="str">
            <v>㎡</v>
          </cell>
          <cell r="E242">
            <v>5907</v>
          </cell>
          <cell r="F242">
            <v>194931</v>
          </cell>
        </row>
        <row r="243">
          <cell r="A243" t="str">
            <v>h. 실     런     트</v>
          </cell>
          <cell r="B243" t="str">
            <v>20 x 25mm</v>
          </cell>
          <cell r="C243">
            <v>64</v>
          </cell>
          <cell r="D243" t="str">
            <v>m</v>
          </cell>
          <cell r="E243">
            <v>2315</v>
          </cell>
          <cell r="F243">
            <v>148160</v>
          </cell>
        </row>
        <row r="244">
          <cell r="A244" t="str">
            <v>i. 강   관   비  계</v>
          </cell>
          <cell r="C244">
            <v>614</v>
          </cell>
          <cell r="D244" t="str">
            <v>㎡</v>
          </cell>
          <cell r="E244">
            <v>10525</v>
          </cell>
          <cell r="F244">
            <v>6462350</v>
          </cell>
        </row>
        <row r="245">
          <cell r="A245" t="str">
            <v>j. 강  관  동  바  리</v>
          </cell>
          <cell r="B245" t="str">
            <v>(암거구조물용)</v>
          </cell>
          <cell r="C245">
            <v>1733</v>
          </cell>
          <cell r="D245" t="str">
            <v>공㎥</v>
          </cell>
          <cell r="E245">
            <v>6834</v>
          </cell>
          <cell r="F245">
            <v>11843322</v>
          </cell>
        </row>
        <row r="246">
          <cell r="A246" t="str">
            <v>k. 스   페   이   셔</v>
          </cell>
          <cell r="C246">
            <v>2663</v>
          </cell>
          <cell r="D246" t="str">
            <v>㎡</v>
          </cell>
          <cell r="E246">
            <v>230</v>
          </cell>
          <cell r="F246">
            <v>612490</v>
          </cell>
        </row>
        <row r="247">
          <cell r="A247" t="str">
            <v>m.부 직 포</v>
          </cell>
          <cell r="C247">
            <v>8</v>
          </cell>
          <cell r="D247" t="str">
            <v>㎡</v>
          </cell>
          <cell r="E247">
            <v>1604</v>
          </cell>
          <cell r="F247">
            <v>12832</v>
          </cell>
        </row>
        <row r="248">
          <cell r="A248" t="str">
            <v>n. 배수관</v>
          </cell>
          <cell r="B248" t="str">
            <v>φ100mm</v>
          </cell>
          <cell r="C248">
            <v>24</v>
          </cell>
          <cell r="D248" t="str">
            <v>개</v>
          </cell>
          <cell r="E248">
            <v>4473</v>
          </cell>
          <cell r="F248">
            <v>107352</v>
          </cell>
        </row>
        <row r="249">
          <cell r="A249" t="str">
            <v>◈ Sta. 5 ＋ 546 (종box)</v>
          </cell>
        </row>
        <row r="250">
          <cell r="A250" t="str">
            <v>a. 구 조 물 터 파 기</v>
          </cell>
        </row>
        <row r="251">
          <cell r="A251" t="str">
            <v>구조물 터파기</v>
          </cell>
          <cell r="B251" t="str">
            <v>(육상토사,0~2m)</v>
          </cell>
          <cell r="C251">
            <v>1803</v>
          </cell>
          <cell r="D251" t="str">
            <v>㎥</v>
          </cell>
          <cell r="E251">
            <v>3161</v>
          </cell>
          <cell r="F251">
            <v>5699283</v>
          </cell>
        </row>
        <row r="252">
          <cell r="A252" t="str">
            <v>구조물 터파기</v>
          </cell>
          <cell r="B252" t="str">
            <v>(육상토사,2~4m)</v>
          </cell>
          <cell r="C252">
            <v>531</v>
          </cell>
          <cell r="D252" t="str">
            <v>㎥</v>
          </cell>
          <cell r="E252">
            <v>4598</v>
          </cell>
          <cell r="F252">
            <v>2441538</v>
          </cell>
        </row>
        <row r="253">
          <cell r="A253" t="str">
            <v>되   메   우   기</v>
          </cell>
          <cell r="B253" t="str">
            <v>다짐포함</v>
          </cell>
          <cell r="C253">
            <v>47</v>
          </cell>
          <cell r="D253" t="str">
            <v>㎥</v>
          </cell>
          <cell r="E253">
            <v>3385</v>
          </cell>
          <cell r="F253">
            <v>159095</v>
          </cell>
        </row>
        <row r="254">
          <cell r="A254" t="str">
            <v>b. 뒷      채      움</v>
          </cell>
          <cell r="B254" t="str">
            <v>보조기층재</v>
          </cell>
          <cell r="C254">
            <v>1521</v>
          </cell>
          <cell r="D254" t="str">
            <v>㎥</v>
          </cell>
          <cell r="E254">
            <v>16460</v>
          </cell>
          <cell r="F254">
            <v>25035660</v>
          </cell>
        </row>
        <row r="255">
          <cell r="A255" t="str">
            <v>c. 콘 크 리 트  타 설</v>
          </cell>
        </row>
        <row r="256">
          <cell r="A256" t="str">
            <v>-1.       〃</v>
          </cell>
          <cell r="B256" t="str">
            <v>철근,진동기,펌프카</v>
          </cell>
          <cell r="C256">
            <v>416</v>
          </cell>
          <cell r="D256" t="str">
            <v>㎥</v>
          </cell>
          <cell r="E256">
            <v>10947</v>
          </cell>
          <cell r="F256">
            <v>4553952</v>
          </cell>
        </row>
        <row r="257">
          <cell r="A257" t="str">
            <v>-2.       〃</v>
          </cell>
          <cell r="B257" t="str">
            <v>무근구조물</v>
          </cell>
          <cell r="C257">
            <v>40</v>
          </cell>
          <cell r="D257" t="str">
            <v>㎥</v>
          </cell>
          <cell r="E257">
            <v>20803</v>
          </cell>
          <cell r="F257">
            <v>832120</v>
          </cell>
        </row>
        <row r="258">
          <cell r="A258" t="str">
            <v>d. 거     푸     집</v>
          </cell>
        </row>
        <row r="259">
          <cell r="A259" t="str">
            <v>-1. 합 판  거 푸 집</v>
          </cell>
          <cell r="B259" t="str">
            <v>3회</v>
          </cell>
          <cell r="C259">
            <v>1588</v>
          </cell>
          <cell r="D259" t="str">
            <v>㎡</v>
          </cell>
          <cell r="E259">
            <v>22050</v>
          </cell>
          <cell r="F259">
            <v>35015400</v>
          </cell>
        </row>
        <row r="260">
          <cell r="A260" t="str">
            <v>-2. 합 판  거 푸 집</v>
          </cell>
          <cell r="B260" t="str">
            <v>4회</v>
          </cell>
          <cell r="C260">
            <v>16</v>
          </cell>
          <cell r="D260" t="str">
            <v>㎡</v>
          </cell>
          <cell r="E260">
            <v>19038</v>
          </cell>
          <cell r="F260">
            <v>304608</v>
          </cell>
        </row>
        <row r="261">
          <cell r="A261" t="str">
            <v>e. 철 근 가 공 조 립</v>
          </cell>
          <cell r="B261" t="str">
            <v>복 잡</v>
          </cell>
          <cell r="C261">
            <v>57.36</v>
          </cell>
          <cell r="D261" t="str">
            <v>ton</v>
          </cell>
          <cell r="E261">
            <v>456666</v>
          </cell>
          <cell r="F261">
            <v>26194361</v>
          </cell>
        </row>
        <row r="262">
          <cell r="A262" t="str">
            <v>f. 지     수     판</v>
          </cell>
          <cell r="B262" t="str">
            <v>PVC, 200×5㎜</v>
          </cell>
          <cell r="C262">
            <v>79</v>
          </cell>
          <cell r="D262" t="str">
            <v>m</v>
          </cell>
          <cell r="E262">
            <v>14840</v>
          </cell>
          <cell r="F262">
            <v>1172360</v>
          </cell>
        </row>
        <row r="263">
          <cell r="A263" t="str">
            <v>g. 신   축   이   음</v>
          </cell>
          <cell r="B263" t="str">
            <v>Exp. Joint Filler,t=20mm</v>
          </cell>
          <cell r="C263">
            <v>26</v>
          </cell>
          <cell r="D263" t="str">
            <v>㎡</v>
          </cell>
          <cell r="E263">
            <v>5907</v>
          </cell>
          <cell r="F263">
            <v>153582</v>
          </cell>
        </row>
        <row r="264">
          <cell r="A264" t="str">
            <v>h. 실     런     트</v>
          </cell>
          <cell r="B264" t="str">
            <v>20 x 25mm</v>
          </cell>
          <cell r="C264">
            <v>66</v>
          </cell>
          <cell r="D264" t="str">
            <v>m</v>
          </cell>
          <cell r="E264">
            <v>2315</v>
          </cell>
          <cell r="F264">
            <v>152790</v>
          </cell>
        </row>
        <row r="265">
          <cell r="A265" t="str">
            <v>i. 강   관   비  계</v>
          </cell>
          <cell r="C265">
            <v>613</v>
          </cell>
          <cell r="D265" t="str">
            <v>㎡</v>
          </cell>
          <cell r="E265">
            <v>10525</v>
          </cell>
          <cell r="F265">
            <v>6451825</v>
          </cell>
        </row>
        <row r="266">
          <cell r="A266" t="str">
            <v>j. 강  관  동  바  리</v>
          </cell>
          <cell r="B266" t="str">
            <v>(암거구조물용)</v>
          </cell>
          <cell r="C266">
            <v>678</v>
          </cell>
          <cell r="D266" t="str">
            <v>공㎥</v>
          </cell>
          <cell r="E266">
            <v>6834</v>
          </cell>
          <cell r="F266">
            <v>4633452</v>
          </cell>
        </row>
        <row r="267">
          <cell r="A267" t="str">
            <v>k. 스   페   이   셔</v>
          </cell>
          <cell r="C267">
            <v>1870</v>
          </cell>
          <cell r="D267" t="str">
            <v>㎡</v>
          </cell>
          <cell r="E267">
            <v>230</v>
          </cell>
          <cell r="F267">
            <v>430100</v>
          </cell>
        </row>
        <row r="268">
          <cell r="A268" t="str">
            <v>m.부 직 포</v>
          </cell>
          <cell r="C268">
            <v>2</v>
          </cell>
          <cell r="D268" t="str">
            <v>㎡</v>
          </cell>
          <cell r="E268">
            <v>1604</v>
          </cell>
          <cell r="F268">
            <v>3208</v>
          </cell>
        </row>
        <row r="269">
          <cell r="A269" t="str">
            <v>n. 배수관</v>
          </cell>
          <cell r="B269" t="str">
            <v>φ100mm</v>
          </cell>
          <cell r="C269">
            <v>6</v>
          </cell>
          <cell r="D269" t="str">
            <v>개</v>
          </cell>
          <cell r="E269">
            <v>4473</v>
          </cell>
          <cell r="F269">
            <v>26838</v>
          </cell>
        </row>
        <row r="270">
          <cell r="A270" t="str">
            <v>◈ Sta. 5 ＋ 730</v>
          </cell>
        </row>
        <row r="271">
          <cell r="A271" t="str">
            <v>a. 구 조 물 터 파 기</v>
          </cell>
        </row>
        <row r="272">
          <cell r="A272" t="str">
            <v>구조물 터파기</v>
          </cell>
          <cell r="B272" t="str">
            <v>(육상토사,0~2m)</v>
          </cell>
          <cell r="C272">
            <v>447</v>
          </cell>
          <cell r="D272" t="str">
            <v>㎥</v>
          </cell>
          <cell r="E272">
            <v>3161</v>
          </cell>
          <cell r="F272">
            <v>1412967</v>
          </cell>
        </row>
        <row r="273">
          <cell r="A273" t="str">
            <v>되   메   우   기</v>
          </cell>
          <cell r="B273" t="str">
            <v>다짐포함</v>
          </cell>
          <cell r="C273">
            <v>173</v>
          </cell>
          <cell r="D273" t="str">
            <v>㎥</v>
          </cell>
          <cell r="E273">
            <v>3385</v>
          </cell>
          <cell r="F273">
            <v>585605</v>
          </cell>
        </row>
        <row r="274">
          <cell r="A274" t="str">
            <v>b. 뒷      채      움</v>
          </cell>
          <cell r="B274" t="str">
            <v>보조기층재</v>
          </cell>
          <cell r="C274">
            <v>1492</v>
          </cell>
          <cell r="D274" t="str">
            <v>㎥</v>
          </cell>
          <cell r="E274">
            <v>16460</v>
          </cell>
          <cell r="F274">
            <v>24558320</v>
          </cell>
        </row>
        <row r="275">
          <cell r="A275" t="str">
            <v>c. 콘 크 리 트  타 설</v>
          </cell>
        </row>
        <row r="276">
          <cell r="A276" t="str">
            <v>-1.       〃</v>
          </cell>
          <cell r="B276" t="str">
            <v>철근,진동기,펌프카</v>
          </cell>
          <cell r="C276">
            <v>545</v>
          </cell>
          <cell r="D276" t="str">
            <v>㎥</v>
          </cell>
          <cell r="E276">
            <v>10947</v>
          </cell>
          <cell r="F276">
            <v>5966115</v>
          </cell>
        </row>
        <row r="277">
          <cell r="A277" t="str">
            <v>-2.       〃</v>
          </cell>
          <cell r="B277" t="str">
            <v>무근구조물</v>
          </cell>
          <cell r="C277">
            <v>72</v>
          </cell>
          <cell r="D277" t="str">
            <v>㎥</v>
          </cell>
          <cell r="E277">
            <v>20803</v>
          </cell>
          <cell r="F277">
            <v>1497816</v>
          </cell>
        </row>
        <row r="278">
          <cell r="A278" t="str">
            <v>d. 거     푸     집</v>
          </cell>
        </row>
        <row r="279">
          <cell r="A279" t="str">
            <v>-1. 합 판  거 푸 집</v>
          </cell>
          <cell r="B279" t="str">
            <v>3회</v>
          </cell>
          <cell r="C279">
            <v>597</v>
          </cell>
          <cell r="D279" t="str">
            <v>㎡</v>
          </cell>
          <cell r="E279">
            <v>22050</v>
          </cell>
          <cell r="F279">
            <v>13163850</v>
          </cell>
        </row>
        <row r="280">
          <cell r="A280" t="str">
            <v>-2. 합 판  거 푸 집</v>
          </cell>
          <cell r="B280" t="str">
            <v>4회</v>
          </cell>
          <cell r="C280">
            <v>49</v>
          </cell>
          <cell r="D280" t="str">
            <v>㎡</v>
          </cell>
          <cell r="E280">
            <v>19038</v>
          </cell>
          <cell r="F280">
            <v>932862</v>
          </cell>
        </row>
        <row r="281">
          <cell r="A281" t="str">
            <v>-3.합판 거푸집</v>
          </cell>
          <cell r="B281" t="str">
            <v>6회</v>
          </cell>
          <cell r="C281">
            <v>4</v>
          </cell>
          <cell r="D281" t="str">
            <v>㎡</v>
          </cell>
          <cell r="E281">
            <v>15879</v>
          </cell>
          <cell r="F281">
            <v>63516</v>
          </cell>
        </row>
        <row r="282">
          <cell r="A282" t="str">
            <v>-4. 코팅 거푸집</v>
          </cell>
          <cell r="B282" t="str">
            <v>3회</v>
          </cell>
          <cell r="C282">
            <v>187</v>
          </cell>
          <cell r="D282" t="str">
            <v>㎡</v>
          </cell>
          <cell r="E282">
            <v>22050</v>
          </cell>
          <cell r="F282">
            <v>4123350</v>
          </cell>
        </row>
        <row r="283">
          <cell r="A283" t="str">
            <v>-5. 무늬거푸집</v>
          </cell>
          <cell r="C283">
            <v>433</v>
          </cell>
          <cell r="D283" t="str">
            <v>M2</v>
          </cell>
          <cell r="E283">
            <v>29285</v>
          </cell>
          <cell r="F283">
            <v>12680405</v>
          </cell>
        </row>
        <row r="284">
          <cell r="A284" t="str">
            <v>e. 철 근 가 공 조 립</v>
          </cell>
          <cell r="B284" t="str">
            <v>복 잡</v>
          </cell>
          <cell r="C284">
            <v>91.43</v>
          </cell>
          <cell r="D284" t="str">
            <v>ton</v>
          </cell>
          <cell r="E284">
            <v>456666</v>
          </cell>
          <cell r="F284">
            <v>41752972</v>
          </cell>
        </row>
        <row r="285">
          <cell r="A285" t="str">
            <v>f. 지     수     판</v>
          </cell>
          <cell r="B285" t="str">
            <v>PVC, 200×5㎜</v>
          </cell>
          <cell r="C285">
            <v>39</v>
          </cell>
          <cell r="D285" t="str">
            <v>m</v>
          </cell>
          <cell r="E285">
            <v>14840</v>
          </cell>
          <cell r="F285">
            <v>578760</v>
          </cell>
        </row>
        <row r="286">
          <cell r="A286" t="str">
            <v>g. 신   축   이   음</v>
          </cell>
          <cell r="B286" t="str">
            <v>Exp. Joint Filler,t=20mm</v>
          </cell>
          <cell r="C286">
            <v>19</v>
          </cell>
          <cell r="D286" t="str">
            <v>㎡</v>
          </cell>
          <cell r="E286">
            <v>5907</v>
          </cell>
          <cell r="F286">
            <v>112233</v>
          </cell>
        </row>
        <row r="287">
          <cell r="A287" t="str">
            <v>h. 실     런     트</v>
          </cell>
          <cell r="B287" t="str">
            <v>20 x 25mm</v>
          </cell>
          <cell r="C287">
            <v>33</v>
          </cell>
          <cell r="D287" t="str">
            <v>m</v>
          </cell>
          <cell r="E287">
            <v>2315</v>
          </cell>
          <cell r="F287">
            <v>76395</v>
          </cell>
        </row>
        <row r="288">
          <cell r="A288" t="str">
            <v>i. 강   관   비  계</v>
          </cell>
          <cell r="C288">
            <v>557</v>
          </cell>
          <cell r="D288" t="str">
            <v>㎡</v>
          </cell>
          <cell r="E288">
            <v>10525</v>
          </cell>
          <cell r="F288">
            <v>5862425</v>
          </cell>
        </row>
        <row r="289">
          <cell r="A289" t="str">
            <v>j. 강  관  동  바  리</v>
          </cell>
          <cell r="B289" t="str">
            <v>(암거구조물용)</v>
          </cell>
          <cell r="C289">
            <v>786</v>
          </cell>
          <cell r="D289" t="str">
            <v>공㎥</v>
          </cell>
          <cell r="E289">
            <v>6834</v>
          </cell>
          <cell r="F289">
            <v>5371524</v>
          </cell>
        </row>
        <row r="290">
          <cell r="A290" t="str">
            <v>k. 스   페   이   셔</v>
          </cell>
          <cell r="C290">
            <v>1417</v>
          </cell>
          <cell r="D290" t="str">
            <v>㎡</v>
          </cell>
          <cell r="E290">
            <v>230</v>
          </cell>
          <cell r="F290">
            <v>325910</v>
          </cell>
        </row>
        <row r="291">
          <cell r="A291" t="str">
            <v>l  아 스 팔 트 코 팅</v>
          </cell>
          <cell r="C291">
            <v>643</v>
          </cell>
          <cell r="D291" t="str">
            <v>M2</v>
          </cell>
          <cell r="E291">
            <v>4406</v>
          </cell>
          <cell r="F291">
            <v>2833058</v>
          </cell>
        </row>
        <row r="292">
          <cell r="A292" t="str">
            <v>m. 전 선 관</v>
          </cell>
          <cell r="B292" t="str">
            <v>(PVC PIPE φ16mm)</v>
          </cell>
          <cell r="C292">
            <v>39</v>
          </cell>
          <cell r="D292" t="str">
            <v>m</v>
          </cell>
          <cell r="E292">
            <v>381</v>
          </cell>
          <cell r="F292">
            <v>14859</v>
          </cell>
        </row>
        <row r="293">
          <cell r="A293" t="str">
            <v>n.부 직 포</v>
          </cell>
          <cell r="C293">
            <v>12</v>
          </cell>
          <cell r="D293" t="str">
            <v>㎡</v>
          </cell>
          <cell r="E293">
            <v>1604</v>
          </cell>
          <cell r="F293">
            <v>19248</v>
          </cell>
        </row>
        <row r="294">
          <cell r="A294" t="str">
            <v>o. 배수관</v>
          </cell>
          <cell r="B294" t="str">
            <v>φ100mm</v>
          </cell>
          <cell r="C294">
            <v>36</v>
          </cell>
          <cell r="D294" t="str">
            <v>개</v>
          </cell>
          <cell r="E294">
            <v>4473</v>
          </cell>
          <cell r="F294">
            <v>161028</v>
          </cell>
        </row>
        <row r="295">
          <cell r="A295" t="str">
            <v>p. 다웰바설치공</v>
          </cell>
          <cell r="C295">
            <v>88</v>
          </cell>
          <cell r="D295" t="str">
            <v>EA</v>
          </cell>
          <cell r="E295">
            <v>6278</v>
          </cell>
          <cell r="F295">
            <v>552464</v>
          </cell>
        </row>
        <row r="296">
          <cell r="A296" t="str">
            <v>q. 보조기층재 구입 및 운반</v>
          </cell>
          <cell r="C296">
            <v>29</v>
          </cell>
          <cell r="D296" t="str">
            <v>㎥</v>
          </cell>
          <cell r="E296">
            <v>5800</v>
          </cell>
          <cell r="F296">
            <v>168200</v>
          </cell>
        </row>
        <row r="297">
          <cell r="A297" t="str">
            <v>r. 보조기층 포설 및 다짐</v>
          </cell>
          <cell r="B297" t="str">
            <v>(t=20cm)</v>
          </cell>
          <cell r="C297">
            <v>22</v>
          </cell>
          <cell r="D297" t="str">
            <v>㎥</v>
          </cell>
          <cell r="E297">
            <v>1971</v>
          </cell>
          <cell r="F297">
            <v>43362</v>
          </cell>
        </row>
        <row r="298">
          <cell r="A298" t="str">
            <v>s. 스치로폴</v>
          </cell>
          <cell r="B298" t="str">
            <v>t = 20mm</v>
          </cell>
          <cell r="C298">
            <v>14</v>
          </cell>
          <cell r="D298" t="str">
            <v>M2</v>
          </cell>
          <cell r="E298">
            <v>2441</v>
          </cell>
          <cell r="F298">
            <v>34174</v>
          </cell>
        </row>
        <row r="299">
          <cell r="A299" t="str">
            <v>◈ Sta. 6 ＋ 496</v>
          </cell>
        </row>
        <row r="300">
          <cell r="A300" t="str">
            <v>a. 구 조 물 터 파 기</v>
          </cell>
        </row>
        <row r="301">
          <cell r="A301" t="str">
            <v>구조물 터파기</v>
          </cell>
          <cell r="B301" t="str">
            <v>(육상토사,0~2m)</v>
          </cell>
          <cell r="C301">
            <v>1252</v>
          </cell>
          <cell r="D301" t="str">
            <v>㎥</v>
          </cell>
          <cell r="E301">
            <v>3161</v>
          </cell>
          <cell r="F301">
            <v>3957572</v>
          </cell>
        </row>
        <row r="302">
          <cell r="A302" t="str">
            <v>구조물 터파기</v>
          </cell>
          <cell r="B302" t="str">
            <v>(육상토사,2~4m)</v>
          </cell>
          <cell r="C302">
            <v>484</v>
          </cell>
          <cell r="D302" t="str">
            <v>㎥</v>
          </cell>
          <cell r="E302">
            <v>4598</v>
          </cell>
          <cell r="F302">
            <v>2225432</v>
          </cell>
        </row>
        <row r="303">
          <cell r="A303" t="str">
            <v>되   메   우   기</v>
          </cell>
          <cell r="B303" t="str">
            <v>다짐포함</v>
          </cell>
          <cell r="C303">
            <v>200</v>
          </cell>
          <cell r="D303" t="str">
            <v>㎥</v>
          </cell>
          <cell r="E303">
            <v>3385</v>
          </cell>
          <cell r="F303">
            <v>677000</v>
          </cell>
        </row>
        <row r="304">
          <cell r="A304" t="str">
            <v>b. 뒷      채      움</v>
          </cell>
          <cell r="B304" t="str">
            <v>보조기층재</v>
          </cell>
          <cell r="C304">
            <v>2005</v>
          </cell>
          <cell r="D304" t="str">
            <v>㎥</v>
          </cell>
          <cell r="E304">
            <v>16460</v>
          </cell>
          <cell r="F304">
            <v>33002300</v>
          </cell>
        </row>
        <row r="305">
          <cell r="A305" t="str">
            <v>c. 콘 크 리 트  타 설</v>
          </cell>
        </row>
        <row r="306">
          <cell r="A306" t="str">
            <v>-1.       〃</v>
          </cell>
          <cell r="B306" t="str">
            <v>철근,진동기,펌프카</v>
          </cell>
          <cell r="C306">
            <v>297</v>
          </cell>
          <cell r="D306" t="str">
            <v>㎥</v>
          </cell>
          <cell r="E306">
            <v>10947</v>
          </cell>
          <cell r="F306">
            <v>3251259</v>
          </cell>
        </row>
        <row r="307">
          <cell r="A307" t="str">
            <v>-2.       〃</v>
          </cell>
          <cell r="B307" t="str">
            <v>무근구조물</v>
          </cell>
          <cell r="C307">
            <v>62</v>
          </cell>
          <cell r="D307" t="str">
            <v>㎥</v>
          </cell>
          <cell r="E307">
            <v>20803</v>
          </cell>
          <cell r="F307">
            <v>1289786</v>
          </cell>
        </row>
        <row r="308">
          <cell r="A308" t="str">
            <v>d. 거     푸     집</v>
          </cell>
        </row>
        <row r="309">
          <cell r="A309" t="str">
            <v>-1. 합 판  거 푸 집</v>
          </cell>
          <cell r="B309" t="str">
            <v>3회</v>
          </cell>
          <cell r="C309">
            <v>631</v>
          </cell>
          <cell r="D309" t="str">
            <v>㎡</v>
          </cell>
          <cell r="E309">
            <v>22050</v>
          </cell>
          <cell r="F309">
            <v>13913550</v>
          </cell>
        </row>
        <row r="310">
          <cell r="A310" t="str">
            <v>-2. 코팅 거푸집</v>
          </cell>
          <cell r="B310" t="str">
            <v>3회</v>
          </cell>
          <cell r="C310">
            <v>200</v>
          </cell>
          <cell r="D310" t="str">
            <v>㎡</v>
          </cell>
          <cell r="E310">
            <v>22050</v>
          </cell>
          <cell r="F310">
            <v>4410000</v>
          </cell>
        </row>
        <row r="311">
          <cell r="A311" t="str">
            <v>-3. 합 판  거 푸 집</v>
          </cell>
          <cell r="B311" t="str">
            <v>4회</v>
          </cell>
          <cell r="C311">
            <v>57</v>
          </cell>
          <cell r="D311" t="str">
            <v>㎡</v>
          </cell>
          <cell r="E311">
            <v>19038</v>
          </cell>
          <cell r="F311">
            <v>1085166</v>
          </cell>
        </row>
        <row r="312">
          <cell r="A312" t="str">
            <v>-4. 무늬거푸집</v>
          </cell>
          <cell r="C312">
            <v>476</v>
          </cell>
          <cell r="D312" t="str">
            <v>M2</v>
          </cell>
          <cell r="E312">
            <v>29285</v>
          </cell>
          <cell r="F312">
            <v>13939660</v>
          </cell>
        </row>
        <row r="313">
          <cell r="A313" t="str">
            <v>e. 철 근 가 공 조 립</v>
          </cell>
          <cell r="B313" t="str">
            <v>복 잡</v>
          </cell>
          <cell r="C313">
            <v>84.43</v>
          </cell>
          <cell r="D313" t="str">
            <v>ton</v>
          </cell>
          <cell r="E313">
            <v>456666</v>
          </cell>
          <cell r="F313">
            <v>38556310</v>
          </cell>
        </row>
        <row r="314">
          <cell r="A314" t="str">
            <v>f. 지     수     판</v>
          </cell>
          <cell r="B314" t="str">
            <v>PVC, 200×5㎜</v>
          </cell>
          <cell r="C314">
            <v>40</v>
          </cell>
          <cell r="D314" t="str">
            <v>m</v>
          </cell>
          <cell r="E314">
            <v>14840</v>
          </cell>
          <cell r="F314">
            <v>593600</v>
          </cell>
        </row>
        <row r="315">
          <cell r="A315" t="str">
            <v>g. 신   축   이   음</v>
          </cell>
          <cell r="B315" t="str">
            <v>Exp. Joint Filler,t=20mm</v>
          </cell>
          <cell r="C315">
            <v>23</v>
          </cell>
          <cell r="D315" t="str">
            <v>㎡</v>
          </cell>
          <cell r="E315">
            <v>5907</v>
          </cell>
          <cell r="F315">
            <v>135861</v>
          </cell>
        </row>
        <row r="316">
          <cell r="A316" t="str">
            <v>h. 실     런     트</v>
          </cell>
          <cell r="B316" t="str">
            <v>20 x 25mm</v>
          </cell>
          <cell r="C316">
            <v>34</v>
          </cell>
          <cell r="D316" t="str">
            <v>m</v>
          </cell>
          <cell r="E316">
            <v>2315</v>
          </cell>
          <cell r="F316">
            <v>78710</v>
          </cell>
        </row>
        <row r="317">
          <cell r="A317" t="str">
            <v>i. 강   관   비  계</v>
          </cell>
          <cell r="C317">
            <v>633</v>
          </cell>
          <cell r="D317" t="str">
            <v>㎡</v>
          </cell>
          <cell r="E317">
            <v>10525</v>
          </cell>
          <cell r="F317">
            <v>6662325</v>
          </cell>
        </row>
        <row r="318">
          <cell r="A318" t="str">
            <v>j. 강  관  동  바  리</v>
          </cell>
          <cell r="B318" t="str">
            <v>(암거구조물용)</v>
          </cell>
          <cell r="C318">
            <v>840</v>
          </cell>
          <cell r="D318" t="str">
            <v>공㎥</v>
          </cell>
          <cell r="E318">
            <v>6834</v>
          </cell>
          <cell r="F318">
            <v>5740560</v>
          </cell>
        </row>
        <row r="319">
          <cell r="A319" t="str">
            <v>k. 스   페   이   셔</v>
          </cell>
          <cell r="C319">
            <v>1276</v>
          </cell>
          <cell r="D319" t="str">
            <v>㎡</v>
          </cell>
          <cell r="E319">
            <v>230</v>
          </cell>
          <cell r="F319">
            <v>293480</v>
          </cell>
        </row>
        <row r="320">
          <cell r="A320" t="str">
            <v>l  아 스 팔 트 코 팅</v>
          </cell>
          <cell r="C320">
            <v>713</v>
          </cell>
          <cell r="D320" t="str">
            <v>M2</v>
          </cell>
          <cell r="E320">
            <v>4406</v>
          </cell>
          <cell r="F320">
            <v>3141478</v>
          </cell>
        </row>
        <row r="321">
          <cell r="A321" t="str">
            <v>m. 전 선 관</v>
          </cell>
          <cell r="B321" t="str">
            <v>(PVC PIPE φ16mm)</v>
          </cell>
          <cell r="C321">
            <v>42</v>
          </cell>
          <cell r="D321" t="str">
            <v>m</v>
          </cell>
          <cell r="E321">
            <v>381</v>
          </cell>
          <cell r="F321">
            <v>16002</v>
          </cell>
        </row>
        <row r="322">
          <cell r="A322" t="str">
            <v>n.부 직 포</v>
          </cell>
          <cell r="C322">
            <v>15</v>
          </cell>
          <cell r="D322" t="str">
            <v>㎡</v>
          </cell>
          <cell r="E322">
            <v>1604</v>
          </cell>
          <cell r="F322">
            <v>24060</v>
          </cell>
        </row>
        <row r="323">
          <cell r="A323" t="str">
            <v>o. 배수관</v>
          </cell>
          <cell r="B323" t="str">
            <v>φ100mm</v>
          </cell>
          <cell r="C323">
            <v>44</v>
          </cell>
          <cell r="D323" t="str">
            <v>개</v>
          </cell>
          <cell r="E323">
            <v>4473</v>
          </cell>
          <cell r="F323">
            <v>196812</v>
          </cell>
        </row>
        <row r="324">
          <cell r="A324" t="str">
            <v>q. 보조기층재 구입 및 운반</v>
          </cell>
          <cell r="C324">
            <v>37</v>
          </cell>
          <cell r="D324" t="str">
            <v>㎥</v>
          </cell>
          <cell r="E324">
            <v>5800</v>
          </cell>
          <cell r="F324">
            <v>214600</v>
          </cell>
        </row>
        <row r="325">
          <cell r="A325" t="str">
            <v>r. 보조기층 포설 및 다짐</v>
          </cell>
          <cell r="B325" t="str">
            <v>(t=20cm)</v>
          </cell>
          <cell r="C325">
            <v>29</v>
          </cell>
          <cell r="D325" t="str">
            <v>㎥</v>
          </cell>
          <cell r="E325">
            <v>1971</v>
          </cell>
          <cell r="F325">
            <v>57159</v>
          </cell>
        </row>
        <row r="326">
          <cell r="A326" t="str">
            <v>◈ Sta. 6 ＋ 803</v>
          </cell>
        </row>
        <row r="327">
          <cell r="A327" t="str">
            <v>a. 구 조 물 터 파 기</v>
          </cell>
        </row>
        <row r="328">
          <cell r="A328" t="str">
            <v>구조물 터파기</v>
          </cell>
          <cell r="B328" t="str">
            <v>(육상토사,0~2m)</v>
          </cell>
          <cell r="C328">
            <v>519</v>
          </cell>
          <cell r="D328" t="str">
            <v>㎥</v>
          </cell>
          <cell r="E328">
            <v>3161</v>
          </cell>
          <cell r="F328">
            <v>1640559</v>
          </cell>
        </row>
        <row r="329">
          <cell r="A329" t="str">
            <v>되   메   우   기</v>
          </cell>
          <cell r="B329" t="str">
            <v>다짐포함</v>
          </cell>
          <cell r="C329">
            <v>93</v>
          </cell>
          <cell r="D329" t="str">
            <v>㎥</v>
          </cell>
          <cell r="E329">
            <v>3385</v>
          </cell>
          <cell r="F329">
            <v>314805</v>
          </cell>
        </row>
        <row r="330">
          <cell r="A330" t="str">
            <v>b. 뒷      채      움</v>
          </cell>
          <cell r="B330" t="str">
            <v>보조기층재</v>
          </cell>
          <cell r="C330">
            <v>599</v>
          </cell>
          <cell r="D330" t="str">
            <v>㎥</v>
          </cell>
          <cell r="E330">
            <v>16460</v>
          </cell>
          <cell r="F330">
            <v>9859540</v>
          </cell>
        </row>
        <row r="331">
          <cell r="A331" t="str">
            <v>c. 콘 크 리 트  타 설</v>
          </cell>
        </row>
        <row r="332">
          <cell r="A332" t="str">
            <v>-1.       〃</v>
          </cell>
          <cell r="B332" t="str">
            <v>철근,진동기,펌프카</v>
          </cell>
          <cell r="C332">
            <v>212</v>
          </cell>
          <cell r="D332" t="str">
            <v>㎥</v>
          </cell>
          <cell r="E332">
            <v>10947</v>
          </cell>
          <cell r="F332">
            <v>2320764</v>
          </cell>
        </row>
        <row r="333">
          <cell r="A333" t="str">
            <v>-2.       〃</v>
          </cell>
          <cell r="B333" t="str">
            <v>무근구조물</v>
          </cell>
          <cell r="C333">
            <v>28</v>
          </cell>
          <cell r="D333" t="str">
            <v>㎥</v>
          </cell>
          <cell r="E333">
            <v>20803</v>
          </cell>
          <cell r="F333">
            <v>582484</v>
          </cell>
        </row>
        <row r="334">
          <cell r="A334" t="str">
            <v>d. 거     푸     집</v>
          </cell>
        </row>
        <row r="335">
          <cell r="A335" t="str">
            <v>-1. 합 판  거 푸 집</v>
          </cell>
          <cell r="B335" t="str">
            <v>3회</v>
          </cell>
          <cell r="C335">
            <v>734</v>
          </cell>
          <cell r="D335" t="str">
            <v>㎡</v>
          </cell>
          <cell r="E335">
            <v>22050</v>
          </cell>
          <cell r="F335">
            <v>16184700</v>
          </cell>
        </row>
        <row r="336">
          <cell r="A336" t="str">
            <v>-2. 합 판  거 푸 집</v>
          </cell>
          <cell r="B336" t="str">
            <v>4회</v>
          </cell>
          <cell r="C336">
            <v>33</v>
          </cell>
          <cell r="D336" t="str">
            <v>㎡</v>
          </cell>
          <cell r="E336">
            <v>19038</v>
          </cell>
          <cell r="F336">
            <v>628254</v>
          </cell>
        </row>
        <row r="337">
          <cell r="A337" t="str">
            <v>e. 철 근 가 공 조 립</v>
          </cell>
          <cell r="B337" t="str">
            <v>복 잡</v>
          </cell>
          <cell r="C337">
            <v>21.4</v>
          </cell>
          <cell r="D337" t="str">
            <v>ton</v>
          </cell>
          <cell r="E337">
            <v>456666</v>
          </cell>
          <cell r="F337">
            <v>9772652</v>
          </cell>
        </row>
        <row r="338">
          <cell r="A338" t="str">
            <v>f. 지     수     판</v>
          </cell>
          <cell r="B338" t="str">
            <v>PVC, 200×5㎜</v>
          </cell>
          <cell r="C338">
            <v>30</v>
          </cell>
          <cell r="D338" t="str">
            <v>m</v>
          </cell>
          <cell r="E338">
            <v>14840</v>
          </cell>
          <cell r="F338">
            <v>445200</v>
          </cell>
        </row>
        <row r="339">
          <cell r="A339" t="str">
            <v>g. 신   축   이   음</v>
          </cell>
          <cell r="B339" t="str">
            <v>Exp. Joint Filler,t=20mm</v>
          </cell>
          <cell r="C339">
            <v>10</v>
          </cell>
          <cell r="D339" t="str">
            <v>㎡</v>
          </cell>
          <cell r="E339">
            <v>5907</v>
          </cell>
          <cell r="F339">
            <v>59070</v>
          </cell>
        </row>
        <row r="340">
          <cell r="A340" t="str">
            <v>h. 실     런     트</v>
          </cell>
          <cell r="B340" t="str">
            <v>20 x 25mm</v>
          </cell>
          <cell r="C340">
            <v>25</v>
          </cell>
          <cell r="D340" t="str">
            <v>m</v>
          </cell>
          <cell r="E340">
            <v>2315</v>
          </cell>
          <cell r="F340">
            <v>57875</v>
          </cell>
        </row>
        <row r="341">
          <cell r="A341" t="str">
            <v>i. 강   관   비  계</v>
          </cell>
          <cell r="C341">
            <v>256</v>
          </cell>
          <cell r="D341" t="str">
            <v>㎡</v>
          </cell>
          <cell r="E341">
            <v>10525</v>
          </cell>
          <cell r="F341">
            <v>2694400</v>
          </cell>
        </row>
        <row r="342">
          <cell r="A342" t="str">
            <v>j. 강  관  동  바  리</v>
          </cell>
          <cell r="B342" t="str">
            <v>(암거구조물용)</v>
          </cell>
          <cell r="C342">
            <v>260</v>
          </cell>
          <cell r="D342" t="str">
            <v>공㎥</v>
          </cell>
          <cell r="E342">
            <v>6834</v>
          </cell>
          <cell r="F342">
            <v>1776840</v>
          </cell>
        </row>
        <row r="343">
          <cell r="A343" t="str">
            <v>k. 스   페   이   셔</v>
          </cell>
          <cell r="C343">
            <v>795</v>
          </cell>
          <cell r="D343" t="str">
            <v>㎡</v>
          </cell>
          <cell r="E343">
            <v>230</v>
          </cell>
          <cell r="F343">
            <v>182850</v>
          </cell>
        </row>
        <row r="344">
          <cell r="A344" t="str">
            <v>n.부 직 포</v>
          </cell>
          <cell r="C344">
            <v>4</v>
          </cell>
          <cell r="D344" t="str">
            <v>㎡</v>
          </cell>
          <cell r="E344">
            <v>1604</v>
          </cell>
          <cell r="F344">
            <v>6416</v>
          </cell>
        </row>
        <row r="345">
          <cell r="A345" t="str">
            <v>o. 배수관</v>
          </cell>
          <cell r="B345" t="str">
            <v>φ100mm</v>
          </cell>
          <cell r="C345">
            <v>12</v>
          </cell>
          <cell r="D345" t="str">
            <v>개</v>
          </cell>
          <cell r="E345">
            <v>4473</v>
          </cell>
          <cell r="F345">
            <v>53676</v>
          </cell>
        </row>
        <row r="346">
          <cell r="A346" t="str">
            <v>◈ Sta. 7 ＋ 100</v>
          </cell>
        </row>
        <row r="347">
          <cell r="A347" t="str">
            <v>a. 구 조 물 터 파 기</v>
          </cell>
        </row>
        <row r="348">
          <cell r="A348" t="str">
            <v>구조물 터파기</v>
          </cell>
          <cell r="B348" t="str">
            <v>(육상토사,0~2m)</v>
          </cell>
          <cell r="C348">
            <v>298</v>
          </cell>
          <cell r="D348" t="str">
            <v>㎥</v>
          </cell>
          <cell r="E348">
            <v>3161</v>
          </cell>
          <cell r="F348">
            <v>941978</v>
          </cell>
        </row>
        <row r="349">
          <cell r="A349" t="str">
            <v>b. 뒷      채      움</v>
          </cell>
          <cell r="B349" t="str">
            <v>보조기층재</v>
          </cell>
          <cell r="C349">
            <v>1231</v>
          </cell>
          <cell r="D349" t="str">
            <v>㎥</v>
          </cell>
          <cell r="E349">
            <v>16460</v>
          </cell>
          <cell r="F349">
            <v>20262260</v>
          </cell>
        </row>
        <row r="350">
          <cell r="A350" t="str">
            <v>c. 콘 크 리 트  타 설</v>
          </cell>
        </row>
        <row r="351">
          <cell r="A351" t="str">
            <v>-1.       〃</v>
          </cell>
          <cell r="B351" t="str">
            <v>철근,진동기,펌프카</v>
          </cell>
          <cell r="C351">
            <v>731</v>
          </cell>
          <cell r="D351" t="str">
            <v>㎥</v>
          </cell>
          <cell r="E351">
            <v>10947</v>
          </cell>
          <cell r="F351">
            <v>8002257</v>
          </cell>
        </row>
        <row r="352">
          <cell r="A352" t="str">
            <v>-2.       〃</v>
          </cell>
          <cell r="B352" t="str">
            <v>무근구조물</v>
          </cell>
          <cell r="C352">
            <v>43</v>
          </cell>
          <cell r="D352" t="str">
            <v>㎥</v>
          </cell>
          <cell r="E352">
            <v>20803</v>
          </cell>
          <cell r="F352">
            <v>894529</v>
          </cell>
        </row>
        <row r="353">
          <cell r="A353" t="str">
            <v>d. 거     푸     집</v>
          </cell>
        </row>
        <row r="354">
          <cell r="A354" t="str">
            <v>-1. 합 판  거 푸 집</v>
          </cell>
          <cell r="B354" t="str">
            <v>3회</v>
          </cell>
          <cell r="C354">
            <v>1554</v>
          </cell>
          <cell r="D354" t="str">
            <v>㎡</v>
          </cell>
          <cell r="E354">
            <v>22050</v>
          </cell>
          <cell r="F354">
            <v>34265700</v>
          </cell>
        </row>
        <row r="355">
          <cell r="A355" t="str">
            <v>e. 철 근 가 공 조 립</v>
          </cell>
          <cell r="B355" t="str">
            <v>복 잡</v>
          </cell>
          <cell r="C355">
            <v>93.57</v>
          </cell>
          <cell r="D355" t="str">
            <v>ton</v>
          </cell>
          <cell r="E355">
            <v>456666</v>
          </cell>
          <cell r="F355">
            <v>42730237</v>
          </cell>
        </row>
        <row r="356">
          <cell r="A356" t="str">
            <v>f. 지     수     판</v>
          </cell>
          <cell r="B356" t="str">
            <v>PVC, 200×5㎜</v>
          </cell>
          <cell r="C356">
            <v>62</v>
          </cell>
          <cell r="D356" t="str">
            <v>m</v>
          </cell>
          <cell r="E356">
            <v>14840</v>
          </cell>
          <cell r="F356">
            <v>920080</v>
          </cell>
        </row>
        <row r="357">
          <cell r="A357" t="str">
            <v>g. 신   축   이   음</v>
          </cell>
          <cell r="B357" t="str">
            <v>Exp. Joint Filler,t=20mm</v>
          </cell>
          <cell r="C357">
            <v>37</v>
          </cell>
          <cell r="D357" t="str">
            <v>㎡</v>
          </cell>
          <cell r="E357">
            <v>5907</v>
          </cell>
          <cell r="F357">
            <v>218559</v>
          </cell>
        </row>
        <row r="358">
          <cell r="A358" t="str">
            <v>h. 실     런     트</v>
          </cell>
          <cell r="B358" t="str">
            <v>20 x 25mm</v>
          </cell>
          <cell r="C358">
            <v>46</v>
          </cell>
          <cell r="D358" t="str">
            <v>m</v>
          </cell>
          <cell r="E358">
            <v>2315</v>
          </cell>
          <cell r="F358">
            <v>106490</v>
          </cell>
        </row>
        <row r="359">
          <cell r="A359" t="str">
            <v>i. 강   관   비  계</v>
          </cell>
          <cell r="C359">
            <v>420</v>
          </cell>
          <cell r="D359" t="str">
            <v>㎡</v>
          </cell>
          <cell r="E359">
            <v>10525</v>
          </cell>
          <cell r="F359">
            <v>4420500</v>
          </cell>
        </row>
        <row r="360">
          <cell r="A360" t="str">
            <v>j. 강  관  동  바  리</v>
          </cell>
          <cell r="B360" t="str">
            <v>(암거구조물용)</v>
          </cell>
          <cell r="C360">
            <v>1027</v>
          </cell>
          <cell r="D360" t="str">
            <v>공㎥</v>
          </cell>
          <cell r="E360">
            <v>6834</v>
          </cell>
          <cell r="F360">
            <v>7018518</v>
          </cell>
        </row>
        <row r="361">
          <cell r="A361" t="str">
            <v>k. 스   페   이   셔</v>
          </cell>
          <cell r="C361">
            <v>1938</v>
          </cell>
          <cell r="D361" t="str">
            <v>㎡</v>
          </cell>
          <cell r="E361">
            <v>230</v>
          </cell>
          <cell r="F361">
            <v>445740</v>
          </cell>
        </row>
        <row r="362">
          <cell r="A362" t="str">
            <v>◈ Sta. 8 ＋ 650</v>
          </cell>
        </row>
        <row r="363">
          <cell r="A363" t="str">
            <v>a. 구 조 물 터 파 기</v>
          </cell>
        </row>
        <row r="364">
          <cell r="A364" t="str">
            <v>구조물 터파기</v>
          </cell>
          <cell r="B364" t="str">
            <v>(육상토사,0~2m)</v>
          </cell>
          <cell r="C364">
            <v>1670</v>
          </cell>
          <cell r="D364" t="str">
            <v>㎥</v>
          </cell>
          <cell r="E364">
            <v>3161</v>
          </cell>
          <cell r="F364">
            <v>5278870</v>
          </cell>
        </row>
        <row r="365">
          <cell r="A365" t="str">
            <v>구조물 터파기</v>
          </cell>
          <cell r="B365" t="str">
            <v>(육상토사,2~4m)</v>
          </cell>
          <cell r="C365">
            <v>698</v>
          </cell>
          <cell r="D365" t="str">
            <v>㎥</v>
          </cell>
          <cell r="E365">
            <v>4598</v>
          </cell>
          <cell r="F365">
            <v>3209404</v>
          </cell>
        </row>
        <row r="366">
          <cell r="A366" t="str">
            <v>되   메   우   기</v>
          </cell>
          <cell r="B366" t="str">
            <v>다짐포함</v>
          </cell>
          <cell r="C366">
            <v>710</v>
          </cell>
          <cell r="D366" t="str">
            <v>㎥</v>
          </cell>
          <cell r="E366">
            <v>3385</v>
          </cell>
          <cell r="F366">
            <v>2403350</v>
          </cell>
        </row>
        <row r="367">
          <cell r="A367" t="str">
            <v>b. 뒷      채      움</v>
          </cell>
          <cell r="B367" t="str">
            <v>보조기층재</v>
          </cell>
          <cell r="C367">
            <v>932</v>
          </cell>
          <cell r="D367" t="str">
            <v>㎥</v>
          </cell>
          <cell r="E367">
            <v>16460</v>
          </cell>
          <cell r="F367">
            <v>15340720</v>
          </cell>
        </row>
        <row r="368">
          <cell r="A368" t="str">
            <v>c. 콘 크 리 트  타 설</v>
          </cell>
        </row>
        <row r="369">
          <cell r="A369" t="str">
            <v>-1.       〃</v>
          </cell>
          <cell r="B369" t="str">
            <v>철근,진동기,펌프카</v>
          </cell>
          <cell r="C369">
            <v>327</v>
          </cell>
          <cell r="D369" t="str">
            <v>㎥</v>
          </cell>
          <cell r="E369">
            <v>10947</v>
          </cell>
          <cell r="F369">
            <v>3579669</v>
          </cell>
        </row>
        <row r="370">
          <cell r="A370" t="str">
            <v>-2.       〃</v>
          </cell>
          <cell r="B370" t="str">
            <v>무근구조물</v>
          </cell>
          <cell r="C370">
            <v>40</v>
          </cell>
          <cell r="D370" t="str">
            <v>㎥</v>
          </cell>
          <cell r="E370">
            <v>20803</v>
          </cell>
          <cell r="F370">
            <v>832120</v>
          </cell>
        </row>
        <row r="371">
          <cell r="A371" t="str">
            <v>d. 거     푸     집</v>
          </cell>
        </row>
        <row r="372">
          <cell r="A372" t="str">
            <v>-1. 합 판  거 푸 집</v>
          </cell>
          <cell r="B372" t="str">
            <v>3회</v>
          </cell>
          <cell r="C372">
            <v>1130</v>
          </cell>
          <cell r="D372" t="str">
            <v>㎡</v>
          </cell>
          <cell r="E372">
            <v>22050</v>
          </cell>
          <cell r="F372">
            <v>24916500</v>
          </cell>
        </row>
        <row r="373">
          <cell r="A373" t="str">
            <v>-2. 합 판  거 푸 집</v>
          </cell>
          <cell r="B373" t="str">
            <v>4회</v>
          </cell>
          <cell r="C373">
            <v>30</v>
          </cell>
          <cell r="D373" t="str">
            <v>㎡</v>
          </cell>
          <cell r="E373">
            <v>19038</v>
          </cell>
          <cell r="F373">
            <v>571140</v>
          </cell>
        </row>
        <row r="374">
          <cell r="A374" t="str">
            <v>e. 철 근 가 공 조 립</v>
          </cell>
          <cell r="B374" t="str">
            <v>복 잡</v>
          </cell>
          <cell r="C374">
            <v>33.22</v>
          </cell>
          <cell r="D374" t="str">
            <v>ton</v>
          </cell>
          <cell r="E374">
            <v>456666</v>
          </cell>
          <cell r="F374">
            <v>15170444</v>
          </cell>
        </row>
        <row r="375">
          <cell r="A375" t="str">
            <v>f. 지     수     판</v>
          </cell>
          <cell r="B375" t="str">
            <v>PVC, 200×5㎜</v>
          </cell>
          <cell r="C375">
            <v>51</v>
          </cell>
          <cell r="D375" t="str">
            <v>m</v>
          </cell>
          <cell r="E375">
            <v>14840</v>
          </cell>
          <cell r="F375">
            <v>756840</v>
          </cell>
        </row>
        <row r="376">
          <cell r="A376" t="str">
            <v>g. 신   축   이   음</v>
          </cell>
          <cell r="B376" t="str">
            <v>Exp. Joint Filler,t=20mm</v>
          </cell>
          <cell r="C376">
            <v>17</v>
          </cell>
          <cell r="D376" t="str">
            <v>㎡</v>
          </cell>
          <cell r="E376">
            <v>5907</v>
          </cell>
          <cell r="F376">
            <v>100419</v>
          </cell>
        </row>
        <row r="377">
          <cell r="A377" t="str">
            <v>h. 실     런     트</v>
          </cell>
          <cell r="B377" t="str">
            <v>20 x 25mm</v>
          </cell>
          <cell r="C377">
            <v>42</v>
          </cell>
          <cell r="D377" t="str">
            <v>m</v>
          </cell>
          <cell r="E377">
            <v>2315</v>
          </cell>
          <cell r="F377">
            <v>97230</v>
          </cell>
        </row>
        <row r="378">
          <cell r="A378" t="str">
            <v>i. 강   관   비  계</v>
          </cell>
          <cell r="C378">
            <v>403</v>
          </cell>
          <cell r="D378" t="str">
            <v>㎡</v>
          </cell>
          <cell r="E378">
            <v>10525</v>
          </cell>
          <cell r="F378">
            <v>4241575</v>
          </cell>
        </row>
        <row r="379">
          <cell r="A379" t="str">
            <v>j. 강  관  동  바  리</v>
          </cell>
          <cell r="B379" t="str">
            <v>(암거구조물용)</v>
          </cell>
          <cell r="C379">
            <v>428</v>
          </cell>
          <cell r="D379" t="str">
            <v>공㎥</v>
          </cell>
          <cell r="E379">
            <v>6834</v>
          </cell>
          <cell r="F379">
            <v>2924952</v>
          </cell>
        </row>
        <row r="380">
          <cell r="A380" t="str">
            <v>k. 스   페   이   셔</v>
          </cell>
          <cell r="C380">
            <v>1305</v>
          </cell>
          <cell r="D380" t="str">
            <v>㎡</v>
          </cell>
          <cell r="E380">
            <v>230</v>
          </cell>
          <cell r="F380">
            <v>300150</v>
          </cell>
        </row>
        <row r="381">
          <cell r="A381" t="str">
            <v>n.부 직 포</v>
          </cell>
          <cell r="C381">
            <v>3</v>
          </cell>
          <cell r="D381" t="str">
            <v>㎡</v>
          </cell>
          <cell r="E381">
            <v>1604</v>
          </cell>
          <cell r="F381">
            <v>4812</v>
          </cell>
        </row>
        <row r="382">
          <cell r="A382" t="str">
            <v>o. 배수관</v>
          </cell>
          <cell r="B382" t="str">
            <v>φ100mm</v>
          </cell>
          <cell r="C382">
            <v>10</v>
          </cell>
          <cell r="D382" t="str">
            <v>개</v>
          </cell>
          <cell r="E382">
            <v>4473</v>
          </cell>
          <cell r="F382">
            <v>44730</v>
          </cell>
        </row>
        <row r="383">
          <cell r="A383" t="str">
            <v>◈ Sta. 11＋ 482</v>
          </cell>
        </row>
        <row r="384">
          <cell r="A384" t="str">
            <v>a. 구 조 물 터 파 기</v>
          </cell>
        </row>
        <row r="385">
          <cell r="A385" t="str">
            <v>구조물 터파기</v>
          </cell>
          <cell r="B385" t="str">
            <v>(육상토사,0~2m)</v>
          </cell>
          <cell r="C385">
            <v>677</v>
          </cell>
          <cell r="D385" t="str">
            <v>㎥</v>
          </cell>
          <cell r="E385">
            <v>3161</v>
          </cell>
          <cell r="F385">
            <v>2139997</v>
          </cell>
        </row>
        <row r="386">
          <cell r="A386" t="str">
            <v>구조물 터파기</v>
          </cell>
          <cell r="B386" t="str">
            <v>(육상토사,2~4m)</v>
          </cell>
          <cell r="C386">
            <v>31</v>
          </cell>
          <cell r="D386" t="str">
            <v>㎥</v>
          </cell>
          <cell r="E386">
            <v>4598</v>
          </cell>
          <cell r="F386">
            <v>142538</v>
          </cell>
        </row>
        <row r="387">
          <cell r="A387" t="str">
            <v>되   메   우   기</v>
          </cell>
          <cell r="B387" t="str">
            <v>다짐포함</v>
          </cell>
          <cell r="C387">
            <v>84</v>
          </cell>
          <cell r="D387" t="str">
            <v>㎥</v>
          </cell>
          <cell r="E387">
            <v>3385</v>
          </cell>
          <cell r="F387">
            <v>284340</v>
          </cell>
        </row>
        <row r="388">
          <cell r="A388" t="str">
            <v>b. 뒷      채      움</v>
          </cell>
          <cell r="B388" t="str">
            <v>보조기층재</v>
          </cell>
          <cell r="C388">
            <v>483</v>
          </cell>
          <cell r="D388" t="str">
            <v>㎥</v>
          </cell>
          <cell r="E388">
            <v>16460</v>
          </cell>
          <cell r="F388">
            <v>7950180</v>
          </cell>
        </row>
        <row r="389">
          <cell r="A389" t="str">
            <v>c. 콘 크 리 트  타 설</v>
          </cell>
        </row>
        <row r="390">
          <cell r="A390" t="str">
            <v>-1.       〃</v>
          </cell>
          <cell r="B390" t="str">
            <v>철근,진동기,펌프카</v>
          </cell>
          <cell r="C390">
            <v>150</v>
          </cell>
          <cell r="D390" t="str">
            <v>㎥</v>
          </cell>
          <cell r="E390">
            <v>10947</v>
          </cell>
          <cell r="F390">
            <v>1642050</v>
          </cell>
        </row>
        <row r="391">
          <cell r="A391" t="str">
            <v>-2.       〃</v>
          </cell>
          <cell r="B391" t="str">
            <v>무근구조물</v>
          </cell>
          <cell r="C391">
            <v>21</v>
          </cell>
          <cell r="D391" t="str">
            <v>㎥</v>
          </cell>
          <cell r="E391">
            <v>20803</v>
          </cell>
          <cell r="F391">
            <v>436863</v>
          </cell>
        </row>
        <row r="392">
          <cell r="A392" t="str">
            <v>d. 거     푸     집</v>
          </cell>
        </row>
        <row r="393">
          <cell r="A393" t="str">
            <v>-1. 합 판  거 푸 집</v>
          </cell>
          <cell r="B393" t="str">
            <v>3회</v>
          </cell>
          <cell r="C393">
            <v>621</v>
          </cell>
          <cell r="D393" t="str">
            <v>㎡</v>
          </cell>
          <cell r="E393">
            <v>22050</v>
          </cell>
          <cell r="F393">
            <v>13693050</v>
          </cell>
        </row>
        <row r="394">
          <cell r="A394" t="str">
            <v>-2. 합 판  거 푸 집</v>
          </cell>
          <cell r="B394" t="str">
            <v>4회</v>
          </cell>
          <cell r="C394">
            <v>29</v>
          </cell>
          <cell r="D394" t="str">
            <v>㎡</v>
          </cell>
          <cell r="E394">
            <v>19038</v>
          </cell>
          <cell r="F394">
            <v>552102</v>
          </cell>
        </row>
        <row r="395">
          <cell r="A395" t="str">
            <v>e. 철 근 가 공 조 립</v>
          </cell>
          <cell r="B395" t="str">
            <v>복 잡</v>
          </cell>
          <cell r="C395">
            <v>25.265000000000001</v>
          </cell>
          <cell r="D395" t="str">
            <v>ton</v>
          </cell>
          <cell r="E395">
            <v>456666</v>
          </cell>
          <cell r="F395">
            <v>11537666</v>
          </cell>
        </row>
        <row r="396">
          <cell r="A396" t="str">
            <v>f. 지     수     판</v>
          </cell>
          <cell r="B396" t="str">
            <v>PVC, 200×5㎜</v>
          </cell>
          <cell r="C396">
            <v>27</v>
          </cell>
          <cell r="D396" t="str">
            <v>m</v>
          </cell>
          <cell r="E396">
            <v>14840</v>
          </cell>
          <cell r="F396">
            <v>400680</v>
          </cell>
        </row>
        <row r="397">
          <cell r="A397" t="str">
            <v>g. 신   축   이   음</v>
          </cell>
          <cell r="B397" t="str">
            <v>Exp. Joint Filler,t=20mm</v>
          </cell>
          <cell r="C397">
            <v>7</v>
          </cell>
          <cell r="D397" t="str">
            <v>㎡</v>
          </cell>
          <cell r="E397">
            <v>5907</v>
          </cell>
          <cell r="F397">
            <v>41349</v>
          </cell>
        </row>
        <row r="398">
          <cell r="A398" t="str">
            <v>h. 실     런     트</v>
          </cell>
          <cell r="B398" t="str">
            <v>20 x 25mm</v>
          </cell>
          <cell r="C398">
            <v>22</v>
          </cell>
          <cell r="D398" t="str">
            <v>m</v>
          </cell>
          <cell r="E398">
            <v>2315</v>
          </cell>
          <cell r="F398">
            <v>50930</v>
          </cell>
        </row>
        <row r="399">
          <cell r="A399" t="str">
            <v>i. 강   관   비  계</v>
          </cell>
          <cell r="C399">
            <v>212</v>
          </cell>
          <cell r="D399" t="str">
            <v>㎡</v>
          </cell>
          <cell r="E399">
            <v>10525</v>
          </cell>
          <cell r="F399">
            <v>2231300</v>
          </cell>
        </row>
        <row r="400">
          <cell r="A400" t="str">
            <v>j. 강  관  동  바  리</v>
          </cell>
          <cell r="B400" t="str">
            <v>(암거구조물용)</v>
          </cell>
          <cell r="C400">
            <v>189</v>
          </cell>
          <cell r="D400" t="str">
            <v>공㎥</v>
          </cell>
          <cell r="E400">
            <v>6834</v>
          </cell>
          <cell r="F400">
            <v>1291626</v>
          </cell>
        </row>
        <row r="401">
          <cell r="A401" t="str">
            <v>k. 스   페   이   셔</v>
          </cell>
          <cell r="C401">
            <v>658</v>
          </cell>
          <cell r="D401" t="str">
            <v>㎡</v>
          </cell>
          <cell r="E401">
            <v>230</v>
          </cell>
          <cell r="F401">
            <v>151340</v>
          </cell>
        </row>
        <row r="402">
          <cell r="A402" t="str">
            <v>n.부 직 포</v>
          </cell>
          <cell r="C402">
            <v>3</v>
          </cell>
          <cell r="D402" t="str">
            <v>㎡</v>
          </cell>
          <cell r="E402">
            <v>1604</v>
          </cell>
          <cell r="F402">
            <v>4812</v>
          </cell>
        </row>
        <row r="403">
          <cell r="A403" t="str">
            <v>o. 배수관</v>
          </cell>
          <cell r="B403" t="str">
            <v>φ100mm</v>
          </cell>
          <cell r="C403">
            <v>10</v>
          </cell>
          <cell r="D403" t="str">
            <v>개</v>
          </cell>
          <cell r="E403">
            <v>4473</v>
          </cell>
          <cell r="F403">
            <v>44730</v>
          </cell>
        </row>
        <row r="405">
          <cell r="A405" t="str">
            <v>3. 구   조   물  공</v>
          </cell>
          <cell r="F405">
            <v>3077551089</v>
          </cell>
        </row>
        <row r="406">
          <cell r="A406" t="str">
            <v>수산교 (RAHMEN)</v>
          </cell>
        </row>
        <row r="407">
          <cell r="A407" t="str">
            <v>1) 구조물 터파기</v>
          </cell>
        </row>
        <row r="408">
          <cell r="A408" t="str">
            <v>구조물 터파기</v>
          </cell>
          <cell r="B408" t="str">
            <v>(육상토사,0~2m)</v>
          </cell>
          <cell r="C408">
            <v>1078</v>
          </cell>
          <cell r="D408" t="str">
            <v>㎥</v>
          </cell>
          <cell r="E408">
            <v>3161</v>
          </cell>
          <cell r="F408">
            <v>3407558</v>
          </cell>
        </row>
        <row r="409">
          <cell r="A409" t="str">
            <v>구조물 터파기</v>
          </cell>
          <cell r="B409" t="str">
            <v>(육상토사,2~4m)</v>
          </cell>
          <cell r="C409">
            <v>12</v>
          </cell>
          <cell r="D409" t="str">
            <v>㎥</v>
          </cell>
          <cell r="E409">
            <v>4598</v>
          </cell>
          <cell r="F409">
            <v>55176</v>
          </cell>
        </row>
        <row r="410">
          <cell r="A410" t="str">
            <v>2)되메우기 및 다짐</v>
          </cell>
          <cell r="C410">
            <v>644</v>
          </cell>
          <cell r="D410" t="str">
            <v>M3</v>
          </cell>
          <cell r="E410">
            <v>3385</v>
          </cell>
          <cell r="F410">
            <v>2179940</v>
          </cell>
        </row>
        <row r="411">
          <cell r="A411" t="str">
            <v>3)뒷 채 움</v>
          </cell>
          <cell r="B411" t="str">
            <v>(보조기층재)</v>
          </cell>
          <cell r="C411">
            <v>1549</v>
          </cell>
          <cell r="D411" t="str">
            <v>㎥</v>
          </cell>
          <cell r="E411">
            <v>16460</v>
          </cell>
          <cell r="F411">
            <v>25496540</v>
          </cell>
        </row>
        <row r="412">
          <cell r="A412" t="str">
            <v>4) 콘크리트타설</v>
          </cell>
        </row>
        <row r="413">
          <cell r="A413" t="str">
            <v>콘크리트 타설</v>
          </cell>
          <cell r="B413" t="str">
            <v>(무근구조물)</v>
          </cell>
          <cell r="C413">
            <v>35</v>
          </cell>
          <cell r="D413" t="str">
            <v>㎥</v>
          </cell>
          <cell r="E413">
            <v>20803</v>
          </cell>
          <cell r="F413">
            <v>728105</v>
          </cell>
        </row>
        <row r="414">
          <cell r="A414" t="str">
            <v>콘크리트 타설</v>
          </cell>
          <cell r="B414" t="str">
            <v>(철근,진동기,펌프카)</v>
          </cell>
          <cell r="C414">
            <v>1083</v>
          </cell>
          <cell r="D414" t="str">
            <v>㎥</v>
          </cell>
          <cell r="E414">
            <v>10947</v>
          </cell>
          <cell r="F414">
            <v>11855601</v>
          </cell>
        </row>
        <row r="415">
          <cell r="A415" t="str">
            <v>5) 거푸집공</v>
          </cell>
        </row>
        <row r="416">
          <cell r="A416" t="str">
            <v>합판 거푸집</v>
          </cell>
          <cell r="B416" t="str">
            <v>(3회, 0~ 7m)</v>
          </cell>
          <cell r="C416">
            <v>657</v>
          </cell>
          <cell r="D416" t="str">
            <v>㎡</v>
          </cell>
          <cell r="E416">
            <v>22050</v>
          </cell>
          <cell r="F416">
            <v>14486850</v>
          </cell>
        </row>
        <row r="417">
          <cell r="A417" t="str">
            <v>합판 거푸집</v>
          </cell>
          <cell r="B417" t="str">
            <v>(3회, 7~10m)</v>
          </cell>
          <cell r="C417">
            <v>110</v>
          </cell>
          <cell r="D417" t="str">
            <v>M2</v>
          </cell>
          <cell r="E417">
            <v>23476</v>
          </cell>
          <cell r="F417">
            <v>2582360</v>
          </cell>
        </row>
        <row r="418">
          <cell r="A418" t="str">
            <v>합판 거푸집</v>
          </cell>
          <cell r="B418" t="str">
            <v>(4회)</v>
          </cell>
          <cell r="C418">
            <v>206</v>
          </cell>
          <cell r="D418" t="str">
            <v>㎡</v>
          </cell>
          <cell r="E418">
            <v>19038</v>
          </cell>
          <cell r="F418">
            <v>3921828</v>
          </cell>
        </row>
        <row r="419">
          <cell r="A419" t="str">
            <v>합판 거푸집</v>
          </cell>
          <cell r="B419" t="str">
            <v>(6회)</v>
          </cell>
          <cell r="C419">
            <v>7</v>
          </cell>
          <cell r="D419" t="str">
            <v>㎡</v>
          </cell>
          <cell r="E419">
            <v>15879</v>
          </cell>
          <cell r="F419">
            <v>111153</v>
          </cell>
        </row>
        <row r="420">
          <cell r="A420" t="str">
            <v>무늬거푸집</v>
          </cell>
          <cell r="C420">
            <v>168</v>
          </cell>
          <cell r="D420" t="str">
            <v>M2</v>
          </cell>
          <cell r="E420">
            <v>29285</v>
          </cell>
          <cell r="F420">
            <v>4919880</v>
          </cell>
        </row>
        <row r="421">
          <cell r="A421" t="str">
            <v>코팅 거푸집</v>
          </cell>
          <cell r="B421" t="str">
            <v>(3회)</v>
          </cell>
          <cell r="C421">
            <v>467</v>
          </cell>
          <cell r="D421" t="str">
            <v>㎡</v>
          </cell>
          <cell r="E421">
            <v>22050</v>
          </cell>
          <cell r="F421">
            <v>10297350</v>
          </cell>
        </row>
        <row r="422">
          <cell r="A422" t="str">
            <v>6) 강관 비계</v>
          </cell>
          <cell r="C422">
            <v>764</v>
          </cell>
          <cell r="D422" t="str">
            <v>㎡</v>
          </cell>
          <cell r="E422">
            <v>10525</v>
          </cell>
          <cell r="F422">
            <v>8041100</v>
          </cell>
        </row>
        <row r="423">
          <cell r="A423" t="str">
            <v>7) 동바리공</v>
          </cell>
        </row>
        <row r="424">
          <cell r="A424" t="str">
            <v>강관 동바리</v>
          </cell>
          <cell r="B424" t="str">
            <v>(교량구조물용)</v>
          </cell>
          <cell r="C424">
            <v>2177</v>
          </cell>
          <cell r="D424" t="str">
            <v>공㎥</v>
          </cell>
          <cell r="E424">
            <v>17339</v>
          </cell>
          <cell r="F424">
            <v>37747003</v>
          </cell>
        </row>
        <row r="425">
          <cell r="A425" t="str">
            <v>8)표면처리</v>
          </cell>
        </row>
        <row r="426">
          <cell r="A426" t="str">
            <v>슬라브 양생</v>
          </cell>
          <cell r="B426" t="str">
            <v>(피막양생)</v>
          </cell>
          <cell r="C426">
            <v>285</v>
          </cell>
          <cell r="D426" t="str">
            <v>㎡</v>
          </cell>
          <cell r="E426">
            <v>313</v>
          </cell>
          <cell r="F426">
            <v>89205</v>
          </cell>
        </row>
        <row r="427">
          <cell r="A427" t="str">
            <v>면고르기</v>
          </cell>
          <cell r="B427" t="str">
            <v>(교량슬라브면)</v>
          </cell>
          <cell r="C427">
            <v>285</v>
          </cell>
          <cell r="D427" t="str">
            <v>㎡</v>
          </cell>
          <cell r="E427">
            <v>544</v>
          </cell>
          <cell r="F427">
            <v>155040</v>
          </cell>
        </row>
        <row r="428">
          <cell r="A428" t="str">
            <v>교면 방수</v>
          </cell>
          <cell r="B428" t="str">
            <v>(침투식)</v>
          </cell>
          <cell r="C428">
            <v>285</v>
          </cell>
          <cell r="D428" t="str">
            <v>㎡</v>
          </cell>
          <cell r="E428">
            <v>2785</v>
          </cell>
          <cell r="F428">
            <v>793725</v>
          </cell>
        </row>
        <row r="429">
          <cell r="A429" t="str">
            <v>9)교명판 및 설명판</v>
          </cell>
        </row>
        <row r="430">
          <cell r="A430" t="str">
            <v>교명주</v>
          </cell>
          <cell r="B430" t="str">
            <v>(화강석,600×600×1250mm)</v>
          </cell>
          <cell r="C430">
            <v>4</v>
          </cell>
          <cell r="D430" t="str">
            <v>개소</v>
          </cell>
          <cell r="E430">
            <v>1300000</v>
          </cell>
          <cell r="F430">
            <v>5200000</v>
          </cell>
        </row>
        <row r="431">
          <cell r="A431" t="str">
            <v>교명판</v>
          </cell>
          <cell r="B431" t="str">
            <v>(황동,450×200×10㎜)</v>
          </cell>
          <cell r="C431">
            <v>2</v>
          </cell>
          <cell r="D431" t="str">
            <v>개</v>
          </cell>
          <cell r="E431">
            <v>82000</v>
          </cell>
          <cell r="F431">
            <v>164000</v>
          </cell>
        </row>
        <row r="432">
          <cell r="A432" t="str">
            <v>설명판</v>
          </cell>
          <cell r="B432" t="str">
            <v>(황동,350×250×10㎜)</v>
          </cell>
          <cell r="C432">
            <v>2</v>
          </cell>
          <cell r="D432" t="str">
            <v>개</v>
          </cell>
          <cell r="E432">
            <v>45000</v>
          </cell>
          <cell r="F432">
            <v>90000</v>
          </cell>
        </row>
        <row r="433">
          <cell r="A433" t="str">
            <v>10)측량 기준점 설치</v>
          </cell>
          <cell r="C433">
            <v>1</v>
          </cell>
          <cell r="D433" t="str">
            <v>개</v>
          </cell>
          <cell r="E433">
            <v>25007</v>
          </cell>
          <cell r="F433">
            <v>25007</v>
          </cell>
        </row>
        <row r="434">
          <cell r="A434" t="str">
            <v>11)전 선 관</v>
          </cell>
          <cell r="B434" t="str">
            <v>(강관φ100mm)</v>
          </cell>
          <cell r="C434">
            <v>51</v>
          </cell>
          <cell r="D434" t="str">
            <v>m</v>
          </cell>
          <cell r="E434">
            <v>29640</v>
          </cell>
          <cell r="F434">
            <v>1511640</v>
          </cell>
        </row>
        <row r="435">
          <cell r="A435" t="str">
            <v>12)철근가공조립</v>
          </cell>
        </row>
        <row r="436">
          <cell r="A436" t="str">
            <v>철근가공 및 조립</v>
          </cell>
          <cell r="B436" t="str">
            <v>보 통</v>
          </cell>
          <cell r="C436">
            <v>39.122999999999998</v>
          </cell>
          <cell r="D436" t="str">
            <v>TON</v>
          </cell>
          <cell r="E436">
            <v>363984</v>
          </cell>
          <cell r="F436">
            <v>14240146</v>
          </cell>
        </row>
        <row r="437">
          <cell r="A437" t="str">
            <v>철근가공 및 조립</v>
          </cell>
          <cell r="B437" t="str">
            <v>복 잡</v>
          </cell>
          <cell r="C437">
            <v>126.252</v>
          </cell>
          <cell r="D437" t="str">
            <v>TON</v>
          </cell>
          <cell r="E437">
            <v>456666</v>
          </cell>
          <cell r="F437">
            <v>57654995</v>
          </cell>
        </row>
        <row r="438">
          <cell r="A438" t="str">
            <v>13)다웰바 설치</v>
          </cell>
          <cell r="C438">
            <v>118</v>
          </cell>
          <cell r="D438" t="str">
            <v>EA</v>
          </cell>
          <cell r="E438">
            <v>6278</v>
          </cell>
          <cell r="F438">
            <v>740804</v>
          </cell>
        </row>
        <row r="439">
          <cell r="A439" t="str">
            <v>14)타르페이퍼 설치</v>
          </cell>
          <cell r="B439" t="str">
            <v>t = 5mm</v>
          </cell>
          <cell r="C439">
            <v>14</v>
          </cell>
          <cell r="D439" t="str">
            <v>M2</v>
          </cell>
          <cell r="E439">
            <v>13117</v>
          </cell>
          <cell r="F439">
            <v>183638</v>
          </cell>
        </row>
        <row r="440">
          <cell r="A440" t="str">
            <v>15)스페이서 설치</v>
          </cell>
        </row>
        <row r="441">
          <cell r="A441" t="str">
            <v>스페이서 설치</v>
          </cell>
          <cell r="B441" t="str">
            <v>수직부</v>
          </cell>
          <cell r="C441">
            <v>894</v>
          </cell>
          <cell r="D441" t="str">
            <v>M2</v>
          </cell>
          <cell r="E441">
            <v>230</v>
          </cell>
          <cell r="F441">
            <v>205620</v>
          </cell>
        </row>
        <row r="442">
          <cell r="A442" t="str">
            <v>스페이서 설치</v>
          </cell>
          <cell r="B442" t="str">
            <v>수평부</v>
          </cell>
          <cell r="C442">
            <v>690</v>
          </cell>
          <cell r="D442" t="str">
            <v>M2</v>
          </cell>
          <cell r="E442">
            <v>230</v>
          </cell>
          <cell r="F442">
            <v>158700</v>
          </cell>
        </row>
        <row r="443">
          <cell r="A443" t="str">
            <v>16)스치로폴 채움</v>
          </cell>
        </row>
        <row r="444">
          <cell r="A444" t="str">
            <v>스치로폴</v>
          </cell>
          <cell r="B444" t="str">
            <v>t = 10mm</v>
          </cell>
          <cell r="C444">
            <v>36</v>
          </cell>
          <cell r="D444" t="str">
            <v>M2</v>
          </cell>
          <cell r="E444">
            <v>1898</v>
          </cell>
          <cell r="F444">
            <v>68328</v>
          </cell>
        </row>
        <row r="445">
          <cell r="A445" t="str">
            <v>스치로폴</v>
          </cell>
          <cell r="B445" t="str">
            <v>t = 20mm</v>
          </cell>
          <cell r="C445">
            <v>18</v>
          </cell>
          <cell r="D445" t="str">
            <v>M2</v>
          </cell>
          <cell r="E445">
            <v>2441</v>
          </cell>
          <cell r="F445">
            <v>43938</v>
          </cell>
        </row>
        <row r="446">
          <cell r="A446" t="str">
            <v>17)NOTCH 설치</v>
          </cell>
          <cell r="C446">
            <v>40</v>
          </cell>
          <cell r="D446" t="str">
            <v>M</v>
          </cell>
          <cell r="E446">
            <v>10000</v>
          </cell>
          <cell r="F446">
            <v>400000</v>
          </cell>
        </row>
        <row r="447">
          <cell r="A447" t="str">
            <v>18)부 직 포</v>
          </cell>
          <cell r="C447">
            <v>26</v>
          </cell>
          <cell r="D447" t="str">
            <v>㎡</v>
          </cell>
          <cell r="E447">
            <v>1604</v>
          </cell>
          <cell r="F447">
            <v>41704</v>
          </cell>
        </row>
        <row r="448">
          <cell r="A448" t="str">
            <v>19)드레인보드</v>
          </cell>
          <cell r="C448">
            <v>26</v>
          </cell>
          <cell r="D448" t="str">
            <v>㎡</v>
          </cell>
          <cell r="E448">
            <v>5200</v>
          </cell>
          <cell r="F448">
            <v>135200</v>
          </cell>
        </row>
        <row r="449">
          <cell r="A449" t="str">
            <v>20)P.V.C PIPE</v>
          </cell>
          <cell r="B449" t="str">
            <v>φ100mm</v>
          </cell>
          <cell r="C449">
            <v>6</v>
          </cell>
          <cell r="D449" t="str">
            <v>M</v>
          </cell>
          <cell r="E449">
            <v>4473</v>
          </cell>
          <cell r="F449">
            <v>26838</v>
          </cell>
        </row>
        <row r="450">
          <cell r="A450" t="str">
            <v>21)배면방수(아스팔트 코팅)</v>
          </cell>
          <cell r="C450">
            <v>430</v>
          </cell>
          <cell r="D450" t="str">
            <v>M2</v>
          </cell>
          <cell r="E450">
            <v>4406</v>
          </cell>
          <cell r="F450">
            <v>1894580</v>
          </cell>
        </row>
        <row r="451">
          <cell r="A451" t="str">
            <v>22)교  면   포  장</v>
          </cell>
        </row>
        <row r="452">
          <cell r="A452" t="str">
            <v>택 코 팅</v>
          </cell>
          <cell r="B452" t="str">
            <v>RSC-4, 30ℓ/a</v>
          </cell>
          <cell r="C452">
            <v>3</v>
          </cell>
          <cell r="D452" t="str">
            <v>a</v>
          </cell>
          <cell r="E452">
            <v>17382</v>
          </cell>
          <cell r="F452">
            <v>52146</v>
          </cell>
        </row>
        <row r="453">
          <cell r="A453" t="str">
            <v>아스콘포장</v>
          </cell>
          <cell r="B453" t="str">
            <v>표층, t=8.0㎝</v>
          </cell>
          <cell r="C453">
            <v>3</v>
          </cell>
          <cell r="D453" t="str">
            <v>a</v>
          </cell>
          <cell r="E453">
            <v>55854</v>
          </cell>
          <cell r="F453">
            <v>167562</v>
          </cell>
        </row>
        <row r="454">
          <cell r="A454" t="str">
            <v>장진교 (RAHMEN)</v>
          </cell>
        </row>
        <row r="455">
          <cell r="A455" t="str">
            <v>1) 구조물 터파기</v>
          </cell>
        </row>
        <row r="456">
          <cell r="A456" t="str">
            <v>구조물 터파기</v>
          </cell>
          <cell r="B456" t="str">
            <v>(육상토사,0~2m)</v>
          </cell>
          <cell r="C456">
            <v>2780</v>
          </cell>
          <cell r="D456" t="str">
            <v>㎥</v>
          </cell>
          <cell r="E456">
            <v>3161</v>
          </cell>
          <cell r="F456">
            <v>8787580</v>
          </cell>
        </row>
        <row r="457">
          <cell r="A457" t="str">
            <v>구조물 터파기</v>
          </cell>
          <cell r="B457" t="str">
            <v>(육상토사,2~4m)</v>
          </cell>
          <cell r="C457">
            <v>1662</v>
          </cell>
          <cell r="D457" t="str">
            <v>㎥</v>
          </cell>
          <cell r="E457">
            <v>4598</v>
          </cell>
          <cell r="F457">
            <v>7641876</v>
          </cell>
        </row>
        <row r="458">
          <cell r="A458" t="str">
            <v>구조물 터파기</v>
          </cell>
          <cell r="B458" t="str">
            <v>(육상토사,4~6m)</v>
          </cell>
          <cell r="C458">
            <v>854</v>
          </cell>
          <cell r="D458" t="str">
            <v>㎥</v>
          </cell>
          <cell r="E458">
            <v>6133</v>
          </cell>
          <cell r="F458">
            <v>5237582</v>
          </cell>
        </row>
        <row r="459">
          <cell r="A459" t="str">
            <v>구조물 터파기</v>
          </cell>
          <cell r="B459" t="str">
            <v>(육상토사,6~8m)</v>
          </cell>
          <cell r="C459">
            <v>418</v>
          </cell>
          <cell r="D459" t="str">
            <v>㎥</v>
          </cell>
          <cell r="E459">
            <v>7968</v>
          </cell>
          <cell r="F459">
            <v>3330624</v>
          </cell>
        </row>
        <row r="460">
          <cell r="A460" t="str">
            <v>2)되메우기 및 다짐</v>
          </cell>
          <cell r="C460">
            <v>5143</v>
          </cell>
          <cell r="D460" t="str">
            <v>M3</v>
          </cell>
          <cell r="E460">
            <v>3385</v>
          </cell>
          <cell r="F460">
            <v>17409055</v>
          </cell>
        </row>
        <row r="461">
          <cell r="A461" t="str">
            <v>3)뒷 채 움</v>
          </cell>
          <cell r="B461" t="str">
            <v>(보조기층재)</v>
          </cell>
          <cell r="C461">
            <v>1311</v>
          </cell>
          <cell r="D461" t="str">
            <v>㎥</v>
          </cell>
          <cell r="E461">
            <v>16460</v>
          </cell>
          <cell r="F461">
            <v>21579060</v>
          </cell>
        </row>
        <row r="462">
          <cell r="A462" t="str">
            <v>4) 콘크리트타설</v>
          </cell>
        </row>
        <row r="463">
          <cell r="A463" t="str">
            <v>콘크리트 타설</v>
          </cell>
          <cell r="B463" t="str">
            <v>(무근구조물)</v>
          </cell>
          <cell r="C463">
            <v>48</v>
          </cell>
          <cell r="D463" t="str">
            <v>㎥</v>
          </cell>
          <cell r="E463">
            <v>20803</v>
          </cell>
          <cell r="F463">
            <v>998544</v>
          </cell>
        </row>
        <row r="464">
          <cell r="A464" t="str">
            <v>콘크리트 타설</v>
          </cell>
          <cell r="B464" t="str">
            <v>(철근,진동기,펌프카)</v>
          </cell>
          <cell r="C464">
            <v>1384</v>
          </cell>
          <cell r="D464" t="str">
            <v>㎥</v>
          </cell>
          <cell r="E464">
            <v>10947</v>
          </cell>
          <cell r="F464">
            <v>15150648</v>
          </cell>
        </row>
        <row r="465">
          <cell r="A465" t="str">
            <v>5) 거푸집공</v>
          </cell>
        </row>
        <row r="466">
          <cell r="A466" t="str">
            <v>합판 거푸집</v>
          </cell>
          <cell r="B466" t="str">
            <v>(3회, 0~ 7m)</v>
          </cell>
          <cell r="C466">
            <v>759</v>
          </cell>
          <cell r="D466" t="str">
            <v>㎡</v>
          </cell>
          <cell r="E466">
            <v>22050</v>
          </cell>
          <cell r="F466">
            <v>16735950</v>
          </cell>
        </row>
        <row r="467">
          <cell r="A467" t="str">
            <v>합판 거푸집</v>
          </cell>
          <cell r="B467" t="str">
            <v>(3회, 7~10m)</v>
          </cell>
          <cell r="C467">
            <v>76</v>
          </cell>
          <cell r="D467" t="str">
            <v>M2</v>
          </cell>
          <cell r="E467">
            <v>23476</v>
          </cell>
          <cell r="F467">
            <v>1784176</v>
          </cell>
        </row>
        <row r="468">
          <cell r="A468" t="str">
            <v>합판 거푸집</v>
          </cell>
          <cell r="B468" t="str">
            <v>(4회)</v>
          </cell>
          <cell r="C468">
            <v>322</v>
          </cell>
          <cell r="D468" t="str">
            <v>㎡</v>
          </cell>
          <cell r="E468">
            <v>19038</v>
          </cell>
          <cell r="F468">
            <v>6130236</v>
          </cell>
        </row>
        <row r="469">
          <cell r="A469" t="str">
            <v>합판 거푸집</v>
          </cell>
          <cell r="B469" t="str">
            <v>(6회)</v>
          </cell>
          <cell r="C469">
            <v>26</v>
          </cell>
          <cell r="D469" t="str">
            <v>㎡</v>
          </cell>
          <cell r="E469">
            <v>15879</v>
          </cell>
          <cell r="F469">
            <v>412854</v>
          </cell>
        </row>
        <row r="470">
          <cell r="A470" t="str">
            <v>무늬거푸집</v>
          </cell>
          <cell r="C470">
            <v>166</v>
          </cell>
          <cell r="D470" t="str">
            <v>M2</v>
          </cell>
          <cell r="E470">
            <v>29285</v>
          </cell>
          <cell r="F470">
            <v>4861310</v>
          </cell>
        </row>
        <row r="471">
          <cell r="A471" t="str">
            <v>코팅 거푸집</v>
          </cell>
          <cell r="B471" t="str">
            <v>(3회)</v>
          </cell>
          <cell r="C471">
            <v>768</v>
          </cell>
          <cell r="D471" t="str">
            <v>㎡</v>
          </cell>
          <cell r="E471">
            <v>22050</v>
          </cell>
          <cell r="F471">
            <v>16934400</v>
          </cell>
        </row>
        <row r="472">
          <cell r="A472" t="str">
            <v>원형거푸집 3회</v>
          </cell>
          <cell r="C472">
            <v>15</v>
          </cell>
          <cell r="D472" t="str">
            <v>M2</v>
          </cell>
          <cell r="E472">
            <v>48522</v>
          </cell>
          <cell r="F472">
            <v>727830</v>
          </cell>
        </row>
        <row r="473">
          <cell r="A473" t="str">
            <v>6) 강관 비계</v>
          </cell>
          <cell r="C473">
            <v>945</v>
          </cell>
          <cell r="D473" t="str">
            <v>㎡</v>
          </cell>
          <cell r="E473">
            <v>10525</v>
          </cell>
          <cell r="F473">
            <v>9946125</v>
          </cell>
        </row>
        <row r="474">
          <cell r="A474" t="str">
            <v>7) 동바리공</v>
          </cell>
        </row>
        <row r="475">
          <cell r="A475" t="str">
            <v>강관 동바리</v>
          </cell>
          <cell r="B475" t="str">
            <v>(교량구조물용)</v>
          </cell>
          <cell r="C475">
            <v>2074</v>
          </cell>
          <cell r="D475" t="str">
            <v>공㎥</v>
          </cell>
          <cell r="E475">
            <v>17339</v>
          </cell>
          <cell r="F475">
            <v>35961086</v>
          </cell>
        </row>
        <row r="476">
          <cell r="A476" t="str">
            <v>8)표면처리</v>
          </cell>
        </row>
        <row r="477">
          <cell r="A477" t="str">
            <v>슬라브 양생</v>
          </cell>
          <cell r="B477" t="str">
            <v>(피막양생)</v>
          </cell>
          <cell r="C477">
            <v>477</v>
          </cell>
          <cell r="D477" t="str">
            <v>㎡</v>
          </cell>
          <cell r="E477">
            <v>313</v>
          </cell>
          <cell r="F477">
            <v>149301</v>
          </cell>
        </row>
        <row r="478">
          <cell r="A478" t="str">
            <v>면고르기</v>
          </cell>
          <cell r="B478" t="str">
            <v>(교량슬라브면)</v>
          </cell>
          <cell r="C478">
            <v>477</v>
          </cell>
          <cell r="D478" t="str">
            <v>㎡</v>
          </cell>
          <cell r="E478">
            <v>544</v>
          </cell>
          <cell r="F478">
            <v>259488</v>
          </cell>
        </row>
        <row r="479">
          <cell r="A479" t="str">
            <v>교면 방수</v>
          </cell>
          <cell r="B479" t="str">
            <v>(침투식)</v>
          </cell>
          <cell r="C479">
            <v>477</v>
          </cell>
          <cell r="D479" t="str">
            <v>㎡</v>
          </cell>
          <cell r="E479">
            <v>2785</v>
          </cell>
          <cell r="F479">
            <v>1328445</v>
          </cell>
        </row>
        <row r="480">
          <cell r="A480" t="str">
            <v>9)교명판 및 설명판</v>
          </cell>
        </row>
        <row r="481">
          <cell r="A481" t="str">
            <v>교명주</v>
          </cell>
          <cell r="B481" t="str">
            <v>(화강석,600×600×1250mm)</v>
          </cell>
          <cell r="C481">
            <v>4</v>
          </cell>
          <cell r="D481" t="str">
            <v>개소</v>
          </cell>
          <cell r="E481">
            <v>1300000</v>
          </cell>
          <cell r="F481">
            <v>5200000</v>
          </cell>
        </row>
        <row r="482">
          <cell r="A482" t="str">
            <v>교명판</v>
          </cell>
          <cell r="B482" t="str">
            <v>(황동,450×200×10㎜)</v>
          </cell>
          <cell r="C482">
            <v>2</v>
          </cell>
          <cell r="D482" t="str">
            <v>개</v>
          </cell>
          <cell r="E482">
            <v>82000</v>
          </cell>
          <cell r="F482">
            <v>164000</v>
          </cell>
        </row>
        <row r="483">
          <cell r="A483" t="str">
            <v>설명판</v>
          </cell>
          <cell r="B483" t="str">
            <v>(황동,350×250×10㎜)</v>
          </cell>
          <cell r="C483">
            <v>2</v>
          </cell>
          <cell r="D483" t="str">
            <v>개</v>
          </cell>
          <cell r="E483">
            <v>45000</v>
          </cell>
          <cell r="F483">
            <v>90000</v>
          </cell>
        </row>
        <row r="484">
          <cell r="A484" t="str">
            <v>10)측량 기준점 설치</v>
          </cell>
          <cell r="C484">
            <v>1</v>
          </cell>
          <cell r="D484" t="str">
            <v>개</v>
          </cell>
          <cell r="E484">
            <v>25007</v>
          </cell>
          <cell r="F484">
            <v>25007</v>
          </cell>
        </row>
        <row r="485">
          <cell r="A485" t="str">
            <v>11)전 선 관</v>
          </cell>
          <cell r="B485" t="str">
            <v>(강관φ100mm)</v>
          </cell>
          <cell r="C485">
            <v>67</v>
          </cell>
          <cell r="D485" t="str">
            <v>m</v>
          </cell>
          <cell r="E485">
            <v>29640</v>
          </cell>
          <cell r="F485">
            <v>1985880</v>
          </cell>
        </row>
        <row r="486">
          <cell r="A486" t="str">
            <v>12)철근가공조립</v>
          </cell>
        </row>
        <row r="487">
          <cell r="A487" t="str">
            <v>철근가공 및 조립</v>
          </cell>
          <cell r="B487" t="str">
            <v>보 통</v>
          </cell>
          <cell r="C487">
            <v>38.828000000000003</v>
          </cell>
          <cell r="D487" t="str">
            <v>TON</v>
          </cell>
          <cell r="E487">
            <v>363984</v>
          </cell>
          <cell r="F487">
            <v>14132770</v>
          </cell>
        </row>
        <row r="488">
          <cell r="A488" t="str">
            <v>철근가공 및 조립</v>
          </cell>
          <cell r="B488" t="str">
            <v>복 잡</v>
          </cell>
          <cell r="C488">
            <v>187.59399999999999</v>
          </cell>
          <cell r="D488" t="str">
            <v>TON</v>
          </cell>
          <cell r="E488">
            <v>456666</v>
          </cell>
          <cell r="F488">
            <v>85667801</v>
          </cell>
        </row>
        <row r="489">
          <cell r="A489" t="str">
            <v>13)다웰바 설치</v>
          </cell>
          <cell r="C489">
            <v>118</v>
          </cell>
          <cell r="D489" t="str">
            <v>EA</v>
          </cell>
          <cell r="E489">
            <v>6278</v>
          </cell>
          <cell r="F489">
            <v>740804</v>
          </cell>
        </row>
        <row r="490">
          <cell r="A490" t="str">
            <v>14)타르페이퍼 설치</v>
          </cell>
          <cell r="B490" t="str">
            <v>t = 5mm</v>
          </cell>
          <cell r="C490">
            <v>14</v>
          </cell>
          <cell r="D490" t="str">
            <v>M2</v>
          </cell>
          <cell r="E490">
            <v>13117</v>
          </cell>
          <cell r="F490">
            <v>183638</v>
          </cell>
        </row>
        <row r="491">
          <cell r="A491" t="str">
            <v>15)스페이서 설치</v>
          </cell>
        </row>
        <row r="492">
          <cell r="A492" t="str">
            <v>스페이서 설치</v>
          </cell>
          <cell r="B492" t="str">
            <v>수직부</v>
          </cell>
          <cell r="C492">
            <v>942</v>
          </cell>
          <cell r="D492" t="str">
            <v>M2</v>
          </cell>
          <cell r="E492">
            <v>230</v>
          </cell>
          <cell r="F492">
            <v>216660</v>
          </cell>
        </row>
        <row r="493">
          <cell r="A493" t="str">
            <v>스페이서 설치</v>
          </cell>
          <cell r="B493" t="str">
            <v>수평부</v>
          </cell>
          <cell r="C493">
            <v>1009</v>
          </cell>
          <cell r="D493" t="str">
            <v>M2</v>
          </cell>
          <cell r="E493">
            <v>230</v>
          </cell>
          <cell r="F493">
            <v>232070</v>
          </cell>
        </row>
        <row r="494">
          <cell r="A494" t="str">
            <v>16)스치로폴 채움</v>
          </cell>
        </row>
        <row r="495">
          <cell r="A495" t="str">
            <v>스치로폴</v>
          </cell>
          <cell r="B495" t="str">
            <v>t = 10mm</v>
          </cell>
          <cell r="C495">
            <v>47</v>
          </cell>
          <cell r="D495" t="str">
            <v>M2</v>
          </cell>
          <cell r="E495">
            <v>1898</v>
          </cell>
          <cell r="F495">
            <v>89206</v>
          </cell>
        </row>
        <row r="496">
          <cell r="A496" t="str">
            <v>스치로폴</v>
          </cell>
          <cell r="B496" t="str">
            <v>t = 20mm</v>
          </cell>
          <cell r="C496">
            <v>39</v>
          </cell>
          <cell r="D496" t="str">
            <v>M2</v>
          </cell>
          <cell r="E496">
            <v>2441</v>
          </cell>
          <cell r="F496">
            <v>95199</v>
          </cell>
        </row>
        <row r="497">
          <cell r="A497" t="str">
            <v>17)NOTCH 설치</v>
          </cell>
          <cell r="C497">
            <v>62</v>
          </cell>
          <cell r="D497" t="str">
            <v>M</v>
          </cell>
          <cell r="E497">
            <v>10000</v>
          </cell>
          <cell r="F497">
            <v>620000</v>
          </cell>
        </row>
        <row r="498">
          <cell r="A498" t="str">
            <v>18)부 직 포</v>
          </cell>
          <cell r="C498">
            <v>92</v>
          </cell>
          <cell r="D498" t="str">
            <v>㎡</v>
          </cell>
          <cell r="E498">
            <v>1604</v>
          </cell>
          <cell r="F498">
            <v>147568</v>
          </cell>
        </row>
        <row r="499">
          <cell r="A499" t="str">
            <v>19)드레인보드</v>
          </cell>
          <cell r="C499">
            <v>92</v>
          </cell>
          <cell r="D499" t="str">
            <v>㎡</v>
          </cell>
          <cell r="E499">
            <v>5200</v>
          </cell>
          <cell r="F499">
            <v>478400</v>
          </cell>
        </row>
        <row r="500">
          <cell r="A500" t="str">
            <v>20)P.V.C PIPE</v>
          </cell>
          <cell r="B500" t="str">
            <v>φ100mm</v>
          </cell>
          <cell r="C500">
            <v>3</v>
          </cell>
          <cell r="D500" t="str">
            <v>M</v>
          </cell>
          <cell r="E500">
            <v>4473</v>
          </cell>
          <cell r="F500">
            <v>13419</v>
          </cell>
        </row>
        <row r="501">
          <cell r="A501" t="str">
            <v>21)배면방수(아스팔트 코팅)</v>
          </cell>
          <cell r="C501">
            <v>407</v>
          </cell>
          <cell r="D501" t="str">
            <v>M2</v>
          </cell>
          <cell r="E501">
            <v>4406</v>
          </cell>
          <cell r="F501">
            <v>1793242</v>
          </cell>
        </row>
        <row r="502">
          <cell r="A502" t="str">
            <v>22)난 간</v>
          </cell>
          <cell r="B502" t="str">
            <v>알미늄, H=0.65m</v>
          </cell>
          <cell r="C502">
            <v>43</v>
          </cell>
          <cell r="D502" t="str">
            <v>m</v>
          </cell>
          <cell r="E502">
            <v>85000</v>
          </cell>
          <cell r="F502">
            <v>3655000</v>
          </cell>
        </row>
        <row r="503">
          <cell r="A503" t="str">
            <v>23)교  면   포  장</v>
          </cell>
        </row>
        <row r="504">
          <cell r="A504" t="str">
            <v>택 코 팅</v>
          </cell>
          <cell r="B504" t="str">
            <v>RSC-4, 30ℓ/a</v>
          </cell>
          <cell r="C504">
            <v>4</v>
          </cell>
          <cell r="D504" t="str">
            <v>a</v>
          </cell>
          <cell r="E504">
            <v>17382</v>
          </cell>
          <cell r="F504">
            <v>69528</v>
          </cell>
        </row>
        <row r="505">
          <cell r="A505" t="str">
            <v>아스콘포장</v>
          </cell>
          <cell r="B505" t="str">
            <v>표층, t=8.0㎝</v>
          </cell>
          <cell r="C505">
            <v>4</v>
          </cell>
          <cell r="D505" t="str">
            <v>a</v>
          </cell>
          <cell r="E505">
            <v>55854</v>
          </cell>
          <cell r="F505">
            <v>223416</v>
          </cell>
        </row>
        <row r="506">
          <cell r="A506" t="str">
            <v>소길교 (RAHMEN)</v>
          </cell>
        </row>
        <row r="507">
          <cell r="A507" t="str">
            <v>1) 구조물 터파기</v>
          </cell>
        </row>
        <row r="508">
          <cell r="A508" t="str">
            <v>구조물 터파기</v>
          </cell>
          <cell r="B508" t="str">
            <v>(육상토사,0~2m)</v>
          </cell>
          <cell r="C508">
            <v>2362</v>
          </cell>
          <cell r="D508" t="str">
            <v>㎥</v>
          </cell>
          <cell r="E508">
            <v>3161</v>
          </cell>
          <cell r="F508">
            <v>7466282</v>
          </cell>
        </row>
        <row r="509">
          <cell r="A509" t="str">
            <v>구조물 터파기</v>
          </cell>
          <cell r="B509" t="str">
            <v>(육상토사,2~4m)</v>
          </cell>
          <cell r="C509">
            <v>1566</v>
          </cell>
          <cell r="D509" t="str">
            <v>㎥</v>
          </cell>
          <cell r="E509">
            <v>4598</v>
          </cell>
          <cell r="F509">
            <v>7200468</v>
          </cell>
        </row>
        <row r="510">
          <cell r="A510" t="str">
            <v>구조물 터파기</v>
          </cell>
          <cell r="B510" t="str">
            <v>(육상토사,4~6m)</v>
          </cell>
          <cell r="C510">
            <v>1134</v>
          </cell>
          <cell r="D510" t="str">
            <v>㎥</v>
          </cell>
          <cell r="E510">
            <v>6133</v>
          </cell>
          <cell r="F510">
            <v>6954822</v>
          </cell>
        </row>
        <row r="511">
          <cell r="A511" t="str">
            <v>구조물 터파기</v>
          </cell>
          <cell r="B511" t="str">
            <v>(육상토사,6~8m)</v>
          </cell>
          <cell r="C511">
            <v>187</v>
          </cell>
          <cell r="D511" t="str">
            <v>㎥</v>
          </cell>
          <cell r="E511">
            <v>7968</v>
          </cell>
          <cell r="F511">
            <v>1490016</v>
          </cell>
        </row>
        <row r="512">
          <cell r="A512" t="str">
            <v>2)되메우기 및 다짐</v>
          </cell>
          <cell r="C512">
            <v>3685</v>
          </cell>
          <cell r="D512" t="str">
            <v>M3</v>
          </cell>
          <cell r="E512">
            <v>3385</v>
          </cell>
          <cell r="F512">
            <v>12473725</v>
          </cell>
        </row>
        <row r="513">
          <cell r="A513" t="str">
            <v>3)뒷 채 움</v>
          </cell>
          <cell r="B513" t="str">
            <v>(보조기층재)</v>
          </cell>
          <cell r="C513">
            <v>1577</v>
          </cell>
          <cell r="D513" t="str">
            <v>㎥</v>
          </cell>
          <cell r="E513">
            <v>16460</v>
          </cell>
          <cell r="F513">
            <v>25957420</v>
          </cell>
        </row>
        <row r="514">
          <cell r="A514" t="str">
            <v>4) 콘크리트타설</v>
          </cell>
        </row>
        <row r="515">
          <cell r="A515" t="str">
            <v>콘크리트 타설</v>
          </cell>
          <cell r="B515" t="str">
            <v>(무근구조물)</v>
          </cell>
          <cell r="C515">
            <v>43</v>
          </cell>
          <cell r="D515" t="str">
            <v>㎥</v>
          </cell>
          <cell r="E515">
            <v>20803</v>
          </cell>
          <cell r="F515">
            <v>894529</v>
          </cell>
        </row>
        <row r="516">
          <cell r="A516" t="str">
            <v>콘크리트 타설</v>
          </cell>
          <cell r="B516" t="str">
            <v>(철근,진동기,펌프카)</v>
          </cell>
          <cell r="C516">
            <v>1577</v>
          </cell>
          <cell r="D516" t="str">
            <v>㎥</v>
          </cell>
          <cell r="E516">
            <v>10947</v>
          </cell>
          <cell r="F516">
            <v>17263419</v>
          </cell>
        </row>
        <row r="517">
          <cell r="A517" t="str">
            <v>5) 거푸집공</v>
          </cell>
        </row>
        <row r="518">
          <cell r="A518" t="str">
            <v>합판 거푸집</v>
          </cell>
          <cell r="B518" t="str">
            <v>(3회, 0~ 7m)</v>
          </cell>
          <cell r="C518">
            <v>685</v>
          </cell>
          <cell r="D518" t="str">
            <v>㎡</v>
          </cell>
          <cell r="E518">
            <v>22050</v>
          </cell>
          <cell r="F518">
            <v>15104250</v>
          </cell>
        </row>
        <row r="519">
          <cell r="A519" t="str">
            <v>합판 거푸집</v>
          </cell>
          <cell r="B519" t="str">
            <v>(3회, 7~10m)</v>
          </cell>
          <cell r="C519">
            <v>103</v>
          </cell>
          <cell r="D519" t="str">
            <v>M2</v>
          </cell>
          <cell r="E519">
            <v>23476</v>
          </cell>
          <cell r="F519">
            <v>2418028</v>
          </cell>
        </row>
        <row r="520">
          <cell r="A520" t="str">
            <v>합판 거푸집</v>
          </cell>
          <cell r="B520" t="str">
            <v>(4회)</v>
          </cell>
          <cell r="C520">
            <v>262</v>
          </cell>
          <cell r="D520" t="str">
            <v>㎡</v>
          </cell>
          <cell r="E520">
            <v>19038</v>
          </cell>
          <cell r="F520">
            <v>4987956</v>
          </cell>
        </row>
        <row r="521">
          <cell r="A521" t="str">
            <v>합판 거푸집</v>
          </cell>
          <cell r="B521" t="str">
            <v>(6회)</v>
          </cell>
          <cell r="C521">
            <v>25</v>
          </cell>
          <cell r="D521" t="str">
            <v>㎡</v>
          </cell>
          <cell r="E521">
            <v>15879</v>
          </cell>
          <cell r="F521">
            <v>396975</v>
          </cell>
        </row>
        <row r="522">
          <cell r="A522" t="str">
            <v>무늬거푸집</v>
          </cell>
          <cell r="C522">
            <v>144</v>
          </cell>
          <cell r="D522" t="str">
            <v>M2</v>
          </cell>
          <cell r="E522">
            <v>29285</v>
          </cell>
          <cell r="F522">
            <v>4217040</v>
          </cell>
        </row>
        <row r="523">
          <cell r="A523" t="str">
            <v>코팅 거푸집</v>
          </cell>
          <cell r="B523" t="str">
            <v>(3회)</v>
          </cell>
          <cell r="C523">
            <v>1130</v>
          </cell>
          <cell r="D523" t="str">
            <v>㎡</v>
          </cell>
          <cell r="E523">
            <v>22050</v>
          </cell>
          <cell r="F523">
            <v>24916500</v>
          </cell>
        </row>
        <row r="524">
          <cell r="A524" t="str">
            <v>원형거푸집 3회</v>
          </cell>
          <cell r="C524">
            <v>18</v>
          </cell>
          <cell r="D524" t="str">
            <v>M2</v>
          </cell>
          <cell r="E524">
            <v>48522</v>
          </cell>
          <cell r="F524">
            <v>873396</v>
          </cell>
        </row>
        <row r="525">
          <cell r="A525" t="str">
            <v>6) 강관 비계</v>
          </cell>
          <cell r="C525">
            <v>810</v>
          </cell>
          <cell r="D525" t="str">
            <v>㎡</v>
          </cell>
          <cell r="E525">
            <v>10525</v>
          </cell>
          <cell r="F525">
            <v>8525250</v>
          </cell>
        </row>
        <row r="526">
          <cell r="A526" t="str">
            <v>7) 동바리공</v>
          </cell>
        </row>
        <row r="527">
          <cell r="A527" t="str">
            <v>강관 동바리</v>
          </cell>
          <cell r="B527" t="str">
            <v>(교량구조물용)</v>
          </cell>
          <cell r="C527">
            <v>2696</v>
          </cell>
          <cell r="D527" t="str">
            <v>공㎥</v>
          </cell>
          <cell r="E527">
            <v>17339</v>
          </cell>
          <cell r="F527">
            <v>46745944</v>
          </cell>
        </row>
        <row r="528">
          <cell r="A528" t="str">
            <v>8)표면처리</v>
          </cell>
        </row>
        <row r="529">
          <cell r="A529" t="str">
            <v>슬라브 양생</v>
          </cell>
          <cell r="B529" t="str">
            <v>(피막양생)</v>
          </cell>
          <cell r="C529">
            <v>447</v>
          </cell>
          <cell r="D529" t="str">
            <v>㎡</v>
          </cell>
          <cell r="E529">
            <v>313</v>
          </cell>
          <cell r="F529">
            <v>139911</v>
          </cell>
        </row>
        <row r="530">
          <cell r="A530" t="str">
            <v>면고르기</v>
          </cell>
          <cell r="B530" t="str">
            <v>(교량슬라브면)</v>
          </cell>
          <cell r="C530">
            <v>447</v>
          </cell>
          <cell r="D530" t="str">
            <v>㎡</v>
          </cell>
          <cell r="E530">
            <v>544</v>
          </cell>
          <cell r="F530">
            <v>243168</v>
          </cell>
        </row>
        <row r="531">
          <cell r="A531" t="str">
            <v>교면 방수</v>
          </cell>
          <cell r="B531" t="str">
            <v>(침투식)</v>
          </cell>
          <cell r="C531">
            <v>447</v>
          </cell>
          <cell r="D531" t="str">
            <v>㎡</v>
          </cell>
          <cell r="E531">
            <v>2785</v>
          </cell>
          <cell r="F531">
            <v>1244895</v>
          </cell>
        </row>
        <row r="532">
          <cell r="A532" t="str">
            <v>9)교명판 및 설명판</v>
          </cell>
        </row>
        <row r="533">
          <cell r="A533" t="str">
            <v>교명주</v>
          </cell>
          <cell r="B533" t="str">
            <v>(화강석,600×600×1250mm)</v>
          </cell>
          <cell r="C533">
            <v>4</v>
          </cell>
          <cell r="D533" t="str">
            <v>개소</v>
          </cell>
          <cell r="E533">
            <v>1300000</v>
          </cell>
          <cell r="F533">
            <v>5200000</v>
          </cell>
        </row>
        <row r="534">
          <cell r="A534" t="str">
            <v>교명판</v>
          </cell>
          <cell r="B534" t="str">
            <v>(황동,450×200×10㎜)</v>
          </cell>
          <cell r="C534">
            <v>2</v>
          </cell>
          <cell r="D534" t="str">
            <v>개</v>
          </cell>
          <cell r="E534">
            <v>82000</v>
          </cell>
          <cell r="F534">
            <v>164000</v>
          </cell>
        </row>
        <row r="535">
          <cell r="A535" t="str">
            <v>설명판</v>
          </cell>
          <cell r="B535" t="str">
            <v>(황동,350×250×10㎜)</v>
          </cell>
          <cell r="C535">
            <v>2</v>
          </cell>
          <cell r="D535" t="str">
            <v>개</v>
          </cell>
          <cell r="E535">
            <v>45000</v>
          </cell>
          <cell r="F535">
            <v>90000</v>
          </cell>
        </row>
        <row r="536">
          <cell r="A536" t="str">
            <v>10)측량 기준점 설치</v>
          </cell>
          <cell r="C536">
            <v>1</v>
          </cell>
          <cell r="D536" t="str">
            <v>개</v>
          </cell>
          <cell r="E536">
            <v>25007</v>
          </cell>
          <cell r="F536">
            <v>25007</v>
          </cell>
        </row>
        <row r="537">
          <cell r="A537" t="str">
            <v>11)전 선 관</v>
          </cell>
          <cell r="B537" t="str">
            <v>(강관φ100mm)</v>
          </cell>
          <cell r="C537">
            <v>67</v>
          </cell>
          <cell r="D537" t="str">
            <v>m</v>
          </cell>
          <cell r="E537">
            <v>29640</v>
          </cell>
          <cell r="F537">
            <v>1985880</v>
          </cell>
        </row>
        <row r="538">
          <cell r="A538" t="str">
            <v>12)철근가공조립</v>
          </cell>
        </row>
        <row r="539">
          <cell r="A539" t="str">
            <v>철근가공 및 조립</v>
          </cell>
          <cell r="B539" t="str">
            <v>보 통</v>
          </cell>
          <cell r="C539">
            <v>33.021000000000001</v>
          </cell>
          <cell r="D539" t="str">
            <v>TON</v>
          </cell>
          <cell r="E539">
            <v>363984</v>
          </cell>
          <cell r="F539">
            <v>12019115</v>
          </cell>
        </row>
        <row r="540">
          <cell r="A540" t="str">
            <v>철근가공 및 조립</v>
          </cell>
          <cell r="B540" t="str">
            <v>복 잡</v>
          </cell>
          <cell r="C540">
            <v>190.09100000000001</v>
          </cell>
          <cell r="D540" t="str">
            <v>TON</v>
          </cell>
          <cell r="E540">
            <v>456666</v>
          </cell>
          <cell r="F540">
            <v>86808096</v>
          </cell>
        </row>
        <row r="541">
          <cell r="A541" t="str">
            <v>13)다웰바 설치</v>
          </cell>
          <cell r="C541">
            <v>116</v>
          </cell>
          <cell r="D541" t="str">
            <v>EA</v>
          </cell>
          <cell r="E541">
            <v>6278</v>
          </cell>
          <cell r="F541">
            <v>728248</v>
          </cell>
        </row>
        <row r="542">
          <cell r="A542" t="str">
            <v>14)타르페이퍼 설치</v>
          </cell>
          <cell r="B542" t="str">
            <v>t = 5mm</v>
          </cell>
          <cell r="C542">
            <v>14</v>
          </cell>
          <cell r="D542" t="str">
            <v>M2</v>
          </cell>
          <cell r="E542">
            <v>13117</v>
          </cell>
          <cell r="F542">
            <v>183638</v>
          </cell>
        </row>
        <row r="543">
          <cell r="A543" t="str">
            <v>15)스페이서 설치</v>
          </cell>
        </row>
        <row r="544">
          <cell r="A544" t="str">
            <v>스페이서 설치</v>
          </cell>
          <cell r="B544" t="str">
            <v>수직부</v>
          </cell>
          <cell r="C544">
            <v>1080</v>
          </cell>
          <cell r="D544" t="str">
            <v>M2</v>
          </cell>
          <cell r="E544">
            <v>230</v>
          </cell>
          <cell r="F544">
            <v>248400</v>
          </cell>
        </row>
        <row r="545">
          <cell r="A545" t="str">
            <v>스페이서 설치</v>
          </cell>
          <cell r="B545" t="str">
            <v>수평부</v>
          </cell>
          <cell r="C545">
            <v>830</v>
          </cell>
          <cell r="D545" t="str">
            <v>M2</v>
          </cell>
          <cell r="E545">
            <v>230</v>
          </cell>
          <cell r="F545">
            <v>190900</v>
          </cell>
        </row>
        <row r="546">
          <cell r="A546" t="str">
            <v>16)스치로폴 채움</v>
          </cell>
        </row>
        <row r="547">
          <cell r="A547" t="str">
            <v>스치로폴</v>
          </cell>
          <cell r="B547" t="str">
            <v>t = 10mm</v>
          </cell>
          <cell r="C547">
            <v>56</v>
          </cell>
          <cell r="D547" t="str">
            <v>M2</v>
          </cell>
          <cell r="E547">
            <v>1898</v>
          </cell>
          <cell r="F547">
            <v>106288</v>
          </cell>
        </row>
        <row r="548">
          <cell r="A548" t="str">
            <v>스치로폴</v>
          </cell>
          <cell r="B548" t="str">
            <v>t = 20mm</v>
          </cell>
          <cell r="C548">
            <v>19</v>
          </cell>
          <cell r="D548" t="str">
            <v>M2</v>
          </cell>
          <cell r="E548">
            <v>2441</v>
          </cell>
          <cell r="F548">
            <v>46379</v>
          </cell>
        </row>
        <row r="549">
          <cell r="A549" t="str">
            <v>17)NOTCH 설치</v>
          </cell>
          <cell r="C549">
            <v>62</v>
          </cell>
          <cell r="D549" t="str">
            <v>M</v>
          </cell>
          <cell r="E549">
            <v>10000</v>
          </cell>
          <cell r="F549">
            <v>620000</v>
          </cell>
        </row>
        <row r="550">
          <cell r="A550" t="str">
            <v>18)부 직 포</v>
          </cell>
          <cell r="C550">
            <v>77</v>
          </cell>
          <cell r="D550" t="str">
            <v>㎡</v>
          </cell>
          <cell r="E550">
            <v>1604</v>
          </cell>
          <cell r="F550">
            <v>123508</v>
          </cell>
        </row>
        <row r="551">
          <cell r="A551" t="str">
            <v>19)드레인보드</v>
          </cell>
          <cell r="C551">
            <v>77</v>
          </cell>
          <cell r="D551" t="str">
            <v>㎡</v>
          </cell>
          <cell r="E551">
            <v>5200</v>
          </cell>
          <cell r="F551">
            <v>400400</v>
          </cell>
        </row>
        <row r="552">
          <cell r="A552" t="str">
            <v>20)P.V.C PIPE</v>
          </cell>
          <cell r="B552" t="str">
            <v>φ100mm</v>
          </cell>
          <cell r="C552">
            <v>3</v>
          </cell>
          <cell r="D552" t="str">
            <v>M</v>
          </cell>
          <cell r="E552">
            <v>4473</v>
          </cell>
          <cell r="F552">
            <v>13419</v>
          </cell>
        </row>
        <row r="553">
          <cell r="A553" t="str">
            <v>21)배면방수(아스팔트 코팅)</v>
          </cell>
          <cell r="C553">
            <v>430</v>
          </cell>
          <cell r="D553" t="str">
            <v>M2</v>
          </cell>
          <cell r="E553">
            <v>4406</v>
          </cell>
          <cell r="F553">
            <v>1894580</v>
          </cell>
        </row>
        <row r="554">
          <cell r="A554" t="str">
            <v>22)난 간</v>
          </cell>
          <cell r="B554" t="str">
            <v>알미늄, H=0.65m</v>
          </cell>
          <cell r="C554">
            <v>43</v>
          </cell>
          <cell r="D554" t="str">
            <v>m</v>
          </cell>
          <cell r="E554">
            <v>85000</v>
          </cell>
          <cell r="F554">
            <v>3655000</v>
          </cell>
        </row>
        <row r="555">
          <cell r="A555" t="str">
            <v>23)교  면   포  장</v>
          </cell>
        </row>
        <row r="556">
          <cell r="A556" t="str">
            <v>택 코 팅</v>
          </cell>
          <cell r="B556" t="str">
            <v>RSC-4, 30ℓ/a</v>
          </cell>
          <cell r="C556">
            <v>4</v>
          </cell>
          <cell r="D556" t="str">
            <v>a</v>
          </cell>
          <cell r="E556">
            <v>17382</v>
          </cell>
          <cell r="F556">
            <v>69528</v>
          </cell>
        </row>
        <row r="557">
          <cell r="A557" t="str">
            <v>아스콘포장</v>
          </cell>
          <cell r="B557" t="str">
            <v>표층, t=8.0㎝</v>
          </cell>
          <cell r="C557">
            <v>4</v>
          </cell>
          <cell r="D557" t="str">
            <v>a</v>
          </cell>
          <cell r="E557">
            <v>55854</v>
          </cell>
          <cell r="F557">
            <v>223416</v>
          </cell>
        </row>
        <row r="558">
          <cell r="A558" t="str">
            <v>원동1교 (RAHMEN)</v>
          </cell>
        </row>
        <row r="559">
          <cell r="A559" t="str">
            <v>1) 구조물 터파기</v>
          </cell>
        </row>
        <row r="560">
          <cell r="A560" t="str">
            <v>구조물 터파기</v>
          </cell>
          <cell r="B560" t="str">
            <v>(육상토사,0~2m)</v>
          </cell>
          <cell r="C560">
            <v>3358</v>
          </cell>
          <cell r="D560" t="str">
            <v>㎥</v>
          </cell>
          <cell r="E560">
            <v>3161</v>
          </cell>
          <cell r="F560">
            <v>10614638</v>
          </cell>
        </row>
        <row r="561">
          <cell r="A561" t="str">
            <v>구조물 터파기</v>
          </cell>
          <cell r="B561" t="str">
            <v>(육상토사,2~4m)</v>
          </cell>
          <cell r="C561">
            <v>2084</v>
          </cell>
          <cell r="D561" t="str">
            <v>㎥</v>
          </cell>
          <cell r="E561">
            <v>4598</v>
          </cell>
          <cell r="F561">
            <v>9582232</v>
          </cell>
        </row>
        <row r="562">
          <cell r="A562" t="str">
            <v>구조물 터파기</v>
          </cell>
          <cell r="B562" t="str">
            <v>(육상토사,4~6m)</v>
          </cell>
          <cell r="C562">
            <v>346</v>
          </cell>
          <cell r="D562" t="str">
            <v>㎥</v>
          </cell>
          <cell r="E562">
            <v>6133</v>
          </cell>
          <cell r="F562">
            <v>2122018</v>
          </cell>
        </row>
        <row r="563">
          <cell r="A563" t="str">
            <v>구조물 터파기</v>
          </cell>
          <cell r="B563" t="str">
            <v>(육상토사,6~8m)</v>
          </cell>
          <cell r="C563">
            <v>131</v>
          </cell>
          <cell r="D563" t="str">
            <v>㎥</v>
          </cell>
          <cell r="E563">
            <v>7968</v>
          </cell>
          <cell r="F563">
            <v>1043808</v>
          </cell>
        </row>
        <row r="564">
          <cell r="A564" t="str">
            <v>2)되메우기 및 다짐</v>
          </cell>
          <cell r="C564">
            <v>4909</v>
          </cell>
          <cell r="D564" t="str">
            <v>M3</v>
          </cell>
          <cell r="E564">
            <v>3385</v>
          </cell>
          <cell r="F564">
            <v>16616965</v>
          </cell>
        </row>
        <row r="565">
          <cell r="A565" t="str">
            <v>3)뒷 채 움</v>
          </cell>
          <cell r="B565" t="str">
            <v>(보조기층재)</v>
          </cell>
          <cell r="C565">
            <v>2240</v>
          </cell>
          <cell r="D565" t="str">
            <v>㎥</v>
          </cell>
          <cell r="E565">
            <v>16460</v>
          </cell>
          <cell r="F565">
            <v>36870400</v>
          </cell>
        </row>
        <row r="566">
          <cell r="A566" t="str">
            <v>4) 콘크리트타설</v>
          </cell>
        </row>
        <row r="567">
          <cell r="A567" t="str">
            <v>콘크리트 타설</v>
          </cell>
          <cell r="B567" t="str">
            <v>(무근구조물)</v>
          </cell>
          <cell r="C567">
            <v>193</v>
          </cell>
          <cell r="D567" t="str">
            <v>㎥</v>
          </cell>
          <cell r="E567">
            <v>20803</v>
          </cell>
          <cell r="F567">
            <v>4014979</v>
          </cell>
        </row>
        <row r="568">
          <cell r="A568" t="str">
            <v>콘크리트 타설</v>
          </cell>
          <cell r="B568" t="str">
            <v>(철근,진동기,펌프카)</v>
          </cell>
          <cell r="C568">
            <v>1901</v>
          </cell>
          <cell r="D568" t="str">
            <v>㎥</v>
          </cell>
          <cell r="E568">
            <v>10947</v>
          </cell>
          <cell r="F568">
            <v>20810247</v>
          </cell>
        </row>
        <row r="569">
          <cell r="A569" t="str">
            <v>5) 거푸집공</v>
          </cell>
        </row>
        <row r="570">
          <cell r="A570" t="str">
            <v>합판 거푸집</v>
          </cell>
          <cell r="B570" t="str">
            <v>(3회, 0~ 7m)</v>
          </cell>
          <cell r="C570">
            <v>568</v>
          </cell>
          <cell r="D570" t="str">
            <v>㎡</v>
          </cell>
          <cell r="E570">
            <v>22050</v>
          </cell>
          <cell r="F570">
            <v>12524400</v>
          </cell>
        </row>
        <row r="571">
          <cell r="A571" t="str">
            <v>합판 거푸집</v>
          </cell>
          <cell r="B571" t="str">
            <v>(3회, 7~10m)</v>
          </cell>
          <cell r="C571">
            <v>500</v>
          </cell>
          <cell r="D571" t="str">
            <v>M2</v>
          </cell>
          <cell r="E571">
            <v>23476</v>
          </cell>
          <cell r="F571">
            <v>11738000</v>
          </cell>
        </row>
        <row r="572">
          <cell r="A572" t="str">
            <v>합판 거푸집</v>
          </cell>
          <cell r="B572" t="str">
            <v>(4회)</v>
          </cell>
          <cell r="C572">
            <v>262</v>
          </cell>
          <cell r="D572" t="str">
            <v>㎡</v>
          </cell>
          <cell r="E572">
            <v>19038</v>
          </cell>
          <cell r="F572">
            <v>4987956</v>
          </cell>
        </row>
        <row r="573">
          <cell r="A573" t="str">
            <v>합판 거푸집</v>
          </cell>
          <cell r="B573" t="str">
            <v>(6회)</v>
          </cell>
          <cell r="C573">
            <v>20</v>
          </cell>
          <cell r="D573" t="str">
            <v>㎡</v>
          </cell>
          <cell r="E573">
            <v>15879</v>
          </cell>
          <cell r="F573">
            <v>317580</v>
          </cell>
        </row>
        <row r="574">
          <cell r="A574" t="str">
            <v>무늬거푸집</v>
          </cell>
          <cell r="C574">
            <v>59</v>
          </cell>
          <cell r="D574" t="str">
            <v>M2</v>
          </cell>
          <cell r="E574">
            <v>29285</v>
          </cell>
          <cell r="F574">
            <v>1727815</v>
          </cell>
        </row>
        <row r="575">
          <cell r="A575" t="str">
            <v>코팅 거푸집</v>
          </cell>
          <cell r="B575" t="str">
            <v>(3회)</v>
          </cell>
          <cell r="C575">
            <v>1584</v>
          </cell>
          <cell r="D575" t="str">
            <v>㎡</v>
          </cell>
          <cell r="E575">
            <v>22050</v>
          </cell>
          <cell r="F575">
            <v>34927200</v>
          </cell>
        </row>
        <row r="576">
          <cell r="A576" t="str">
            <v>원형거푸집 3회</v>
          </cell>
          <cell r="C576">
            <v>34</v>
          </cell>
          <cell r="D576" t="str">
            <v>M2</v>
          </cell>
          <cell r="E576">
            <v>48522</v>
          </cell>
          <cell r="F576">
            <v>1649748</v>
          </cell>
        </row>
        <row r="577">
          <cell r="A577" t="str">
            <v>6) 강관 비계</v>
          </cell>
          <cell r="C577">
            <v>762</v>
          </cell>
          <cell r="D577" t="str">
            <v>㎡</v>
          </cell>
          <cell r="E577">
            <v>10525</v>
          </cell>
          <cell r="F577">
            <v>8020050</v>
          </cell>
        </row>
        <row r="578">
          <cell r="A578" t="str">
            <v>7) 동바리공</v>
          </cell>
        </row>
        <row r="579">
          <cell r="A579" t="str">
            <v>강관 동바리</v>
          </cell>
          <cell r="B579" t="str">
            <v>(교량구조물용)</v>
          </cell>
          <cell r="C579">
            <v>4454</v>
          </cell>
          <cell r="D579" t="str">
            <v>공㎥</v>
          </cell>
          <cell r="E579">
            <v>17339</v>
          </cell>
          <cell r="F579">
            <v>77227906</v>
          </cell>
        </row>
        <row r="580">
          <cell r="A580" t="str">
            <v>8)표면처리</v>
          </cell>
        </row>
        <row r="581">
          <cell r="A581" t="str">
            <v>슬라브 양생</v>
          </cell>
          <cell r="B581" t="str">
            <v>(피막양생)</v>
          </cell>
          <cell r="C581">
            <v>612</v>
          </cell>
          <cell r="D581" t="str">
            <v>㎡</v>
          </cell>
          <cell r="E581">
            <v>313</v>
          </cell>
          <cell r="F581">
            <v>191556</v>
          </cell>
        </row>
        <row r="582">
          <cell r="A582" t="str">
            <v>면고르기</v>
          </cell>
          <cell r="B582" t="str">
            <v>(교량슬라브면)</v>
          </cell>
          <cell r="C582">
            <v>612</v>
          </cell>
          <cell r="D582" t="str">
            <v>㎡</v>
          </cell>
          <cell r="E582">
            <v>544</v>
          </cell>
          <cell r="F582">
            <v>332928</v>
          </cell>
        </row>
        <row r="583">
          <cell r="A583" t="str">
            <v>교면 방수</v>
          </cell>
          <cell r="B583" t="str">
            <v>(침투식)</v>
          </cell>
          <cell r="C583">
            <v>612</v>
          </cell>
          <cell r="D583" t="str">
            <v>㎡</v>
          </cell>
          <cell r="E583">
            <v>2785</v>
          </cell>
          <cell r="F583">
            <v>1704420</v>
          </cell>
        </row>
        <row r="584">
          <cell r="A584" t="str">
            <v>9)교명판 및 설명판</v>
          </cell>
        </row>
        <row r="585">
          <cell r="A585" t="str">
            <v>교명주</v>
          </cell>
          <cell r="B585" t="str">
            <v>(화강석,600×600×1250mm)</v>
          </cell>
          <cell r="C585">
            <v>4</v>
          </cell>
          <cell r="D585" t="str">
            <v>개소</v>
          </cell>
          <cell r="E585">
            <v>1300000</v>
          </cell>
          <cell r="F585">
            <v>5200000</v>
          </cell>
        </row>
        <row r="586">
          <cell r="A586" t="str">
            <v>교명판</v>
          </cell>
          <cell r="B586" t="str">
            <v>(황동,450×200×10㎜)</v>
          </cell>
          <cell r="C586">
            <v>2</v>
          </cell>
          <cell r="D586" t="str">
            <v>개</v>
          </cell>
          <cell r="E586">
            <v>82000</v>
          </cell>
          <cell r="F586">
            <v>164000</v>
          </cell>
        </row>
        <row r="587">
          <cell r="A587" t="str">
            <v>설명판</v>
          </cell>
          <cell r="B587" t="str">
            <v>(황동,350×250×10㎜)</v>
          </cell>
          <cell r="C587">
            <v>2</v>
          </cell>
          <cell r="D587" t="str">
            <v>개</v>
          </cell>
          <cell r="E587">
            <v>45000</v>
          </cell>
          <cell r="F587">
            <v>90000</v>
          </cell>
        </row>
        <row r="588">
          <cell r="A588" t="str">
            <v>10)측량 기준점 설치</v>
          </cell>
          <cell r="C588">
            <v>1</v>
          </cell>
          <cell r="D588" t="str">
            <v>개</v>
          </cell>
          <cell r="E588">
            <v>25007</v>
          </cell>
          <cell r="F588">
            <v>25007</v>
          </cell>
        </row>
        <row r="589">
          <cell r="A589" t="str">
            <v>11)전 선 관</v>
          </cell>
          <cell r="B589" t="str">
            <v>(강관φ100mm)</v>
          </cell>
          <cell r="C589">
            <v>64</v>
          </cell>
          <cell r="D589" t="str">
            <v>m</v>
          </cell>
          <cell r="E589">
            <v>29640</v>
          </cell>
          <cell r="F589">
            <v>1896960</v>
          </cell>
        </row>
        <row r="590">
          <cell r="A590" t="str">
            <v>12)철근가공조립</v>
          </cell>
        </row>
        <row r="591">
          <cell r="A591" t="str">
            <v>철근가공 및 조립</v>
          </cell>
          <cell r="B591" t="str">
            <v>보 통</v>
          </cell>
          <cell r="C591">
            <v>22.552</v>
          </cell>
          <cell r="D591" t="str">
            <v>TON</v>
          </cell>
          <cell r="E591">
            <v>363984</v>
          </cell>
          <cell r="F591">
            <v>8208567</v>
          </cell>
        </row>
        <row r="592">
          <cell r="A592" t="str">
            <v>철근가공 및 조립</v>
          </cell>
          <cell r="B592" t="str">
            <v>복 잡</v>
          </cell>
          <cell r="C592">
            <v>182.74199999999999</v>
          </cell>
          <cell r="D592" t="str">
            <v>TON</v>
          </cell>
          <cell r="E592">
            <v>456666</v>
          </cell>
          <cell r="F592">
            <v>83452058</v>
          </cell>
        </row>
        <row r="593">
          <cell r="A593" t="str">
            <v>13)다웰바 설치</v>
          </cell>
          <cell r="C593">
            <v>122</v>
          </cell>
          <cell r="D593" t="str">
            <v>EA</v>
          </cell>
          <cell r="E593">
            <v>6278</v>
          </cell>
          <cell r="F593">
            <v>765916</v>
          </cell>
        </row>
        <row r="594">
          <cell r="A594" t="str">
            <v>14)타르페이퍼 설치</v>
          </cell>
          <cell r="B594" t="str">
            <v>t = 5mm</v>
          </cell>
          <cell r="C594">
            <v>32</v>
          </cell>
          <cell r="D594" t="str">
            <v>M2</v>
          </cell>
          <cell r="E594">
            <v>13117</v>
          </cell>
          <cell r="F594">
            <v>419744</v>
          </cell>
        </row>
        <row r="595">
          <cell r="A595" t="str">
            <v>15)스페이서 설치</v>
          </cell>
        </row>
        <row r="596">
          <cell r="A596" t="str">
            <v>스페이서 설치</v>
          </cell>
          <cell r="B596" t="str">
            <v>수직부</v>
          </cell>
          <cell r="C596">
            <v>1057</v>
          </cell>
          <cell r="D596" t="str">
            <v>M2</v>
          </cell>
          <cell r="E596">
            <v>230</v>
          </cell>
          <cell r="F596">
            <v>243110</v>
          </cell>
        </row>
        <row r="597">
          <cell r="A597" t="str">
            <v>스페이서 설치</v>
          </cell>
          <cell r="B597" t="str">
            <v>수평부</v>
          </cell>
          <cell r="C597">
            <v>1028</v>
          </cell>
          <cell r="D597" t="str">
            <v>M2</v>
          </cell>
          <cell r="E597">
            <v>230</v>
          </cell>
          <cell r="F597">
            <v>236440</v>
          </cell>
        </row>
        <row r="598">
          <cell r="A598" t="str">
            <v>16)스치로폴 채움</v>
          </cell>
        </row>
        <row r="599">
          <cell r="A599" t="str">
            <v>스치로폴</v>
          </cell>
          <cell r="B599" t="str">
            <v>t = 10mm</v>
          </cell>
          <cell r="C599">
            <v>62</v>
          </cell>
          <cell r="D599" t="str">
            <v>M2</v>
          </cell>
          <cell r="E599">
            <v>1898</v>
          </cell>
          <cell r="F599">
            <v>117676</v>
          </cell>
        </row>
        <row r="600">
          <cell r="A600" t="str">
            <v>스치로폴</v>
          </cell>
          <cell r="B600" t="str">
            <v>t = 20mm</v>
          </cell>
          <cell r="C600">
            <v>21</v>
          </cell>
          <cell r="D600" t="str">
            <v>M2</v>
          </cell>
          <cell r="E600">
            <v>2441</v>
          </cell>
          <cell r="F600">
            <v>51261</v>
          </cell>
        </row>
        <row r="601">
          <cell r="A601" t="str">
            <v>세굴방지용 사석 채움</v>
          </cell>
          <cell r="B601" t="str">
            <v>(100㎏/개)</v>
          </cell>
          <cell r="C601">
            <v>842</v>
          </cell>
          <cell r="D601" t="str">
            <v>㎥</v>
          </cell>
          <cell r="E601">
            <v>30658</v>
          </cell>
          <cell r="F601">
            <v>25814036</v>
          </cell>
        </row>
        <row r="602">
          <cell r="A602" t="str">
            <v>17)NOTCH 설치</v>
          </cell>
          <cell r="C602">
            <v>42</v>
          </cell>
          <cell r="D602" t="str">
            <v>M</v>
          </cell>
          <cell r="E602">
            <v>10000</v>
          </cell>
          <cell r="F602">
            <v>420000</v>
          </cell>
        </row>
        <row r="603">
          <cell r="A603" t="str">
            <v>19)배면방수(아스팔트 코팅)</v>
          </cell>
          <cell r="C603">
            <v>570</v>
          </cell>
          <cell r="D603" t="str">
            <v>M2</v>
          </cell>
          <cell r="E603">
            <v>4406</v>
          </cell>
          <cell r="F603">
            <v>2511420</v>
          </cell>
        </row>
        <row r="604">
          <cell r="A604" t="str">
            <v>20)난 간</v>
          </cell>
          <cell r="B604" t="str">
            <v>알미늄, H=0.65m</v>
          </cell>
          <cell r="C604">
            <v>49</v>
          </cell>
          <cell r="D604" t="str">
            <v>m</v>
          </cell>
          <cell r="E604">
            <v>85000</v>
          </cell>
          <cell r="F604">
            <v>4165000</v>
          </cell>
        </row>
        <row r="605">
          <cell r="A605" t="str">
            <v>21)교  면   포  장</v>
          </cell>
        </row>
        <row r="606">
          <cell r="A606" t="str">
            <v>택 코 팅</v>
          </cell>
          <cell r="B606" t="str">
            <v>RSC-4, 30ℓ/a</v>
          </cell>
          <cell r="C606">
            <v>6</v>
          </cell>
          <cell r="D606" t="str">
            <v>a</v>
          </cell>
          <cell r="E606">
            <v>17382</v>
          </cell>
          <cell r="F606">
            <v>104292</v>
          </cell>
        </row>
        <row r="607">
          <cell r="A607" t="str">
            <v>아스콘포장</v>
          </cell>
          <cell r="B607" t="str">
            <v>표층, t=8.0㎝</v>
          </cell>
          <cell r="C607">
            <v>6</v>
          </cell>
          <cell r="D607" t="str">
            <v>a</v>
          </cell>
          <cell r="E607">
            <v>55854</v>
          </cell>
          <cell r="F607">
            <v>335124</v>
          </cell>
        </row>
        <row r="608">
          <cell r="A608" t="str">
            <v>원동2교 (RAHMEN)</v>
          </cell>
        </row>
        <row r="609">
          <cell r="A609" t="str">
            <v>1) 구조물 터파기</v>
          </cell>
        </row>
        <row r="610">
          <cell r="A610" t="str">
            <v>구조물 터파기</v>
          </cell>
          <cell r="B610" t="str">
            <v>(육상토사,0~2m)</v>
          </cell>
          <cell r="C610">
            <v>2125</v>
          </cell>
          <cell r="D610" t="str">
            <v>㎥</v>
          </cell>
          <cell r="E610">
            <v>3161</v>
          </cell>
          <cell r="F610">
            <v>6717125</v>
          </cell>
        </row>
        <row r="611">
          <cell r="A611" t="str">
            <v>구조물 터파기</v>
          </cell>
          <cell r="B611" t="str">
            <v>(육상토사,2~4m)</v>
          </cell>
          <cell r="C611">
            <v>1637</v>
          </cell>
          <cell r="D611" t="str">
            <v>㎥</v>
          </cell>
          <cell r="E611">
            <v>4598</v>
          </cell>
          <cell r="F611">
            <v>7526926</v>
          </cell>
        </row>
        <row r="612">
          <cell r="A612" t="str">
            <v>구조물 터파기</v>
          </cell>
          <cell r="B612" t="str">
            <v>(육상토사,4~6m)</v>
          </cell>
          <cell r="C612">
            <v>1197</v>
          </cell>
          <cell r="D612" t="str">
            <v>㎥</v>
          </cell>
          <cell r="E612">
            <v>6133</v>
          </cell>
          <cell r="F612">
            <v>7341201</v>
          </cell>
        </row>
        <row r="613">
          <cell r="A613" t="str">
            <v>구조물 터파기</v>
          </cell>
          <cell r="B613" t="str">
            <v>(육상토사,6~8m)</v>
          </cell>
          <cell r="C613">
            <v>327</v>
          </cell>
          <cell r="D613" t="str">
            <v>㎥</v>
          </cell>
          <cell r="E613">
            <v>7968</v>
          </cell>
          <cell r="F613">
            <v>2605536</v>
          </cell>
        </row>
        <row r="614">
          <cell r="A614" t="str">
            <v>2)되메우기 및 다짐</v>
          </cell>
          <cell r="C614">
            <v>3704</v>
          </cell>
          <cell r="D614" t="str">
            <v>M3</v>
          </cell>
          <cell r="E614">
            <v>3385</v>
          </cell>
          <cell r="F614">
            <v>12538040</v>
          </cell>
        </row>
        <row r="615">
          <cell r="A615" t="str">
            <v>3)뒷 채 움</v>
          </cell>
          <cell r="B615" t="str">
            <v>(보조기층재)</v>
          </cell>
          <cell r="C615">
            <v>1335</v>
          </cell>
          <cell r="D615" t="str">
            <v>㎥</v>
          </cell>
          <cell r="E615">
            <v>16460</v>
          </cell>
          <cell r="F615">
            <v>21974100</v>
          </cell>
        </row>
        <row r="616">
          <cell r="A616" t="str">
            <v>4) 콘크리트타설</v>
          </cell>
        </row>
        <row r="617">
          <cell r="A617" t="str">
            <v>콘크리트 타설</v>
          </cell>
          <cell r="B617" t="str">
            <v>(무근구조물)</v>
          </cell>
          <cell r="C617">
            <v>33</v>
          </cell>
          <cell r="D617" t="str">
            <v>㎥</v>
          </cell>
          <cell r="E617">
            <v>20803</v>
          </cell>
          <cell r="F617">
            <v>686499</v>
          </cell>
        </row>
        <row r="618">
          <cell r="A618" t="str">
            <v>콘크리트 타설</v>
          </cell>
          <cell r="B618" t="str">
            <v>(철근,진동기,펌프카)</v>
          </cell>
          <cell r="C618">
            <v>1465</v>
          </cell>
          <cell r="D618" t="str">
            <v>㎥</v>
          </cell>
          <cell r="E618">
            <v>10947</v>
          </cell>
          <cell r="F618">
            <v>16037355</v>
          </cell>
        </row>
        <row r="619">
          <cell r="A619" t="str">
            <v>5) 거푸집공</v>
          </cell>
        </row>
        <row r="620">
          <cell r="A620" t="str">
            <v>합판 거푸집</v>
          </cell>
          <cell r="B620" t="str">
            <v>(3회, 0~ 7m)</v>
          </cell>
          <cell r="C620">
            <v>496</v>
          </cell>
          <cell r="D620" t="str">
            <v>㎡</v>
          </cell>
          <cell r="E620">
            <v>22050</v>
          </cell>
          <cell r="F620">
            <v>10936800</v>
          </cell>
        </row>
        <row r="621">
          <cell r="A621" t="str">
            <v>합판 거푸집</v>
          </cell>
          <cell r="B621" t="str">
            <v>(3회, 7~10m)</v>
          </cell>
          <cell r="C621">
            <v>44</v>
          </cell>
          <cell r="D621" t="str">
            <v>M2</v>
          </cell>
          <cell r="E621">
            <v>23476</v>
          </cell>
          <cell r="F621">
            <v>1032944</v>
          </cell>
        </row>
        <row r="622">
          <cell r="A622" t="str">
            <v>합판 거푸집</v>
          </cell>
          <cell r="B622" t="str">
            <v>(4회)</v>
          </cell>
          <cell r="C622">
            <v>224</v>
          </cell>
          <cell r="D622" t="str">
            <v>㎡</v>
          </cell>
          <cell r="E622">
            <v>19038</v>
          </cell>
          <cell r="F622">
            <v>4264512</v>
          </cell>
        </row>
        <row r="623">
          <cell r="A623" t="str">
            <v>합판 거푸집</v>
          </cell>
          <cell r="B623" t="str">
            <v>(6회)</v>
          </cell>
          <cell r="C623">
            <v>17</v>
          </cell>
          <cell r="D623" t="str">
            <v>㎡</v>
          </cell>
          <cell r="E623">
            <v>15879</v>
          </cell>
          <cell r="F623">
            <v>269943</v>
          </cell>
        </row>
        <row r="624">
          <cell r="A624" t="str">
            <v>무늬거푸집</v>
          </cell>
          <cell r="C624">
            <v>59</v>
          </cell>
          <cell r="D624" t="str">
            <v>M2</v>
          </cell>
          <cell r="E624">
            <v>29285</v>
          </cell>
          <cell r="F624">
            <v>1727815</v>
          </cell>
        </row>
        <row r="625">
          <cell r="A625" t="str">
            <v>코팅 거푸집</v>
          </cell>
          <cell r="B625" t="str">
            <v>(3회)</v>
          </cell>
          <cell r="C625">
            <v>954</v>
          </cell>
          <cell r="D625" t="str">
            <v>㎡</v>
          </cell>
          <cell r="E625">
            <v>22050</v>
          </cell>
          <cell r="F625">
            <v>21035700</v>
          </cell>
        </row>
        <row r="626">
          <cell r="A626" t="str">
            <v>원형거푸집 3회</v>
          </cell>
          <cell r="C626">
            <v>9</v>
          </cell>
          <cell r="D626" t="str">
            <v>M2</v>
          </cell>
          <cell r="E626">
            <v>48522</v>
          </cell>
          <cell r="F626">
            <v>436698</v>
          </cell>
        </row>
        <row r="627">
          <cell r="A627" t="str">
            <v>6) 강관 비계</v>
          </cell>
          <cell r="C627">
            <v>813</v>
          </cell>
          <cell r="D627" t="str">
            <v>㎡</v>
          </cell>
          <cell r="E627">
            <v>10525</v>
          </cell>
          <cell r="F627">
            <v>8556825</v>
          </cell>
        </row>
        <row r="628">
          <cell r="A628" t="str">
            <v>7) 동바리공</v>
          </cell>
        </row>
        <row r="629">
          <cell r="A629" t="str">
            <v>강관 동바리</v>
          </cell>
          <cell r="B629" t="str">
            <v>(교량구조물용)</v>
          </cell>
          <cell r="C629">
            <v>2381</v>
          </cell>
          <cell r="D629" t="str">
            <v>공㎥</v>
          </cell>
          <cell r="E629">
            <v>17339</v>
          </cell>
          <cell r="F629">
            <v>41284159</v>
          </cell>
        </row>
        <row r="630">
          <cell r="A630" t="str">
            <v>8)표면처리</v>
          </cell>
        </row>
        <row r="631">
          <cell r="A631" t="str">
            <v>슬라브 양생</v>
          </cell>
          <cell r="B631" t="str">
            <v>(피막양생)</v>
          </cell>
          <cell r="C631">
            <v>453</v>
          </cell>
          <cell r="D631" t="str">
            <v>㎡</v>
          </cell>
          <cell r="E631">
            <v>313</v>
          </cell>
          <cell r="F631">
            <v>141789</v>
          </cell>
        </row>
        <row r="632">
          <cell r="A632" t="str">
            <v>면고르기</v>
          </cell>
          <cell r="B632" t="str">
            <v>(교량슬라브면)</v>
          </cell>
          <cell r="C632">
            <v>453</v>
          </cell>
          <cell r="D632" t="str">
            <v>㎡</v>
          </cell>
          <cell r="E632">
            <v>544</v>
          </cell>
          <cell r="F632">
            <v>246432</v>
          </cell>
        </row>
        <row r="633">
          <cell r="A633" t="str">
            <v>교면 방수</v>
          </cell>
          <cell r="B633" t="str">
            <v>(침투식)</v>
          </cell>
          <cell r="C633">
            <v>453</v>
          </cell>
          <cell r="D633" t="str">
            <v>㎡</v>
          </cell>
          <cell r="E633">
            <v>2785</v>
          </cell>
          <cell r="F633">
            <v>1261605</v>
          </cell>
        </row>
        <row r="634">
          <cell r="A634" t="str">
            <v>9)교명판 및 설명판</v>
          </cell>
        </row>
        <row r="635">
          <cell r="A635" t="str">
            <v>교명주</v>
          </cell>
          <cell r="B635" t="str">
            <v>(화강석,600×600×1250mm)</v>
          </cell>
          <cell r="C635">
            <v>4</v>
          </cell>
          <cell r="D635" t="str">
            <v>개소</v>
          </cell>
          <cell r="E635">
            <v>1300000</v>
          </cell>
          <cell r="F635">
            <v>5200000</v>
          </cell>
        </row>
        <row r="636">
          <cell r="A636" t="str">
            <v>교명판</v>
          </cell>
          <cell r="B636" t="str">
            <v>(황동,450×200×10㎜)</v>
          </cell>
          <cell r="C636">
            <v>2</v>
          </cell>
          <cell r="D636" t="str">
            <v>개</v>
          </cell>
          <cell r="E636">
            <v>82000</v>
          </cell>
          <cell r="F636">
            <v>164000</v>
          </cell>
        </row>
        <row r="637">
          <cell r="A637" t="str">
            <v>설명판</v>
          </cell>
          <cell r="B637" t="str">
            <v>(황동,350×250×10㎜)</v>
          </cell>
          <cell r="C637">
            <v>2</v>
          </cell>
          <cell r="D637" t="str">
            <v>개</v>
          </cell>
          <cell r="E637">
            <v>45000</v>
          </cell>
          <cell r="F637">
            <v>90000</v>
          </cell>
        </row>
        <row r="638">
          <cell r="A638" t="str">
            <v>10)측량 기준점 설치</v>
          </cell>
          <cell r="C638">
            <v>1</v>
          </cell>
          <cell r="D638" t="str">
            <v>개</v>
          </cell>
          <cell r="E638">
            <v>25007</v>
          </cell>
          <cell r="F638">
            <v>25007</v>
          </cell>
        </row>
        <row r="639">
          <cell r="A639" t="str">
            <v>11)전 선 관</v>
          </cell>
          <cell r="B639" t="str">
            <v>(강관φ100mm)</v>
          </cell>
          <cell r="C639">
            <v>51</v>
          </cell>
          <cell r="D639" t="str">
            <v>m</v>
          </cell>
          <cell r="E639">
            <v>29640</v>
          </cell>
          <cell r="F639">
            <v>1511640</v>
          </cell>
        </row>
        <row r="640">
          <cell r="A640" t="str">
            <v>12)철근가공조립</v>
          </cell>
        </row>
        <row r="641">
          <cell r="A641" t="str">
            <v>철근가공 및 조립</v>
          </cell>
          <cell r="B641" t="str">
            <v>보 통</v>
          </cell>
          <cell r="C641">
            <v>23.164999999999999</v>
          </cell>
          <cell r="D641" t="str">
            <v>TON</v>
          </cell>
          <cell r="E641">
            <v>363984</v>
          </cell>
          <cell r="F641">
            <v>8431689</v>
          </cell>
        </row>
        <row r="642">
          <cell r="A642" t="str">
            <v>철근가공 및 조립</v>
          </cell>
          <cell r="B642" t="str">
            <v>복 잡</v>
          </cell>
          <cell r="C642">
            <v>183.98599999999999</v>
          </cell>
          <cell r="D642" t="str">
            <v>TON</v>
          </cell>
          <cell r="E642">
            <v>456666</v>
          </cell>
          <cell r="F642">
            <v>84020150</v>
          </cell>
        </row>
        <row r="643">
          <cell r="A643" t="str">
            <v>13)다웰바 설치</v>
          </cell>
          <cell r="C643">
            <v>118</v>
          </cell>
          <cell r="D643" t="str">
            <v>EA</v>
          </cell>
          <cell r="E643">
            <v>6278</v>
          </cell>
          <cell r="F643">
            <v>740804</v>
          </cell>
        </row>
        <row r="644">
          <cell r="A644" t="str">
            <v>14)타르페이퍼 설치</v>
          </cell>
          <cell r="B644" t="str">
            <v>t = 5mm</v>
          </cell>
          <cell r="C644">
            <v>14</v>
          </cell>
          <cell r="D644" t="str">
            <v>M2</v>
          </cell>
          <cell r="E644">
            <v>13117</v>
          </cell>
          <cell r="F644">
            <v>183638</v>
          </cell>
        </row>
        <row r="645">
          <cell r="A645" t="str">
            <v>15)스페이서 설치</v>
          </cell>
        </row>
        <row r="646">
          <cell r="A646" t="str">
            <v>스페이서 설치</v>
          </cell>
          <cell r="B646" t="str">
            <v>수직부</v>
          </cell>
          <cell r="C646">
            <v>911</v>
          </cell>
          <cell r="D646" t="str">
            <v>M2</v>
          </cell>
          <cell r="E646">
            <v>230</v>
          </cell>
          <cell r="F646">
            <v>209530</v>
          </cell>
        </row>
        <row r="647">
          <cell r="A647" t="str">
            <v>스페이서 설치</v>
          </cell>
          <cell r="B647" t="str">
            <v>수평부</v>
          </cell>
          <cell r="C647">
            <v>700</v>
          </cell>
          <cell r="D647" t="str">
            <v>M2</v>
          </cell>
          <cell r="E647">
            <v>230</v>
          </cell>
          <cell r="F647">
            <v>161000</v>
          </cell>
        </row>
        <row r="648">
          <cell r="A648" t="str">
            <v>16)스치로폴 채움</v>
          </cell>
        </row>
        <row r="649">
          <cell r="A649" t="str">
            <v>스치로폴</v>
          </cell>
          <cell r="B649" t="str">
            <v>t = 10mm</v>
          </cell>
          <cell r="C649">
            <v>55</v>
          </cell>
          <cell r="D649" t="str">
            <v>M2</v>
          </cell>
          <cell r="E649">
            <v>1898</v>
          </cell>
          <cell r="F649">
            <v>104390</v>
          </cell>
        </row>
        <row r="650">
          <cell r="A650" t="str">
            <v>스치로폴</v>
          </cell>
          <cell r="B650" t="str">
            <v>t = 20mm</v>
          </cell>
          <cell r="C650">
            <v>18</v>
          </cell>
          <cell r="D650" t="str">
            <v>M2</v>
          </cell>
          <cell r="E650">
            <v>2441</v>
          </cell>
          <cell r="F650">
            <v>43938</v>
          </cell>
        </row>
        <row r="651">
          <cell r="A651" t="str">
            <v>17)NOTCH 설치</v>
          </cell>
          <cell r="C651">
            <v>31</v>
          </cell>
          <cell r="D651" t="str">
            <v>M</v>
          </cell>
          <cell r="E651">
            <v>10000</v>
          </cell>
          <cell r="F651">
            <v>310000</v>
          </cell>
        </row>
        <row r="652">
          <cell r="A652" t="str">
            <v>18)배면방수(아스팔트 코팅)</v>
          </cell>
          <cell r="C652">
            <v>390</v>
          </cell>
          <cell r="D652" t="str">
            <v>M2</v>
          </cell>
          <cell r="E652">
            <v>4406</v>
          </cell>
          <cell r="F652">
            <v>1718340</v>
          </cell>
        </row>
        <row r="653">
          <cell r="A653" t="str">
            <v>19)난 간</v>
          </cell>
          <cell r="B653" t="str">
            <v>알미늄, H=0.65m</v>
          </cell>
          <cell r="C653">
            <v>43</v>
          </cell>
          <cell r="D653" t="str">
            <v>m</v>
          </cell>
          <cell r="E653">
            <v>85000</v>
          </cell>
          <cell r="F653">
            <v>3655000</v>
          </cell>
        </row>
        <row r="654">
          <cell r="A654" t="str">
            <v>20)교  면   포  장</v>
          </cell>
        </row>
        <row r="655">
          <cell r="A655" t="str">
            <v>택 코 팅</v>
          </cell>
          <cell r="B655" t="str">
            <v>RSC-4, 30ℓ/a</v>
          </cell>
          <cell r="C655">
            <v>9</v>
          </cell>
          <cell r="D655" t="str">
            <v>a</v>
          </cell>
          <cell r="E655">
            <v>17382</v>
          </cell>
          <cell r="F655">
            <v>156438</v>
          </cell>
        </row>
        <row r="656">
          <cell r="A656" t="str">
            <v>아스콘포장</v>
          </cell>
          <cell r="B656" t="str">
            <v>표층, t=8.0㎝</v>
          </cell>
          <cell r="C656">
            <v>9</v>
          </cell>
          <cell r="D656" t="str">
            <v>a</v>
          </cell>
          <cell r="E656">
            <v>55854</v>
          </cell>
          <cell r="F656">
            <v>502686</v>
          </cell>
        </row>
        <row r="657">
          <cell r="A657" t="str">
            <v>원동3교 (RAHMEN)</v>
          </cell>
        </row>
        <row r="658">
          <cell r="A658" t="str">
            <v>1) 구조물 터파기</v>
          </cell>
        </row>
        <row r="659">
          <cell r="A659" t="str">
            <v>구조물 터파기</v>
          </cell>
          <cell r="B659" t="str">
            <v>(육상토사,0~2m)</v>
          </cell>
          <cell r="C659">
            <v>3980</v>
          </cell>
          <cell r="D659" t="str">
            <v>㎥</v>
          </cell>
          <cell r="E659">
            <v>3161</v>
          </cell>
          <cell r="F659">
            <v>12580780</v>
          </cell>
        </row>
        <row r="660">
          <cell r="A660" t="str">
            <v>구조물 터파기</v>
          </cell>
          <cell r="B660" t="str">
            <v>(육상토사,2~4m)</v>
          </cell>
          <cell r="C660">
            <v>1936</v>
          </cell>
          <cell r="D660" t="str">
            <v>㎥</v>
          </cell>
          <cell r="E660">
            <v>4598</v>
          </cell>
          <cell r="F660">
            <v>8901728</v>
          </cell>
        </row>
        <row r="661">
          <cell r="A661" t="str">
            <v>구조물 터파기</v>
          </cell>
          <cell r="B661" t="str">
            <v>(육상토사,4~6m)</v>
          </cell>
          <cell r="C661">
            <v>1239</v>
          </cell>
          <cell r="D661" t="str">
            <v>㎥</v>
          </cell>
          <cell r="E661">
            <v>6133</v>
          </cell>
          <cell r="F661">
            <v>7598787</v>
          </cell>
        </row>
        <row r="662">
          <cell r="A662" t="str">
            <v>구조물 터파기</v>
          </cell>
          <cell r="B662" t="str">
            <v>(육상토사,6~8m)</v>
          </cell>
          <cell r="C662">
            <v>917</v>
          </cell>
          <cell r="D662" t="str">
            <v>㎥</v>
          </cell>
          <cell r="E662">
            <v>7968</v>
          </cell>
          <cell r="F662">
            <v>7306656</v>
          </cell>
        </row>
        <row r="663">
          <cell r="A663" t="str">
            <v>2)되메우기 및 다짐</v>
          </cell>
          <cell r="C663">
            <v>5954</v>
          </cell>
          <cell r="D663" t="str">
            <v>M3</v>
          </cell>
          <cell r="E663">
            <v>3385</v>
          </cell>
          <cell r="F663">
            <v>20154290</v>
          </cell>
        </row>
        <row r="664">
          <cell r="A664" t="str">
            <v>3)뒷 채 움</v>
          </cell>
          <cell r="B664" t="str">
            <v>(보조기층재)</v>
          </cell>
          <cell r="C664">
            <v>1117</v>
          </cell>
          <cell r="D664" t="str">
            <v>㎥</v>
          </cell>
          <cell r="E664">
            <v>16460</v>
          </cell>
          <cell r="F664">
            <v>18385820</v>
          </cell>
        </row>
        <row r="665">
          <cell r="A665" t="str">
            <v>4) 콘크리트타설</v>
          </cell>
        </row>
        <row r="666">
          <cell r="A666" t="str">
            <v>콘크리트 타설</v>
          </cell>
          <cell r="B666" t="str">
            <v>(무근구조물)</v>
          </cell>
          <cell r="C666">
            <v>115</v>
          </cell>
          <cell r="D666" t="str">
            <v>㎥</v>
          </cell>
          <cell r="E666">
            <v>20803</v>
          </cell>
          <cell r="F666">
            <v>2392345</v>
          </cell>
        </row>
        <row r="667">
          <cell r="A667" t="str">
            <v>콘크리트 타설</v>
          </cell>
          <cell r="B667" t="str">
            <v>(철근,진동기,펌프카)</v>
          </cell>
          <cell r="C667">
            <v>1294</v>
          </cell>
          <cell r="D667" t="str">
            <v>㎥</v>
          </cell>
          <cell r="E667">
            <v>10947</v>
          </cell>
          <cell r="F667">
            <v>14165418</v>
          </cell>
        </row>
        <row r="668">
          <cell r="A668" t="str">
            <v>5) 거푸집공</v>
          </cell>
        </row>
        <row r="669">
          <cell r="A669" t="str">
            <v>합판 거푸집</v>
          </cell>
          <cell r="B669" t="str">
            <v>(3회, 0~ 7m)</v>
          </cell>
          <cell r="C669">
            <v>1254</v>
          </cell>
          <cell r="D669" t="str">
            <v>㎡</v>
          </cell>
          <cell r="E669">
            <v>22050</v>
          </cell>
          <cell r="F669">
            <v>27650700</v>
          </cell>
        </row>
        <row r="670">
          <cell r="A670" t="str">
            <v>합판 거푸집</v>
          </cell>
          <cell r="B670" t="str">
            <v>(3회, 7~10m)</v>
          </cell>
          <cell r="C670">
            <v>131</v>
          </cell>
          <cell r="D670" t="str">
            <v>M2</v>
          </cell>
          <cell r="E670">
            <v>23476</v>
          </cell>
          <cell r="F670">
            <v>3075356</v>
          </cell>
        </row>
        <row r="671">
          <cell r="A671" t="str">
            <v>합판 거푸집</v>
          </cell>
          <cell r="B671" t="str">
            <v>(4회)</v>
          </cell>
          <cell r="C671">
            <v>268</v>
          </cell>
          <cell r="D671" t="str">
            <v>㎡</v>
          </cell>
          <cell r="E671">
            <v>19038</v>
          </cell>
          <cell r="F671">
            <v>5102184</v>
          </cell>
        </row>
        <row r="672">
          <cell r="A672" t="str">
            <v>합판 거푸집</v>
          </cell>
          <cell r="B672" t="str">
            <v>(6회)</v>
          </cell>
          <cell r="C672">
            <v>29</v>
          </cell>
          <cell r="D672" t="str">
            <v>㎡</v>
          </cell>
          <cell r="E672">
            <v>15879</v>
          </cell>
          <cell r="F672">
            <v>460491</v>
          </cell>
        </row>
        <row r="673">
          <cell r="A673" t="str">
            <v>무늬거푸집</v>
          </cell>
          <cell r="C673">
            <v>491</v>
          </cell>
          <cell r="D673" t="str">
            <v>M2</v>
          </cell>
          <cell r="E673">
            <v>29285</v>
          </cell>
          <cell r="F673">
            <v>14378935</v>
          </cell>
        </row>
        <row r="674">
          <cell r="A674" t="str">
            <v>코팅 거푸집</v>
          </cell>
          <cell r="B674" t="str">
            <v>(3회)</v>
          </cell>
          <cell r="C674">
            <v>613</v>
          </cell>
          <cell r="D674" t="str">
            <v>㎡</v>
          </cell>
          <cell r="E674">
            <v>22050</v>
          </cell>
          <cell r="F674">
            <v>13516650</v>
          </cell>
        </row>
        <row r="675">
          <cell r="A675" t="str">
            <v>원형거푸집 3회</v>
          </cell>
          <cell r="C675">
            <v>1</v>
          </cell>
          <cell r="D675" t="str">
            <v>M2</v>
          </cell>
          <cell r="E675">
            <v>48522</v>
          </cell>
          <cell r="F675">
            <v>48522</v>
          </cell>
        </row>
        <row r="676">
          <cell r="A676" t="str">
            <v>6) 강관 비계</v>
          </cell>
          <cell r="C676">
            <v>1369</v>
          </cell>
          <cell r="D676" t="str">
            <v>㎡</v>
          </cell>
          <cell r="E676">
            <v>10525</v>
          </cell>
          <cell r="F676">
            <v>14408725</v>
          </cell>
        </row>
        <row r="677">
          <cell r="A677" t="str">
            <v>7) 동바리공</v>
          </cell>
        </row>
        <row r="678">
          <cell r="A678" t="str">
            <v>강관 동바리</v>
          </cell>
          <cell r="B678" t="str">
            <v>(교량구조물용)</v>
          </cell>
          <cell r="C678">
            <v>3098</v>
          </cell>
          <cell r="D678" t="str">
            <v>공㎥</v>
          </cell>
          <cell r="E678">
            <v>17339</v>
          </cell>
          <cell r="F678">
            <v>53716222</v>
          </cell>
        </row>
        <row r="679">
          <cell r="A679" t="str">
            <v>8)표면처리</v>
          </cell>
        </row>
        <row r="680">
          <cell r="A680" t="str">
            <v>슬라브 양생</v>
          </cell>
          <cell r="B680" t="str">
            <v>(피막양생)</v>
          </cell>
          <cell r="C680">
            <v>229</v>
          </cell>
          <cell r="D680" t="str">
            <v>㎡</v>
          </cell>
          <cell r="E680">
            <v>313</v>
          </cell>
          <cell r="F680">
            <v>71677</v>
          </cell>
        </row>
        <row r="681">
          <cell r="A681" t="str">
            <v>면고르기</v>
          </cell>
          <cell r="B681" t="str">
            <v>(교량슬라브면)</v>
          </cell>
          <cell r="C681">
            <v>229</v>
          </cell>
          <cell r="D681" t="str">
            <v>㎡</v>
          </cell>
          <cell r="E681">
            <v>544</v>
          </cell>
          <cell r="F681">
            <v>124576</v>
          </cell>
        </row>
        <row r="682">
          <cell r="A682" t="str">
            <v>교면 방수</v>
          </cell>
          <cell r="B682" t="str">
            <v>(침투식)</v>
          </cell>
          <cell r="C682">
            <v>229</v>
          </cell>
          <cell r="D682" t="str">
            <v>㎡</v>
          </cell>
          <cell r="E682">
            <v>2785</v>
          </cell>
          <cell r="F682">
            <v>637765</v>
          </cell>
        </row>
        <row r="683">
          <cell r="A683" t="str">
            <v>9)교명판 및 설명판</v>
          </cell>
        </row>
        <row r="684">
          <cell r="A684" t="str">
            <v>교명주</v>
          </cell>
          <cell r="B684" t="str">
            <v>(화강석,600×600×1250mm)</v>
          </cell>
          <cell r="C684">
            <v>2</v>
          </cell>
          <cell r="D684" t="str">
            <v>개소</v>
          </cell>
          <cell r="E684">
            <v>1300000</v>
          </cell>
          <cell r="F684">
            <v>2600000</v>
          </cell>
        </row>
        <row r="685">
          <cell r="A685" t="str">
            <v>교명판</v>
          </cell>
          <cell r="B685" t="str">
            <v>(황동,450×200×10㎜)</v>
          </cell>
          <cell r="C685">
            <v>1</v>
          </cell>
          <cell r="D685" t="str">
            <v>개</v>
          </cell>
          <cell r="E685">
            <v>82000</v>
          </cell>
          <cell r="F685">
            <v>82000</v>
          </cell>
        </row>
        <row r="686">
          <cell r="A686" t="str">
            <v>설명판</v>
          </cell>
          <cell r="B686" t="str">
            <v>(황동,350×250×10㎜)</v>
          </cell>
          <cell r="C686">
            <v>1</v>
          </cell>
          <cell r="D686" t="str">
            <v>개</v>
          </cell>
          <cell r="E686">
            <v>45000</v>
          </cell>
          <cell r="F686">
            <v>45000</v>
          </cell>
        </row>
        <row r="687">
          <cell r="A687" t="str">
            <v>10)전 선 관</v>
          </cell>
          <cell r="B687" t="str">
            <v>(강관φ100mm)</v>
          </cell>
          <cell r="C687">
            <v>73</v>
          </cell>
          <cell r="D687" t="str">
            <v>m</v>
          </cell>
          <cell r="E687">
            <v>29640</v>
          </cell>
          <cell r="F687">
            <v>2163720</v>
          </cell>
        </row>
        <row r="688">
          <cell r="A688" t="str">
            <v>11)철근가공조립</v>
          </cell>
        </row>
        <row r="689">
          <cell r="A689" t="str">
            <v>철근가공 및 조립</v>
          </cell>
          <cell r="B689" t="str">
            <v>보 통</v>
          </cell>
          <cell r="C689">
            <v>79.198999999999998</v>
          </cell>
          <cell r="D689" t="str">
            <v>TON</v>
          </cell>
          <cell r="E689">
            <v>363984</v>
          </cell>
          <cell r="F689">
            <v>28827168</v>
          </cell>
        </row>
        <row r="690">
          <cell r="A690" t="str">
            <v>철근가공 및 조립</v>
          </cell>
          <cell r="B690" t="str">
            <v>복 잡</v>
          </cell>
          <cell r="C690">
            <v>88.646000000000001</v>
          </cell>
          <cell r="D690" t="str">
            <v>TON</v>
          </cell>
          <cell r="E690">
            <v>456666</v>
          </cell>
          <cell r="F690">
            <v>40481614</v>
          </cell>
        </row>
        <row r="691">
          <cell r="A691" t="str">
            <v>12)다웰바 설치</v>
          </cell>
          <cell r="C691">
            <v>52</v>
          </cell>
          <cell r="D691" t="str">
            <v>EA</v>
          </cell>
          <cell r="E691">
            <v>6278</v>
          </cell>
          <cell r="F691">
            <v>326456</v>
          </cell>
        </row>
        <row r="692">
          <cell r="A692" t="str">
            <v>13)타르페이퍼 설치</v>
          </cell>
          <cell r="B692" t="str">
            <v>t = 5mm</v>
          </cell>
          <cell r="C692">
            <v>6</v>
          </cell>
          <cell r="D692" t="str">
            <v>M2</v>
          </cell>
          <cell r="E692">
            <v>13117</v>
          </cell>
          <cell r="F692">
            <v>78702</v>
          </cell>
        </row>
        <row r="693">
          <cell r="A693" t="str">
            <v>14)스페이서 설치</v>
          </cell>
        </row>
        <row r="694">
          <cell r="A694" t="str">
            <v>스페이서 설치</v>
          </cell>
          <cell r="B694" t="str">
            <v>수직부</v>
          </cell>
          <cell r="C694">
            <v>1238</v>
          </cell>
          <cell r="D694" t="str">
            <v>M2</v>
          </cell>
          <cell r="E694">
            <v>230</v>
          </cell>
          <cell r="F694">
            <v>284740</v>
          </cell>
        </row>
        <row r="695">
          <cell r="A695" t="str">
            <v>스페이서 설치</v>
          </cell>
          <cell r="B695" t="str">
            <v>수평부</v>
          </cell>
          <cell r="C695">
            <v>774</v>
          </cell>
          <cell r="D695" t="str">
            <v>M2</v>
          </cell>
          <cell r="E695">
            <v>230</v>
          </cell>
          <cell r="F695">
            <v>178020</v>
          </cell>
        </row>
        <row r="696">
          <cell r="A696" t="str">
            <v>15)스치로폴 채움</v>
          </cell>
        </row>
        <row r="697">
          <cell r="A697" t="str">
            <v>스치로폴</v>
          </cell>
          <cell r="B697" t="str">
            <v>t = 10mm</v>
          </cell>
          <cell r="C697">
            <v>56</v>
          </cell>
          <cell r="D697" t="str">
            <v>M2</v>
          </cell>
          <cell r="E697">
            <v>1898</v>
          </cell>
          <cell r="F697">
            <v>106288</v>
          </cell>
        </row>
        <row r="698">
          <cell r="A698" t="str">
            <v>스치로폴</v>
          </cell>
          <cell r="B698" t="str">
            <v>t = 20mm</v>
          </cell>
          <cell r="C698">
            <v>41</v>
          </cell>
          <cell r="D698" t="str">
            <v>M2</v>
          </cell>
          <cell r="E698">
            <v>2441</v>
          </cell>
          <cell r="F698">
            <v>100081</v>
          </cell>
        </row>
        <row r="699">
          <cell r="A699" t="str">
            <v>16)세굴방지용 사석 채움</v>
          </cell>
          <cell r="B699" t="str">
            <v>(100㎏/개)</v>
          </cell>
          <cell r="C699">
            <v>315</v>
          </cell>
          <cell r="D699" t="str">
            <v>㎥</v>
          </cell>
          <cell r="E699">
            <v>30658</v>
          </cell>
          <cell r="F699">
            <v>9657270</v>
          </cell>
        </row>
        <row r="700">
          <cell r="A700" t="str">
            <v>17)NOTCH 설치</v>
          </cell>
          <cell r="C700">
            <v>37</v>
          </cell>
          <cell r="D700" t="str">
            <v>M</v>
          </cell>
          <cell r="E700">
            <v>10000</v>
          </cell>
          <cell r="F700">
            <v>370000</v>
          </cell>
        </row>
        <row r="701">
          <cell r="A701" t="str">
            <v>19)부 직 포</v>
          </cell>
          <cell r="C701">
            <v>388</v>
          </cell>
          <cell r="D701" t="str">
            <v>㎡</v>
          </cell>
          <cell r="E701">
            <v>1604</v>
          </cell>
          <cell r="F701">
            <v>622352</v>
          </cell>
        </row>
        <row r="702">
          <cell r="A702" t="str">
            <v>20)드레인보드</v>
          </cell>
          <cell r="C702">
            <v>388</v>
          </cell>
          <cell r="D702" t="str">
            <v>㎡</v>
          </cell>
          <cell r="E702">
            <v>5200</v>
          </cell>
          <cell r="F702">
            <v>2017600</v>
          </cell>
        </row>
        <row r="703">
          <cell r="A703" t="str">
            <v>21)P.V.C PIPE</v>
          </cell>
          <cell r="B703" t="str">
            <v>φ100mm</v>
          </cell>
          <cell r="C703">
            <v>8</v>
          </cell>
          <cell r="D703" t="str">
            <v>M</v>
          </cell>
          <cell r="E703">
            <v>4473</v>
          </cell>
          <cell r="F703">
            <v>35784</v>
          </cell>
        </row>
        <row r="704">
          <cell r="A704" t="str">
            <v>22)지 수 판</v>
          </cell>
          <cell r="B704" t="str">
            <v>PVC, 200×5㎜</v>
          </cell>
          <cell r="C704">
            <v>47</v>
          </cell>
          <cell r="D704" t="str">
            <v>m</v>
          </cell>
          <cell r="E704">
            <v>14840</v>
          </cell>
          <cell r="F704">
            <v>697480</v>
          </cell>
        </row>
        <row r="705">
          <cell r="A705" t="str">
            <v>23)배면방수(아스팔트 코팅)</v>
          </cell>
          <cell r="C705">
            <v>365</v>
          </cell>
          <cell r="D705" t="str">
            <v>M2</v>
          </cell>
          <cell r="E705">
            <v>4406</v>
          </cell>
          <cell r="F705">
            <v>1608190</v>
          </cell>
        </row>
        <row r="706">
          <cell r="A706" t="str">
            <v>24)교  면   포  장</v>
          </cell>
        </row>
        <row r="707">
          <cell r="A707" t="str">
            <v>택 코 팅</v>
          </cell>
          <cell r="B707" t="str">
            <v>RSC-4, 30ℓ/a</v>
          </cell>
          <cell r="C707">
            <v>2</v>
          </cell>
          <cell r="D707" t="str">
            <v>a</v>
          </cell>
          <cell r="E707">
            <v>17382</v>
          </cell>
          <cell r="F707">
            <v>34764</v>
          </cell>
        </row>
        <row r="708">
          <cell r="A708" t="str">
            <v>아스콘포장</v>
          </cell>
          <cell r="B708" t="str">
            <v>표층, t=8.0㎝</v>
          </cell>
          <cell r="C708">
            <v>2</v>
          </cell>
          <cell r="D708" t="str">
            <v>a</v>
          </cell>
          <cell r="E708">
            <v>55854</v>
          </cell>
          <cell r="F708">
            <v>111708</v>
          </cell>
        </row>
        <row r="709">
          <cell r="A709" t="str">
            <v>원동4교 (RAHMEN)</v>
          </cell>
        </row>
        <row r="710">
          <cell r="A710" t="str">
            <v>1) 구조물 터파기</v>
          </cell>
        </row>
        <row r="711">
          <cell r="A711" t="str">
            <v>구조물 터파기</v>
          </cell>
          <cell r="B711" t="str">
            <v>(육상토사,0~2m)</v>
          </cell>
          <cell r="C711">
            <v>2725</v>
          </cell>
          <cell r="D711" t="str">
            <v>㎥</v>
          </cell>
          <cell r="E711">
            <v>3161</v>
          </cell>
          <cell r="F711">
            <v>8613725</v>
          </cell>
        </row>
        <row r="712">
          <cell r="A712" t="str">
            <v>구조물 터파기</v>
          </cell>
          <cell r="B712" t="str">
            <v>(육상토사,2~4m)</v>
          </cell>
          <cell r="C712">
            <v>832</v>
          </cell>
          <cell r="D712" t="str">
            <v>㎥</v>
          </cell>
          <cell r="E712">
            <v>4598</v>
          </cell>
          <cell r="F712">
            <v>3825536</v>
          </cell>
        </row>
        <row r="713">
          <cell r="A713" t="str">
            <v>2)되메우기 및 다짐</v>
          </cell>
          <cell r="C713">
            <v>2944</v>
          </cell>
          <cell r="D713" t="str">
            <v>M3</v>
          </cell>
          <cell r="E713">
            <v>3385</v>
          </cell>
          <cell r="F713">
            <v>9965440</v>
          </cell>
        </row>
        <row r="714">
          <cell r="A714" t="str">
            <v>3) 뒷채움잡석</v>
          </cell>
          <cell r="C714">
            <v>515</v>
          </cell>
          <cell r="D714" t="str">
            <v>M3</v>
          </cell>
          <cell r="E714">
            <v>16460</v>
          </cell>
          <cell r="F714">
            <v>8476900</v>
          </cell>
        </row>
        <row r="715">
          <cell r="A715" t="str">
            <v>4) 콘크리트타설</v>
          </cell>
        </row>
        <row r="716">
          <cell r="A716" t="str">
            <v>콘크리트 타설</v>
          </cell>
          <cell r="B716" t="str">
            <v>(무근구조물)</v>
          </cell>
          <cell r="C716">
            <v>155</v>
          </cell>
          <cell r="D716" t="str">
            <v>㎥</v>
          </cell>
          <cell r="E716">
            <v>20803</v>
          </cell>
          <cell r="F716">
            <v>3224465</v>
          </cell>
        </row>
        <row r="717">
          <cell r="A717" t="str">
            <v>콘크리트 타설</v>
          </cell>
          <cell r="B717" t="str">
            <v>(철근,진동기,펌프카)</v>
          </cell>
          <cell r="C717">
            <v>1356</v>
          </cell>
          <cell r="D717" t="str">
            <v>㎥</v>
          </cell>
          <cell r="E717">
            <v>10947</v>
          </cell>
          <cell r="F717">
            <v>14844132</v>
          </cell>
        </row>
        <row r="718">
          <cell r="A718" t="str">
            <v>5) 거푸집공</v>
          </cell>
        </row>
        <row r="719">
          <cell r="A719" t="str">
            <v>합판 거푸집</v>
          </cell>
          <cell r="B719" t="str">
            <v>(3회, 0~ 7m)</v>
          </cell>
          <cell r="C719">
            <v>616</v>
          </cell>
          <cell r="D719" t="str">
            <v>㎡</v>
          </cell>
          <cell r="E719">
            <v>22050</v>
          </cell>
          <cell r="F719">
            <v>13582800</v>
          </cell>
        </row>
        <row r="720">
          <cell r="A720" t="str">
            <v>합판 거푸집</v>
          </cell>
          <cell r="B720" t="str">
            <v>(4회)</v>
          </cell>
          <cell r="C720">
            <v>262</v>
          </cell>
          <cell r="D720" t="str">
            <v>㎡</v>
          </cell>
          <cell r="E720">
            <v>19038</v>
          </cell>
          <cell r="F720">
            <v>4987956</v>
          </cell>
        </row>
        <row r="721">
          <cell r="A721" t="str">
            <v>합판 거푸집</v>
          </cell>
          <cell r="B721" t="str">
            <v>(6회)</v>
          </cell>
          <cell r="C721">
            <v>26</v>
          </cell>
          <cell r="D721" t="str">
            <v>㎡</v>
          </cell>
          <cell r="E721">
            <v>15879</v>
          </cell>
          <cell r="F721">
            <v>412854</v>
          </cell>
        </row>
        <row r="722">
          <cell r="A722" t="str">
            <v>무늬거푸집</v>
          </cell>
          <cell r="C722">
            <v>444</v>
          </cell>
          <cell r="D722" t="str">
            <v>M2</v>
          </cell>
          <cell r="E722">
            <v>29285</v>
          </cell>
          <cell r="F722">
            <v>13002540</v>
          </cell>
        </row>
        <row r="723">
          <cell r="A723" t="str">
            <v>코팅 거푸집</v>
          </cell>
          <cell r="B723" t="str">
            <v>(3회)</v>
          </cell>
          <cell r="C723">
            <v>826</v>
          </cell>
          <cell r="D723" t="str">
            <v>㎡</v>
          </cell>
          <cell r="E723">
            <v>22050</v>
          </cell>
          <cell r="F723">
            <v>18213300</v>
          </cell>
        </row>
        <row r="724">
          <cell r="A724" t="str">
            <v>원형거푸집 3회</v>
          </cell>
          <cell r="C724">
            <v>7</v>
          </cell>
          <cell r="D724" t="str">
            <v>M2</v>
          </cell>
          <cell r="E724">
            <v>48522</v>
          </cell>
          <cell r="F724">
            <v>339654</v>
          </cell>
        </row>
        <row r="725">
          <cell r="A725" t="str">
            <v>6) 강관 비계</v>
          </cell>
          <cell r="C725">
            <v>1105</v>
          </cell>
          <cell r="D725" t="str">
            <v>㎡</v>
          </cell>
          <cell r="E725">
            <v>10525</v>
          </cell>
          <cell r="F725">
            <v>11630125</v>
          </cell>
        </row>
        <row r="726">
          <cell r="A726" t="str">
            <v>7) 동바리공</v>
          </cell>
        </row>
        <row r="727">
          <cell r="A727" t="str">
            <v>강관 동바리</v>
          </cell>
          <cell r="B727" t="str">
            <v>(교량구조물용)</v>
          </cell>
          <cell r="C727">
            <v>1652</v>
          </cell>
          <cell r="D727" t="str">
            <v>공㎥</v>
          </cell>
          <cell r="E727">
            <v>17339</v>
          </cell>
          <cell r="F727">
            <v>28644028</v>
          </cell>
        </row>
        <row r="728">
          <cell r="A728" t="str">
            <v>8)표면처리</v>
          </cell>
        </row>
        <row r="729">
          <cell r="A729" t="str">
            <v>슬라브 양생</v>
          </cell>
          <cell r="B729" t="str">
            <v>(피막양생)</v>
          </cell>
          <cell r="C729">
            <v>259</v>
          </cell>
          <cell r="D729" t="str">
            <v>㎡</v>
          </cell>
          <cell r="E729">
            <v>313</v>
          </cell>
          <cell r="F729">
            <v>81067</v>
          </cell>
        </row>
        <row r="730">
          <cell r="A730" t="str">
            <v>면고르기</v>
          </cell>
          <cell r="B730" t="str">
            <v>(교량슬라브면)</v>
          </cell>
          <cell r="C730">
            <v>259</v>
          </cell>
          <cell r="D730" t="str">
            <v>㎡</v>
          </cell>
          <cell r="E730">
            <v>544</v>
          </cell>
          <cell r="F730">
            <v>140896</v>
          </cell>
        </row>
        <row r="731">
          <cell r="A731" t="str">
            <v>교면 방수</v>
          </cell>
          <cell r="B731" t="str">
            <v>(침투식)</v>
          </cell>
          <cell r="C731">
            <v>259</v>
          </cell>
          <cell r="D731" t="str">
            <v>㎡</v>
          </cell>
          <cell r="E731">
            <v>2785</v>
          </cell>
          <cell r="F731">
            <v>721315</v>
          </cell>
        </row>
        <row r="732">
          <cell r="A732" t="str">
            <v>9)교명판 및 설명판</v>
          </cell>
        </row>
        <row r="733">
          <cell r="A733" t="str">
            <v>교명주</v>
          </cell>
          <cell r="B733" t="str">
            <v>(화강석,600×600×1250mm)</v>
          </cell>
          <cell r="C733">
            <v>2</v>
          </cell>
          <cell r="D733" t="str">
            <v>개소</v>
          </cell>
          <cell r="E733">
            <v>1300000</v>
          </cell>
          <cell r="F733">
            <v>2600000</v>
          </cell>
        </row>
        <row r="734">
          <cell r="A734" t="str">
            <v>교명판</v>
          </cell>
          <cell r="B734" t="str">
            <v>(황동,450×200×10㎜)</v>
          </cell>
          <cell r="C734">
            <v>1</v>
          </cell>
          <cell r="D734" t="str">
            <v>개</v>
          </cell>
          <cell r="E734">
            <v>82000</v>
          </cell>
          <cell r="F734">
            <v>82000</v>
          </cell>
        </row>
        <row r="735">
          <cell r="A735" t="str">
            <v>설명판</v>
          </cell>
          <cell r="B735" t="str">
            <v>(황동,350×250×10㎜)</v>
          </cell>
          <cell r="C735">
            <v>1</v>
          </cell>
          <cell r="D735" t="str">
            <v>개</v>
          </cell>
          <cell r="E735">
            <v>45000</v>
          </cell>
          <cell r="F735">
            <v>45000</v>
          </cell>
        </row>
        <row r="736">
          <cell r="A736" t="str">
            <v>10)측량 기준점 설치</v>
          </cell>
          <cell r="C736">
            <v>1</v>
          </cell>
          <cell r="D736" t="str">
            <v>개</v>
          </cell>
          <cell r="E736">
            <v>25007</v>
          </cell>
          <cell r="F736">
            <v>25007</v>
          </cell>
        </row>
        <row r="737">
          <cell r="A737" t="str">
            <v>11)전 선 관</v>
          </cell>
          <cell r="B737" t="str">
            <v>(강관φ100mm)</v>
          </cell>
          <cell r="C737">
            <v>73</v>
          </cell>
          <cell r="D737" t="str">
            <v>m</v>
          </cell>
          <cell r="E737">
            <v>29640</v>
          </cell>
          <cell r="F737">
            <v>2163720</v>
          </cell>
        </row>
        <row r="738">
          <cell r="A738" t="str">
            <v>12)철근가공조립</v>
          </cell>
        </row>
        <row r="739">
          <cell r="A739" t="str">
            <v>철근가공 및 조립</v>
          </cell>
          <cell r="B739" t="str">
            <v>보 통</v>
          </cell>
          <cell r="C739">
            <v>51.372</v>
          </cell>
          <cell r="D739" t="str">
            <v>TON</v>
          </cell>
          <cell r="E739">
            <v>363984</v>
          </cell>
          <cell r="F739">
            <v>18698586</v>
          </cell>
        </row>
        <row r="740">
          <cell r="A740" t="str">
            <v>철근가공 및 조립</v>
          </cell>
          <cell r="B740" t="str">
            <v>복 잡</v>
          </cell>
          <cell r="C740">
            <v>87.885999999999996</v>
          </cell>
          <cell r="D740" t="str">
            <v>TON</v>
          </cell>
          <cell r="E740">
            <v>456666</v>
          </cell>
          <cell r="F740">
            <v>40134548</v>
          </cell>
        </row>
        <row r="741">
          <cell r="A741" t="str">
            <v>13)다웰바 설치</v>
          </cell>
          <cell r="C741">
            <v>52</v>
          </cell>
          <cell r="D741" t="str">
            <v>EA</v>
          </cell>
          <cell r="E741">
            <v>6278</v>
          </cell>
          <cell r="F741">
            <v>326456</v>
          </cell>
        </row>
        <row r="742">
          <cell r="A742" t="str">
            <v>14)타르페이퍼 설치</v>
          </cell>
          <cell r="B742" t="str">
            <v>t = 5mm</v>
          </cell>
          <cell r="C742">
            <v>12</v>
          </cell>
          <cell r="D742" t="str">
            <v>M2</v>
          </cell>
          <cell r="E742">
            <v>13117</v>
          </cell>
          <cell r="F742">
            <v>157404</v>
          </cell>
        </row>
        <row r="743">
          <cell r="A743" t="str">
            <v>15)스페이서 설치</v>
          </cell>
        </row>
        <row r="744">
          <cell r="A744" t="str">
            <v>스페이서 설치</v>
          </cell>
          <cell r="B744" t="str">
            <v>수직부</v>
          </cell>
          <cell r="C744">
            <v>1073</v>
          </cell>
          <cell r="D744" t="str">
            <v>M2</v>
          </cell>
          <cell r="E744">
            <v>230</v>
          </cell>
          <cell r="F744">
            <v>246790</v>
          </cell>
        </row>
        <row r="745">
          <cell r="A745" t="str">
            <v>스페이서 설치</v>
          </cell>
          <cell r="B745" t="str">
            <v>수평부</v>
          </cell>
          <cell r="C745">
            <v>758</v>
          </cell>
          <cell r="D745" t="str">
            <v>M2</v>
          </cell>
          <cell r="E745">
            <v>230</v>
          </cell>
          <cell r="F745">
            <v>174340</v>
          </cell>
        </row>
        <row r="746">
          <cell r="A746" t="str">
            <v>16)스치로폴 채움</v>
          </cell>
        </row>
        <row r="747">
          <cell r="A747" t="str">
            <v>스치로폴</v>
          </cell>
          <cell r="B747" t="str">
            <v>t = 10mm</v>
          </cell>
          <cell r="C747">
            <v>66</v>
          </cell>
          <cell r="D747" t="str">
            <v>M2</v>
          </cell>
          <cell r="E747">
            <v>1898</v>
          </cell>
          <cell r="F747">
            <v>125268</v>
          </cell>
        </row>
        <row r="748">
          <cell r="A748" t="str">
            <v>스치로폴</v>
          </cell>
          <cell r="B748" t="str">
            <v>t = 20mm</v>
          </cell>
          <cell r="C748">
            <v>28</v>
          </cell>
          <cell r="D748" t="str">
            <v>M2</v>
          </cell>
          <cell r="E748">
            <v>2441</v>
          </cell>
          <cell r="F748">
            <v>68348</v>
          </cell>
        </row>
        <row r="749">
          <cell r="A749" t="str">
            <v>17)세굴방지용 사석 채움</v>
          </cell>
          <cell r="B749" t="str">
            <v>(100㎏/개)</v>
          </cell>
          <cell r="C749">
            <v>870</v>
          </cell>
          <cell r="D749" t="str">
            <v>㎥</v>
          </cell>
          <cell r="E749">
            <v>30658</v>
          </cell>
          <cell r="F749">
            <v>26672460</v>
          </cell>
        </row>
        <row r="750">
          <cell r="A750" t="str">
            <v>18)NOTCH 설치</v>
          </cell>
          <cell r="C750">
            <v>37</v>
          </cell>
          <cell r="D750" t="str">
            <v>M</v>
          </cell>
          <cell r="E750">
            <v>10000</v>
          </cell>
          <cell r="F750">
            <v>370000</v>
          </cell>
        </row>
        <row r="751">
          <cell r="A751" t="str">
            <v>19)부 직 포</v>
          </cell>
          <cell r="C751">
            <v>347</v>
          </cell>
          <cell r="D751" t="str">
            <v>㎡</v>
          </cell>
          <cell r="E751">
            <v>1604</v>
          </cell>
          <cell r="F751">
            <v>556588</v>
          </cell>
        </row>
        <row r="752">
          <cell r="A752" t="str">
            <v>20)드레인보드</v>
          </cell>
          <cell r="C752">
            <v>347</v>
          </cell>
          <cell r="D752" t="str">
            <v>㎡</v>
          </cell>
          <cell r="E752">
            <v>5200</v>
          </cell>
          <cell r="F752">
            <v>1804400</v>
          </cell>
        </row>
        <row r="753">
          <cell r="A753" t="str">
            <v>21)P.V.C PIPE</v>
          </cell>
          <cell r="B753" t="str">
            <v>φ100mm</v>
          </cell>
          <cell r="C753">
            <v>7</v>
          </cell>
          <cell r="D753" t="str">
            <v>M</v>
          </cell>
          <cell r="E753">
            <v>4473</v>
          </cell>
          <cell r="F753">
            <v>31311</v>
          </cell>
        </row>
        <row r="754">
          <cell r="A754" t="str">
            <v>22)지 수 판</v>
          </cell>
          <cell r="B754" t="str">
            <v>PVC, 200×5㎜</v>
          </cell>
          <cell r="C754">
            <v>43</v>
          </cell>
          <cell r="D754" t="str">
            <v>m</v>
          </cell>
          <cell r="E754">
            <v>14840</v>
          </cell>
          <cell r="F754">
            <v>638120</v>
          </cell>
        </row>
        <row r="755">
          <cell r="A755" t="str">
            <v>23)배면방수(아스팔트 코팅)</v>
          </cell>
          <cell r="C755">
            <v>168</v>
          </cell>
          <cell r="D755" t="str">
            <v>M2</v>
          </cell>
          <cell r="E755">
            <v>4406</v>
          </cell>
          <cell r="F755">
            <v>740208</v>
          </cell>
        </row>
        <row r="756">
          <cell r="A756" t="str">
            <v>24)난 간</v>
          </cell>
          <cell r="B756" t="str">
            <v>알미늄, H=0.65m</v>
          </cell>
          <cell r="C756">
            <v>49</v>
          </cell>
          <cell r="D756" t="str">
            <v>m</v>
          </cell>
          <cell r="E756">
            <v>85000</v>
          </cell>
          <cell r="F756">
            <v>4165000</v>
          </cell>
        </row>
        <row r="757">
          <cell r="A757" t="str">
            <v>25)교  면   포  장</v>
          </cell>
        </row>
        <row r="758">
          <cell r="A758" t="str">
            <v>택 코 팅</v>
          </cell>
          <cell r="B758" t="str">
            <v>RSC-4, 30ℓ/a</v>
          </cell>
          <cell r="C758">
            <v>3</v>
          </cell>
          <cell r="D758" t="str">
            <v>a</v>
          </cell>
          <cell r="E758">
            <v>17382</v>
          </cell>
          <cell r="F758">
            <v>52146</v>
          </cell>
        </row>
        <row r="759">
          <cell r="A759" t="str">
            <v>아스콘포장</v>
          </cell>
          <cell r="B759" t="str">
            <v>표층, t=8.0㎝</v>
          </cell>
          <cell r="C759">
            <v>3</v>
          </cell>
          <cell r="D759" t="str">
            <v>a</v>
          </cell>
          <cell r="E759">
            <v>55854</v>
          </cell>
          <cell r="F759">
            <v>167562</v>
          </cell>
        </row>
        <row r="760">
          <cell r="A760" t="str">
            <v>납읍육교(ST.BOX)</v>
          </cell>
        </row>
        <row r="761">
          <cell r="A761" t="str">
            <v>1) 구조물 터파기</v>
          </cell>
        </row>
        <row r="762">
          <cell r="A762" t="str">
            <v>구조물 터파기</v>
          </cell>
          <cell r="B762" t="str">
            <v>(육상토사,0~2m)</v>
          </cell>
          <cell r="C762">
            <v>1036</v>
          </cell>
          <cell r="D762" t="str">
            <v>㎥</v>
          </cell>
          <cell r="E762">
            <v>3161</v>
          </cell>
          <cell r="F762">
            <v>3274796</v>
          </cell>
        </row>
        <row r="763">
          <cell r="A763" t="str">
            <v>구조물 터파기</v>
          </cell>
          <cell r="B763" t="str">
            <v>(육상토사,2~4m)</v>
          </cell>
          <cell r="C763">
            <v>57</v>
          </cell>
          <cell r="D763" t="str">
            <v>㎥</v>
          </cell>
          <cell r="E763">
            <v>4598</v>
          </cell>
          <cell r="F763">
            <v>262086</v>
          </cell>
        </row>
        <row r="764">
          <cell r="A764" t="str">
            <v>구조물 터파기</v>
          </cell>
          <cell r="B764" t="str">
            <v>(암,0~2m)</v>
          </cell>
          <cell r="C764">
            <v>39</v>
          </cell>
          <cell r="D764" t="str">
            <v>㎥</v>
          </cell>
          <cell r="E764">
            <v>94660</v>
          </cell>
          <cell r="F764">
            <v>3691740</v>
          </cell>
        </row>
        <row r="765">
          <cell r="A765" t="str">
            <v>구조물 터파기</v>
          </cell>
          <cell r="B765" t="str">
            <v>(암,2~4m)</v>
          </cell>
          <cell r="C765">
            <v>518</v>
          </cell>
          <cell r="D765" t="str">
            <v>㎥</v>
          </cell>
          <cell r="E765">
            <v>120089</v>
          </cell>
          <cell r="F765">
            <v>62206102</v>
          </cell>
        </row>
        <row r="766">
          <cell r="A766" t="str">
            <v>2)되메우기 및 다짐</v>
          </cell>
          <cell r="C766">
            <v>841</v>
          </cell>
          <cell r="D766" t="str">
            <v>M3</v>
          </cell>
          <cell r="E766">
            <v>3385</v>
          </cell>
          <cell r="F766">
            <v>2846785</v>
          </cell>
        </row>
        <row r="767">
          <cell r="A767" t="str">
            <v>3)뒷 채 움</v>
          </cell>
          <cell r="B767" t="str">
            <v>(보조기층재)</v>
          </cell>
          <cell r="C767">
            <v>652</v>
          </cell>
          <cell r="D767" t="str">
            <v>㎥</v>
          </cell>
          <cell r="E767">
            <v>16460</v>
          </cell>
          <cell r="F767">
            <v>10731920</v>
          </cell>
        </row>
        <row r="768">
          <cell r="A768" t="str">
            <v>4) 콘크리트타설</v>
          </cell>
        </row>
        <row r="769">
          <cell r="A769" t="str">
            <v>콘크리트 타설</v>
          </cell>
          <cell r="B769" t="str">
            <v>(무근구조물)</v>
          </cell>
          <cell r="C769">
            <v>53</v>
          </cell>
          <cell r="D769" t="str">
            <v>㎥</v>
          </cell>
          <cell r="E769">
            <v>20803</v>
          </cell>
          <cell r="F769">
            <v>1102559</v>
          </cell>
        </row>
        <row r="770">
          <cell r="A770" t="str">
            <v>콘크리트 타설</v>
          </cell>
          <cell r="B770" t="str">
            <v>(철근,진동기,펌프카)</v>
          </cell>
          <cell r="C770">
            <v>1374</v>
          </cell>
          <cell r="D770" t="str">
            <v>㎥</v>
          </cell>
          <cell r="E770">
            <v>10947</v>
          </cell>
          <cell r="F770">
            <v>15041178</v>
          </cell>
        </row>
        <row r="771">
          <cell r="A771" t="str">
            <v>5) 거푸집공</v>
          </cell>
        </row>
        <row r="772">
          <cell r="A772" t="str">
            <v>합판 거푸집</v>
          </cell>
          <cell r="B772" t="str">
            <v>(3회, 0~ 7m)</v>
          </cell>
          <cell r="C772">
            <v>1722</v>
          </cell>
          <cell r="D772" t="str">
            <v>㎡</v>
          </cell>
          <cell r="E772">
            <v>22050</v>
          </cell>
          <cell r="F772">
            <v>37970100</v>
          </cell>
        </row>
        <row r="773">
          <cell r="A773" t="str">
            <v>합판 거푸집</v>
          </cell>
          <cell r="B773" t="str">
            <v>(4회)</v>
          </cell>
          <cell r="C773">
            <v>184</v>
          </cell>
          <cell r="D773" t="str">
            <v>㎡</v>
          </cell>
          <cell r="E773">
            <v>19038</v>
          </cell>
          <cell r="F773">
            <v>3502992</v>
          </cell>
        </row>
        <row r="774">
          <cell r="A774" t="str">
            <v>무늬거푸집</v>
          </cell>
          <cell r="C774">
            <v>70</v>
          </cell>
          <cell r="D774" t="str">
            <v>M2</v>
          </cell>
          <cell r="E774">
            <v>29285</v>
          </cell>
          <cell r="F774">
            <v>2049950</v>
          </cell>
        </row>
        <row r="775">
          <cell r="A775" t="str">
            <v>6) 강관 비계</v>
          </cell>
          <cell r="C775">
            <v>523</v>
          </cell>
          <cell r="D775" t="str">
            <v>㎡</v>
          </cell>
          <cell r="E775">
            <v>10525</v>
          </cell>
          <cell r="F775">
            <v>5504575</v>
          </cell>
        </row>
        <row r="776">
          <cell r="A776" t="str">
            <v>7) 동바리공</v>
          </cell>
        </row>
        <row r="777">
          <cell r="A777" t="str">
            <v>강관 동바리</v>
          </cell>
          <cell r="B777" t="str">
            <v>(교량구조물용)</v>
          </cell>
          <cell r="C777">
            <v>21</v>
          </cell>
          <cell r="D777" t="str">
            <v>공㎥</v>
          </cell>
          <cell r="E777">
            <v>17339</v>
          </cell>
          <cell r="F777">
            <v>364119</v>
          </cell>
        </row>
        <row r="778">
          <cell r="A778" t="str">
            <v>목재 동바리</v>
          </cell>
          <cell r="B778" t="str">
            <v>(4회)</v>
          </cell>
          <cell r="C778">
            <v>886</v>
          </cell>
          <cell r="D778" t="str">
            <v>공㎥</v>
          </cell>
          <cell r="E778">
            <v>21149</v>
          </cell>
          <cell r="F778">
            <v>18738014</v>
          </cell>
        </row>
        <row r="779">
          <cell r="A779" t="str">
            <v>8)무수축콘크리트공</v>
          </cell>
        </row>
        <row r="780">
          <cell r="A780" t="str">
            <v>무수축몰탈</v>
          </cell>
          <cell r="C780">
            <v>3</v>
          </cell>
          <cell r="D780" t="str">
            <v>M3</v>
          </cell>
          <cell r="E780">
            <v>84729</v>
          </cell>
          <cell r="F780">
            <v>254187</v>
          </cell>
        </row>
        <row r="781">
          <cell r="A781" t="str">
            <v>무수축 콘크리트</v>
          </cell>
          <cell r="C781">
            <v>6</v>
          </cell>
          <cell r="D781" t="str">
            <v>㎥</v>
          </cell>
          <cell r="E781">
            <v>172873</v>
          </cell>
          <cell r="F781">
            <v>1037238</v>
          </cell>
        </row>
        <row r="782">
          <cell r="A782" t="str">
            <v>9) 교좌장치</v>
          </cell>
        </row>
        <row r="783">
          <cell r="A783" t="str">
            <v>교 좌 장 치 (고정단)</v>
          </cell>
          <cell r="B783" t="str">
            <v>(Pot, 350ton)</v>
          </cell>
          <cell r="C783">
            <v>1</v>
          </cell>
          <cell r="D783" t="str">
            <v>조</v>
          </cell>
          <cell r="E783">
            <v>900000</v>
          </cell>
          <cell r="F783">
            <v>900000</v>
          </cell>
        </row>
        <row r="784">
          <cell r="A784" t="str">
            <v>교 좌 장 치 (일방향)</v>
          </cell>
          <cell r="B784" t="str">
            <v>(Pot, 350ton)</v>
          </cell>
          <cell r="C784">
            <v>4</v>
          </cell>
          <cell r="D784" t="str">
            <v>조</v>
          </cell>
          <cell r="E784">
            <v>1480000</v>
          </cell>
          <cell r="F784">
            <v>5920000</v>
          </cell>
        </row>
        <row r="785">
          <cell r="A785" t="str">
            <v>교 좌 장 치 (양방향)</v>
          </cell>
          <cell r="B785" t="str">
            <v>(Pot, 350ton)</v>
          </cell>
          <cell r="C785">
            <v>3</v>
          </cell>
          <cell r="D785" t="str">
            <v>조</v>
          </cell>
          <cell r="E785">
            <v>1050000</v>
          </cell>
          <cell r="F785">
            <v>3150000</v>
          </cell>
        </row>
        <row r="786">
          <cell r="A786" t="str">
            <v>10)표면처리</v>
          </cell>
        </row>
        <row r="787">
          <cell r="A787" t="str">
            <v>슬라브 양생</v>
          </cell>
          <cell r="B787" t="str">
            <v>(피막양생)</v>
          </cell>
          <cell r="C787">
            <v>896</v>
          </cell>
          <cell r="D787" t="str">
            <v>㎡</v>
          </cell>
          <cell r="E787">
            <v>313</v>
          </cell>
          <cell r="F787">
            <v>280448</v>
          </cell>
        </row>
        <row r="788">
          <cell r="A788" t="str">
            <v>면고르기</v>
          </cell>
          <cell r="B788" t="str">
            <v>(교량슬라브면)</v>
          </cell>
          <cell r="C788">
            <v>896</v>
          </cell>
          <cell r="D788" t="str">
            <v>㎡</v>
          </cell>
          <cell r="E788">
            <v>544</v>
          </cell>
          <cell r="F788">
            <v>487424</v>
          </cell>
        </row>
        <row r="789">
          <cell r="A789" t="str">
            <v>교면방수</v>
          </cell>
          <cell r="B789" t="str">
            <v>(침투식)</v>
          </cell>
          <cell r="C789">
            <v>896</v>
          </cell>
          <cell r="D789" t="str">
            <v>㎡</v>
          </cell>
          <cell r="E789">
            <v>2785</v>
          </cell>
          <cell r="F789">
            <v>2495360</v>
          </cell>
        </row>
        <row r="790">
          <cell r="A790" t="str">
            <v>11)신축이음</v>
          </cell>
        </row>
        <row r="791">
          <cell r="A791" t="str">
            <v>신축이음장치 (N.B)</v>
          </cell>
          <cell r="B791" t="str">
            <v>(No.35)</v>
          </cell>
          <cell r="C791">
            <v>24</v>
          </cell>
          <cell r="D791" t="str">
            <v>m</v>
          </cell>
          <cell r="E791">
            <v>400000</v>
          </cell>
          <cell r="F791">
            <v>9600000</v>
          </cell>
        </row>
        <row r="792">
          <cell r="A792" t="str">
            <v>신축이음장치 (N.B)</v>
          </cell>
          <cell r="B792" t="str">
            <v>(No.80)</v>
          </cell>
          <cell r="C792">
            <v>24</v>
          </cell>
          <cell r="D792" t="str">
            <v>m</v>
          </cell>
          <cell r="E792">
            <v>570000</v>
          </cell>
          <cell r="F792">
            <v>13680000</v>
          </cell>
        </row>
        <row r="793">
          <cell r="A793" t="str">
            <v>12)교면배수시설공</v>
          </cell>
        </row>
        <row r="794">
          <cell r="A794" t="str">
            <v>육교용 교면 집수구</v>
          </cell>
          <cell r="B794" t="str">
            <v>스텐레스</v>
          </cell>
          <cell r="C794">
            <v>4</v>
          </cell>
          <cell r="D794" t="str">
            <v>개</v>
          </cell>
          <cell r="E794">
            <v>49635</v>
          </cell>
          <cell r="F794">
            <v>198540</v>
          </cell>
        </row>
        <row r="795">
          <cell r="A795" t="str">
            <v>직          관</v>
          </cell>
          <cell r="B795" t="str">
            <v>스텐레스</v>
          </cell>
          <cell r="C795">
            <v>15</v>
          </cell>
          <cell r="D795" t="str">
            <v>M</v>
          </cell>
          <cell r="E795">
            <v>43289</v>
          </cell>
          <cell r="F795">
            <v>649335</v>
          </cell>
        </row>
        <row r="796">
          <cell r="A796" t="str">
            <v>13)교명판 및 설명판</v>
          </cell>
        </row>
        <row r="797">
          <cell r="A797" t="str">
            <v>교명주</v>
          </cell>
          <cell r="B797" t="str">
            <v>(화강석,600×600×1250mm)</v>
          </cell>
          <cell r="C797">
            <v>4</v>
          </cell>
          <cell r="D797" t="str">
            <v>개소</v>
          </cell>
          <cell r="E797">
            <v>1300000</v>
          </cell>
          <cell r="F797">
            <v>5200000</v>
          </cell>
        </row>
        <row r="798">
          <cell r="A798" t="str">
            <v>교명판</v>
          </cell>
          <cell r="B798" t="str">
            <v>(황동,450×200×10㎜)</v>
          </cell>
          <cell r="C798">
            <v>2</v>
          </cell>
          <cell r="D798" t="str">
            <v>개</v>
          </cell>
          <cell r="E798">
            <v>82000</v>
          </cell>
          <cell r="F798">
            <v>164000</v>
          </cell>
        </row>
        <row r="799">
          <cell r="A799" t="str">
            <v>설명판</v>
          </cell>
          <cell r="B799" t="str">
            <v>(황동,350×250×10㎜)</v>
          </cell>
          <cell r="C799">
            <v>2</v>
          </cell>
          <cell r="D799" t="str">
            <v>개</v>
          </cell>
          <cell r="E799">
            <v>45000</v>
          </cell>
          <cell r="F799">
            <v>90000</v>
          </cell>
        </row>
        <row r="800">
          <cell r="A800" t="str">
            <v>14)측량 기준점 설치</v>
          </cell>
          <cell r="C800">
            <v>1</v>
          </cell>
          <cell r="D800" t="str">
            <v>개</v>
          </cell>
          <cell r="E800">
            <v>25007</v>
          </cell>
          <cell r="F800">
            <v>25007</v>
          </cell>
        </row>
        <row r="801">
          <cell r="A801" t="str">
            <v>15)전 선 관</v>
          </cell>
          <cell r="B801" t="str">
            <v>(강관φ100mm)</v>
          </cell>
          <cell r="C801">
            <v>101</v>
          </cell>
          <cell r="D801" t="str">
            <v>m</v>
          </cell>
          <cell r="E801">
            <v>29640</v>
          </cell>
          <cell r="F801">
            <v>2993640</v>
          </cell>
        </row>
        <row r="802">
          <cell r="A802" t="str">
            <v>16)점검용 계단</v>
          </cell>
          <cell r="C802">
            <v>2</v>
          </cell>
          <cell r="D802" t="str">
            <v>개소</v>
          </cell>
          <cell r="E802">
            <v>278000</v>
          </cell>
          <cell r="F802">
            <v>556000</v>
          </cell>
        </row>
        <row r="803">
          <cell r="A803" t="str">
            <v>17)철근가공조립</v>
          </cell>
        </row>
        <row r="804">
          <cell r="A804" t="str">
            <v>철근가공 및 조립</v>
          </cell>
          <cell r="B804" t="str">
            <v>보 통</v>
          </cell>
          <cell r="C804">
            <v>99.061999999999998</v>
          </cell>
          <cell r="D804" t="str">
            <v>TON</v>
          </cell>
          <cell r="E804">
            <v>363984</v>
          </cell>
          <cell r="F804">
            <v>36056983</v>
          </cell>
        </row>
        <row r="805">
          <cell r="A805" t="str">
            <v>철근가공 및 조립</v>
          </cell>
          <cell r="B805" t="str">
            <v>복 잡</v>
          </cell>
          <cell r="C805">
            <v>79.564999999999998</v>
          </cell>
          <cell r="D805" t="str">
            <v>TON</v>
          </cell>
          <cell r="E805">
            <v>456666</v>
          </cell>
          <cell r="F805">
            <v>36334630</v>
          </cell>
        </row>
        <row r="806">
          <cell r="A806" t="str">
            <v>18)다웰바 설치</v>
          </cell>
          <cell r="C806">
            <v>112</v>
          </cell>
          <cell r="D806" t="str">
            <v>EA</v>
          </cell>
          <cell r="E806">
            <v>6278</v>
          </cell>
          <cell r="F806">
            <v>703136</v>
          </cell>
        </row>
        <row r="807">
          <cell r="A807" t="str">
            <v>19)타르페이퍼 설치</v>
          </cell>
          <cell r="B807" t="str">
            <v>t = 5mm</v>
          </cell>
          <cell r="C807">
            <v>14</v>
          </cell>
          <cell r="D807" t="str">
            <v>M2</v>
          </cell>
          <cell r="E807">
            <v>13117</v>
          </cell>
          <cell r="F807">
            <v>183638</v>
          </cell>
        </row>
        <row r="808">
          <cell r="A808" t="str">
            <v>20) 강       교</v>
          </cell>
        </row>
        <row r="809">
          <cell r="A809" t="str">
            <v>강 교 제 작 (납읍육교)</v>
          </cell>
          <cell r="C809">
            <v>349.11</v>
          </cell>
          <cell r="D809" t="str">
            <v>ton</v>
          </cell>
          <cell r="E809">
            <v>1478966</v>
          </cell>
          <cell r="F809">
            <v>516321820</v>
          </cell>
        </row>
        <row r="810">
          <cell r="A810" t="str">
            <v>강 교 운 반 (납읍육교)</v>
          </cell>
          <cell r="C810">
            <v>349.11</v>
          </cell>
          <cell r="D810" t="str">
            <v>ton</v>
          </cell>
          <cell r="E810">
            <v>50000</v>
          </cell>
          <cell r="F810">
            <v>17455500</v>
          </cell>
        </row>
        <row r="811">
          <cell r="A811" t="str">
            <v>강 교 가 설 (납읍육교)</v>
          </cell>
          <cell r="C811">
            <v>349.11</v>
          </cell>
          <cell r="D811" t="str">
            <v>ton</v>
          </cell>
          <cell r="E811">
            <v>275719</v>
          </cell>
          <cell r="F811">
            <v>96256260</v>
          </cell>
        </row>
        <row r="812">
          <cell r="A812" t="str">
            <v>강 교 도 장</v>
          </cell>
        </row>
        <row r="813">
          <cell r="A813" t="str">
            <v>강교 내부도장</v>
          </cell>
          <cell r="B813" t="str">
            <v>(공장)</v>
          </cell>
          <cell r="C813">
            <v>2588</v>
          </cell>
          <cell r="D813" t="str">
            <v>㎡</v>
          </cell>
          <cell r="E813">
            <v>12126</v>
          </cell>
          <cell r="F813">
            <v>31382088</v>
          </cell>
        </row>
        <row r="814">
          <cell r="A814" t="str">
            <v>강교 외부포장면도장</v>
          </cell>
          <cell r="B814" t="str">
            <v>(공장)</v>
          </cell>
          <cell r="C814">
            <v>497</v>
          </cell>
          <cell r="D814" t="str">
            <v>㎡</v>
          </cell>
          <cell r="E814">
            <v>14508</v>
          </cell>
          <cell r="F814">
            <v>7210476</v>
          </cell>
        </row>
        <row r="815">
          <cell r="A815" t="str">
            <v>강교 연결판도장</v>
          </cell>
          <cell r="B815" t="str">
            <v>(공장)</v>
          </cell>
          <cell r="C815">
            <v>372</v>
          </cell>
          <cell r="D815" t="str">
            <v>㎡</v>
          </cell>
          <cell r="E815">
            <v>10389</v>
          </cell>
          <cell r="F815">
            <v>3864708</v>
          </cell>
        </row>
        <row r="816">
          <cell r="A816" t="str">
            <v>강교 외부도장</v>
          </cell>
          <cell r="B816" t="str">
            <v>(공장)</v>
          </cell>
          <cell r="C816">
            <v>1804</v>
          </cell>
          <cell r="D816" t="str">
            <v>㎡</v>
          </cell>
          <cell r="E816">
            <v>13675</v>
          </cell>
          <cell r="F816">
            <v>24669700</v>
          </cell>
        </row>
        <row r="817">
          <cell r="A817" t="str">
            <v>강교 외부도장</v>
          </cell>
          <cell r="B817" t="str">
            <v>(현장)</v>
          </cell>
          <cell r="C817">
            <v>1804</v>
          </cell>
          <cell r="D817" t="str">
            <v>㎡</v>
          </cell>
          <cell r="E817">
            <v>14580</v>
          </cell>
          <cell r="F817">
            <v>26302320</v>
          </cell>
        </row>
        <row r="818">
          <cell r="A818" t="str">
            <v>내부볼트 및 연결판도장</v>
          </cell>
          <cell r="B818" t="str">
            <v>(현장)</v>
          </cell>
          <cell r="C818">
            <v>147</v>
          </cell>
          <cell r="D818" t="str">
            <v>㎡</v>
          </cell>
          <cell r="E818">
            <v>18778</v>
          </cell>
          <cell r="F818">
            <v>2760366</v>
          </cell>
        </row>
        <row r="819">
          <cell r="A819" t="str">
            <v>강교 외부볼트 및 연결판도장</v>
          </cell>
          <cell r="B819" t="str">
            <v>(현장)</v>
          </cell>
          <cell r="C819">
            <v>147</v>
          </cell>
          <cell r="D819" t="str">
            <v>㎡</v>
          </cell>
          <cell r="E819">
            <v>17586</v>
          </cell>
          <cell r="F819">
            <v>2585142</v>
          </cell>
        </row>
        <row r="820">
          <cell r="A820" t="str">
            <v>21)스페이서 설치</v>
          </cell>
        </row>
        <row r="821">
          <cell r="A821" t="str">
            <v>스페이서 설치</v>
          </cell>
          <cell r="B821" t="str">
            <v>수직부</v>
          </cell>
          <cell r="C821">
            <v>1029</v>
          </cell>
          <cell r="D821" t="str">
            <v>M2</v>
          </cell>
          <cell r="E821">
            <v>230</v>
          </cell>
          <cell r="F821">
            <v>236670</v>
          </cell>
        </row>
        <row r="822">
          <cell r="A822" t="str">
            <v>스페이서 설치</v>
          </cell>
          <cell r="B822" t="str">
            <v>수평부</v>
          </cell>
          <cell r="C822">
            <v>1273</v>
          </cell>
          <cell r="D822" t="str">
            <v>M2</v>
          </cell>
          <cell r="E822">
            <v>230</v>
          </cell>
          <cell r="F822">
            <v>292790</v>
          </cell>
        </row>
        <row r="823">
          <cell r="A823" t="str">
            <v>22)스치로폴 채움</v>
          </cell>
        </row>
        <row r="824">
          <cell r="A824" t="str">
            <v>스치로폴</v>
          </cell>
          <cell r="B824" t="str">
            <v>t = 10mm</v>
          </cell>
          <cell r="C824">
            <v>38</v>
          </cell>
          <cell r="D824" t="str">
            <v>M2</v>
          </cell>
          <cell r="E824">
            <v>1898</v>
          </cell>
          <cell r="F824">
            <v>72124</v>
          </cell>
        </row>
        <row r="825">
          <cell r="A825" t="str">
            <v>스치로폴</v>
          </cell>
          <cell r="B825" t="str">
            <v>t = 20mm</v>
          </cell>
          <cell r="C825">
            <v>19</v>
          </cell>
          <cell r="D825" t="str">
            <v>M2</v>
          </cell>
          <cell r="E825">
            <v>2441</v>
          </cell>
          <cell r="F825">
            <v>46379</v>
          </cell>
        </row>
        <row r="826">
          <cell r="A826" t="str">
            <v>23)교대보호블록</v>
          </cell>
        </row>
        <row r="827">
          <cell r="A827" t="str">
            <v>보호블럭설치 (육교용)</v>
          </cell>
          <cell r="C827">
            <v>310</v>
          </cell>
          <cell r="D827" t="str">
            <v>M2</v>
          </cell>
          <cell r="E827">
            <v>33535</v>
          </cell>
          <cell r="F827">
            <v>10395850</v>
          </cell>
        </row>
        <row r="828">
          <cell r="A828" t="str">
            <v>24)NOTCH 설치</v>
          </cell>
          <cell r="C828">
            <v>159</v>
          </cell>
          <cell r="D828" t="str">
            <v>M</v>
          </cell>
          <cell r="E828">
            <v>10000</v>
          </cell>
          <cell r="F828">
            <v>1590000</v>
          </cell>
        </row>
        <row r="829">
          <cell r="A829" t="str">
            <v>25)낙하물 방지공</v>
          </cell>
          <cell r="C829">
            <v>1135</v>
          </cell>
          <cell r="D829" t="str">
            <v>㎡</v>
          </cell>
          <cell r="E829">
            <v>3326</v>
          </cell>
          <cell r="F829">
            <v>3775010</v>
          </cell>
        </row>
        <row r="830">
          <cell r="A830" t="str">
            <v>26)배면방수(아스팔트 코팅)</v>
          </cell>
          <cell r="C830">
            <v>296</v>
          </cell>
          <cell r="D830" t="str">
            <v>M2</v>
          </cell>
          <cell r="E830">
            <v>4406</v>
          </cell>
          <cell r="F830">
            <v>1304176</v>
          </cell>
        </row>
        <row r="831">
          <cell r="A831" t="str">
            <v>27) 비파괴 검사</v>
          </cell>
        </row>
        <row r="832">
          <cell r="A832" t="str">
            <v>비파괴 검사 (R.T).</v>
          </cell>
          <cell r="B832" t="str">
            <v>방사선투과 시험</v>
          </cell>
          <cell r="C832">
            <v>32</v>
          </cell>
          <cell r="D832" t="str">
            <v>매</v>
          </cell>
          <cell r="E832">
            <v>50000</v>
          </cell>
          <cell r="F832">
            <v>1600000</v>
          </cell>
        </row>
        <row r="833">
          <cell r="A833" t="str">
            <v>비파괴 검사 (M.T).</v>
          </cell>
          <cell r="B833" t="str">
            <v>자분탐상검사</v>
          </cell>
          <cell r="C833">
            <v>88</v>
          </cell>
          <cell r="D833" t="str">
            <v>M</v>
          </cell>
          <cell r="E833">
            <v>50000</v>
          </cell>
          <cell r="F833">
            <v>4400000</v>
          </cell>
        </row>
        <row r="834">
          <cell r="A834" t="str">
            <v>29)난 간</v>
          </cell>
          <cell r="B834" t="str">
            <v>알미늄, H=0.8m</v>
          </cell>
          <cell r="C834">
            <v>101</v>
          </cell>
          <cell r="D834" t="str">
            <v>m</v>
          </cell>
          <cell r="E834">
            <v>97000</v>
          </cell>
          <cell r="F834">
            <v>9797000</v>
          </cell>
        </row>
        <row r="835">
          <cell r="A835" t="str">
            <v>30)교  면   포  장</v>
          </cell>
        </row>
        <row r="836">
          <cell r="A836" t="str">
            <v>택 코 팅</v>
          </cell>
          <cell r="B836" t="str">
            <v>RSC-4, 30ℓ/a</v>
          </cell>
          <cell r="C836">
            <v>9</v>
          </cell>
          <cell r="D836" t="str">
            <v>a</v>
          </cell>
          <cell r="E836">
            <v>17382</v>
          </cell>
          <cell r="F836">
            <v>156438</v>
          </cell>
        </row>
        <row r="837">
          <cell r="A837" t="str">
            <v>아스콘포장</v>
          </cell>
          <cell r="B837" t="str">
            <v>표층, t=8.0㎝</v>
          </cell>
          <cell r="C837">
            <v>9</v>
          </cell>
          <cell r="D837" t="str">
            <v>a</v>
          </cell>
          <cell r="E837">
            <v>55854</v>
          </cell>
          <cell r="F837">
            <v>502686</v>
          </cell>
        </row>
        <row r="839">
          <cell r="A839" t="str">
            <v>4. 옹     벽     공</v>
          </cell>
          <cell r="F839">
            <v>1489415358</v>
          </cell>
        </row>
        <row r="840">
          <cell r="A840" t="str">
            <v>3.01 구 조 물 터 파 기</v>
          </cell>
        </row>
        <row r="841">
          <cell r="A841" t="str">
            <v>a.        〃</v>
          </cell>
          <cell r="B841" t="str">
            <v>육상토사,0~2m</v>
          </cell>
          <cell r="C841">
            <v>11917</v>
          </cell>
          <cell r="D841" t="str">
            <v>㎥</v>
          </cell>
          <cell r="E841">
            <v>3161</v>
          </cell>
          <cell r="F841">
            <v>37669637</v>
          </cell>
        </row>
        <row r="842">
          <cell r="A842" t="str">
            <v>b.        〃</v>
          </cell>
          <cell r="B842" t="str">
            <v>육상 암,0~2m</v>
          </cell>
          <cell r="C842">
            <v>7705</v>
          </cell>
          <cell r="D842" t="str">
            <v>㎥</v>
          </cell>
          <cell r="E842">
            <v>94660</v>
          </cell>
          <cell r="F842">
            <v>729355300</v>
          </cell>
        </row>
        <row r="843">
          <cell r="A843" t="str">
            <v>3.02 되메우기 및 다짐</v>
          </cell>
          <cell r="C843">
            <v>15822</v>
          </cell>
          <cell r="D843" t="str">
            <v>㎥</v>
          </cell>
          <cell r="E843">
            <v>3385</v>
          </cell>
          <cell r="F843">
            <v>53557470</v>
          </cell>
        </row>
        <row r="844">
          <cell r="A844" t="str">
            <v>3.03 콘 크 리 트 타 설</v>
          </cell>
        </row>
        <row r="845">
          <cell r="A845" t="str">
            <v>a.        〃</v>
          </cell>
          <cell r="B845" t="str">
            <v>철근,진동기,펌프카</v>
          </cell>
          <cell r="C845">
            <v>4791</v>
          </cell>
          <cell r="D845" t="str">
            <v>㎥</v>
          </cell>
          <cell r="E845">
            <v>10947</v>
          </cell>
          <cell r="F845">
            <v>52447077</v>
          </cell>
        </row>
        <row r="846">
          <cell r="A846" t="str">
            <v>b.        〃</v>
          </cell>
          <cell r="B846" t="str">
            <v>무근구조물</v>
          </cell>
          <cell r="C846">
            <v>502</v>
          </cell>
          <cell r="D846" t="str">
            <v>㎥</v>
          </cell>
          <cell r="E846">
            <v>20803</v>
          </cell>
          <cell r="F846">
            <v>10443106</v>
          </cell>
        </row>
        <row r="847">
          <cell r="A847" t="str">
            <v>3.04 거     푸     집</v>
          </cell>
        </row>
        <row r="848">
          <cell r="A848" t="str">
            <v>a. 합 판  거 푸 집</v>
          </cell>
          <cell r="B848" t="str">
            <v>3회</v>
          </cell>
          <cell r="C848">
            <v>5034</v>
          </cell>
          <cell r="D848" t="str">
            <v>㎡</v>
          </cell>
          <cell r="E848">
            <v>22050</v>
          </cell>
          <cell r="F848">
            <v>110999700</v>
          </cell>
        </row>
        <row r="849">
          <cell r="A849" t="str">
            <v>b. 합 판  거 푸 집</v>
          </cell>
          <cell r="B849" t="str">
            <v>4회</v>
          </cell>
          <cell r="C849">
            <v>10071</v>
          </cell>
          <cell r="D849" t="str">
            <v>㎡</v>
          </cell>
          <cell r="E849">
            <v>19038</v>
          </cell>
          <cell r="F849">
            <v>191731698</v>
          </cell>
        </row>
        <row r="850">
          <cell r="A850" t="str">
            <v>c. 무늬거푸집</v>
          </cell>
          <cell r="C850">
            <v>1148</v>
          </cell>
          <cell r="D850" t="str">
            <v>M2</v>
          </cell>
          <cell r="E850">
            <v>29285</v>
          </cell>
          <cell r="F850">
            <v>33619180</v>
          </cell>
        </row>
        <row r="851">
          <cell r="A851" t="str">
            <v>3.05 철근 가공 조립</v>
          </cell>
        </row>
        <row r="852">
          <cell r="A852" t="str">
            <v>철근 가공 조립</v>
          </cell>
          <cell r="B852" t="str">
            <v>(보 통)</v>
          </cell>
          <cell r="C852">
            <v>436.40499999999997</v>
          </cell>
          <cell r="D852" t="str">
            <v>ton</v>
          </cell>
          <cell r="E852">
            <v>363984</v>
          </cell>
          <cell r="F852">
            <v>158844437</v>
          </cell>
        </row>
        <row r="853">
          <cell r="A853" t="str">
            <v>3.06 강관 비계</v>
          </cell>
          <cell r="C853">
            <v>9040</v>
          </cell>
          <cell r="D853" t="str">
            <v>㎡</v>
          </cell>
          <cell r="E853">
            <v>10525</v>
          </cell>
          <cell r="F853">
            <v>95146000</v>
          </cell>
        </row>
        <row r="854">
          <cell r="A854" t="str">
            <v>3.07 배  수  파  이  프</v>
          </cell>
          <cell r="B854" t="str">
            <v>PVC PIPE φ100mm</v>
          </cell>
          <cell r="C854">
            <v>275</v>
          </cell>
          <cell r="D854" t="str">
            <v>m</v>
          </cell>
          <cell r="E854">
            <v>4473</v>
          </cell>
          <cell r="F854">
            <v>1230075</v>
          </cell>
        </row>
        <row r="855">
          <cell r="A855" t="str">
            <v>3.08 뒷     채     움</v>
          </cell>
          <cell r="B855" t="str">
            <v>보조기층재</v>
          </cell>
          <cell r="C855">
            <v>48</v>
          </cell>
          <cell r="D855" t="str">
            <v>㎥</v>
          </cell>
          <cell r="E855">
            <v>16460</v>
          </cell>
          <cell r="F855">
            <v>790080</v>
          </cell>
        </row>
        <row r="856">
          <cell r="A856" t="str">
            <v>3.09 부     직     포</v>
          </cell>
          <cell r="C856">
            <v>220</v>
          </cell>
          <cell r="D856" t="str">
            <v>㎡</v>
          </cell>
          <cell r="E856">
            <v>1604</v>
          </cell>
          <cell r="F856">
            <v>352880</v>
          </cell>
        </row>
        <row r="857">
          <cell r="A857" t="str">
            <v>3.10 신   축   이   음</v>
          </cell>
          <cell r="B857" t="str">
            <v>Exp. Joint Filler,t=20mm</v>
          </cell>
          <cell r="C857">
            <v>329</v>
          </cell>
          <cell r="D857" t="str">
            <v>㎡</v>
          </cell>
          <cell r="E857">
            <v>5907</v>
          </cell>
          <cell r="F857">
            <v>1943403</v>
          </cell>
        </row>
        <row r="858">
          <cell r="A858" t="str">
            <v>3.11 다     웰     바</v>
          </cell>
          <cell r="B858" t="str">
            <v>D=32, ℓ=800mm</v>
          </cell>
          <cell r="C858">
            <v>1121</v>
          </cell>
          <cell r="D858" t="str">
            <v>개</v>
          </cell>
          <cell r="E858">
            <v>8000</v>
          </cell>
          <cell r="F858">
            <v>8968000</v>
          </cell>
        </row>
        <row r="859">
          <cell r="A859" t="str">
            <v>3.12 실     런     트</v>
          </cell>
          <cell r="B859" t="str">
            <v>20 x 25mm</v>
          </cell>
          <cell r="C859">
            <v>1001</v>
          </cell>
          <cell r="D859" t="str">
            <v>m</v>
          </cell>
          <cell r="E859">
            <v>2315</v>
          </cell>
          <cell r="F859">
            <v>2317315</v>
          </cell>
        </row>
        <row r="861">
          <cell r="A861" t="str">
            <v>5. 포     장     공</v>
          </cell>
          <cell r="F861">
            <v>961010035</v>
          </cell>
        </row>
        <row r="862">
          <cell r="A862" t="str">
            <v>4.01 보  조  기  층</v>
          </cell>
        </row>
        <row r="863">
          <cell r="A863" t="str">
            <v>a. 구 입  및  운 반</v>
          </cell>
          <cell r="C863">
            <v>66005</v>
          </cell>
          <cell r="D863" t="str">
            <v>㎥</v>
          </cell>
          <cell r="E863">
            <v>5800</v>
          </cell>
          <cell r="F863">
            <v>382829000</v>
          </cell>
        </row>
        <row r="864">
          <cell r="A864" t="str">
            <v>b. 포 설 및 다 짐</v>
          </cell>
        </row>
        <row r="865">
          <cell r="A865" t="str">
            <v>-1.      〃</v>
          </cell>
          <cell r="B865" t="str">
            <v>t = 25cm</v>
          </cell>
          <cell r="C865">
            <v>37773</v>
          </cell>
          <cell r="D865" t="str">
            <v>㎥</v>
          </cell>
          <cell r="E865">
            <v>2200</v>
          </cell>
          <cell r="F865">
            <v>83100600</v>
          </cell>
        </row>
        <row r="866">
          <cell r="A866" t="str">
            <v>-2.      〃</v>
          </cell>
          <cell r="B866" t="str">
            <v>t = 20cm</v>
          </cell>
          <cell r="C866">
            <v>12235</v>
          </cell>
          <cell r="D866" t="str">
            <v>㎥</v>
          </cell>
          <cell r="E866">
            <v>1971</v>
          </cell>
          <cell r="F866">
            <v>24115185</v>
          </cell>
        </row>
        <row r="867">
          <cell r="A867" t="str">
            <v>-3.      〃</v>
          </cell>
          <cell r="B867" t="str">
            <v>백호우 포설</v>
          </cell>
          <cell r="C867">
            <v>1399</v>
          </cell>
          <cell r="D867" t="str">
            <v>㎥</v>
          </cell>
          <cell r="E867">
            <v>2108</v>
          </cell>
          <cell r="F867">
            <v>2949092</v>
          </cell>
        </row>
        <row r="868">
          <cell r="A868" t="str">
            <v>4.02 프 라 임   코 팅</v>
          </cell>
          <cell r="B868" t="str">
            <v>RSC-3, 80ℓ/a</v>
          </cell>
          <cell r="C868">
            <v>1816</v>
          </cell>
          <cell r="D868" t="str">
            <v>a</v>
          </cell>
          <cell r="E868">
            <v>30932</v>
          </cell>
          <cell r="F868">
            <v>56172512</v>
          </cell>
        </row>
        <row r="869">
          <cell r="A869" t="str">
            <v>4.03 아스콘 포설 및 다짐</v>
          </cell>
          <cell r="B869" t="str">
            <v>기층</v>
          </cell>
        </row>
        <row r="870">
          <cell r="A870" t="str">
            <v>a.         〃</v>
          </cell>
          <cell r="B870" t="str">
            <v>t = 15.0㎝</v>
          </cell>
          <cell r="C870">
            <v>1465</v>
          </cell>
          <cell r="D870" t="str">
            <v>a</v>
          </cell>
          <cell r="E870">
            <v>104666</v>
          </cell>
          <cell r="F870">
            <v>153335690</v>
          </cell>
        </row>
        <row r="871">
          <cell r="A871" t="str">
            <v>4.04 택     코     팅</v>
          </cell>
          <cell r="B871" t="str">
            <v>RSC-4, 30ℓ/a</v>
          </cell>
          <cell r="C871">
            <v>3653</v>
          </cell>
          <cell r="D871" t="str">
            <v>a</v>
          </cell>
          <cell r="E871">
            <v>17382</v>
          </cell>
          <cell r="F871">
            <v>63496446</v>
          </cell>
        </row>
        <row r="872">
          <cell r="A872" t="str">
            <v>4.05 아스콘 포설 및 다짐</v>
          </cell>
          <cell r="B872" t="str">
            <v>표층</v>
          </cell>
        </row>
        <row r="873">
          <cell r="A873" t="str">
            <v>a.         〃</v>
          </cell>
          <cell r="B873" t="str">
            <v>t = 10.0㎝</v>
          </cell>
          <cell r="C873">
            <v>1482</v>
          </cell>
          <cell r="D873" t="str">
            <v>a</v>
          </cell>
          <cell r="E873">
            <v>82850</v>
          </cell>
          <cell r="F873">
            <v>122783700</v>
          </cell>
        </row>
        <row r="874">
          <cell r="A874" t="str">
            <v>b. 자  전  거  도  로</v>
          </cell>
          <cell r="B874" t="str">
            <v>기계, t = 5.0㎝</v>
          </cell>
          <cell r="C874">
            <v>311</v>
          </cell>
          <cell r="D874" t="str">
            <v>a</v>
          </cell>
          <cell r="E874">
            <v>41425</v>
          </cell>
          <cell r="F874">
            <v>12883175</v>
          </cell>
        </row>
        <row r="875">
          <cell r="A875" t="str">
            <v>c.         〃</v>
          </cell>
          <cell r="B875" t="str">
            <v>인력, t = 5.0㎝</v>
          </cell>
          <cell r="C875">
            <v>51</v>
          </cell>
          <cell r="D875" t="str">
            <v>a</v>
          </cell>
          <cell r="E875">
            <v>174024</v>
          </cell>
          <cell r="F875">
            <v>8875224</v>
          </cell>
        </row>
        <row r="876">
          <cell r="A876" t="str">
            <v>4.06 콘 크 리 트 포 장</v>
          </cell>
        </row>
        <row r="877">
          <cell r="A877" t="str">
            <v>a. 콘크리트 포장</v>
          </cell>
          <cell r="B877" t="str">
            <v>t=20㎝</v>
          </cell>
          <cell r="C877">
            <v>2759</v>
          </cell>
          <cell r="D877" t="str">
            <v>㎥</v>
          </cell>
          <cell r="E877">
            <v>8922</v>
          </cell>
          <cell r="F877">
            <v>24615798</v>
          </cell>
        </row>
        <row r="878">
          <cell r="A878" t="str">
            <v>b. 부체도로용 줄눈</v>
          </cell>
          <cell r="B878" t="str">
            <v>판재 200x15㎜</v>
          </cell>
          <cell r="C878">
            <v>2759</v>
          </cell>
          <cell r="D878" t="str">
            <v>m</v>
          </cell>
          <cell r="E878">
            <v>397</v>
          </cell>
          <cell r="F878">
            <v>1095323</v>
          </cell>
        </row>
        <row r="879">
          <cell r="A879" t="str">
            <v>c. 포장용  거푸집</v>
          </cell>
          <cell r="B879" t="str">
            <v>합판 4회</v>
          </cell>
          <cell r="C879">
            <v>599</v>
          </cell>
          <cell r="D879" t="str">
            <v>㎡</v>
          </cell>
          <cell r="E879">
            <v>19038</v>
          </cell>
          <cell r="F879">
            <v>11403762</v>
          </cell>
        </row>
        <row r="880">
          <cell r="A880" t="str">
            <v>d. 비 닐   깔 기</v>
          </cell>
          <cell r="C880">
            <v>13796</v>
          </cell>
          <cell r="D880" t="str">
            <v>㎡</v>
          </cell>
          <cell r="E880">
            <v>968</v>
          </cell>
          <cell r="F880">
            <v>13354528</v>
          </cell>
        </row>
        <row r="882">
          <cell r="A882" t="str">
            <v>6. 안 전   시 설 공</v>
          </cell>
          <cell r="F882">
            <v>1050676904</v>
          </cell>
        </row>
        <row r="883">
          <cell r="A883" t="str">
            <v>5.01 차   선   도   색</v>
          </cell>
        </row>
        <row r="884">
          <cell r="A884" t="str">
            <v>a. 백            색</v>
          </cell>
          <cell r="B884" t="str">
            <v>융착식, 기계식</v>
          </cell>
          <cell r="C884">
            <v>7076</v>
          </cell>
          <cell r="D884" t="str">
            <v>㎡</v>
          </cell>
          <cell r="E884">
            <v>3189</v>
          </cell>
          <cell r="F884">
            <v>22565364</v>
          </cell>
        </row>
        <row r="885">
          <cell r="A885" t="str">
            <v>b. 황            색</v>
          </cell>
          <cell r="B885" t="str">
            <v>융착식, 기계식</v>
          </cell>
          <cell r="C885">
            <v>2463</v>
          </cell>
          <cell r="D885" t="str">
            <v>㎡</v>
          </cell>
          <cell r="E885">
            <v>3189</v>
          </cell>
          <cell r="F885">
            <v>7854507</v>
          </cell>
        </row>
        <row r="886">
          <cell r="A886" t="str">
            <v>5.02 표     지     판</v>
          </cell>
        </row>
        <row r="887">
          <cell r="A887" t="str">
            <v>a. 교 통  표 지 판</v>
          </cell>
        </row>
        <row r="888">
          <cell r="A888" t="str">
            <v>-1. 원 형  표 지 판</v>
          </cell>
          <cell r="B888" t="str">
            <v>○ 90㎝</v>
          </cell>
          <cell r="C888">
            <v>2</v>
          </cell>
          <cell r="D888" t="str">
            <v>개소</v>
          </cell>
          <cell r="E888">
            <v>109029</v>
          </cell>
          <cell r="F888">
            <v>218058</v>
          </cell>
        </row>
        <row r="889">
          <cell r="A889" t="str">
            <v>-2. 원형+반사판 표지판</v>
          </cell>
          <cell r="B889" t="str">
            <v>○ 90㎝＋(400x400)</v>
          </cell>
          <cell r="C889">
            <v>8</v>
          </cell>
          <cell r="D889" t="str">
            <v>개소</v>
          </cell>
          <cell r="E889">
            <v>164000</v>
          </cell>
          <cell r="F889">
            <v>1312000</v>
          </cell>
        </row>
        <row r="890">
          <cell r="A890" t="str">
            <v>-3. 이중삼각 표지판</v>
          </cell>
          <cell r="B890" t="str">
            <v>△120㎝</v>
          </cell>
          <cell r="C890">
            <v>17</v>
          </cell>
          <cell r="D890" t="str">
            <v>개소</v>
          </cell>
          <cell r="E890">
            <v>174029</v>
          </cell>
          <cell r="F890">
            <v>2958493</v>
          </cell>
        </row>
        <row r="891">
          <cell r="A891" t="str">
            <v>-4. 이중오각 표지판</v>
          </cell>
          <cell r="B891" t="str">
            <v>60 × 20 ×72㎝</v>
          </cell>
          <cell r="C891">
            <v>16</v>
          </cell>
          <cell r="D891" t="str">
            <v>개소</v>
          </cell>
          <cell r="E891">
            <v>185029</v>
          </cell>
          <cell r="F891">
            <v>2960464</v>
          </cell>
        </row>
        <row r="892">
          <cell r="A892" t="str">
            <v>-5. 원형 표지판(부착식)</v>
          </cell>
          <cell r="B892" t="str">
            <v>○ 90㎝</v>
          </cell>
          <cell r="C892">
            <v>8</v>
          </cell>
          <cell r="D892" t="str">
            <v>개소</v>
          </cell>
          <cell r="E892">
            <v>69610</v>
          </cell>
          <cell r="F892">
            <v>556880</v>
          </cell>
        </row>
        <row r="893">
          <cell r="A893" t="str">
            <v>-6. 원형+삼각 표지판</v>
          </cell>
          <cell r="B893" t="str">
            <v>○ 90㎝ ＋ △120㎝</v>
          </cell>
          <cell r="C893">
            <v>8</v>
          </cell>
          <cell r="D893" t="str">
            <v>개소</v>
          </cell>
          <cell r="E893">
            <v>164000</v>
          </cell>
          <cell r="F893">
            <v>1312000</v>
          </cell>
        </row>
        <row r="894">
          <cell r="A894" t="str">
            <v>b. 안 내  표 지 판</v>
          </cell>
        </row>
        <row r="895">
          <cell r="A895" t="str">
            <v>-1. 버스정류장 표지판</v>
          </cell>
          <cell r="B895" t="str">
            <v>복주식&lt;형식-1&gt;,2.42×1.20m</v>
          </cell>
          <cell r="C895">
            <v>14</v>
          </cell>
          <cell r="D895" t="str">
            <v>개소</v>
          </cell>
          <cell r="E895">
            <v>1800000</v>
          </cell>
          <cell r="F895">
            <v>25200000</v>
          </cell>
        </row>
        <row r="896">
          <cell r="A896" t="str">
            <v>-2. 비상주차대 표지판</v>
          </cell>
          <cell r="B896" t="str">
            <v>내민식&lt;형식-1&gt;,2.42×1.20m)</v>
          </cell>
          <cell r="C896">
            <v>2</v>
          </cell>
          <cell r="D896" t="str">
            <v>개소</v>
          </cell>
          <cell r="E896">
            <v>1800000</v>
          </cell>
          <cell r="F896">
            <v>3600000</v>
          </cell>
        </row>
        <row r="897">
          <cell r="A897" t="str">
            <v>-3. 안내 표지판</v>
          </cell>
          <cell r="B897" t="str">
            <v>단주식,2.60×1.45m)</v>
          </cell>
          <cell r="C897">
            <v>2</v>
          </cell>
          <cell r="D897" t="str">
            <v>개소</v>
          </cell>
          <cell r="E897">
            <v>2400000</v>
          </cell>
          <cell r="F897">
            <v>4800000</v>
          </cell>
        </row>
        <row r="898">
          <cell r="A898" t="str">
            <v>-4. 2 방 향 표 지 판</v>
          </cell>
          <cell r="B898" t="str">
            <v>내민식&lt;형식-2&gt;,4.00×2.50m</v>
          </cell>
          <cell r="C898">
            <v>14</v>
          </cell>
          <cell r="D898" t="str">
            <v>개소</v>
          </cell>
          <cell r="E898">
            <v>5800000</v>
          </cell>
          <cell r="F898">
            <v>81200000</v>
          </cell>
        </row>
        <row r="899">
          <cell r="A899" t="str">
            <v>5.03 데  리  네  이  타</v>
          </cell>
        </row>
        <row r="900">
          <cell r="A900" t="str">
            <v>a. 토      공      용</v>
          </cell>
          <cell r="C900">
            <v>517</v>
          </cell>
          <cell r="D900" t="str">
            <v>개</v>
          </cell>
          <cell r="E900">
            <v>36720</v>
          </cell>
          <cell r="F900">
            <v>18984240</v>
          </cell>
        </row>
        <row r="901">
          <cell r="A901" t="str">
            <v>b. 가   드   레    일</v>
          </cell>
          <cell r="C901">
            <v>15</v>
          </cell>
          <cell r="D901" t="str">
            <v>개</v>
          </cell>
          <cell r="E901">
            <v>25220</v>
          </cell>
          <cell r="F901">
            <v>378300</v>
          </cell>
        </row>
        <row r="902">
          <cell r="A902" t="str">
            <v>c. 옹     벽       용</v>
          </cell>
          <cell r="C902">
            <v>14</v>
          </cell>
          <cell r="D902" t="str">
            <v>개</v>
          </cell>
          <cell r="E902">
            <v>24020</v>
          </cell>
          <cell r="F902">
            <v>336280</v>
          </cell>
        </row>
        <row r="903">
          <cell r="A903" t="str">
            <v>b. 쏠라 시선 유도등</v>
          </cell>
          <cell r="C903">
            <v>2</v>
          </cell>
          <cell r="D903" t="str">
            <v>개소</v>
          </cell>
          <cell r="E903">
            <v>350000</v>
          </cell>
          <cell r="F903">
            <v>700000</v>
          </cell>
        </row>
        <row r="904">
          <cell r="A904" t="str">
            <v>5.04 도  로  표  지  병</v>
          </cell>
        </row>
        <row r="905">
          <cell r="A905" t="str">
            <v>a.         〃</v>
          </cell>
          <cell r="B905" t="str">
            <v>단면형</v>
          </cell>
          <cell r="C905">
            <v>1381</v>
          </cell>
          <cell r="D905" t="str">
            <v>개</v>
          </cell>
          <cell r="E905">
            <v>14887</v>
          </cell>
          <cell r="F905">
            <v>20558947</v>
          </cell>
        </row>
        <row r="906">
          <cell r="A906" t="str">
            <v>5.04 인 조 목 설치</v>
          </cell>
          <cell r="C906">
            <v>3595</v>
          </cell>
          <cell r="D906" t="str">
            <v>경간</v>
          </cell>
          <cell r="E906">
            <v>20000</v>
          </cell>
          <cell r="F906">
            <v>71900000</v>
          </cell>
        </row>
        <row r="907">
          <cell r="A907" t="str">
            <v>5.05 가  드   레  일</v>
          </cell>
        </row>
        <row r="908">
          <cell r="A908" t="str">
            <v>a. 표  준   레  일</v>
          </cell>
          <cell r="B908" t="str">
            <v>4x350x4330mm</v>
          </cell>
          <cell r="C908">
            <v>192</v>
          </cell>
          <cell r="D908" t="str">
            <v>경간</v>
          </cell>
          <cell r="E908">
            <v>87928</v>
          </cell>
          <cell r="F908">
            <v>16882176</v>
          </cell>
        </row>
        <row r="909">
          <cell r="A909" t="str">
            <v>b. 단  부   레  일</v>
          </cell>
          <cell r="B909" t="str">
            <v>4x350x765mm</v>
          </cell>
          <cell r="C909">
            <v>8</v>
          </cell>
          <cell r="D909" t="str">
            <v>개</v>
          </cell>
          <cell r="E909">
            <v>27474</v>
          </cell>
          <cell r="F909">
            <v>219792</v>
          </cell>
        </row>
        <row r="910">
          <cell r="A910" t="str">
            <v>c. 가 드 레 일 지 주</v>
          </cell>
          <cell r="B910" t="str">
            <v>○139.8×4.5×2200mm</v>
          </cell>
          <cell r="C910">
            <v>196</v>
          </cell>
          <cell r="D910" t="str">
            <v>개</v>
          </cell>
          <cell r="E910">
            <v>20900</v>
          </cell>
          <cell r="F910">
            <v>4096400</v>
          </cell>
        </row>
        <row r="911">
          <cell r="A911" t="str">
            <v>d. 중 앙 분 리 대</v>
          </cell>
          <cell r="B911" t="str">
            <v>4x350x4330mm</v>
          </cell>
          <cell r="C911">
            <v>240</v>
          </cell>
          <cell r="D911" t="str">
            <v>m</v>
          </cell>
          <cell r="E911">
            <v>21982</v>
          </cell>
          <cell r="F911">
            <v>5275680</v>
          </cell>
        </row>
        <row r="912">
          <cell r="A912" t="str">
            <v>e. 단부레일(중분대용)</v>
          </cell>
          <cell r="C912">
            <v>6</v>
          </cell>
          <cell r="D912" t="str">
            <v>개</v>
          </cell>
          <cell r="E912">
            <v>27474</v>
          </cell>
          <cell r="F912">
            <v>164844</v>
          </cell>
        </row>
        <row r="913">
          <cell r="A913" t="str">
            <v>f. 가드레일 시종점 기초</v>
          </cell>
          <cell r="C913">
            <v>4</v>
          </cell>
          <cell r="D913" t="str">
            <v>개소</v>
          </cell>
          <cell r="E913">
            <v>60455</v>
          </cell>
          <cell r="F913">
            <v>241820</v>
          </cell>
        </row>
        <row r="914">
          <cell r="A914" t="str">
            <v>g. 가드휀스</v>
          </cell>
          <cell r="B914" t="str">
            <v>(H1.2×L2.0m)</v>
          </cell>
          <cell r="C914">
            <v>390</v>
          </cell>
          <cell r="D914" t="str">
            <v>m</v>
          </cell>
          <cell r="E914">
            <v>25000</v>
          </cell>
          <cell r="F914">
            <v>9750000</v>
          </cell>
        </row>
        <row r="915">
          <cell r="A915" t="str">
            <v>5.06 난            간</v>
          </cell>
          <cell r="B915" t="str">
            <v>알미늄, H=1.2m</v>
          </cell>
          <cell r="C915">
            <v>1010</v>
          </cell>
          <cell r="D915" t="str">
            <v>m</v>
          </cell>
          <cell r="E915">
            <v>150000</v>
          </cell>
          <cell r="F915">
            <v>151500000</v>
          </cell>
        </row>
        <row r="916">
          <cell r="A916" t="str">
            <v>5.07 녹     지     대</v>
          </cell>
        </row>
        <row r="917">
          <cell r="A917" t="str">
            <v>a. 식  수   대</v>
          </cell>
          <cell r="B917" t="str">
            <v>일 반 부</v>
          </cell>
          <cell r="C917">
            <v>10943</v>
          </cell>
          <cell r="D917" t="str">
            <v>m</v>
          </cell>
          <cell r="E917">
            <v>15000</v>
          </cell>
          <cell r="F917">
            <v>164145000</v>
          </cell>
        </row>
        <row r="918">
          <cell r="A918" t="str">
            <v>b. 식  수   대</v>
          </cell>
          <cell r="B918" t="str">
            <v>단    부</v>
          </cell>
          <cell r="C918">
            <v>1575</v>
          </cell>
          <cell r="D918" t="str">
            <v>개소</v>
          </cell>
          <cell r="E918">
            <v>150000</v>
          </cell>
          <cell r="F918">
            <v>236250000</v>
          </cell>
        </row>
        <row r="919">
          <cell r="A919" t="str">
            <v>c. 중  분   대</v>
          </cell>
          <cell r="B919" t="str">
            <v>일 반 부</v>
          </cell>
          <cell r="C919">
            <v>6662</v>
          </cell>
          <cell r="D919" t="str">
            <v>m</v>
          </cell>
          <cell r="E919">
            <v>15000</v>
          </cell>
          <cell r="F919">
            <v>99930000</v>
          </cell>
        </row>
        <row r="920">
          <cell r="A920" t="str">
            <v>d. 중  분   대</v>
          </cell>
          <cell r="B920" t="str">
            <v>단    부</v>
          </cell>
          <cell r="C920">
            <v>6</v>
          </cell>
          <cell r="D920" t="str">
            <v>개소</v>
          </cell>
          <cell r="E920">
            <v>150000</v>
          </cell>
          <cell r="F920">
            <v>900000</v>
          </cell>
        </row>
        <row r="921">
          <cell r="A921" t="str">
            <v>5.07 버 스   정 차 대</v>
          </cell>
        </row>
        <row r="922">
          <cell r="A922" t="str">
            <v>a.        〃</v>
          </cell>
          <cell r="B922" t="str">
            <v>형식 - 1</v>
          </cell>
          <cell r="C922">
            <v>4</v>
          </cell>
          <cell r="D922" t="str">
            <v>개소</v>
          </cell>
          <cell r="E922">
            <v>4000000</v>
          </cell>
          <cell r="F922">
            <v>16000000</v>
          </cell>
        </row>
        <row r="923">
          <cell r="A923" t="str">
            <v>b.        〃</v>
          </cell>
          <cell r="B923" t="str">
            <v>형식 - 2</v>
          </cell>
          <cell r="C923">
            <v>4</v>
          </cell>
          <cell r="D923" t="str">
            <v>개소</v>
          </cell>
          <cell r="E923">
            <v>4000000</v>
          </cell>
          <cell r="F923">
            <v>16000000</v>
          </cell>
        </row>
        <row r="924">
          <cell r="A924" t="str">
            <v>5.08 안  전  관  리  비</v>
          </cell>
        </row>
        <row r="925">
          <cell r="A925" t="str">
            <v>a. 공사용 표지판 및 보안등</v>
          </cell>
          <cell r="C925">
            <v>1</v>
          </cell>
          <cell r="D925" t="str">
            <v>식</v>
          </cell>
          <cell r="E925">
            <v>5000000</v>
          </cell>
          <cell r="F925">
            <v>5000000</v>
          </cell>
        </row>
        <row r="926">
          <cell r="A926" t="str">
            <v>b. 가   설    휀   스</v>
          </cell>
          <cell r="B926" t="str">
            <v>B1.8×H1.45m</v>
          </cell>
          <cell r="C926">
            <v>1</v>
          </cell>
          <cell r="D926" t="str">
            <v>식</v>
          </cell>
          <cell r="E926">
            <v>5000000</v>
          </cell>
          <cell r="F926">
            <v>5000000</v>
          </cell>
        </row>
        <row r="927">
          <cell r="A927" t="str">
            <v>c. 안  전  관  리  인</v>
          </cell>
          <cell r="C927">
            <v>48</v>
          </cell>
          <cell r="D927" t="str">
            <v>월</v>
          </cell>
          <cell r="E927">
            <v>1000000</v>
          </cell>
          <cell r="F927">
            <v>48000000</v>
          </cell>
        </row>
        <row r="928">
          <cell r="A928" t="str">
            <v>d. 임 시 차 선 도 색</v>
          </cell>
          <cell r="B928" t="str">
            <v>황색,상온형,기계식</v>
          </cell>
          <cell r="C928">
            <v>1231</v>
          </cell>
          <cell r="D928" t="str">
            <v>㎡</v>
          </cell>
          <cell r="E928">
            <v>3189</v>
          </cell>
          <cell r="F928">
            <v>3925659</v>
          </cell>
        </row>
        <row r="930">
          <cell r="A930" t="str">
            <v>7. 부     대     공</v>
          </cell>
          <cell r="F930">
            <v>360087650</v>
          </cell>
        </row>
        <row r="931">
          <cell r="A931" t="str">
            <v>6.01 세 륜 세 차 시 설</v>
          </cell>
          <cell r="C931">
            <v>1</v>
          </cell>
          <cell r="D931" t="str">
            <v>개소</v>
          </cell>
          <cell r="E931">
            <v>15000000</v>
          </cell>
          <cell r="F931">
            <v>15000000</v>
          </cell>
        </row>
        <row r="932">
          <cell r="A932" t="str">
            <v>6.02 중   기   운   반</v>
          </cell>
          <cell r="C932">
            <v>1</v>
          </cell>
          <cell r="D932" t="str">
            <v>식</v>
          </cell>
          <cell r="E932">
            <v>7000000</v>
          </cell>
          <cell r="F932">
            <v>7000000</v>
          </cell>
        </row>
        <row r="933">
          <cell r="A933" t="str">
            <v>6.03 가설판넬 및 방진망 설치</v>
          </cell>
          <cell r="C933">
            <v>2045</v>
          </cell>
          <cell r="D933" t="str">
            <v>m</v>
          </cell>
          <cell r="E933">
            <v>35200</v>
          </cell>
          <cell r="F933">
            <v>71984000</v>
          </cell>
        </row>
        <row r="934">
          <cell r="A934" t="str">
            <v>6.04 기존도로 덧씌우기</v>
          </cell>
          <cell r="C934">
            <v>1</v>
          </cell>
          <cell r="D934" t="str">
            <v>P.S</v>
          </cell>
          <cell r="E934">
            <v>18670334</v>
          </cell>
          <cell r="F934">
            <v>18670334</v>
          </cell>
        </row>
        <row r="935">
          <cell r="A935" t="str">
            <v>6.05 기존포장 유지보수비</v>
          </cell>
          <cell r="C935">
            <v>1</v>
          </cell>
          <cell r="D935" t="str">
            <v>P.S</v>
          </cell>
          <cell r="E935">
            <v>35724602</v>
          </cell>
          <cell r="F935">
            <v>35724602</v>
          </cell>
        </row>
        <row r="936">
          <cell r="A936" t="str">
            <v>6.06 가      시      설</v>
          </cell>
        </row>
        <row r="937">
          <cell r="A937" t="str">
            <v>a. 토  공  규  준  틀</v>
          </cell>
          <cell r="C937">
            <v>1</v>
          </cell>
          <cell r="D937" t="str">
            <v>식</v>
          </cell>
          <cell r="E937">
            <v>3000000</v>
          </cell>
          <cell r="F937">
            <v>3000000</v>
          </cell>
        </row>
        <row r="938">
          <cell r="A938" t="str">
            <v>b. 가   설    건   물</v>
          </cell>
          <cell r="C938">
            <v>1</v>
          </cell>
          <cell r="D938" t="str">
            <v>식</v>
          </cell>
          <cell r="E938">
            <v>15000000</v>
          </cell>
          <cell r="F938">
            <v>15000000</v>
          </cell>
        </row>
        <row r="939">
          <cell r="A939" t="str">
            <v>6.05 준  공  표  지  석</v>
          </cell>
          <cell r="C939">
            <v>1</v>
          </cell>
          <cell r="D939" t="str">
            <v>개소</v>
          </cell>
          <cell r="E939">
            <v>1000000</v>
          </cell>
          <cell r="F939">
            <v>1000000</v>
          </cell>
        </row>
        <row r="940">
          <cell r="A940" t="str">
            <v>6.06 품  질  관  리  비</v>
          </cell>
        </row>
        <row r="941">
          <cell r="A941" t="str">
            <v>a. 시      험      비</v>
          </cell>
          <cell r="C941">
            <v>1</v>
          </cell>
          <cell r="D941" t="str">
            <v>식</v>
          </cell>
          <cell r="E941">
            <v>20000000</v>
          </cell>
          <cell r="F941">
            <v>20000000</v>
          </cell>
        </row>
        <row r="942">
          <cell r="A942" t="str">
            <v>b. 차      량      비</v>
          </cell>
          <cell r="C942">
            <v>48</v>
          </cell>
          <cell r="D942" t="str">
            <v>개월</v>
          </cell>
          <cell r="E942">
            <v>480000</v>
          </cell>
          <cell r="F942">
            <v>23040000</v>
          </cell>
        </row>
        <row r="943">
          <cell r="A943" t="str">
            <v>6.08 자   재   운   반</v>
          </cell>
        </row>
        <row r="944">
          <cell r="A944" t="str">
            <v>a. 시  멘  트  운  반</v>
          </cell>
          <cell r="B944" t="str">
            <v>40kg/대</v>
          </cell>
          <cell r="C944">
            <v>316</v>
          </cell>
          <cell r="D944" t="str">
            <v>대</v>
          </cell>
          <cell r="E944">
            <v>1200</v>
          </cell>
          <cell r="F944">
            <v>379200</v>
          </cell>
        </row>
        <row r="945">
          <cell r="A945" t="str">
            <v>b. 철   근    운   반</v>
          </cell>
          <cell r="C945">
            <v>3547.69</v>
          </cell>
          <cell r="D945" t="str">
            <v>ton</v>
          </cell>
          <cell r="E945">
            <v>12000</v>
          </cell>
          <cell r="F945">
            <v>42572280</v>
          </cell>
        </row>
        <row r="946">
          <cell r="A946" t="str">
            <v>c. 아 스 팔 트  운 반</v>
          </cell>
        </row>
        <row r="947">
          <cell r="A947" t="str">
            <v>-1.       〃</v>
          </cell>
          <cell r="B947" t="str">
            <v>RSC-3</v>
          </cell>
          <cell r="C947">
            <v>782</v>
          </cell>
          <cell r="D947" t="str">
            <v>드럼</v>
          </cell>
          <cell r="E947">
            <v>2600</v>
          </cell>
          <cell r="F947">
            <v>2033200</v>
          </cell>
        </row>
        <row r="948">
          <cell r="A948" t="str">
            <v>-2.       〃</v>
          </cell>
          <cell r="B948" t="str">
            <v>RSC-4</v>
          </cell>
          <cell r="C948">
            <v>779</v>
          </cell>
          <cell r="D948" t="str">
            <v>드럼</v>
          </cell>
          <cell r="E948">
            <v>2600</v>
          </cell>
          <cell r="F948">
            <v>2025400</v>
          </cell>
        </row>
        <row r="949">
          <cell r="A949" t="str">
            <v>d. 흄   관    운   반</v>
          </cell>
        </row>
        <row r="950">
          <cell r="A950" t="str">
            <v>-1.       〃</v>
          </cell>
          <cell r="B950" t="str">
            <v>φ 600㎜×2.5m,소켓</v>
          </cell>
          <cell r="C950">
            <v>22</v>
          </cell>
          <cell r="D950" t="str">
            <v>본</v>
          </cell>
          <cell r="E950">
            <v>1800</v>
          </cell>
          <cell r="F950">
            <v>39600</v>
          </cell>
        </row>
        <row r="951">
          <cell r="A951" t="str">
            <v>-2.       〃</v>
          </cell>
          <cell r="B951" t="str">
            <v>φ1000㎜×2.5m,소켓</v>
          </cell>
          <cell r="C951">
            <v>38</v>
          </cell>
          <cell r="D951" t="str">
            <v>본</v>
          </cell>
          <cell r="E951">
            <v>4900</v>
          </cell>
          <cell r="F951">
            <v>186200</v>
          </cell>
        </row>
        <row r="952">
          <cell r="A952" t="str">
            <v>e. 진동 및 전압 철근콘크리트관</v>
          </cell>
          <cell r="B952" t="str">
            <v>(V.R.관)</v>
          </cell>
        </row>
        <row r="953">
          <cell r="A953" t="str">
            <v>-1.       〃</v>
          </cell>
          <cell r="B953" t="str">
            <v>φ 300㎜×2.5m</v>
          </cell>
          <cell r="C953">
            <v>1329</v>
          </cell>
          <cell r="D953" t="str">
            <v>본</v>
          </cell>
          <cell r="E953">
            <v>2815</v>
          </cell>
          <cell r="F953">
            <v>3741135</v>
          </cell>
        </row>
        <row r="954">
          <cell r="A954" t="str">
            <v>-2.       〃</v>
          </cell>
          <cell r="B954" t="str">
            <v>φ 600㎜×2.5m</v>
          </cell>
          <cell r="C954">
            <v>805</v>
          </cell>
          <cell r="D954" t="str">
            <v>본</v>
          </cell>
          <cell r="E954">
            <v>9381</v>
          </cell>
          <cell r="F954">
            <v>7551705</v>
          </cell>
        </row>
        <row r="955">
          <cell r="A955" t="str">
            <v>-3.       〃</v>
          </cell>
          <cell r="B955" t="str">
            <v>φ 800㎜×2.5m</v>
          </cell>
          <cell r="C955">
            <v>269</v>
          </cell>
          <cell r="D955" t="str">
            <v>본</v>
          </cell>
          <cell r="E955">
            <v>16488</v>
          </cell>
          <cell r="F955">
            <v>4435272</v>
          </cell>
        </row>
        <row r="956">
          <cell r="A956" t="str">
            <v>-4.       〃</v>
          </cell>
          <cell r="B956" t="str">
            <v>φ1000㎜×2.5m</v>
          </cell>
          <cell r="C956">
            <v>113</v>
          </cell>
          <cell r="D956" t="str">
            <v>본</v>
          </cell>
          <cell r="E956">
            <v>26154</v>
          </cell>
          <cell r="F956">
            <v>2955402</v>
          </cell>
        </row>
        <row r="957">
          <cell r="A957" t="str">
            <v>f. 경계석 및 경계블록</v>
          </cell>
        </row>
        <row r="958">
          <cell r="A958" t="str">
            <v>-1. 보차도경계석(제주석)</v>
          </cell>
          <cell r="B958" t="str">
            <v>210×300×500mm</v>
          </cell>
          <cell r="C958">
            <v>27476</v>
          </cell>
          <cell r="D958" t="str">
            <v>개</v>
          </cell>
          <cell r="E958">
            <v>1000</v>
          </cell>
          <cell r="F958">
            <v>27476000</v>
          </cell>
        </row>
        <row r="959">
          <cell r="A959" t="str">
            <v>-2.        〃</v>
          </cell>
          <cell r="B959" t="str">
            <v>200×250×500mm</v>
          </cell>
          <cell r="C959">
            <v>63506</v>
          </cell>
          <cell r="D959" t="str">
            <v>개</v>
          </cell>
          <cell r="E959">
            <v>1000</v>
          </cell>
          <cell r="F959">
            <v>63506000</v>
          </cell>
        </row>
        <row r="960">
          <cell r="A960" t="str">
            <v>6.09 공     제     대</v>
          </cell>
          <cell r="B960" t="str">
            <v>철근 고재</v>
          </cell>
          <cell r="C960">
            <v>103.324</v>
          </cell>
          <cell r="D960" t="str">
            <v>ton</v>
          </cell>
          <cell r="E960">
            <v>-70000</v>
          </cell>
          <cell r="F960">
            <v>-7232680</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장결재_TOT(원안)"/>
      <sheetName val="시행예산집계표"/>
      <sheetName val="견적총괄표"/>
      <sheetName val="투찰방안"/>
      <sheetName val="투찰금액"/>
      <sheetName val="자율-경쟁 투찰금액"/>
      <sheetName val="가스공사 입찰결과"/>
      <sheetName val="가스공사 예정가격 사정율"/>
      <sheetName val="공사비(시행-설계) 대비표"/>
      <sheetName val="타공사(설계) 대비표"/>
      <sheetName val="타공사대비표"/>
      <sheetName val="타공사대비표 (2)"/>
      <sheetName val="기계공사 대비표"/>
      <sheetName val="기계공사 구간별 대비"/>
      <sheetName val="토목공사 구간별대비"/>
      <sheetName val="토목공사 대비표"/>
      <sheetName val="건축공사 대비표"/>
      <sheetName val="전기-계장공사 대비표"/>
      <sheetName val="양식"/>
      <sheetName val="기성내역서"/>
    </sheetNames>
    <sheetDataSet>
      <sheetData sheetId="0" refreshError="1"/>
      <sheetData sheetId="1" refreshError="1"/>
      <sheetData sheetId="2" refreshError="1">
        <row r="1">
          <cell r="B1" t="str">
            <v>見  積  總  括  表</v>
          </cell>
        </row>
        <row r="3">
          <cell r="C3" t="str">
            <v>作成 日字:  1999.  .   .</v>
          </cell>
        </row>
        <row r="4">
          <cell r="G4" t="str">
            <v xml:space="preserve">   施          行           金            額</v>
          </cell>
          <cell r="O4" t="str">
            <v xml:space="preserve"> 전산지-KS12C 6L-위(3)</v>
          </cell>
        </row>
        <row r="5">
          <cell r="C5" t="str">
            <v xml:space="preserve">           工    事     槪     要</v>
          </cell>
          <cell r="G5" t="str">
            <v xml:space="preserve"> 區         分</v>
          </cell>
          <cell r="H5" t="str">
            <v>金         額</v>
          </cell>
          <cell r="I5" t="str">
            <v>備     考</v>
          </cell>
          <cell r="L5" t="str">
            <v>備            考</v>
          </cell>
          <cell r="O5" t="str">
            <v xml:space="preserve"> A4-KS15C 7L-위(-1)</v>
          </cell>
        </row>
        <row r="6">
          <cell r="F6" t="str">
            <v xml:space="preserve"> 1.</v>
          </cell>
          <cell r="G6" t="str">
            <v xml:space="preserve"> 部 署 別 直 接 費</v>
          </cell>
        </row>
        <row r="7">
          <cell r="B7" t="str">
            <v>1.</v>
          </cell>
          <cell r="C7" t="str">
            <v xml:space="preserve"> 工    事    名</v>
          </cell>
          <cell r="D7" t="str">
            <v>수도권 광역환산망 가스공급배관</v>
          </cell>
          <cell r="F7" t="str">
            <v xml:space="preserve">1) </v>
          </cell>
          <cell r="G7" t="str">
            <v xml:space="preserve"> 機             械</v>
          </cell>
          <cell r="H7">
            <v>0</v>
          </cell>
          <cell r="K7" t="str">
            <v>施行金額  :  ￦</v>
          </cell>
          <cell r="L7">
            <v>0</v>
          </cell>
        </row>
        <row r="8">
          <cell r="B8" t="str">
            <v>2.</v>
          </cell>
          <cell r="C8" t="str">
            <v xml:space="preserve"> 容          量</v>
          </cell>
          <cell r="D8" t="str">
            <v>30" PIPE 22.26km, 공급기지 3개소</v>
          </cell>
          <cell r="F8" t="str">
            <v xml:space="preserve">2) </v>
          </cell>
          <cell r="G8" t="str">
            <v xml:space="preserve"> 電             氣</v>
          </cell>
          <cell r="K8" t="str">
            <v xml:space="preserve">                   VAT 포함</v>
          </cell>
          <cell r="L8" t="str">
            <v xml:space="preserve"> </v>
          </cell>
        </row>
        <row r="9">
          <cell r="F9" t="str">
            <v xml:space="preserve">3) </v>
          </cell>
          <cell r="G9" t="str">
            <v xml:space="preserve"> 土             木</v>
          </cell>
        </row>
        <row r="10">
          <cell r="B10" t="str">
            <v>3.</v>
          </cell>
          <cell r="C10" t="str">
            <v xml:space="preserve"> 場          所</v>
          </cell>
          <cell r="D10" t="str">
            <v>서울 경서 ~ 일산</v>
          </cell>
          <cell r="F10" t="str">
            <v xml:space="preserve">4) </v>
          </cell>
          <cell r="G10" t="str">
            <v xml:space="preserve"> 建             築</v>
          </cell>
        </row>
        <row r="11">
          <cell r="B11" t="str">
            <v>4.</v>
          </cell>
          <cell r="C11" t="str">
            <v xml:space="preserve"> 發    注    處</v>
          </cell>
          <cell r="D11" t="str">
            <v>한국가스공사</v>
          </cell>
        </row>
        <row r="12">
          <cell r="B12" t="str">
            <v>5.</v>
          </cell>
          <cell r="C12" t="str">
            <v xml:space="preserve"> 技  術  會  社</v>
          </cell>
          <cell r="D12" t="str">
            <v>한국가스 엔지니어링</v>
          </cell>
        </row>
        <row r="13">
          <cell r="B13" t="str">
            <v>6.</v>
          </cell>
          <cell r="C13" t="str">
            <v xml:space="preserve"> 提    出    處</v>
          </cell>
          <cell r="D13" t="str">
            <v>한국가스공사</v>
          </cell>
          <cell r="G13" t="str">
            <v xml:space="preserve">     小     計</v>
          </cell>
          <cell r="H13">
            <v>0</v>
          </cell>
        </row>
        <row r="14">
          <cell r="B14" t="str">
            <v>7.</v>
          </cell>
          <cell r="C14" t="str">
            <v xml:space="preserve"> 資    金    先</v>
          </cell>
        </row>
        <row r="15">
          <cell r="B15" t="str">
            <v>8.</v>
          </cell>
          <cell r="C15" t="str">
            <v xml:space="preserve"> 工  事  性  格</v>
          </cell>
          <cell r="D15" t="str">
            <v>제한경쟁입찰 + 적격심사</v>
          </cell>
          <cell r="F15" t="str">
            <v xml:space="preserve"> 2.</v>
          </cell>
          <cell r="G15" t="str">
            <v xml:space="preserve"> 共     通      費</v>
          </cell>
          <cell r="H15">
            <v>0</v>
          </cell>
        </row>
        <row r="16">
          <cell r="B16" t="str">
            <v>9.</v>
          </cell>
          <cell r="C16" t="str">
            <v xml:space="preserve"> 提  出  日  字</v>
          </cell>
          <cell r="D16" t="str">
            <v>1999.  .   .  ( : 00)</v>
          </cell>
        </row>
        <row r="17">
          <cell r="B17" t="str">
            <v>10.</v>
          </cell>
          <cell r="C17" t="str">
            <v xml:space="preserve"> 工  事  期  間</v>
          </cell>
          <cell r="G17" t="str">
            <v xml:space="preserve"> 工  事   費  計</v>
          </cell>
          <cell r="H17">
            <v>0</v>
          </cell>
        </row>
        <row r="18">
          <cell r="B18" t="str">
            <v>11.</v>
          </cell>
          <cell r="C18" t="str">
            <v xml:space="preserve"> 動  員  人  員</v>
          </cell>
          <cell r="D18" t="str">
            <v xml:space="preserve">          名</v>
          </cell>
        </row>
        <row r="19">
          <cell r="C19" t="str">
            <v xml:space="preserve">         職  員:</v>
          </cell>
          <cell r="D19" t="str">
            <v>機械 :    名    電氣 :   名</v>
          </cell>
          <cell r="F19" t="str">
            <v xml:space="preserve">* </v>
          </cell>
          <cell r="G19" t="str">
            <v xml:space="preserve"> 機械 工事費  內譯</v>
          </cell>
        </row>
        <row r="20">
          <cell r="D20" t="str">
            <v>計裝 :    名    土木 :   名</v>
          </cell>
          <cell r="F20" t="str">
            <v xml:space="preserve">1.  </v>
          </cell>
          <cell r="G20" t="str">
            <v xml:space="preserve"> 資     材      費</v>
          </cell>
        </row>
        <row r="21">
          <cell r="D21" t="str">
            <v>建築 :    名    管理 :   名</v>
          </cell>
          <cell r="F21" t="str">
            <v xml:space="preserve">1) </v>
          </cell>
          <cell r="G21" t="str">
            <v xml:space="preserve"> 內             資</v>
          </cell>
        </row>
        <row r="22">
          <cell r="D22" t="str">
            <v>Q/C  :    名</v>
          </cell>
          <cell r="F22" t="str">
            <v xml:space="preserve">2) </v>
          </cell>
          <cell r="G22" t="str">
            <v xml:space="preserve"> 外             資</v>
          </cell>
        </row>
        <row r="23">
          <cell r="B23" t="str">
            <v>12.</v>
          </cell>
          <cell r="C23" t="str">
            <v xml:space="preserve"> 入札保證金 (B/B)</v>
          </cell>
          <cell r="G23" t="str">
            <v xml:space="preserve">    小      計</v>
          </cell>
          <cell r="H23">
            <v>0</v>
          </cell>
        </row>
        <row r="24">
          <cell r="B24" t="str">
            <v>13.</v>
          </cell>
          <cell r="C24" t="str">
            <v xml:space="preserve"> 履行保證金 (P/B)</v>
          </cell>
          <cell r="F24" t="str">
            <v xml:space="preserve">2.  </v>
          </cell>
          <cell r="G24" t="str">
            <v xml:space="preserve"> 人件費및 消耗材費</v>
          </cell>
        </row>
        <row r="25">
          <cell r="B25" t="str">
            <v>14.</v>
          </cell>
          <cell r="C25" t="str">
            <v xml:space="preserve"> 先  受  金 (A/P)</v>
          </cell>
          <cell r="F25" t="str">
            <v xml:space="preserve">1) </v>
          </cell>
          <cell r="G25" t="str">
            <v xml:space="preserve"> 人     件      費</v>
          </cell>
        </row>
        <row r="26">
          <cell r="B26" t="str">
            <v>15.</v>
          </cell>
          <cell r="C26" t="str">
            <v xml:space="preserve"> 瑕  疵  期   間</v>
          </cell>
          <cell r="F26" t="str">
            <v xml:space="preserve">2) </v>
          </cell>
          <cell r="G26" t="str">
            <v xml:space="preserve"> 消 耗  資  材  費</v>
          </cell>
          <cell r="K26" t="str">
            <v xml:space="preserve"> </v>
          </cell>
          <cell r="L26" t="str">
            <v xml:space="preserve"> </v>
          </cell>
          <cell r="M26" t="str">
            <v xml:space="preserve"> </v>
          </cell>
        </row>
        <row r="27">
          <cell r="F27" t="str">
            <v xml:space="preserve">3) </v>
          </cell>
          <cell r="G27" t="str">
            <v xml:space="preserve"> 工   具   損   料</v>
          </cell>
        </row>
        <row r="28">
          <cell r="B28" t="str">
            <v>16.</v>
          </cell>
          <cell r="C28" t="str">
            <v xml:space="preserve"> 物           量</v>
          </cell>
          <cell r="G28" t="str">
            <v xml:space="preserve">    小      計</v>
          </cell>
          <cell r="H28">
            <v>0</v>
          </cell>
        </row>
        <row r="29">
          <cell r="F29" t="str">
            <v xml:space="preserve">3.  </v>
          </cell>
          <cell r="G29" t="str">
            <v xml:space="preserve"> 裝     備      費</v>
          </cell>
          <cell r="K29" t="str">
            <v>1. 主要資材 內譯</v>
          </cell>
        </row>
        <row r="30">
          <cell r="C30" t="str">
            <v xml:space="preserve">        기     계 </v>
          </cell>
          <cell r="D30" t="str">
            <v>관로 30"외      :  542.689 TON</v>
          </cell>
          <cell r="F30" t="str">
            <v xml:space="preserve">4.  </v>
          </cell>
          <cell r="G30" t="str">
            <v xml:space="preserve"> 塗     裝      費</v>
          </cell>
          <cell r="K30" t="str">
            <v>品   名</v>
          </cell>
          <cell r="L30" t="str">
            <v>數   量</v>
          </cell>
          <cell r="M30" t="str">
            <v>金   額</v>
          </cell>
        </row>
        <row r="31">
          <cell r="D31" t="str">
            <v>공급기지        :  488     TON</v>
          </cell>
          <cell r="F31" t="str">
            <v xml:space="preserve">5.  </v>
          </cell>
          <cell r="G31" t="str">
            <v xml:space="preserve"> 保     溫      費</v>
          </cell>
        </row>
        <row r="32">
          <cell r="D32" t="str">
            <v xml:space="preserve">      계        :          TON</v>
          </cell>
          <cell r="F32" t="str">
            <v xml:space="preserve">6.  </v>
          </cell>
          <cell r="G32" t="str">
            <v xml:space="preserve"> 工 事  用  假  設</v>
          </cell>
        </row>
        <row r="33">
          <cell r="F33" t="str">
            <v xml:space="preserve">1) </v>
          </cell>
          <cell r="G33" t="str">
            <v xml:space="preserve"> 臨 詩  電  力  費</v>
          </cell>
        </row>
        <row r="34">
          <cell r="C34" t="str">
            <v xml:space="preserve">        토     목 </v>
          </cell>
          <cell r="D34" t="str">
            <v>육상관로        :   20    km</v>
          </cell>
          <cell r="F34" t="str">
            <v xml:space="preserve">2) </v>
          </cell>
          <cell r="G34" t="str">
            <v xml:space="preserve"> 基 他  假  設  費</v>
          </cell>
        </row>
        <row r="35">
          <cell r="D35" t="str">
            <v>해저관로        :    2.26 km</v>
          </cell>
          <cell r="G35" t="str">
            <v xml:space="preserve">    小      計</v>
          </cell>
          <cell r="H35">
            <v>0</v>
          </cell>
        </row>
        <row r="36">
          <cell r="D36" t="str">
            <v>야적장          :   5,000 평</v>
          </cell>
          <cell r="F36" t="str">
            <v xml:space="preserve">7.  </v>
          </cell>
          <cell r="G36" t="str">
            <v xml:space="preserve"> 運     搬      費</v>
          </cell>
          <cell r="K36" t="str">
            <v>2. 主要裝備</v>
          </cell>
        </row>
        <row r="37">
          <cell r="F37" t="str">
            <v xml:space="preserve">8.  </v>
          </cell>
          <cell r="G37" t="str">
            <v xml:space="preserve"> 設 計  圖  書  費</v>
          </cell>
          <cell r="K37" t="str">
            <v>品   名</v>
          </cell>
          <cell r="L37" t="str">
            <v>數   量</v>
          </cell>
          <cell r="M37" t="str">
            <v>金   額</v>
          </cell>
        </row>
        <row r="38">
          <cell r="C38" t="str">
            <v xml:space="preserve">        건     축 </v>
          </cell>
          <cell r="D38" t="str">
            <v>제어동          :  120.33 평</v>
          </cell>
          <cell r="F38" t="str">
            <v xml:space="preserve"> 9.</v>
          </cell>
          <cell r="G38" t="str">
            <v xml:space="preserve"> 試 驗  檢  査  費</v>
          </cell>
        </row>
        <row r="39">
          <cell r="D39" t="str">
            <v>정압동          :  188.09 평</v>
          </cell>
          <cell r="F39" t="str">
            <v xml:space="preserve">10.  </v>
          </cell>
          <cell r="G39" t="str">
            <v xml:space="preserve"> 試   運   轉   費</v>
          </cell>
        </row>
        <row r="40">
          <cell r="F40" t="str">
            <v xml:space="preserve">11.  </v>
          </cell>
          <cell r="G40" t="str">
            <v xml:space="preserve"> 附 帶  工  事  費</v>
          </cell>
        </row>
        <row r="41">
          <cell r="C41" t="str">
            <v xml:space="preserve">        전기/계장 </v>
          </cell>
          <cell r="D41" t="str">
            <v>전기 및 계장공사</v>
          </cell>
        </row>
        <row r="42">
          <cell r="D42" t="str">
            <v>관로방식공사</v>
          </cell>
        </row>
        <row r="43">
          <cell r="G43" t="str">
            <v xml:space="preserve">      計</v>
          </cell>
          <cell r="H43">
            <v>0</v>
          </cell>
        </row>
        <row r="44">
          <cell r="F44" t="str">
            <v xml:space="preserve"> *  工  通  費  內  譯</v>
          </cell>
        </row>
        <row r="45">
          <cell r="B45" t="str">
            <v>17.</v>
          </cell>
          <cell r="C45" t="str">
            <v xml:space="preserve"> 備           考</v>
          </cell>
          <cell r="F45" t="str">
            <v xml:space="preserve"> 1. 假      設      費</v>
          </cell>
        </row>
        <row r="46">
          <cell r="F46" t="str">
            <v xml:space="preserve"> 2. 經常費(人 月 基準)</v>
          </cell>
        </row>
        <row r="47">
          <cell r="F47" t="str">
            <v xml:space="preserve"> 3. 保      險      料</v>
          </cell>
        </row>
        <row r="48">
          <cell r="F48" t="str">
            <v xml:space="preserve"> 4. 公  債  買  入  費</v>
          </cell>
        </row>
        <row r="50">
          <cell r="G50" t="str">
            <v xml:space="preserve">      計</v>
          </cell>
          <cell r="H50">
            <v>0</v>
          </cell>
        </row>
        <row r="51">
          <cell r="M51">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4"/>
      <sheetName val="산#4-1"/>
      <sheetName val="FITTING LENGTH"/>
      <sheetName val="PIPE"/>
      <sheetName val="VALVE"/>
      <sheetName val="FLANGE"/>
      <sheetName val="EQUIP"/>
      <sheetName val="산#5"/>
      <sheetName val="V-FLG"/>
      <sheetName val="V-VV"/>
      <sheetName val="집계표 "/>
      <sheetName val="20-25"/>
      <sheetName val="토공정보"/>
      <sheetName val="기계내역"/>
      <sheetName val="부대공"/>
      <sheetName val="방호벽"/>
      <sheetName val="교통표지"/>
      <sheetName val="낙석방지책"/>
      <sheetName val="전차선로 물량표"/>
      <sheetName val="DNT OSBL"/>
    </sheetNames>
    <sheetDataSet>
      <sheetData sheetId="0"/>
      <sheetData sheetId="1"/>
      <sheetData sheetId="2"/>
      <sheetData sheetId="3"/>
      <sheetData sheetId="4" refreshError="1"/>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GI-LIST"/>
      <sheetName val="교각계산"/>
      <sheetName val="PIPE"/>
      <sheetName val="FLANGE"/>
      <sheetName val="VALVE"/>
      <sheetName val="일위대가(가설)"/>
      <sheetName val="토공정보"/>
      <sheetName val="S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QPT-Z"/>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뜃맟뭁돽띿맟?-BLDG"/>
      <sheetName val="BOQ FORM FOR INQUIRY"/>
      <sheetName val="FORM OF PROPOSAL RFP-003"/>
      <sheetName val="合成単価作成表-BLDG"/>
      <sheetName val="合成??作成表-BLDG"/>
      <sheetName val="‡¬’P‰¿ì¬?-BLDG"/>
      <sheetName val="Proposal Schedule"/>
      <sheetName val="??-BLDG"/>
      <sheetName val="?-BLDG"/>
      <sheetName val="????·???·-BLDGL-03E.X"/>
      <sheetName val="‡¬’P‰¿ì¬E-BLDG"/>
      <sheetName val="¬P¿ì¬E-BLDG"/>
      <sheetName val="崌惉扨壙嶌惉?-BLDG"/>
      <sheetName val="???????-BLDG"/>
      <sheetName val="合成単価作成・-BLDG"/>
      <sheetName val="‡¬’P‰¿ì_x0010_¬?-BLDG"/>
      <sheetName val="뜃맟뭁돽띿맟__BLDG"/>
      <sheetName val="노임단가"/>
      <sheetName val="合成単価作成表_BLDG"/>
      <sheetName val="piping"/>
      <sheetName val="1련박스"/>
      <sheetName val="기계내역서"/>
      <sheetName val="CB"/>
      <sheetName val="Administrative Prices"/>
      <sheetName val="Summary"/>
      <sheetName val="목포전화국"/>
      <sheetName val="POWER"/>
      <sheetName val="________BLDG"/>
      <sheetName val="손익차9월2"/>
      <sheetName val="CAT_5"/>
      <sheetName val="시가지우회도로공내역서"/>
      <sheetName val="ELECTRIC"/>
      <sheetName val="SCHEDULE"/>
      <sheetName val="견적대비표"/>
      <sheetName val="PIPE"/>
      <sheetName val="FLANGE"/>
      <sheetName val="VALVE"/>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전차선로 물량표"/>
      <sheetName val="공사내역"/>
      <sheetName val="Sheet6"/>
      <sheetName val="단가산출"/>
      <sheetName val="단면가정"/>
      <sheetName val="교각계산"/>
      <sheetName val="기준표"/>
      <sheetName val="뜃맟뭁돽띿맟?-BLDG"/>
      <sheetName val="가정단면"/>
      <sheetName val="기성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O10">
            <v>4</v>
          </cell>
          <cell r="P10" t="str">
            <v>│</v>
          </cell>
          <cell r="Q10" t="str">
            <v>사리도</v>
          </cell>
          <cell r="R10" t="str">
            <v>│</v>
          </cell>
          <cell r="T10" t="str">
            <v>│</v>
          </cell>
          <cell r="V10" t="str">
            <v>│</v>
          </cell>
          <cell r="W10">
            <v>0</v>
          </cell>
          <cell r="X10" t="str">
            <v>│</v>
          </cell>
          <cell r="Z10" t="str">
            <v>│</v>
          </cell>
          <cell r="AB10" t="str">
            <v>│</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O11">
            <v>5</v>
          </cell>
          <cell r="P11" t="str">
            <v>│</v>
          </cell>
          <cell r="Q11" t="str">
            <v>잔디</v>
          </cell>
          <cell r="R11" t="str">
            <v>│</v>
          </cell>
          <cell r="T11" t="str">
            <v>│</v>
          </cell>
          <cell r="V11" t="str">
            <v>│</v>
          </cell>
          <cell r="W11">
            <v>0</v>
          </cell>
          <cell r="X11" t="str">
            <v>│</v>
          </cell>
          <cell r="Z11" t="str">
            <v>│</v>
          </cell>
          <cell r="AB11" t="str">
            <v>│</v>
          </cell>
          <cell r="AF11">
            <v>4</v>
          </cell>
          <cell r="AG11">
            <v>0</v>
          </cell>
          <cell r="AH11">
            <v>0</v>
          </cell>
          <cell r="AI11">
            <v>0</v>
          </cell>
          <cell r="AJ11">
            <v>0.7</v>
          </cell>
          <cell r="AK11">
            <v>0.7</v>
          </cell>
          <cell r="AL11">
            <v>0.7</v>
          </cell>
          <cell r="AM11">
            <v>0.7</v>
          </cell>
          <cell r="AN11">
            <v>0.7</v>
          </cell>
          <cell r="AO11">
            <v>0.7</v>
          </cell>
          <cell r="AP11">
            <v>0</v>
          </cell>
          <cell r="AQ11">
            <v>0.7</v>
          </cell>
          <cell r="AR11">
            <v>0.3</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cell r="AF12">
            <v>5</v>
          </cell>
          <cell r="AG12">
            <v>0</v>
          </cell>
          <cell r="AH12">
            <v>0</v>
          </cell>
          <cell r="AI12">
            <v>0</v>
          </cell>
          <cell r="AJ12">
            <v>0.7</v>
          </cell>
          <cell r="AK12">
            <v>0.7</v>
          </cell>
          <cell r="AL12">
            <v>0.7</v>
          </cell>
          <cell r="AM12">
            <v>0.7</v>
          </cell>
          <cell r="AN12">
            <v>0.7</v>
          </cell>
          <cell r="AO12">
            <v>0.7</v>
          </cell>
          <cell r="AP12">
            <v>0</v>
          </cell>
          <cell r="AQ12">
            <v>0.7</v>
          </cell>
          <cell r="AR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cell r="AF13">
            <v>6</v>
          </cell>
          <cell r="AG13">
            <v>0</v>
          </cell>
          <cell r="AH13">
            <v>0</v>
          </cell>
          <cell r="AI13">
            <v>0</v>
          </cell>
          <cell r="AJ13">
            <v>0.7</v>
          </cell>
          <cell r="AK13">
            <v>0.7</v>
          </cell>
          <cell r="AL13">
            <v>0.7</v>
          </cell>
          <cell r="AM13">
            <v>0.7</v>
          </cell>
          <cell r="AN13">
            <v>0.7</v>
          </cell>
          <cell r="AO13">
            <v>0.7</v>
          </cell>
          <cell r="AP13">
            <v>0</v>
          </cell>
          <cell r="AQ13">
            <v>0.7</v>
          </cell>
          <cell r="AR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O16">
            <v>10</v>
          </cell>
          <cell r="P16" t="str">
            <v>│</v>
          </cell>
          <cell r="Q16" t="str">
            <v>콘크리트</v>
          </cell>
          <cell r="R16" t="str">
            <v>│</v>
          </cell>
          <cell r="T16" t="str">
            <v>│</v>
          </cell>
          <cell r="V16" t="str">
            <v>│</v>
          </cell>
          <cell r="W16">
            <v>0.2</v>
          </cell>
          <cell r="X16" t="str">
            <v>│</v>
          </cell>
          <cell r="Z16" t="str">
            <v>│</v>
          </cell>
          <cell r="AB16" t="str">
            <v>│</v>
          </cell>
          <cell r="AC16">
            <v>0</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01-01"/>
      <sheetName val="01-02"/>
      <sheetName val="01-03"/>
      <sheetName val="01-04"/>
      <sheetName val="01-05"/>
      <sheetName val="01-06"/>
      <sheetName val="01-07"/>
      <sheetName val="01-08"/>
      <sheetName val="02-09"/>
      <sheetName val="02-10"/>
      <sheetName val="15-11"/>
      <sheetName val="15-12"/>
      <sheetName val="16-13"/>
      <sheetName val="16-14"/>
      <sheetName val="17-15"/>
      <sheetName val="17-16"/>
      <sheetName val="17-17"/>
      <sheetName val="17-18"/>
      <sheetName val="20-19"/>
      <sheetName val="20-20"/>
      <sheetName val="20-21"/>
      <sheetName val="20-22"/>
      <sheetName val="20-23"/>
      <sheetName val="20-24"/>
      <sheetName val="20-25"/>
      <sheetName val="토공정보"/>
      <sheetName val="가정단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1A"/>
      <sheetName val="길웅스틸"/>
      <sheetName val="kil woong"/>
      <sheetName val="10-4"/>
      <sheetName val="00000000"/>
      <sheetName val="당초"/>
      <sheetName val="NYS"/>
      <sheetName val="집계표"/>
      <sheetName val="AIR SHOWER(3인용)"/>
      <sheetName val="부표총괄"/>
      <sheetName val="CM 1"/>
      <sheetName val="내역"/>
      <sheetName val="LINER-6"/>
      <sheetName val="여과지동"/>
      <sheetName val="기초자료"/>
      <sheetName val="PIPE"/>
      <sheetName val="FLANGE"/>
      <sheetName val="VALV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Sheet1"/>
      <sheetName val="XL4Poppy"/>
      <sheetName val="Q1-02"/>
      <sheetName val="Q2-02"/>
      <sheetName val="Q3-0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PIPE"/>
      <sheetName val="FLANGE"/>
      <sheetName val="VALVE"/>
      <sheetName val="예산M11A"/>
      <sheetName val="LinerWt"/>
      <sheetName val="Mech_1030"/>
      <sheetName val="송라터널총괄"/>
      <sheetName val="뜃맟뭁돽띿맟?-BLDG"/>
      <sheetName val="PBS"/>
      <sheetName val="Sheet2"/>
      <sheetName val="Sheet3"/>
      <sheetName val="T6"/>
      <sheetName val="Mau"/>
      <sheetName val="COA-17"/>
      <sheetName val="C-18"/>
      <sheetName val="Summary"/>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CAT_5"/>
      <sheetName val="간접비내역-1"/>
      <sheetName val="Basic"/>
      <sheetName val="合成単価作成表-BLDG"/>
      <sheetName val="EQUIPMENT -2"/>
      <sheetName val="전차선로 물량표"/>
      <sheetName val="적용률"/>
      <sheetName val="용기"/>
      <sheetName val="적용환율"/>
      <sheetName val="현장관리비"/>
      <sheetName val="실행내역"/>
      <sheetName val="#REF"/>
      <sheetName val="DESIGN CRITERIA"/>
      <sheetName val="계산근거"/>
      <sheetName val="INSUL"/>
      <sheetName val="재료비"/>
      <sheetName val="input"/>
      <sheetName val="piping"/>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L4Test5"/>
      <sheetName val="C45"/>
      <sheetName val="C47A"/>
      <sheetName val="C47B"/>
      <sheetName val="C46"/>
      <sheetName val="DsachYT"/>
      <sheetName val="00"/>
      <sheetName val="Bhxhoi"/>
      <sheetName val="Outlets"/>
      <sheetName val="PGs"/>
      <sheetName val="KH LDTL"/>
      <sheetName val="보온자재단가표"/>
      <sheetName val="계산"/>
      <sheetName val="작성기준"/>
      <sheetName val="견적조건"/>
      <sheetName val="BQ_Equip_Pipe"/>
      <sheetName val="맨홀수량산출"/>
      <sheetName val="가감수량"/>
      <sheetName val="20-25"/>
      <sheetName val="CON"/>
      <sheetName val="CABLE"/>
      <sheetName val="입찰안"/>
      <sheetName val="설계예산서"/>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BLDG"/>
      <sheetName val="SILICAT_x0003_"/>
      <sheetName val="TAI"/>
      <sheetName val="BANLE"/>
      <sheetName val="t.kho"/>
      <sheetName val="CLB"/>
      <sheetName val="phong"/>
      <sheetName val="hoat"/>
      <sheetName val="tong BH"/>
      <sheetName val="nhapkho"/>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1-12"/>
      <sheetName val="LUONG CHO HUU"/>
      <sheetName val="thu BHXH,YT"/>
      <sheetName val="Phan bo"/>
      <sheetName val="TH QT"/>
      <sheetName val="KE QT"/>
      <sheetName val="POWER"/>
      <sheetName val="LABTOTAL"/>
      <sheetName val="BLR-S"/>
      <sheetName val="Est-Hotpp"/>
      <sheetName val="PipW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TB-내역서"/>
      <sheetName val="SILICATE"/>
      <sheetName val="TOTAL"/>
      <sheetName val="Mech_1030"/>
      <sheetName val="말뚝지지력산정"/>
      <sheetName val="토공정보"/>
      <sheetName val="Sheet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KH12"/>
      <sheetName val="CN12"/>
      <sheetName val="HD12"/>
      <sheetName val="KH1"/>
      <sheetName val="00000000"/>
      <sheetName val="cong bien t10"/>
      <sheetName val="luong t9 "/>
      <sheetName val="bb t9"/>
      <sheetName val="XETT10-03"/>
      <sheetName val="bxet"/>
      <sheetName val="XXXXXXXX"/>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MD"/>
      <sheetName val="ND"/>
      <sheetName val="CONG"/>
      <sheetName val="DGCT"/>
      <sheetName val="Gia VL"/>
      <sheetName val="Bang gia ca may"/>
      <sheetName val="Bang luong CB"/>
      <sheetName val="Bang P.tich CT"/>
      <sheetName val="D.toan chi tiet"/>
      <sheetName val="Bang TH Dtoan"/>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BC_KKTSCD"/>
      <sheetName val="Chitiet"/>
      <sheetName val="Sheet2 (2)"/>
      <sheetName val="Mau_BC_KKTSCD"/>
      <sheetName val="KH 2003 (moi max)"/>
      <sheetName val="Chart2"/>
      <sheetName val="Chart1"/>
      <sheetName val="Interim payment"/>
      <sheetName val="Letter"/>
      <sheetName val="Bid Sum"/>
      <sheetName val="Item B"/>
      <sheetName val="Dg A"/>
      <sheetName val="Dg B&amp;C"/>
      <sheetName val="Rates&amp;Prices"/>
      <sheetName val="Material at site"/>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tscd"/>
      <sheetName val="KM"/>
      <sheetName val="KHOANMUC"/>
      <sheetName val="CPQL"/>
      <sheetName val="SANLUONG"/>
      <sheetName val="SSCP-SL"/>
      <sheetName val="CPSX"/>
      <sheetName val="KQKD"/>
      <sheetName val="CDSL (2)"/>
      <sheetName val="00000001"/>
      <sheetName val="00000002"/>
      <sheetName val="00000003"/>
      <sheetName val="00000004"/>
      <sheetName val="VL"/>
      <sheetName val="CTXD"/>
      <sheetName val=".."/>
      <sheetName val="CTDN"/>
      <sheetName val="san vuon"/>
      <sheetName val="khu phu tro"/>
      <sheetName val="TH"/>
      <sheetName val="Thuyet minh"/>
      <sheetName val="CQ-HQ"/>
      <sheetName val="be tong"/>
      <sheetName val="Thep"/>
      <sheetName val="Tong hop thep"/>
      <sheetName val="phan tich DG"/>
      <sheetName val="gia vat lieu"/>
      <sheetName val="gia xe may"/>
      <sheetName val="gia nhan cong"/>
      <sheetName val="XL4Test5"/>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Congty"/>
      <sheetName val="VPPN"/>
      <sheetName val="XN74"/>
      <sheetName val="XN54"/>
      <sheetName val="XN33"/>
      <sheetName val="NK96"/>
      <sheetName val="THCT"/>
      <sheetName val="cap cho cac DT"/>
      <sheetName val="Ung - hoan"/>
      <sheetName val="CP may"/>
      <sheetName val="SS"/>
      <sheetName val="NVL"/>
      <sheetName val="10000000"/>
      <sheetName val="Phu luc"/>
      <sheetName val="Gia trÞ"/>
      <sheetName val=""/>
      <sheetName val="1"/>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Quang Tri"/>
      <sheetName val="TTHue"/>
      <sheetName val="Da Nang"/>
      <sheetName val="Quang Nam"/>
      <sheetName val="Quang Ngai"/>
      <sheetName val="TH DH-QN"/>
      <sheetName val="KP HD"/>
      <sheetName val="DB HD"/>
      <sheetName val="dutoan1"/>
      <sheetName val="Anhtoan"/>
      <sheetName val="dutoan2"/>
      <sheetName val="vat tu"/>
      <sheetName val="Thep "/>
      <sheetName val="Chi tiet Khoi luong"/>
      <sheetName val="TH khoi luong"/>
      <sheetName val="Chiet tinh vat lieu "/>
      <sheetName val="TH KL VL"/>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Q1-02"/>
      <sheetName val="Q2-02"/>
      <sheetName val="Q3-02"/>
      <sheetName val="9"/>
      <sheetName val="10"/>
      <sheetName val="DTHH"/>
      <sheetName val="Bang1"/>
      <sheetName val="TAI TRONG"/>
      <sheetName val="NOI LUC"/>
      <sheetName val="TINH DUYET THTT CHINH"/>
      <sheetName val="TDUYET THTT PHU"/>
      <sheetName val="TINH DAO DONG VA DO VONG"/>
      <sheetName val="TINH NEO"/>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CT xa"/>
      <sheetName val="TLGC"/>
      <sheetName val="BL"/>
      <sheetName val="tc"/>
      <sheetName val="TDT"/>
      <sheetName val="xl"/>
      <sheetName val="NN"/>
      <sheetName val="Tralaivay"/>
      <sheetName val="TBTN"/>
      <sheetName val="CPTV"/>
      <sheetName val="PCCHAY"/>
      <sheetName val="dtks"/>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C45A-BH"/>
      <sheetName val="C46A-BH"/>
      <sheetName val="C47A-BH"/>
      <sheetName val="C48A-BH"/>
      <sheetName val="S-53-1"/>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CHIT"/>
      <sheetName val="THXH"/>
      <sheetName val="BHXH"/>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cong Q2"/>
      <sheetName val="T.U luong Q1"/>
      <sheetName val="T.U luong Q2"/>
      <sheetName val="T.U luong Q3"/>
      <sheetName val="Quyet toan"/>
      <sheetName val="Thu hoi"/>
      <sheetName val="Lai vay"/>
      <sheetName val="Tien vay"/>
      <sheetName val="Cong no"/>
      <sheetName val="Cop pha"/>
      <sheetName val="20000000"/>
      <sheetName val="TM"/>
      <sheetName val="BU-gian"/>
      <sheetName val="Bu-Ha"/>
      <sheetName val="PTVT"/>
      <sheetName val="Gia DAN"/>
      <sheetName val="Dan"/>
      <sheetName val="Cuoc"/>
      <sheetName val="Bugia"/>
      <sheetName val="KL57"/>
      <sheetName val="Phu luc HD"/>
      <sheetName val="Gia du thau"/>
      <sheetName val="PTDG"/>
      <sheetName val="Ca xe"/>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KL VL"/>
      <sheetName val="KHCTiet"/>
      <sheetName val="QT 9-6"/>
      <sheetName val="Thuong luu HB"/>
      <sheetName val="QT03"/>
      <sheetName val="QT"/>
      <sheetName val="PTmay"/>
      <sheetName val="KK"/>
      <sheetName val="QT Ky T"/>
      <sheetName val="BCKT"/>
      <sheetName val="bc vt TON BAI"/>
      <sheetName val="XXXXXXX0"/>
      <sheetName val="QT Duoc (Hai)"/>
      <sheetName val="Cua"/>
      <sheetName val="NS"/>
      <sheetName val="sent to"/>
      <sheetName val="기계시공"/>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C47-QI-2003"/>
      <sheetName val="ytq1"/>
      <sheetName val="인6월"/>
      <sheetName val="C48-QI-2003"/>
      <sheetName val="SILICATE"/>
      <sheetName val="TB-내역서"/>
      <sheetName val="DATA"/>
      <sheetName val="THDGK"/>
    </sheetNames>
    <definedNames>
      <definedName name="DataFilter"/>
      <definedName name="DataSort"/>
      <definedName name="GoBack" sheetI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sheetData sheetId="724" refreshError="1"/>
      <sheetData sheetId="7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2A"/>
      <sheetName val="말뚝지지력산정"/>
      <sheetName val="내역서(총)"/>
      <sheetName val="예산M11A"/>
      <sheetName val="BQ List"/>
      <sheetName val="표지"/>
      <sheetName val="TOTAL"/>
      <sheetName val="협조전"/>
      <sheetName val="eq_data"/>
      <sheetName val="VS P-Q"/>
      <sheetName val="pip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 LIST"/>
      <sheetName val="공통비"/>
      <sheetName val="집계"/>
      <sheetName val="기자비"/>
      <sheetName val="VENDOR LIST (2)"/>
      <sheetName val="견적조건"/>
      <sheetName val="내역"/>
      <sheetName val="SCHEDULE"/>
      <sheetName val="물량집계표"/>
      <sheetName val="자재비중량대비(배관)"/>
      <sheetName val="자재비(EQUIP)"/>
      <sheetName val="자재비(PIPING)"/>
      <sheetName val="배관자재비(정렬안됨)"/>
      <sheetName val="시공비대비표"/>
      <sheetName val="인건비(기기)"/>
      <sheetName val="인건비(배관)"/>
      <sheetName val="자재비"/>
      <sheetName val="인건비"/>
      <sheetName val="공구손료"/>
      <sheetName val="소모자재비"/>
      <sheetName val="장비비"/>
      <sheetName val="도장비"/>
      <sheetName val="보온공사비"/>
      <sheetName val="운반비"/>
      <sheetName val="시험검사비"/>
      <sheetName val="부대공사비"/>
      <sheetName val="공사용가설비"/>
      <sheetName val="목차"/>
      <sheetName val="견적총괄표"/>
      <sheetName val="표지"/>
      <sheetName val="보온면적산출"/>
      <sheetName val="도장면적산출"/>
      <sheetName val="예산M12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표"/>
      <sheetName val="토공집계표"/>
      <sheetName val="용접부"/>
      <sheetName val="토공1"/>
      <sheetName val="포장집계표"/>
      <sheetName val="인력1"/>
      <sheetName val="토공2"/>
      <sheetName val="인력2"/>
      <sheetName val="토공3"/>
      <sheetName val="토공4"/>
      <sheetName val="토공정보"/>
      <sheetName val="구조물집계표"/>
      <sheetName val="맨홀1"/>
      <sheetName val="맨홀2"/>
      <sheetName val="환기구1"/>
      <sheetName val="환기구1(수량)"/>
      <sheetName val="환기구2"/>
      <sheetName val="환기구2(수량)"/>
      <sheetName val="가설집계표"/>
      <sheetName val="복공판"/>
      <sheetName val="CON`C-PAD"/>
      <sheetName val="PP마대"/>
      <sheetName val="지장물"/>
      <sheetName val="Sheet1"/>
      <sheetName val="Sheet2"/>
      <sheetName val="Sheet3"/>
      <sheetName val="일위대가"/>
      <sheetName val="기성내역서"/>
      <sheetName val="Sheet6"/>
      <sheetName val="도급양식"/>
      <sheetName val="토공수량산출서1"/>
      <sheetName val="하수처리장"/>
      <sheetName val="4차원가계산서"/>
      <sheetName val="변경내역서"/>
      <sheetName val="업체별기성내역"/>
      <sheetName val="수량집계표"/>
      <sheetName val="맨홀수량산출"/>
      <sheetName val="산출내역서집계표"/>
      <sheetName val="물가대비표"/>
      <sheetName val="표지"/>
      <sheetName val="Proposal"/>
      <sheetName val="토공집계"/>
      <sheetName val="단가조사"/>
      <sheetName val="방식총괄"/>
      <sheetName val="노임"/>
      <sheetName val="예산M12A"/>
      <sheetName val="VENDOR LIST"/>
      <sheetName val="2"/>
      <sheetName val="두앙"/>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row r="7">
          <cell r="B7">
            <v>20</v>
          </cell>
          <cell r="C7" t="str">
            <v>│</v>
          </cell>
          <cell r="D7">
            <v>0.09</v>
          </cell>
          <cell r="E7" t="str">
            <v>│</v>
          </cell>
          <cell r="F7">
            <v>0.2</v>
          </cell>
          <cell r="G7" t="str">
            <v>│</v>
          </cell>
          <cell r="H7">
            <v>0.1</v>
          </cell>
          <cell r="I7" t="str">
            <v>│</v>
          </cell>
          <cell r="J7">
            <v>0.1</v>
          </cell>
          <cell r="K7" t="str">
            <v>│</v>
          </cell>
          <cell r="L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B8">
            <v>25</v>
          </cell>
          <cell r="C8" t="str">
            <v>│</v>
          </cell>
          <cell r="D8">
            <v>0.09</v>
          </cell>
          <cell r="E8" t="str">
            <v>│</v>
          </cell>
          <cell r="F8">
            <v>0.2</v>
          </cell>
          <cell r="G8" t="str">
            <v>│</v>
          </cell>
          <cell r="H8">
            <v>0.1</v>
          </cell>
          <cell r="I8" t="str">
            <v>│</v>
          </cell>
          <cell r="J8">
            <v>0.1</v>
          </cell>
          <cell r="K8" t="str">
            <v>│</v>
          </cell>
          <cell r="L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B9">
            <v>32</v>
          </cell>
          <cell r="C9" t="str">
            <v>│</v>
          </cell>
          <cell r="D9">
            <v>0.11</v>
          </cell>
          <cell r="E9" t="str">
            <v>│</v>
          </cell>
          <cell r="F9">
            <v>0.2</v>
          </cell>
          <cell r="G9" t="str">
            <v>│</v>
          </cell>
          <cell r="H9">
            <v>0.1</v>
          </cell>
          <cell r="I9" t="str">
            <v>│</v>
          </cell>
          <cell r="J9">
            <v>0.1</v>
          </cell>
          <cell r="K9" t="str">
            <v>│</v>
          </cell>
          <cell r="L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B10">
            <v>40</v>
          </cell>
          <cell r="C10" t="str">
            <v>│</v>
          </cell>
          <cell r="D10">
            <v>0.11</v>
          </cell>
          <cell r="E10" t="str">
            <v>│</v>
          </cell>
          <cell r="F10">
            <v>0.2</v>
          </cell>
          <cell r="G10" t="str">
            <v>│</v>
          </cell>
          <cell r="H10">
            <v>0.1</v>
          </cell>
          <cell r="I10" t="str">
            <v>│</v>
          </cell>
          <cell r="J10">
            <v>0.1</v>
          </cell>
          <cell r="K10" t="str">
            <v>│</v>
          </cell>
          <cell r="L10">
            <v>0.2</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B11">
            <v>50</v>
          </cell>
          <cell r="C11" t="str">
            <v>│</v>
          </cell>
          <cell r="D11">
            <v>0.125</v>
          </cell>
          <cell r="E11" t="str">
            <v>│</v>
          </cell>
          <cell r="F11">
            <v>0.2</v>
          </cell>
          <cell r="G11" t="str">
            <v>│</v>
          </cell>
          <cell r="H11">
            <v>0.1</v>
          </cell>
          <cell r="I11" t="str">
            <v>│</v>
          </cell>
          <cell r="J11">
            <v>0.15</v>
          </cell>
          <cell r="K11" t="str">
            <v>│</v>
          </cell>
          <cell r="L11">
            <v>0.2</v>
          </cell>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B12">
            <v>65</v>
          </cell>
          <cell r="C12" t="str">
            <v>│</v>
          </cell>
          <cell r="D12">
            <v>0.14000000000000001</v>
          </cell>
          <cell r="E12" t="str">
            <v>│</v>
          </cell>
          <cell r="F12">
            <v>0.2</v>
          </cell>
          <cell r="G12" t="str">
            <v>│</v>
          </cell>
          <cell r="H12">
            <v>0.1</v>
          </cell>
          <cell r="I12" t="str">
            <v>│</v>
          </cell>
          <cell r="J12">
            <v>0.15</v>
          </cell>
          <cell r="K12" t="str">
            <v>│</v>
          </cell>
          <cell r="L12">
            <v>0.2</v>
          </cell>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B13">
            <v>80</v>
          </cell>
          <cell r="C13" t="str">
            <v>│</v>
          </cell>
          <cell r="D13">
            <v>0.16</v>
          </cell>
          <cell r="E13" t="str">
            <v>│</v>
          </cell>
          <cell r="F13">
            <v>0.2</v>
          </cell>
          <cell r="G13" t="str">
            <v>│</v>
          </cell>
          <cell r="H13">
            <v>0.1</v>
          </cell>
          <cell r="I13" t="str">
            <v>│</v>
          </cell>
          <cell r="J13">
            <v>0.15</v>
          </cell>
          <cell r="K13" t="str">
            <v>│</v>
          </cell>
          <cell r="L13">
            <v>0.2</v>
          </cell>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B14">
            <v>100</v>
          </cell>
          <cell r="C14" t="str">
            <v>│</v>
          </cell>
          <cell r="D14">
            <v>0.2</v>
          </cell>
          <cell r="E14" t="str">
            <v>│</v>
          </cell>
          <cell r="F14">
            <v>0.2</v>
          </cell>
          <cell r="G14" t="str">
            <v>│</v>
          </cell>
          <cell r="H14">
            <v>0.1</v>
          </cell>
          <cell r="I14" t="str">
            <v>│</v>
          </cell>
          <cell r="J14">
            <v>0.2</v>
          </cell>
          <cell r="K14" t="str">
            <v>│</v>
          </cell>
          <cell r="L14">
            <v>0.2</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B15">
            <v>125</v>
          </cell>
          <cell r="C15" t="str">
            <v>│</v>
          </cell>
          <cell r="D15">
            <v>0.22500000000000001</v>
          </cell>
          <cell r="E15" t="str">
            <v>│</v>
          </cell>
          <cell r="F15">
            <v>0.2</v>
          </cell>
          <cell r="G15" t="str">
            <v>│</v>
          </cell>
          <cell r="H15">
            <v>0.1</v>
          </cell>
          <cell r="I15" t="str">
            <v>│</v>
          </cell>
          <cell r="J15">
            <v>0.2</v>
          </cell>
          <cell r="K15" t="str">
            <v>│</v>
          </cell>
          <cell r="L15">
            <v>0.2</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B16">
            <v>150</v>
          </cell>
          <cell r="C16" t="str">
            <v>│</v>
          </cell>
          <cell r="D16">
            <v>0.25</v>
          </cell>
          <cell r="E16" t="str">
            <v>│</v>
          </cell>
          <cell r="F16">
            <v>0.2</v>
          </cell>
          <cell r="G16" t="str">
            <v>│</v>
          </cell>
          <cell r="H16">
            <v>0.1</v>
          </cell>
          <cell r="I16" t="str">
            <v>│</v>
          </cell>
          <cell r="J16">
            <v>0.25</v>
          </cell>
          <cell r="K16" t="str">
            <v>│</v>
          </cell>
          <cell r="L16">
            <v>0.2</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B17">
            <v>200</v>
          </cell>
          <cell r="C17" t="str">
            <v>│</v>
          </cell>
          <cell r="D17">
            <v>0.315</v>
          </cell>
          <cell r="E17" t="str">
            <v>│</v>
          </cell>
          <cell r="F17">
            <v>0.2</v>
          </cell>
          <cell r="G17" t="str">
            <v>│</v>
          </cell>
          <cell r="H17">
            <v>0.1</v>
          </cell>
          <cell r="I17" t="str">
            <v>│</v>
          </cell>
          <cell r="J17">
            <v>0.25</v>
          </cell>
          <cell r="K17" t="str">
            <v>│</v>
          </cell>
          <cell r="L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류판설치(t=60)"/>
      <sheetName val="토류판철거(t=60)"/>
      <sheetName val="토류판설치(t=70)"/>
      <sheetName val="토류판철거(t=70)"/>
      <sheetName val="토류판설치(t=80)"/>
      <sheetName val="토류판철거(t=80)"/>
      <sheetName val="토류판설치(t=90)"/>
      <sheetName val="토류판철거(t=90)"/>
      <sheetName val="토공정보"/>
      <sheetName val="공통비"/>
      <sheetName val="#REF"/>
      <sheetName val="H-PILE 박기"/>
      <sheetName val="PIPE"/>
      <sheetName val="말뚝물량"/>
      <sheetName val="내역서"/>
      <sheetName val="Sheet1"/>
      <sheetName val="MOTOR"/>
      <sheetName val="기준표"/>
      <sheetName val="총괄표"/>
      <sheetName val="집계표(논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원가계산서"/>
      <sheetName val="설계내역서"/>
      <sheetName val="제어반공량"/>
      <sheetName val="가격조사"/>
      <sheetName val="제어반견적"/>
      <sheetName val="주요물량"/>
      <sheetName val="ITEM"/>
      <sheetName val="적쒩2002"/>
      <sheetName val="단위내엍목록"/>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일반공사"/>
      <sheetName val="2F 회의실견적(5_14 일대)"/>
      <sheetName val="CONCRETE"/>
      <sheetName val="DS-LOAD"/>
      <sheetName val="정부노임단가"/>
      <sheetName val="P礔CKAGE"/>
      <sheetName val="지급자재"/>
      <sheetName val="D-3503"/>
      <sheetName val="공통비"/>
      <sheetName val="운반비(전선륐)"/>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차액보증"/>
      <sheetName val="남양시작동자105노65기1.3화1.2"/>
      <sheetName val="11.자재단가"/>
      <sheetName val="경비"/>
      <sheetName val="데이타"/>
      <sheetName val="건축내역"/>
      <sheetName val="날개벽"/>
      <sheetName val="전기일위대가"/>
      <sheetName val="Y-WORK"/>
      <sheetName val="말뚝물량"/>
      <sheetName val="전차선로 물량표"/>
      <sheetName val="A-4"/>
      <sheetName val="98지급계획"/>
      <sheetName val="노원열병합  건축공사기성내역서"/>
      <sheetName val="공통가설"/>
      <sheetName val="타공종이기"/>
      <sheetName val="소비자가"/>
      <sheetName val="내역분기"/>
      <sheetName val="기초공"/>
      <sheetName val="기둥(원형)"/>
      <sheetName val="부대내역"/>
      <sheetName val="코드"/>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자재단가"/>
      <sheetName val="SG"/>
      <sheetName val="CODE"/>
      <sheetName val="투찰"/>
      <sheetName val="TEL"/>
      <sheetName val="출근부"/>
      <sheetName val="터널조도"/>
      <sheetName val="공사비집계"/>
      <sheetName val="sw1"/>
      <sheetName val="NOMUBI"/>
      <sheetName val="I.설계조건"/>
      <sheetName val="31.고_x0000_RTU"/>
      <sheetName val="결과조달"/>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heet1 (2)"/>
      <sheetName val="CTEMCOST"/>
      <sheetName val="c_balju"/>
      <sheetName val="토공"/>
      <sheetName val="001"/>
      <sheetName val="ilch"/>
      <sheetName val="금액내역서"/>
      <sheetName val="단위중량"/>
      <sheetName val="설계예산내역서"/>
      <sheetName val="중기사용료"/>
      <sheetName val="L형옹벽(key)"/>
      <sheetName val="토공(완충)"/>
      <sheetName val="연결임시"/>
      <sheetName val="현금"/>
      <sheetName val="판"/>
      <sheetName val="인건비"/>
      <sheetName val="BQ"/>
      <sheetName val="집1"/>
      <sheetName val="8.PILE  (돌출)"/>
      <sheetName val="DATE"/>
      <sheetName val="총계"/>
      <sheetName val="내역서 "/>
      <sheetName val="준검 내역서"/>
      <sheetName val="관람석제출"/>
      <sheetName val="겉장"/>
      <sheetName val="기성검사원"/>
      <sheetName val="원가"/>
      <sheetName val="건축"/>
      <sheetName val="토목"/>
      <sheetName val="구조물철거타공정이월"/>
      <sheetName val="환률"/>
      <sheetName val="한강운반비"/>
      <sheetName val="수량산출"/>
      <sheetName val="단가조사서"/>
      <sheetName val="K1자재(3차등)"/>
      <sheetName val="산거각호표"/>
      <sheetName val="노무비"/>
      <sheetName val="B"/>
      <sheetName val="견적시담(송포2공구)"/>
      <sheetName val="내역서(총)"/>
      <sheetName val="#REF"/>
      <sheetName val="횡배위치"/>
      <sheetName val="BID"/>
      <sheetName val="기계내역"/>
      <sheetName val="공통부대비"/>
      <sheetName val="정렬"/>
      <sheetName val="danga"/>
      <sheetName val="ABUT수량-A1"/>
      <sheetName val="간선계산"/>
      <sheetName val="일위대가목차"/>
      <sheetName val="실행내역"/>
      <sheetName val="설계조건"/>
      <sheetName val="안정계산"/>
      <sheetName val="단면검토"/>
      <sheetName val="토공계산서(부체도로)"/>
      <sheetName val="맨홀수량집계"/>
      <sheetName val="토공총괄집계"/>
      <sheetName val="JUCK"/>
      <sheetName val="교각1"/>
      <sheetName val="BJJIN"/>
      <sheetName val="단가"/>
      <sheetName val="시설물일위"/>
      <sheetName val="몰탈재료산출"/>
      <sheetName val="TOTAL"/>
      <sheetName val="백호우계수"/>
      <sheetName val="최초침전지집계표"/>
      <sheetName val="6호기"/>
      <sheetName val="fitting"/>
      <sheetName val="중기일위대가"/>
      <sheetName val="Site Expenses"/>
      <sheetName val="토목주소"/>
      <sheetName val="프랜트면허"/>
      <sheetName val="FACTOR"/>
      <sheetName val="Sheet4"/>
      <sheetName val="손익분석"/>
      <sheetName val="총집계표"/>
      <sheetName val="화재 탐지 설비"/>
      <sheetName val="공사개요"/>
      <sheetName val="NEWDRAW"/>
      <sheetName val="조도계산서 (도서)"/>
      <sheetName val="조경"/>
      <sheetName val="식재수량표"/>
      <sheetName val="일위목록"/>
      <sheetName val="dtxl"/>
      <sheetName val="35_x000e_장주신설"/>
      <sheetName val="7.1유효폭"/>
      <sheetName val="3BL공동구 수량"/>
      <sheetName val="수목단가"/>
      <sheetName val="시설수량표"/>
      <sheetName val="장문교(대전)"/>
      <sheetName val="교각계산"/>
      <sheetName val="가공비"/>
      <sheetName val="수량집계"/>
      <sheetName val="총괄집계표"/>
      <sheetName val="점수계산1-2"/>
      <sheetName val="건축(충일분)"/>
      <sheetName val="보합"/>
      <sheetName val="현장지지물물량"/>
      <sheetName val="DATA(BAC)"/>
      <sheetName val="신공"/>
      <sheetName val="32.銅기기초"/>
      <sheetName val="설변물량"/>
      <sheetName val="소업1교"/>
      <sheetName val="March"/>
      <sheetName val="수량산출서"/>
      <sheetName val="woo(mac)"/>
      <sheetName val="총투자비산정"/>
      <sheetName val="ROE(FI)"/>
      <sheetName val="Sens&amp;Anal"/>
      <sheetName val="STORAGE"/>
      <sheetName val="입찰"/>
      <sheetName val="현경"/>
      <sheetName val="단면(RW1)"/>
      <sheetName val="9GNG운반"/>
      <sheetName val="을"/>
      <sheetName val="골조시행"/>
      <sheetName val="자재집계"/>
      <sheetName val="단면가정"/>
      <sheetName val="현장"/>
      <sheetName val="Sheet2"/>
      <sheetName val="(2)"/>
      <sheetName val="기계실"/>
      <sheetName val="TYPE-B 평균H"/>
      <sheetName val="2000년1차"/>
      <sheetName val="2000전체분"/>
      <sheetName val="회사99"/>
      <sheetName val="노임"/>
      <sheetName val="eq_data"/>
      <sheetName val="EUPDAT2"/>
      <sheetName val="경비2내역"/>
      <sheetName val="설계예산서"/>
      <sheetName val="Dae_Jiju"/>
      <sheetName val="Sikje_ingun"/>
      <sheetName val="TREE_D"/>
      <sheetName val="난방열교"/>
      <sheetName val="급탕열교"/>
      <sheetName val="금액집계"/>
      <sheetName val="원형맨홀수량"/>
      <sheetName val="입력DATA"/>
      <sheetName val="공종별 집계"/>
      <sheetName val="31.고"/>
      <sheetName val="바닥판"/>
      <sheetName val="토목내역"/>
      <sheetName val="터파기및재료"/>
      <sheetName val="산업개발안내서"/>
      <sheetName val="FRP배관단가(만수)"/>
      <sheetName val="만수배관단가"/>
      <sheetName val="계산근거"/>
      <sheetName val="년"/>
      <sheetName val="UNIT"/>
      <sheetName val="여흥"/>
      <sheetName val="Explanation for Page 17"/>
      <sheetName val="귀래 설계 공내역서"/>
      <sheetName val="대비표"/>
      <sheetName val="일위대가 (목록)"/>
      <sheetName val="실행철강하도"/>
      <sheetName val="일위대가표"/>
      <sheetName val="계획"/>
      <sheetName val="계획세부"/>
      <sheetName val="사용내역서"/>
      <sheetName val="항목별내역서"/>
      <sheetName val="안전담당자"/>
      <sheetName val="유도원"/>
      <sheetName val="안전사진"/>
      <sheetName val="실행예산"/>
      <sheetName val="견적서"/>
      <sheetName val="아파트건축"/>
      <sheetName val="실시설계"/>
      <sheetName val="예산서"/>
      <sheetName val="TABLE"/>
      <sheetName val="단면 (2)"/>
      <sheetName val="Macro1"/>
      <sheetName val="조건표"/>
      <sheetName val="내역1"/>
      <sheetName val="사용성검토"/>
      <sheetName val="TYPE1"/>
      <sheetName val="기계경비"/>
      <sheetName val="단중표"/>
      <sheetName val="Customer Databas"/>
      <sheetName val="일위대가목록"/>
      <sheetName val="단가대비표"/>
      <sheetName val="Sheet5"/>
      <sheetName val="한전고리-을"/>
      <sheetName val="전신환매도율"/>
      <sheetName val="SE-611"/>
      <sheetName val="품목"/>
      <sheetName val="토 적 표"/>
      <sheetName val="품질 및 특성 보정계수"/>
      <sheetName val="hvac(제어동)"/>
      <sheetName val="IMP(MAIN)"/>
      <sheetName val="IMP (REACTOR)"/>
      <sheetName val="공틀공사"/>
      <sheetName val="#230,#235"/>
      <sheetName val="연수동"/>
      <sheetName val="2.대외공문"/>
      <sheetName val="장비집계"/>
      <sheetName val="C &amp; G RHS"/>
      <sheetName val="관리비"/>
      <sheetName val="1을"/>
      <sheetName val="unit 4"/>
      <sheetName val="코드표"/>
      <sheetName val="제경비"/>
      <sheetName val="변화치수"/>
      <sheetName val="단면치수"/>
      <sheetName val="하수급견적대비"/>
      <sheetName val="45,46"/>
      <sheetName val="총괄내역서"/>
      <sheetName val="Proposal"/>
      <sheetName val="자료"/>
      <sheetName val="예산변경사항"/>
      <sheetName val="dg"/>
      <sheetName val="단위수량"/>
      <sheetName val="P.M 별"/>
      <sheetName val="부대공집계표"/>
      <sheetName val="내역총괄표"/>
      <sheetName val="5. COST SCHEDULE PER EXPENSE"/>
      <sheetName val="개요"/>
      <sheetName val="1.수인터널"/>
      <sheetName val="보차도경계석"/>
      <sheetName val="검색"/>
      <sheetName val="8.자재단가"/>
      <sheetName val="설계명세서(선로)"/>
      <sheetName val="자재단가표"/>
      <sheetName val="2.예산냴역검토서"/>
      <sheetName val="입찰안"/>
      <sheetName val="철거수량"/>
      <sheetName val="관거공사비"/>
      <sheetName val="을지"/>
      <sheetName val="플랜트 설치"/>
      <sheetName val="실행내역서"/>
      <sheetName val="major"/>
      <sheetName val="CIVIL"/>
      <sheetName val="U-TYPE(1)"/>
      <sheetName val="예산M12A"/>
      <sheetName val="직노"/>
      <sheetName val="초"/>
      <sheetName val="견적조건"/>
      <sheetName val="전체총괄표"/>
      <sheetName val="요소별"/>
      <sheetName val="전기요금"/>
      <sheetName val="도급대비"/>
      <sheetName val="조건"/>
      <sheetName val="한전위탁공사비2"/>
      <sheetName val="안정검토"/>
      <sheetName val="비교표"/>
      <sheetName val="설산1.나"/>
      <sheetName val="본사S"/>
      <sheetName val="장비당단가 (1)"/>
      <sheetName val="BOQ-Summary_Form A2"/>
      <sheetName val="06-BATCH "/>
      <sheetName val="DIAPHRAGM"/>
      <sheetName val="118.세금과공과"/>
      <sheetName val="현장관리비집계표"/>
      <sheetName val="수량산출근거"/>
      <sheetName val="DS-최종"/>
      <sheetName val="계화배수"/>
      <sheetName val="양식"/>
      <sheetName val="산근"/>
      <sheetName val="96수출"/>
      <sheetName val="부재력정리"/>
      <sheetName val="별표"/>
      <sheetName val="부대대비"/>
      <sheetName val="냉연집계"/>
      <sheetName val="설계산출표지"/>
      <sheetName val="공사원가계산서"/>
      <sheetName val="설계산출기초"/>
      <sheetName val="도급예산내역서총괄표"/>
      <sheetName val="을부담운반비"/>
      <sheetName val="운반비산출"/>
      <sheetName val=" 견적서"/>
      <sheetName val="GIS재"/>
      <sheetName val="MTR재(한기)"/>
      <sheetName val="GIS.Ry재"/>
      <sheetName val="진주방향"/>
      <sheetName val="공사설명서"/>
      <sheetName val="전기일위목록"/>
      <sheetName val="5공철탑검토표"/>
      <sheetName val="4공철탑검토"/>
      <sheetName val="전압강하계산"/>
      <sheetName val="일용노임단가"/>
      <sheetName val="단가조사"/>
      <sheetName val="단가산출2"/>
      <sheetName val="비대칭계수"/>
      <sheetName val="전동기 SPEC"/>
      <sheetName val="건물현황"/>
      <sheetName val="재무가정"/>
      <sheetName val="단가비교표_공통1"/>
      <sheetName val="내역전기"/>
      <sheetName val="물량산출근거"/>
      <sheetName val="국공유지및사유지"/>
      <sheetName val="전기"/>
      <sheetName val="설계서"/>
      <sheetName val="건축원가계산서"/>
      <sheetName val="부하계산서"/>
      <sheetName val="단위세대"/>
      <sheetName val="구왤집계표"/>
      <sheetName val="Ⅴ-2.공종별내역"/>
      <sheetName val="오산갈곳"/>
      <sheetName val="CS2"/>
      <sheetName val="Main"/>
      <sheetName val="일위단가"/>
      <sheetName val="CALCULATION"/>
      <sheetName val="DESIGN_CRETERIA"/>
      <sheetName val="Base_Data"/>
      <sheetName val="LOPCALC"/>
      <sheetName val="Model"/>
      <sheetName val="Ⅱ1-0타"/>
      <sheetName val="표지 (2)"/>
      <sheetName val="대비2"/>
      <sheetName val="동원인원산출"/>
      <sheetName val="COST"/>
      <sheetName val="조도"/>
      <sheetName val="Indirect Cost"/>
      <sheetName val="Qheet3"/>
      <sheetName val="SLAB"/>
      <sheetName val="sum1 (2)"/>
      <sheetName val="명세서"/>
      <sheetName val="J直材4"/>
      <sheetName val="설변내역1"/>
      <sheetName val="가설공사내역"/>
      <sheetName val="설계명세서"/>
      <sheetName val="단가조정"/>
      <sheetName val="BSD (2)"/>
      <sheetName val="일"/>
      <sheetName val="배수공토공"/>
      <sheetName val="도급및 실행내역"/>
      <sheetName val="표지1"/>
      <sheetName val="예산내역서"/>
      <sheetName val="구리토평1전기"/>
      <sheetName val="교통대책내역"/>
      <sheetName val="심사계산"/>
      <sheetName val="심사물량"/>
      <sheetName val="Coeffiecient"/>
      <sheetName val="KP1590_E"/>
      <sheetName val="물량표"/>
      <sheetName val="가설건물"/>
      <sheetName val="IP좌표"/>
      <sheetName val="입적표"/>
      <sheetName val="Despacho (c.civil)"/>
      <sheetName val="총누계"/>
      <sheetName val="방송노임"/>
      <sheetName val="월선수금"/>
      <sheetName val="품셈(기초)"/>
      <sheetName val="봉방동근생"/>
      <sheetName val="공종분류"/>
      <sheetName val="토사(PE)"/>
      <sheetName val="투찰내역"/>
      <sheetName val="정산입력"/>
      <sheetName val="1.설계조건"/>
      <sheetName val="대전21토목내역서"/>
      <sheetName val="IMPEADENC_x0000__x0000_"/>
      <sheetName val=""/>
      <sheetName val="말뚝지지력산정"/>
      <sheetName val="가격조사서"/>
      <sheetName val="Parts 1 Feb 2004"/>
      <sheetName val="dt0301"/>
      <sheetName val="dtt0301"/>
      <sheetName val="부대공"/>
      <sheetName val="방호벽"/>
      <sheetName val="교통표지"/>
      <sheetName val="낙석방지책"/>
      <sheetName val="설계내역(2001)"/>
      <sheetName val="쵽괄표"/>
      <sheetName val="일위대가(계측기설치)"/>
      <sheetName val="방음벽 기초 일반수량"/>
      <sheetName val="부재리스트"/>
      <sheetName val="원가계산서(남측)"/>
      <sheetName val="가시설수량"/>
      <sheetName val="개별직종노임단가(2003.9)"/>
      <sheetName val="단가조사표"/>
      <sheetName val="B부대공"/>
      <sheetName val="FILE1"/>
      <sheetName val="ATS단가"/>
      <sheetName val="쵽물량표"/>
      <sheetName val="정산민량표"/>
      <sheetName val="4.실행예산단가삼출서(단갌)"/>
      <sheetName val="4.실행예산단가삼출서(금액)"/>
      <sheetName val="5.현잣관리비"/>
      <sheetName val="Breakdown"/>
      <sheetName val="부하(성남)"/>
      <sheetName val="기계경비(시간당)"/>
      <sheetName val="목차 "/>
      <sheetName val="산출"/>
      <sheetName val="200"/>
      <sheetName val="날개벽(시점좌측)"/>
      <sheetName val="RAHMEN"/>
      <sheetName val="토공(우물통,기타) "/>
      <sheetName val="SORCE1"/>
      <sheetName val="가시설단위수량"/>
      <sheetName val="기초"/>
      <sheetName val="골재집계"/>
      <sheetName val="EP0618"/>
      <sheetName val="환율"/>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16_R-C_BANK"/>
      <sheetName val="17_모선배선"/>
      <sheetName val="18_제어및전력케이블"/>
      <sheetName val="19_핏트"/>
      <sheetName val="20_배수로"/>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Page 1A - Proposal Strategy "/>
      <sheetName val="작성"/>
      <sheetName val="보도경계블럭"/>
      <sheetName val="VXXX"/>
      <sheetName val="공사내역"/>
      <sheetName val="공통"/>
      <sheetName val="기타 정보통신공사"/>
      <sheetName val="백암비스타내역"/>
      <sheetName val="현대물량"/>
      <sheetName val="20관리비율"/>
      <sheetName val="8.자재단가비교표"/>
      <sheetName val="5.수량집계"/>
      <sheetName val="3.일위대가표"/>
      <sheetName val="언어보정"/>
      <sheetName val="품질보정"/>
      <sheetName val="효성CB 1P기초"/>
      <sheetName val="단가표 "/>
      <sheetName val="투자효율분석"/>
      <sheetName val="재료집계"/>
      <sheetName val="CRUDE RE-bar"/>
      <sheetName val="3.현장배치"/>
      <sheetName val="단가(1)"/>
      <sheetName val="건설성적"/>
      <sheetName val="T진도"/>
      <sheetName val="물가"/>
      <sheetName val="남ꌀ전JC"/>
      <sheetName val="원가집계"/>
      <sheetName val="도장수량"/>
      <sheetName val="순공사비총괄"/>
      <sheetName val="INPUT"/>
      <sheetName val="통합"/>
      <sheetName val="TB-내역서"/>
      <sheetName val="studio"/>
      <sheetName val="D040416"/>
      <sheetName val="전동기 SP԰_x0000_"/>
      <sheetName val="가시설(TYPE-A)"/>
      <sheetName val="1-1평균터파기고(1)"/>
      <sheetName val="1NYS(당)"/>
      <sheetName val="요율"/>
      <sheetName val="재집"/>
      <sheetName val="직재"/>
      <sheetName val="내역표지"/>
      <sheetName val="배수관공"/>
      <sheetName val="치수표"/>
      <sheetName val="본부소개"/>
      <sheetName val="FAB별"/>
      <sheetName val="토&amp;흙"/>
      <sheetName val="포장공사"/>
      <sheetName val="FRT_O"/>
      <sheetName val="type-F"/>
      <sheetName val="FAB_I"/>
      <sheetName val="신천교(음성)"/>
      <sheetName val="전선 및 전선관"/>
      <sheetName val="일위대가(가설)"/>
      <sheetName val="Budget 2005(DW)"/>
      <sheetName val="ins"/>
      <sheetName val="세목별"/>
      <sheetName val="COVER"/>
      <sheetName val="4.말뚝설계"/>
      <sheetName val="견적정보"/>
      <sheetName val="내역서(기성청구)"/>
      <sheetName val="일반맨홀수량집계"/>
      <sheetName val="재해-호표"/>
      <sheetName val="KSTAR-M"/>
      <sheetName val="조도계산"/>
      <sheetName val="부하LOAD"/>
      <sheetName val="L형옹벽"/>
      <sheetName val="당초수량"/>
      <sheetName val="구조물공"/>
      <sheetName val="남양내역"/>
      <sheetName val="TCA"/>
      <sheetName val="3.건축(현장안)"/>
      <sheetName val="시공측량-을"/>
      <sheetName val="부대공Ⅱ"/>
      <sheetName val="현장관리비내역서"/>
      <sheetName val="세부내역서(전기)"/>
      <sheetName val="b_balju_cho"/>
      <sheetName val="시행예산"/>
      <sheetName val="NEYOK"/>
      <sheetName val="J"/>
      <sheetName val="List Price"/>
      <sheetName val="현장경비"/>
      <sheetName val="배"/>
      <sheetName val="45,4H"/>
      <sheetName val="하조서"/>
      <sheetName val="기초견적가"/>
      <sheetName val="MW-S"/>
      <sheetName val="NYS"/>
      <sheetName val="MW-BM"/>
      <sheetName val="조명시설"/>
      <sheetName val="MFAB"/>
      <sheetName val="MFRT"/>
      <sheetName val="MPKG"/>
      <sheetName val="MPRD"/>
      <sheetName val="1호맨홀가감수량"/>
      <sheetName val="1호맨홀수량산출"/>
      <sheetName val="3련 BOX"/>
      <sheetName val="자판실행"/>
      <sheetName val="구의33고"/>
      <sheetName val="Modeþ"/>
      <sheetName val="Mode_x0000_"/>
      <sheetName val="BASIC (2)"/>
      <sheetName val="Macro(전선)"/>
      <sheetName val="광속"/>
      <sheetName val="Macro(전등)"/>
      <sheetName val="전기단가조사서"/>
      <sheetName val="타워기초"/>
      <sheetName val="1.우편집중내역서"/>
      <sheetName val="착공내역"/>
      <sheetName val="XL4Poppy"/>
      <sheetName val="공사비명세서"/>
      <sheetName val="공사蠀㑬턀"/>
      <sheetName val="공사ᒎ_x0000_"/>
      <sheetName val="공사倀Ẓ_x0000_"/>
      <sheetName val="공사큁Ợ_x0000_"/>
      <sheetName val="연습"/>
      <sheetName val="신우"/>
      <sheetName val="공사偁Ẓ_x0000_"/>
      <sheetName val="공사灁ẋ_x0000_"/>
      <sheetName val="99.6"/>
      <sheetName val="공사衁㑬턀"/>
      <sheetName val="공사ԯ_x0000_缀"/>
      <sheetName val="공사㡁䙱턀"/>
      <sheetName val="원본"/>
      <sheetName val="토 _x0000__x0000__x0005_"/>
      <sheetName val="슬래브(유곡)"/>
      <sheetName val="방송丵〒"/>
      <sheetName val=" ︀ו԰"/>
      <sheetName val=" ︀Õ԰"/>
      <sheetName val=" 䠀嚚谀"/>
      <sheetName val=" ꠀ筊가"/>
      <sheetName val=" ԯ_x0000_缀"/>
      <sheetName val=" 䅰㰀"/>
      <sheetName val="6공구전체"/>
      <sheetName val="공사ࠗ欀"/>
      <sheetName val="공사頀欀"/>
      <sheetName val="장비당단가 (ﺳ諕"/>
      <sheetName val="EQUIPMENT -2"/>
      <sheetName val="FLANGE"/>
      <sheetName val="VALVE"/>
      <sheetName val="기계"/>
      <sheetName val="I一般比"/>
      <sheetName val="40총괄"/>
      <sheetName val="40집계"/>
      <sheetName val="배수공"/>
      <sheetName val="암거"/>
      <sheetName val="포장공"/>
      <sheetName val="입력1"/>
      <sheetName val="98수금사업"/>
      <sheetName val="6동"/>
      <sheetName val="을 2"/>
      <sheetName val="토류판설치(t=60)"/>
      <sheetName val="BQ-Offsite"/>
      <sheetName val="PipWT"/>
      <sheetName val="공통가설공사"/>
      <sheetName val="CAPVC"/>
      <sheetName val="99총공사내역서"/>
      <sheetName val="대림경상68억"/>
      <sheetName val="POL6차-PIPING"/>
      <sheetName val="갑지(추정)"/>
      <sheetName val="B767"/>
      <sheetName val="2002년요약"/>
      <sheetName val="건축내역서"/>
      <sheetName val="건축공사"/>
      <sheetName val="견적을지"/>
      <sheetName val="3.하중산정4.지지력"/>
      <sheetName val="예산M5A"/>
      <sheetName val="CAL"/>
      <sheetName val="포장복구집계"/>
      <sheetName val="사급자재"/>
      <sheetName val="대우단가(풍산)"/>
      <sheetName val="BOM-Form A.1.III"/>
      <sheetName val="토공 토적표"/>
      <sheetName val="참고"/>
      <sheetName val="L_RPTA05_목록"/>
      <sheetName val="방음벽 기초 尜_x0013_層_x0013_"/>
      <sheetName val="ᰀ፜"/>
      <sheetName val="6PILE  (돌출)"/>
      <sheetName val="계화배尜"/>
      <sheetName val="옹벽"/>
      <sheetName val="안㔀቎԰"/>
      <sheetName val="기초부재력검토"/>
      <sheetName val="Proposa_x0005_"/>
      <sheetName val="BOX"/>
      <sheetName val="비교尜"/>
      <sheetName val="원가계산 (2)"/>
      <sheetName val="적현로"/>
      <sheetName val="사진"/>
      <sheetName val="총 원가계산"/>
      <sheetName val="DESIGN CRETERIA"/>
      <sheetName val="공사기본내용입력"/>
      <sheetName val="1.취수장"/>
      <sheetName val="구왤집계徸"/>
      <sheetName val="154TW"/>
      <sheetName val="공사원가계산㔀"/>
      <sheetName val="㗇቎"/>
      <sheetName val="COPING"/>
      <sheetName val="견적"/>
      <sheetName val="방음벽 기초 丵〒_x0005__x0000_"/>
      <sheetName val="장비"/>
      <sheetName val="노무"/>
      <sheetName val="자재"/>
      <sheetName val="재료"/>
      <sheetName val="대치판정"/>
      <sheetName val="말뚝지㰀᎕萀᎕"/>
      <sheetName val="변경내역"/>
      <sheetName val="118.세금과丵〒"/>
      <sheetName val="경상비내역서"/>
      <sheetName val="명단"/>
      <sheetName val="AS복구"/>
      <sheetName val="중기터파기"/>
      <sheetName val="변수값"/>
      <sheetName val="중기상차"/>
      <sheetName val="JUCKEYK"/>
      <sheetName val="L형옹_x0005_"/>
      <sheetName val="L형옹尜"/>
      <sheetName val="L형옹๿"/>
      <sheetName val="봉방동근_x0005_"/>
      <sheetName val="총공사비"/>
      <sheetName val="토사(᐀ባ切"/>
      <sheetName val="토사(ꃈፐ"/>
      <sheetName val="30_고배용VCB"/>
      <sheetName val="산๿"/>
      <sheetName val="-15.0"/>
      <sheetName val="#4DUCT SUPPORT 체크LIST"/>
      <sheetName val="품질 및 缀ᨎ԰_x0000_缀_x0000__x0000_"/>
      <sheetName val="기타공"/>
      <sheetName val="배수집계"/>
      <sheetName val="재료缀ᨎ"/>
      <sheetName val="명헾】"/>
      <sheetName val="BQ(실행)"/>
      <sheetName val="31_고배용RTU"/>
      <sheetName val="32_기기기초"/>
      <sheetName val="33_지중케이블"/>
      <sheetName val="34_전력용관로"/>
      <sheetName val="35_장주신설"/>
      <sheetName val="36_맨홀"/>
      <sheetName val="37_운반비"/>
      <sheetName val="복구량산정_및_전용회선_사용"/>
      <sheetName val="1,2공구원가계산서"/>
      <sheetName val="2공구산출내역"/>
      <sheetName val="1공구산출내역서"/>
      <sheetName val="123"/>
      <sheetName val="단면炜_x0013_"/>
      <sheetName val="부Ç_x0000_Ԁ"/>
      <sheetName val="Ⅴ-2.缀ᨎ԰_x0000_缀"/>
      <sheetName val="Ⅴ-2.ᰀ፜搀፜"/>
      <sheetName val="합계"/>
      <sheetName val="기준자료"/>
      <sheetName val="기성내역서표지"/>
      <sheetName val="항목별내԰_x0000_"/>
      <sheetName val="SUB일위대가"/>
      <sheetName val="적용 기준(환율)-1"/>
      <sheetName val="적용 기준(환율)"/>
      <sheetName val="자재단가 "/>
      <sheetName val="단가산출3"/>
      <sheetName val="단가산출_목록"/>
      <sheetName val="설비내역서"/>
      <sheetName val="전기내역서"/>
      <sheetName val="품의서"/>
      <sheetName val="인사자료총집계"/>
      <sheetName val="예산M︀ᇕ԰"/>
      <sheetName val="ASEM내역"/>
      <sheetName val="FLA"/>
      <sheetName val="전기簀፰쐀፰"/>
      <sheetName val="데리네이타현황"/>
      <sheetName val="s"/>
      <sheetName val="안က_x0000_瀀"/>
      <sheetName val="안/_x0000_ "/>
      <sheetName val="일반맨԰_x0000_缀_x0000__x0000_"/>
      <sheetName val="비목군단가비교표"/>
      <sheetName val="분석"/>
      <sheetName val="AP1"/>
      <sheetName val="Ⅴ-2.԰_x0000_缀_x0000__x0000_"/>
      <sheetName val="집수정단"/>
      <sheetName val="Data&amp;Result"/>
      <sheetName val="아파트1"/>
      <sheetName val="내역(전체)"/>
      <sheetName val="표지판현황"/>
      <sheetName val="1호맨홀토공"/>
      <sheetName val="총괄내역԰"/>
      <sheetName val="제품목록"/>
      <sheetName val="계丵"/>
      <sheetName val="유도0"/>
      <sheetName val="유도렀"/>
      <sheetName val="유도_x0000_"/>
      <sheetName val="오산갈׃"/>
      <sheetName val="Ⅴ-2.공종별0_x0000_"/>
      <sheetName val="안전쌎ᄅ0"/>
      <sheetName val="오산갈_x0010_"/>
      <sheetName val="Mp-team 1"/>
      <sheetName val="입력"/>
      <sheetName val="1.설계기준"/>
      <sheetName val="단︀ᇕ԰"/>
      <sheetName val="부쌔ᄅ0"/>
      <sheetName val="단က_x0000_　"/>
      <sheetName val="말뚝지ᘀ᨜԰_x0000_"/>
      <sheetName val="Ⅴ-2.공ᛇ᨜԰_x0000_"/>
      <sheetName val="오산갈醜"/>
      <sheetName val="말뚝지怀፵∀ᩃ"/>
      <sheetName val="부대_x0005__x0000_"/>
      <sheetName val="견적_x0005__x0000_"/>
      <sheetName val="Ԁ"/>
      <sheetName val="Condition"/>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96보완계획7.12"/>
      <sheetName val="산_x0005_"/>
      <sheetName val="배수贘_x0013_릠"/>
      <sheetName val="배수午_x0013_ᡐ"/>
      <sheetName val="편입토지조서"/>
      <sheetName val="일반맨홀수량집계(A-7 LINE)"/>
      <sheetName val="물량산〒_x0005_"/>
      <sheetName val="부紀ዱ԰"/>
      <sheetName val="날개벽(좌,우=45도,75도)"/>
      <sheetName val="총누怸"/>
      <sheetName val="총누_x0010_"/>
      <sheetName val="청제공기계일위대가"/>
      <sheetName val="PRO_DCI"/>
      <sheetName val="INST_DCI"/>
      <sheetName val="HVAC_DCI"/>
      <sheetName val="PIPE_DCI"/>
      <sheetName val="공사비 내역 (가)"/>
      <sheetName val="지계"/>
      <sheetName val="Sitec120"/>
      <sheetName val="내역서(total)"/>
      <sheetName val="118.세금丵⼞_x0005_"/>
      <sheetName val="증감내역서"/>
      <sheetName val="8.자재_x0000__x0000_"/>
      <sheetName val="토공,기초"/>
      <sheetName val="DRAIN DRUM PIT D-301"/>
      <sheetName val="산丵"/>
      <sheetName val="B토목"/>
      <sheetName val="계획세_x0005_"/>
      <sheetName val="계획세喀"/>
      <sheetName val="품셈TABLE"/>
      <sheetName val="보집계표"/>
      <sheetName val="Galaxy 소비자가격표"/>
      <sheetName val="실행내역서 "/>
      <sheetName val="계렀቟԰"/>
      <sheetName val="말뚝지ᴀᨈ԰_x0000_"/>
      <sheetName val="공사비총괄표"/>
      <sheetName val="단가조๿"/>
      <sheetName val="1-1"/>
      <sheetName val="가감수량"/>
      <sheetName val="맨홀수량산출"/>
      <sheetName val="단가표"/>
      <sheetName val="내역(원안-대안)"/>
      <sheetName val="design criteria"/>
      <sheetName val="working load at the btm ft."/>
      <sheetName val="plan&amp;section of foundation"/>
      <sheetName val="토사԰_x0000_缀_x0000_"/>
      <sheetName val="비대缀ᨎ԰"/>
      <sheetName val="개԰"/>
      <sheetName val="산尜"/>
      <sheetName val="저"/>
      <sheetName val="맨홀수량"/>
      <sheetName val="기본자료"/>
      <sheetName val="세부내역"/>
      <sheetName val="현장별계약현황('98.10.31)"/>
      <sheetName val="부대"/>
      <sheetName val="RING WALL"/>
      <sheetName val="오산︀폕"/>
      <sheetName val="stability check"/>
      <sheetName val="design load"/>
      <sheetName val="CAT_5"/>
      <sheetName val="실행철헾】_x0005_"/>
      <sheetName val="DS_3Q"/>
      <sheetName val="별첨1"/>
      <sheetName val="갑지1"/>
      <sheetName val="배수공1"/>
      <sheetName val="J直材_x0005_"/>
      <sheetName val="00내역서"/>
      <sheetName val="BOQ건축"/>
      <sheetName val="DNW"/>
      <sheetName val="입출재고현황 (2)"/>
      <sheetName val="D01"/>
      <sheetName val="자료(통합)"/>
      <sheetName val="대상공사(조달청)"/>
      <sheetName val="SUMMARY"/>
      <sheetName val="PAINT"/>
      <sheetName val="콘크리트타설집계표"/>
      <sheetName val="산출내역서집계표"/>
      <sheetName val="토공사"/>
      <sheetName val="dg-VTu"/>
      <sheetName val="APT내역"/>
      <sheetName val="부대시설"/>
      <sheetName val="물︀"/>
      <sheetName val="Testing"/>
      <sheetName val="공사원가_x0005__x0000_"/>
      <sheetName val="GL연결용"/>
      <sheetName val="경비_원본"/>
      <sheetName val="단가조건(02년)"/>
      <sheetName val="단위헾】"/>
      <sheetName val="S1"/>
      <sheetName val="건축마감(E)"/>
      <sheetName val="신축수량"/>
      <sheetName val="항목별내역헾"/>
      <sheetName val="간접비"/>
      <sheetName val="1.설계설명서"/>
      <sheetName val="변䈀ᅪ԰"/>
      <sheetName val="과천MAIN"/>
      <sheetName val="종합"/>
      <sheetName val="코드蚘"/>
      <sheetName val="표지頀ᎆ뤀ᨇ"/>
      <sheetName val="내역頀ᎆ뤀"/>
      <sheetName val="내역︀ᇕ԰"/>
      <sheetName val="계화徸〒"/>
      <sheetName val="KP1590__x0005_"/>
      <sheetName val="Ⅴ-2.︀ԯ_x0000_缀"/>
      <sheetName val="차수"/>
      <sheetName val="부대僰_x0013_"/>
      <sheetName val="토사(僰_x0013_闰"/>
      <sheetName val="CC16-내역서"/>
      <sheetName val="기본입력"/>
      <sheetName val="물가단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N賃率-職"/>
      <sheetName val="경비실"/>
      <sheetName val="조경일람"/>
      <sheetName val="부대廠_x0013_"/>
      <sheetName val="부대浜_x0015_"/>
      <sheetName val="성토도수로현황"/>
      <sheetName val="전도금청구서_(2)"/>
      <sheetName val="금전출납_"/>
      <sheetName val="식대_"/>
      <sheetName val="기성고조서(폐기물)_(2)"/>
      <sheetName val="Sheet3_(5)"/>
      <sheetName val="Sheet3_(6)"/>
      <sheetName val="Sheet1_(2)"/>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DPRKMHDT"/>
      <sheetName val="골재헾】"/>
      <sheetName val="직공비"/>
      <sheetName val="코헾⿾"/>
      <sheetName val="단가 및 재료비"/>
      <sheetName val="기본(98)"/>
      <sheetName val="J直材㥨"/>
      <sheetName val="J直材_x0010_"/>
      <sheetName val="사급자재총괄"/>
      <sheetName val="PILE길이산출(DRA)"/>
      <sheetName val="총괄내畠_x0013_"/>
      <sheetName val="#2_일위대가목록"/>
      <sheetName val="을부담운반헾"/>
      <sheetName val="실행철강矨_x001e_"/>
      <sheetName val="내역서(우)"/>
      <sheetName val="sheets"/>
      <sheetName val="전등"/>
      <sheetName val="Baby일위대가"/>
      <sheetName val="보렀቟԰"/>
      <sheetName val="자재집계표"/>
      <sheetName val="물량산출근䡲"/>
      <sheetName val="보ᰀ፜搀"/>
      <sheetName val="을 1"/>
      <sheetName val="연령현황"/>
      <sheetName val="wall"/>
      <sheetName val="견ԯ_x0000_缀"/>
      <sheetName val="총누_x0005_"/>
      <sheetName val="설계산출기䀀"/>
      <sheetName val="Code-&gt;No"/>
      <sheetName val="sc0314 Index"/>
      <sheetName val="EQUIP-H"/>
      <sheetName val="RH-BEAM"/>
      <sheetName val="인건비 "/>
      <sheetName val="현장코드"/>
      <sheetName val="해외코드"/>
      <sheetName val="︀ᇕ"/>
      <sheetName val="우석문틀"/>
      <sheetName val="전기공사"/>
      <sheetName val="부翇ᨎ԰"/>
      <sheetName val="부缀ᨎ԰"/>
      <sheetName val="견֮_x0000_缀"/>
      <sheetName val="일반전기"/>
      <sheetName val="입_x0005__x0000_"/>
      <sheetName val="입헾】"/>
      <sheetName val="우각부보강"/>
      <sheetName val="공사비예산서(토목분)"/>
      <sheetName val="UR2-Calculation"/>
      <sheetName val="2. 공원조도"/>
      <sheetName val="0"/>
      <sheetName val="토 닑⿭_x0005_"/>
      <sheetName val="5지구단위"/>
      <sheetName val="지장물C"/>
      <sheetName val="쵽괄墌"/>
      <sheetName val="각종장비전압강하계산"/>
      <sheetName val="부대공헾】_x0005_"/>
      <sheetName val="계획세헾"/>
      <sheetName val="MAT"/>
      <sheetName val="2001예정공정표 "/>
      <sheetName val="맨홀토공수량"/>
      <sheetName val="총괄-1"/>
      <sheetName val="일반부하"/>
      <sheetName val="전체"/>
      <sheetName val="개ᰀ"/>
      <sheetName val="내역(자100%,노100%)기아화성UD동"/>
      <sheetName val="자재단䈀Ὢ"/>
      <sheetName val="비교缀"/>
      <sheetName val="화산경계"/>
      <sheetName val="을부담_x0000__x0000_頀"/>
      <sheetName val="견적서-을지"/>
      <sheetName val="Data Vol"/>
      <sheetName val="도급대︀"/>
      <sheetName val="집"/>
      <sheetName val="포장직선구간"/>
      <sheetName val="H-PILE수량집계"/>
      <sheetName val="부대頀ኗ"/>
      <sheetName val="호표산출내역"/>
      <sheetName val="제잡비계산"/>
      <sheetName val="국공유԰_x0000_缀_x0000__x0000_"/>
      <sheetName val="단가산출집계"/>
      <sheetName val="5.정산서"/>
      <sheetName val="guard(mac)"/>
      <sheetName val="부대헾】"/>
      <sheetName val="내역서01"/>
      <sheetName val="공구원가계산"/>
      <sheetName val="중기사용료산출근거"/>
      <sheetName val="설계밇譤0_x0000_"/>
      <sheetName val="문학간접"/>
      <sheetName val="기자재비"/>
      <sheetName val="단가址&quot;垌"/>
      <sheetName val="5공철탑ⶅ︀"/>
      <sheetName val="2006기계경비산출표"/>
      <sheetName val="약품공급2"/>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35장주신설"/>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TYPE-B_평균H"/>
      <sheetName val="장비당단가_(1)"/>
      <sheetName val="품질_및_특성_보정계수"/>
      <sheetName val="31_고"/>
      <sheetName val="C_&amp;_G_RHS"/>
      <sheetName val="Customer_Databas"/>
      <sheetName val="Explanation_for_Page_17"/>
      <sheetName val="단면_(2)"/>
      <sheetName val="토_적_표"/>
      <sheetName val="공종별_집계"/>
      <sheetName val="일위대가_(목록)"/>
      <sheetName val="귀래_설계_공내역서"/>
      <sheetName val="unit_4"/>
      <sheetName val="2_예산냴역검토서"/>
      <sheetName val="토공(우물통,기타)_"/>
      <sheetName val="1_수인터널"/>
      <sheetName val="플랜트_설치"/>
      <sheetName val="BOQ-Summary_Form_A2"/>
      <sheetName val="06-BATCH_"/>
      <sheetName val="P_M_별"/>
      <sheetName val="IMP_(REACTOR)"/>
      <sheetName val="방음벽_기초_일반수량"/>
      <sheetName val="설산1_나"/>
      <sheetName val="8_자재단가"/>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Studiþ"/>
      <sheetName val="8&amp;장비투입현황"/>
      <sheetName val="ꕬ완터널조명(할증제외)"/>
      <sheetName val="굤완터널소화기(할증)"/>
      <sheetName val="일밐공사"/>
      <sheetName val="소요자재명세서"/>
      <sheetName val="노무비명세서"/>
      <sheetName val="단가_x0005__x0000_"/>
      <sheetName val="송중자재"/>
      <sheetName val="_견적서"/>
      <sheetName val="증감대비"/>
      <sheetName val="Manual Valve List"/>
      <sheetName val="작성방법"/>
      <sheetName val="2선재"/>
      <sheetName val="원형䀀ኀ㠀ኃ"/>
      <sheetName val="원형︀ᇕ԰_x0000_"/>
      <sheetName val="전동기 SP︀ᇕ"/>
      <sheetName val="적聀_x0012_"/>
      <sheetName val="월선︀ᇕ"/>
      <sheetName val="기본DATA"/>
      <sheetName val="31.고_x005f_x0000_RTU"/>
      <sheetName val="공사원가계산_x0005_"/>
      <sheetName val="가로등기초"/>
      <sheetName val="계ԯ"/>
      <sheetName val="LOPCAL_x0005_"/>
      <sheetName val="식재"/>
      <sheetName val="시설물"/>
      <sheetName val="식재출력용"/>
      <sheetName val="유지관리"/>
      <sheetName val="역T형"/>
      <sheetName val="문산방향-교대(A2)"/>
      <sheetName val="비교_x0005_"/>
      <sheetName val="4)유동표"/>
      <sheetName val="재1"/>
      <sheetName val="Sheet17"/>
      <sheetName val="Parameter"/>
      <sheetName val="수량산출근窨"/>
      <sheetName val="6-3차"/>
      <sheetName val="간접비내역-1"/>
      <sheetName val="부안일위"/>
      <sheetName val="입찰견적보고서"/>
      <sheetName val="부재치수입력"/>
      <sheetName val="일위대가(1)"/>
      <sheetName val="SRC CLOUMN 설계"/>
      <sheetName val="Macro2"/>
      <sheetName val="주경기-오배수"/>
      <sheetName val="전체도급"/>
      <sheetName val="SUMMARY(S)"/>
      <sheetName val="품셈"/>
      <sheetName val="EACT10"/>
      <sheetName val="P.԰_x0000_缀"/>
      <sheetName val="광주광역시신청사"/>
      <sheetName val="문정동3차조합"/>
      <sheetName val="연세대국제대학원"/>
      <sheetName val="현장유지관리비"/>
      <sheetName val="공통(20-91)"/>
      <sheetName val="구왤집︀ᇕ"/>
      <sheetName val="FB25JN"/>
      <sheetName val="단가디비"/>
      <sheetName val="제조98"/>
      <sheetName val="7내역"/>
      <sheetName val="3) 클레임 반영시"/>
      <sheetName val="남원(내)"/>
      <sheetName val="기안"/>
      <sheetName val="35_x005f_x000e_장주신설"/>
      <sheetName val="부대᐀፣"/>
      <sheetName val="미드수량"/>
      <sheetName val="공주-교대(A1)"/>
      <sheetName val="조달요청서"/>
      <sheetName val="철거산출근거"/>
      <sheetName val="노단"/>
      <sheetName val="36단가"/>
      <sheetName val="계화배׃"/>
      <sheetName val="운반비집계"/>
      <sheetName val="자료입력"/>
      <sheetName val="공사착공계"/>
      <sheetName val="관거공︀࿕"/>
      <sheetName val="구왤䈀ԯ"/>
      <sheetName val="구왤瀀ፒ밀"/>
      <sheetName val="구왤ꀀᙒ"/>
      <sheetName val="구왤ԯ_x0000_缀"/>
      <sheetName val="구왤씀䰖ԯ"/>
      <sheetName val="평균물량산출서"/>
      <sheetName val="기본"/>
      <sheetName val="예산"/>
      <sheetName val="일위산출"/>
      <sheetName val="CAL."/>
      <sheetName val="SILICATE"/>
      <sheetName val="00하노임"/>
      <sheetName val="PREFACE"/>
      <sheetName val="우수"/>
      <sheetName val="식재인부"/>
      <sheetName val="표지 ︀ᇕ԰"/>
      <sheetName val="표지 저፺ఀ"/>
      <sheetName val="IMP (REACTO헾⽴"/>
      <sheetName val="방음벽 기초 일반纘$"/>
      <sheetName val="하수급_x0005__x0000__x0000_"/>
      <sheetName val="횡배수관토공수량"/>
      <sheetName val="코鰀፰"/>
      <sheetName val="direct"/>
      <sheetName val="wage"/>
      <sheetName val="부ﻇᇕ԰"/>
      <sheetName val="안᐀ባ혀"/>
      <sheetName val="구왤_x0000__x0000_⯐"/>
      <sheetName val="날개벽(TYPE3)"/>
      <sheetName val="보԰_x0000_缀"/>
      <sheetName val="말뚝지지0_x0000_怀"/>
      <sheetName val="오산갈墨"/>
      <sheetName val="96작생능"/>
      <sheetName val="Wt of Mod."/>
      <sheetName val="내역총헾】"/>
      <sheetName val="예가표"/>
      <sheetName val="견頀⢀_xdc00_"/>
      <sheetName val="118.세금Ԉ_x0000_缀"/>
      <sheetName val="공정코드"/>
      <sheetName val="가설_x0005__x0000_"/>
      <sheetName val="안전사尀"/>
      <sheetName val="안전사֬"/>
      <sheetName val="안전사ԯ"/>
      <sheetName val="안전사堀"/>
      <sheetName val="MEXICO-C"/>
      <sheetName val="단讬ᨪ԰"/>
      <sheetName val="단㔀቎԰"/>
      <sheetName val="일위대가(계측_x0005__x0000__x0000_"/>
      <sheetName val="일위대가(계측垀*闰⼯"/>
      <sheetName val="일위대가(계측闰⽌_x0005__x0000_"/>
      <sheetName val="일위대가(계측埬_x0012_場_x0012_"/>
      <sheetName val="일위대가(계측徸⿚_x0005__x0000_"/>
      <sheetName val="M1"/>
      <sheetName val="설산1⥸"/>
      <sheetName val="설산1⠀ᡶ"/>
      <sheetName val="설산1찀᎔"/>
      <sheetName val="설산1倀⮓"/>
      <sheetName val="설산1저ᱵ"/>
      <sheetName val="안ᰀ፜搀"/>
      <sheetName val="예산ᰀ፜搀"/>
      <sheetName val="안蠱⥐蠀"/>
      <sheetName val="안頴⥞ꠀ"/>
      <sheetName val="설계명세서丵〒_x0005__x0000_"/>
      <sheetName val="기초일위"/>
      <sheetName val="시설일위"/>
      <sheetName val="식재일위"/>
      <sheetName val="직_x0005_"/>
      <sheetName val="118.세금과공簀"/>
      <sheetName val="118.세금과공缀"/>
      <sheetName val="118.세금과공ꠀ"/>
      <sheetName val="기계경비일람"/>
      <sheetName val="단0_x0000_"/>
      <sheetName val="단0_x0000_砀"/>
      <sheetName val="단堀᎟鰀"/>
      <sheetName val="공사입력"/>
      <sheetName val="설계산㔀቎԰"/>
      <sheetName val="11"/>
      <sheetName val="오산갈漰"/>
      <sheetName val="오산갈_x0005_"/>
      <sheetName val="설계산砊ⵍ堀"/>
      <sheetName val="설계산砷ⵍ쀀"/>
      <sheetName val="설계산硁ⵍꠀ"/>
      <sheetName val="설계산砊ⵍࠀ"/>
      <sheetName val="c.s"/>
      <sheetName val="투︀ᇕ԰"/>
      <sheetName val="암거공"/>
      <sheetName val="전기︀ᇕ"/>
      <sheetName val="명԰_x0000_"/>
      <sheetName val="설계가"/>
      <sheetName val="짬뽕최종2-2"/>
      <sheetName val="각형맨홀"/>
      <sheetName val="일위대가㢸"/>
      <sheetName val="계摠"/>
      <sheetName val="Ⅴ-2.砀鹅瘂/"/>
      <sheetName val="J︀ᇕ԰"/>
      <sheetName val="별鰀"/>
      <sheetName val="산揄"/>
      <sheetName val="쵽괄_x0005_"/>
      <sheetName val="MRS세부"/>
      <sheetName val="노임변동률"/>
      <sheetName val="채권(하반기)"/>
      <sheetName val="CONTENTS"/>
      <sheetName val="Ⅴ-2.︀ᇕ԰_x0000_缀"/>
      <sheetName val="대로근거"/>
      <sheetName val="부표총괄"/>
      <sheetName val="ꀀፐ"/>
      <sheetName val="1F"/>
      <sheetName val="물가대비표"/>
      <sheetName val="GI_x0010__x0000_"/>
      <sheetName val="1"/>
      <sheetName val="Facility Information"/>
      <sheetName val="General"/>
      <sheetName val="Instructions"/>
      <sheetName val="People"/>
      <sheetName val="Quality"/>
      <sheetName val="Risk"/>
      <sheetName val="Training"/>
      <sheetName val="Calcs"/>
      <sheetName val="96수︀"/>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입적헾"/>
      <sheetName val="Mode¸"/>
      <sheetName val="Modex"/>
      <sheetName val="RAHME"/>
      <sheetName val="예산Mꠀ⹿"/>
      <sheetName val="예산Mᕙ렀"/>
      <sheetName val="예산Mԯ_x0000_缀"/>
      <sheetName val="예산MㅾⰀ"/>
      <sheetName val="예산M룇졟ԯ"/>
      <sheetName val="예산M㠀㑔렀"/>
      <sheetName val="예산M᠀㙖렀"/>
      <sheetName val="깨기"/>
      <sheetName val="사진대지"/>
      <sheetName val="공종"/>
      <sheetName val="총괄내역㔀"/>
      <sheetName val="1_철주신丵"/>
      <sheetName val="개㔀"/>
      <sheetName val="전기㔀቎԰_x0000_"/>
      <sheetName val="수량산출서-2"/>
      <sheetName val="일석"/>
      <sheetName val="오산갈橂"/>
      <sheetName val="9호관로"/>
      <sheetName val="사통"/>
      <sheetName val="찍기"/>
      <sheetName val="전체실적"/>
      <sheetName val="물缀ᨎ"/>
      <sheetName val="계缀ᨎ԰"/>
      <sheetName val="입사시직위"/>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설계서을"/>
      <sheetName val="물ᘀ᨜"/>
      <sheetName val="오산ꈀ"/>
      <sheetName val="오산Ⰰⵕ"/>
      <sheetName val="견적내용입력"/>
      <sheetName val="발신정보"/>
      <sheetName val="D-ELECT"/>
      <sheetName val="방배동내역(리라)"/>
      <sheetName val="부대공사총괄"/>
      <sheetName val="건축공사집계표"/>
      <sheetName val="방배동내역 (총괄)"/>
      <sheetName val="BOM"/>
      <sheetName val="계화_x0005__x0000_"/>
      <sheetName val="계화髜_x0013_"/>
      <sheetName val=""/>
      <sheetName val="/_x0000_"/>
      <sheetName val="Ⰰὖ"/>
      <sheetName val="䀀⹛"/>
      <sheetName val="국내조달(통합-1)"/>
      <sheetName val="　ፙ"/>
      <sheetName val="Construction"/>
      <sheetName val="물량"/>
      <sheetName val="파일의이용"/>
      <sheetName val="소요자재"/>
      <sheetName val="자재㔀቎԰"/>
      <sheetName val="DS-최尜"/>
      <sheetName val="倀Ṙ"/>
      <sheetName val="현장관리비참조"/>
      <sheetName val="d_x0010_"/>
      <sheetName val="견적990322"/>
      <sheetName val="노임(1차)"/>
      <sheetName val="05년5월"/>
      <sheetName val="자재㔰቎԰"/>
      <sheetName val="계화㔀቎"/>
      <sheetName val="자재㗇቎԰"/>
      <sheetName val="자재㗈቎԰"/>
      <sheetName val="자재㕑቎԰"/>
      <sheetName val="수문일1"/>
      <sheetName val="IO LIST"/>
      <sheetName val="DATA-UPS"/>
      <sheetName val="물가시세"/>
      <sheetName val="지표"/>
      <sheetName val="48일위"/>
      <sheetName val="22일위"/>
      <sheetName val="49일위"/>
      <sheetName val="도급예산내역᐀ባ搀腳"/>
      <sheetName val="101동"/>
      <sheetName val="업무처리전"/>
      <sheetName val="고려단가"/>
      <sheetName val="일위대가표-3"/>
      <sheetName val="철거수_x0000_"/>
      <sheetName val="공조생기"/>
      <sheetName val="진행 DATA (2)"/>
      <sheetName val="EE-PROP"/>
      <sheetName val="JOINT1"/>
      <sheetName val="횡배수관"/>
      <sheetName val="전체_x0005__x0000_"/>
      <sheetName val="전체헾⼝_x0005_"/>
      <sheetName val="총누헾"/>
      <sheetName val="전체내역서"/>
      <sheetName val="Mobilization"/>
      <sheetName val="Input Table"/>
      <sheetName val="Indirect_Cost"/>
      <sheetName val="Ⅴ-2_공종별내역"/>
      <sheetName val="2_대외공문"/>
      <sheetName val="Inquiry"/>
      <sheetName val="다이꾸"/>
      <sheetName val="A-11 Steel Str (2)"/>
      <sheetName val="IPL_SCHEDULE"/>
      <sheetName val="Material"/>
      <sheetName val="자재총집계"/>
      <sheetName val="裁"/>
      <sheetName val="쏁"/>
      <sheetName val="怀"/>
      <sheetName val="C1ㅇ"/>
      <sheetName val="crude.SLAB RE-bar"/>
      <sheetName val="품질 및 특성 쌞ᄅ0_x0000_"/>
      <sheetName val="별䠍"/>
      <sheetName val="자탐수량산출서"/>
      <sheetName val="က_x0000_"/>
      <sheetName val="정보매체A동"/>
      <sheetName val="쀀ፐ"/>
      <sheetName val="缀ᨎ"/>
      <sheetName val="TRE TABLE"/>
      <sheetName val=" ㇆"/>
      <sheetName val="_x0000_㇇"/>
      <sheetName val="월별자금계획"/>
      <sheetName val="총공사내역서"/>
      <sheetName val="총누_x0000_"/>
      <sheetName val="archi(본사)"/>
      <sheetName val="물량 산출 통신 맨홀"/>
      <sheetName val="ᰀЀࠀ܀ЀԀЀ؀̀"/>
      <sheetName val="하도금액분계"/>
      <sheetName val=" 견徸〒"/>
      <sheetName val=" 견헾】"/>
      <sheetName val=" 견丵〒"/>
      <sheetName val="운반헾】_x0005_"/>
      <sheetName val="예산M렀቟԰"/>
      <sheetName val="U-TYPE(15"/>
      <sheetName val="전신환매︀ᇕ"/>
      <sheetName val="계화㠀⡿"/>
      <sheetName val="ꠀ፺"/>
      <sheetName val="견적대비표"/>
      <sheetName val="노무비계"/>
      <sheetName val="물량산출_x0005__x0000_"/>
      <sheetName val="주요항목별"/>
      <sheetName val="모델링"/>
      <sheetName val="하중계산"/>
      <sheetName val="원가서"/>
      <sheetName val="건축원恽べ_x0000__x0000_"/>
      <sheetName val="건축원_x0000__x0000_Ἐ_x0000_"/>
      <sheetName val="건축원_x0000__x0000_혠_x0000_"/>
      <sheetName val="건축원_x0000__x0000_᫰_x0000_"/>
      <sheetName val="건축원懇⿔_x0000__x0000_"/>
      <sheetName val="연부97-1"/>
      <sheetName val="DATA (EPS)"/>
      <sheetName val="DATA (TRAY)"/>
      <sheetName val="부대시설-부하계산서"/>
      <sheetName val="2.입력"/>
      <sheetName val="평당"/>
      <sheetName val="비대ⴀ癆顶"/>
      <sheetName val="단위傡"/>
      <sheetName val="단위_x0000__x0000_"/>
      <sheetName val="견"/>
      <sheetName val="예산변︽ᇕ԰"/>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SE-退ꩽ܁"/>
      <sheetName val="협조전"/>
      <sheetName val="코徸〒"/>
      <sheetName val="4.동력"/>
      <sheetName val="䈀ᅪ"/>
      <sheetName val="직勨"/>
      <sheetName val="봉방_x0000__x0000_沰"/>
      <sheetName val="봉방䡲る_x0000_"/>
      <sheetName val="YES-T"/>
      <sheetName val="설계산렀ꮫԯ"/>
      <sheetName val="입丵⼳"/>
      <sheetName val="입啨/"/>
      <sheetName val="운반비정산"/>
      <sheetName val="정산"/>
      <sheetName val="Tot-sum"/>
      <sheetName val="HORI. VESSEL"/>
      <sheetName val="2.설계제원"/>
      <sheetName val="Manpower"/>
      <sheetName val="일반맨홀鲕ԯ_x0000_"/>
      <sheetName val=""/>
      <sheetName val="관경별우수관집계"/>
      <sheetName val="대차대조표"/>
      <sheetName val="손익계산서"/>
      <sheetName val="설계예시"/>
      <sheetName val="C &amp; G RH_x0000_"/>
      <sheetName val="설계缀ᨪ԰_x0000_"/>
      <sheetName val="입〒"/>
      <sheetName val="구왤렀቟԰"/>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개쌈"/>
      <sheetName val="산徸"/>
      <sheetName val="FILE¸"/>
      <sheetName val="FILE_x0000_"/>
      <sheetName val="c._x0010_"/>
      <sheetName val="c.¨"/>
      <sheetName val="산_x0010_"/>
      <sheetName val="건԰_x0000_缀"/>
      <sheetName val="건ᰀ፜搀"/>
      <sheetName val="설산㔀቎԰"/>
      <sheetName val="Languages"/>
      <sheetName val="조명투자및환수계획"/>
      <sheetName val="제조중간결과"/>
      <sheetName val="General Data"/>
      <sheetName val="맨홀공 수량집계표"/>
      <sheetName val="항목별蠀᝙㔀"/>
      <sheetName val="항목별㔀艎ԯ"/>
      <sheetName val="항목별ㅊ䈀"/>
      <sheetName val="항목별䈀Ꝫԯ"/>
      <sheetName val="총누䟣"/>
      <sheetName val="4.2유효폭의 계산"/>
      <sheetName val="쌌ᄅ"/>
      <sheetName val="날개벽수량표"/>
      <sheetName val="토적표"/>
      <sheetName val="건축외주"/>
      <sheetName val="자  재"/>
      <sheetName val="도"/>
      <sheetName val="총괄내_x0000__x0000_"/>
      <sheetName val="버스운행안내"/>
      <sheetName val="단가԰_x0000_缀"/>
      <sheetName val="새공통"/>
      <sheetName val="사용자정의"/>
      <sheetName val="제품표준규격"/>
      <sheetName val="점공통경비배부"/>
      <sheetName val="설산1ꠀᑶ"/>
      <sheetName val="설산1ꠀᡳ"/>
      <sheetName val="설산1⠀ᙵ"/>
      <sheetName val="설산1Ⰰ⊎"/>
      <sheetName val="설산1⠀❴"/>
      <sheetName val="설산1蠀⍶"/>
      <sheetName val="설산1ࠀṴ"/>
      <sheetName val="설산1ᵈ"/>
      <sheetName val="부재泬#洴"/>
      <sheetName val="설산1⍬"/>
      <sheetName val="부재_x0005__x0000_"/>
      <sheetName val="설산1谀❳"/>
      <sheetName val="설산1ԯ_x0000_"/>
      <sheetName val="설산1_xdc00_ㅭ"/>
      <sheetName val="설산1氀ᥰ"/>
      <sheetName val="설계명세서韈.헾⿓"/>
      <sheetName val="부재韈.헾"/>
      <sheetName val="설산1저⺗"/>
      <sheetName val="설산1䠀ⅷ"/>
      <sheetName val="설산1렀⑙"/>
      <sheetName val="TYPE-A"/>
      <sheetName val="계墨"/>
      <sheetName val="설산1䈀潪"/>
      <sheetName val="계橂"/>
      <sheetName val="계唸"/>
      <sheetName val="계_x0005_"/>
      <sheetName val="계勠"/>
      <sheetName val="설산1_x0000_艭"/>
      <sheetName val="J直材崀"/>
      <sheetName val="설산1餀"/>
      <sheetName val="설계명세서_x0005__x0000__x0000_"/>
      <sheetName val="철거丵〒"/>
      <sheetName val="발주설계서(당초)"/>
      <sheetName val="2차공사"/>
      <sheetName val="설산1က፭"/>
      <sheetName val="H-pile(298x299)"/>
      <sheetName val="H-pile(250x250)"/>
      <sheetName val="설산1蠀᥮"/>
      <sheetName val="7단가"/>
      <sheetName val="총누荈"/>
      <sheetName val="건㔀቎԰"/>
      <sheetName val="DS-최_x0005_"/>
      <sheetName val="DS-최畠"/>
      <sheetName val="부대tu"/>
      <sheetName val="M-EQPT-Z"/>
      <sheetName val="명_x0005__x0000_"/>
      <sheetName val="장비당단가֬_x0000_缀_x0000_"/>
      <sheetName val="member design"/>
      <sheetName val="soil bearing check"/>
      <sheetName val="STRUCTURAL STEEL"/>
      <sheetName val="개0"/>
      <sheetName val="검사현황"/>
      <sheetName val="5월"/>
      <sheetName val="근태"/>
      <sheetName val="E총15"/>
      <sheetName val="Input Names"/>
      <sheetName val="뚝토공"/>
      <sheetName val="사업부배부A"/>
      <sheetName val="단위䈳牪"/>
      <sheetName val="단위䈳奪"/>
      <sheetName val="지질조사"/>
      <sheetName val="봉방동근︀"/>
      <sheetName val="견적업체"/>
      <sheetName val="단위竀7"/>
      <sheetName val="䠾㥿"/>
      <sheetName val="TIE-IN"/>
      <sheetName val="공사비내역서"/>
      <sheetName val="토공정보"/>
      <sheetName val="D-3109"/>
      <sheetName val="비용"/>
      <sheetName val="BKDN"/>
      <sheetName val="배수공炕"/>
      <sheetName val="보차도경계석수량"/>
      <sheetName val="PIPE"/>
      <sheetName val="현장설명서"/>
      <sheetName val="산근1"/>
      <sheetName val="토공A"/>
      <sheetName val="도로구조공사비"/>
      <sheetName val="도로토공공사비"/>
      <sheetName val="여수토공사비"/>
      <sheetName val="수지표"/>
      <sheetName val="셀명"/>
      <sheetName val="Ⅴ-2.공종별_x0005__x0000_"/>
      <sheetName val="롤러"/>
      <sheetName val="Recording,Phone,Headset,PC"/>
      <sheetName val="운반_x0000__x0000_㚐"/>
      <sheetName val="별㔀"/>
      <sheetName val="물량내역"/>
      <sheetName val="[DS-LOAD.XLS]안/_x0000_ "/>
      <sheetName val="[DS-LOAD.XLS]Ⅴ-2.砀鹅瘂/"/>
      <sheetName val="[DS-LOAD.XLS]/_x0000_"/>
      <sheetName val="[DS-LOAD.XLS]입啨/"/>
      <sheetName val="예산礊"/>
      <sheetName val="견적쌐똅"/>
      <sheetName val="도급예산내역서총괄_x0005_"/>
      <sheetName val="도급예산내역서총괄罸"/>
      <sheetName val="ITEMLIST990101"/>
      <sheetName val="비대_x0001__x0000_䀀"/>
      <sheetName val="비대ﴀ汅恵"/>
      <sheetName val="적용률"/>
      <sheetName val="DS적용내역서"/>
      <sheetName val="DATE2001"/>
      <sheetName val="평가데이터"/>
      <sheetName val="HRSG SMALL07220"/>
      <sheetName val="일위집계표"/>
      <sheetName val="계획세_x0010_"/>
      <sheetName val="jan"/>
      <sheetName val="2월"/>
      <sheetName val="LKVL-CK-HT-GD1"/>
      <sheetName val="TONGKE-HT"/>
      <sheetName val="증감분석"/>
      <sheetName val="노무자도장2"/>
      <sheetName val="기계내역서"/>
      <sheetName val="Motor Data"/>
      <sheetName val="단가¬⽘"/>
      <sheetName val="단가֬_x0000_"/>
      <sheetName val="연돌일위집계"/>
      <sheetName val="설산_x0000__x0000_嬜"/>
      <sheetName val="계정"/>
      <sheetName val="도급예산내역서ᰖ〚_x0005_"/>
      <sheetName val="국공유지및사︀ᇕ"/>
      <sheetName val="배수관헾"/>
      <sheetName val="P.M猂⿻"/>
      <sheetName val="P.M塈_x0016_"/>
      <sheetName val="BM"/>
      <sheetName val="GR"/>
      <sheetName val="OCT.FDN"/>
      <sheetName val="단면ᘀ᨜"/>
      <sheetName val="20"/>
      <sheetName val="관리사무소"/>
      <sheetName val="가시_x0005__x0000_"/>
      <sheetName val="장비당단가 ︀ᇕ԰"/>
      <sheetName val="구왤헾】_x0005_"/>
      <sheetName val="구왤집계闰"/>
      <sheetName val="Macro(전기)"/>
      <sheetName val="주요업체"/>
      <sheetName val="풍하중1"/>
      <sheetName val="AC-01-원본"/>
      <sheetName val="명鉈0"/>
      <sheetName val="Constant"/>
      <sheetName val="일위대가(계측기설㔀቎"/>
      <sheetName val="일위대가(계측기설︀ᇕ"/>
      <sheetName val="1.2.1 마루높이결정"/>
      <sheetName val="TABLE3"/>
      <sheetName val="동해title"/>
      <sheetName val="Architecture Work"/>
      <sheetName val="물량산출ᣇẞ"/>
      <sheetName val="관尜_x0013_"/>
      <sheetName val="6공구_x0005__x0000_"/>
      <sheetName val="오산쀀♖"/>
      <sheetName val="9ԯ_x0000_缀"/>
      <sheetName val="오산ᰀ፜"/>
      <sheetName val="9ᰀ፜搀"/>
      <sheetName val="을헾"/>
      <sheetName val="단위별 일위대가표"/>
      <sheetName val="C &amp; Ô_x0000_Ԁ_x0000_耀"/>
      <sheetName val="C &amp; Ô_x0000_Ԁ_x0000__x0000_"/>
      <sheetName val="ASP"/>
      <sheetName val="운영및유지보수"/>
      <sheetName val="총사업비명세"/>
      <sheetName val="DSRA"/>
      <sheetName val="재원조달계획"/>
      <sheetName val="유지관리비외"/>
      <sheetName val="도급양식"/>
      <sheetName val="건축원가계산懊"/>
      <sheetName val="건축원가계산懇"/>
      <sheetName val="건축원가계산㡨"/>
      <sheetName val="건축원가계산㛘"/>
      <sheetName val="건축원가계산㧨"/>
      <sheetName val="건축원가계산㏈"/>
      <sheetName val="건축원가계산㒸"/>
      <sheetName val="관리대장(2001장비)"/>
      <sheetName val="견적조ᰀ"/>
      <sheetName val="118.세금과공᳇"/>
      <sheetName val="오산︀ᇕ"/>
      <sheetName val="조헾"/>
      <sheetName val="조竈"/>
      <sheetName val="설계︀"/>
      <sheetName val="장비당단가 (︀ᇕ"/>
      <sheetName val="단면헾】"/>
      <sheetName val="물헾】"/>
      <sheetName val="구왤집䈀ᑪ"/>
      <sheetName val="118.세금劈,橂"/>
      <sheetName val="특수선일위대가"/>
      <sheetName val="예산爋ⱈ0"/>
      <sheetName val="안전壠6"/>
      <sheetName val="입缀蜎"/>
      <sheetName val="입 ⭷"/>
      <sheetName val="입倀᩵"/>
      <sheetName val="1.수인터翇"/>
      <sheetName val="구왤집Ⰰ⭸"/>
      <sheetName val="계԰_x0000_缀"/>
      <sheetName val="공종분尜"/>
      <sheetName val="차량한계11M (2)"/>
      <sheetName val="전기일ԯ_x0000_缀"/>
      <sheetName val="공종분徸"/>
      <sheetName val="95WBS"/>
      <sheetName val="국공유지및԰_x0000_缀"/>
      <sheetName val="안전԰_x0000_缀"/>
      <sheetName val="부ԯ_x0000_缀"/>
      <sheetName val="당초Ȁ腳"/>
      <sheetName val="공틀⡀"/>
      <sheetName val="외주"/>
      <sheetName val="단락전류-A"/>
      <sheetName val="노무비(DB)"/>
      <sheetName val="BOX규격및 설계조건입력"/>
      <sheetName val="다각결합형"/>
      <sheetName val="A-8 PD(도로중앙)"/>
      <sheetName val="부䕇ԯ"/>
      <sheetName val="공정현황보고(3_27呐/䟣⿏_x0005_"/>
      <sheetName val="부倀⽔"/>
      <sheetName val="부僇⽔"/>
      <sheetName val="부က_x0000_렀"/>
      <sheetName val="Construction Schedule"/>
      <sheetName val="공사비산출내역"/>
      <sheetName val="수량이동"/>
      <sheetName val="수목데이타 "/>
      <sheetName val="전체헾】_x0005_"/>
      <sheetName val="3헾】_x0005_"/>
      <sheetName val="안전사Ԁ"/>
      <sheetName val="예산변ﻔᇕ԰"/>
      <sheetName val="입적橂"/>
      <sheetName val="안_x0000__x0000__x0005_"/>
      <sheetName val="유_x0010__x0000_"/>
      <sheetName val="단위਀魉"/>
      <sheetName val="산헾"/>
      <sheetName val="오ԯ_x0000_缀"/>
      <sheetName val="오砀⦁︀"/>
      <sheetName val="근고 블록 유형별 수량"/>
      <sheetName val="설산岘_x001b_幌"/>
      <sheetName val="설산嗸0丵"/>
      <sheetName val="工완성공사율"/>
      <sheetName val="적용환율"/>
      <sheetName val="예산변경_x0000__x0000_"/>
      <sheetName val="연동 내역서"/>
      <sheetName val=" 閍"/>
      <sheetName val="계양가시설"/>
      <sheetName val="코드猂"/>
      <sheetName val="계화丵〒"/>
      <sheetName val="설비운영"/>
      <sheetName val="쵽午_x0013_"/>
      <sheetName val="쵽䡲る"/>
      <sheetName val="dH"/>
      <sheetName val="3.CCTV설비공사"/>
      <sheetName val="도체종-상수표"/>
      <sheetName val="실행๿〚_x0005_"/>
      <sheetName val="입력값1"/>
      <sheetName val="DS-LOAD.XLS"/>
      <sheetName val="조직"/>
      <sheetName val="MEMBER"/>
      <sheetName val="목창호"/>
      <sheetName val="금액"/>
      <sheetName val="경영혁신본부"/>
      <sheetName val="BOJUNGGM"/>
      <sheetName val="SLAB&quot;1&quot;"/>
      <sheetName val="토목공사"/>
      <sheetName val="1_철주신圠"/>
      <sheetName val="계᐀ባ切"/>
      <sheetName val="밸브설치"/>
      <sheetName val="효성CB︀ᇕ԰_x0000_缀"/>
      <sheetName val="안정검토(온1)"/>
      <sheetName val="중로근거"/>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d"/>
      <sheetName val="공종분_x0005_"/>
      <sheetName val="배수공토婜"/>
      <sheetName val="배수공토_x0005_"/>
      <sheetName val="확약서"/>
      <sheetName val="분류표"/>
      <sheetName val="IMPEADENCE MAP 취수장"/>
      <sheetName val="건축일위"/>
      <sheetName val="그라우팅일위"/>
      <sheetName val="건︀ᇕ԰"/>
      <sheetName val="디자이너"/>
      <sheetName val="이익영"/>
      <sheetName val="GAEYO"/>
      <sheetName val="계장ANAL"/>
      <sheetName val="계획세׃"/>
      <sheetName val="내역_ver1.0"/>
      <sheetName val="유도ֹ"/>
      <sheetName val="유도㔀"/>
      <sheetName val="정읍농소"/>
      <sheetName val="설계내역(2_x0005__x0000__x0000_"/>
      <sheetName val="ASALTOTA"/>
      <sheetName val="견적서을2"/>
      <sheetName val="용수간선"/>
      <sheetName val="CB"/>
      <sheetName val="현황산출서"/>
      <sheetName val="산#3-1"/>
      <sheetName val="별표 "/>
      <sheetName val="자재테이블"/>
      <sheetName val="외자배분"/>
      <sheetName val="조인트"/>
      <sheetName val="노임단가(0.3)"/>
      <sheetName val="콘크리트 블록 유형별 수량"/>
      <sheetName val="내력서"/>
      <sheetName val="spec1"/>
      <sheetName val="단가표 (2)"/>
      <sheetName val="하수실행"/>
      <sheetName val="단가대비"/>
      <sheetName val="壓降計算基本資料"/>
      <sheetName val="견적접수"/>
      <sheetName val="견적내역서"/>
      <sheetName val="비대칭ׇ_x0000_"/>
      <sheetName val="현장관리비聀_x0012_茸"/>
      <sheetName val="명세헾"/>
      <sheetName val="현장관리비⩿〚_x0005_"/>
      <sheetName val="공사설ᰀ፜"/>
      <sheetName val="공사설렀቟"/>
      <sheetName val="수로단위수량"/>
      <sheetName val="재료-CODE"/>
      <sheetName val="9.2단가산출서"/>
      <sheetName val="손료"/>
      <sheetName val="예산䠀ད䰁"/>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품셈1-17"/>
      <sheetName val="주빔의 설계"/>
      <sheetName val="설계명세서(怀፵"/>
      <sheetName val="부대공ԯ_x0000_缀"/>
      <sheetName val="설계명세서(԰_x0000_缀"/>
      <sheetName val="총누᠀"/>
      <sheetName val="기계경縸"/>
      <sheetName val="DS-장비"/>
      <sheetName val="NW-장비"/>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예산蔘_x001c_蕜_x001c_"/>
      <sheetName val="예산诘_x001c_谜_x001c_"/>
      <sheetName val="(자가망)일위대가표"/>
      <sheetName val="쵽_x0005__x0000_"/>
      <sheetName val="장비분석"/>
      <sheetName val="#3E1_GCR"/>
      <sheetName val="2001년 MCC 집계"/>
      <sheetName val="공사원가계산헾"/>
      <sheetName val="공사원가계산丵"/>
      <sheetName val="각종양식"/>
      <sheetName val="3CHBDC"/>
      <sheetName val="명芘'"/>
      <sheetName val="일위대가표(유단가)"/>
      <sheetName val="부채상환계획"/>
      <sheetName val="[DS-LOAD.XLS][DS-LOAD.XLS]안/_x0000_ "/>
      <sheetName val="입喸)"/>
      <sheetName val="원하대비"/>
      <sheetName val="원도급"/>
      <sheetName val="하도급"/>
      <sheetName val="주소록"/>
      <sheetName val="인원계획-미화"/>
      <sheetName val="3_2_집기비품교체주기"/>
      <sheetName val="을橂"/>
      <sheetName val="Macro(차단기)"/>
      <sheetName val="자재砀⪜︀"/>
      <sheetName val="4_실행예산단가산출서(단壅Ꮕ"/>
      <sheetName val="중연"/>
      <sheetName val="GI_x0000__x0000_"/>
      <sheetName val="GI0_x0000_"/>
      <sheetName val="코헾】"/>
      <sheetName val="코_x0005__x0000_"/>
      <sheetName val="철거︀ᇕ"/>
      <sheetName val="철거ᰀ፜"/>
      <sheetName val="철거렀቟"/>
      <sheetName val="철거㔀቎"/>
      <sheetName val="현장관리비집계㔀"/>
      <sheetName val="준공조서갑지"/>
      <sheetName val="96수_x0005_"/>
      <sheetName val="방음벽 기초 怀፵ꈀᇚ"/>
      <sheetName val="118.세금과丵⼼"/>
      <sheetName val="118.세금과_x0005__x0000_"/>
      <sheetName val="WIND-EQ"/>
      <sheetName val="BQLIST"/>
      <sheetName val="EQUIPMENT"/>
      <sheetName val="Piping"/>
      <sheetName val="WORKING"/>
      <sheetName val="BQ List MNHRS"/>
      <sheetName val="BQ_Equip_Pipe"/>
      <sheetName val="insulation"/>
      <sheetName val="PBS"/>
      <sheetName val="GROUNDING SYSTEM"/>
      <sheetName val="구왤집䈀ᅪ"/>
      <sheetName val="오산갈㥝"/>
      <sheetName val="7.PILE  (돌출)"/>
      <sheetName val="1근거"/>
      <sheetName val="9_문제점_및_대저"/>
      <sheetName val="9_문제점_및_대밅"/>
      <sheetName val="정산표"/>
      <sheetName val="년차계산분"/>
      <sheetName val="비교丵"/>
      <sheetName val="Q827"/>
      <sheetName val="Noname 1"/>
      <sheetName val="PROJECT"/>
      <sheetName val="계화배_x0005_"/>
      <sheetName val="Ⅴ-2.공종별헾】"/>
      <sheetName val="일위대가-1"/>
      <sheetName val="보도경계블Ç"/>
      <sheetName val="ModeÄ"/>
      <sheetName val="Moder"/>
      <sheetName val="Mode_x0010_"/>
      <sheetName val="횡배수관 토공량 산출"/>
      <sheetName val="FORM7"/>
      <sheetName val="장비당단가ԯ_x0000_缀_x0000_"/>
      <sheetName val="MCC제원"/>
      <sheetName val="1차 내역서"/>
      <sheetName val="중기조종사 단위단가"/>
      <sheetName val="안ﺬ_xd9d5_ԯ"/>
      <sheetName val="안⢬㢂氀"/>
      <sheetName val="입合¾"/>
      <sheetName val="부대단위수량"/>
      <sheetName val="내역서(1)"/>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오㠀ⶀ簀"/>
      <sheetName val="20_배_x0005__x0000_"/>
      <sheetName val="단가견적조사표"/>
      <sheetName val="을부담_xd800_⑖턀"/>
      <sheetName val="1.수인터ﻇ"/>
      <sheetName val="단0_x0000_倀"/>
      <sheetName val="관급"/>
      <sheetName val="재료ⵓ"/>
      <sheetName val="관⩿〚"/>
      <sheetName val="설비"/>
      <sheetName val="S0"/>
      <sheetName val="본공사"/>
      <sheetName val="전체현황"/>
      <sheetName val="단면치缙"/>
      <sheetName val="기본사항"/>
      <sheetName val="Front"/>
      <sheetName val="사무실1"/>
      <sheetName val="118.세금删%剬"/>
      <sheetName val="2000.11월설계내역"/>
      <sheetName val="특별교실"/>
      <sheetName val="P.M _x0000_"/>
      <sheetName val="공문(신)"/>
      <sheetName val="6공구ମ⽝"/>
      <sheetName val="제경᠀"/>
      <sheetName val="제경렀"/>
      <sheetName val="구왤집ԯ_x0000_"/>
      <sheetName val="예산Mἀ膦ԯ"/>
      <sheetName val="예산Mⵗ㰀"/>
      <sheetName val="안정缀䜎"/>
      <sheetName val="계緇"/>
      <sheetName val="산"/>
      <sheetName val="자㠅"/>
      <sheetName val="Ⅴ-2.공종별내렃"/>
      <sheetName val="일︀ᇕ԰"/>
      <sheetName val="Sh丵⼺_x0005__x0000_"/>
      <sheetName val="동력부하(도산)"/>
      <sheetName val="majo԰"/>
      <sheetName val="C &amp; G _x0000__x0000__x0005_"/>
      <sheetName val="C &amp; G "/>
      <sheetName val="방음벽 기초䈀㉪ԯ_x0000_缀"/>
      <sheetName val="을齘"/>
      <sheetName val="1.수인터䋇"/>
      <sheetName val="제잡비"/>
      <sheetName val="P.M_x0005__x0000_"/>
      <sheetName val="첨부파일"/>
      <sheetName val="수로BOX"/>
      <sheetName val="안䈀ᅪ԰"/>
      <sheetName val="Id"/>
      <sheetName val="Intro2"/>
      <sheetName val="2004SS"/>
      <sheetName val="2004CJ"/>
      <sheetName val="국공유԰"/>
      <sheetName val="31.䈌"/>
      <sheetName val="집계"/>
      <sheetName val="항목蠀㑗䈀ᝪ"/>
      <sheetName val="항목簀䐼ᨱ"/>
      <sheetName val=" 총괄표"/>
      <sheetName val="조԰"/>
      <sheetName val="조_x0005_"/>
      <sheetName val="관거공ԯ_x0000_"/>
      <sheetName val="구왤 ⩘氀"/>
      <sheetName val="자怀"/>
      <sheetName val="3.자재비(총괄)"/>
      <sheetName val="형상"/>
      <sheetName val="퀀⡖"/>
      <sheetName val="㔀ｎ"/>
      <sheetName val="설계산출기纘"/>
      <sheetName val="ᩓ"/>
      <sheetName val="1단계"/>
      <sheetName val="부대尜_x0013_"/>
      <sheetName val="VXXp"/>
      <sheetName val="특2호하천산근"/>
      <sheetName val="특2호부관하천산근"/>
      <sheetName val="계怀⽍렀"/>
      <sheetName val="여과지동"/>
      <sheetName val="내역(중앙)"/>
      <sheetName val="상촌2교-일반수량집계"/>
      <sheetName val="투찰가"/>
      <sheetName val="하수급_x0000__x0000__x0005__x0000_"/>
      <sheetName val="瀀"/>
      <sheetName val="일위대가호표"/>
      <sheetName val="INP킬❨"/>
      <sheetName val="118.세금과迠ዘ"/>
      <sheetName val="118.세금과鐠寑"/>
      <sheetName val="일반부표"/>
      <sheetName val="P.쀀⊒缀"/>
      <sheetName val="P.尀⊓ꐀ"/>
      <sheetName val="목표세부명세"/>
      <sheetName val="전산망"/>
      <sheetName val="70%"/>
      <sheetName val="입哨_x0013_"/>
      <sheetName val="오산ፔ"/>
      <sheetName val="건축원가계산呠"/>
      <sheetName val="입呠&amp;"/>
      <sheetName val="1차분내역-2"/>
      <sheetName val="조橂"/>
      <sheetName val="오산䈀"/>
      <sheetName val="P&amp;L01-02GR"/>
      <sheetName val="오산/"/>
      <sheetName val="118.세금과공䀀"/>
      <sheetName val="입丵〒"/>
      <sheetName val="입墐 "/>
      <sheetName val="입啐'"/>
      <sheetName val="입ꮸ⾚"/>
      <sheetName val="입呠0"/>
      <sheetName val="입牘!"/>
      <sheetName val="입ꮸ「"/>
      <sheetName val="입盀_x001d_"/>
      <sheetName val="입疰_x001e_"/>
      <sheetName val="오산"/>
      <sheetName val="유통망계획"/>
      <sheetName val="오산픀"/>
      <sheetName val="오산ን"/>
      <sheetName val="오산Ⰰ"/>
      <sheetName val="오산餀ኘ"/>
      <sheetName val="일위대가(계측기설쀀᝹"/>
      <sheetName val="전선(IEC)"/>
      <sheetName val="예산변경䈀ᅪ"/>
      <sheetName val="국공유지및사碌,"/>
      <sheetName val="하수급݈╯͔"/>
      <sheetName val="건물︀ᇕ"/>
      <sheetName val="실행간접비용"/>
      <sheetName val="아파트_x0000__x0000_"/>
      <sheetName val="BOQ-Summary_F袹㛿㤂彩ᰀ樼"/>
      <sheetName val="부대栨ǥ"/>
      <sheetName val="부대栨ǂ"/>
      <sheetName val="부대栨ǭ"/>
      <sheetName val="1.관로"/>
      <sheetName val="내역서(삼호)"/>
      <sheetName val="매출"/>
      <sheetName val="마산방향"/>
      <sheetName val="관거공렀靟"/>
      <sheetName val="계화⪔"/>
      <sheetName val="설계⪔堀"/>
      <sheetName val="NAI"/>
      <sheetName val="장비당단가怀倣԰_x0000_"/>
      <sheetName val="역T형교대(말뚝기초)"/>
      <sheetName val="관거공⠏᜶"/>
      <sheetName val="관거공䈀ᅪ"/>
      <sheetName val="관거공耀⩩"/>
      <sheetName val="기별수량산출서"/>
      <sheetName val="E01-02(EV-1-LBS)"/>
      <sheetName val="구리토헾】_x0005__x0000_"/>
      <sheetName val="8. 내진해석"/>
      <sheetName val="물량산출근헾"/>
      <sheetName val="입찰헾"/>
      <sheetName val="물량산출근窨"/>
      <sheetName val="입찰窨"/>
      <sheetName val="GIS._x0005__x0000__x0000_"/>
      <sheetName val="실행내ﻔᇕ"/>
      <sheetName val="업무연락"/>
      <sheetName val="CFLOW"/>
      <sheetName val="관거午_x0013_ὐ"/>
      <sheetName val="관거午_x0013_㐨"/>
      <sheetName val="관거午_x0013_떰"/>
      <sheetName val="도급정산"/>
      <sheetName val="보0_x0000_蠀"/>
      <sheetName val="보0_x0000_堀"/>
      <sheetName val="보0_x0000_倀"/>
      <sheetName val="보0_x0000_"/>
      <sheetName val="보0_x0000_⠀"/>
      <sheetName val="관거_x0000__x0000_篬"/>
      <sheetName val="관거薘$藜"/>
      <sheetName val="관거헾⾅_x0005_"/>
      <sheetName val="MACS-COIL(CW)"/>
      <sheetName val="건축원가계芘)"/>
      <sheetName val="12.3P"/>
      <sheetName val="1_x0005_"/>
      <sheetName val="출력X"/>
      <sheetName val="사방수량근거"/>
      <sheetName val="재료비"/>
      <sheetName val="변전소+TIE POST"/>
      <sheetName val="전차선설비공사"/>
      <sheetName val="PRE"/>
      <sheetName val="DJ1"/>
      <sheetName val="전력구구조물산근"/>
      <sheetName val="종배수관면벽구"/>
      <sheetName val="계섅ꅬ/"/>
      <sheetName val="원형1호맨홀토공수량"/>
      <sheetName val="C &amp; Ô"/>
      <sheetName val="토사԰"/>
      <sheetName val="견֮"/>
      <sheetName val="공사원가_x0005_"/>
      <sheetName val="전기일ԯ"/>
      <sheetName val="품질 및 缀ᨎ԰"/>
      <sheetName val="단က"/>
      <sheetName val="IW-LIST"/>
      <sheetName val="[DS-LOAD.XLS][DS-LOAD.XLS]/_x0000_"/>
      <sheetName val="견䋉ᅪ԰"/>
      <sheetName val="䋇ᅪ"/>
      <sheetName val="변수"/>
      <sheetName val="도장수량(하1)"/>
      <sheetName val="주형"/>
      <sheetName val="내역_FILE"/>
      <sheetName val="쵽괄夰"/>
      <sheetName val="물⩿〚"/>
      <sheetName val="재무가Ç"/>
      <sheetName val="부_x0000__x0000_杻"/>
      <sheetName val="부郯"/>
      <sheetName val="구왤_x0000__x0000_㶐"/>
      <sheetName val="건축집계표"/>
      <sheetName val="FUSE_MCB"/>
      <sheetName val="공사원가계산_x0000_"/>
      <sheetName val="공사설_x0010__x0000_"/>
      <sheetName val="공사설_x0000__x0000_"/>
      <sheetName val="45,_x0000__x0000_"/>
      <sheetName val="Ⅴ-2.공㔀቎԰_x0000_"/>
      <sheetName val="민속촌메뉴"/>
      <sheetName val="설계산출ᰀ፜"/>
      <sheetName val="참조일람"/>
      <sheetName val="ERL_TBL"/>
      <sheetName val="아파薸(藼"/>
      <sheetName val="유림골조"/>
      <sheetName val="Indirect Cos_x0005_"/>
      <sheetName val="전신환︀ᇕ԰"/>
      <sheetName val="Ⅴ-2.공ﻇᇕ԰_x0000_"/>
      <sheetName val="[DS-LOAD.XLS]공정현황보고(3_27呐/䟣⿏_x0005_"/>
      <sheetName val="부_x0000__x0000_Ԁ"/>
      <sheetName val="계頀塔攀"/>
      <sheetName val="계Ç_x0000_"/>
      <sheetName val="유도쐂"/>
      <sheetName val="계Ç_x0000_렀"/>
      <sheetName val="을부담ԯ_x0000_缀"/>
      <sheetName val="우배수"/>
      <sheetName val="개략"/>
      <sheetName val="bearing"/>
      <sheetName val="별က"/>
      <sheetName val="배수공_x0005__x0000_"/>
      <sheetName val="배수공橂】"/>
      <sheetName val="공璈ã瓌"/>
      <sheetName val="전 기"/>
      <sheetName val="가로등내역서"/>
      <sheetName val="9811"/>
      <sheetName val="설계명세서렀቟԰_x0000_"/>
      <sheetName val="비대︀Ǖ԰"/>
      <sheetName val="개산공사비"/>
      <sheetName val="남대문빌딩"/>
      <sheetName val="자동제어"/>
      <sheetName val="암거단위"/>
      <sheetName val="철근량"/>
      <sheetName val="단"/>
      <sheetName val="내︀ᇕ԰"/>
      <sheetName val="Modeø"/>
      <sheetName val="Modeè"/>
      <sheetName val="내역조적"/>
      <sheetName val="L형옹丵"/>
      <sheetName val="L형옹呸"/>
      <sheetName val="구왤집炬⭯"/>
      <sheetName val="전_x0005_"/>
      <sheetName val="하수급︀ᇕ԰_x0000_"/>
      <sheetName val="sum_x0000__x0000_〸_x0000__x0000_"/>
      <sheetName val="Parameters"/>
      <sheetName val="영업점별목표산출"/>
      <sheetName val="연평잔"/>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현장관리비집계헾"/>
      <sheetName val="예산변턂붵尀"/>
      <sheetName val="3B"/>
      <sheetName val="수안보-MBR1"/>
      <sheetName val="계縸"/>
      <sheetName val="계興"/>
      <sheetName val="계蔈"/>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구리토평ᬂ௓_x0001_"/>
      <sheetName val="전기䀀⒑"/>
      <sheetName val="전기↏"/>
      <sheetName val="전기退ろ"/>
      <sheetName val="공정 (총괄) (2)"/>
      <sheetName val="안缀ᨎ԰"/>
      <sheetName val="안/_x0000_"/>
      <sheetName val="안ࠋ቎蠀"/>
      <sheetName val="안/_x0000_뀀"/>
      <sheetName val="인건-측정"/>
      <sheetName val="기별"/>
      <sheetName val="[DS-LOAD.XLS]오산/"/>
      <sheetName val="하도급업체"/>
      <sheetName val="구왤֮"/>
      <sheetName val="구왤룠቟԰"/>
      <sheetName val="구왤㗇ԯ"/>
      <sheetName val="구왤낼㝗ﰀ"/>
      <sheetName val="◀-▶"/>
      <sheetName val="2.내역서"/>
      <sheetName val="사각맨홀"/>
      <sheetName val="계약내력"/>
      <sheetName val="경산"/>
      <sheetName val="년도별시공"/>
      <sheetName val="원가계산서(남측_x0000_"/>
      <sheetName val="F4-F7"/>
      <sheetName val="장비당단가 _x0005__x0000__x0000_"/>
      <sheetName val="설계산출표︀"/>
      <sheetName val="상수보호"/>
      <sheetName val="요⋞"/>
      <sheetName val="조명율데이타"/>
      <sheetName val="별표총괄표"/>
      <sheetName val="현장관리비집尜_x0013_"/>
      <sheetName val="세부내역서"/>
      <sheetName val="단면鰀፰"/>
      <sheetName val="단면쀀ፐ"/>
      <sheetName val="Qhe闰⾖_x0005_"/>
      <sheetName val="대가근거_입력"/>
      <sheetName val="요Հ陭"/>
      <sheetName val="RAHME¨"/>
      <sheetName val="입적齘"/>
      <sheetName val="예산窨_x0013_竬"/>
      <sheetName val="È"/>
      <sheetName val="구왤집ꠧ᭑"/>
      <sheetName val="공정"/>
      <sheetName val="예산변_x0000__x0000__x0005_"/>
      <sheetName val="구왤睮め_x0005_"/>
      <sheetName val="구왤丵〒_x0005_"/>
      <sheetName val="항목堐_x001c_塜_x001c_"/>
      <sheetName val="항목ሧ⿯_x0005__x0000_"/>
      <sheetName val="IN"/>
      <sheetName val="제품(수출)매출"/>
      <sheetName val="상품보조수불"/>
      <sheetName val="제조원가계산서 (2)"/>
      <sheetName val="제품입고(생산)"/>
      <sheetName val="bm-marine"/>
      <sheetName val="Assumptions"/>
      <sheetName val="o현장경비"/>
      <sheetName val="적용단위길이"/>
      <sheetName val="INSTR"/>
      <sheetName val="_x0005_"/>
      <sheetName val="þ"/>
      <sheetName val="8"/>
      <sheetName val="¸"/>
      <sheetName val="일위대가표(DEEP)"/>
      <sheetName val="DB"/>
      <sheetName val="직簀"/>
      <sheetName val="직谀"/>
      <sheetName val="직Ⰰ"/>
      <sheetName val="직_xdc00_"/>
      <sheetName val="Boq"/>
      <sheetName val="p"/>
      <sheetName val="명세厀"/>
      <sheetName val="템플릿"/>
      <sheetName val="A-General"/>
      <sheetName val="물_x0005__x0000_"/>
      <sheetName val="예산M1_x0005__x0000_"/>
      <sheetName val="렀቟"/>
      <sheetName val="ITB COST"/>
      <sheetName val="조작대(1연)"/>
      <sheetName val="일위㦐ͨ_xda0b_"/>
      <sheetName val="구왤집계謀"/>
      <sheetName val="부대Ç_x0000_退="/>
      <sheetName val="표지 (_x0005__x0000_"/>
      <sheetName val="표지 (嫐0"/>
      <sheetName val="표지 (垼+"/>
      <sheetName val="표지 (寠-"/>
      <sheetName val="표지 (妼_x001b_"/>
      <sheetName val="표지 (嚀#"/>
      <sheetName val="단위昀⭝"/>
      <sheetName val="단위3_x0000_"/>
      <sheetName val="비대甂㘼_x0001_"/>
      <sheetName val="비대_x0001__x0000_퀀"/>
      <sheetName val="비대저᥻԰"/>
      <sheetName val="간접비(1)"/>
      <sheetName val="J0_x0000__x0000_"/>
      <sheetName val="J0_x0000_⠀"/>
      <sheetName val="Jꠀ⢄︀"/>
      <sheetName val="BOX(상시)"/>
      <sheetName val="ML"/>
      <sheetName val="VXXB"/>
      <sheetName val="기기리스트"/>
      <sheetName val="2.대외_x0010__x0000_"/>
      <sheetName val="예산M㄀抣ԯ"/>
      <sheetName val="예산M蠊⸴"/>
      <sheetName val="예산M蠑⸴"/>
      <sheetName val="sum"/>
      <sheetName val="IMP (REAC罈_x001e_羌_x001e_"/>
      <sheetName val="8.릐̖Ā"/>
      <sheetName val="설계׃"/>
      <sheetName val="설계_x0005_"/>
      <sheetName val="아산추가1220"/>
      <sheetName val="봉양~조차장간고하개명(신설)"/>
      <sheetName val="토공 토䐀໰"/>
      <sheetName val="본사ᰖ"/>
      <sheetName val="단가︀ᇕ԰"/>
      <sheetName val="오산ᗂ恭"/>
      <sheetName val="조洕"/>
      <sheetName val="방음벽 기초䈀ｪԯ_x0000_缀"/>
      <sheetName val=" 견적뀀"/>
      <sheetName val=" 견적瀀"/>
      <sheetName val="전기일위헾⿕"/>
      <sheetName val="KP1590_B"/>
      <sheetName val="명일작업계획 (3)"/>
      <sheetName val="APT"/>
      <sheetName val=""/>
      <sheetName val="㔀"/>
      <sheetName val="ꠋ"/>
      <sheetName val="砌"/>
      <sheetName val="예산ᛅ⼝_x0005_"/>
      <sheetName val="밃"/>
      <sheetName val="노무산출서"/>
      <sheetName val="堇"/>
      <sheetName val="踂"/>
      <sheetName val="단위세萸"/>
      <sheetName val="단위세_x0005_"/>
      <sheetName val="hvac(헾⽯_x0005__x0000_"/>
      <sheetName val="Ⅴ-2.공종별헾⾓"/>
      <sheetName val="공사원가Â"/>
      <sheetName val="설산1丵⾾"/>
      <sheetName val="설산1爸_x0017_"/>
      <sheetName val="설산1浘_x0019_"/>
      <sheetName val="설산1_x0005__x0000_"/>
      <sheetName val="설산1橂⿇"/>
      <sheetName val="1_공사집๿〚_x0005__x0000_"/>
      <sheetName val="4_실행예산단가산缀ᨎ԰_x0000_缀_x0000_"/>
      <sheetName val="Ⅴ-2.Ԁ_x0000_缀_x0000__x0000_"/>
      <sheetName val="계֬"/>
      <sheetName val="계ᰀ"/>
      <sheetName val="오산갈䈀"/>
      <sheetName val="5. COST SCHEDULE PER E=_x0000_砀%_x0000__x0000_"/>
      <sheetName val="ꠀគ"/>
      <sheetName val="유_x0000__x0000_"/>
      <sheetName val="유慨_x0013_"/>
      <sheetName val="유丵〒"/>
      <sheetName val="유睮め"/>
      <sheetName val="유鏠_x0013_"/>
      <sheetName val="유趐)"/>
      <sheetName val="유奈_x001b_"/>
      <sheetName val="정산입ᰀ"/>
      <sheetName val="정산입툀"/>
      <sheetName val="정산입㔀"/>
      <sheetName val="예산변경사Z"/>
      <sheetName val="도급예산내역서총橂】"/>
      <sheetName val="작성기준"/>
      <sheetName val="GIS԰"/>
      <sheetName val="옥내아파트(전기)"/>
      <sheetName val="NEGO"/>
      <sheetName val="유도쐃"/>
      <sheetName val="유도쐎"/>
      <sheetName val="부대공က_x0000_"/>
      <sheetName val="가설공사"/>
      <sheetName val="단가결정"/>
      <sheetName val="내역아"/>
      <sheetName val="울타리"/>
      <sheetName val="단위︀ᇕ"/>
      <sheetName val="물량표S"/>
      <sheetName val="철거ᨀꍙ"/>
      <sheetName val="관거공사_x0001_"/>
      <sheetName val="관거공사_x000c_"/>
      <sheetName val="관거공사ð"/>
      <sheetName val="BREAKDOWN(철거설치)"/>
      <sheetName val="dÃ"/>
      <sheetName val="봉방_x0000__x0000_"/>
      <sheetName val="설계爏譈0_x0000_"/>
      <sheetName val="북방3터널"/>
      <sheetName val="오산げ"/>
      <sheetName val="입׃⽾"/>
      <sheetName val="계怀"/>
      <sheetName val="계餀"/>
      <sheetName val="4_실행예산단가산԰_x0000_缀_x0000__x0000__x0000_"/>
      <sheetName val="계뢬"/>
      <sheetName val="계퀀"/>
      <sheetName val="계㔀"/>
      <sheetName val="계䀀"/>
      <sheetName val="계ﺬ"/>
      <sheetName val="계뀀"/>
      <sheetName val="계⠀"/>
      <sheetName val="구왤집계︀"/>
      <sheetName val="구왤집계䈀"/>
      <sheetName val="1호맨홀䈀ᅪ"/>
      <sheetName val="건축원가계산齘"/>
      <sheetName val="오산렀"/>
      <sheetName val="실행대비"/>
      <sheetName val="오산갈"/>
      <sheetName val="개정1의 갑"/>
      <sheetName val="213"/>
      <sheetName val="공종별 집䀀"/>
      <sheetName val="안전사㡃"/>
      <sheetName val="입찰蔨"/>
      <sheetName val="설계개요"/>
      <sheetName val="내역총괄妌"/>
      <sheetName val="[DS-LOAD.XLS][DS-LOAD.XLS]오산/"/>
      <sheetName val="전압강닑⽿_x0005_"/>
      <sheetName val="Indirect C_x0000__x0000__x0005_"/>
      <sheetName val="소운반"/>
      <sheetName val="hvac(제어동徸"/>
      <sheetName val="한전위_x0000__x0000_Ā_x0000__x0005_"/>
      <sheetName val="현장관리蠁滿㤁㊄"/>
      <sheetName val="당초"/>
      <sheetName val="토류판설치(t=60׈"/>
      <sheetName val="토류판설치(t=60磈"/>
      <sheetName val="일위대가표 (2)"/>
      <sheetName val="기본단가표"/>
      <sheetName val="단위단가"/>
      <sheetName val="토사(闰⾘_x0005_"/>
      <sheetName val="PUMP"/>
      <sheetName val="산耀"/>
      <sheetName val="실행"/>
      <sheetName val="1.수인터Æ"/>
      <sheetName val="별쌐"/>
      <sheetName val="내역및총괄"/>
      <sheetName val="지사인원"/>
      <sheetName val="계장 품셈표"/>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안정검_x0000_"/>
      <sheetName val="내역 (2)"/>
      <sheetName val="품질 및 특성 보_xdcf0_®"/>
      <sheetName val="계화膸)"/>
      <sheetName val="형강류 단가 CODE"/>
      <sheetName val="criteria"/>
      <sheetName val="변_x0005__x0000__x0000_"/>
      <sheetName val="공사원가헾】_x0005_"/>
      <sheetName val="장비작업내용"/>
      <sheetName val="기초단가"/>
      <sheetName val="99년신청"/>
      <sheetName val="검ﺬ"/>
      <sheetName val="setup"/>
      <sheetName val="hvac(제어동腘"/>
      <sheetName val="hvac(제어동헾"/>
      <sheetName val="hvac(제어동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투찰내缀"/>
      <sheetName val="유도헾"/>
      <sheetName val="수량산출(음암)"/>
      <sheetName val="오산헾】"/>
      <sheetName val="국공유翇ᨎ԰_x0000_缀"/>
      <sheetName val="국공유ﻇᇕ԰_x0000_缀"/>
      <sheetName val="설계명세서(선尜_x0013_"/>
      <sheetName val="공사원가丵〒_x0005_"/>
      <sheetName val="안전က_x0000_"/>
      <sheetName val="안전က_x0000_砀"/>
      <sheetName val="보정계수산정(1)"/>
      <sheetName val="보정계수산정(2)"/>
      <sheetName val="보정계수산정(3)"/>
      <sheetName val="을부/_x0000_퀀¤"/>
      <sheetName val="을부က_x0000_᠀蘸"/>
      <sheetName val="참고(2)"/>
      <sheetName val="[DS-LOAD.XLS][DS-LOAD.XLS]입啨/"/>
      <sheetName val="경비산출"/>
      <sheetName val="전기자료"/>
      <sheetName val="본׃⿇"/>
      <sheetName val="소상 &quot;1&quot;"/>
      <sheetName val="옹벽기초자료"/>
      <sheetName val="99노임기준"/>
      <sheetName val="견적을"/>
      <sheetName val="원老㎿耜"/>
      <sheetName val="원态᣽_x001b_"/>
      <sheetName val="예산ﺻ叕ԯ_x0000_"/>
      <sheetName val="개발운영비청구"/>
      <sheetName val="실행_x0000_Ԁ"/>
      <sheetName val="실행Ԕ_x0000_缀"/>
      <sheetName val="철거ﺬ鿕"/>
      <sheetName val="EXPENSE"/>
      <sheetName val="BAU-ITEMLIST"/>
      <sheetName val="시산"/>
      <sheetName val="WBS98"/>
      <sheetName val="Köpfe"/>
      <sheetName val="원_VL"/>
      <sheetName val="Man Power &amp; Comp"/>
      <sheetName val="관거損Ø稐"/>
      <sheetName val="관거뚸⒳_x0000_"/>
      <sheetName val="관거ᾏRꞨ"/>
      <sheetName val="관거ᾏRȰ"/>
      <sheetName val="관거㮀⡯_x0000_"/>
      <sheetName val="관거_x0002__x0000_"/>
      <sheetName val="관거_x0001__x0000_"/>
      <sheetName val="관거_x0000__x0000__xdd28_"/>
      <sheetName val="관거밽"/>
      <sheetName val="관거밽á鿨"/>
      <sheetName val="기초헾】_x0005_"/>
      <sheetName val="부대徸〒"/>
      <sheetName val="입찰참가보고_(2_x0000_"/>
      <sheetName val="현장관리비집계Á"/>
      <sheetName val="b_gunmul"/>
      <sheetName val="b_balju (2)"/>
      <sheetName val="중간"/>
      <sheetName val="2_대외공문1"/>
      <sheetName val="118_세금과공과1"/>
      <sheetName val="단가표_1"/>
      <sheetName val="Ⅴ-2_공종별내역1"/>
      <sheetName val="제주노형(금액)"/>
      <sheetName val="PLCAL"/>
      <sheetName val="장비당단가탕᭎_x0000_"/>
      <sheetName val="물량산출근_x0000_"/>
      <sheetName val="G.R300경비"/>
      <sheetName val="산출서집계"/>
      <sheetName val="CJE"/>
      <sheetName val="단가蔨_x001b_᪸"/>
      <sheetName val="단가䶸!ﻠ"/>
      <sheetName val="단가懇⾢_x0000_"/>
      <sheetName val="예산׃⿢_x0000__x0000_"/>
      <sheetName val="예산_x0010__x0000_뻠ɂ"/>
      <sheetName val="예산׃⽞_x0000__x0000_"/>
      <sheetName val="예산_x0010__x0000_ꛈЦ"/>
      <sheetName val="정류기"/>
      <sheetName val="공사원가계산坨"/>
      <sheetName val="COA-17"/>
      <sheetName val="C-18"/>
      <sheetName val="한전위탁공사頀គ"/>
      <sheetName val="DS-최怀"/>
      <sheetName val="계산중"/>
      <sheetName val="일위대가Â"/>
      <sheetName val="사업개요"/>
      <sheetName val="안전담당"/>
      <sheetName val="관집계"/>
      <sheetName val="신설개소별 총집계표(동해-배전)"/>
      <sheetName val="안평역사 총집계"/>
      <sheetName val="견적서세부내용"/>
      <sheetName val="건축공사이월"/>
      <sheetName val="총괄내_x0005__x0000_"/>
      <sheetName val="총괄내誀걜"/>
      <sheetName val="총괄내紴"/>
      <sheetName val="총괄내跀"/>
      <sheetName val="ᰰ"/>
      <sheetName val="단가LIST(8.16)"/>
      <sheetName val="견적대비"/>
      <sheetName val="C &amp; G R_x0000__x0000_"/>
      <sheetName val="SE-⠀⎃氀"/>
      <sheetName val="sum1 (2橂"/>
      <sheetName val="sum1 (2洅"/>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전체총_x0000__x0000_"/>
      <sheetName val="전체총地+"/>
      <sheetName val="설계명세䑲〆_x0000__x0000_"/>
      <sheetName val="steam table"/>
      <sheetName val="MP MOB"/>
      <sheetName val="Table_1"/>
      <sheetName val="MH_Data"/>
      <sheetName val="Name_ID"/>
      <sheetName val="TH-Dien"/>
      <sheetName val="VENDOR LIST"/>
      <sheetName val="설변내渀荷"/>
      <sheetName val="설변내≖"/>
      <sheetName val="etc"/>
      <sheetName val="예산M㠀ᎍ簀"/>
      <sheetName val="일위대가(계측기설㶃"/>
      <sheetName val="BOX복구단위수량"/>
      <sheetName val="4_실행예산단가산㠀ᱫ鬀ﰓԯ_x0000_"/>
      <sheetName val="L-type"/>
      <sheetName val="영동(D)"/>
      <sheetName val="물량_x0005__x0000__x0000_"/>
      <sheetName val="설산1Ç_x0000_"/>
      <sheetName val="ELECTRIC"/>
      <sheetName val="별Ⴓ"/>
      <sheetName val="J直埰_x0012_"/>
      <sheetName val="견적내역"/>
      <sheetName val="팬찰내역"/>
      <sheetName val="_xdbec_장공"/>
      <sheetName val="PAY"/>
      <sheetName val="96ׇ_x0000_"/>
      <sheetName val="법면"/>
      <sheetName val="공감비"/>
      <sheetName val="준검 내엩서"/>
      <sheetName val="G_x0000__x0000__x0005_"/>
      <sheetName val="실행(표지,갑,을)"/>
      <sheetName val="추가예산"/>
      <sheetName val="Indirect_Cost1"/>
      <sheetName val="sum1_(2)1"/>
      <sheetName val="Despacho_(c_civil)1"/>
      <sheetName val="공정현황보고(3_20)_(徸〒"/>
      <sheetName val="사용내역喜"/>
      <sheetName val="구조물철거타공정이웜"/>
      <sheetName val="VXXXXXXX"/>
      <sheetName val="admin"/>
      <sheetName val="자재/_x0000_"/>
      <sheetName val="자재/_x0000_쀀"/>
      <sheetName val="자재␸蠀"/>
      <sheetName val="견䈀浪ԯ"/>
      <sheetName val="[DS-LOAD.XLS]자재/_x0000_"/>
      <sheetName val="[DS-LOAD.XLS]자재/_x0000_쀀"/>
      <sheetName val="을부담운텐ꆲ"/>
      <sheetName val="국사현황"/>
      <sheetName val="요䈀ᅪ"/>
      <sheetName val="공사원가계_x0000_"/>
      <sheetName val="공사원가계_x0010__x0000_"/>
      <sheetName val="보건노"/>
      <sheetName val="DS︀ᇕ԰"/>
      <sheetName val="내역서1"/>
      <sheetName val="입橂】"/>
      <sheetName val="예산M렋ⴲ᠀"/>
      <sheetName val="5. COST SCHEDULE럇ㅦ0_x0000_倀/_x0000__x0000_저耱䴆텳"/>
      <sheetName val="5. COST SCHEDULE랜❦0_x0000_㠀÷_x0000__x0000_က痸䠆얀"/>
      <sheetName val="총사업비현황"/>
      <sheetName val="예산ᑛꈀ꣚"/>
      <sheetName val="견적_x0010_"/>
      <sheetName val="견적༨ʹ"/>
      <sheetName val="검뢬"/>
      <sheetName val="말뚝지_x0000__x0000_Ԁ_x0000_"/>
      <sheetName val="118.세금뜈ǻ囉"/>
      <sheetName val="물량산출근氐"/>
      <sheetName val="오　聽԰"/>
      <sheetName val="오怀ⱔ가"/>
      <sheetName val="오餀侘ԯ"/>
      <sheetName val="소산진입"/>
      <sheetName val="Ⅴ-2.공종별내_x0005_"/>
      <sheetName val="저콙"/>
      <sheetName val="118._x0000__x0000_Ԁ_x0000_䀀"/>
      <sheetName val="GIS_x0005_"/>
      <sheetName val="8.자재茸·"/>
      <sheetName val="8.자재蒨ÿ"/>
      <sheetName val="8.자재繘®"/>
      <sheetName val="8.자재_x0005__x0000_"/>
      <sheetName val="_견적서1"/>
      <sheetName val="#4DUCT_SUPPORT_체크LIST"/>
      <sheetName val="2_입력"/>
      <sheetName val="실행내역서_"/>
      <sheetName val="총_원가계산"/>
      <sheetName val="31_고_x005f_x0000_RTU"/>
      <sheetName val="공사비_내역_(가)"/>
      <sheetName val="[DS-LOAD_XLS]입啨/"/>
      <sheetName val="[DS-LOAD_XLS][DS-LOAD_XLS]입啨/"/>
      <sheetName val="물량_산출_통신_맨홀"/>
      <sheetName val="plan&amp;section_of_foundation"/>
      <sheetName val="design_criteria"/>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직"/>
      <sheetName val="General_Data"/>
      <sheetName val="8_자재"/>
      <sheetName val="쵽"/>
      <sheetName val="견頀⢀"/>
      <sheetName val="Motor_Data"/>
      <sheetName val="내역_ver1_0"/>
      <sheetName val="설산岘幌"/>
      <sheetName val="Ⅴ-2_砀鹅瘂/"/>
      <sheetName val="Ⅴ-2_ᰀ፜搀፜"/>
      <sheetName val="진행_DATA_(2)"/>
      <sheetName val="실행철강矨"/>
      <sheetName val="실행철헾】"/>
      <sheetName val="계획세"/>
      <sheetName val="Ⅴ-2_공ᛇ᨜԰"/>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CAL_"/>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2002상반기노임기준"/>
      <sheetName val="그림"/>
      <sheetName val="무정전통보"/>
      <sheetName val="인계"/>
      <sheetName val="지입재료비"/>
      <sheetName val="적요"/>
      <sheetName val="산출명세서"/>
      <sheetName val="G㑈ď鎀"/>
      <sheetName val="연수_x0000_"/>
      <sheetName val="5. COST SCHEDULE PER E绸o헾⾧_x0005__x0000_"/>
      <sheetName val="유도ԋ"/>
      <sheetName val="공Ö_x0000_Ԁ"/>
      <sheetName val="RAHME¸"/>
      <sheetName val="RAHME5"/>
      <sheetName val="자단"/>
      <sheetName val="철거ღ⯟"/>
      <sheetName val="오산叀&gt;"/>
      <sheetName val="보_x0005__x0000__x0000__x0000__x0000_"/>
      <sheetName val="MANUFACTORY"/>
      <sheetName val="본관"/>
      <sheetName val="B76"/>
      <sheetName val="Ⅴ-2_공尜層"/>
      <sheetName val="Ⅴ-2_공徸〒"/>
      <sheetName val="인월수표"/>
      <sheetName val="back-data"/>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준공내역"/>
      <sheetName val="5CHBDC"/>
      <sheetName val="35 장주신설"/>
      <sheetName val="실행BOQ"/>
      <sheetName val="118.세금Ԉ"/>
      <sheetName val=" ԰"/>
      <sheetName val="안က"/>
      <sheetName val="안/"/>
      <sheetName val="현장관리비_x0005_"/>
      <sheetName val="예산Mԯ"/>
      <sheetName val="단0"/>
      <sheetName val="Ⅴ-2.԰"/>
      <sheetName val="실행_x0005_"/>
      <sheetName val="설계명세서က"/>
      <sheetName val="부Ç"/>
      <sheetName val="Ⅴ-2.缀ᨎ԰"/>
      <sheetName val="일반맨԰"/>
      <sheetName val="일위대가(계측_x0005_"/>
      <sheetName val="[DS-LOAD.XLS]안/"/>
      <sheetName val="P.԰"/>
      <sheetName val="건԰"/>
      <sheetName val="계0"/>
      <sheetName val="9က"/>
      <sheetName val="Ⅴ-2.︀ԯ"/>
      <sheetName val="안"/>
      <sheetName val="부재_x0005_"/>
      <sheetName val="Ⅴ-2.︀ᇕ԰"/>
      <sheetName val="국공유지및԰"/>
      <sheetName val="방음벽 기초䈀㉪ԯ"/>
      <sheetName val="보԰"/>
      <sheetName val="말뚝지지0"/>
      <sheetName val="봉방"/>
      <sheetName val="설계명세서_x0005_"/>
      <sheetName val="9ԯ"/>
      <sheetName val="안전԰"/>
      <sheetName val="설계명세서(԰"/>
      <sheetName val="[DS-LOAD.XLS][DS-LOAD.XLS]안/"/>
      <sheetName val="비대_x0001_"/>
      <sheetName val="장비당단가֬"/>
      <sheetName val="전체_x0005_"/>
      <sheetName val="단가_x0005_"/>
      <sheetName val="설산"/>
      <sheetName val="규격"/>
      <sheetName val="전㨰ኈ_x0000_"/>
      <sheetName val="터널-1"/>
      <sheetName val="일위대가勀"/>
      <sheetName val="자재단暷⾒"/>
      <sheetName val="자재단_x0010__x0000_"/>
      <sheetName val="전산품의"/>
      <sheetName val="______C_WINDOWS_9605G_DS_LOAD_2"/>
      <sheetName val="화설내"/>
      <sheetName val="공종분_x0000_"/>
      <sheetName val="장비당단가 (ᰀ፜"/>
      <sheetName val="조徸"/>
      <sheetName val="설계堀"/>
      <sheetName val="장비당단가 (렀቟"/>
      <sheetName val="Ⅴ-2.공종별ﻇᇕ"/>
      <sheetName val="계�ᙘ儀"/>
      <sheetName val="을부담�⑖턀"/>
      <sheetName val="WORK-VOL"/>
      <sheetName val="허용전류-IEC DATA"/>
      <sheetName val="허용전류-IEC"/>
      <sheetName val="품질 및 특성 보정계碱"/>
      <sheetName val="품질 및 특성 보정계ֱ"/>
      <sheetName val="실행礊め_x0005_"/>
      <sheetName val="도급ø_x0000_"/>
      <sheetName val="한전위탁d_x0000_Ԁ_x0000_"/>
      <sheetName val="한전위탁_x0000__x0000_Ԁ_x0000_"/>
      <sheetName val="한전위탁³_x0000_Ԁ_x0000_"/>
      <sheetName val="한전위탁d"/>
      <sheetName val="31.d"/>
      <sheetName val="C &amp; GÇ_x0000__x0000__x0001_"/>
      <sheetName val="Ⅴ-2.翇ᨎ԰_x0000_缀"/>
      <sheetName val="명세쎮"/>
      <sheetName val="Ⅴ-2.공종별내_x0000_"/>
      <sheetName val="관리_x0000_"/>
      <sheetName val="설산1︀ᇕ"/>
      <sheetName val="설산1ꠊₒ"/>
      <sheetName val="오산鯆ሓ"/>
      <sheetName val="총耀쿟"/>
      <sheetName val="5직접"/>
      <sheetName val="편성절차"/>
      <sheetName val="직접공사비 집계표"/>
      <sheetName val="가시_x0005_"/>
      <sheetName val="을부담"/>
      <sheetName val="부ԯ"/>
      <sheetName val="부က"/>
      <sheetName val="운반"/>
      <sheetName val="예산변경攭⾵"/>
      <sheetName val="I-KAMAR"/>
      <sheetName val="오ԯ"/>
      <sheetName val="설계내역(2_x0005_"/>
      <sheetName val="Ⅴ-2.က"/>
      <sheetName val="안전Ç"/>
      <sheetName val="장비당단가ԯ"/>
      <sheetName val="자본금99(수)"/>
      <sheetName val="총렐䌴"/>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CBS"/>
      <sheetName val="Pipe ID"/>
      <sheetName val="효성CB︀ᇕ԰"/>
      <sheetName val="Apps"/>
      <sheetName val="Charts"/>
      <sheetName val="쌍송교"/>
      <sheetName val="입啨_"/>
      <sheetName val="Content"/>
      <sheetName val="예산변鰀㵺"/>
      <sheetName val="제_x0003__x0000_"/>
      <sheetName val="도급예산내/_x0000_ꠀp_x0000_"/>
      <sheetName val="SE-6︀ᇕ"/>
      <sheetName val="[DS-LOAD.XLS][DS-LOAD.XLS]_DS_2"/>
      <sheetName val="[DS-LOAD.XLS][DS-LOAD.XLS]__2_2"/>
      <sheetName val="2.대외_x0005__x0000_"/>
      <sheetName val="사  업  비  수  지  예  산  서"/>
      <sheetName val="물가자료"/>
      <sheetName val="데리네이타_x0000__x0000_"/>
      <sheetName val="국공유지및사_x0000__x0000_"/>
      <sheetName val="조午"/>
      <sheetName val="전기ᰀ፜"/>
      <sheetName val="hvac(제어동닑"/>
      <sheetName val="군남내역서"/>
      <sheetName val="도급예산내역_x0000_㉕䰀㉕"/>
      <sheetName val="C &amp; G 䕝瞐"/>
      <sheetName val="이름표"/>
      <sheetName val="1공구(을)"/>
      <sheetName val="예산변­"/>
      <sheetName val="IMP "/>
      <sheetName val="2011년상반기노임단가"/>
      <sheetName val="광산내역"/>
      <sheetName val="06.04.28물량내역"/>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요소_x0000_"/>
      <sheetName val="Ⅴ-2.᳇፜搀፜"/>
      <sheetName val="오산单"/>
      <sheetName val="품질 및 특성 보정_x0000__x0000_"/>
      <sheetName val="산출3ƭ동력"/>
      <sheetName val="산출Ƶƭ피뢰침"/>
      <sheetName val="입찰참가㖬቎԰"/>
      <sheetName val="입찰참가㗇቎԰"/>
      <sheetName val="입찰참가ׇ"/>
      <sheetName val="예산_x0010_"/>
      <sheetName val="부대Ç"/>
      <sheetName val="방음벽 기초䈀ｪԯ"/>
      <sheetName val="건축토목내역"/>
      <sheetName val="Balance Sheet"/>
      <sheetName val="공사ԯ"/>
      <sheetName val="계Ç"/>
      <sheetName val="국공유翇ᨎ԰"/>
      <sheetName val="국공유ﻇᇕ԰"/>
      <sheetName val="안전က"/>
      <sheetName val="전동기 ԯ"/>
      <sheetName val="부대공က"/>
      <sheetName val="을부/"/>
      <sheetName val="을부က"/>
      <sheetName val="4_실행예산단가산缀ᨎ԰"/>
      <sheetName val="Ⅴ-2.Ԁ"/>
      <sheetName val="실행"/>
      <sheetName val="실행Ԕ"/>
      <sheetName val="[DS-LOAD.XLS][DS-LOAD.XLS]_DS_3"/>
      <sheetName val="[DS-LOAD.XLS][DS-LOAD.XLS]____2"/>
      <sheetName val="IMP (REAC䕝瘙蚰ɡ"/>
      <sheetName val="철거缤ᨎ"/>
      <sheetName val="관거공사켁"/>
      <sheetName val="현장관리비집계_x0000_"/>
      <sheetName val="관기성공.내"/>
      <sheetName val="8.자재_xdee0_⪏"/>
      <sheetName val="8.자재賐⪏"/>
      <sheetName val="8.자재㳏"/>
      <sheetName val="8.자재"/>
      <sheetName val="전기Հ_x0000_"/>
      <sheetName val="관거渀腷԰"/>
      <sheetName val="공사원가계산닑"/>
      <sheetName val="공사원가계산牰"/>
      <sheetName val="실행철⑴䀀"/>
      <sheetName val="gyun"/>
      <sheetName val="31.고?RTU"/>
      <sheetName val="도급대®"/>
      <sheetName val="관거_x0010__x0000_"/>
      <sheetName val="관거_x0010__x0000_㣀"/>
      <sheetName val="관거_x0010_"/>
      <sheetName val="입埰_x0015_"/>
      <sheetName val="입奐'"/>
      <sheetName val="입坈_x001c_"/>
      <sheetName val="입嘨%"/>
      <sheetName val="예산내역Ç"/>
      <sheetName val="가격정보"/>
      <sheetName val="오산갈쳐"/>
      <sheetName val="철골공사"/>
      <sheetName val="9؀_x0001__x0000_"/>
      <sheetName val="열교환기"/>
      <sheetName val="수량계산"/>
      <sheetName val="제출내역 (2)"/>
      <sheetName val="1. 설계조건 2.단면가정 3. 하중계산"/>
      <sheetName val="IMP(MAIN"/>
      <sheetName val="가도공"/>
      <sheetName val="토 적 _x0000_"/>
      <sheetName val="내역서(2)"/>
      <sheetName val="재무가䣇"/>
      <sheetName val="재무가ﻇ"/>
      <sheetName val="노무자DB"/>
      <sheetName val="지수"/>
      <sheetName val="Ⅴ-2.공o_x0000_Ԁ_x0000_"/>
      <sheetName val="안전담_xdb00_ᆅ"/>
      <sheetName val="안전담텷ᆲ"/>
      <sheetName val="안전담_x0000__x0000_"/>
      <sheetName val="내역劬_x0010__x0000_"/>
      <sheetName val="자재_x0005__x0000__x0000_"/>
      <sheetName val="교대(A1-A2)"/>
      <sheetName val="도급예산내/"/>
      <sheetName val="일위목차"/>
      <sheetName val="품질 및 _x0000_∖_x0002__x0000__x0000__x0000_"/>
      <sheetName val="기본일위"/>
      <sheetName val="석축설면"/>
      <sheetName val="계화배跐"/>
      <sheetName val="관거_x0005__x0000_"/>
      <sheetName val="토 _x0000__x0000_Ԁ"/>
      <sheetName val="토 _x0000__x0000__x0000_"/>
      <sheetName val="토 က_x0000_蠀"/>
      <sheetName val="토 _x0000__x0000_"/>
      <sheetName val="토 _x0000__x0000_가"/>
      <sheetName val="적용기준"/>
      <sheetName val="간접경상비"/>
      <sheetName val="견_x0000__x0000_Ԁ"/>
      <sheetName val="견⠦┏휂"/>
      <sheetName val="품질 및 _x0000_욚_x0000__x0000_Ā꥜K"/>
      <sheetName val="수선비분석"/>
      <sheetName val="보0"/>
      <sheetName val="관거"/>
      <sheetName val="4_실행예산단가산԰"/>
      <sheetName val="예산변"/>
      <sheetName val="설계내역(㠵£"/>
      <sheetName val="설계내역(豯V"/>
      <sheetName val="한전위탁_x0000__x0000_倀1"/>
      <sheetName val="물량ׯ_x0000_缀_x0000_"/>
      <sheetName val="물량䣯╷谀╷"/>
      <sheetName val="수량3"/>
      <sheetName val="BOQ-Summary_For_x0000__x0000__x0000__x0000_"/>
      <sheetName val="설계鍠支÷"/>
      <sheetName val="목차_"/>
      <sheetName val="예산ᛅ⼝"/>
      <sheetName val="단위세"/>
      <sheetName val="단위별_일위대가표"/>
      <sheetName val="전기ⶌ"/>
      <sheetName val="하수급"/>
      <sheetName val="C &amp; G"/>
      <sheetName val="식생블럭단위수량"/>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총괄㠸|⇸"/>
      <sheetName val="범용개발순소요비용"/>
      <sheetName val="제직재"/>
      <sheetName val="Daily summary "/>
      <sheetName val="HOC"/>
      <sheetName val="Home Office"/>
      <sheetName val="부대공狇၄0"/>
      <sheetName val="내역총茨3"/>
      <sheetName val="내역총_x0000__x0000_"/>
      <sheetName val="직䣈"/>
      <sheetName val="토목내역서 (도급단가)"/>
      <sheetName val="BOX 본체"/>
      <sheetName val="관로공내역서"/>
      <sheetName val="노무비(첨부4-4)"/>
      <sheetName val="단가대_x0000__x0000_"/>
      <sheetName val="개소별수량산출"/>
      <sheetName val="______C_WINDOWS_9605G_DS_LOAD_3"/>
      <sheetName val="______C_WINDOWS_9605G_DS_LOAD_4"/>
      <sheetName val="내역서2안"/>
      <sheetName val="단가劐0勜"/>
      <sheetName val="__"/>
      <sheetName val="명세밀"/>
      <sheetName val="예산M12¬"/>
      <sheetName val="재정비직인"/>
      <sheetName val="재정비내역"/>
      <sheetName val="지적고시내역"/>
      <sheetName val="하수급_xdc58_⍻_x0000__x0000_"/>
      <sheetName val="CABLE_SIZE_CALCULATION_SHEET3"/>
      <sheetName val="IMPEADENCE_MAP_3"/>
      <sheetName val="IMPEADENCE_3"/>
      <sheetName val="입찰참가보고_(2)3"/>
      <sheetName val="공정현황보고(3_20)_(2)3"/>
      <sheetName val="추진공정(법인)3_203"/>
      <sheetName val="공정현황보고(3_27)_(2)3"/>
      <sheetName val="추진공정(법인)3_273"/>
      <sheetName val="공정현황보고(4_2)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복구량산정_및_전용회선_사용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3BL공동구_수량3"/>
      <sheetName val="공구손료_산출내역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신규단가-00_11_303"/>
      <sheetName val="전차선로_물량표3"/>
      <sheetName val="노원열병합__건축공사기성내역서3"/>
      <sheetName val="I_설계조건3"/>
      <sheetName val="전도금청구서_(2)3"/>
      <sheetName val="금전출납_3"/>
      <sheetName val="식대_3"/>
      <sheetName val="기성고조서(폐기물)_(2)3"/>
      <sheetName val="Sheet3_(5)3"/>
      <sheetName val="Sheet3_(6)3"/>
      <sheetName val="Sheet1_(2)3"/>
      <sheetName val="8_PILE__(돌출)3"/>
      <sheetName val="11_자재단가3"/>
      <sheetName val="내역서_3"/>
      <sheetName val="준검_내역서3"/>
      <sheetName val="화재_탐지_설비3"/>
      <sheetName val="32_銅기기초3"/>
      <sheetName val="Site_Expenses3"/>
      <sheetName val="조도계산서_(도서)3"/>
      <sheetName val="TYPE-B_평균H3"/>
      <sheetName val="7_1유효폭3"/>
      <sheetName val="31_고3"/>
      <sheetName val="Customer_Databas3"/>
      <sheetName val="2_예산냴역검토서3"/>
      <sheetName val="공종별_집계3"/>
      <sheetName val="Explanation_for_Page_173"/>
      <sheetName val="귀래_설계_공내역서3"/>
      <sheetName val="단면_(2)3"/>
      <sheetName val="일위대가_(목록)3"/>
      <sheetName val="unit_43"/>
      <sheetName val="C_&amp;_G_RHS3"/>
      <sheetName val="방음벽_기초_일반수량3"/>
      <sheetName val="P_M_별3"/>
      <sheetName val="플랜트_설치3"/>
      <sheetName val="토_적_표3"/>
      <sheetName val="품질_및_특성_보정계수3"/>
      <sheetName val="06-BATCH_3"/>
      <sheetName val="IMP_(REACTOR)3"/>
      <sheetName val="8_자재단가3"/>
      <sheetName val="BOQ-Summary_Form_A23"/>
      <sheetName val="1_수인터널3"/>
      <sheetName val="장비당단가_(1)3"/>
      <sheetName val="5__COST_SCHEDULE_PER_EXPENSE3"/>
      <sheetName val="설산1_나3"/>
      <sheetName val="토공(우물통,기타)_3"/>
      <sheetName val="118_세금과丵⼼"/>
      <sheetName val="member_design"/>
      <sheetName val="soil_bearing_check"/>
      <sheetName val="HRSG_SMALL07220"/>
      <sheetName val="118_세금劈,橂"/>
      <sheetName val="1_수인터翇"/>
      <sheetName val="차량한계11M_(2)"/>
      <sheetName val="BQ_List_MNHRS"/>
      <sheetName val="OCT_FDN"/>
      <sheetName val="GROUNDING_SYSTEM"/>
      <sheetName val="관尜"/>
      <sheetName val="6공구"/>
      <sheetName val="7_PILE__(돌출)"/>
      <sheetName val="가시"/>
      <sheetName val="장비당단가_︀ᇕ԰"/>
      <sheetName val="구왤헾】"/>
      <sheetName val="단면"/>
      <sheetName val="Indirect_Cosþ"/>
      <sheetName val="Construction_Schedule"/>
      <sheetName val="118_세금과공᳇"/>
      <sheetName val="장비당단가_(︀ᇕ"/>
      <sheetName val="BOX규격및_설계조건입력"/>
      <sheetName val="A-8_PD(도로중앙)"/>
      <sheetName val="공정현황보고(3_27呐/䟣⿏"/>
      <sheetName val="현장관리비聀茸"/>
      <sheetName val="현장관리비⩿〚"/>
      <sheetName val="20_배"/>
      <sheetName val="1_수인터ﻇ"/>
      <sheetName val="P_M猂⿻"/>
      <sheetName val="P_M塈"/>
      <sheetName val="1_2_1_마루높이결정"/>
      <sheetName val="수량산출서_(2)"/>
      <sheetName val="Indirect_Cos"/>
      <sheetName val="Ⅴ-2_공ﻇᇕ԰"/>
      <sheetName val="[DS-LOAD_XLS]안/ "/>
      <sheetName val="[DS-LOAD_XLS]Ⅴ-2_砀鹅瘂/"/>
      <sheetName val="[DS-LOAD_XLS]공정현황보고(3_27呐/䟣⿏"/>
      <sheetName val="[DS-LOAD_XLS]/"/>
      <sheetName val="P_M"/>
      <sheetName val="전체헾】"/>
      <sheetName val="3헾】"/>
      <sheetName val="도급예산내역서총괄"/>
      <sheetName val="주빔의_설계"/>
      <sheetName val="IO_LIST"/>
      <sheetName val="Ⅴ-2_က⠀밴쌏"/>
      <sheetName val="1_수인터䋇"/>
      <sheetName val="9_2단가산출서"/>
      <sheetName val="3_CCTV설비공사"/>
      <sheetName val="실행๿〚"/>
      <sheetName val="C_&amp;_ÔԀ耀"/>
      <sheetName val="C_&amp;_ÔԀ"/>
      <sheetName val="DS-LOAD_XLS"/>
      <sheetName val="방음벽_기초_怀፵ꈀᇚ"/>
      <sheetName val="방음벽_기초䈀㉪ԯ缀"/>
      <sheetName val="연동_내역서"/>
      <sheetName val="관거午ὐ"/>
      <sheetName val="관거午㐨"/>
      <sheetName val="관거午떰"/>
      <sheetName val="공정_(총괄)_(2)"/>
      <sheetName val="118_세금과공䀀"/>
      <sheetName val="입墐_"/>
      <sheetName val="입盀"/>
      <sheetName val="입疰"/>
      <sheetName val="입哨"/>
      <sheetName val="총괄내畠"/>
      <sheetName val="비대䀀"/>
      <sheetName val="8_자재단가비교표"/>
      <sheetName val="5_수량집계"/>
      <sheetName val="3_일위대가표"/>
      <sheetName val="1차_내역서"/>
      <sheetName val="P_쀀⊒缀"/>
      <sheetName val="P_尀⊓ꐀ"/>
      <sheetName val="IMPEADENCE_MAP_취수장"/>
      <sheetName val="IMP_(REAC罈羌"/>
      <sheetName val="[DS-LOAD_XLS][DS-LOAD_XLS]/"/>
      <sheetName val="조도계산서__도서_"/>
      <sheetName val="배수공토"/>
      <sheetName val="예산蔘蕜"/>
      <sheetName val="예산诘谜"/>
      <sheetName val="별표_"/>
      <sheetName val="노임단가(0_3)"/>
      <sheetName val="콘크리트_블록_유형별_수량"/>
      <sheetName val="단가표_(2)"/>
      <sheetName val="중기조종사_단위단가"/>
      <sheetName val="하수급㥝〒"/>
      <sheetName val="표지_렔ጺ頀"/>
      <sheetName val="설계내역(2"/>
      <sheetName val="방음벽_기초䈀ｪԯ缀"/>
      <sheetName val="[DS-LOAD_XLS][DS-LOAD_XLS]안/ "/>
      <sheetName val="수목데이타_"/>
      <sheetName val="현장관리비집尜"/>
      <sheetName val="LOPCAL"/>
      <sheetName val="명일작업계획_(3)"/>
      <sheetName val="도급예산내역서ᰖ〚"/>
      <sheetName val="단가"/>
      <sheetName val="Manual_Valve_List"/>
      <sheetName val="전동기_SP︀ᇕ"/>
      <sheetName val="적聀"/>
      <sheetName val="근고_블록_유형별_수량"/>
      <sheetName val="제조원가계산서_(2)"/>
      <sheetName val="예산窨竬"/>
      <sheetName val="1_공사집๿〚"/>
      <sheetName val="Ⅴ-2_Ԁ缀"/>
      <sheetName val="118_세금删%剬"/>
      <sheetName val="2000_11월설계내역"/>
      <sheetName val="토사(闰⾘"/>
      <sheetName val="전"/>
      <sheetName val="Noname_1"/>
      <sheetName val="코"/>
      <sheetName val="Ⅴ-2_공종별헾】"/>
      <sheetName val="8__내진해석"/>
      <sheetName val="GIS_"/>
      <sheetName val="횡배수관_토공량_산출"/>
      <sheetName val="Ⅴ-2_공㔀቎԰"/>
      <sheetName val="2_대외"/>
      <sheetName val="계화배"/>
      <sheetName val="지구단위계획"/>
      <sheetName val="P.M 릘"/>
      <sheetName val="단༃_xdb6c_/"/>
      <sheetName val="주beam"/>
      <sheetName val="P.駮ኘ԰"/>
      <sheetName val="배수통관(좌)"/>
      <sheetName val="용소리교"/>
      <sheetName val="전체헾〄_x0005_"/>
      <sheetName val="배수공헾⿐"/>
      <sheetName val="1.수인터餰"/>
      <sheetName val="1.수인터슠"/>
      <sheetName val="¼_x0000_"/>
      <sheetName val="물량산출翨4"/>
      <sheetName val="물량산출磨8"/>
      <sheetName val="플랜트 설_x0005_"/>
      <sheetName val="계수시트"/>
      <sheetName val="Total All By Trades highest 1st"/>
      <sheetName val="PROJ. DATA"/>
      <sheetName val="BULD.3"/>
      <sheetName val="Num_Word1"/>
      <sheetName val="FOOTING"/>
      <sheetName val="선수금"/>
      <sheetName val="OVERALL CURVE"/>
      <sheetName val="G"/>
      <sheetName val="전신환매헾⽁"/>
      <sheetName val="전신환매脘:"/>
      <sheetName val="전신환매莈:"/>
      <sheetName val="전신환매肘0"/>
      <sheetName val="1.설계丵⿏"/>
      <sheetName val="1.설계_x0005__x0000_"/>
      <sheetName val="부대공수량산출"/>
      <sheetName val="T13(P68~72,78)"/>
      <sheetName val="Mac䖇ñ땘"/>
      <sheetName val="계ꨀᄞ԰"/>
      <sheetName val="계䈀ᅪ԰"/>
      <sheetName val="계਀腹԰"/>
      <sheetName val="예산M12_x0000_"/>
      <sheetName val="Mac"/>
      <sheetName val="1_우편집중내역서1"/>
      <sheetName val="적용_기준(환율)-11"/>
      <sheetName val="적용_기준(환율)1"/>
      <sheetName val="자재단가_1"/>
      <sheetName val="BOM-Form_A_1_III1"/>
      <sheetName val="을_21"/>
      <sheetName val="1_취수장1"/>
      <sheetName val="hvac(제어동"/>
      <sheetName val="C_&amp;_G_R"/>
      <sheetName val="공사원가헾】"/>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2_3P"/>
      <sheetName val="방음벽_기초_일반纘$"/>
      <sheetName val="Sh丵⼺"/>
      <sheetName val="변"/>
      <sheetName val="장비당단가_"/>
      <sheetName val="2001년_MCC_집계"/>
      <sheetName val="관거공사"/>
      <sheetName val="투㠀ㆄ簀"/>
      <sheetName val="자재단"/>
      <sheetName val="C_&amp;_G_䕝瞐"/>
      <sheetName val="일위대가표_(2)"/>
      <sheetName val="비대甂㘼"/>
      <sheetName val="비대퀀"/>
      <sheetName val="예산M1"/>
      <sheetName val="표지_("/>
      <sheetName val="표지_(嫐0"/>
      <sheetName val="표지_(垼+"/>
      <sheetName val="표지_(寠-"/>
      <sheetName val="표지_(妼"/>
      <sheetName val="표지_(嚀#"/>
      <sheetName val="3_자재비(총괄)"/>
      <sheetName val="설계명세서(선尜"/>
      <sheetName val="공사원가丵〒"/>
      <sheetName val="8_릐̖Ā"/>
      <sheetName val="단가_(2)"/>
      <sheetName val="추가및_공제(방파제)"/>
      <sheetName val="반중력식옹벽3_5"/>
      <sheetName val="Sheet3_(2)"/>
      <sheetName val="자재단가_산출근거"/>
      <sheetName val="전_기"/>
      <sheetName val="P_M_"/>
      <sheetName val="Ⅴ-2_공종별내렃"/>
      <sheetName val="C_&amp;_G_"/>
      <sheetName val="1_관로"/>
      <sheetName val="분야별_집계표"/>
      <sheetName val="_공사설정_"/>
      <sheetName val="관거헾⾅"/>
      <sheetName val="계장_품셈표"/>
      <sheetName val="하수급"/>
      <sheetName val="_견적뀀"/>
      <sheetName val="_견적瀀"/>
      <sheetName val="ITB_COST"/>
      <sheetName val="신설개소별_총집계표(동해-배전)"/>
      <sheetName val="안평역사_총집계"/>
      <sheetName val="_"/>
      <sheetName val="구왤睮め"/>
      <sheetName val="구왤丵〒"/>
      <sheetName val="steam_table"/>
      <sheetName val="MP_MOB"/>
      <sheetName val="허용전류-IEC_DATA"/>
      <sheetName val="일위대가(계측"/>
      <sheetName val="[DS-LOAD_XLS]오산/"/>
      <sheetName val="예산헾⽕_x0005_"/>
      <sheetName val="원형맨홀_x0010__x0000_"/>
      <sheetName val="원형맨홀㡶"/>
      <sheetName val="원형_x0000__x0000__x0005__x0000_"/>
      <sheetName val="단가塸_x001e_娬"/>
      <sheetName val="Controls"/>
      <sheetName val="설계산출표ퟰ"/>
      <sheetName val="설계산贠㡯"/>
      <sheetName val="설계산_xdad0_㡯"/>
      <sheetName val="단가산출퀀"/>
      <sheetName val="샘플표지"/>
      <sheetName val="ET2TOT"/>
      <sheetName val="물량_x0000__x0000_Ā_x0000_"/>
      <sheetName val="물량_x0000__x0000__x0005__x0000_"/>
      <sheetName val="물량_x0000__x0000_ȭ_x0000_"/>
      <sheetName val="SS"/>
      <sheetName val="dÉ"/>
      <sheetName val="BOQ-Summary_x0000__x0000__x0005__x0000_Ⴐ헐ĭ_x0000_"/>
      <sheetName val="BOQ-Summary"/>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아파트건ﱁ"/>
      <sheetName val="spinning1"/>
      <sheetName val="신규품셈목차"/>
      <sheetName val="시중노임단가"/>
      <sheetName val="별표집계"/>
      <sheetName val="용산1(해보)"/>
      <sheetName val="MOPS"/>
      <sheetName val="도급예산내역서_x0004__x0000_Ą"/>
      <sheetName val="도급예산내역서_x0006__x0005__x000d_"/>
      <sheetName val="_x0000__x000a__x0000__x0005_"/>
      <sheetName val="GIS.ᨇ彬0"/>
      <sheetName val="전동기 ᡙ렀筟"/>
      <sheetName val="을부담운脂ꆙ"/>
      <sheetName val="개별직종노임단가(2003_9)1"/>
      <sheetName val="목차_1"/>
      <sheetName val="BASIC_(2)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철거_x0000__x0000_"/>
      <sheetName val="C &amp; G _x0000__x0000_ȶ"/>
      <sheetName val="C &amp; G _x0000__x0000_ɔ"/>
      <sheetName val="C &amp; G _x0000_彩_x0000_"/>
      <sheetName val="C &amp; G _x0000__x0000_Ȳ"/>
      <sheetName val="C &amp; G _x0000__x0000_ŏ"/>
      <sheetName val="C &amp; G 渨믎½"/>
      <sheetName val="설계산출."/>
      <sheetName val="설계산출쐃"/>
      <sheetName val="총괄 _x0000__x0000_"/>
      <sheetName val="대공종"/>
      <sheetName val="hvac(제어동刈"/>
      <sheetName val="P.M 匈"/>
      <sheetName val="철"/>
      <sheetName val="철က_x0000__x0000_"/>
      <sheetName val="hvac(제어동昸"/>
      <sheetName val="16-1"/>
      <sheetName val="전계가"/>
      <sheetName val="말뚝지_xdea6_蘁몽"/>
      <sheetName val="난간벽단위"/>
      <sheetName val="요소_xdf88_"/>
      <sheetName val="예É_x0000_"/>
      <sheetName val="sum1 _x0000_꾒樱"/>
      <sheetName val="기계¾_x0000_"/>
      <sheetName val="보도︀ᇕ԰_x0000_"/>
      <sheetName val="ﻇᇕ"/>
      <sheetName val="5공철厰?叼?"/>
      <sheetName val="C &amp; G _x0000__x0000_Ā"/>
      <sheetName val="현장관리비"/>
      <sheetName val="관거_x0002_"/>
      <sheetName val="관거_x0001_"/>
      <sheetName val="5. COST SCHEDULE럇ㅦ0"/>
      <sheetName val="5. COST SCHEDULE랜❦0"/>
      <sheetName val="C &amp; GÇ"/>
      <sheetName val="설계명세䑲〆"/>
      <sheetName val="도급예산내역"/>
      <sheetName val="BOQ-Summary닑⽜_x0005__x0000__x0000__x0000__x0000_"/>
      <sheetName val="BOQ-Summary刘v닑⿎_x0005__x0000__x0000_"/>
      <sheetName val="BOQ-Summary唐o啜o닑⼠_x0005__x0000_"/>
      <sheetName val="전_xda90_堏*"/>
      <sheetName val="전뽠⭖T"/>
      <sheetName val="현장관리비집계萹"/>
      <sheetName val="인명부"/>
      <sheetName val="전_x0013__x0000_"/>
      <sheetName val="장비당단가 (ីĢ"/>
      <sheetName val="전신환매_x0000__x0000_"/>
      <sheetName val="03.01.11"/>
      <sheetName val="C_d"/>
      <sheetName val="sum萹_x0000__x0000__x0005__x0000_"/>
      <sheetName val="대비표(토공1안)"/>
      <sheetName val="총집계"/>
      <sheetName val="가시설(TYPE-Aԯ"/>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단가조Ć"/>
      <sheetName val="TYԀ"/>
      <sheetName val="31.䃁"/>
      <sheetName val="TYԀ_x0000_缀"/>
      <sheetName val="예산내ԯ_x0000_"/>
      <sheetName val="31._x0000_"/>
      <sheetName val="CALCULATI_x0003_"/>
      <sheetName val="오산Æ_x0000_"/>
      <sheetName val="오산ᨀ቙"/>
      <sheetName val="오산欀ᆺ"/>
      <sheetName val="오산毆ᆺ"/>
      <sheetName val="오산_xd8c6_컢"/>
      <sheetName val="공종별 집耀"/>
      <sheetName val="요소³"/>
      <sheetName val="토 적 羸"/>
      <sheetName val="설계설명서 (2)"/>
      <sheetName val="부대공ヿ邌䉄"/>
      <sheetName val="배관"/>
      <sheetName val="공틀_x0000__x0000_"/>
      <sheetName val="진주방¬"/>
      <sheetName val="Qhe?_x0000_Ԁ"/>
      <sheetName val="실행N"/>
      <sheetName val="31.Á"/>
      <sheetName val="실행Á_x0000_Ԁ"/>
      <sheetName val="Ⅴ-2.공종별내餀"/>
      <sheetName val="구왤집颙⽛"/>
      <sheetName val="돈암사업"/>
      <sheetName val="C &amp; ׀_x0000_缀_x0000__x0000_"/>
      <sheetName val="C &amp; 飀፺_xdc00_፺︀"/>
      <sheetName val="예정공정표(도급)"/>
      <sheetName val="2.대외공飈"/>
      <sheetName val="3.공통공사대비"/>
      <sheetName val="토목검측서"/>
      <sheetName val="변화치ި"/>
      <sheetName val="Indirect C닑"/>
      <sheetName val="빌딩 안내"/>
      <sheetName val="C &amp; G ၒ_x0000__x0000_"/>
      <sheetName val="C &amp; G _x0000_ㅦ_x0000_"/>
      <sheetName val="C &amp; G _x0000_퇧_x0000_"/>
      <sheetName val="C &amp; G Ć_x0000__x0000_"/>
      <sheetName val="C &amp; G _x0000_㙌_x0000_"/>
      <sheetName val="C &amp; G _x0000_셡_x0000_"/>
      <sheetName val="C &amp; G _x0000_骻_x0000_"/>
      <sheetName val="실시_x0000_僊"/>
      <sheetName val="안전炠〼"/>
      <sheetName val="요︀훕"/>
      <sheetName val="sum萹ĮⰴA"/>
      <sheetName val="1차증가원가계산"/>
      <sheetName val="계산표지"/>
      <sheetName val="DESIGN_Cჳ굲1_x0000__x0000__x0000__x0000_"/>
      <sheetName val="신표지1"/>
      <sheetName val="철거³_x0000_"/>
      <sheetName val="한전위탁缀稪ԯ_x0000_"/>
      <sheetName val="GLOBAL"/>
      <sheetName val="주식"/>
      <sheetName val="GRDBS"/>
      <sheetName val="화전내"/>
      <sheetName val="도급예산내萹#㍄Ȕከ"/>
      <sheetName val="가설개략"/>
      <sheetName val="변수2"/>
      <sheetName val="저항"/>
      <sheetName val="cost9702"/>
      <sheetName val="蠉㲅"/>
      <sheetName val="연수헾"/>
      <sheetName val="실행Á"/>
      <sheetName val="진주방_x0000_"/>
      <sheetName val="공사원가계산毐"/>
      <sheetName val="공사원가계산牨"/>
      <sheetName val="하수급견적툀ᩘ"/>
      <sheetName val="하수급견적ⶁ"/>
      <sheetName val="단면(RW_x0000_"/>
      <sheetName val="아파트건_x0000_"/>
      <sheetName val="내역총0_x0000_"/>
      <sheetName val="일위대가^"/>
      <sheetName val="참조"/>
      <sheetName val="창호"/>
      <sheetName val="매입세"/>
      <sheetName val="평형별수량표"/>
      <sheetName val="확보일정"/>
      <sheetName val="Sens&amp;_x0000__x0000_뤰"/>
      <sheetName val="hvac(제_x0000__x0000_⫰"/>
      <sheetName val="hvac(제_x0000__x0000_逸"/>
      <sheetName val="hvac(제_x0000__x0000_退"/>
      <sheetName val="hvac(제䑲⿷_x0000_"/>
      <sheetName val="hvac(제箘৓䑲"/>
      <sheetName val="hvac(제_x0000__x0000_"/>
      <sheetName val="전선_및_전선관1"/>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Mp-team_11"/>
      <sheetName val="일반맨홀수량집계(A-7_LINE)1"/>
      <sheetName val="1_설계설명서1"/>
      <sheetName val="도급및_실행내역1"/>
      <sheetName val="4_말뚝설계1"/>
      <sheetName val="DRAIN_DRUM_PIT_D-3011"/>
      <sheetName val="단가_및_재료비1"/>
      <sheetName val="총_원가계산1"/>
      <sheetName val="TRE_TABLE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crude_SLAB_RE-bar1"/>
      <sheetName val="sc0314_Index1"/>
      <sheetName val="인건비_1"/>
      <sheetName val="DATA_(EPS)1"/>
      <sheetName val="DATA_(TRAY)1"/>
      <sheetName val="4_동력1"/>
      <sheetName val="Architecture_Work1"/>
      <sheetName val="방배동내역_(총괄)1"/>
      <sheetName val="Data_Vol1"/>
      <sheetName val="118_세금과공簀1"/>
      <sheetName val="118_세금과공缀1"/>
      <sheetName val="118_세금과공ꠀ1"/>
      <sheetName val="5_정산서1"/>
      <sheetName val="2-2_매출분석1"/>
      <sheetName val="3_1_4_F-FR8"/>
      <sheetName val="형강류_단가_CODE"/>
      <sheetName val="Man_Power_&amp;_Comp"/>
      <sheetName val="[DS-LOAD_XLS][DS-LOAD_XLS]오산/"/>
      <sheetName val="토_적_羸"/>
      <sheetName val="2_내역서"/>
      <sheetName val="hvac(헾⽯"/>
      <sheetName val="b_balju_(2)"/>
      <sheetName val="1_수인터Æ"/>
      <sheetName val="원态᣽"/>
      <sheetName val="토_"/>
      <sheetName val="부대尜"/>
      <sheetName val="구리토평ᬂ௓"/>
      <sheetName val="토공_토䐀໰"/>
      <sheetName val="118_세금Ԉ"/>
      <sheetName val="품질_및_缀ᨎ԰"/>
      <sheetName val="공사원가"/>
      <sheetName val="Ⅴ-2_԰"/>
      <sheetName val="Ⅴ-2_缀ᨎ԰"/>
      <sheetName val="[DS-LOAD_XLS]안/"/>
      <sheetName val="P_԰"/>
      <sheetName val="Ⅴ-2_︀ԯ"/>
      <sheetName val="부재"/>
      <sheetName val="Ⅴ-2_︀ᇕ԰"/>
      <sheetName val="방음벽_기초䈀㉪ԯ"/>
      <sheetName val="[DS-LOAD_XLS][DS-LOAD_XLS]안/"/>
      <sheetName val="비대"/>
      <sheetName val="C_&amp;_Ô"/>
      <sheetName val="Ⅴ-2_공종별헾⾓"/>
      <sheetName val="단가蔨᪸"/>
      <sheetName val="예산뻠ɂ"/>
      <sheetName val="예산ꛈЦ"/>
      <sheetName val="31_䈌"/>
      <sheetName val="IMP_(REACTO헾⽴"/>
      <sheetName val="제출계산서"/>
      <sheetName val="LeadSchedule"/>
      <sheetName val="汇总"/>
      <sheetName val="품질 및 특Ā考ᜈ̮業؀"/>
      <sheetName val="05.04.22(6소초 물량)"/>
      <sheetName val="소방"/>
      <sheetName val="품종_품명"/>
      <sheetName val="음료실행"/>
      <sheetName val="31炠〠"/>
      <sheetName val="31㕨ď"/>
      <sheetName val="안전గ"/>
      <sheetName val="31㔨Ï"/>
      <sheetName val="118.세금과헾】"/>
      <sheetName val="SE-6ԯ_x0000_"/>
      <sheetName val="입찰참가胇⿛泘_x0000_츀ⷘ"/>
      <sheetName val="을부담운ࢭ麀"/>
      <sheetName val="계획세Ȁ"/>
      <sheetName val="Ⅴ-2.공碙᲎瀀摠"/>
      <sheetName val="Ⅴ-2.공킙Ű0_x0000_"/>
      <sheetName val="Ⅴ-2.공֙_x0000_缀_x0000_"/>
      <sheetName val="전채분"/>
      <sheetName val="%관리보수계산내역"/>
      <sheetName val="계ꃈ늒傡"/>
      <sheetName val="1.기타원가(BA)"/>
      <sheetName val="1.손익(CP)"/>
      <sheetName val="1.기타(CP)"/>
      <sheetName val="45︀ᇕ԰"/>
      <sheetName val="3臨N般"/>
      <sheetName val="안영볷개터널조명(할증제외)"/>
      <sheetName val="안영볷개터널소화기(할증제외)"/>
      <sheetName val="L형옹_x005f_x0005_"/>
      <sheetName val="봉방동근_x005f_x0005_"/>
      <sheetName val="견ԯ_x005f_x0000_缀"/>
      <sheetName val="총누_x005f_x0005_"/>
      <sheetName val="말뚝지ᴀᨈ԰_x005f_x0000_"/>
      <sheetName val="토사԰_x005f_x0000_缀_x005f_x0000_"/>
      <sheetName val="31.고_x005f_x005f_x005f_x0000_RTU"/>
      <sheetName val="35_x005f_x005f_x005f_x000e_장주신설"/>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Ⅱ1䁶⹸蠀"/>
      <sheetName val="방음벽 기䈀ᅪ԰_x0000_缀_x0000_"/>
      <sheetName val="총괄내역䃠"/>
      <sheetName val="계䑲"/>
      <sheetName val=" 견적헾"/>
      <sheetName val=" 견적荘"/>
      <sheetName val=" 견적芈"/>
      <sheetName val="견턀嶲ԯ"/>
      <sheetName val="견턀抲ԯ"/>
      <sheetName val="견턀妲ԯ"/>
      <sheetName val="변경관급자재"/>
      <sheetName val="시점교대"/>
      <sheetName val="5공철濬8瀴8"/>
      <sheetName val="5공철潬4澴4"/>
      <sheetName val="노임단가표"/>
      <sheetName val="운반_x0010_"/>
      <sheetName val="단위중기"/>
      <sheetName val="재료⠑厉"/>
      <sheetName val="재료堍礪"/>
      <sheetName val="전동기 S"/>
      <sheetName val="전동기 S_x0000__x0000__x0005_"/>
      <sheetName val="금융비용"/>
      <sheetName val="2000.05"/>
      <sheetName val="蠀"/>
      <sheetName val="︰"/>
      <sheetName val="ﻒ"/>
      <sheetName val="플랜勉_x0010__x0000__x0000_"/>
      <sheetName val="설 계"/>
      <sheetName val="J直材가"/>
      <sheetName val="J直材⠀"/>
      <sheetName val="C &amp; G RႾ_x0000_"/>
      <sheetName val="C &amp; G R¾_x0000_"/>
      <sheetName val="96룇቟"/>
      <sheetName val="252K444"/>
      <sheetName val="명세_x0000_"/>
      <sheetName val="투堀ↀ툀"/>
      <sheetName val="장비당단가Õ_x0000_Ԁ_x0000_"/>
      <sheetName val="장비당단가Õ"/>
      <sheetName val="118.세금과瓜_x0012_"/>
      <sheetName val="118.세금과磬&amp;"/>
      <sheetName val="118.세금과畀/"/>
      <sheetName val="118.세금과礠_x0017_"/>
      <sheetName val="118.세금과異$"/>
      <sheetName val="List"/>
      <sheetName val="10"/>
      <sheetName val="2"/>
      <sheetName val="3"/>
      <sheetName val="4"/>
      <sheetName val="5"/>
      <sheetName val="6"/>
      <sheetName val="7"/>
      <sheetName val="오산ↅ"/>
      <sheetName val="요킭"/>
      <sheetName val="Raw Data"/>
      <sheetName val="�장공"/>
      <sheetName val="______C_WINDOWS_9605G_DS_LOAD_5"/>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단위氚⾽"/>
      <sheetName val="설炠「"/>
      <sheetName val="P.Mⷂ齅"/>
      <sheetName val="P.M탂戊"/>
      <sheetName val="A"/>
      <sheetName val="Ñ"/>
      <sheetName val="현장관리비집퀀ည"/>
      <sheetName val="장비당단가 (壈."/>
      <sheetName val="공조"/>
      <sheetName val="물량ၒ_x0000__x0000__x0000_"/>
      <sheetName val="BOQ-Summary닑⽜_x0005_"/>
      <sheetName val="BOQ-Summary刘v닑⿎_x0005_"/>
      <sheetName val="공Ö"/>
      <sheetName val="자재/"/>
      <sheetName val="[DS-LOAD.XLS]자재/"/>
      <sheetName val="말뚝지"/>
      <sheetName val="118."/>
      <sheetName val="DIAP䑲⾫_x0000__x0000_㛈"/>
      <sheetName val="INP©봀"/>
      <sheetName val="INPl쐀"/>
      <sheetName val="INPl᠀"/>
      <sheetName val="합천내역"/>
      <sheetName val="단가및재료비"/>
      <sheetName val="evaluate산출(피엔티)"/>
      <sheetName val="BOQ-Summary_For_xd8d0_⽾ᰁ⽿"/>
      <sheetName val="한전위탁"/>
      <sheetName val="전체ၒ_x0000__x0000_"/>
      <sheetName val="전체_x0000_꺞ǜ"/>
      <sheetName val="파이프류"/>
      <sheetName val="수입"/>
      <sheetName val="31.고_x005f_x005f_x005f_x005f_x005f_x005f_x005f_x0000_R"/>
      <sheetName val="35_x005f_x005f_x005f_x005f_x005f_x005f_x005f_x000e_장주신설"/>
      <sheetName val="품질 및 특성_x0000__x0000__x0005__x0000_駠"/>
      <sheetName val="품질 및 특성_x0000__x0000__x0005__x0000_"/>
      <sheetName val="품질 및 특성_x0000__x0000__x0005__x0000_镰"/>
      <sheetName val="품질 및 특성_x0000__x0000__x0005__x0000_"/>
      <sheetName val="품질 및 특성_x0000__x0000__x0005__x0000_삐"/>
      <sheetName val="c_¨1"/>
      <sheetName val="Input_Table1"/>
      <sheetName val="A-11_Steel_Str_(2)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자__재1"/>
      <sheetName val="1_2_1_마루높이결정1"/>
      <sheetName val="장비당단가_︀ᇕ԰1"/>
      <sheetName val="_견徸〒1"/>
      <sheetName val="_견헾】1"/>
      <sheetName val="_견丵〒1"/>
      <sheetName val="주빔의_설계1"/>
      <sheetName val="IO_LIST1"/>
      <sheetName val="[DS-LOAD_XLS]입啨/1"/>
      <sheetName val="조도계산서__도서_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STRUCTURAL_STEEL1"/>
      <sheetName val="HRSG_SMALL07220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단가표_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총¬_x0000_"/>
      <sheetName val="5. COST SCHEDULE PER E٘̔毅⾺_x0000__x0000_"/>
      <sheetName val="SE-6À_x0000_"/>
      <sheetName val="가로수분설치현황"/>
      <sheetName val="6.INTER CONNECTING"/>
      <sheetName val="설계산출_x0000__x0000_"/>
      <sheetName val="Ⅴ-2.공&amp;_x0000__x0000__x0000_"/>
      <sheetName val="vs"/>
      <sheetName val="IMP (R糑ó訐⛒먘◿_x0000_"/>
      <sheetName val="도_x0000__x0000_Ā"/>
      <sheetName val="BOQ-Summary哈Ï닑⿃_x0005__x0000__x0000_"/>
      <sheetName val="구왤집계_x000d_"/>
      <sheetName val="상하수도하도급차집토목(1차분)"/>
      <sheetName val="직비(변경)"/>
      <sheetName val="본_x0000__x0000_"/>
      <sheetName val="인버터"/>
      <sheetName val="06-BATCHB"/>
      <sheetName val="단多뫿ࠀ"/>
      <sheetName val="단多뫿쀀"/>
      <sheetName val="단면 (2b"/>
      <sheetName val="아파트⃊"/>
      <sheetName val="비탈면보호공수량산출"/>
      <sheetName val="철거₳"/>
      <sheetName val="계약내역"/>
      <sheetName val="말고개터널조명전압강하"/>
      <sheetName val="비대칭계ԯ"/>
      <sheetName val="방송_x0000__x0000_"/>
      <sheetName val="노무비 근거"/>
      <sheetName val="4차원가계산서"/>
      <sheetName val="IMP(MAIN_x0000_"/>
      <sheetName val="제_x0005__x0000_"/>
      <sheetName val="WFGInfo"/>
      <sheetName val="실행내_x0000__x0000_"/>
      <sheetName val="2.ǶꙭÔ"/>
      <sheetName val="InvoiceList"/>
      <sheetName val="내  역  서"/>
      <sheetName val="월별생산"/>
      <sheetName val="시중노임(공사)"/>
      <sheetName val="실행_x0000__x0000__x0000__x0001_"/>
      <sheetName val="Summary Sheets"/>
      <sheetName val="도급예산내역서_x0000__x0000_Ā"/>
      <sheetName val="내역荨7莬"/>
      <sheetName val="전기요헾"/>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자재목록"/>
      <sheetName val="2.대외공㒮"/>
      <sheetName val="_x0009_"/>
      <sheetName val="C &amp; ׀"/>
      <sheetName val="Despacho (¾_x0000_Ԁ_x0000_쀀毾 _x0000_"/>
      <sheetName val="산瀀"/>
      <sheetName val="전기요반"/>
      <sheetName val="정비사업팀"/>
      <sheetName val="BOQ-Summa_x0003__x0000_꾨ʭ젴~搘ռ_x0000__x0000_"/>
      <sheetName val="물량산〒 "/>
      <sheetName val="총누 "/>
      <sheetName val="COVER-P"/>
      <sheetName val="Sheet_x0000_"/>
      <sheetName val="한전위_x0000__x0000__x0005__x0000_邀"/>
      <sheetName val="8.수량산출 (2)"/>
      <sheetName val="부대공ⴀ큆롵"/>
      <sheetName val="majo琀"/>
      <sheetName val="한전위탁퀀蠊혁敧"/>
      <sheetName val="C &amp; G RH_x0010_"/>
      <sheetName val="전기일위목ം"/>
      <sheetName val="단_x0000__x0000_Ԁ"/>
      <sheetName val="물량_x0000__x0000_Ԁ_x0000_"/>
      <sheetName val="품질 및 _x0000__x0000_Ԁ_x0000__x0000_퐚_x0008_"/>
      <sheetName val="실행⃍㙘氀㙘"/>
      <sheetName val="예총"/>
      <sheetName val="sum1_(2橂"/>
      <sheetName val="sum1_(2洅"/>
      <sheetName val="내역_(2)"/>
      <sheetName val="G_R300경비"/>
      <sheetName val="통장계좌번호"/>
      <sheetName val="일용노무비-직영 "/>
      <sheetName val="청구경비내역-6월 "/>
      <sheetName val="청구경비내역-7월"/>
      <sheetName val="상시"/>
      <sheetName val="Pro_x0000__x0000__x0005__x0000_搐"/>
      <sheetName val="Pro_x0000__x0000__x0005__x0000_쵐"/>
      <sheetName val="현장관리비집_x0019_"/>
      <sheetName val="대구실행"/>
      <sheetName val="소상_&quot;1&quot;"/>
      <sheetName val="_︀ו԰"/>
      <sheetName val="_︀Õ԰"/>
      <sheetName val="_䠀嚚谀"/>
      <sheetName val="_ꠀ筊가"/>
      <sheetName val="_䅰㰀"/>
      <sheetName val="장비당단가_(ﺳ諕"/>
      <sheetName val="기초헾】"/>
      <sheetName val="변전소+TIE_POST"/>
      <sheetName val="표지_︀ᇕ԰"/>
      <sheetName val="표지_저፺ఀ"/>
      <sheetName val="유奈"/>
      <sheetName val="유慨"/>
      <sheetName val="공사원가계"/>
      <sheetName val="도급刀_x0010_"/>
      <sheetName val="DATA_Incheon"/>
      <sheetName val="DATA_Garak"/>
      <sheetName val="비대԰_x0000_缀"/>
      <sheetName val="예산M1加,"/>
      <sheetName val="예산M1奨_x0016_"/>
      <sheetName val="기둥"/>
      <sheetName val="플랜트 설"/>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토공(_x0005__x0004__x0003__x0012__x0004__x0009__x0009__x0006_"/>
      <sheetName val="_x0000__x0003__x0000__x0004__x0000__x0005__x0000__x0003__x0000__x0008__x0000__x0006__x0000_"/>
      <sheetName val="일반수량"/>
      <sheetName val="산#2-1 (2)"/>
      <sheetName val="WEIGHT LIST"/>
      <sheetName val="봉방동근0"/>
      <sheetName val="봉방동근က"/>
      <sheetName val="실행჉_x0000_저딖"/>
      <sheetName val="45,4닑"/>
      <sheetName val="안전㓘y"/>
      <sheetName val="토 က"/>
      <sheetName val="Ⅴ-2.翇ᨎ԰"/>
      <sheetName val="Ⅴ-2.공o"/>
      <sheetName val="Indirect C"/>
      <sheetName val="5. COST SCHEDULE PER E="/>
      <sheetName val="방음벽 기䈀ᅪ԰"/>
      <sheetName val="품질 및 "/>
      <sheetName val="한전위탁³"/>
      <sheetName val="한전위탁㠀鞂簀鞂"/>
      <sheetName val="한전위탁偿㰀傀"/>
      <sheetName val="바닥_x0000_"/>
      <sheetName val="4공철탑®_x0000_"/>
      <sheetName val="산5-3"/>
      <sheetName val="Qhe䑲⾆_x0000_"/>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사용내역㇄"/>
      <sheetName val="내역총喈#"/>
      <sheetName val="내역총囸$"/>
      <sheetName val="U-TYPE(P_x0000_"/>
      <sheetName val="전기_x0000__x0000_Ԁ_x0000_"/>
      <sheetName val="실행내刀_x0010_"/>
      <sheetName val="플랜트 _x0000__x0000_"/>
      <sheetName val="현장관리비집계_x0010_"/>
      <sheetName val="Assumption"/>
      <sheetName val="한전위탁氏嘃ζ"/>
      <sheetName val="플랜트㇅_xd846_ࠀ"/>
      <sheetName val="시험연구비상각"/>
      <sheetName val="도貰ø"/>
      <sheetName val="유도ꠋ"/>
      <sheetName val="보온자재단가표"/>
      <sheetName val="오︀ԯ"/>
      <sheetName val="월별수입"/>
      <sheetName val="Ⅴ-2.공ᨖ쉬/_x0000_"/>
      <sheetName val="전동기 塐)墜)"/>
      <sheetName val="철거讘."/>
      <sheetName val="철거雠Ǟ"/>
      <sheetName val="철거踨%"/>
      <sheetName val="철거贈_x0015_"/>
      <sheetName val="공사원가_x0000__x0000_Ԁ"/>
      <sheetName val="아파트½_x0000_"/>
      <sheetName val="수량계산서"/>
      <sheetName val="영창26"/>
    </sheetNames>
    <sheetDataSet>
      <sheetData sheetId="0" refreshError="1">
        <row r="61">
          <cell r="B61">
            <v>2.5</v>
          </cell>
          <cell r="C61" t="str">
            <v>KA</v>
          </cell>
          <cell r="D61">
            <v>4.1717686147384132</v>
          </cell>
          <cell r="E61">
            <v>5.5</v>
          </cell>
        </row>
        <row r="62">
          <cell r="B62">
            <v>5</v>
          </cell>
          <cell r="C62" t="str">
            <v>KA</v>
          </cell>
          <cell r="D62">
            <v>8.3435372294768264</v>
          </cell>
          <cell r="E62">
            <v>14</v>
          </cell>
        </row>
        <row r="63">
          <cell r="B63">
            <v>8</v>
          </cell>
          <cell r="C63" t="str">
            <v>KA</v>
          </cell>
          <cell r="D63">
            <v>13.349659567162922</v>
          </cell>
          <cell r="E63">
            <v>14</v>
          </cell>
        </row>
        <row r="64">
          <cell r="B64">
            <v>12.5</v>
          </cell>
          <cell r="C64" t="str">
            <v>KA</v>
          </cell>
          <cell r="D64">
            <v>20.858843073692068</v>
          </cell>
          <cell r="E64">
            <v>22</v>
          </cell>
        </row>
        <row r="65">
          <cell r="B65">
            <v>16</v>
          </cell>
          <cell r="C65" t="str">
            <v>KA</v>
          </cell>
          <cell r="D65">
            <v>26.699319134325844</v>
          </cell>
          <cell r="E65">
            <v>38</v>
          </cell>
        </row>
        <row r="66">
          <cell r="B66">
            <v>20</v>
          </cell>
          <cell r="C66" t="str">
            <v>KA</v>
          </cell>
          <cell r="D66">
            <v>33.374148917907306</v>
          </cell>
          <cell r="E66">
            <v>38</v>
          </cell>
        </row>
        <row r="67">
          <cell r="B67">
            <v>25</v>
          </cell>
          <cell r="C67" t="str">
            <v>KA</v>
          </cell>
          <cell r="D67">
            <v>41.717686147384136</v>
          </cell>
          <cell r="E67">
            <v>60</v>
          </cell>
        </row>
        <row r="68">
          <cell r="B68">
            <v>40</v>
          </cell>
          <cell r="C68" t="str">
            <v>KA</v>
          </cell>
          <cell r="D68">
            <v>66.748297835814611</v>
          </cell>
          <cell r="E68">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61">
          <cell r="B61" t="str">
            <v>BC 1.6m</v>
          </cell>
        </row>
      </sheetData>
      <sheetData sheetId="14">
        <row r="61">
          <cell r="B61" t="str">
            <v>BC 1.6m</v>
          </cell>
        </row>
      </sheetData>
      <sheetData sheetId="15">
        <row r="61">
          <cell r="B61" t="str">
            <v>BC 1.6m</v>
          </cell>
        </row>
      </sheetData>
      <sheetData sheetId="16"/>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efreshError="1"/>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ow r="61">
          <cell r="B61" t="str">
            <v>BC 1.6m</v>
          </cell>
        </row>
      </sheetData>
      <sheetData sheetId="71" refreshError="1"/>
      <sheetData sheetId="72" refreshError="1"/>
      <sheetData sheetId="73" refreshError="1"/>
      <sheetData sheetId="74" refreshError="1"/>
      <sheetData sheetId="75" refreshError="1"/>
      <sheetData sheetId="76">
        <row r="61">
          <cell r="B61" t="str">
            <v>BC 1.6m</v>
          </cell>
        </row>
      </sheetData>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ow r="61">
          <cell r="B61" t="str">
            <v>BC 1.6m</v>
          </cell>
        </row>
      </sheetData>
      <sheetData sheetId="85">
        <row r="61">
          <cell r="B61" t="str">
            <v>BC 1.6m</v>
          </cell>
        </row>
      </sheetData>
      <sheetData sheetId="86">
        <row r="61">
          <cell r="B61" t="str">
            <v>BC 1.6m</v>
          </cell>
        </row>
      </sheetData>
      <sheetData sheetId="87">
        <row r="61">
          <cell r="B61" t="str">
            <v>BC 1.6m</v>
          </cell>
        </row>
      </sheetData>
      <sheetData sheetId="88">
        <row r="61">
          <cell r="B61" t="str">
            <v>BC 1.6m</v>
          </cell>
        </row>
      </sheetData>
      <sheetData sheetId="89">
        <row r="61">
          <cell r="B61" t="str">
            <v>BC 1.6m</v>
          </cell>
        </row>
      </sheetData>
      <sheetData sheetId="90">
        <row r="61">
          <cell r="B61" t="str">
            <v>BC 1.6m</v>
          </cell>
        </row>
      </sheetData>
      <sheetData sheetId="91">
        <row r="61">
          <cell r="B61" t="str">
            <v>BC 1.6m</v>
          </cell>
        </row>
      </sheetData>
      <sheetData sheetId="92">
        <row r="61">
          <cell r="B61" t="str">
            <v>BC 1.6m</v>
          </cell>
        </row>
      </sheetData>
      <sheetData sheetId="93">
        <row r="61">
          <cell r="B61" t="str">
            <v>BC 1.6m</v>
          </cell>
        </row>
      </sheetData>
      <sheetData sheetId="94">
        <row r="61">
          <cell r="B61" t="str">
            <v>BC 1.6m</v>
          </cell>
        </row>
      </sheetData>
      <sheetData sheetId="95">
        <row r="61">
          <cell r="B61" t="str">
            <v>BC 1.6m</v>
          </cell>
        </row>
      </sheetData>
      <sheetData sheetId="96">
        <row r="61">
          <cell r="B61" t="str">
            <v>BC 1.6m</v>
          </cell>
        </row>
      </sheetData>
      <sheetData sheetId="97">
        <row r="61">
          <cell r="B61" t="str">
            <v>BC 1.6m</v>
          </cell>
        </row>
      </sheetData>
      <sheetData sheetId="98">
        <row r="61">
          <cell r="B61" t="str">
            <v>BC 1.6m</v>
          </cell>
        </row>
      </sheetData>
      <sheetData sheetId="99">
        <row r="61">
          <cell r="B61" t="str">
            <v>BC 1.6m</v>
          </cell>
        </row>
      </sheetData>
      <sheetData sheetId="100">
        <row r="61">
          <cell r="B61" t="str">
            <v>BC 1.6m</v>
          </cell>
        </row>
      </sheetData>
      <sheetData sheetId="101">
        <row r="61">
          <cell r="B61" t="str">
            <v>BC 1.6m</v>
          </cell>
        </row>
      </sheetData>
      <sheetData sheetId="102">
        <row r="61">
          <cell r="B61" t="str">
            <v>BC 1.6m</v>
          </cell>
        </row>
      </sheetData>
      <sheetData sheetId="103">
        <row r="61">
          <cell r="B61" t="str">
            <v>BC 1.6m</v>
          </cell>
        </row>
      </sheetData>
      <sheetData sheetId="104">
        <row r="61">
          <cell r="B61" t="str">
            <v>BC 1.6m</v>
          </cell>
        </row>
      </sheetData>
      <sheetData sheetId="105">
        <row r="61">
          <cell r="B61" t="str">
            <v>BC 1.6m</v>
          </cell>
        </row>
      </sheetData>
      <sheetData sheetId="106">
        <row r="61">
          <cell r="B61" t="str">
            <v>BC 1.6m</v>
          </cell>
        </row>
      </sheetData>
      <sheetData sheetId="107">
        <row r="61">
          <cell r="B61" t="str">
            <v>BC 1.6m</v>
          </cell>
        </row>
      </sheetData>
      <sheetData sheetId="108">
        <row r="61">
          <cell r="B61" t="str">
            <v>BC 1.6m</v>
          </cell>
        </row>
      </sheetData>
      <sheetData sheetId="109">
        <row r="61">
          <cell r="B61" t="str">
            <v>BC 1.6m</v>
          </cell>
        </row>
      </sheetData>
      <sheetData sheetId="110">
        <row r="61">
          <cell r="B61" t="str">
            <v>BC 1.6m</v>
          </cell>
        </row>
      </sheetData>
      <sheetData sheetId="111">
        <row r="61">
          <cell r="B61" t="str">
            <v>BC 1.6m</v>
          </cell>
        </row>
      </sheetData>
      <sheetData sheetId="112">
        <row r="61">
          <cell r="B61" t="str">
            <v>BC 1.6m</v>
          </cell>
        </row>
      </sheetData>
      <sheetData sheetId="113">
        <row r="61">
          <cell r="B61" t="str">
            <v>BC 1.6m</v>
          </cell>
        </row>
      </sheetData>
      <sheetData sheetId="114">
        <row r="61">
          <cell r="B61" t="str">
            <v>BC 1.6m</v>
          </cell>
        </row>
      </sheetData>
      <sheetData sheetId="115">
        <row r="61">
          <cell r="B61" t="str">
            <v>BC 1.6m</v>
          </cell>
        </row>
      </sheetData>
      <sheetData sheetId="116">
        <row r="61">
          <cell r="B61" t="str">
            <v>BC 1.6m</v>
          </cell>
        </row>
      </sheetData>
      <sheetData sheetId="117">
        <row r="61">
          <cell r="B61" t="str">
            <v>BC 1.6m</v>
          </cell>
        </row>
      </sheetData>
      <sheetData sheetId="118">
        <row r="61">
          <cell r="B61" t="str">
            <v>BC 1.6m</v>
          </cell>
        </row>
      </sheetData>
      <sheetData sheetId="119">
        <row r="61">
          <cell r="B61" t="str">
            <v>BC 1.6m</v>
          </cell>
        </row>
      </sheetData>
      <sheetData sheetId="120">
        <row r="61">
          <cell r="B61" t="str">
            <v>BC 1.6m</v>
          </cell>
        </row>
      </sheetData>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ow r="61">
          <cell r="B61" t="str">
            <v>BC 1.6m</v>
          </cell>
        </row>
      </sheetData>
      <sheetData sheetId="126">
        <row r="61">
          <cell r="B61" t="str">
            <v>BC 1.6m</v>
          </cell>
        </row>
      </sheetData>
      <sheetData sheetId="127">
        <row r="61">
          <cell r="B61" t="str">
            <v>BC 1.6m</v>
          </cell>
        </row>
      </sheetData>
      <sheetData sheetId="128">
        <row r="61">
          <cell r="B61" t="str">
            <v>BC 1.6m</v>
          </cell>
        </row>
      </sheetData>
      <sheetData sheetId="129">
        <row r="61">
          <cell r="B61" t="str">
            <v>BC 1.6m</v>
          </cell>
        </row>
      </sheetData>
      <sheetData sheetId="130">
        <row r="61">
          <cell r="B61" t="str">
            <v>BC 1.6m</v>
          </cell>
        </row>
      </sheetData>
      <sheetData sheetId="131">
        <row r="61">
          <cell r="B61" t="str">
            <v>BC 1.6m</v>
          </cell>
        </row>
      </sheetData>
      <sheetData sheetId="132">
        <row r="61">
          <cell r="B61" t="str">
            <v>BC 1.6m</v>
          </cell>
        </row>
      </sheetData>
      <sheetData sheetId="133">
        <row r="61">
          <cell r="B61" t="str">
            <v>BC 1.6m</v>
          </cell>
        </row>
      </sheetData>
      <sheetData sheetId="134">
        <row r="61">
          <cell r="B61" t="str">
            <v>BC 1.6m</v>
          </cell>
        </row>
      </sheetData>
      <sheetData sheetId="135">
        <row r="61">
          <cell r="B61" t="str">
            <v>BC 1.6m</v>
          </cell>
        </row>
      </sheetData>
      <sheetData sheetId="136">
        <row r="61">
          <cell r="B61" t="str">
            <v>BC 1.6m</v>
          </cell>
        </row>
      </sheetData>
      <sheetData sheetId="137">
        <row r="61">
          <cell r="B61" t="str">
            <v>BC 1.6m</v>
          </cell>
        </row>
      </sheetData>
      <sheetData sheetId="138">
        <row r="61">
          <cell r="B61" t="str">
            <v>BC 1.6m</v>
          </cell>
        </row>
      </sheetData>
      <sheetData sheetId="139">
        <row r="61">
          <cell r="B61" t="str">
            <v>BC 1.6m</v>
          </cell>
        </row>
      </sheetData>
      <sheetData sheetId="140">
        <row r="61">
          <cell r="B61" t="str">
            <v>BC 1.6m</v>
          </cell>
        </row>
      </sheetData>
      <sheetData sheetId="141">
        <row r="61">
          <cell r="B61" t="str">
            <v>BC 1.6m</v>
          </cell>
        </row>
      </sheetData>
      <sheetData sheetId="142">
        <row r="61">
          <cell r="B61" t="str">
            <v>BC 1.6m</v>
          </cell>
        </row>
      </sheetData>
      <sheetData sheetId="143">
        <row r="61">
          <cell r="B61" t="str">
            <v>BC 1.6m</v>
          </cell>
        </row>
      </sheetData>
      <sheetData sheetId="144">
        <row r="61">
          <cell r="B61" t="str">
            <v>BC 1.6m</v>
          </cell>
        </row>
      </sheetData>
      <sheetData sheetId="145">
        <row r="61">
          <cell r="B61" t="str">
            <v>BC 1.6m</v>
          </cell>
        </row>
      </sheetData>
      <sheetData sheetId="146">
        <row r="61">
          <cell r="B61" t="str">
            <v>BC 1.6m</v>
          </cell>
        </row>
      </sheetData>
      <sheetData sheetId="147">
        <row r="61">
          <cell r="B61" t="str">
            <v>BC 1.6m</v>
          </cell>
        </row>
      </sheetData>
      <sheetData sheetId="148">
        <row r="61">
          <cell r="B61" t="str">
            <v>BC 1.6m</v>
          </cell>
        </row>
      </sheetData>
      <sheetData sheetId="149">
        <row r="61">
          <cell r="B61" t="str">
            <v>BC 1.6m</v>
          </cell>
        </row>
      </sheetData>
      <sheetData sheetId="150">
        <row r="61">
          <cell r="B61" t="str">
            <v>BC 1.6m</v>
          </cell>
        </row>
      </sheetData>
      <sheetData sheetId="151">
        <row r="61">
          <cell r="B61" t="str">
            <v>BC 1.6m</v>
          </cell>
        </row>
      </sheetData>
      <sheetData sheetId="152">
        <row r="61">
          <cell r="B61" t="str">
            <v>BC 1.6m</v>
          </cell>
        </row>
      </sheetData>
      <sheetData sheetId="153">
        <row r="61">
          <cell r="B61" t="str">
            <v>BC 1.6m</v>
          </cell>
        </row>
      </sheetData>
      <sheetData sheetId="154">
        <row r="61">
          <cell r="B61" t="str">
            <v>BC 1.6m</v>
          </cell>
        </row>
      </sheetData>
      <sheetData sheetId="155">
        <row r="61">
          <cell r="B61" t="str">
            <v>BC 1.6m</v>
          </cell>
        </row>
      </sheetData>
      <sheetData sheetId="156">
        <row r="61">
          <cell r="B61" t="str">
            <v>BC 1.6m</v>
          </cell>
        </row>
      </sheetData>
      <sheetData sheetId="157">
        <row r="61">
          <cell r="B61" t="str">
            <v>BC 1.6m</v>
          </cell>
        </row>
      </sheetData>
      <sheetData sheetId="158">
        <row r="61">
          <cell r="B61" t="str">
            <v>BC 1.6m</v>
          </cell>
        </row>
      </sheetData>
      <sheetData sheetId="159">
        <row r="61">
          <cell r="B61" t="str">
            <v>BC 1.6m</v>
          </cell>
        </row>
      </sheetData>
      <sheetData sheetId="160">
        <row r="61">
          <cell r="B61" t="str">
            <v>BC 1.6m</v>
          </cell>
        </row>
      </sheetData>
      <sheetData sheetId="161">
        <row r="61">
          <cell r="B61" t="str">
            <v>BC 1.6m</v>
          </cell>
        </row>
      </sheetData>
      <sheetData sheetId="162">
        <row r="61">
          <cell r="B61" t="str">
            <v>BC 1.6m</v>
          </cell>
        </row>
      </sheetData>
      <sheetData sheetId="163">
        <row r="61">
          <cell r="B61" t="str">
            <v>BC 1.6m</v>
          </cell>
        </row>
      </sheetData>
      <sheetData sheetId="164">
        <row r="61">
          <cell r="B61" t="str">
            <v>BC 1.6m</v>
          </cell>
        </row>
      </sheetData>
      <sheetData sheetId="165" refreshError="1"/>
      <sheetData sheetId="166"/>
      <sheetData sheetId="167"/>
      <sheetData sheetId="168"/>
      <sheetData sheetId="169"/>
      <sheetData sheetId="170"/>
      <sheetData sheetId="171"/>
      <sheetData sheetId="172"/>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ow r="61">
          <cell r="B61" t="str">
            <v>BC 1.6m</v>
          </cell>
        </row>
      </sheetData>
      <sheetData sheetId="190">
        <row r="61">
          <cell r="B61" t="str">
            <v>BC 1.6m</v>
          </cell>
        </row>
      </sheetData>
      <sheetData sheetId="191">
        <row r="61">
          <cell r="B61" t="str">
            <v>BC 1.6m</v>
          </cell>
        </row>
      </sheetData>
      <sheetData sheetId="192">
        <row r="61">
          <cell r="B61" t="str">
            <v>BC 1.6m</v>
          </cell>
        </row>
      </sheetData>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sheetData sheetId="224"/>
      <sheetData sheetId="225"/>
      <sheetData sheetId="226"/>
      <sheetData sheetId="227"/>
      <sheetData sheetId="228" refreshError="1"/>
      <sheetData sheetId="229"/>
      <sheetData sheetId="230">
        <row r="61">
          <cell r="B61" t="str">
            <v>BC 1.6m</v>
          </cell>
        </row>
      </sheetData>
      <sheetData sheetId="231" refreshError="1"/>
      <sheetData sheetId="232"/>
      <sheetData sheetId="233" refreshError="1"/>
      <sheetData sheetId="234" refreshError="1"/>
      <sheetData sheetId="235">
        <row r="61">
          <cell r="B61" t="str">
            <v>BC 1.6m</v>
          </cell>
        </row>
      </sheetData>
      <sheetData sheetId="236">
        <row r="61">
          <cell r="B61" t="str">
            <v>BC 1.6m</v>
          </cell>
        </row>
      </sheetData>
      <sheetData sheetId="237">
        <row r="61">
          <cell r="B61" t="str">
            <v>BC 1.6m</v>
          </cell>
        </row>
      </sheetData>
      <sheetData sheetId="238" refreshError="1"/>
      <sheetData sheetId="239" refreshError="1"/>
      <sheetData sheetId="240" refreshError="1"/>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sheetData sheetId="262"/>
      <sheetData sheetId="263" refreshError="1"/>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refreshError="1"/>
      <sheetData sheetId="287"/>
      <sheetData sheetId="288" refreshError="1"/>
      <sheetData sheetId="289"/>
      <sheetData sheetId="290"/>
      <sheetData sheetId="291"/>
      <sheetData sheetId="292" refreshError="1"/>
      <sheetData sheetId="293"/>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sheetData sheetId="514" refreshError="1"/>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refreshError="1"/>
      <sheetData sheetId="525"/>
      <sheetData sheetId="526" refreshError="1"/>
      <sheetData sheetId="527"/>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sheetData sheetId="2461" refreshError="1"/>
      <sheetData sheetId="2462"/>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sheetData sheetId="2575"/>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sheetData sheetId="2922"/>
      <sheetData sheetId="2923"/>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sheetData sheetId="3178" refreshError="1"/>
      <sheetData sheetId="3179" refreshError="1"/>
      <sheetData sheetId="3180" refreshError="1"/>
      <sheetData sheetId="3181" refreshError="1"/>
      <sheetData sheetId="3182"/>
      <sheetData sheetId="3183"/>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sheetData sheetId="3307" refreshError="1"/>
      <sheetData sheetId="3308"/>
      <sheetData sheetId="3309" refreshError="1"/>
      <sheetData sheetId="3310" refreshError="1"/>
      <sheetData sheetId="3311" refreshError="1"/>
      <sheetData sheetId="3312"/>
      <sheetData sheetId="3313"/>
      <sheetData sheetId="3314" refreshError="1"/>
      <sheetData sheetId="3315"/>
      <sheetData sheetId="3316"/>
      <sheetData sheetId="3317"/>
      <sheetData sheetId="3318"/>
      <sheetData sheetId="3319"/>
      <sheetData sheetId="3320"/>
      <sheetData sheetId="3321" refreshError="1"/>
      <sheetData sheetId="3322"/>
      <sheetData sheetId="3323" refreshError="1"/>
      <sheetData sheetId="3324" refreshError="1"/>
      <sheetData sheetId="3325" refreshError="1"/>
      <sheetData sheetId="3326" refreshError="1"/>
      <sheetData sheetId="3327"/>
      <sheetData sheetId="3328"/>
      <sheetData sheetId="3329"/>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ow r="61">
          <cell r="B61" t="str">
            <v>BC 1.6m</v>
          </cell>
        </row>
      </sheetData>
      <sheetData sheetId="3665">
        <row r="61">
          <cell r="B61" t="str">
            <v>BC 1.6m</v>
          </cell>
        </row>
      </sheetData>
      <sheetData sheetId="3666" refreshError="1"/>
      <sheetData sheetId="3667" refreshError="1"/>
      <sheetData sheetId="3668" refreshError="1"/>
      <sheetData sheetId="3669" refreshError="1"/>
      <sheetData sheetId="3670" refreshError="1"/>
      <sheetData sheetId="3671" refreshError="1"/>
      <sheetData sheetId="3672"/>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ow r="61">
          <cell r="B61" t="str">
            <v>BC 1.6m</v>
          </cell>
        </row>
      </sheetData>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sheetData sheetId="3768">
        <row r="61">
          <cell r="B61" t="str">
            <v>BC 1.6m</v>
          </cell>
        </row>
      </sheetData>
      <sheetData sheetId="3769">
        <row r="61">
          <cell r="B61" t="str">
            <v>BC 1.6m</v>
          </cell>
        </row>
      </sheetData>
      <sheetData sheetId="3770"/>
      <sheetData sheetId="3771" refreshError="1"/>
      <sheetData sheetId="3772" refreshError="1"/>
      <sheetData sheetId="3773" refreshError="1"/>
      <sheetData sheetId="3774" refreshError="1"/>
      <sheetData sheetId="3775">
        <row r="61">
          <cell r="B61" t="str">
            <v>BC 1.6m</v>
          </cell>
        </row>
      </sheetData>
      <sheetData sheetId="3776">
        <row r="61">
          <cell r="B61">
            <v>2.5</v>
          </cell>
        </row>
      </sheetData>
      <sheetData sheetId="3777">
        <row r="61">
          <cell r="B61">
            <v>2.5</v>
          </cell>
        </row>
      </sheetData>
      <sheetData sheetId="3778">
        <row r="61">
          <cell r="B61">
            <v>2.5</v>
          </cell>
        </row>
      </sheetData>
      <sheetData sheetId="3779">
        <row r="61">
          <cell r="B61" t="str">
            <v>BC 1.6m</v>
          </cell>
        </row>
      </sheetData>
      <sheetData sheetId="3780">
        <row r="61">
          <cell r="B61" t="str">
            <v>BC 1.6m</v>
          </cell>
        </row>
      </sheetData>
      <sheetData sheetId="3781">
        <row r="61">
          <cell r="B61" t="str">
            <v>BC 1.6m</v>
          </cell>
        </row>
      </sheetData>
      <sheetData sheetId="3782">
        <row r="61">
          <cell r="B61" t="str">
            <v>BC 1.6m</v>
          </cell>
        </row>
      </sheetData>
      <sheetData sheetId="3783">
        <row r="61">
          <cell r="B61" t="str">
            <v>BC 1.6m</v>
          </cell>
        </row>
      </sheetData>
      <sheetData sheetId="3784">
        <row r="61">
          <cell r="B61" t="str">
            <v>BC 1.6m</v>
          </cell>
        </row>
      </sheetData>
      <sheetData sheetId="3785">
        <row r="61">
          <cell r="B61" t="str">
            <v>BC 1.6m</v>
          </cell>
        </row>
      </sheetData>
      <sheetData sheetId="3786">
        <row r="61">
          <cell r="B61" t="str">
            <v>BC 1.6m</v>
          </cell>
        </row>
      </sheetData>
      <sheetData sheetId="3787">
        <row r="61">
          <cell r="B61" t="str">
            <v>BC 1.6m</v>
          </cell>
        </row>
      </sheetData>
      <sheetData sheetId="3788">
        <row r="61">
          <cell r="B61" t="str">
            <v>BC 1.6m</v>
          </cell>
        </row>
      </sheetData>
      <sheetData sheetId="3789">
        <row r="61">
          <cell r="B61" t="str">
            <v>BC 1.6m</v>
          </cell>
        </row>
      </sheetData>
      <sheetData sheetId="3790">
        <row r="61">
          <cell r="B61" t="str">
            <v>BC 1.6m</v>
          </cell>
        </row>
      </sheetData>
      <sheetData sheetId="3791">
        <row r="61">
          <cell r="B61" t="str">
            <v>BC 1.6m</v>
          </cell>
        </row>
      </sheetData>
      <sheetData sheetId="3792">
        <row r="61">
          <cell r="B61" t="str">
            <v>BC 1.6m</v>
          </cell>
        </row>
      </sheetData>
      <sheetData sheetId="3793">
        <row r="61">
          <cell r="B61" t="str">
            <v>BC 1.6m</v>
          </cell>
        </row>
      </sheetData>
      <sheetData sheetId="3794">
        <row r="61">
          <cell r="B61" t="str">
            <v>BC 1.6m</v>
          </cell>
        </row>
      </sheetData>
      <sheetData sheetId="3795">
        <row r="61">
          <cell r="B61" t="str">
            <v>BC 1.6m</v>
          </cell>
        </row>
      </sheetData>
      <sheetData sheetId="3796">
        <row r="61">
          <cell r="B61" t="str">
            <v>BC 1.6m</v>
          </cell>
        </row>
      </sheetData>
      <sheetData sheetId="3797">
        <row r="61">
          <cell r="B61" t="str">
            <v>BC 1.6m</v>
          </cell>
        </row>
      </sheetData>
      <sheetData sheetId="3798">
        <row r="61">
          <cell r="B61" t="str">
            <v>BC 1.6m</v>
          </cell>
        </row>
      </sheetData>
      <sheetData sheetId="3799">
        <row r="61">
          <cell r="B61">
            <v>2.5</v>
          </cell>
        </row>
      </sheetData>
      <sheetData sheetId="3800">
        <row r="61">
          <cell r="B61">
            <v>2.5</v>
          </cell>
        </row>
      </sheetData>
      <sheetData sheetId="3801">
        <row r="61">
          <cell r="B61">
            <v>2.5</v>
          </cell>
        </row>
      </sheetData>
      <sheetData sheetId="3802">
        <row r="61">
          <cell r="B61" t="str">
            <v>BC 1.6m</v>
          </cell>
        </row>
      </sheetData>
      <sheetData sheetId="3803">
        <row r="61">
          <cell r="B61" t="str">
            <v>BC 1.6m</v>
          </cell>
        </row>
      </sheetData>
      <sheetData sheetId="3804">
        <row r="61">
          <cell r="B61" t="str">
            <v>BC 1.6m</v>
          </cell>
        </row>
      </sheetData>
      <sheetData sheetId="3805">
        <row r="61">
          <cell r="B61" t="str">
            <v>BC 1.6m</v>
          </cell>
        </row>
      </sheetData>
      <sheetData sheetId="3806">
        <row r="61">
          <cell r="B61" t="str">
            <v>BC 1.6m</v>
          </cell>
        </row>
      </sheetData>
      <sheetData sheetId="3807">
        <row r="61">
          <cell r="B61" t="str">
            <v>BC 1.6m</v>
          </cell>
        </row>
      </sheetData>
      <sheetData sheetId="3808">
        <row r="61">
          <cell r="B61" t="str">
            <v>BC 1.6m</v>
          </cell>
        </row>
      </sheetData>
      <sheetData sheetId="3809">
        <row r="61">
          <cell r="B61" t="str">
            <v>BC 1.6m</v>
          </cell>
        </row>
      </sheetData>
      <sheetData sheetId="3810">
        <row r="61">
          <cell r="B61" t="str">
            <v>BC 1.6m</v>
          </cell>
        </row>
      </sheetData>
      <sheetData sheetId="3811">
        <row r="61">
          <cell r="B61" t="str">
            <v>BC 1.6m</v>
          </cell>
        </row>
      </sheetData>
      <sheetData sheetId="3812">
        <row r="61">
          <cell r="B61" t="str">
            <v>BC 1.6m</v>
          </cell>
        </row>
      </sheetData>
      <sheetData sheetId="3813">
        <row r="61">
          <cell r="B61" t="str">
            <v>BC 1.6m</v>
          </cell>
        </row>
      </sheetData>
      <sheetData sheetId="3814">
        <row r="61">
          <cell r="B61" t="str">
            <v>BC 1.6m</v>
          </cell>
        </row>
      </sheetData>
      <sheetData sheetId="3815">
        <row r="61">
          <cell r="B61" t="str">
            <v>BC 1.6m</v>
          </cell>
        </row>
      </sheetData>
      <sheetData sheetId="3816">
        <row r="61">
          <cell r="B61" t="str">
            <v>BC 1.6m</v>
          </cell>
        </row>
      </sheetData>
      <sheetData sheetId="3817">
        <row r="61">
          <cell r="B61" t="str">
            <v>BC 1.6m</v>
          </cell>
        </row>
      </sheetData>
      <sheetData sheetId="3818">
        <row r="61">
          <cell r="B61" t="str">
            <v>BC 1.6m</v>
          </cell>
        </row>
      </sheetData>
      <sheetData sheetId="3819">
        <row r="61">
          <cell r="B61" t="str">
            <v>BC 1.6m</v>
          </cell>
        </row>
      </sheetData>
      <sheetData sheetId="3820">
        <row r="61">
          <cell r="B61" t="str">
            <v>BC 1.6m</v>
          </cell>
        </row>
      </sheetData>
      <sheetData sheetId="3821">
        <row r="61">
          <cell r="B61" t="str">
            <v>BC 1.6m</v>
          </cell>
        </row>
      </sheetData>
      <sheetData sheetId="3822">
        <row r="61">
          <cell r="B61" t="str">
            <v>BC 1.6m</v>
          </cell>
        </row>
      </sheetData>
      <sheetData sheetId="3823">
        <row r="61">
          <cell r="B61" t="str">
            <v>BC 1.6m</v>
          </cell>
        </row>
      </sheetData>
      <sheetData sheetId="3824">
        <row r="61">
          <cell r="B61" t="str">
            <v>BC 1.6m</v>
          </cell>
        </row>
      </sheetData>
      <sheetData sheetId="3825">
        <row r="61">
          <cell r="B61" t="str">
            <v>BC 1.6m</v>
          </cell>
        </row>
      </sheetData>
      <sheetData sheetId="3826">
        <row r="61">
          <cell r="B61" t="str">
            <v>BC 1.6m</v>
          </cell>
        </row>
      </sheetData>
      <sheetData sheetId="3827">
        <row r="61">
          <cell r="B61" t="str">
            <v>BC 1.6m</v>
          </cell>
        </row>
      </sheetData>
      <sheetData sheetId="3828">
        <row r="61">
          <cell r="B61" t="str">
            <v>BC 1.6m</v>
          </cell>
        </row>
      </sheetData>
      <sheetData sheetId="3829">
        <row r="61">
          <cell r="B61" t="str">
            <v>BC 1.6m</v>
          </cell>
        </row>
      </sheetData>
      <sheetData sheetId="3830">
        <row r="61">
          <cell r="B61" t="str">
            <v>BC 1.6m</v>
          </cell>
        </row>
      </sheetData>
      <sheetData sheetId="3831">
        <row r="61">
          <cell r="B61" t="str">
            <v>BC 1.6m</v>
          </cell>
        </row>
      </sheetData>
      <sheetData sheetId="3832">
        <row r="61">
          <cell r="B61" t="str">
            <v>BC 1.6m</v>
          </cell>
        </row>
      </sheetData>
      <sheetData sheetId="3833">
        <row r="61">
          <cell r="B61" t="str">
            <v>BC 1.6m</v>
          </cell>
        </row>
      </sheetData>
      <sheetData sheetId="3834">
        <row r="61">
          <cell r="B61" t="str">
            <v>BC 1.6m</v>
          </cell>
        </row>
      </sheetData>
      <sheetData sheetId="3835">
        <row r="61">
          <cell r="B61" t="str">
            <v>BC 1.6m</v>
          </cell>
        </row>
      </sheetData>
      <sheetData sheetId="3836">
        <row r="61">
          <cell r="B61" t="str">
            <v>BC 1.6m</v>
          </cell>
        </row>
      </sheetData>
      <sheetData sheetId="3837">
        <row r="61">
          <cell r="B61" t="str">
            <v>BC 1.6m</v>
          </cell>
        </row>
      </sheetData>
      <sheetData sheetId="3838">
        <row r="61">
          <cell r="B61" t="str">
            <v>BC 1.6m</v>
          </cell>
        </row>
      </sheetData>
      <sheetData sheetId="3839">
        <row r="61">
          <cell r="B61" t="str">
            <v>BC 1.6m</v>
          </cell>
        </row>
      </sheetData>
      <sheetData sheetId="3840">
        <row r="61">
          <cell r="B61" t="str">
            <v>BC 1.6m</v>
          </cell>
        </row>
      </sheetData>
      <sheetData sheetId="3841">
        <row r="61">
          <cell r="B61" t="str">
            <v>BC 1.6m</v>
          </cell>
        </row>
      </sheetData>
      <sheetData sheetId="3842">
        <row r="61">
          <cell r="B61" t="str">
            <v>BC 1.6m</v>
          </cell>
        </row>
      </sheetData>
      <sheetData sheetId="3843">
        <row r="61">
          <cell r="B61" t="str">
            <v>BC 1.6m</v>
          </cell>
        </row>
      </sheetData>
      <sheetData sheetId="3844">
        <row r="61">
          <cell r="B61" t="str">
            <v>BC 1.6m</v>
          </cell>
        </row>
      </sheetData>
      <sheetData sheetId="3845">
        <row r="61">
          <cell r="B61" t="str">
            <v>BC 1.6m</v>
          </cell>
        </row>
      </sheetData>
      <sheetData sheetId="3846">
        <row r="61">
          <cell r="B61" t="str">
            <v>BC 1.6m</v>
          </cell>
        </row>
      </sheetData>
      <sheetData sheetId="3847">
        <row r="61">
          <cell r="B61" t="str">
            <v>BC 1.6m</v>
          </cell>
        </row>
      </sheetData>
      <sheetData sheetId="3848">
        <row r="61">
          <cell r="B61" t="str">
            <v>BC 1.6m</v>
          </cell>
        </row>
      </sheetData>
      <sheetData sheetId="3849">
        <row r="61">
          <cell r="B61" t="str">
            <v>BC 1.6m</v>
          </cell>
        </row>
      </sheetData>
      <sheetData sheetId="3850">
        <row r="61">
          <cell r="B61" t="str">
            <v>BC 1.6m</v>
          </cell>
        </row>
      </sheetData>
      <sheetData sheetId="3851">
        <row r="61">
          <cell r="B61" t="str">
            <v>BC 1.6m</v>
          </cell>
        </row>
      </sheetData>
      <sheetData sheetId="3852">
        <row r="61">
          <cell r="B61" t="str">
            <v>BC 1.6m</v>
          </cell>
        </row>
      </sheetData>
      <sheetData sheetId="3853">
        <row r="61">
          <cell r="B61" t="str">
            <v>BC 1.6m</v>
          </cell>
        </row>
      </sheetData>
      <sheetData sheetId="3854">
        <row r="61">
          <cell r="B61" t="str">
            <v>BC 1.6m</v>
          </cell>
        </row>
      </sheetData>
      <sheetData sheetId="3855">
        <row r="61">
          <cell r="B61" t="str">
            <v>BC 1.6m</v>
          </cell>
        </row>
      </sheetData>
      <sheetData sheetId="3856">
        <row r="61">
          <cell r="B61" t="str">
            <v>BC 1.6m</v>
          </cell>
        </row>
      </sheetData>
      <sheetData sheetId="3857">
        <row r="61">
          <cell r="B61" t="str">
            <v>BC 1.6m</v>
          </cell>
        </row>
      </sheetData>
      <sheetData sheetId="3858">
        <row r="61">
          <cell r="B61" t="str">
            <v>BC 1.6m</v>
          </cell>
        </row>
      </sheetData>
      <sheetData sheetId="3859">
        <row r="61">
          <cell r="B61" t="str">
            <v>BC 1.6m</v>
          </cell>
        </row>
      </sheetData>
      <sheetData sheetId="3860">
        <row r="61">
          <cell r="B61" t="str">
            <v>BC 1.6m</v>
          </cell>
        </row>
      </sheetData>
      <sheetData sheetId="3861">
        <row r="61">
          <cell r="B61" t="str">
            <v>BC 1.6m</v>
          </cell>
        </row>
      </sheetData>
      <sheetData sheetId="3862"/>
      <sheetData sheetId="3863"/>
      <sheetData sheetId="3864"/>
      <sheetData sheetId="3865"/>
      <sheetData sheetId="3866"/>
      <sheetData sheetId="3867"/>
      <sheetData sheetId="3868"/>
      <sheetData sheetId="3869">
        <row r="61">
          <cell r="B61" t="str">
            <v>BC 1.6m</v>
          </cell>
        </row>
      </sheetData>
      <sheetData sheetId="3870">
        <row r="61">
          <cell r="B61" t="str">
            <v>BC 1.6m</v>
          </cell>
        </row>
      </sheetData>
      <sheetData sheetId="3871">
        <row r="61">
          <cell r="B61" t="str">
            <v>BC 1.6m</v>
          </cell>
        </row>
      </sheetData>
      <sheetData sheetId="3872">
        <row r="61">
          <cell r="B61" t="str">
            <v>BC 1.6m</v>
          </cell>
        </row>
      </sheetData>
      <sheetData sheetId="3873">
        <row r="61">
          <cell r="B61" t="str">
            <v>BC 1.6m</v>
          </cell>
        </row>
      </sheetData>
      <sheetData sheetId="3874">
        <row r="61">
          <cell r="B61" t="str">
            <v>BC 1.6m</v>
          </cell>
        </row>
      </sheetData>
      <sheetData sheetId="3875">
        <row r="61">
          <cell r="B61" t="str">
            <v>BC 1.6m</v>
          </cell>
        </row>
      </sheetData>
      <sheetData sheetId="3876">
        <row r="61">
          <cell r="B61" t="str">
            <v>BC 1.6m</v>
          </cell>
        </row>
      </sheetData>
      <sheetData sheetId="3877">
        <row r="61">
          <cell r="B61" t="str">
            <v>BC 1.6m</v>
          </cell>
        </row>
      </sheetData>
      <sheetData sheetId="3878"/>
      <sheetData sheetId="3879"/>
      <sheetData sheetId="3880"/>
      <sheetData sheetId="3881"/>
      <sheetData sheetId="3882"/>
      <sheetData sheetId="3883"/>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61">
          <cell r="B61">
            <v>2.5</v>
          </cell>
        </row>
      </sheetData>
      <sheetData sheetId="3912">
        <row r="61">
          <cell r="B61">
            <v>2.5</v>
          </cell>
        </row>
      </sheetData>
      <sheetData sheetId="3913">
        <row r="61">
          <cell r="B61">
            <v>2.5</v>
          </cell>
        </row>
      </sheetData>
      <sheetData sheetId="3914">
        <row r="61">
          <cell r="B61" t="str">
            <v>BC 1.6m</v>
          </cell>
        </row>
      </sheetData>
      <sheetData sheetId="3915">
        <row r="61">
          <cell r="B61" t="str">
            <v>BC 1.6m</v>
          </cell>
        </row>
      </sheetData>
      <sheetData sheetId="3916">
        <row r="61">
          <cell r="B61" t="str">
            <v>BC 1.6m</v>
          </cell>
        </row>
      </sheetData>
      <sheetData sheetId="3917">
        <row r="61">
          <cell r="B61" t="str">
            <v>BC 1.6m</v>
          </cell>
        </row>
      </sheetData>
      <sheetData sheetId="3918">
        <row r="61">
          <cell r="B61" t="str">
            <v>BC 1.6m</v>
          </cell>
        </row>
      </sheetData>
      <sheetData sheetId="3919">
        <row r="61">
          <cell r="B61" t="str">
            <v>BC 1.6m</v>
          </cell>
        </row>
      </sheetData>
      <sheetData sheetId="3920">
        <row r="61">
          <cell r="B61" t="str">
            <v>BC 1.6m</v>
          </cell>
        </row>
      </sheetData>
      <sheetData sheetId="3921">
        <row r="61">
          <cell r="B61" t="str">
            <v>BC 1.6m</v>
          </cell>
        </row>
      </sheetData>
      <sheetData sheetId="3922">
        <row r="61">
          <cell r="B61" t="str">
            <v>BC 1.6m</v>
          </cell>
        </row>
      </sheetData>
      <sheetData sheetId="3923">
        <row r="61">
          <cell r="B61" t="str">
            <v>BC 1.6m</v>
          </cell>
        </row>
      </sheetData>
      <sheetData sheetId="3924">
        <row r="61">
          <cell r="B61" t="str">
            <v>BC 1.6m</v>
          </cell>
        </row>
      </sheetData>
      <sheetData sheetId="3925">
        <row r="61">
          <cell r="B61" t="str">
            <v>BC 1.6m</v>
          </cell>
        </row>
      </sheetData>
      <sheetData sheetId="3926">
        <row r="61">
          <cell r="B61" t="str">
            <v>BC 1.6m</v>
          </cell>
        </row>
      </sheetData>
      <sheetData sheetId="3927">
        <row r="61">
          <cell r="B61" t="str">
            <v>BC 1.6m</v>
          </cell>
        </row>
      </sheetData>
      <sheetData sheetId="3928">
        <row r="61">
          <cell r="B61" t="str">
            <v>BC 1.6m</v>
          </cell>
        </row>
      </sheetData>
      <sheetData sheetId="3929">
        <row r="61">
          <cell r="B61" t="str">
            <v>BC 1.6m</v>
          </cell>
        </row>
      </sheetData>
      <sheetData sheetId="3930">
        <row r="61">
          <cell r="B61" t="str">
            <v>BC 1.6m</v>
          </cell>
        </row>
      </sheetData>
      <sheetData sheetId="3931">
        <row r="61">
          <cell r="B61" t="str">
            <v>BC 1.6m</v>
          </cell>
        </row>
      </sheetData>
      <sheetData sheetId="3932">
        <row r="61">
          <cell r="B61" t="str">
            <v>BC 1.6m</v>
          </cell>
        </row>
      </sheetData>
      <sheetData sheetId="3933">
        <row r="61">
          <cell r="B61" t="str">
            <v>BC 1.6m</v>
          </cell>
        </row>
      </sheetData>
      <sheetData sheetId="3934">
        <row r="61">
          <cell r="B61" t="str">
            <v>BC 1.6m</v>
          </cell>
        </row>
      </sheetData>
      <sheetData sheetId="3935">
        <row r="61">
          <cell r="B61" t="str">
            <v>BC 1.6m</v>
          </cell>
        </row>
      </sheetData>
      <sheetData sheetId="3936">
        <row r="61">
          <cell r="B61" t="str">
            <v>BC 1.6m</v>
          </cell>
        </row>
      </sheetData>
      <sheetData sheetId="3937">
        <row r="61">
          <cell r="B61" t="str">
            <v>BC 1.6m</v>
          </cell>
        </row>
      </sheetData>
      <sheetData sheetId="3938">
        <row r="61">
          <cell r="B61" t="str">
            <v>BC 1.6m</v>
          </cell>
        </row>
      </sheetData>
      <sheetData sheetId="3939">
        <row r="61">
          <cell r="B61" t="str">
            <v>BC 1.6m</v>
          </cell>
        </row>
      </sheetData>
      <sheetData sheetId="3940">
        <row r="61">
          <cell r="B61" t="str">
            <v>BC 1.6m</v>
          </cell>
        </row>
      </sheetData>
      <sheetData sheetId="3941">
        <row r="61">
          <cell r="B61" t="str">
            <v>BC 1.6m</v>
          </cell>
        </row>
      </sheetData>
      <sheetData sheetId="3942">
        <row r="61">
          <cell r="B61" t="str">
            <v>BC 1.6m</v>
          </cell>
        </row>
      </sheetData>
      <sheetData sheetId="3943">
        <row r="61">
          <cell r="B61" t="str">
            <v>BC 1.6m</v>
          </cell>
        </row>
      </sheetData>
      <sheetData sheetId="3944">
        <row r="61">
          <cell r="B61" t="str">
            <v>BC 1.6m</v>
          </cell>
        </row>
      </sheetData>
      <sheetData sheetId="3945">
        <row r="61">
          <cell r="B61" t="str">
            <v>BC 1.6m</v>
          </cell>
        </row>
      </sheetData>
      <sheetData sheetId="3946">
        <row r="61">
          <cell r="B61" t="str">
            <v>BC 1.6m</v>
          </cell>
        </row>
      </sheetData>
      <sheetData sheetId="3947">
        <row r="61">
          <cell r="B61" t="str">
            <v>BC 1.6m</v>
          </cell>
        </row>
      </sheetData>
      <sheetData sheetId="3948">
        <row r="61">
          <cell r="B61" t="str">
            <v>BC 1.6m</v>
          </cell>
        </row>
      </sheetData>
      <sheetData sheetId="3949">
        <row r="61">
          <cell r="B61" t="str">
            <v>BC 1.6m</v>
          </cell>
        </row>
      </sheetData>
      <sheetData sheetId="3950">
        <row r="61">
          <cell r="B61" t="str">
            <v>BC 1.6m</v>
          </cell>
        </row>
      </sheetData>
      <sheetData sheetId="3951">
        <row r="61">
          <cell r="B61" t="str">
            <v>BC 1.6m</v>
          </cell>
        </row>
      </sheetData>
      <sheetData sheetId="3952">
        <row r="61">
          <cell r="B61" t="str">
            <v>BC 1.6m</v>
          </cell>
        </row>
      </sheetData>
      <sheetData sheetId="3953">
        <row r="61">
          <cell r="B61" t="str">
            <v>BC 1.6m</v>
          </cell>
        </row>
      </sheetData>
      <sheetData sheetId="3954">
        <row r="61">
          <cell r="B61" t="str">
            <v>BC 1.6m</v>
          </cell>
        </row>
      </sheetData>
      <sheetData sheetId="3955">
        <row r="61">
          <cell r="B61" t="str">
            <v>BC 1.6m</v>
          </cell>
        </row>
      </sheetData>
      <sheetData sheetId="3956">
        <row r="61">
          <cell r="B61" t="str">
            <v>BC 1.6m</v>
          </cell>
        </row>
      </sheetData>
      <sheetData sheetId="3957">
        <row r="61">
          <cell r="B61" t="str">
            <v>BC 1.6m</v>
          </cell>
        </row>
      </sheetData>
      <sheetData sheetId="3958">
        <row r="61">
          <cell r="B61" t="str">
            <v>BC 1.6m</v>
          </cell>
        </row>
      </sheetData>
      <sheetData sheetId="3959">
        <row r="61">
          <cell r="B61" t="str">
            <v>BC 1.6m</v>
          </cell>
        </row>
      </sheetData>
      <sheetData sheetId="3960">
        <row r="61">
          <cell r="B61" t="str">
            <v>BC 1.6m</v>
          </cell>
        </row>
      </sheetData>
      <sheetData sheetId="3961">
        <row r="61">
          <cell r="B61" t="str">
            <v>BC 1.6m</v>
          </cell>
        </row>
      </sheetData>
      <sheetData sheetId="3962">
        <row r="61">
          <cell r="B61" t="str">
            <v>BC 1.6m</v>
          </cell>
        </row>
      </sheetData>
      <sheetData sheetId="3963">
        <row r="61">
          <cell r="B61" t="str">
            <v>BC 1.6m</v>
          </cell>
        </row>
      </sheetData>
      <sheetData sheetId="3964">
        <row r="61">
          <cell r="B61" t="str">
            <v>BC 1.6m</v>
          </cell>
        </row>
      </sheetData>
      <sheetData sheetId="3965">
        <row r="61">
          <cell r="B61" t="str">
            <v>BC 1.6m</v>
          </cell>
        </row>
      </sheetData>
      <sheetData sheetId="3966">
        <row r="61">
          <cell r="B61" t="str">
            <v>BC 1.6m</v>
          </cell>
        </row>
      </sheetData>
      <sheetData sheetId="3967">
        <row r="61">
          <cell r="B61" t="str">
            <v>BC 1.6m</v>
          </cell>
        </row>
      </sheetData>
      <sheetData sheetId="3968">
        <row r="61">
          <cell r="B61" t="str">
            <v>BC 1.6m</v>
          </cell>
        </row>
      </sheetData>
      <sheetData sheetId="3969"/>
      <sheetData sheetId="3970"/>
      <sheetData sheetId="3971">
        <row r="61">
          <cell r="B61" t="str">
            <v>BC 1.6m</v>
          </cell>
        </row>
      </sheetData>
      <sheetData sheetId="3972">
        <row r="61">
          <cell r="B61" t="str">
            <v>BC 1.6m</v>
          </cell>
        </row>
      </sheetData>
      <sheetData sheetId="3973">
        <row r="61">
          <cell r="B61" t="str">
            <v>BC 1.6m</v>
          </cell>
        </row>
      </sheetData>
      <sheetData sheetId="3974">
        <row r="61">
          <cell r="B61" t="str">
            <v>BC 1.6m</v>
          </cell>
        </row>
      </sheetData>
      <sheetData sheetId="3975">
        <row r="61">
          <cell r="B61" t="str">
            <v>BC 1.6m</v>
          </cell>
        </row>
      </sheetData>
      <sheetData sheetId="3976">
        <row r="61">
          <cell r="B61" t="str">
            <v>BC 1.6m</v>
          </cell>
        </row>
      </sheetData>
      <sheetData sheetId="3977">
        <row r="61">
          <cell r="B61" t="str">
            <v>BC 1.6m</v>
          </cell>
        </row>
      </sheetData>
      <sheetData sheetId="3978">
        <row r="61">
          <cell r="B61" t="str">
            <v>BC 1.6m</v>
          </cell>
        </row>
      </sheetData>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row r="61">
          <cell r="B61" t="str">
            <v>BC 1.6m</v>
          </cell>
        </row>
      </sheetData>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row r="61">
          <cell r="B61" t="str">
            <v>BC 1.6m</v>
          </cell>
        </row>
      </sheetData>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refreshError="1"/>
      <sheetData sheetId="4134"/>
      <sheetData sheetId="4135"/>
      <sheetData sheetId="4136"/>
      <sheetData sheetId="4137"/>
      <sheetData sheetId="4138"/>
      <sheetData sheetId="4139"/>
      <sheetData sheetId="4140"/>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refreshError="1"/>
      <sheetData sheetId="4187"/>
      <sheetData sheetId="4188" refreshError="1"/>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refreshError="1"/>
      <sheetData sheetId="4202" refreshError="1"/>
      <sheetData sheetId="4203" refreshError="1"/>
      <sheetData sheetId="4204" refreshError="1"/>
      <sheetData sheetId="4205" refreshError="1"/>
      <sheetData sheetId="4206"/>
      <sheetData sheetId="4207"/>
      <sheetData sheetId="4208"/>
      <sheetData sheetId="4209" refreshError="1"/>
      <sheetData sheetId="4210"/>
      <sheetData sheetId="4211"/>
      <sheetData sheetId="4212" refreshError="1"/>
      <sheetData sheetId="4213" refreshError="1"/>
      <sheetData sheetId="4214"/>
      <sheetData sheetId="4215"/>
      <sheetData sheetId="4216" refreshError="1"/>
      <sheetData sheetId="4217"/>
      <sheetData sheetId="4218"/>
      <sheetData sheetId="4219"/>
      <sheetData sheetId="4220"/>
      <sheetData sheetId="4221"/>
      <sheetData sheetId="4222"/>
      <sheetData sheetId="4223"/>
      <sheetData sheetId="4224"/>
      <sheetData sheetId="4225"/>
      <sheetData sheetId="4226"/>
      <sheetData sheetId="4227" refreshError="1"/>
      <sheetData sheetId="4228" refreshError="1"/>
      <sheetData sheetId="4229" refreshError="1"/>
      <sheetData sheetId="4230"/>
      <sheetData sheetId="4231"/>
      <sheetData sheetId="4232"/>
      <sheetData sheetId="4233"/>
      <sheetData sheetId="4234"/>
      <sheetData sheetId="4235" refreshError="1"/>
      <sheetData sheetId="4236"/>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sheetData sheetId="4249"/>
      <sheetData sheetId="4250" refreshError="1"/>
      <sheetData sheetId="4251" refreshError="1"/>
      <sheetData sheetId="4252" refreshError="1"/>
      <sheetData sheetId="4253"/>
      <sheetData sheetId="4254"/>
      <sheetData sheetId="4255"/>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ow r="61">
          <cell r="B61" t="str">
            <v>BC 1.6m</v>
          </cell>
        </row>
      </sheetData>
      <sheetData sheetId="4265">
        <row r="61">
          <cell r="B61" t="str">
            <v>BC 1.6m</v>
          </cell>
        </row>
      </sheetData>
      <sheetData sheetId="4266">
        <row r="61">
          <cell r="B61" t="str">
            <v>BC 1.6m</v>
          </cell>
        </row>
      </sheetData>
      <sheetData sheetId="4267"/>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ow r="61">
          <cell r="B61" t="str">
            <v>BC 1.6m</v>
          </cell>
        </row>
      </sheetData>
      <sheetData sheetId="4294" refreshError="1"/>
      <sheetData sheetId="4295" refreshError="1"/>
      <sheetData sheetId="4296"/>
      <sheetData sheetId="4297" refreshError="1"/>
      <sheetData sheetId="4298"/>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refreshError="1"/>
      <sheetData sheetId="4309"/>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refreshError="1"/>
      <sheetData sheetId="4411"/>
      <sheetData sheetId="4412"/>
      <sheetData sheetId="4413"/>
      <sheetData sheetId="4414" refreshError="1"/>
      <sheetData sheetId="4415"/>
      <sheetData sheetId="4416" refreshError="1"/>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ow r="61">
          <cell r="B61" t="str">
            <v>BC 1.6m</v>
          </cell>
        </row>
      </sheetData>
      <sheetData sheetId="4474"/>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sheetData sheetId="4516" refreshError="1"/>
      <sheetData sheetId="4517" refreshError="1"/>
      <sheetData sheetId="4518" refreshError="1"/>
      <sheetData sheetId="4519" refreshError="1"/>
      <sheetData sheetId="4520" refreshError="1"/>
      <sheetData sheetId="4521"/>
      <sheetData sheetId="4522" refreshError="1"/>
      <sheetData sheetId="4523" refreshError="1"/>
      <sheetData sheetId="4524"/>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refreshError="1"/>
      <sheetData sheetId="4558" refreshError="1"/>
      <sheetData sheetId="4559" refreshError="1"/>
      <sheetData sheetId="4560" refreshError="1"/>
      <sheetData sheetId="4561" refreshError="1"/>
      <sheetData sheetId="4562" refreshError="1"/>
      <sheetData sheetId="4563"/>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refreshError="1"/>
      <sheetData sheetId="4582" refreshError="1"/>
      <sheetData sheetId="4583" refreshError="1"/>
      <sheetData sheetId="4584" refreshError="1"/>
      <sheetData sheetId="4585" refreshError="1"/>
      <sheetData sheetId="4586" refreshError="1"/>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sheetData sheetId="509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sheetData sheetId="5118"/>
      <sheetData sheetId="5119"/>
      <sheetData sheetId="5120"/>
      <sheetData sheetId="5121"/>
      <sheetData sheetId="5122"/>
      <sheetData sheetId="5123"/>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sheetData sheetId="5137"/>
      <sheetData sheetId="5138"/>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sheetData sheetId="5321"/>
      <sheetData sheetId="5322" refreshError="1"/>
      <sheetData sheetId="5323" refreshError="1"/>
      <sheetData sheetId="5324" refreshError="1"/>
      <sheetData sheetId="5325" refreshError="1"/>
      <sheetData sheetId="5326"/>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sheetData sheetId="5337"/>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sheetData sheetId="5406"/>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
      <sheetName val="기자비"/>
      <sheetName val="공통비"/>
      <sheetName val="AABS내역"/>
      <sheetName val="차액보증"/>
      <sheetName val="예산M12A"/>
      <sheetName val="PIPE"/>
      <sheetName val="FLANGE"/>
      <sheetName val="VALVE"/>
      <sheetName val="순공사비"/>
      <sheetName val="일위대가표(DEEP)"/>
      <sheetName val="VENDOR LIST"/>
      <sheetName val="관람석제출"/>
      <sheetName val="3련 BOX"/>
      <sheetName val="토공정보"/>
      <sheetName val="기성내역서"/>
      <sheetName val="1.설계조건"/>
      <sheetName val="6.OUTPUT"/>
      <sheetName val="h-013211-2"/>
      <sheetName val="ABUT수량-A1"/>
      <sheetName val="TIE-IN"/>
      <sheetName val="Proposal"/>
      <sheetName val="시행예산"/>
      <sheetName val="입출재고현황 (2)"/>
      <sheetName val="가BM"/>
      <sheetName val="설계조건"/>
      <sheetName val="말뚝지지력산정"/>
      <sheetName val="Equipment"/>
      <sheetName val="Piping"/>
      <sheetName val="안정검토"/>
      <sheetName val="CB"/>
      <sheetName val="표지"/>
      <sheetName val="MOTOR"/>
      <sheetName val="옹벽"/>
      <sheetName val="내역서"/>
      <sheetName val="2.단면가정3.모델링"/>
      <sheetName val="노임단가"/>
      <sheetName val="Sheet1"/>
      <sheetName val="입찰안"/>
      <sheetName val="DATA"/>
      <sheetName val="Mech_1030"/>
      <sheetName val="산출내역서집계표"/>
      <sheetName val="COVER"/>
      <sheetName val="3BL공동구 수량"/>
      <sheetName val="풍하중1"/>
      <sheetName val="설산1.나"/>
      <sheetName val="본사S"/>
      <sheetName val="조도계산서 (도서)"/>
      <sheetName val="design criteria"/>
      <sheetName val="plan&amp;section of foundation"/>
      <sheetName val="Option"/>
      <sheetName val="내역"/>
      <sheetName val="변화치수"/>
      <sheetName val="변경내역서"/>
      <sheetName val="SILICATE"/>
      <sheetName val="내역서(총)"/>
      <sheetName val="토류판설치(t=60)"/>
      <sheetName val="노임"/>
      <sheetName val="집행(2-1)"/>
      <sheetName val="Total"/>
      <sheetName val="토목검측서"/>
      <sheetName val="사진"/>
      <sheetName val="BSD (2)"/>
      <sheetName val="D-3503"/>
      <sheetName val="도급양식"/>
      <sheetName val="일반공사"/>
      <sheetName val="1호맨홀토공"/>
      <sheetName val="원데이타"/>
      <sheetName val="combi(wall)"/>
      <sheetName val="입력DATA"/>
      <sheetName val="바닥판"/>
      <sheetName val="주빔의 설계"/>
      <sheetName val="member design"/>
      <sheetName val="working load at the btm ft."/>
      <sheetName val="soil bearing check"/>
      <sheetName val="고유코드_설계"/>
      <sheetName val="type-F"/>
      <sheetName val="BID"/>
      <sheetName val="대비"/>
      <sheetName val="말뚝물량"/>
      <sheetName val="수량산출서"/>
      <sheetName val="PUMP"/>
      <sheetName val="2.고용보험료산출근거"/>
      <sheetName val="데이타"/>
      <sheetName val="일보"/>
      <sheetName val="DRAIN DRUM PIT D-301"/>
      <sheetName val="C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S"/>
      <sheetName val="토목검측서"/>
      <sheetName val="MOTO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Sheet1"/>
      <sheetName val="공통(20-91)"/>
      <sheetName val="견적대비표"/>
      <sheetName val="토목검측서"/>
      <sheetName val="두앙"/>
      <sheetName val="토공정보"/>
      <sheetName val="일반공사"/>
      <sheetName val="공통비"/>
      <sheetName val="CB"/>
      <sheetName val="PIPE"/>
      <sheetName val="FLANGE"/>
      <sheetName val="VALVE"/>
    </sheetNames>
    <definedNames>
      <definedName name="Macro3"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표지"/>
      <sheetName val="목차"/>
      <sheetName val="월간"/>
      <sheetName val="1-1"/>
      <sheetName val="목차2"/>
      <sheetName val="2-1"/>
      <sheetName val="2-2"/>
      <sheetName val="2-3"/>
      <sheetName val="3"/>
      <sheetName val="4"/>
      <sheetName val="5"/>
      <sheetName val="6"/>
      <sheetName val="공사진도"/>
      <sheetName val="업무추진"/>
      <sheetName val="시공"/>
      <sheetName val="전주금주차주"/>
      <sheetName val="인원장비"/>
      <sheetName val="현안대책"/>
      <sheetName val="7"/>
      <sheetName val="VV1"/>
      <sheetName val="Sheet1"/>
      <sheetName val="토목검측서"/>
      <sheetName val="공통(20-91)"/>
      <sheetName val="가상data"/>
      <sheetName val="JUCK"/>
      <sheetName val="ELECTRIC"/>
      <sheetName val="SCHEDULE"/>
      <sheetName val="CB"/>
      <sheetName val="설계예산서"/>
      <sheetName val="재료비단가(VALVE)"/>
      <sheetName val="BID"/>
      <sheetName val="도급양식"/>
      <sheetName val="금액내역서"/>
      <sheetName val="플랜트 설치"/>
      <sheetName val="토공정보"/>
      <sheetName val="두앙"/>
      <sheetName val="견적총괄표"/>
      <sheetName val="2"/>
      <sheetName val="실행내역서"/>
      <sheetName val="노임단가"/>
      <sheetName val="수목단가"/>
      <sheetName val="시설수량표"/>
      <sheetName val="식재수량표"/>
      <sheetName val="일위목록"/>
      <sheetName val="자재단가"/>
    </sheetNames>
    <definedNames>
      <definedName name="MAIN"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조예산"/>
      <sheetName val="참조대비표"/>
      <sheetName val="시행예산"/>
      <sheetName val="시행대비표"/>
      <sheetName val="Sheet1"/>
      <sheetName val="수압집계"/>
      <sheetName val="수압예산서"/>
      <sheetName val="수압명세서"/>
      <sheetName val="수압자재산출"/>
      <sheetName val="수압가설"/>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토공집계표"/>
      <sheetName val="포장집계표"/>
      <sheetName val="용접부"/>
      <sheetName val="인력"/>
      <sheetName val="토공1"/>
      <sheetName val="토공정보"/>
      <sheetName val="수압집계"/>
      <sheetName val="내역(한신APT)"/>
      <sheetName val="DATE"/>
      <sheetName val="기시공토적"/>
      <sheetName val="2000전체분"/>
      <sheetName val="2000년1차"/>
      <sheetName val="일보"/>
      <sheetName val="TOTAL"/>
      <sheetName val="총괄내역서"/>
      <sheetName val="SEC.16-1"/>
    </sheetNames>
    <sheetDataSet>
      <sheetData sheetId="0"/>
      <sheetData sheetId="1"/>
      <sheetData sheetId="2"/>
      <sheetData sheetId="3"/>
      <sheetData sheetId="4"/>
      <sheetData sheetId="5"/>
      <sheetData sheetId="6" refreshError="1">
        <row r="7">
          <cell r="AF7">
            <v>0</v>
          </cell>
          <cell r="AG7">
            <v>0.2</v>
          </cell>
          <cell r="AH7">
            <v>0.2</v>
          </cell>
          <cell r="AI7">
            <v>0.2</v>
          </cell>
          <cell r="AJ7">
            <v>0.3</v>
          </cell>
          <cell r="AK7">
            <v>0.3</v>
          </cell>
          <cell r="AL7">
            <v>0.3</v>
          </cell>
          <cell r="AM7">
            <v>0.3</v>
          </cell>
          <cell r="AN7">
            <v>0.3</v>
          </cell>
          <cell r="AO7">
            <v>0.3</v>
          </cell>
          <cell r="AP7">
            <v>0.2</v>
          </cell>
          <cell r="AQ7">
            <v>0.3</v>
          </cell>
          <cell r="AR7">
            <v>0.1</v>
          </cell>
        </row>
        <row r="8">
          <cell r="AF8">
            <v>1</v>
          </cell>
          <cell r="AG8">
            <v>0.2</v>
          </cell>
          <cell r="AH8">
            <v>0.2</v>
          </cell>
          <cell r="AI8">
            <v>0.2</v>
          </cell>
          <cell r="AJ8">
            <v>0.3</v>
          </cell>
          <cell r="AK8">
            <v>0.3</v>
          </cell>
          <cell r="AL8">
            <v>0.3</v>
          </cell>
          <cell r="AM8">
            <v>0.3</v>
          </cell>
          <cell r="AN8">
            <v>0.3</v>
          </cell>
          <cell r="AO8">
            <v>0.3</v>
          </cell>
          <cell r="AP8">
            <v>0.2</v>
          </cell>
          <cell r="AQ8">
            <v>0.3</v>
          </cell>
          <cell r="AR8">
            <v>0.1</v>
          </cell>
        </row>
        <row r="9">
          <cell r="AF9">
            <v>2</v>
          </cell>
          <cell r="AG9">
            <v>0.2</v>
          </cell>
          <cell r="AH9">
            <v>0.2</v>
          </cell>
          <cell r="AI9">
            <v>0.2</v>
          </cell>
          <cell r="AJ9">
            <v>0.5</v>
          </cell>
          <cell r="AK9">
            <v>0.5</v>
          </cell>
          <cell r="AL9">
            <v>0.5</v>
          </cell>
          <cell r="AM9">
            <v>0.5</v>
          </cell>
          <cell r="AN9">
            <v>0.5</v>
          </cell>
          <cell r="AO9">
            <v>0.5</v>
          </cell>
          <cell r="AP9">
            <v>0.2</v>
          </cell>
          <cell r="AQ9">
            <v>0.5</v>
          </cell>
          <cell r="AR9">
            <v>0.2</v>
          </cell>
        </row>
        <row r="10">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AF17">
            <v>10</v>
          </cell>
          <cell r="AG17">
            <v>0</v>
          </cell>
          <cell r="AH17">
            <v>0</v>
          </cell>
          <cell r="AI17">
            <v>0</v>
          </cell>
          <cell r="AJ17">
            <v>0.7</v>
          </cell>
          <cell r="AK17">
            <v>0.7</v>
          </cell>
          <cell r="AL17">
            <v>0.7</v>
          </cell>
          <cell r="AM17">
            <v>0.7</v>
          </cell>
          <cell r="AN17">
            <v>0.7</v>
          </cell>
          <cell r="AO17">
            <v>0.7</v>
          </cell>
          <cell r="AP17">
            <v>0</v>
          </cell>
          <cell r="AQ17">
            <v>0.7</v>
          </cell>
          <cell r="AR17">
            <v>0.3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VAC"/>
      <sheetName val="절단표"/>
      <sheetName val="부표총괄"/>
      <sheetName val="철거현황"/>
      <sheetName val="수압집계"/>
      <sheetName val="건축"/>
      <sheetName val="costing_ESDV"/>
      <sheetName val="costing_MOV"/>
      <sheetName val="costing_Press"/>
      <sheetName val="DNT OSBL"/>
      <sheetName val="자동제어"/>
      <sheetName val="piping"/>
      <sheetName val="부재력정리"/>
      <sheetName val="수량산출"/>
      <sheetName val="C4MECH1"/>
      <sheetName val="토공정보"/>
      <sheetName val="품셈표"/>
      <sheetName val="자재내역"/>
      <sheetName val="steel data sheet"/>
      <sheetName val="기초.강관용접(100A) "/>
      <sheetName val="설계명세서"/>
      <sheetName val="견적서"/>
      <sheetName val="1단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FG"/>
      <sheetName val="me"/>
      <sheetName val="UT_W"/>
      <sheetName val="fg_W"/>
      <sheetName val="me_W"/>
      <sheetName val="tt"/>
      <sheetName val="단중표-ST"/>
      <sheetName val="UT (3)"/>
      <sheetName val="FG (2)"/>
      <sheetName val="me (2)"/>
      <sheetName val="UT (2)"/>
      <sheetName val="FG_피벗"/>
      <sheetName val="ME_피벗"/>
      <sheetName val="UT_피벗"/>
      <sheetName val="STL_PRGS"/>
      <sheetName val="stl_sts"/>
      <sheetName val="BOLT"/>
      <sheetName val="BOLT (2)"/>
      <sheetName val="토공정보"/>
      <sheetName val="수압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90EL40</v>
          </cell>
          <cell r="B2">
            <v>0.252</v>
          </cell>
          <cell r="C2">
            <v>1</v>
          </cell>
        </row>
        <row r="3">
          <cell r="A3" t="str">
            <v>C125*65*6*8</v>
          </cell>
          <cell r="B3">
            <v>13.4</v>
          </cell>
          <cell r="C3">
            <v>0.48199999999999998</v>
          </cell>
        </row>
        <row r="4">
          <cell r="A4" t="str">
            <v>C150*75*6.5*10</v>
          </cell>
          <cell r="B4">
            <v>18.600000000000001</v>
          </cell>
          <cell r="C4">
            <v>0.56699999999999995</v>
          </cell>
        </row>
        <row r="5">
          <cell r="A5" t="str">
            <v>C200*80*7.5*11</v>
          </cell>
          <cell r="B5">
            <v>24.6</v>
          </cell>
          <cell r="C5">
            <v>0.68300000000000005</v>
          </cell>
        </row>
        <row r="6">
          <cell r="A6" t="str">
            <v>C250*90*9*13</v>
          </cell>
          <cell r="B6">
            <v>34.6</v>
          </cell>
          <cell r="C6">
            <v>0.81599999999999995</v>
          </cell>
        </row>
        <row r="7">
          <cell r="A7" t="str">
            <v>CC100*50*20*2</v>
          </cell>
          <cell r="B7">
            <v>3.56</v>
          </cell>
          <cell r="C7">
            <v>0.375</v>
          </cell>
        </row>
        <row r="8">
          <cell r="A8" t="str">
            <v>FB30*6</v>
          </cell>
          <cell r="B8">
            <v>1.41</v>
          </cell>
          <cell r="C8">
            <v>0.06</v>
          </cell>
        </row>
        <row r="9">
          <cell r="A9" t="str">
            <v>FB40*6</v>
          </cell>
          <cell r="B9">
            <v>1.89</v>
          </cell>
          <cell r="C9">
            <v>0.08</v>
          </cell>
        </row>
        <row r="10">
          <cell r="A10" t="str">
            <v>FB50*6</v>
          </cell>
          <cell r="B10">
            <v>2.36</v>
          </cell>
          <cell r="C10">
            <v>0.1</v>
          </cell>
        </row>
        <row r="11">
          <cell r="A11" t="str">
            <v>FB65*9</v>
          </cell>
          <cell r="B11">
            <v>4.5999999999999996</v>
          </cell>
          <cell r="C11">
            <v>0.13</v>
          </cell>
        </row>
        <row r="12">
          <cell r="A12" t="str">
            <v>FB75*6</v>
          </cell>
          <cell r="B12">
            <v>3.53</v>
          </cell>
        </row>
        <row r="13">
          <cell r="A13" t="str">
            <v>H150*150*7*10</v>
          </cell>
          <cell r="B13">
            <v>31.5</v>
          </cell>
          <cell r="C13">
            <v>0.84600000000000009</v>
          </cell>
        </row>
        <row r="14">
          <cell r="A14" t="str">
            <v>H194*150*6*9</v>
          </cell>
          <cell r="B14">
            <v>30.6</v>
          </cell>
          <cell r="C14">
            <v>0.94</v>
          </cell>
        </row>
        <row r="15">
          <cell r="A15" t="str">
            <v>H200*100*5.5*8</v>
          </cell>
          <cell r="B15">
            <v>21.3</v>
          </cell>
          <cell r="C15">
            <v>0.75700000000000012</v>
          </cell>
        </row>
        <row r="16">
          <cell r="A16" t="str">
            <v>H200*200*8*12</v>
          </cell>
          <cell r="B16">
            <v>49.9</v>
          </cell>
          <cell r="C16">
            <v>1.1360000000000001</v>
          </cell>
        </row>
        <row r="17">
          <cell r="A17" t="str">
            <v>H244*175*7*11</v>
          </cell>
          <cell r="B17">
            <v>44.1</v>
          </cell>
          <cell r="C17">
            <v>1.1299999999999999</v>
          </cell>
        </row>
        <row r="18">
          <cell r="A18" t="str">
            <v>H250*125*6*9</v>
          </cell>
          <cell r="B18">
            <v>29.6</v>
          </cell>
          <cell r="C18">
            <v>0.95199999999999996</v>
          </cell>
        </row>
        <row r="19">
          <cell r="A19" t="str">
            <v>H250*250*9*14</v>
          </cell>
          <cell r="B19">
            <v>72.400000000000006</v>
          </cell>
          <cell r="C19">
            <v>1.4259999999999999</v>
          </cell>
        </row>
        <row r="20">
          <cell r="A20" t="str">
            <v>H294*200*8*12</v>
          </cell>
          <cell r="B20">
            <v>56.8</v>
          </cell>
          <cell r="C20">
            <v>1.3240000000000001</v>
          </cell>
        </row>
        <row r="21">
          <cell r="A21" t="str">
            <v>H300*150*6.5*9</v>
          </cell>
          <cell r="B21">
            <v>36.700000000000003</v>
          </cell>
          <cell r="C21">
            <v>1.1509999999999998</v>
          </cell>
        </row>
        <row r="22">
          <cell r="A22" t="str">
            <v>H300*300*10*15</v>
          </cell>
          <cell r="B22">
            <v>94</v>
          </cell>
          <cell r="C22">
            <v>1.72</v>
          </cell>
        </row>
        <row r="23">
          <cell r="A23" t="str">
            <v>H340*250*9*14</v>
          </cell>
          <cell r="B23">
            <v>79.7</v>
          </cell>
          <cell r="C23">
            <v>1.6060000000000001</v>
          </cell>
        </row>
        <row r="24">
          <cell r="A24" t="str">
            <v>H350*175*7*11</v>
          </cell>
          <cell r="B24">
            <v>49.6</v>
          </cell>
          <cell r="C24">
            <v>1.3420000000000001</v>
          </cell>
        </row>
        <row r="25">
          <cell r="A25" t="str">
            <v>H350*350*12*19</v>
          </cell>
          <cell r="B25">
            <v>137</v>
          </cell>
          <cell r="C25">
            <v>2</v>
          </cell>
        </row>
        <row r="26">
          <cell r="A26" t="str">
            <v>H390*300*10*16</v>
          </cell>
          <cell r="B26">
            <v>107</v>
          </cell>
          <cell r="C26">
            <v>1.8959999999999999</v>
          </cell>
        </row>
        <row r="27">
          <cell r="A27" t="str">
            <v>H400*200*8*13</v>
          </cell>
          <cell r="B27">
            <v>66</v>
          </cell>
          <cell r="C27">
            <v>1.532</v>
          </cell>
        </row>
        <row r="28">
          <cell r="A28" t="str">
            <v>H446*199*8*12</v>
          </cell>
          <cell r="B28">
            <v>66.2</v>
          </cell>
          <cell r="C28">
            <v>1.6240000000000001</v>
          </cell>
        </row>
        <row r="29">
          <cell r="A29" t="str">
            <v>H450*200*9*14</v>
          </cell>
          <cell r="B29">
            <v>76</v>
          </cell>
          <cell r="C29">
            <v>1.6259999999999999</v>
          </cell>
        </row>
        <row r="30">
          <cell r="A30" t="str">
            <v>H488*300*11*18</v>
          </cell>
          <cell r="B30">
            <v>128</v>
          </cell>
          <cell r="C30">
            <v>2.0819999999999999</v>
          </cell>
        </row>
        <row r="31">
          <cell r="A31" t="str">
            <v>H500*200*10*16</v>
          </cell>
          <cell r="B31">
            <v>89.6</v>
          </cell>
          <cell r="C31">
            <v>1.7160000000000002</v>
          </cell>
        </row>
        <row r="32">
          <cell r="A32" t="str">
            <v>H588*300*12*20</v>
          </cell>
          <cell r="B32">
            <v>151</v>
          </cell>
          <cell r="C32">
            <v>2.2720000000000002</v>
          </cell>
        </row>
        <row r="33">
          <cell r="A33" t="str">
            <v>L100*100*7</v>
          </cell>
          <cell r="B33">
            <v>10.7</v>
          </cell>
        </row>
        <row r="34">
          <cell r="A34" t="str">
            <v>L125*75*10</v>
          </cell>
          <cell r="B34">
            <v>14.9</v>
          </cell>
        </row>
        <row r="35">
          <cell r="A35" t="str">
            <v>L125*90*10</v>
          </cell>
          <cell r="B35">
            <v>16.100000000000001</v>
          </cell>
        </row>
        <row r="36">
          <cell r="A36" t="str">
            <v>L50*50*5</v>
          </cell>
          <cell r="B36">
            <v>4.43</v>
          </cell>
        </row>
        <row r="37">
          <cell r="A37" t="str">
            <v>L50*50*6</v>
          </cell>
          <cell r="B37">
            <v>4.43</v>
          </cell>
        </row>
        <row r="38">
          <cell r="A38" t="str">
            <v>L65*65*6</v>
          </cell>
          <cell r="B38">
            <v>5.91</v>
          </cell>
        </row>
        <row r="39">
          <cell r="A39" t="str">
            <v>L75*75*6</v>
          </cell>
          <cell r="B39">
            <v>6.85</v>
          </cell>
        </row>
        <row r="40">
          <cell r="A40" t="str">
            <v>L75*75*9</v>
          </cell>
          <cell r="B40">
            <v>9.9600000000000009</v>
          </cell>
        </row>
        <row r="41">
          <cell r="A41" t="str">
            <v>L90*90*7</v>
          </cell>
          <cell r="B41">
            <v>9.59</v>
          </cell>
        </row>
        <row r="42">
          <cell r="A42" t="str">
            <v>L90*90*7</v>
          </cell>
          <cell r="B42">
            <v>9.59</v>
          </cell>
          <cell r="C42">
            <v>0.34600000000000003</v>
          </cell>
        </row>
        <row r="43">
          <cell r="A43" t="str">
            <v>PIP25</v>
          </cell>
          <cell r="B43">
            <v>2.4300000000000002</v>
          </cell>
        </row>
        <row r="44">
          <cell r="A44" t="str">
            <v>PIP32</v>
          </cell>
          <cell r="B44">
            <v>3.383</v>
          </cell>
          <cell r="C44">
            <v>8.545132017764237E-2</v>
          </cell>
        </row>
        <row r="45">
          <cell r="A45" t="str">
            <v>PIP40</v>
          </cell>
          <cell r="B45">
            <v>3.63</v>
          </cell>
        </row>
        <row r="46">
          <cell r="A46" t="str">
            <v>PIPE Dia.27.2*2.3</v>
          </cell>
          <cell r="B46">
            <v>3.16</v>
          </cell>
        </row>
        <row r="47">
          <cell r="A47" t="str">
            <v>PIPE Dia.34.0*2.3</v>
          </cell>
          <cell r="B47">
            <v>3.63</v>
          </cell>
        </row>
        <row r="48">
          <cell r="A48" t="str">
            <v>RB19</v>
          </cell>
          <cell r="B48">
            <v>2.23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산#1-1(WOWA1)"/>
      <sheetName val="단중표-ST"/>
      <sheetName val="SUPTMTO"/>
      <sheetName val="DATA"/>
      <sheetName val="단중표_ST"/>
      <sheetName val="토적표"/>
      <sheetName val="DATE"/>
      <sheetName val="#REF"/>
      <sheetName val="포장공"/>
    </sheetNames>
    <sheetDataSet>
      <sheetData sheetId="0" refreshError="1">
        <row r="8">
          <cell r="A8" t="str">
            <v>PIPE</v>
          </cell>
          <cell r="B8" t="str">
            <v>60"</v>
          </cell>
          <cell r="C8" t="str">
            <v>CS THK 19.5 BE EFW ASTM A285-C FAB ASTM A134 INT/EXT LLDPE LINED</v>
          </cell>
          <cell r="D8" t="str">
            <v>M</v>
          </cell>
          <cell r="E8">
            <v>673</v>
          </cell>
          <cell r="F8">
            <v>33.649999999999977</v>
          </cell>
          <cell r="G8">
            <v>706.65</v>
          </cell>
          <cell r="H8">
            <v>706.98</v>
          </cell>
        </row>
        <row r="9">
          <cell r="A9" t="str">
            <v>PIPE</v>
          </cell>
          <cell r="B9" t="str">
            <v>44"</v>
          </cell>
          <cell r="C9" t="str">
            <v>CS THK 15.88 BE EFW ASTM A285-C FAB ASTM A134 INT/EXT LLDPE LINE</v>
          </cell>
          <cell r="D9" t="str">
            <v>M</v>
          </cell>
          <cell r="E9">
            <v>26</v>
          </cell>
          <cell r="F9">
            <v>1</v>
          </cell>
          <cell r="G9">
            <v>27</v>
          </cell>
          <cell r="H9">
            <v>431.59</v>
          </cell>
        </row>
        <row r="10">
          <cell r="A10" t="str">
            <v>PIPE</v>
          </cell>
          <cell r="B10" t="str">
            <v>40"</v>
          </cell>
          <cell r="C10" t="str">
            <v>CS THK 15.88 BE EFW ASTM A285-C FAB ASTM A134 INT/EXT LLDPE LINE</v>
          </cell>
          <cell r="D10" t="str">
            <v>M</v>
          </cell>
          <cell r="E10">
            <v>13</v>
          </cell>
          <cell r="F10">
            <v>1</v>
          </cell>
          <cell r="G10">
            <v>14</v>
          </cell>
          <cell r="H10">
            <v>235.79</v>
          </cell>
        </row>
        <row r="11">
          <cell r="A11" t="str">
            <v>PIPE</v>
          </cell>
          <cell r="B11" t="str">
            <v>36"</v>
          </cell>
          <cell r="C11" t="str">
            <v>CS STD WT BE EFW ASTM A285-C FAB ASTM A134 INT/EXT LLDPE LINED</v>
          </cell>
          <cell r="D11" t="str">
            <v>M</v>
          </cell>
          <cell r="E11">
            <v>191</v>
          </cell>
          <cell r="F11">
            <v>10</v>
          </cell>
          <cell r="G11">
            <v>201</v>
          </cell>
          <cell r="H11">
            <v>212.56</v>
          </cell>
        </row>
        <row r="12">
          <cell r="A12" t="str">
            <v>PIPE</v>
          </cell>
          <cell r="B12" t="str">
            <v>24"</v>
          </cell>
          <cell r="C12" t="str">
            <v>CS STD WT BE ERW ASTM A53-BTYPE-E INT/EXT LLDPE LINE</v>
          </cell>
          <cell r="D12" t="str">
            <v>M</v>
          </cell>
          <cell r="E12">
            <v>466</v>
          </cell>
          <cell r="F12">
            <v>23</v>
          </cell>
          <cell r="G12">
            <v>489</v>
          </cell>
          <cell r="H12">
            <v>141.12</v>
          </cell>
        </row>
        <row r="13">
          <cell r="A13" t="str">
            <v>PIPE</v>
          </cell>
          <cell r="B13" t="str">
            <v>16"</v>
          </cell>
          <cell r="C13" t="str">
            <v>CS STD WT BE ERW ASTM A53-BTYPE-E INT/EXT LLDPE LINE</v>
          </cell>
          <cell r="D13" t="str">
            <v>M</v>
          </cell>
          <cell r="E13">
            <v>101</v>
          </cell>
          <cell r="F13">
            <v>5</v>
          </cell>
          <cell r="G13">
            <v>106</v>
          </cell>
          <cell r="H13">
            <v>93.27</v>
          </cell>
        </row>
        <row r="14">
          <cell r="A14" t="str">
            <v>PIPE</v>
          </cell>
          <cell r="B14" t="str">
            <v>12"</v>
          </cell>
          <cell r="C14" t="str">
            <v>CS STD WT BE ERW ASTM A53-BTYPE-E INT/EXT LLDPE LINE</v>
          </cell>
          <cell r="D14" t="str">
            <v>M</v>
          </cell>
          <cell r="E14">
            <v>10</v>
          </cell>
          <cell r="F14">
            <v>1</v>
          </cell>
          <cell r="G14">
            <v>11</v>
          </cell>
          <cell r="H14">
            <v>73.78</v>
          </cell>
        </row>
        <row r="15">
          <cell r="A15" t="str">
            <v>PIPE</v>
          </cell>
          <cell r="B15" t="str">
            <v>10"</v>
          </cell>
          <cell r="C15" t="str">
            <v>CS STD WT BE ERW ASTM A53-BTYPE-E INT/EXT LLDPE LINE</v>
          </cell>
          <cell r="D15" t="str">
            <v>M</v>
          </cell>
          <cell r="E15">
            <v>20</v>
          </cell>
          <cell r="F15">
            <v>1</v>
          </cell>
          <cell r="G15">
            <v>21</v>
          </cell>
          <cell r="H15">
            <v>60.31</v>
          </cell>
        </row>
        <row r="16">
          <cell r="A16" t="str">
            <v>PIPE</v>
          </cell>
          <cell r="B16" t="str">
            <v>8"</v>
          </cell>
          <cell r="C16" t="str">
            <v>CS STD WT BE ERW ASTM A53-BTYPE-E INT/EXT LLDPE LINE</v>
          </cell>
          <cell r="D16" t="str">
            <v>M</v>
          </cell>
          <cell r="E16">
            <v>289</v>
          </cell>
          <cell r="F16">
            <v>15</v>
          </cell>
          <cell r="G16">
            <v>304</v>
          </cell>
          <cell r="H16">
            <v>42.55</v>
          </cell>
        </row>
        <row r="17">
          <cell r="A17" t="str">
            <v>PIPE</v>
          </cell>
          <cell r="B17" t="str">
            <v>6"</v>
          </cell>
          <cell r="C17" t="str">
            <v>CS STD WT BE ERW ASTM A53-BTYPE-E INT/EXT LLDPE LINE</v>
          </cell>
          <cell r="D17" t="str">
            <v>M</v>
          </cell>
          <cell r="E17">
            <v>5</v>
          </cell>
          <cell r="G17">
            <v>5</v>
          </cell>
          <cell r="H17">
            <v>28.26</v>
          </cell>
        </row>
        <row r="18">
          <cell r="A18" t="str">
            <v>PIPE</v>
          </cell>
          <cell r="B18" t="str">
            <v>4"</v>
          </cell>
          <cell r="C18" t="str">
            <v>CS STD WT BE ERW ASTM A53-BTYPE-E INT/EXT LLDPE LINE</v>
          </cell>
          <cell r="D18" t="str">
            <v>M</v>
          </cell>
          <cell r="E18">
            <v>168</v>
          </cell>
          <cell r="F18">
            <v>8</v>
          </cell>
          <cell r="G18">
            <v>176</v>
          </cell>
          <cell r="H18">
            <v>16.07</v>
          </cell>
        </row>
        <row r="19">
          <cell r="A19" t="str">
            <v>PIPE</v>
          </cell>
          <cell r="B19" t="str">
            <v>3"</v>
          </cell>
          <cell r="C19" t="str">
            <v>CS STD WT BE ERW ASTM A53-BTYPE-E INT/EXT LLDPE LINE</v>
          </cell>
          <cell r="D19" t="str">
            <v>M</v>
          </cell>
          <cell r="E19">
            <v>276</v>
          </cell>
          <cell r="F19">
            <v>14</v>
          </cell>
          <cell r="G19">
            <v>290</v>
          </cell>
          <cell r="H19">
            <v>11.29</v>
          </cell>
        </row>
        <row r="21">
          <cell r="C21" t="str">
            <v>SUB-TOTAL</v>
          </cell>
          <cell r="E21">
            <v>2238</v>
          </cell>
          <cell r="G21">
            <v>2350.65</v>
          </cell>
        </row>
        <row r="23">
          <cell r="A23" t="str">
            <v>90 ELL</v>
          </cell>
          <cell r="B23" t="str">
            <v>60"</v>
          </cell>
          <cell r="C23" t="str">
            <v>CS TH'K 19.05 BW ASTM A234-WPB-W W/100%RT INT/EXT LLDPE LINED</v>
          </cell>
          <cell r="D23" t="str">
            <v>EA</v>
          </cell>
          <cell r="E23">
            <v>10</v>
          </cell>
          <cell r="G23">
            <v>10</v>
          </cell>
          <cell r="H23">
            <v>2538.8000000000002</v>
          </cell>
        </row>
        <row r="24">
          <cell r="A24" t="str">
            <v>90 ELL</v>
          </cell>
          <cell r="B24" t="str">
            <v>40"</v>
          </cell>
          <cell r="C24" t="str">
            <v>CS TH'K 15.88 BW ASTM A234-WPB-W W/100%RT INT/EXT LLDPE LINED</v>
          </cell>
          <cell r="D24" t="str">
            <v>EA</v>
          </cell>
          <cell r="E24">
            <v>8</v>
          </cell>
          <cell r="G24">
            <v>8</v>
          </cell>
          <cell r="H24">
            <v>565</v>
          </cell>
        </row>
        <row r="25">
          <cell r="A25" t="str">
            <v>90 ELL</v>
          </cell>
          <cell r="B25" t="str">
            <v>36"</v>
          </cell>
          <cell r="C25" t="str">
            <v>CS STD WT BW ASTM A234-WPB-W W/100%RT INT/EXT LLDPE LINED</v>
          </cell>
          <cell r="D25" t="str">
            <v>EA</v>
          </cell>
          <cell r="E25">
            <v>5</v>
          </cell>
          <cell r="G25">
            <v>5</v>
          </cell>
          <cell r="H25">
            <v>482</v>
          </cell>
        </row>
        <row r="26">
          <cell r="A26" t="str">
            <v>90 ELL</v>
          </cell>
          <cell r="B26" t="str">
            <v>24"</v>
          </cell>
          <cell r="C26" t="str">
            <v>CS STD WT BW ASTM A234-WPB-S INT/EXT LLDPE LINED</v>
          </cell>
          <cell r="D26" t="str">
            <v>EA</v>
          </cell>
          <cell r="E26">
            <v>12</v>
          </cell>
          <cell r="G26">
            <v>12</v>
          </cell>
          <cell r="H26">
            <v>202</v>
          </cell>
        </row>
        <row r="27">
          <cell r="A27" t="str">
            <v>90 ELL</v>
          </cell>
          <cell r="B27" t="str">
            <v>8"</v>
          </cell>
          <cell r="C27" t="str">
            <v>CS STD WT BW ASTM A234-WPB-S INT/EXT LLDPE LINED</v>
          </cell>
          <cell r="D27" t="str">
            <v>EA</v>
          </cell>
          <cell r="E27">
            <v>23</v>
          </cell>
          <cell r="G27">
            <v>23</v>
          </cell>
          <cell r="H27">
            <v>20.100000000000001</v>
          </cell>
        </row>
        <row r="28">
          <cell r="A28" t="str">
            <v>90 ELL</v>
          </cell>
          <cell r="B28" t="str">
            <v>4"</v>
          </cell>
          <cell r="C28" t="str">
            <v>CS STD WT BW ASTM A234-WPB-S INT/EXT LLDPE LINED</v>
          </cell>
          <cell r="D28" t="str">
            <v>EA</v>
          </cell>
          <cell r="E28">
            <v>24</v>
          </cell>
          <cell r="G28">
            <v>24</v>
          </cell>
          <cell r="H28">
            <v>3.09</v>
          </cell>
        </row>
        <row r="29">
          <cell r="A29" t="str">
            <v>90 ELL</v>
          </cell>
          <cell r="B29" t="str">
            <v>3"</v>
          </cell>
          <cell r="C29" t="str">
            <v>CS STD WT BW ASTM A234-WPB-S INT/EXT LLDPE LINED</v>
          </cell>
          <cell r="D29" t="str">
            <v>EA</v>
          </cell>
          <cell r="E29">
            <v>19</v>
          </cell>
          <cell r="G29">
            <v>19</v>
          </cell>
          <cell r="H29">
            <v>2.0299999999999998</v>
          </cell>
        </row>
        <row r="30">
          <cell r="A30" t="str">
            <v>45 ELL</v>
          </cell>
          <cell r="B30" t="str">
            <v>60"</v>
          </cell>
          <cell r="C30" t="str">
            <v>CS TH'K 19.05 BW ASTM A234-WPB-W W/100%RT INT/EXT LLDPE LINED</v>
          </cell>
          <cell r="D30" t="str">
            <v>EA</v>
          </cell>
          <cell r="E30">
            <v>14</v>
          </cell>
          <cell r="G30">
            <v>14</v>
          </cell>
          <cell r="H30">
            <v>1777.6</v>
          </cell>
        </row>
        <row r="31">
          <cell r="A31" t="str">
            <v>45 ELL</v>
          </cell>
          <cell r="B31" t="str">
            <v>36"</v>
          </cell>
          <cell r="C31" t="str">
            <v>CS STD WT BW ASTM A234-WPB-W W/100%RT INT/EXT LLDPE LINED</v>
          </cell>
          <cell r="D31" t="str">
            <v>EA</v>
          </cell>
          <cell r="E31">
            <v>7</v>
          </cell>
          <cell r="G31">
            <v>7</v>
          </cell>
          <cell r="H31">
            <v>241</v>
          </cell>
        </row>
        <row r="32">
          <cell r="A32" t="str">
            <v>45 ELL</v>
          </cell>
          <cell r="B32" t="str">
            <v>24"</v>
          </cell>
          <cell r="C32" t="str">
            <v>CS STD WT BW ASTM A234-WPB-S INT/EXT LLDPE LINED</v>
          </cell>
          <cell r="D32" t="str">
            <v>EA</v>
          </cell>
          <cell r="E32">
            <v>7</v>
          </cell>
          <cell r="G32">
            <v>7</v>
          </cell>
          <cell r="H32">
            <v>48</v>
          </cell>
        </row>
        <row r="33">
          <cell r="A33" t="str">
            <v>45 ELL</v>
          </cell>
          <cell r="B33" t="str">
            <v>8"</v>
          </cell>
          <cell r="C33" t="str">
            <v>CS STD WT BW ASTM A234-WPB-S INT/EXT LLDPE LINED</v>
          </cell>
          <cell r="D33" t="str">
            <v>EA</v>
          </cell>
          <cell r="E33">
            <v>1</v>
          </cell>
          <cell r="G33">
            <v>1</v>
          </cell>
          <cell r="H33">
            <v>11.15</v>
          </cell>
        </row>
        <row r="34">
          <cell r="A34" t="str">
            <v>TEE</v>
          </cell>
          <cell r="B34" t="str">
            <v>36"</v>
          </cell>
          <cell r="C34" t="str">
            <v>CS STD WT BW ASTM A234-WPB-W W/100%RT INT/EXT LLDPE LINED</v>
          </cell>
          <cell r="D34" t="str">
            <v>EA</v>
          </cell>
          <cell r="E34">
            <v>3</v>
          </cell>
          <cell r="G34">
            <v>3</v>
          </cell>
          <cell r="H34">
            <v>587.5</v>
          </cell>
        </row>
        <row r="35">
          <cell r="A35" t="str">
            <v>TEE</v>
          </cell>
          <cell r="B35" t="str">
            <v>24"</v>
          </cell>
          <cell r="C35" t="str">
            <v>CS STD WT BW ASTM A234-WPB-S INT/EXT LLDPE LINED</v>
          </cell>
          <cell r="D35" t="str">
            <v>EA</v>
          </cell>
          <cell r="E35">
            <v>4</v>
          </cell>
          <cell r="G35">
            <v>4</v>
          </cell>
          <cell r="H35">
            <v>240</v>
          </cell>
        </row>
        <row r="36">
          <cell r="A36" t="str">
            <v>ECC RED</v>
          </cell>
          <cell r="B36" t="str">
            <v>36"x24"</v>
          </cell>
          <cell r="C36" t="str">
            <v>CS STD WT BW ASTM A234-WPB-W W/100%RT INT/EXT LLDPE LINED</v>
          </cell>
          <cell r="D36" t="str">
            <v>EA</v>
          </cell>
          <cell r="E36">
            <v>3</v>
          </cell>
          <cell r="G36">
            <v>3</v>
          </cell>
          <cell r="H36">
            <v>145</v>
          </cell>
        </row>
        <row r="37">
          <cell r="A37" t="str">
            <v>ECC RED</v>
          </cell>
          <cell r="B37" t="str">
            <v>24"x16"</v>
          </cell>
          <cell r="C37" t="str">
            <v>CS STD WT BW ASTM A234-WPB-S INT/EXT LLDPE LINED</v>
          </cell>
          <cell r="D37" t="str">
            <v>EA</v>
          </cell>
          <cell r="E37">
            <v>2</v>
          </cell>
          <cell r="G37">
            <v>2</v>
          </cell>
          <cell r="H37">
            <v>72</v>
          </cell>
        </row>
        <row r="38">
          <cell r="A38" t="str">
            <v>SOCKOLET</v>
          </cell>
          <cell r="B38" t="str">
            <v>60"x2"</v>
          </cell>
          <cell r="C38" t="str">
            <v>CS 3000LB ASTM A105 BW</v>
          </cell>
          <cell r="D38" t="str">
            <v>EA</v>
          </cell>
          <cell r="E38">
            <v>10</v>
          </cell>
          <cell r="G38">
            <v>10</v>
          </cell>
          <cell r="H38">
            <v>0.62</v>
          </cell>
        </row>
        <row r="39">
          <cell r="A39" t="str">
            <v>SOCKOLET</v>
          </cell>
          <cell r="B39" t="str">
            <v>60"x1-1/2</v>
          </cell>
          <cell r="C39" t="str">
            <v>CS 3000LB ASTM A105 BW</v>
          </cell>
          <cell r="D39" t="str">
            <v>EA</v>
          </cell>
          <cell r="E39">
            <v>4</v>
          </cell>
          <cell r="G39">
            <v>4</v>
          </cell>
          <cell r="H39">
            <v>0.62</v>
          </cell>
        </row>
        <row r="40">
          <cell r="A40" t="str">
            <v>WN FLG</v>
          </cell>
          <cell r="B40" t="str">
            <v>60"</v>
          </cell>
          <cell r="C40" t="str">
            <v>125LB FF TH'K 19.05 ASTM A105 AWWA C207 CL.E STD FIN</v>
          </cell>
          <cell r="D40" t="str">
            <v>EA</v>
          </cell>
          <cell r="E40">
            <v>8</v>
          </cell>
          <cell r="G40">
            <v>8</v>
          </cell>
          <cell r="H40">
            <v>612</v>
          </cell>
        </row>
        <row r="41">
          <cell r="A41" t="str">
            <v>WN FLG</v>
          </cell>
          <cell r="B41" t="str">
            <v>40"</v>
          </cell>
          <cell r="C41" t="str">
            <v>125LB FF TH'K 15.88 ASTM A105 AWWA C207 CL.E STD FIN</v>
          </cell>
          <cell r="D41" t="str">
            <v>EA</v>
          </cell>
          <cell r="E41">
            <v>24</v>
          </cell>
          <cell r="G41">
            <v>24</v>
          </cell>
          <cell r="H41">
            <v>310</v>
          </cell>
        </row>
        <row r="42">
          <cell r="A42" t="str">
            <v>WN FLG</v>
          </cell>
          <cell r="B42" t="str">
            <v>36"</v>
          </cell>
          <cell r="C42" t="str">
            <v>125LB FF STD WT ASTM A105 AWWA C207 CL.E STD FIN</v>
          </cell>
          <cell r="D42" t="str">
            <v>EA</v>
          </cell>
          <cell r="E42">
            <v>36</v>
          </cell>
          <cell r="G42">
            <v>36</v>
          </cell>
          <cell r="H42">
            <v>225</v>
          </cell>
        </row>
        <row r="43">
          <cell r="A43" t="str">
            <v>WN FLG</v>
          </cell>
          <cell r="B43" t="str">
            <v>24"</v>
          </cell>
          <cell r="C43" t="str">
            <v>150LB FF STD WT ASTM A105 ANSI B16.5 STD FIN</v>
          </cell>
          <cell r="D43" t="str">
            <v>EA</v>
          </cell>
          <cell r="E43">
            <v>44</v>
          </cell>
          <cell r="G43">
            <v>44</v>
          </cell>
          <cell r="H43">
            <v>119</v>
          </cell>
        </row>
        <row r="44">
          <cell r="A44" t="str">
            <v>WN FLG</v>
          </cell>
          <cell r="B44" t="str">
            <v>16"</v>
          </cell>
          <cell r="C44" t="str">
            <v>150LB FF STD WT ASTM A105 ANSI B16.5 STD FIN</v>
          </cell>
          <cell r="D44" t="str">
            <v>EA</v>
          </cell>
          <cell r="E44">
            <v>2</v>
          </cell>
          <cell r="G44">
            <v>2</v>
          </cell>
          <cell r="H44">
            <v>60</v>
          </cell>
        </row>
        <row r="45">
          <cell r="A45" t="str">
            <v>WN FLG</v>
          </cell>
          <cell r="B45" t="str">
            <v>8"</v>
          </cell>
          <cell r="C45" t="str">
            <v>150LB FF STD WT ASTM A105 ANSI B16.5 STD FIN</v>
          </cell>
          <cell r="D45" t="str">
            <v>EA</v>
          </cell>
          <cell r="E45">
            <v>4</v>
          </cell>
          <cell r="G45">
            <v>4</v>
          </cell>
          <cell r="H45">
            <v>18.3</v>
          </cell>
        </row>
        <row r="46">
          <cell r="A46" t="str">
            <v>WN FLG</v>
          </cell>
          <cell r="B46" t="str">
            <v>3"</v>
          </cell>
          <cell r="C46" t="str">
            <v>150LB FF STD WT ASTM A105 ANSI B16.5 STD FIN</v>
          </cell>
          <cell r="D46" t="str">
            <v>EA</v>
          </cell>
          <cell r="E46">
            <v>2</v>
          </cell>
          <cell r="G46">
            <v>2</v>
          </cell>
          <cell r="H46">
            <v>5.2</v>
          </cell>
        </row>
        <row r="47">
          <cell r="A47" t="str">
            <v>SO FLG</v>
          </cell>
          <cell r="B47" t="str">
            <v>24"</v>
          </cell>
          <cell r="C47" t="str">
            <v>150LB FF STD ASTM A105 ANSI B16.5 STD FIN</v>
          </cell>
          <cell r="D47" t="str">
            <v>EA</v>
          </cell>
          <cell r="E47">
            <v>125</v>
          </cell>
          <cell r="G47">
            <v>125</v>
          </cell>
          <cell r="H47">
            <v>89</v>
          </cell>
        </row>
        <row r="48">
          <cell r="A48" t="str">
            <v>SO FLG</v>
          </cell>
          <cell r="B48" t="str">
            <v>16"</v>
          </cell>
          <cell r="C48" t="str">
            <v>150LB FF STD ASTM A105 ANSI B16.5 STD FIN</v>
          </cell>
          <cell r="D48" t="str">
            <v>EA</v>
          </cell>
          <cell r="E48">
            <v>20</v>
          </cell>
          <cell r="G48">
            <v>20</v>
          </cell>
          <cell r="H48">
            <v>55</v>
          </cell>
        </row>
        <row r="49">
          <cell r="A49" t="str">
            <v>SO FLG</v>
          </cell>
          <cell r="B49" t="str">
            <v>12"</v>
          </cell>
          <cell r="C49" t="str">
            <v>150LB FF STD ASTM A105 ANSI B16.5 STD FIN</v>
          </cell>
          <cell r="D49" t="str">
            <v>EA</v>
          </cell>
          <cell r="E49">
            <v>12</v>
          </cell>
          <cell r="G49">
            <v>12</v>
          </cell>
          <cell r="H49">
            <v>32</v>
          </cell>
        </row>
        <row r="50">
          <cell r="A50" t="str">
            <v>SO FLG</v>
          </cell>
          <cell r="B50" t="str">
            <v>10"</v>
          </cell>
          <cell r="C50" t="str">
            <v>150LB FF STD ASTM A105 ANSI B16.5 STD FIN</v>
          </cell>
          <cell r="D50" t="str">
            <v>EA</v>
          </cell>
          <cell r="E50">
            <v>24</v>
          </cell>
          <cell r="G50">
            <v>24</v>
          </cell>
          <cell r="H50">
            <v>17.100000000000001</v>
          </cell>
        </row>
        <row r="51">
          <cell r="A51" t="str">
            <v>SO FLG</v>
          </cell>
          <cell r="B51" t="str">
            <v>8"</v>
          </cell>
          <cell r="C51" t="str">
            <v>150LB FF STD ASTM A105 ANSI B16.5 STD FIN</v>
          </cell>
          <cell r="D51" t="str">
            <v>EA</v>
          </cell>
          <cell r="E51">
            <v>127</v>
          </cell>
          <cell r="G51">
            <v>127</v>
          </cell>
          <cell r="H51">
            <v>12.6</v>
          </cell>
        </row>
        <row r="52">
          <cell r="A52" t="str">
            <v>SO FLG</v>
          </cell>
          <cell r="B52" t="str">
            <v>6"</v>
          </cell>
          <cell r="C52" t="str">
            <v>150LB FF STD ASTM A105 ANSI B16.5 STD FIN</v>
          </cell>
          <cell r="D52" t="str">
            <v>EA</v>
          </cell>
          <cell r="E52">
            <v>6</v>
          </cell>
          <cell r="G52">
            <v>6</v>
          </cell>
          <cell r="H52">
            <v>11</v>
          </cell>
        </row>
        <row r="53">
          <cell r="A53" t="str">
            <v>SO FLG</v>
          </cell>
          <cell r="B53" t="str">
            <v>4"</v>
          </cell>
          <cell r="C53" t="str">
            <v>150LB FF STD ASTM A105 ANSI B16.5 STD FIN</v>
          </cell>
          <cell r="D53" t="str">
            <v>EA</v>
          </cell>
          <cell r="E53">
            <v>94</v>
          </cell>
          <cell r="G53">
            <v>94</v>
          </cell>
          <cell r="H53">
            <v>5.6</v>
          </cell>
        </row>
        <row r="54">
          <cell r="A54" t="str">
            <v>SO FLG</v>
          </cell>
          <cell r="B54" t="str">
            <v>3"</v>
          </cell>
          <cell r="C54" t="str">
            <v>150LB FF STD ASTM A105 ANSI B16.5 STD FIN</v>
          </cell>
          <cell r="D54" t="str">
            <v>EA</v>
          </cell>
          <cell r="E54">
            <v>151</v>
          </cell>
          <cell r="G54">
            <v>151</v>
          </cell>
          <cell r="H54">
            <v>4.0999999999999996</v>
          </cell>
        </row>
        <row r="55">
          <cell r="A55" t="str">
            <v>SO FLG</v>
          </cell>
          <cell r="B55" t="str">
            <v>1-1/2"</v>
          </cell>
          <cell r="C55" t="str">
            <v>150LB FF STD ASTM A105 ANSI B16.5 STD FIN</v>
          </cell>
          <cell r="D55" t="str">
            <v>EA</v>
          </cell>
          <cell r="E55">
            <v>8</v>
          </cell>
          <cell r="G55">
            <v>8</v>
          </cell>
          <cell r="H55">
            <v>1.4</v>
          </cell>
        </row>
        <row r="56">
          <cell r="A56" t="str">
            <v>BL FLG</v>
          </cell>
          <cell r="B56" t="str">
            <v>60"</v>
          </cell>
          <cell r="C56" t="str">
            <v>125LB FF ASTM A105 AWW C207 CLASS E STD FIN</v>
          </cell>
          <cell r="D56" t="str">
            <v>EA</v>
          </cell>
          <cell r="E56">
            <v>8</v>
          </cell>
          <cell r="G56">
            <v>8</v>
          </cell>
          <cell r="H56">
            <v>1838</v>
          </cell>
        </row>
        <row r="57">
          <cell r="A57" t="str">
            <v>BL FLG</v>
          </cell>
          <cell r="B57" t="str">
            <v>24"</v>
          </cell>
          <cell r="C57" t="str">
            <v>150LB FF STD ASTM A105 ANSI B16.5 STD FIN</v>
          </cell>
          <cell r="D57" t="str">
            <v>EA</v>
          </cell>
          <cell r="E57">
            <v>11</v>
          </cell>
          <cell r="G57">
            <v>11</v>
          </cell>
          <cell r="H57">
            <v>188</v>
          </cell>
        </row>
        <row r="58">
          <cell r="A58" t="str">
            <v>GASKET</v>
          </cell>
          <cell r="B58" t="str">
            <v>60"</v>
          </cell>
          <cell r="C58" t="str">
            <v>150LB FULL FACE 3.2MM NATURAL RUBBER AWWA C207 CL.E</v>
          </cell>
          <cell r="D58" t="str">
            <v>EA</v>
          </cell>
          <cell r="E58">
            <v>4</v>
          </cell>
          <cell r="G58">
            <v>4</v>
          </cell>
        </row>
        <row r="59">
          <cell r="A59" t="str">
            <v>GASKET</v>
          </cell>
          <cell r="B59" t="str">
            <v>40"</v>
          </cell>
          <cell r="C59" t="str">
            <v>150LB FULL FACE 3.2MM NATURAL RUBBER AWWA C207 CL.E</v>
          </cell>
          <cell r="D59" t="str">
            <v>EA</v>
          </cell>
          <cell r="E59">
            <v>8</v>
          </cell>
          <cell r="G59">
            <v>8</v>
          </cell>
        </row>
        <row r="60">
          <cell r="A60" t="str">
            <v>GASKET</v>
          </cell>
          <cell r="B60" t="str">
            <v>36"</v>
          </cell>
          <cell r="C60" t="str">
            <v>150LB FULL FACE 3.2MM NATURAL RUBBER AWWA C207 CL.E</v>
          </cell>
          <cell r="D60" t="str">
            <v>EA</v>
          </cell>
          <cell r="E60">
            <v>19</v>
          </cell>
          <cell r="G60">
            <v>19</v>
          </cell>
        </row>
        <row r="61">
          <cell r="A61" t="str">
            <v>GASKET</v>
          </cell>
          <cell r="B61" t="str">
            <v>24"</v>
          </cell>
          <cell r="C61" t="str">
            <v>150LB FULL FACE 3.2MM NATURAL RUBBER ANSI B16.21</v>
          </cell>
          <cell r="D61" t="str">
            <v>EA</v>
          </cell>
          <cell r="E61">
            <v>88</v>
          </cell>
          <cell r="G61">
            <v>88</v>
          </cell>
        </row>
        <row r="62">
          <cell r="A62" t="str">
            <v>GASKET</v>
          </cell>
          <cell r="B62" t="str">
            <v>16"</v>
          </cell>
          <cell r="C62" t="str">
            <v>150LB FULL FACE 3.2MM NATURAL RUBBER ANSI B16.21</v>
          </cell>
          <cell r="D62" t="str">
            <v>EA</v>
          </cell>
          <cell r="E62">
            <v>11</v>
          </cell>
          <cell r="G62">
            <v>11</v>
          </cell>
        </row>
        <row r="63">
          <cell r="A63" t="str">
            <v>GASKET</v>
          </cell>
          <cell r="B63" t="str">
            <v>12"</v>
          </cell>
          <cell r="C63" t="str">
            <v>150LB FULL FACE 3.2MM NATURAL RUBBER ANSI B16.21</v>
          </cell>
          <cell r="D63" t="str">
            <v>EA</v>
          </cell>
          <cell r="E63">
            <v>4</v>
          </cell>
          <cell r="G63">
            <v>4</v>
          </cell>
        </row>
        <row r="64">
          <cell r="A64" t="str">
            <v>GASKET</v>
          </cell>
          <cell r="B64" t="str">
            <v>10"</v>
          </cell>
          <cell r="C64" t="str">
            <v>150LB FULL FACE 3.2MM NATURAL RUBBER ANSI B16.21</v>
          </cell>
          <cell r="D64" t="str">
            <v>EA</v>
          </cell>
          <cell r="E64">
            <v>8</v>
          </cell>
          <cell r="G64">
            <v>8</v>
          </cell>
        </row>
        <row r="65">
          <cell r="A65" t="str">
            <v>GASKET</v>
          </cell>
          <cell r="B65" t="str">
            <v>8"</v>
          </cell>
          <cell r="C65" t="str">
            <v>150LB FULL FACE 3.2MM NATURAL RUBBER ANSI B16.21</v>
          </cell>
          <cell r="D65" t="str">
            <v>EA</v>
          </cell>
          <cell r="E65">
            <v>60</v>
          </cell>
          <cell r="G65">
            <v>60</v>
          </cell>
        </row>
        <row r="66">
          <cell r="A66" t="str">
            <v>GASKET</v>
          </cell>
          <cell r="B66" t="str">
            <v>6"</v>
          </cell>
          <cell r="C66" t="str">
            <v>150LB FULL FACE 3.2MM NATURAL RUBBER ANSI B16.21</v>
          </cell>
          <cell r="D66" t="str">
            <v>EA</v>
          </cell>
          <cell r="E66">
            <v>6</v>
          </cell>
          <cell r="G66">
            <v>6</v>
          </cell>
        </row>
        <row r="67">
          <cell r="A67" t="str">
            <v>GASKET</v>
          </cell>
          <cell r="B67" t="str">
            <v>4"</v>
          </cell>
          <cell r="C67" t="str">
            <v>150LB FULL FACE 3.2MM NATURAL RUBBER ANSI B16.21</v>
          </cell>
          <cell r="D67" t="str">
            <v>EA</v>
          </cell>
          <cell r="E67">
            <v>44</v>
          </cell>
          <cell r="G67">
            <v>44</v>
          </cell>
        </row>
        <row r="68">
          <cell r="A68" t="str">
            <v>GASKET</v>
          </cell>
          <cell r="B68" t="str">
            <v>3"</v>
          </cell>
          <cell r="C68" t="str">
            <v>150LB FULL FACE 3.2MM NATURAL RUBBER ANSI B16.21</v>
          </cell>
          <cell r="D68" t="str">
            <v>EA</v>
          </cell>
          <cell r="E68">
            <v>70</v>
          </cell>
          <cell r="G68">
            <v>70</v>
          </cell>
        </row>
        <row r="69">
          <cell r="A69" t="str">
            <v>BOLT/NUT</v>
          </cell>
          <cell r="B69" t="str">
            <v>1-3/4x275</v>
          </cell>
          <cell r="C69" t="str">
            <v>STUD BOLT ASTM A307 GR.B W/H TWO HEX NUTS A563 GR.A GALV</v>
          </cell>
          <cell r="D69" t="str">
            <v>EA</v>
          </cell>
          <cell r="E69">
            <v>416</v>
          </cell>
          <cell r="F69">
            <v>12.480000000000018</v>
          </cell>
          <cell r="G69">
            <v>428.48</v>
          </cell>
          <cell r="H69">
            <v>4.9000000000000004</v>
          </cell>
        </row>
        <row r="70">
          <cell r="A70" t="str">
            <v>BOLT/NUT</v>
          </cell>
          <cell r="B70" t="str">
            <v>1-1/2x225</v>
          </cell>
          <cell r="C70" t="str">
            <v>STUD BOLT ASTM A307 GR.B W/H TWO HEX NUTS A563 GR.A GALV</v>
          </cell>
          <cell r="D70" t="str">
            <v>EA</v>
          </cell>
          <cell r="E70">
            <v>544</v>
          </cell>
          <cell r="F70">
            <v>16.32000000000005</v>
          </cell>
          <cell r="G70">
            <v>560.32000000000005</v>
          </cell>
          <cell r="H70">
            <v>3.07</v>
          </cell>
        </row>
        <row r="71">
          <cell r="A71" t="str">
            <v>BOLT/NUT</v>
          </cell>
          <cell r="B71" t="str">
            <v>1-1/2x180</v>
          </cell>
          <cell r="C71" t="str">
            <v>STUD BOLT ASTM A307 GR.B W/H TWO HEX NUTS A563 GR.A GALV</v>
          </cell>
          <cell r="D71" t="str">
            <v>EA</v>
          </cell>
          <cell r="E71">
            <v>288</v>
          </cell>
          <cell r="F71">
            <v>8.6399999999999864</v>
          </cell>
          <cell r="G71">
            <v>296.64</v>
          </cell>
          <cell r="H71">
            <v>3.07</v>
          </cell>
        </row>
        <row r="72">
          <cell r="A72" t="str">
            <v>BOLT/NUT</v>
          </cell>
          <cell r="B72" t="str">
            <v>1-1/4x180</v>
          </cell>
          <cell r="C72" t="str">
            <v>STUD BOLT ASTM A307 GR.B W/H TWO HEX NUTS A563 GR.A GALV</v>
          </cell>
          <cell r="D72" t="str">
            <v>EA</v>
          </cell>
          <cell r="E72">
            <v>1740</v>
          </cell>
          <cell r="F72">
            <v>52.200000000000045</v>
          </cell>
          <cell r="G72">
            <v>1792.2</v>
          </cell>
          <cell r="H72">
            <v>1.69</v>
          </cell>
        </row>
        <row r="73">
          <cell r="A73" t="str">
            <v>BOLT/NUT</v>
          </cell>
          <cell r="B73" t="str">
            <v>1x140</v>
          </cell>
          <cell r="C73" t="str">
            <v>STUD BOLT ASTM A307 GR.B W/H TWO HEX NUTS A563 GR.A GALV</v>
          </cell>
          <cell r="D73" t="str">
            <v>EA</v>
          </cell>
          <cell r="E73">
            <v>176</v>
          </cell>
          <cell r="F73">
            <v>5.2800000000000011</v>
          </cell>
          <cell r="G73">
            <v>181.28</v>
          </cell>
          <cell r="H73">
            <v>0.85</v>
          </cell>
        </row>
        <row r="74">
          <cell r="A74" t="str">
            <v>BOLT/NUT</v>
          </cell>
          <cell r="B74" t="str">
            <v>3/4x110</v>
          </cell>
          <cell r="C74" t="str">
            <v>STUD BOLT ASTM A307 GR.B W/H TWO HEX NUTS A563 GR.A GALV</v>
          </cell>
          <cell r="D74" t="str">
            <v>EA</v>
          </cell>
          <cell r="E74">
            <v>480</v>
          </cell>
          <cell r="F74">
            <v>14.400000000000034</v>
          </cell>
          <cell r="G74">
            <v>494.40000000000003</v>
          </cell>
          <cell r="H74">
            <v>0.46</v>
          </cell>
        </row>
        <row r="75">
          <cell r="A75" t="str">
            <v>BOLT/NUT</v>
          </cell>
          <cell r="B75" t="str">
            <v>3/4x105</v>
          </cell>
          <cell r="C75" t="str">
            <v>STUD BOLT ASTM A307 GR.B W/H TWO HEX NUTS A563 GR.A GALV</v>
          </cell>
          <cell r="D75" t="str">
            <v>EA</v>
          </cell>
          <cell r="E75">
            <v>48</v>
          </cell>
          <cell r="F75">
            <v>1.4399999999999977</v>
          </cell>
          <cell r="G75">
            <v>49.44</v>
          </cell>
          <cell r="H75">
            <v>0.38</v>
          </cell>
        </row>
        <row r="76">
          <cell r="A76" t="str">
            <v>BOLT/NUT</v>
          </cell>
          <cell r="B76" t="str">
            <v>5/8x95</v>
          </cell>
          <cell r="C76" t="str">
            <v>STUD BOLT ASTM A307 GR.B W/H TWO HEX NUTS A563 GR.A GALV</v>
          </cell>
          <cell r="D76" t="str">
            <v>EA</v>
          </cell>
          <cell r="E76">
            <v>632</v>
          </cell>
          <cell r="F76">
            <v>18.960000000000036</v>
          </cell>
          <cell r="G76">
            <v>650.96</v>
          </cell>
          <cell r="H76">
            <v>0.23</v>
          </cell>
        </row>
        <row r="77">
          <cell r="A77" t="str">
            <v>BOLT/NUT</v>
          </cell>
          <cell r="B77" t="str">
            <v>7/8x125</v>
          </cell>
          <cell r="C77" t="str">
            <v>STUD BOLT ASTM A307 GR.B W/H TWO HEX NUTS A563 GR.A GALV</v>
          </cell>
          <cell r="D77" t="str">
            <v>EA</v>
          </cell>
          <cell r="E77">
            <v>48</v>
          </cell>
          <cell r="F77">
            <v>1.4399999999999977</v>
          </cell>
          <cell r="G77">
            <v>49.44</v>
          </cell>
          <cell r="H77">
            <v>0.6</v>
          </cell>
        </row>
        <row r="78">
          <cell r="A78" t="str">
            <v>BOLT/NUT</v>
          </cell>
          <cell r="B78" t="str">
            <v>7/8x120</v>
          </cell>
          <cell r="C78" t="str">
            <v>STUD BOLT ASTM A307 GR.B W/H TWO HEX NUTS A563 GR.A GALV</v>
          </cell>
          <cell r="D78" t="str">
            <v>EA</v>
          </cell>
          <cell r="E78">
            <v>96</v>
          </cell>
          <cell r="F78">
            <v>2.8799999999999955</v>
          </cell>
          <cell r="G78">
            <v>98.88</v>
          </cell>
          <cell r="H78">
            <v>0.6</v>
          </cell>
        </row>
        <row r="79">
          <cell r="A79" t="str">
            <v>BOLT/NUT</v>
          </cell>
          <cell r="B79" t="str">
            <v>1/2x75</v>
          </cell>
          <cell r="C79" t="str">
            <v>STUD BOLT ASTM A307 GR.B W/H TWO HEX NUTS A563 GR.A GALV</v>
          </cell>
          <cell r="D79" t="str">
            <v>EA</v>
          </cell>
          <cell r="E79">
            <v>16</v>
          </cell>
          <cell r="F79">
            <v>0.48000000000000043</v>
          </cell>
          <cell r="G79">
            <v>16.48</v>
          </cell>
          <cell r="H79">
            <v>0.11</v>
          </cell>
        </row>
        <row r="80">
          <cell r="A80" t="str">
            <v>BUTT.V/V</v>
          </cell>
          <cell r="B80" t="str">
            <v>60"</v>
          </cell>
          <cell r="C80" t="str">
            <v>VTHE7SFD</v>
          </cell>
          <cell r="D80" t="str">
            <v>EA</v>
          </cell>
          <cell r="E80">
            <v>2</v>
          </cell>
          <cell r="G80">
            <v>2</v>
          </cell>
          <cell r="H80">
            <v>4157</v>
          </cell>
        </row>
        <row r="81">
          <cell r="A81" t="str">
            <v>BUTT.V/V</v>
          </cell>
          <cell r="B81" t="str">
            <v>24"</v>
          </cell>
          <cell r="C81" t="str">
            <v>VUHE2MFD</v>
          </cell>
          <cell r="D81" t="str">
            <v>EA</v>
          </cell>
          <cell r="E81">
            <v>1</v>
          </cell>
          <cell r="G81">
            <v>1</v>
          </cell>
          <cell r="H81">
            <v>886</v>
          </cell>
        </row>
        <row r="82">
          <cell r="A82" t="str">
            <v>GATE V/V</v>
          </cell>
          <cell r="B82" t="str">
            <v>2"</v>
          </cell>
          <cell r="C82" t="str">
            <v>VBZBFJ2M</v>
          </cell>
          <cell r="D82" t="str">
            <v>EA</v>
          </cell>
          <cell r="E82">
            <v>10</v>
          </cell>
          <cell r="G82">
            <v>10</v>
          </cell>
          <cell r="H82">
            <v>15</v>
          </cell>
        </row>
        <row r="83">
          <cell r="A83" t="str">
            <v>HYDRANT</v>
          </cell>
          <cell r="B83" t="str">
            <v>6"</v>
          </cell>
          <cell r="C83" t="str">
            <v>4 WAY BARREL PILLAR SELF-DRAIN</v>
          </cell>
          <cell r="D83" t="str">
            <v>SET</v>
          </cell>
          <cell r="E83">
            <v>6</v>
          </cell>
          <cell r="G83">
            <v>6</v>
          </cell>
          <cell r="H83">
            <v>450</v>
          </cell>
        </row>
        <row r="84">
          <cell r="A84" t="str">
            <v>HOSE BOX</v>
          </cell>
          <cell r="C84" t="str">
            <v>1500Hx750Wx300D SELF-STANDING</v>
          </cell>
          <cell r="D84" t="str">
            <v>SET</v>
          </cell>
          <cell r="E84">
            <v>6</v>
          </cell>
          <cell r="G84">
            <v>6</v>
          </cell>
        </row>
        <row r="85">
          <cell r="A85" t="str">
            <v>FIRE HOSE</v>
          </cell>
          <cell r="B85" t="str">
            <v>2-1/2x20M</v>
          </cell>
          <cell r="C85" t="str">
            <v>DOUBLE JACKET</v>
          </cell>
          <cell r="D85" t="str">
            <v>R/L</v>
          </cell>
          <cell r="E85">
            <v>24</v>
          </cell>
          <cell r="G85">
            <v>24</v>
          </cell>
        </row>
        <row r="86">
          <cell r="A86" t="str">
            <v>WATER NOZZLE</v>
          </cell>
          <cell r="B86" t="str">
            <v>2-1/2"</v>
          </cell>
          <cell r="D86" t="str">
            <v>EA</v>
          </cell>
          <cell r="E86">
            <v>12</v>
          </cell>
          <cell r="G86">
            <v>12</v>
          </cell>
        </row>
        <row r="87">
          <cell r="A87" t="str">
            <v>NIPPLE</v>
          </cell>
          <cell r="B87" t="str">
            <v>2"x75</v>
          </cell>
          <cell r="C87" t="str">
            <v>CS XS WT SMLS ASTM A53-B TYPE-S INT/EXT LLDPE LINED PBE</v>
          </cell>
          <cell r="D87" t="str">
            <v>EA</v>
          </cell>
          <cell r="E87">
            <v>10</v>
          </cell>
          <cell r="G87">
            <v>10</v>
          </cell>
          <cell r="H87">
            <v>0.83</v>
          </cell>
        </row>
        <row r="88">
          <cell r="A88" t="str">
            <v>PLUG</v>
          </cell>
          <cell r="B88" t="str">
            <v>2"</v>
          </cell>
          <cell r="C88" t="str">
            <v>CS SC ASTM A105 ROUND HEAD ANSI B16.21</v>
          </cell>
          <cell r="D88" t="str">
            <v>EA</v>
          </cell>
          <cell r="E88">
            <v>10</v>
          </cell>
          <cell r="G88">
            <v>10</v>
          </cell>
          <cell r="H88">
            <v>1.02</v>
          </cell>
        </row>
        <row r="89">
          <cell r="A89" t="str">
            <v>CON SWG</v>
          </cell>
          <cell r="B89" t="str">
            <v>1-1/2"x1"</v>
          </cell>
          <cell r="C89" t="str">
            <v>SS 40S WT ASTM A403-WP304-S MSS SP-95</v>
          </cell>
          <cell r="D89" t="str">
            <v>EA</v>
          </cell>
          <cell r="E89">
            <v>4</v>
          </cell>
          <cell r="G89">
            <v>4</v>
          </cell>
          <cell r="H89">
            <v>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차정산"/>
      <sheetName val="P-산#1-1(WOWA1)"/>
      <sheetName val="토공정보"/>
      <sheetName val="PIPE"/>
      <sheetName val="내역서"/>
      <sheetName val="1.설계조건"/>
      <sheetName val="DATA"/>
      <sheetName val="UNIT"/>
      <sheetName val="DATE"/>
      <sheetName val="Factor"/>
      <sheetName val="Piping Design Data"/>
      <sheetName val="#REF"/>
      <sheetName val="HVAC"/>
      <sheetName val="단중표-ST"/>
      <sheetName val="포장공"/>
      <sheetName val="노무비단가"/>
      <sheetName val="도면자료제출일정"/>
      <sheetName val="X17-TOTAL"/>
      <sheetName val="철거현황"/>
      <sheetName val="기기리스트"/>
      <sheetName val="수량집계"/>
      <sheetName val="총괄집계표"/>
      <sheetName val="Sheet1"/>
      <sheetName val="Vari by Vendor"/>
      <sheetName val="집수정(600-700)"/>
      <sheetName val="combi(wall)"/>
      <sheetName val="static.cal"/>
      <sheetName val="TOTAL"/>
      <sheetName val="D-623D"/>
      <sheetName val="말뚝지지력산정"/>
      <sheetName val="토적표"/>
      <sheetName val="MOTOR"/>
      <sheetName val="노무"/>
      <sheetName val="도급VS재"/>
      <sheetName val="토목검측서"/>
      <sheetName val="LinerWt"/>
      <sheetName val="두앙"/>
      <sheetName val="DESIGN CRETERIA"/>
      <sheetName val="포장"/>
      <sheetName val="충주"/>
      <sheetName val="지장물C"/>
      <sheetName val="수입"/>
      <sheetName val="1.31"/>
      <sheetName val="내역(한신APT)"/>
      <sheetName val="S0"/>
      <sheetName val="총괄표"/>
      <sheetName val="갑지(추정)"/>
      <sheetName val="명세서"/>
      <sheetName val="노임"/>
      <sheetName val="원데이타"/>
      <sheetName val="견적조건"/>
      <sheetName val="보활"/>
      <sheetName val="대치판정"/>
      <sheetName val="설계조건"/>
      <sheetName val="G.R300경비"/>
      <sheetName val="2"/>
      <sheetName val="Vari by Trade"/>
      <sheetName val="수압집계"/>
      <sheetName val="계수시트"/>
      <sheetName val="원가계산서"/>
      <sheetName val="교대시점"/>
      <sheetName val="설계명세서"/>
      <sheetName val="ABUT수량-A1"/>
      <sheetName val="절단표"/>
      <sheetName val="현장관리비 산출내역"/>
      <sheetName val="1.외주공사"/>
      <sheetName val="수량산출"/>
      <sheetName val="별제권_정리담보권1"/>
      <sheetName val="구조물철거타공정이월"/>
      <sheetName val="J直材4"/>
      <sheetName val="VST재료산출"/>
      <sheetName val="품의서(TL)"/>
      <sheetName val="보온자재단가표"/>
      <sheetName val="품셈표(전기) (2)"/>
      <sheetName val="품셈표(전기)"/>
      <sheetName val="BREAKDOWN"/>
      <sheetName val="추가작업"/>
      <sheetName val="노임단가"/>
      <sheetName val="수목단가"/>
      <sheetName val="시설수량표"/>
      <sheetName val="식재수량표"/>
      <sheetName val="일위목록"/>
      <sheetName val="자재단가"/>
      <sheetName val="산출서"/>
      <sheetName val="가도공"/>
      <sheetName val="steel data sheet"/>
      <sheetName val="수량산출서"/>
      <sheetName val="건축전기약전.소방"/>
      <sheetName val="기준"/>
      <sheetName val="[1차정산.XLS]B__DATA_______1_____2"/>
      <sheetName val="준검 내역서"/>
      <sheetName val=""/>
      <sheetName val="[1차정산.XLS]B__DATA_______1_____4"/>
      <sheetName val="[1차정산.XLS]B__DATA_______1_____3"/>
      <sheetName val="추가공량"/>
      <sheetName val="rate"/>
      <sheetName val="환율"/>
      <sheetName val="RFO"/>
      <sheetName val="OH공량old"/>
      <sheetName val="일보"/>
      <sheetName val="SUPTMTO"/>
      <sheetName val="15100"/>
      <sheetName val="범례"/>
      <sheetName val="Sheet5"/>
      <sheetName val="예산명세서"/>
      <sheetName val="자료입력"/>
      <sheetName val="원가계산"/>
    </sheetNames>
    <definedNames>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
      <sheetName val="표지 1"/>
      <sheetName val="예산서"/>
      <sheetName val="설명서"/>
      <sheetName val="HVAC"/>
      <sheetName val="절단표"/>
    </sheetNames>
    <sheetDataSet>
      <sheetData sheetId="0"/>
      <sheetData sheetId="1"/>
      <sheetData sheetId="2"/>
      <sheetData sheetId="3"/>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기지집계"/>
      <sheetName val="시행대비(기지) "/>
      <sheetName val="시행대비표(GS) "/>
      <sheetName val="FGVST(서천)"/>
      <sheetName val="시행대비표(VS) "/>
      <sheetName val="VST(웅천)"/>
      <sheetName val="VST(비인)"/>
      <sheetName val="FGVST자재산출근거"/>
      <sheetName val="FVT재료산출"/>
      <sheetName val="F공조재료산출"/>
      <sheetName val="VST재료산출"/>
      <sheetName val="명세서"/>
      <sheetName val="장비종합부표"/>
      <sheetName val="집계표_식재"/>
      <sheetName val="부표"/>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000000"/>
      <sheetName val="COVER"/>
      <sheetName val="EXCA"/>
      <sheetName val="STOCK-BACK"/>
      <sheetName val="DISP"/>
      <sheetName val="CON'C"/>
      <sheetName val="C_STONE"/>
      <sheetName val="RE_BAR"/>
      <sheetName val="GROUT"/>
      <sheetName val="FORM"/>
      <sheetName val="COMPACTED SAND"/>
      <sheetName val="OILSAND"/>
      <sheetName val="W.STOP"/>
      <sheetName val="W.PROOF"/>
      <sheetName val="PLATE"/>
      <sheetName val="ANGLE"/>
      <sheetName val="GRAVEL"/>
      <sheetName val="와이어메쉬"/>
      <sheetName val="PE FILM"/>
      <sheetName val="CONT. JOINT"/>
      <sheetName val="EXP.JOINT"/>
      <sheetName val="BIT"/>
      <sheetName val="SAND FILL "/>
      <sheetName val="GRATING"/>
      <sheetName val="CICOVER"/>
      <sheetName val="PC COVER"/>
      <sheetName val="휀스"/>
      <sheetName val="보링"/>
      <sheetName val="경계"/>
      <sheetName val="STOCK"/>
      <sheetName val="DEWATERRING"/>
      <sheetName val="STEP IRON"/>
      <sheetName val="MISC STL"/>
      <sheetName val="MORTAR"/>
      <sheetName val="CURB"/>
      <sheetName val="BROOM FIN."/>
      <sheetName val="A.BOLT"/>
      <sheetName val="A.BOX"/>
      <sheetName val="EPOXY SEAL"/>
      <sheetName val="SUB BASE"/>
      <sheetName val="ASP. PAVE"/>
      <sheetName val="CON'C PAVE"/>
      <sheetName val="HP"/>
      <sheetName val="FIRE PROOF"/>
      <sheetName val="FENCE"/>
      <sheetName val="HAND RAIL"/>
      <sheetName val="PILE"/>
      <sheetName val="치환"/>
      <sheetName val="MISC"/>
      <sheetName val="PILE (2)"/>
      <sheetName val="LADDER"/>
      <sheetName val="W.STOP (2)"/>
      <sheetName val="BLOCK"/>
      <sheetName val="SUB BASE (2)"/>
      <sheetName val="GRAVEL (2)"/>
      <sheetName val="STOCK (2)"/>
      <sheetName val="BF"/>
      <sheetName val="VST재료산출"/>
      <sheetName val="97 사업추정(WEKI)"/>
      <sheetName val="B1(반포1차)"/>
      <sheetName val="을"/>
      <sheetName val="토공정보"/>
      <sheetName val="절단표"/>
      <sheetName val="전차선로 물량표"/>
      <sheetName val="토목검측서"/>
      <sheetName val="일위대가목차"/>
      <sheetName val="노임단가"/>
      <sheetName val="수목단가"/>
      <sheetName val="시설수량표"/>
      <sheetName val="식재수량표"/>
      <sheetName val="일위목록"/>
      <sheetName val="자재단가"/>
      <sheetName val="단면가정"/>
      <sheetName val="투자비"/>
      <sheetName val="조성원가DATA"/>
      <sheetName val="사업비"/>
      <sheetName val="#REF"/>
      <sheetName val="변경내역서"/>
      <sheetName val="명세서"/>
      <sheetName val="산근"/>
      <sheetName val="산-금호1"/>
      <sheetName val="설계명세서"/>
      <sheetName val="품셈표"/>
      <sheetName val="원가data"/>
      <sheetName val="기초자료입력"/>
      <sheetName val="준공정산"/>
      <sheetName val="철거현황"/>
      <sheetName val="중기조종사 단위단가"/>
      <sheetName val="HVAC"/>
      <sheetName val="Macro1"/>
      <sheetName val="X17-TOTAL"/>
      <sheetName val="노무비"/>
    </sheetNames>
    <sheetDataSet>
      <sheetData sheetId="0" refreshError="1">
        <row r="4">
          <cell r="D4">
            <v>42000</v>
          </cell>
        </row>
        <row r="6">
          <cell r="D6">
            <v>72000</v>
          </cell>
        </row>
        <row r="18">
          <cell r="D18">
            <v>500</v>
          </cell>
        </row>
        <row r="19">
          <cell r="D19">
            <v>1100</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검측서 (주택)"/>
      <sheetName val="토목검측서"/>
      <sheetName val="계전검측서"/>
      <sheetName val="기계검측서"/>
      <sheetName val="전송선검측서"/>
      <sheetName val="감지선검측서"/>
      <sheetName val="FOAMING"/>
      <sheetName val="검측A03"/>
      <sheetName val="노임"/>
      <sheetName val="토공정보"/>
      <sheetName val="VST재료산출"/>
      <sheetName val="노임단가"/>
      <sheetName val="명세서"/>
      <sheetName val="일위대가목차"/>
      <sheetName val="설계명세서"/>
      <sheetName val="품셈표"/>
      <sheetName val="설계명세서-2"/>
      <sheetName val="토목내역서"/>
      <sheetName val="기계내역서"/>
      <sheetName val="공사개요"/>
      <sheetName val="검측서"/>
      <sheetName val="매출현황"/>
    </sheetNames>
    <sheetDataSet>
      <sheetData sheetId="0" refreshError="1"/>
      <sheetData sheetId="1" refreshError="1">
        <row r="7">
          <cell r="FR7" t="str">
            <v>WARNING TAPE  포설</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노임"/>
      <sheetName val="근무자명단"/>
      <sheetName val="비상연락망"/>
      <sheetName val="작업계획"/>
      <sheetName val="공문갑지"/>
      <sheetName val="1"/>
      <sheetName val="3"/>
      <sheetName val="4"/>
      <sheetName val="갑지"/>
      <sheetName val="목차"/>
      <sheetName val="통지서"/>
      <sheetName val="평가표"/>
      <sheetName val="산출근거"/>
      <sheetName val="공사비대비표"/>
      <sheetName val="세부공사내역"/>
      <sheetName val="Sheet2"/>
      <sheetName val="Sheet3"/>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설계예산서"/>
      <sheetName val="집계표(int)"/>
      <sheetName val="설계예산서 (2)"/>
      <sheetName val="집계표 (3)"/>
      <sheetName val="작성기준"/>
      <sheetName val="내역갑"/>
      <sheetName val="내역을"/>
      <sheetName val="총수량"/>
      <sheetName val="철근"/>
      <sheetName val="수량"/>
      <sheetName val="단가"/>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정부노임단가"/>
      <sheetName val="차액보증"/>
      <sheetName val="PIPE"/>
      <sheetName val="FLANGE"/>
      <sheetName val="VALVE"/>
      <sheetName val="주요진행"/>
      <sheetName val="백호우계수"/>
      <sheetName val="내역서"/>
      <sheetName val="대림경상68억"/>
      <sheetName val="수자재단위당"/>
      <sheetName val="공사비집계"/>
      <sheetName val="노임단가"/>
      <sheetName val="자재단가"/>
      <sheetName val="기초코드"/>
      <sheetName val="금융"/>
      <sheetName val="토공집계표"/>
      <sheetName val="Sheet6"/>
      <sheetName val="기성"/>
      <sheetName val="준검 내역서"/>
      <sheetName val="3.공통공사대비"/>
      <sheetName val="2000년1차"/>
      <sheetName val="가도공"/>
      <sheetName val="SG"/>
      <sheetName val="기초단가"/>
      <sheetName val="예가표"/>
      <sheetName val="증감대비"/>
      <sheetName val="하부철근수량"/>
      <sheetName val="해평견적"/>
      <sheetName val="공사비산출내역"/>
      <sheetName val="입찰내역서(율촌 )"/>
      <sheetName val="1.설계조건"/>
      <sheetName val="내역서(총)"/>
      <sheetName val="내역"/>
      <sheetName val="A-4"/>
      <sheetName val="ESC(K치)"/>
      <sheetName val="가설건물"/>
      <sheetName val="건축공사"/>
      <sheetName val="데이타"/>
      <sheetName val="식재인부"/>
      <sheetName val="총괄표"/>
      <sheetName val="기초일위"/>
      <sheetName val="단면 (2)"/>
      <sheetName val="시설일위"/>
      <sheetName val="조명일위"/>
      <sheetName val="토공"/>
      <sheetName val="일위대가표"/>
      <sheetName val="BSD (2)"/>
      <sheetName val="주관사업"/>
      <sheetName val="45,46"/>
      <sheetName val="기기리스트"/>
      <sheetName val="9GNG운반"/>
      <sheetName val="지급자재"/>
      <sheetName val="제출내역 (2)"/>
      <sheetName val="부대내역"/>
      <sheetName val="투찰"/>
      <sheetName val="1,2공구원가계산서"/>
      <sheetName val="2공구산출내역"/>
      <sheetName val="1공구산출내역서"/>
      <sheetName val="요율"/>
      <sheetName val="자재대"/>
      <sheetName val="말뚝지지력산정"/>
      <sheetName val="수량산출"/>
      <sheetName val="자재"/>
      <sheetName val="일위대가"/>
      <sheetName val="10공구일위"/>
      <sheetName val="방배동내역(리라)"/>
      <sheetName val="실행대비"/>
      <sheetName val="총괄내역서"/>
      <sheetName val="하수급견적대비"/>
      <sheetName val="ELECTRIC"/>
      <sheetName val="CTEMCOST"/>
      <sheetName val="SCHEDULE"/>
      <sheetName val="공통비총괄표"/>
      <sheetName val="중기사용료"/>
      <sheetName val="공량산출서"/>
      <sheetName val="2002하반기노임기준"/>
      <sheetName val="실행철강하도"/>
      <sheetName val="공사비예산서(토목분)"/>
      <sheetName val="5.품셈"/>
      <sheetName val="공사비증감"/>
      <sheetName val="장비"/>
      <sheetName val="인원"/>
      <sheetName val="B"/>
      <sheetName val="설산1.나"/>
      <sheetName val="본사S"/>
      <sheetName val="금융비용"/>
      <sheetName val="직영외주구분내역"/>
      <sheetName val="구분표"/>
      <sheetName val="제원입력"/>
      <sheetName val="층"/>
      <sheetName val="단가표"/>
      <sheetName val="단가일람"/>
      <sheetName val="조경일람"/>
      <sheetName val="INPUT"/>
      <sheetName val="품셈TABLE"/>
      <sheetName val="보차도경계석"/>
      <sheetName val="인력터파기"/>
      <sheetName val="실행내역서"/>
      <sheetName val="ITEM"/>
      <sheetName val="구조물공"/>
      <sheetName val="부대공"/>
      <sheetName val="배수공"/>
      <sheetName val="포장공"/>
      <sheetName val="사당"/>
      <sheetName val="BID"/>
      <sheetName val="기둥"/>
      <sheetName val="저판(버림100)"/>
      <sheetName val="MAT"/>
      <sheetName val="용지매수"/>
      <sheetName val="금액내역서"/>
      <sheetName val="을"/>
      <sheetName val="Y-WORK"/>
      <sheetName val="부안일위"/>
      <sheetName val="관기성공.내"/>
      <sheetName val="부대대비"/>
      <sheetName val="기본단가"/>
      <sheetName val="고르기"/>
      <sheetName val="소업1교"/>
      <sheetName val="경비"/>
      <sheetName val="양식"/>
      <sheetName val="J直材4"/>
      <sheetName val="품목"/>
      <sheetName val="매원개착터널총괄"/>
      <sheetName val="내역표지"/>
      <sheetName val="6PILE  (돌출)"/>
      <sheetName val="실적62"/>
      <sheetName val="일위대가(계측기설치)"/>
      <sheetName val="18개월기준"/>
      <sheetName val="집계(직접비)"/>
      <sheetName val="아파트 "/>
      <sheetName val="타공종이기"/>
      <sheetName val="Piping"/>
      <sheetName val="장문교(대전)"/>
      <sheetName val="기계경비(시간당)"/>
      <sheetName val="기초자료입력"/>
      <sheetName val="구조물견적서"/>
      <sheetName val="제잡비"/>
      <sheetName val="jobhist"/>
      <sheetName val="견적조건"/>
      <sheetName val="2.1  노무비 평균단가산출"/>
      <sheetName val="적현로"/>
      <sheetName val="발생토"/>
      <sheetName val="냉천부속동"/>
      <sheetName val="WORK"/>
      <sheetName val="현황(3걵구)"/>
      <sheetName val="단지내역서"/>
      <sheetName val="1.취수장"/>
      <sheetName val="제경비"/>
      <sheetName val="연습"/>
      <sheetName val="건축내역"/>
      <sheetName val="가격조사서"/>
      <sheetName val="DATA"/>
      <sheetName val="s"/>
      <sheetName val="기본자료"/>
      <sheetName val="한강운반비"/>
      <sheetName val="70%"/>
      <sheetName val="합의경상"/>
      <sheetName val="직원소요"/>
      <sheetName val="현장별"/>
      <sheetName val="일위대가(가설)"/>
      <sheetName val="0.갑지"/>
      <sheetName val="8.현장관리비"/>
      <sheetName val="7.안전관리비"/>
      <sheetName val="골조시행"/>
      <sheetName val="FCM"/>
      <sheetName val="일반공사"/>
      <sheetName val="Sheet15"/>
      <sheetName val="전계가"/>
      <sheetName val="Sheet1 (2)"/>
      <sheetName val="시공품의서(토공)"/>
      <sheetName val="시공품의서(CIP)"/>
      <sheetName val="노무비"/>
      <sheetName val="시공품의서(육교이설)"/>
      <sheetName val="시공품의서(임시전력)"/>
      <sheetName val="시공품의서(가드레일이설)"/>
      <sheetName val="시공품의서(가시설)"/>
      <sheetName val="시공품의서(차선도색)"/>
      <sheetName val="노무비(직영)"/>
      <sheetName val="노무비(미추홀-직영용역)"/>
      <sheetName val="총괄"/>
      <sheetName val="장비비산출근거"/>
      <sheetName val="장비가동일지"/>
      <sheetName val="장비가동일지(외주)"/>
      <sheetName val="주자재입고현황"/>
      <sheetName val="잡자재입고현황"/>
      <sheetName val="유류집계표"/>
      <sheetName val="유동표"/>
      <sheetName val="결과조달"/>
      <sheetName val="청산공사"/>
      <sheetName val="단위중량"/>
      <sheetName val="중기조종사 단위단가"/>
      <sheetName val="Studio"/>
      <sheetName val="장비가동"/>
      <sheetName val="전기혼잡제경비(45)"/>
      <sheetName val="편입용지조서"/>
      <sheetName val="Eq. Mobilization"/>
      <sheetName val="일위대가목차"/>
      <sheetName val="청천내"/>
      <sheetName val="1공구_단가_(정원)"/>
      <sheetName val="1공구_단가_(산광)"/>
      <sheetName val="1공구_단가_(용호)"/>
      <sheetName val="간지_(2)"/>
      <sheetName val="2공구_단가(인성)"/>
      <sheetName val="2공구_단가(대동)"/>
      <sheetName val="2공구_단가(산광)"/>
      <sheetName val="시공사업단(변경12_22)"/>
      <sheetName val="설계예산서_(2)"/>
      <sheetName val="집계표_(3)"/>
      <sheetName val="준검_내역서"/>
      <sheetName val="3_공통공사대비"/>
      <sheetName val="입찰내역서(율촌_)"/>
      <sheetName val="1_설계조건"/>
      <sheetName val="BSD_(2)"/>
      <sheetName val="단면_(2)"/>
      <sheetName val="제출내역_(2)"/>
      <sheetName val="설산1_나"/>
      <sheetName val="5_품셈"/>
      <sheetName val="관기성공_내"/>
      <sheetName val="6PILE__(돌출)"/>
      <sheetName val="단가산출"/>
      <sheetName val="남양내역"/>
      <sheetName val="5.전사투자계획종함안"/>
      <sheetName val="변경내역"/>
      <sheetName val="C3"/>
      <sheetName val="내역서(가로수)"/>
      <sheetName val="송전재료비"/>
      <sheetName val="표지"/>
      <sheetName val="하부총괄집계표"/>
      <sheetName val="하부철근집계표"/>
      <sheetName val="간지 (5)"/>
      <sheetName val="교대집계표"/>
      <sheetName val="교대철근집계"/>
      <sheetName val="A1"/>
      <sheetName val="A1_날개벽"/>
      <sheetName val="A1_접속슬래브"/>
      <sheetName val="A1_완충슬래브"/>
      <sheetName val="A2"/>
      <sheetName val="A2_우측 날개벽"/>
      <sheetName val="A2_좌측 날개벽"/>
      <sheetName val="A2_접속슬래브"/>
      <sheetName val="A2_완충슬래브"/>
      <sheetName val="교대 토공집계표"/>
      <sheetName val="A1 토공"/>
      <sheetName val="A2 토공"/>
      <sheetName val="간지 (3)"/>
      <sheetName val="교각집계표"/>
      <sheetName val="교각철근집계"/>
      <sheetName val="P1"/>
      <sheetName val="P2"/>
      <sheetName val="간지 (4)"/>
      <sheetName val="교각 토공집계표"/>
      <sheetName val="교각 1토공"/>
      <sheetName val="P3"/>
      <sheetName val="P4"/>
      <sheetName val="교각 2토공"/>
      <sheetName val="교각 3토공"/>
      <sheetName val="교각 4토공"/>
      <sheetName val="도면자료제출일정"/>
      <sheetName val="실행예산"/>
      <sheetName val="토공(도하)"/>
      <sheetName val="철콘(도하)"/>
      <sheetName val="파일(도하)"/>
      <sheetName val="코드표"/>
      <sheetName val="임대견적서"/>
      <sheetName val="지표지질조사"/>
      <sheetName val="대로근거"/>
      <sheetName val="중로근거"/>
      <sheetName val="I.설계조건"/>
      <sheetName val="5.ESC적용금액산출서(석공사)"/>
      <sheetName val="구간별관경"/>
      <sheetName val="ESC제외금액산출내역서(견본2)"/>
      <sheetName val="2.변경내역서(조적및미장공사)"/>
      <sheetName val="재료비"/>
      <sheetName val="BS2"/>
      <sheetName val="약품공급2"/>
      <sheetName val="DATE"/>
      <sheetName val="증감내역서"/>
      <sheetName val="견적"/>
      <sheetName val="ilch"/>
      <sheetName val="Dae_Jiju"/>
      <sheetName val="Sikje_ingun"/>
      <sheetName val="TREE_D"/>
      <sheetName val="I一般比"/>
      <sheetName val="을지"/>
      <sheetName val="입찰안"/>
      <sheetName val="면적"/>
      <sheetName val="수량산출서"/>
      <sheetName val="도급대비표_기계설비공사(전체_사전)"/>
      <sheetName val="물가정보지"/>
      <sheetName val="건축"/>
      <sheetName val="PIPE내역(FCN)"/>
      <sheetName val="INPUT DATA"/>
      <sheetName val="9"/>
      <sheetName val="내역(2000년)"/>
      <sheetName val="수안보-MBR1"/>
      <sheetName val="하도금액분계"/>
      <sheetName val="9.기타자금청구"/>
      <sheetName val="와동25-3(변경)"/>
      <sheetName val="발파유용(3)"/>
      <sheetName val="기 타 공 (2)"/>
      <sheetName val="단  가  대  비  표"/>
      <sheetName val="일  위  대  가  목  록"/>
      <sheetName val="기둥(원형)"/>
      <sheetName val="수량산출서(7회)"/>
      <sheetName val="인부신상자료"/>
      <sheetName val="중기일위대가"/>
      <sheetName val="실행계"/>
      <sheetName val="P&amp;L01-02GR"/>
      <sheetName val="1.월별예산현황(개인)"/>
      <sheetName val="2.법인카드 사용"/>
      <sheetName val="GS건설 급여"/>
      <sheetName val="재료율"/>
      <sheetName val="표지-내역서"/>
      <sheetName val="IW-LIST"/>
      <sheetName val="N賃率-職"/>
      <sheetName val="앉음벽 (2)"/>
      <sheetName val="동원인원"/>
      <sheetName val="평가데이터"/>
      <sheetName val="현장업무"/>
      <sheetName val="견적보고"/>
      <sheetName val="1차설계변경내역"/>
      <sheetName val="D01"/>
      <sheetName val="D02"/>
      <sheetName val="배수내역"/>
      <sheetName val="Áý°èÇ¥"/>
      <sheetName val="½Ã°ø»ç¾÷´Ü"/>
      <sheetName val="1-1°ø±¸"/>
      <sheetName val="1-2°ø±¸"/>
      <sheetName val="2-1°ø±¸"/>
      <sheetName val="2-2°ø±¸"/>
      <sheetName val="2-3°ø±¸"/>
      <sheetName val="2-4°ø±¸"/>
      <sheetName val="º¯°æÁý°èÇ¥"/>
      <sheetName val="½Ã°ø»ç¾÷´Ü(º¯°æ12.22)"/>
      <sheetName val="±Ù°Å"/>
      <sheetName val="³ëÀÓ"/>
      <sheetName val="201동 산출근거"/>
      <sheetName val="고창방향"/>
      <sheetName val="8.PILE  (돌출)"/>
      <sheetName val="실행"/>
      <sheetName val="파일의이용"/>
      <sheetName val="새공통(96임금인상기준)"/>
      <sheetName val="토목"/>
      <sheetName val="갑지(추정)"/>
      <sheetName val="물가시세"/>
      <sheetName val="JUCKEYK"/>
      <sheetName val="소비자가"/>
      <sheetName val="입력DATA"/>
      <sheetName val="바닥판"/>
      <sheetName val="데리네이타현황"/>
      <sheetName val="master(2차)"/>
      <sheetName val="용산1(해보)"/>
      <sheetName val="현장경비"/>
      <sheetName val="견적대비표"/>
      <sheetName val="공사개요"/>
      <sheetName val="JJ"/>
      <sheetName val="부속동"/>
      <sheetName val="산출근거1"/>
      <sheetName val="PW3"/>
      <sheetName val="PW4"/>
      <sheetName val="SC1"/>
      <sheetName val="PM"/>
      <sheetName val="주안3차A-A"/>
      <sheetName val="COVER"/>
      <sheetName val="기타(2011.3) (2)"/>
      <sheetName val="날개벽(좌,우=60도-4개)"/>
      <sheetName val="업무처리전"/>
      <sheetName val="원가계산서"/>
      <sheetName val="점수계산1-2"/>
      <sheetName val="동해title"/>
      <sheetName val="TABLE"/>
      <sheetName val="수입"/>
      <sheetName val="P.M 별"/>
      <sheetName val="물량표"/>
      <sheetName val="램머"/>
      <sheetName val="Baby일위대가"/>
      <sheetName val="Sensitivity"/>
      <sheetName val="대비"/>
      <sheetName val="공사내역"/>
      <sheetName val="조건표"/>
      <sheetName val="플랜트 설치"/>
      <sheetName val="98지급계획"/>
      <sheetName val="L-type"/>
      <sheetName val="교각1"/>
      <sheetName val="원가계산"/>
      <sheetName val="충주"/>
      <sheetName val="부대tu"/>
      <sheetName val="콘크리트"/>
      <sheetName val="입력"/>
      <sheetName val="96노임기준"/>
      <sheetName val="S003031"/>
      <sheetName val="완도-군외"/>
      <sheetName val="기준표"/>
      <sheetName val="신내택지내역서"/>
      <sheetName val="MOTOR"/>
      <sheetName val="D-623D"/>
      <sheetName val="단중표-ST"/>
      <sheetName val="기준액"/>
      <sheetName val="항목"/>
      <sheetName val="(C)원내역"/>
      <sheetName val="내역(전체)"/>
      <sheetName val="106C0300"/>
      <sheetName val="편성절차"/>
      <sheetName val="추가및 공제(방파제)"/>
      <sheetName val="BOX"/>
      <sheetName val="현황CODE"/>
      <sheetName val="X17-TOTAL"/>
      <sheetName val="원가data"/>
      <sheetName val="밸브설치"/>
      <sheetName val="포장공수량집계"/>
      <sheetName val="기초자료"/>
      <sheetName val="터파기및재료"/>
      <sheetName val="전기일위대가"/>
      <sheetName val="Sheet5"/>
      <sheetName val="최종"/>
      <sheetName val="Macro3"/>
      <sheetName val="일위_파일"/>
      <sheetName val="1ST"/>
      <sheetName val="조명시설"/>
      <sheetName val="자동제어"/>
      <sheetName val="토공산출(주차장)"/>
      <sheetName val="공사_산출"/>
      <sheetName val="마산방향"/>
      <sheetName val="진주방향"/>
      <sheetName val="단위단가"/>
      <sheetName val="기성조서(집계)"/>
      <sheetName val="집행예산"/>
      <sheetName val="집 계 표"/>
      <sheetName val="건축집계"/>
      <sheetName val="토목공사"/>
      <sheetName val="품"/>
      <sheetName val="WE'T"/>
      <sheetName val="BREAKDOWN(철거설치)"/>
      <sheetName val="뜃맟뭁돽띿맟?-BLDG"/>
      <sheetName val="CAT_5"/>
      <sheetName val="A"/>
      <sheetName val="연결임시"/>
      <sheetName val="요약서"/>
      <sheetName val="자금운용표"/>
      <sheetName val="변경내역대비표(2)"/>
      <sheetName val="운반"/>
      <sheetName val="연돌일위집계"/>
      <sheetName val="UR2-Calculation"/>
      <sheetName val="집수정(600-700)"/>
      <sheetName val="Sheet4"/>
      <sheetName val="설계내역서"/>
      <sheetName val="Recap"/>
      <sheetName val="Cash Flow"/>
      <sheetName val="목표세부명세"/>
      <sheetName val="CONCRETE"/>
      <sheetName val="시운전연료비"/>
      <sheetName val="원가서"/>
      <sheetName val="2000전체분"/>
      <sheetName val="날개벽(시점좌측)"/>
      <sheetName val="inputdata"/>
      <sheetName val="기계경비"/>
      <sheetName val="BS2(302)"/>
      <sheetName val="백분율"/>
      <sheetName val="DHEQSUPT"/>
      <sheetName val="데이터입력"/>
      <sheetName val="01"/>
      <sheetName val="주현(해보)"/>
      <sheetName val="주현(영광)"/>
      <sheetName val="기초수량집"/>
      <sheetName val="경영상태"/>
      <sheetName val="기계내역"/>
      <sheetName val="적용단가"/>
      <sheetName val="1련,2련"/>
      <sheetName val="변품8-37"/>
      <sheetName val="토목주소"/>
      <sheetName val="프랜트면허"/>
      <sheetName val="mcc일위대가"/>
      <sheetName val="공종단가"/>
      <sheetName val=" 갑  지 "/>
      <sheetName val="ABUT수량-A1"/>
      <sheetName val="설계내역"/>
      <sheetName val="울산시산표"/>
      <sheetName val="도"/>
      <sheetName val="단가비교표"/>
      <sheetName val="공틀공사"/>
      <sheetName val="횡배위치"/>
      <sheetName val="예산대비"/>
      <sheetName val="개요"/>
      <sheetName val="설-원가"/>
      <sheetName val="원가"/>
      <sheetName val="사다리"/>
      <sheetName val="법인세신고자료"/>
      <sheetName val="제조부문배부"/>
      <sheetName val="터널조도"/>
      <sheetName val="예정(3)"/>
      <sheetName val="총공사내역서"/>
      <sheetName val="변경현황"/>
      <sheetName val="현장관리비 산출내역"/>
      <sheetName val="간접비"/>
      <sheetName val="?? ???"/>
      <sheetName val="MAIN_TABLE"/>
      <sheetName val="내역갑지"/>
      <sheetName val="수량산출서(터널종점)"/>
      <sheetName val="공사비_NDE"/>
      <sheetName val="별표 "/>
      <sheetName val="신.분"/>
      <sheetName val="일위대가표 (2)"/>
      <sheetName val="TOTAL"/>
      <sheetName val="LABTOTAL"/>
      <sheetName val="배수장토목공사비"/>
      <sheetName val="소야공정계획표"/>
      <sheetName val="동일대내"/>
      <sheetName val="SLAB"/>
      <sheetName val="조건"/>
      <sheetName val="2010년실적"/>
      <sheetName val="일위대가(1)"/>
      <sheetName val="수지표"/>
      <sheetName val="셀명"/>
      <sheetName val="참조"/>
      <sheetName val="03일"/>
      <sheetName val="노무비단가"/>
      <sheetName val="전기단가조사서"/>
      <sheetName val="40총괄"/>
      <sheetName val="40집계"/>
      <sheetName val="계약내역서(을지)파일공사"/>
      <sheetName val="계약내역서(을지)울타리)"/>
      <sheetName val="계약내역서(을지)지붕판넬"/>
      <sheetName val="수량산출서 "/>
      <sheetName val="유림골조"/>
      <sheetName val="전체제잡비"/>
      <sheetName val="갑지1"/>
      <sheetName val="전기"/>
      <sheetName val="주간기성"/>
      <sheetName val="공내역서"/>
      <sheetName val="U-TYPE(1)"/>
      <sheetName val="Summary Sheet"/>
      <sheetName val="1062-X방향 "/>
      <sheetName val="세금자료"/>
      <sheetName val="단가 및 재료비"/>
      <sheetName val="수지예산"/>
      <sheetName val="F_D SEC. PROP"/>
      <sheetName val="낙석방지망현황"/>
      <sheetName val="약품설비"/>
      <sheetName val="eq_data"/>
      <sheetName val="steel data sheet"/>
      <sheetName val="97 사업추정(WEKI)"/>
      <sheetName val="crude.SLAB RE-bar"/>
      <sheetName val="인건비단가"/>
      <sheetName val="U-W"/>
      <sheetName val="단위량당중기"/>
      <sheetName val="5.ESC적용금액산출서(내화피복및단열뿜칠)"/>
      <sheetName val="검토서"/>
      <sheetName val="1-1"/>
      <sheetName val="변경내역을"/>
      <sheetName val="입찰"/>
      <sheetName val="현경"/>
      <sheetName val="관로토공집계표"/>
      <sheetName val="가설공사비"/>
      <sheetName val="도로구조공사비"/>
      <sheetName val="도로토공공사비"/>
      <sheetName val="여수토공사비"/>
      <sheetName val="부하(성남)"/>
      <sheetName val="98수문일위"/>
      <sheetName val="6호기"/>
      <sheetName val="내역서당초"/>
      <sheetName val="잡비"/>
      <sheetName val="P_RPTB04_산근"/>
      <sheetName val="횡배수관토공수량"/>
      <sheetName val="충돌 내용"/>
      <sheetName val="일위대가 집계표"/>
      <sheetName val="TEST1"/>
      <sheetName val="1. 설계조건 2.단면가정 3. 하중계산"/>
      <sheetName val="DATA 입력란"/>
      <sheetName val="XXXX"/>
      <sheetName val="제잡비산출내역(당초 변경)"/>
      <sheetName val="총집계표"/>
      <sheetName val="설계서"/>
      <sheetName val="MAT_N048"/>
      <sheetName val="1.1설계기준"/>
      <sheetName val="내역서 (총액)"/>
      <sheetName val="관리비"/>
      <sheetName val="사무용품비"/>
      <sheetName val="산출기초(기계터파기)3열"/>
      <sheetName val="전송망집계"/>
      <sheetName val="철거수량(전송)"/>
      <sheetName val="변수값"/>
      <sheetName val="중기상차"/>
      <sheetName val="AS복구"/>
      <sheetName val="중기터파기"/>
      <sheetName val="조명율"/>
      <sheetName val="인천제철"/>
      <sheetName val="동원(3)"/>
      <sheetName val="문학간접"/>
      <sheetName val="시설물일위"/>
      <sheetName val="산근1"/>
      <sheetName val="보도경계블럭"/>
      <sheetName val="설변조서"/>
      <sheetName val="배수공 주요자재 집계표"/>
      <sheetName val="자압1"/>
      <sheetName val="1일기성(실행)"/>
      <sheetName val="기본단가표"/>
      <sheetName val="실수량대비"/>
      <sheetName val="EUPDAT2"/>
      <sheetName val="암거"/>
      <sheetName val="수로단위수량"/>
      <sheetName val="LABT舓⿫_x0005__x0000_"/>
      <sheetName val="치수표"/>
      <sheetName val="토적집계표당초"/>
      <sheetName val="토적집계표변경"/>
      <sheetName val="내역(중앙)"/>
      <sheetName val="VS P-Q"/>
      <sheetName val="일대"/>
      <sheetName val="지구단위계획"/>
      <sheetName val="JUCK"/>
      <sheetName val="실행갑지"/>
      <sheetName val="도로단위당"/>
      <sheetName val="SILICATE"/>
      <sheetName val="토목검측서"/>
      <sheetName val="원총괄(대성)"/>
      <sheetName val="내역서(1)"/>
      <sheetName val="단면가정"/>
      <sheetName val="수량집계표"/>
      <sheetName val="inter"/>
      <sheetName val="덕전리"/>
      <sheetName val="일위대가(건축)"/>
      <sheetName val="LD"/>
      <sheetName val="식재"/>
      <sheetName val="시설물"/>
      <sheetName val="식재출력용"/>
      <sheetName val="유지관리"/>
      <sheetName val="MIJIBI"/>
      <sheetName val="FAB별"/>
      <sheetName val="조명율표"/>
      <sheetName val="일위목록"/>
      <sheetName val="2.대외공문"/>
      <sheetName val="SULKEA"/>
      <sheetName val="잔수량(작성)"/>
      <sheetName val="도로토적"/>
      <sheetName val="당초"/>
      <sheetName val="unit 4"/>
      <sheetName val="공통가설"/>
      <sheetName val="공사비"/>
      <sheetName val="유역면적"/>
      <sheetName val="하도급대비"/>
      <sheetName val="수문보고"/>
      <sheetName val="집계표(육상)"/>
      <sheetName val="작업금지"/>
      <sheetName val="착공계"/>
      <sheetName val="가설공사"/>
      <sheetName val="단가결정"/>
      <sheetName val="내역아"/>
      <sheetName val="울타리"/>
      <sheetName val="관접합및부설"/>
      <sheetName val="설계내역일위"/>
      <sheetName val="b_balju"/>
      <sheetName val="총수량집계표"/>
      <sheetName val="옹벽철근"/>
      <sheetName val="옹벽수량집계"/>
      <sheetName val="사진대지"/>
      <sheetName val="공사카드 (2차)"/>
      <sheetName val="토공합계"/>
      <sheetName val="맨홀수량"/>
      <sheetName val="PI"/>
      <sheetName val="설계폼"/>
      <sheetName val="본선 토공 분배표"/>
      <sheetName val="배수관집계"/>
      <sheetName val="금액"/>
      <sheetName val="교대(A1-A2)"/>
      <sheetName val="FB25JN"/>
      <sheetName val="Macro1"/>
      <sheetName val="database"/>
      <sheetName val="도급예산내역서봉투"/>
      <sheetName val="1SPAN"/>
      <sheetName val="공사원가계산서"/>
      <sheetName val="설계산출표지"/>
      <sheetName val="도급예산내역서총괄표"/>
      <sheetName val="을부담운반비"/>
      <sheetName val="운반비산출"/>
      <sheetName val="계정"/>
      <sheetName val="기계"/>
      <sheetName val="타견적(을)"/>
      <sheetName val="DOWEL(SLAB상)"/>
      <sheetName val="DOWEL(SLAB하)"/>
      <sheetName val="4)유동표"/>
      <sheetName val="견적사양비교표"/>
      <sheetName val="집1"/>
      <sheetName val="실행내역서 "/>
      <sheetName val="경상직원"/>
      <sheetName val="가설방음벽+방진망"/>
      <sheetName val="세륜세차시설"/>
      <sheetName val="02침사지집계"/>
      <sheetName val="물가대비표"/>
      <sheetName val="ITB COST"/>
      <sheetName val="TB-내역서"/>
      <sheetName val="전등분전반"/>
      <sheetName val="기초1"/>
      <sheetName val="공용정보"/>
      <sheetName val="설계"/>
      <sheetName val="인원현황"/>
      <sheetName val="철거산출근거"/>
      <sheetName val="간접(90)"/>
      <sheetName val="VST재료산출"/>
      <sheetName val="명세서"/>
      <sheetName val="대공종"/>
      <sheetName val="Code"/>
      <sheetName val="BEND LOSS"/>
      <sheetName val="B-B"/>
      <sheetName val="고합"/>
      <sheetName val="付替給与A"/>
      <sheetName val="SUMMARY"/>
      <sheetName val="PAINT"/>
      <sheetName val="95MAKER"/>
      <sheetName val="할증 "/>
      <sheetName val="조직"/>
      <sheetName val="지급내역"/>
      <sheetName val="관리처분변경환급"/>
      <sheetName val="이주비미대출세대"/>
      <sheetName val="환불자 내역"/>
      <sheetName val="TOWER 12TON"/>
      <sheetName val="TOWER 10TON"/>
      <sheetName val="9811"/>
      <sheetName val="일위대가-1"/>
      <sheetName val="횡날개수집"/>
      <sheetName val="Variables"/>
      <sheetName val="7.경제성결과"/>
      <sheetName val="직재"/>
      <sheetName val="전선 및 전선관"/>
      <sheetName val="전체"/>
      <sheetName val="한화금융비"/>
      <sheetName val="한진금융비"/>
      <sheetName val="내역(영일)"/>
      <sheetName val="배관배선 단가조사"/>
      <sheetName val="일위대가집계"/>
      <sheetName val="VXXXXXX"/>
      <sheetName val="전체내역서"/>
      <sheetName val="IT-BAT"/>
      <sheetName val="중강당 내역"/>
      <sheetName val="코드"/>
      <sheetName val="품셈"/>
      <sheetName val="일위대가(˄_x0000_怀㾃_x0000__x0000_"/>
      <sheetName val="95년12월말"/>
      <sheetName val="내역서단가산출용"/>
      <sheetName val="첨부#2.Cash Flow(현장작성)"/>
      <sheetName val="지하차도종점부-1"/>
      <sheetName val="투입총괄"/>
      <sheetName val="샘플표지"/>
      <sheetName val="관급자재"/>
      <sheetName val="도급FORM"/>
      <sheetName val="입찰내역 발주처 양식"/>
      <sheetName val="일위"/>
      <sheetName val="OD5000"/>
      <sheetName val="개산공사비"/>
      <sheetName val="삭제금지단가"/>
      <sheetName val="판가반영"/>
      <sheetName val="01.10월"/>
      <sheetName val="신당동집계표"/>
      <sheetName val="인건비"/>
      <sheetName val="지진시"/>
      <sheetName val="공사요율산출표"/>
      <sheetName val="esc"/>
      <sheetName val="1단계"/>
      <sheetName val="집수A"/>
      <sheetName val="설계명세서"/>
      <sheetName val="예산명세서"/>
      <sheetName val="자료입력"/>
      <sheetName val="12용지"/>
      <sheetName val="wall"/>
      <sheetName val="Front"/>
      <sheetName val="DB"/>
      <sheetName val="토목품셈"/>
      <sheetName val="기안"/>
      <sheetName val="저"/>
      <sheetName val="관리,공감"/>
      <sheetName val="계약변경요청서"/>
      <sheetName val="관기성-사기성비교"/>
      <sheetName val="직접인건비"/>
      <sheetName val="직접경비"/>
      <sheetName val="준공조서갑지"/>
      <sheetName val="공사"/>
      <sheetName val="교각계산"/>
      <sheetName val="***********************00"/>
      <sheetName val="9902"/>
      <sheetName val="노임이"/>
      <sheetName val="건축기성"/>
      <sheetName val="대치판정"/>
      <sheetName val="구의33고"/>
      <sheetName val="특기사항(기계)"/>
      <sheetName val="현설참가확인서"/>
      <sheetName val="견적조건서"/>
      <sheetName val="공정율 기초 Data"/>
      <sheetName val="수금 Schedule 기초 Data"/>
      <sheetName val="계약ITEM"/>
      <sheetName val="간접비내역-1"/>
      <sheetName val="PBS"/>
      <sheetName val="소요자재명세서"/>
      <sheetName val="노무비명세서"/>
      <sheetName val="하자전장"/>
      <sheetName val="1호토공"/>
      <sheetName val="날개벽"/>
      <sheetName val="공통"/>
      <sheetName val="신공항A-9(원가수정)"/>
      <sheetName val="Supplement2"/>
      <sheetName val="토목내역서"/>
      <sheetName val="기계내역서"/>
      <sheetName val=" FURNACE현설"/>
      <sheetName val="시화점실행"/>
      <sheetName val="Apt내역"/>
      <sheetName val="일위대가 "/>
      <sheetName val="손익차9월2"/>
      <sheetName val="대비표"/>
      <sheetName val="사기도장"/>
      <sheetName val="AREA"/>
      <sheetName val="DEME WATER PIMP"/>
      <sheetName val="SUM"/>
      <sheetName val="횡배수관집현황(2공구)"/>
      <sheetName val="HVAC"/>
      <sheetName val="종합"/>
      <sheetName val="검측서목차"/>
      <sheetName val="위치도"/>
      <sheetName val="착공전"/>
      <sheetName val="토목수량집계표"/>
      <sheetName val="토공집계"/>
      <sheetName val="야장(300A)"/>
      <sheetName val="야장(350A)"/>
      <sheetName val="토적1"/>
      <sheetName val="용접부1"/>
      <sheetName val="토적2"/>
      <sheetName val="용접부2"/>
      <sheetName val="터파기"/>
      <sheetName val="바닥모래"/>
      <sheetName val="모래채움"/>
      <sheetName val="경고TAPE"/>
      <sheetName val="되메우기"/>
      <sheetName val="골재"/>
      <sheetName val="관목이식"/>
      <sheetName val="절삭포장78"/>
      <sheetName val="보도블럭"/>
      <sheetName val="경계석"/>
      <sheetName val="차선규제봉"/>
      <sheetName val="핸드홀"/>
      <sheetName val="포장수량집계표"/>
      <sheetName val="포장집계"/>
      <sheetName val="ASP절단"/>
      <sheetName val="ASP철거"/>
      <sheetName val="보조기층"/>
      <sheetName val="포장467"/>
      <sheetName val="양수작업"/>
      <sheetName val="가설수량집계표"/>
      <sheetName val="복공판설치"/>
      <sheetName val="복공판사유"/>
      <sheetName val="CON'CPAD"/>
      <sheetName val="CON,C PAD사유"/>
      <sheetName val="현황(마대)"/>
      <sheetName val="마대쌓기"/>
      <sheetName val="마대1"/>
      <sheetName val="마대2"/>
      <sheetName val="마대3"/>
      <sheetName val="PP마대1"/>
      <sheetName val="마대사유"/>
      <sheetName val="배관수량집계표"/>
      <sheetName val="SEC.8"/>
      <sheetName val="배관설치"/>
      <sheetName val="FOAM-PAD"/>
      <sheetName val="BY-PASS"/>
      <sheetName val="이중보온관절단"/>
      <sheetName val="이중보온관철거"/>
      <sheetName val="핫테핑"/>
      <sheetName val="BALL 밸브"/>
      <sheetName val="FOAM-PAD (2)"/>
      <sheetName val="전기예열 (2)"/>
      <sheetName val="부대수량집계표"/>
      <sheetName val="실명판"/>
      <sheetName val="안전휀스"/>
      <sheetName val="안내간판"/>
      <sheetName val="관리설비(계전)공사"/>
      <sheetName val="열배관감지선검측서"/>
      <sheetName val="교통신호수"/>
      <sheetName val="토류벽설치"/>
      <sheetName val="지장물매달기"/>
      <sheetName val="가드레일휀스"/>
      <sheetName val="표지병철거"/>
      <sheetName val="실명판 (2)"/>
      <sheetName val="안전휀스 (2)"/>
      <sheetName val="안내간판 (2)"/>
      <sheetName val="계전공사 (2)"/>
      <sheetName val="열배관감지선검측서 (2)"/>
      <sheetName val="T.P판넬"/>
      <sheetName val="지장물철거"/>
      <sheetName val="CON'C타설"/>
      <sheetName val="CON'C PAD"/>
      <sheetName val="차선도색"/>
      <sheetName val="지중ASP철거"/>
      <sheetName val="전기예열"/>
      <sheetName val="BALL 밸브 (2)"/>
      <sheetName val="기성부분검사원"/>
      <sheetName val="Equipment"/>
      <sheetName val="토류판설치(t=60)"/>
      <sheetName val="CB"/>
      <sheetName val="Cost control"/>
      <sheetName val="SM1-09"/>
      <sheetName val="SM2-09"/>
      <sheetName val="BD-09"/>
      <sheetName val="MT-09"/>
      <sheetName val="기준"/>
      <sheetName val="변동인원"/>
      <sheetName val="MIBK원단위"/>
      <sheetName val="화재 탐지 설비"/>
      <sheetName val="7. Piping"/>
      <sheetName val="Graph (LGEN)"/>
      <sheetName val="out_prog"/>
      <sheetName val="선적schedule (2)"/>
      <sheetName val="현황산출서"/>
      <sheetName val="일반수량총괄집계"/>
      <sheetName val="Requirement(Work Crew)"/>
      <sheetName val="준공갑지"/>
      <sheetName val="KUNGDEVI"/>
      <sheetName val="일위(PN)"/>
      <sheetName val="산출집계(LP-A)"/>
      <sheetName val="A-100전제"/>
      <sheetName val=" 갑지"/>
      <sheetName val="보조부문비배부"/>
      <sheetName val="계정code"/>
      <sheetName val="기초입력 DATA"/>
      <sheetName val="죽원1교"/>
      <sheetName val="원내역"/>
      <sheetName val="단위수량"/>
      <sheetName val="PROJECT BRIEF"/>
      <sheetName val="토공사"/>
      <sheetName val="뜃맟뭁돽띿맟_-BLDG"/>
      <sheetName val="총괄사용"/>
      <sheetName val="8월감리조서갑지 (2)"/>
      <sheetName val="copy"/>
      <sheetName val="서식"/>
      <sheetName val="Overview"/>
      <sheetName val="별呠_x001c_"/>
      <sheetName val="Cash Flow_상도동현장 (2)"/>
      <sheetName val="Cash Flow_상도동현장"/>
      <sheetName val="배관"/>
      <sheetName val="BSD _2_"/>
      <sheetName val="드롭"/>
      <sheetName val="견적서"/>
      <sheetName val="설계명세"/>
      <sheetName val="__ ___"/>
      <sheetName val="최적단면"/>
      <sheetName val="손익분석"/>
      <sheetName val="단중표"/>
      <sheetName val="비교1"/>
      <sheetName val="비용"/>
      <sheetName val="재료비명세"/>
      <sheetName val="예산변경사항"/>
      <sheetName val="공정코드"/>
      <sheetName val="건축내역(트럼프수성)"/>
      <sheetName val="Tongke"/>
      <sheetName val="실행기성 갑지"/>
      <sheetName val="산근"/>
      <sheetName val="오억미만"/>
      <sheetName val="No.20-3철근수량집계표"/>
      <sheetName val="주식"/>
      <sheetName val="16-1"/>
      <sheetName val="기성내역"/>
      <sheetName val="TYPE-B 평균H"/>
      <sheetName val="P4-C"/>
      <sheetName val="입출재고현황 (2)"/>
      <sheetName val="15"/>
      <sheetName val="99총공사내역서"/>
      <sheetName val="품셈표"/>
      <sheetName val="GI-LIST"/>
      <sheetName val="XREF"/>
      <sheetName val="금리계산"/>
      <sheetName val="토공총괄표"/>
      <sheetName val="단"/>
      <sheetName val="원두제2접속옹벽 시점쪽"/>
      <sheetName val="부위명 기준"/>
      <sheetName val="전산부위명기준"/>
      <sheetName val="아파트"/>
      <sheetName val="세원견적서"/>
      <sheetName val="단가조사"/>
      <sheetName val="일위5"/>
      <sheetName val=""/>
      <sheetName val="간접경상비"/>
      <sheetName val="수목단가"/>
      <sheetName val="시설수량표"/>
      <sheetName val="식재수량표"/>
      <sheetName val="부하계산서"/>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상"/>
      <sheetName val="사장결재_TOT"/>
      <sheetName val="사장결재"/>
      <sheetName val="견적총괄표"/>
      <sheetName val="견적총괄"/>
      <sheetName val="집계기계"/>
      <sheetName val="기계"/>
      <sheetName val="MC01"/>
      <sheetName val="MC02"/>
      <sheetName val="MC03"/>
      <sheetName val="MC04"/>
      <sheetName val="MC05 "/>
      <sheetName val="MC06 "/>
      <sheetName val="MC11"/>
      <sheetName val="가설"/>
      <sheetName val="사장결재_TOT(원안)"/>
      <sheetName val="견적총괄표(원안)"/>
      <sheetName val="시행예산집계표"/>
      <sheetName val="목차(Main)"/>
      <sheetName val="자재비(Main)"/>
      <sheetName val="자재비 집계표"/>
      <sheetName val="인건비(Main)"/>
      <sheetName val="Absorber 인건비"/>
      <sheetName val="Duct 인건비"/>
      <sheetName val="AFT &amp; Tank 인건비"/>
      <sheetName val="Equip.인건비"/>
      <sheetName val="INCH-DIA"/>
      <sheetName val="배관 인건비"/>
      <sheetName val="소모자재비(Main)"/>
      <sheetName val="공구손료(Main)"/>
      <sheetName val="장비비(Main)"/>
      <sheetName val="보온공사비(Main)"/>
      <sheetName val="도장공사비(Main)"/>
      <sheetName val="공사용가설비(Main)"/>
      <sheetName val="운반비(Main)"/>
      <sheetName val="설계도서비"/>
      <sheetName val="시험검사비"/>
      <sheetName val="부대공사비"/>
      <sheetName val="시운전비"/>
      <sheetName val="설계용역비"/>
      <sheetName val="간접비계"/>
      <sheetName val="공통가설비"/>
      <sheetName val="공통부대경상비"/>
      <sheetName val="보험료"/>
      <sheetName val="현장조직표"/>
      <sheetName val="직원동원계획"/>
      <sheetName val="장비Schedule"/>
      <sheetName val="보증금수수료"/>
      <sheetName val="간지(1)"/>
      <sheetName val="공통가설비 (2안)"/>
      <sheetName val="공통부대경상비 (2안)"/>
      <sheetName val="Module1"/>
      <sheetName val="총괄표"/>
      <sheetName val="토목검측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예산"/>
      <sheetName val="표지"/>
      <sheetName val="산출근거"/>
      <sheetName val="간접비"/>
      <sheetName val="직원급료"/>
      <sheetName val="도장보온"/>
      <sheetName val="자재"/>
      <sheetName val="설치"/>
      <sheetName val="경상"/>
      <sheetName val="VST재료산출"/>
      <sheetName val="가설"/>
      <sheetName val="TYPE-A"/>
      <sheetName val="PumpSpec"/>
      <sheetName val="총괄표"/>
      <sheetName val="용접자료"/>
      <sheetName val="기시공토적"/>
      <sheetName val="노무비지급명세"/>
      <sheetName val="실행철강하도"/>
      <sheetName val="공종단가"/>
      <sheetName val="효성CB 1P기초"/>
      <sheetName val="기준표"/>
      <sheetName val="용선 C.L"/>
      <sheetName val="토목검측서"/>
      <sheetName val="#REF"/>
      <sheetName val="운반공"/>
      <sheetName val="DANGA"/>
      <sheetName val="총괄집계표"/>
      <sheetName val="수량집계"/>
      <sheetName val="노임단가"/>
      <sheetName val=" 갑지"/>
      <sheetName val="코드표"/>
      <sheetName val="평가데이터"/>
      <sheetName val="총괄"/>
      <sheetName val="실행대비"/>
      <sheetName val="기초자료입력"/>
      <sheetName val="준공정산"/>
      <sheetName val="소화실적"/>
      <sheetName val="방식총괄"/>
      <sheetName val="기계경비"/>
      <sheetName val="단중표"/>
      <sheetName val="노임"/>
      <sheetName val="일위대가"/>
      <sheetName val="파일의이용"/>
      <sheetName val="기계경비(시간당)"/>
      <sheetName val="램머"/>
      <sheetName val="6차실행(승인)"/>
      <sheetName val="일위대가목차"/>
      <sheetName val="명세서"/>
      <sheetName val="여과지동"/>
      <sheetName val="기초자료"/>
      <sheetName val="산출"/>
      <sheetName val="내역"/>
      <sheetName val="원가"/>
      <sheetName val="주배관-경비UNIT"/>
      <sheetName val="주배관-UNIT"/>
      <sheetName val="연결임시"/>
      <sheetName val="부대tu"/>
      <sheetName val="01"/>
      <sheetName val="1단계"/>
      <sheetName val="기계내역서"/>
      <sheetName val="청천내"/>
      <sheetName val="공사내역서"/>
      <sheetName val="VENDOR LIST"/>
      <sheetName val="현장경비"/>
      <sheetName val="11월장비"/>
      <sheetName val="절단표"/>
      <sheetName val="CB"/>
      <sheetName val="내역서"/>
      <sheetName val="건축내역"/>
      <sheetName val="해평견적"/>
      <sheetName val="입찰안"/>
      <sheetName val="Total"/>
      <sheetName val="공통비"/>
      <sheetName val="원가서"/>
      <sheetName val="설계예산서"/>
      <sheetName val="자재단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착수보고서"/>
      <sheetName val="종합검측서"/>
      <sheetName val="검측서"/>
      <sheetName val="검측서 (2)"/>
      <sheetName val="검측A03"/>
      <sheetName val="마대쌓기"/>
      <sheetName val="맨홀철거"/>
      <sheetName val="PRE HEATING및공사용수"/>
      <sheetName val="Sheet1"/>
      <sheetName val="품질시험검측서"/>
      <sheetName val="전기계장검측서"/>
      <sheetName val="토사(PE)"/>
      <sheetName val="시행예산"/>
      <sheetName val="경상"/>
      <sheetName val="총괄표"/>
      <sheetName val="군포SEC.2검측서"/>
      <sheetName val="설계예산서"/>
      <sheetName val="노무비지급명세"/>
      <sheetName val="명세서"/>
      <sheetName val="노임"/>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기준표"/>
      <sheetName val="원본"/>
      <sheetName val="집계표"/>
      <sheetName val="SEC2"/>
      <sheetName val="SEC7-1"/>
      <sheetName val="SEC9"/>
      <sheetName val="SEC11"/>
      <sheetName val="SEC11-1"/>
      <sheetName val="롯데APT"/>
      <sheetName val="현대프라자"/>
      <sheetName val="명당초교"/>
      <sheetName val="SEC8-1"/>
      <sheetName val="SEC5"/>
      <sheetName val="삼성홈"/>
      <sheetName val="SEC10"/>
      <sheetName val="대림APT"/>
      <sheetName val="SEC4"/>
      <sheetName val="SEC2-2"/>
      <sheetName val="SEC3"/>
      <sheetName val="SEC2-1"/>
      <sheetName val="SEC12"/>
      <sheetName val="검측서"/>
      <sheetName val="토공정보"/>
    </sheetNames>
    <sheetDataSet>
      <sheetData sheetId="0"/>
      <sheetData sheetId="1" refreshError="1">
        <row r="3">
          <cell r="B3">
            <v>20</v>
          </cell>
          <cell r="C3">
            <v>0.09</v>
          </cell>
          <cell r="D3">
            <v>0.1</v>
          </cell>
          <cell r="E3">
            <v>0.2</v>
          </cell>
        </row>
        <row r="4">
          <cell r="B4">
            <v>25</v>
          </cell>
          <cell r="C4">
            <v>0.09</v>
          </cell>
          <cell r="D4">
            <v>0.1</v>
          </cell>
          <cell r="E4">
            <v>0.2</v>
          </cell>
        </row>
        <row r="5">
          <cell r="B5">
            <v>32</v>
          </cell>
          <cell r="C5">
            <v>0.11</v>
          </cell>
          <cell r="D5">
            <v>0.1</v>
          </cell>
          <cell r="E5">
            <v>0.2</v>
          </cell>
        </row>
        <row r="6">
          <cell r="B6">
            <v>40</v>
          </cell>
          <cell r="C6">
            <v>0.11</v>
          </cell>
          <cell r="D6">
            <v>0.1</v>
          </cell>
          <cell r="E6">
            <v>0.2</v>
          </cell>
        </row>
        <row r="7">
          <cell r="B7">
            <v>50</v>
          </cell>
          <cell r="C7">
            <v>0.125</v>
          </cell>
          <cell r="D7">
            <v>0.15</v>
          </cell>
          <cell r="E7">
            <v>0.2</v>
          </cell>
        </row>
        <row r="8">
          <cell r="B8">
            <v>65</v>
          </cell>
          <cell r="C8">
            <v>0.14000000000000001</v>
          </cell>
          <cell r="D8">
            <v>0.15</v>
          </cell>
          <cell r="E8">
            <v>0.2</v>
          </cell>
        </row>
        <row r="9">
          <cell r="B9">
            <v>80</v>
          </cell>
          <cell r="C9">
            <v>0.16</v>
          </cell>
          <cell r="D9">
            <v>0.15</v>
          </cell>
          <cell r="E9">
            <v>0.2</v>
          </cell>
        </row>
        <row r="10">
          <cell r="B10">
            <v>100</v>
          </cell>
          <cell r="C10">
            <v>0.2</v>
          </cell>
          <cell r="D10">
            <v>0.2</v>
          </cell>
          <cell r="E10">
            <v>0.2</v>
          </cell>
        </row>
        <row r="11">
          <cell r="B11">
            <v>125</v>
          </cell>
          <cell r="C11">
            <v>0.22500000000000001</v>
          </cell>
          <cell r="D11">
            <v>0.2</v>
          </cell>
          <cell r="E11">
            <v>0.2</v>
          </cell>
        </row>
        <row r="12">
          <cell r="B12">
            <v>150</v>
          </cell>
          <cell r="C12">
            <v>0.25</v>
          </cell>
          <cell r="D12">
            <v>0.25</v>
          </cell>
          <cell r="E12">
            <v>0.2</v>
          </cell>
        </row>
        <row r="13">
          <cell r="B13">
            <v>200</v>
          </cell>
          <cell r="C13">
            <v>0.315</v>
          </cell>
          <cell r="D13">
            <v>0.25</v>
          </cell>
          <cell r="E13">
            <v>0.2</v>
          </cell>
        </row>
        <row r="14">
          <cell r="B14">
            <v>250</v>
          </cell>
          <cell r="C14">
            <v>0.4</v>
          </cell>
          <cell r="D14">
            <v>0.25</v>
          </cell>
          <cell r="E14">
            <v>0.2</v>
          </cell>
        </row>
        <row r="15">
          <cell r="B15">
            <v>300</v>
          </cell>
          <cell r="C15">
            <v>0.45</v>
          </cell>
          <cell r="D15">
            <v>0.25</v>
          </cell>
          <cell r="E15">
            <v>0.2</v>
          </cell>
        </row>
        <row r="16">
          <cell r="B16">
            <v>350</v>
          </cell>
          <cell r="C16">
            <v>0.5</v>
          </cell>
          <cell r="D16">
            <v>0.25</v>
          </cell>
          <cell r="E16">
            <v>0.2</v>
          </cell>
        </row>
        <row r="17">
          <cell r="B17">
            <v>400</v>
          </cell>
          <cell r="C17">
            <v>0.56000000000000005</v>
          </cell>
          <cell r="D17">
            <v>0.3</v>
          </cell>
          <cell r="E17">
            <v>0.2</v>
          </cell>
        </row>
        <row r="18">
          <cell r="B18">
            <v>450</v>
          </cell>
          <cell r="C18">
            <v>0.63</v>
          </cell>
          <cell r="D18">
            <v>0.3</v>
          </cell>
          <cell r="E18">
            <v>0.2</v>
          </cell>
        </row>
        <row r="19">
          <cell r="B19">
            <v>500</v>
          </cell>
          <cell r="C19">
            <v>0.71</v>
          </cell>
          <cell r="D19">
            <v>0.3</v>
          </cell>
          <cell r="E19">
            <v>0.2</v>
          </cell>
        </row>
        <row r="20">
          <cell r="B20">
            <v>550</v>
          </cell>
          <cell r="C20">
            <v>0.71</v>
          </cell>
          <cell r="D20">
            <v>0.3</v>
          </cell>
          <cell r="E20">
            <v>0.2</v>
          </cell>
        </row>
        <row r="21">
          <cell r="B21">
            <v>600</v>
          </cell>
          <cell r="C21">
            <v>0.8</v>
          </cell>
          <cell r="D21">
            <v>0.3</v>
          </cell>
          <cell r="E21">
            <v>0.2</v>
          </cell>
        </row>
        <row r="22">
          <cell r="B22">
            <v>650</v>
          </cell>
          <cell r="C22">
            <v>0.85</v>
          </cell>
          <cell r="D22">
            <v>0.3</v>
          </cell>
          <cell r="E22">
            <v>0.2</v>
          </cell>
        </row>
        <row r="23">
          <cell r="B23">
            <v>700</v>
          </cell>
          <cell r="C23">
            <v>0.9</v>
          </cell>
          <cell r="D23">
            <v>0.4</v>
          </cell>
          <cell r="E23">
            <v>0.3</v>
          </cell>
        </row>
        <row r="24">
          <cell r="B24">
            <v>750</v>
          </cell>
          <cell r="C24">
            <v>0.95</v>
          </cell>
          <cell r="D24">
            <v>0.4</v>
          </cell>
          <cell r="E24">
            <v>0.3</v>
          </cell>
        </row>
        <row r="25">
          <cell r="B25">
            <v>800</v>
          </cell>
          <cell r="C25">
            <v>1</v>
          </cell>
          <cell r="D25">
            <v>0.4</v>
          </cell>
          <cell r="E25">
            <v>0.3</v>
          </cell>
        </row>
      </sheetData>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refreshError="1"/>
      <sheetData sheetId="19"/>
      <sheetData sheetId="20" refreshError="1"/>
      <sheetData sheetId="21"/>
      <sheetData sheetId="22" refreshError="1"/>
      <sheetData sheetId="2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09"/>
      <sheetName val="단가조사"/>
      <sheetName val="기준표"/>
      <sheetName val="현장관리비"/>
      <sheetName val="실행내역"/>
      <sheetName val="터파기및재료"/>
      <sheetName val="여과지동"/>
      <sheetName val="기초자료"/>
      <sheetName val="2000년1차"/>
      <sheetName val="BM"/>
      <sheetName val="4월"/>
      <sheetName val="보활"/>
      <sheetName val="매매"/>
      <sheetName val="전신"/>
      <sheetName val="노임단가"/>
      <sheetName val="단가조사서"/>
      <sheetName val="Sheet1"/>
      <sheetName val="내역"/>
      <sheetName val="내역서"/>
      <sheetName val="집계표"/>
      <sheetName val="남평내역"/>
      <sheetName val="단가조정"/>
      <sheetName val="검측서"/>
      <sheetName val="투찰금액"/>
      <sheetName val="우배수"/>
      <sheetName val="공내역"/>
      <sheetName val="견적을지"/>
      <sheetName val="FRP PIPING 일위대가"/>
      <sheetName val="DATA"/>
      <sheetName val="48일위(기존)"/>
      <sheetName val="규격"/>
      <sheetName val="수종"/>
      <sheetName val="1.취수장"/>
      <sheetName val="재료"/>
      <sheetName val="중기조종사 단위단가"/>
      <sheetName val="표지"/>
      <sheetName val="총괄내역서"/>
      <sheetName val="일위대가"/>
      <sheetName val="NYS"/>
      <sheetName val="하중계산"/>
      <sheetName val="INPUT"/>
      <sheetName val="설계기준"/>
      <sheetName val="내역1"/>
      <sheetName val="#REF"/>
      <sheetName val="데리네이타현황"/>
      <sheetName val="Y-WORK"/>
      <sheetName val="기계경비(시간당)"/>
      <sheetName val="램머"/>
      <sheetName val="총괄-1"/>
      <sheetName val="BJJIN"/>
      <sheetName val="부대내역"/>
      <sheetName val="VII-2현장경비"/>
      <sheetName val="Ⅴ-2.공종별내역"/>
      <sheetName val="연결임시"/>
      <sheetName val="A1"/>
      <sheetName val="2.대외공문"/>
      <sheetName val="입찰"/>
      <sheetName val="현경"/>
      <sheetName val="토목내역서 (도급단가)"/>
      <sheetName val="총공사내역서"/>
      <sheetName val="본공사"/>
      <sheetName val="경율산정.XLS"/>
      <sheetName val="부대tu"/>
      <sheetName val="공토공단위당"/>
      <sheetName val="중기사용료"/>
      <sheetName val="적용노임"/>
      <sheetName val="일반자재"/>
      <sheetName val="SLAB&quot;1&quot;"/>
      <sheetName val="노무비단가"/>
      <sheetName val="토사(PE)"/>
      <sheetName val="설계예산서"/>
      <sheetName val="전차선로 물량표"/>
      <sheetName val="한강운반비"/>
      <sheetName val="노임"/>
      <sheetName val="자재"/>
      <sheetName val="기자재대비표"/>
      <sheetName val="Sheet5"/>
      <sheetName val="구조물공"/>
      <sheetName val="배수공"/>
      <sheetName val="부대공"/>
      <sheetName val="토공"/>
      <sheetName val="포장공"/>
      <sheetName val="노임이"/>
      <sheetName val="Sheet2"/>
      <sheetName val="시중노임단가"/>
      <sheetName val="조도"/>
      <sheetName val="소일위대가코드표"/>
      <sheetName val="DATE"/>
      <sheetName val="금광1터널"/>
      <sheetName val="개인"/>
      <sheetName val="금액"/>
      <sheetName val="물가대비표"/>
      <sheetName val="기술자료 (광화문)"/>
      <sheetName val="200"/>
      <sheetName val="실행내역서 "/>
      <sheetName val="변경현황"/>
      <sheetName val="준공정산총괄부분내역서"/>
      <sheetName val="노무비지급명세"/>
      <sheetName val="SILICATE"/>
      <sheetName val="설계조건"/>
      <sheetName val="내역전기"/>
      <sheetName val="공정코드"/>
      <sheetName val="단면치수기입"/>
      <sheetName val="작업일보"/>
      <sheetName val="가중치"/>
      <sheetName val="단가"/>
      <sheetName val="일위목록"/>
      <sheetName val="Sheet1 (2)"/>
      <sheetName val="단면가정"/>
      <sheetName val="단위중량"/>
      <sheetName val="실행(1)"/>
      <sheetName val="임시전기공사설계서"/>
      <sheetName val="내역서(교량)전체"/>
      <sheetName val="기준액"/>
      <sheetName val="구조물"/>
      <sheetName val="세부내역서"/>
      <sheetName val="간선"/>
      <sheetName val="발전기"/>
      <sheetName val="DUT-BAT1"/>
      <sheetName val="전기자료"/>
      <sheetName val="도체종-상수표"/>
      <sheetName val="준검 내역서"/>
      <sheetName val="별표 "/>
      <sheetName val="보험료산출"/>
      <sheetName val="J"/>
      <sheetName val="산출내역(4월)"/>
      <sheetName val="산출내역(5월) (2)"/>
      <sheetName val="토목검측서"/>
      <sheetName val="복갑"/>
      <sheetName val="일위대가(1)"/>
      <sheetName val="VST재료산출"/>
      <sheetName val="철거현황"/>
      <sheetName val="을지"/>
      <sheetName val="건축내역"/>
      <sheetName val="슬래브"/>
      <sheetName val="기계"/>
      <sheetName val="정화조"/>
      <sheetName val="조경"/>
      <sheetName val="토목"/>
      <sheetName val="기성내역서표지"/>
      <sheetName val="청천내"/>
      <sheetName val="산출근거"/>
      <sheetName val="환경인력"/>
      <sheetName val="화성태안9공구내역(실행)"/>
      <sheetName val="기록장"/>
      <sheetName val="감액총괄표"/>
      <sheetName val="철거공사1"/>
      <sheetName val="b_balju_cho"/>
      <sheetName val="데이타"/>
      <sheetName val="설계명세서"/>
      <sheetName val="자재단가"/>
      <sheetName val="산출금액내역"/>
      <sheetName val="직재"/>
      <sheetName val="견적가"/>
      <sheetName val="일위집계"/>
      <sheetName val="기존단가 (2)"/>
      <sheetName val="견적"/>
      <sheetName val="공통가설(현장검토안)"/>
      <sheetName val="경산"/>
      <sheetName val="원가계산서"/>
      <sheetName val="9902"/>
      <sheetName val="노임단가명세서"/>
      <sheetName val="참조"/>
      <sheetName val="기자재단가"/>
      <sheetName val="4원가계산"/>
      <sheetName val="3.3"/>
      <sheetName val="일위"/>
      <sheetName val="EXPENSE"/>
      <sheetName val=" 내역서"/>
      <sheetName val="인구"/>
      <sheetName val="환경평가"/>
      <sheetName val="기본단가표"/>
      <sheetName val="wall"/>
      <sheetName val="건축원가"/>
      <sheetName val="직노"/>
      <sheetName val="c_balju"/>
      <sheetName val="교량하부공"/>
      <sheetName val="구역화물"/>
      <sheetName val="단위목록"/>
      <sheetName val="시험비"/>
      <sheetName val="일위대가목록"/>
      <sheetName val="기계경비목록"/>
      <sheetName val="개산공사비"/>
      <sheetName val="대창토공"/>
      <sheetName val="기준단가표"/>
      <sheetName val="빌딩 안내"/>
      <sheetName val="당초"/>
      <sheetName val="1공구원가계산서"/>
      <sheetName val="전기단가조사서"/>
      <sheetName val="사진내용 입력"/>
      <sheetName val="경안수량"/>
      <sheetName val="수량계산"/>
      <sheetName val="수량산출"/>
      <sheetName val="노무비"/>
      <sheetName val="샘플표지"/>
      <sheetName val="덕전리"/>
    </sheetNames>
    <sheetDataSet>
      <sheetData sheetId="0" refreshError="1">
        <row r="3">
          <cell r="A3">
            <v>1</v>
          </cell>
          <cell r="B3" t="str">
            <v>전선관</v>
          </cell>
          <cell r="C3" t="str">
            <v>ST  16C</v>
          </cell>
          <cell r="D3" t="str">
            <v>m</v>
          </cell>
          <cell r="G3">
            <v>741</v>
          </cell>
          <cell r="H3">
            <v>665</v>
          </cell>
          <cell r="Q3">
            <v>665</v>
          </cell>
          <cell r="R3">
            <v>0.1</v>
          </cell>
          <cell r="S3" t="str">
            <v>내선</v>
          </cell>
          <cell r="T3">
            <v>0.08</v>
          </cell>
          <cell r="U3" t="str">
            <v>내선</v>
          </cell>
          <cell r="V3">
            <v>5.6000000000000001E-2</v>
          </cell>
          <cell r="Y3" t="str">
            <v>지중매설 :70%</v>
          </cell>
        </row>
        <row r="4">
          <cell r="A4">
            <v>2</v>
          </cell>
          <cell r="B4" t="str">
            <v>전선관</v>
          </cell>
          <cell r="C4" t="str">
            <v>ST  22C</v>
          </cell>
          <cell r="D4" t="str">
            <v>m</v>
          </cell>
          <cell r="G4">
            <v>741</v>
          </cell>
          <cell r="H4">
            <v>852</v>
          </cell>
          <cell r="Q4">
            <v>852</v>
          </cell>
          <cell r="R4">
            <v>0.1</v>
          </cell>
          <cell r="S4" t="str">
            <v>내선</v>
          </cell>
          <cell r="T4">
            <v>0.11</v>
          </cell>
          <cell r="U4" t="str">
            <v>내선</v>
          </cell>
          <cell r="V4">
            <v>7.6999999999999999E-2</v>
          </cell>
          <cell r="Y4" t="str">
            <v>지중매설 :70%</v>
          </cell>
        </row>
        <row r="5">
          <cell r="A5">
            <v>3</v>
          </cell>
          <cell r="B5" t="str">
            <v>전선관</v>
          </cell>
          <cell r="C5" t="str">
            <v>ST  28C</v>
          </cell>
          <cell r="D5" t="str">
            <v>m</v>
          </cell>
          <cell r="G5">
            <v>741</v>
          </cell>
          <cell r="H5">
            <v>1112</v>
          </cell>
          <cell r="Q5">
            <v>1112</v>
          </cell>
          <cell r="R5">
            <v>0.1</v>
          </cell>
          <cell r="S5" t="str">
            <v>내선</v>
          </cell>
          <cell r="T5">
            <v>0.14000000000000001</v>
          </cell>
          <cell r="U5" t="str">
            <v>내선</v>
          </cell>
          <cell r="V5">
            <v>9.8000000000000004E-2</v>
          </cell>
          <cell r="Y5" t="str">
            <v>지중매설 :70%</v>
          </cell>
        </row>
        <row r="6">
          <cell r="A6">
            <v>4</v>
          </cell>
          <cell r="B6" t="str">
            <v>전선관</v>
          </cell>
          <cell r="C6" t="str">
            <v>ST  36C</v>
          </cell>
          <cell r="D6" t="str">
            <v>m</v>
          </cell>
          <cell r="G6">
            <v>741</v>
          </cell>
          <cell r="H6">
            <v>1365</v>
          </cell>
          <cell r="Q6">
            <v>1365</v>
          </cell>
          <cell r="R6">
            <v>0.1</v>
          </cell>
          <cell r="S6" t="str">
            <v>내선</v>
          </cell>
          <cell r="T6">
            <v>0.2</v>
          </cell>
          <cell r="U6" t="str">
            <v>내선</v>
          </cell>
          <cell r="V6">
            <v>0.14000000000000001</v>
          </cell>
          <cell r="Y6" t="str">
            <v>지중매설 :70%</v>
          </cell>
        </row>
        <row r="7">
          <cell r="A7">
            <v>5</v>
          </cell>
          <cell r="B7" t="str">
            <v>전선관</v>
          </cell>
          <cell r="C7" t="str">
            <v>ST  42C</v>
          </cell>
          <cell r="D7" t="str">
            <v>m</v>
          </cell>
          <cell r="G7">
            <v>741</v>
          </cell>
          <cell r="H7">
            <v>1582</v>
          </cell>
          <cell r="Q7">
            <v>1582</v>
          </cell>
          <cell r="R7">
            <v>0.1</v>
          </cell>
          <cell r="S7" t="str">
            <v>내선</v>
          </cell>
          <cell r="T7">
            <v>0.25</v>
          </cell>
          <cell r="U7" t="str">
            <v>내선</v>
          </cell>
          <cell r="V7">
            <v>0.17499999999999999</v>
          </cell>
          <cell r="Y7" t="str">
            <v>지중매설 :70%</v>
          </cell>
        </row>
        <row r="8">
          <cell r="A8">
            <v>6</v>
          </cell>
          <cell r="B8" t="str">
            <v>전선관</v>
          </cell>
          <cell r="C8" t="str">
            <v>ST  54C</v>
          </cell>
          <cell r="D8" t="str">
            <v>m</v>
          </cell>
          <cell r="G8">
            <v>741</v>
          </cell>
          <cell r="H8">
            <v>2206</v>
          </cell>
          <cell r="Q8">
            <v>2206</v>
          </cell>
          <cell r="R8">
            <v>0.1</v>
          </cell>
          <cell r="S8" t="str">
            <v>내선</v>
          </cell>
          <cell r="T8">
            <v>0.34</v>
          </cell>
          <cell r="U8" t="str">
            <v>내선</v>
          </cell>
          <cell r="V8">
            <v>0.23799999999999999</v>
          </cell>
          <cell r="Y8" t="str">
            <v>지중매설 :70%</v>
          </cell>
        </row>
        <row r="9">
          <cell r="A9">
            <v>7</v>
          </cell>
          <cell r="B9" t="str">
            <v>전선관</v>
          </cell>
          <cell r="C9" t="str">
            <v>ST  104C</v>
          </cell>
          <cell r="D9" t="str">
            <v>m</v>
          </cell>
          <cell r="G9">
            <v>741</v>
          </cell>
          <cell r="H9">
            <v>5020</v>
          </cell>
          <cell r="Q9">
            <v>5020</v>
          </cell>
          <cell r="R9">
            <v>0.1</v>
          </cell>
          <cell r="S9" t="str">
            <v>내선</v>
          </cell>
          <cell r="T9">
            <v>0.71</v>
          </cell>
          <cell r="U9" t="str">
            <v>내선</v>
          </cell>
          <cell r="V9">
            <v>0.497</v>
          </cell>
          <cell r="Y9" t="str">
            <v>지중매설 :70%</v>
          </cell>
        </row>
        <row r="10">
          <cell r="A10">
            <v>8</v>
          </cell>
          <cell r="Q10" t="str">
            <v/>
          </cell>
        </row>
        <row r="11">
          <cell r="A11">
            <v>9</v>
          </cell>
          <cell r="Q11" t="str">
            <v/>
          </cell>
        </row>
        <row r="12">
          <cell r="A12">
            <v>10</v>
          </cell>
          <cell r="B12" t="str">
            <v>전선관</v>
          </cell>
          <cell r="C12" t="str">
            <v>HI-PVC  16C</v>
          </cell>
          <cell r="D12" t="str">
            <v>m</v>
          </cell>
          <cell r="G12">
            <v>745</v>
          </cell>
          <cell r="H12">
            <v>279</v>
          </cell>
          <cell r="Q12">
            <v>279</v>
          </cell>
          <cell r="R12">
            <v>0.1</v>
          </cell>
          <cell r="S12" t="str">
            <v>내선</v>
          </cell>
          <cell r="T12">
            <v>0.05</v>
          </cell>
          <cell r="U12" t="str">
            <v>내선</v>
          </cell>
          <cell r="V12">
            <v>3.5000000000000003E-2</v>
          </cell>
          <cell r="Y12" t="str">
            <v>지중매설 :70%</v>
          </cell>
        </row>
        <row r="13">
          <cell r="A13">
            <v>11</v>
          </cell>
          <cell r="B13" t="str">
            <v>전선관</v>
          </cell>
          <cell r="C13" t="str">
            <v>HI-PVC  22C</v>
          </cell>
          <cell r="D13" t="str">
            <v>m</v>
          </cell>
          <cell r="G13">
            <v>745</v>
          </cell>
          <cell r="H13">
            <v>336</v>
          </cell>
          <cell r="Q13">
            <v>336</v>
          </cell>
          <cell r="R13">
            <v>0.1</v>
          </cell>
          <cell r="S13" t="str">
            <v>내선</v>
          </cell>
          <cell r="T13">
            <v>0.06</v>
          </cell>
          <cell r="U13" t="str">
            <v>내선</v>
          </cell>
          <cell r="V13">
            <v>4.2000000000000003E-2</v>
          </cell>
          <cell r="Y13" t="str">
            <v>지중매설 :70%</v>
          </cell>
        </row>
        <row r="14">
          <cell r="A14">
            <v>12</v>
          </cell>
          <cell r="B14" t="str">
            <v>전선관</v>
          </cell>
          <cell r="C14" t="str">
            <v>HI-PVC  28C</v>
          </cell>
          <cell r="D14" t="str">
            <v>m</v>
          </cell>
          <cell r="G14">
            <v>745</v>
          </cell>
          <cell r="H14">
            <v>650</v>
          </cell>
          <cell r="Q14">
            <v>650</v>
          </cell>
          <cell r="R14">
            <v>0.1</v>
          </cell>
          <cell r="S14" t="str">
            <v>내선</v>
          </cell>
          <cell r="T14">
            <v>0.08</v>
          </cell>
          <cell r="U14" t="str">
            <v>내선</v>
          </cell>
          <cell r="V14">
            <v>5.6000000000000001E-2</v>
          </cell>
          <cell r="Y14" t="str">
            <v>지중매설 :70%</v>
          </cell>
        </row>
        <row r="15">
          <cell r="A15">
            <v>13</v>
          </cell>
          <cell r="B15" t="str">
            <v>전선관</v>
          </cell>
          <cell r="C15" t="str">
            <v>HI-PVC  36C</v>
          </cell>
          <cell r="D15" t="str">
            <v>m</v>
          </cell>
          <cell r="G15">
            <v>745</v>
          </cell>
          <cell r="H15">
            <v>906</v>
          </cell>
          <cell r="Q15">
            <v>906</v>
          </cell>
          <cell r="R15">
            <v>0.1</v>
          </cell>
          <cell r="S15" t="str">
            <v>내선</v>
          </cell>
          <cell r="T15">
            <v>0.1</v>
          </cell>
          <cell r="U15" t="str">
            <v>내선</v>
          </cell>
          <cell r="V15">
            <v>7.0000000000000007E-2</v>
          </cell>
          <cell r="Y15" t="str">
            <v>지중매설 :70%</v>
          </cell>
        </row>
        <row r="16">
          <cell r="A16">
            <v>14</v>
          </cell>
          <cell r="B16" t="str">
            <v>전선관</v>
          </cell>
          <cell r="C16" t="str">
            <v>HI-PVC  42C</v>
          </cell>
          <cell r="D16" t="str">
            <v>m</v>
          </cell>
          <cell r="G16">
            <v>745</v>
          </cell>
          <cell r="H16">
            <v>1182</v>
          </cell>
          <cell r="Q16">
            <v>1182</v>
          </cell>
          <cell r="R16">
            <v>0.1</v>
          </cell>
          <cell r="S16" t="str">
            <v>내선</v>
          </cell>
          <cell r="T16">
            <v>0.13</v>
          </cell>
          <cell r="U16" t="str">
            <v>내선</v>
          </cell>
          <cell r="V16">
            <v>9.0999999999999998E-2</v>
          </cell>
          <cell r="Y16" t="str">
            <v>지중매설 :70%</v>
          </cell>
        </row>
        <row r="17">
          <cell r="A17">
            <v>15</v>
          </cell>
          <cell r="Q17" t="str">
            <v/>
          </cell>
          <cell r="S17" t="str">
            <v>내선</v>
          </cell>
          <cell r="T17">
            <v>8.8749999999999996E-2</v>
          </cell>
        </row>
        <row r="18">
          <cell r="A18">
            <v>16</v>
          </cell>
          <cell r="Q18" t="str">
            <v/>
          </cell>
        </row>
        <row r="19">
          <cell r="A19">
            <v>17</v>
          </cell>
          <cell r="B19" t="str">
            <v>전선관</v>
          </cell>
          <cell r="C19" t="str">
            <v xml:space="preserve">PE  22C  </v>
          </cell>
          <cell r="D19" t="str">
            <v>m</v>
          </cell>
          <cell r="G19">
            <v>746</v>
          </cell>
          <cell r="H19">
            <v>200</v>
          </cell>
          <cell r="Q19">
            <v>200</v>
          </cell>
          <cell r="R19">
            <v>0.1</v>
          </cell>
          <cell r="U19" t="str">
            <v>배전</v>
          </cell>
          <cell r="V19">
            <v>7.8E-2</v>
          </cell>
        </row>
        <row r="20">
          <cell r="A20">
            <v>18</v>
          </cell>
          <cell r="B20" t="str">
            <v>전선관</v>
          </cell>
          <cell r="C20" t="str">
            <v>PE  28C</v>
          </cell>
          <cell r="D20" t="str">
            <v>m</v>
          </cell>
          <cell r="G20">
            <v>746</v>
          </cell>
          <cell r="H20">
            <v>330</v>
          </cell>
          <cell r="Q20">
            <v>330</v>
          </cell>
          <cell r="R20">
            <v>0.1</v>
          </cell>
          <cell r="U20" t="str">
            <v>배전</v>
          </cell>
          <cell r="V20">
            <v>7.8E-2</v>
          </cell>
        </row>
        <row r="21">
          <cell r="A21">
            <v>19</v>
          </cell>
          <cell r="B21" t="str">
            <v>전선관</v>
          </cell>
          <cell r="C21" t="str">
            <v>PE  36C</v>
          </cell>
          <cell r="D21" t="str">
            <v>m</v>
          </cell>
          <cell r="G21">
            <v>746</v>
          </cell>
          <cell r="H21">
            <v>490</v>
          </cell>
          <cell r="Q21">
            <v>490</v>
          </cell>
          <cell r="R21">
            <v>0.1</v>
          </cell>
          <cell r="U21" t="str">
            <v>배전</v>
          </cell>
          <cell r="V21">
            <v>7.8E-2</v>
          </cell>
        </row>
        <row r="22">
          <cell r="A22">
            <v>20</v>
          </cell>
          <cell r="B22" t="str">
            <v>전선관</v>
          </cell>
          <cell r="C22" t="str">
            <v>PE  42C</v>
          </cell>
          <cell r="D22" t="str">
            <v>m</v>
          </cell>
          <cell r="G22">
            <v>746</v>
          </cell>
          <cell r="H22">
            <v>570</v>
          </cell>
          <cell r="Q22">
            <v>570</v>
          </cell>
          <cell r="R22">
            <v>0.1</v>
          </cell>
          <cell r="U22" t="str">
            <v>배전</v>
          </cell>
          <cell r="V22">
            <v>7.8E-2</v>
          </cell>
        </row>
        <row r="23">
          <cell r="A23">
            <v>21</v>
          </cell>
          <cell r="Q23" t="str">
            <v/>
          </cell>
        </row>
        <row r="24">
          <cell r="A24">
            <v>22</v>
          </cell>
          <cell r="Q24" t="str">
            <v/>
          </cell>
        </row>
        <row r="25">
          <cell r="A25">
            <v>23</v>
          </cell>
          <cell r="B25" t="str">
            <v>전선관</v>
          </cell>
          <cell r="C25" t="str">
            <v xml:space="preserve">ELPφ30  </v>
          </cell>
          <cell r="D25" t="str">
            <v>m</v>
          </cell>
          <cell r="G25">
            <v>745</v>
          </cell>
          <cell r="H25">
            <v>330</v>
          </cell>
          <cell r="Q25">
            <v>330</v>
          </cell>
          <cell r="R25">
            <v>0.1</v>
          </cell>
          <cell r="U25" t="str">
            <v>배전</v>
          </cell>
          <cell r="V25">
            <v>1.2E-2</v>
          </cell>
          <cell r="W25" t="str">
            <v>보인</v>
          </cell>
          <cell r="X25">
            <v>2.9000000000000001E-2</v>
          </cell>
        </row>
        <row r="26">
          <cell r="A26">
            <v>24</v>
          </cell>
          <cell r="B26" t="str">
            <v>전선관</v>
          </cell>
          <cell r="C26" t="str">
            <v xml:space="preserve">ELPφ40  </v>
          </cell>
          <cell r="D26" t="str">
            <v>m</v>
          </cell>
          <cell r="G26">
            <v>745</v>
          </cell>
          <cell r="H26">
            <v>480</v>
          </cell>
          <cell r="Q26">
            <v>480</v>
          </cell>
          <cell r="R26">
            <v>0.1</v>
          </cell>
          <cell r="U26" t="str">
            <v>배전</v>
          </cell>
          <cell r="V26">
            <v>1.2E-2</v>
          </cell>
          <cell r="W26" t="str">
            <v>보인</v>
          </cell>
          <cell r="X26">
            <v>2.9000000000000001E-2</v>
          </cell>
        </row>
        <row r="27">
          <cell r="A27">
            <v>25</v>
          </cell>
          <cell r="B27" t="str">
            <v>전선관</v>
          </cell>
          <cell r="C27" t="str">
            <v xml:space="preserve">ELPφ50  </v>
          </cell>
          <cell r="D27" t="str">
            <v>m</v>
          </cell>
          <cell r="G27">
            <v>745</v>
          </cell>
          <cell r="H27">
            <v>600</v>
          </cell>
          <cell r="Q27">
            <v>600</v>
          </cell>
          <cell r="R27">
            <v>0.1</v>
          </cell>
          <cell r="U27" t="str">
            <v>배전</v>
          </cell>
          <cell r="V27">
            <v>1.2E-2</v>
          </cell>
          <cell r="W27" t="str">
            <v>보인</v>
          </cell>
          <cell r="X27">
            <v>2.9000000000000001E-2</v>
          </cell>
        </row>
        <row r="28">
          <cell r="A28">
            <v>26</v>
          </cell>
          <cell r="B28" t="str">
            <v>전선관</v>
          </cell>
          <cell r="C28" t="str">
            <v>ELPφ65</v>
          </cell>
          <cell r="D28" t="str">
            <v>m</v>
          </cell>
          <cell r="G28">
            <v>745</v>
          </cell>
          <cell r="H28">
            <v>900</v>
          </cell>
          <cell r="Q28">
            <v>900</v>
          </cell>
          <cell r="R28">
            <v>0.1</v>
          </cell>
          <cell r="U28" t="str">
            <v>배전</v>
          </cell>
          <cell r="V28">
            <v>1.4999999999999999E-2</v>
          </cell>
          <cell r="W28" t="str">
            <v>보인</v>
          </cell>
          <cell r="X28">
            <v>3.5000000000000003E-2</v>
          </cell>
        </row>
        <row r="29">
          <cell r="A29">
            <v>27</v>
          </cell>
          <cell r="B29" t="str">
            <v>전선관</v>
          </cell>
          <cell r="C29" t="str">
            <v>ELPφ80</v>
          </cell>
          <cell r="D29" t="str">
            <v>m</v>
          </cell>
          <cell r="G29">
            <v>745</v>
          </cell>
          <cell r="H29">
            <v>1300</v>
          </cell>
          <cell r="Q29">
            <v>1300</v>
          </cell>
          <cell r="R29">
            <v>0.1</v>
          </cell>
          <cell r="U29" t="str">
            <v>배전</v>
          </cell>
          <cell r="V29">
            <v>1.4999999999999999E-2</v>
          </cell>
          <cell r="W29" t="str">
            <v>보인</v>
          </cell>
          <cell r="X29">
            <v>3.5000000000000003E-2</v>
          </cell>
        </row>
        <row r="30">
          <cell r="A30">
            <v>28</v>
          </cell>
          <cell r="B30" t="str">
            <v>전선관</v>
          </cell>
          <cell r="C30" t="str">
            <v>ELPφ100</v>
          </cell>
          <cell r="D30" t="str">
            <v>m</v>
          </cell>
          <cell r="G30">
            <v>745</v>
          </cell>
          <cell r="H30">
            <v>1800</v>
          </cell>
          <cell r="Q30">
            <v>1800</v>
          </cell>
          <cell r="R30">
            <v>0.1</v>
          </cell>
          <cell r="U30" t="str">
            <v>배전</v>
          </cell>
          <cell r="V30">
            <v>1.7999999999999999E-2</v>
          </cell>
          <cell r="W30" t="str">
            <v>보인</v>
          </cell>
          <cell r="X30">
            <v>5.7000000000000002E-2</v>
          </cell>
        </row>
        <row r="31">
          <cell r="A31">
            <v>29</v>
          </cell>
          <cell r="B31" t="str">
            <v>전선관</v>
          </cell>
          <cell r="C31" t="str">
            <v>ELPφ125</v>
          </cell>
          <cell r="D31" t="str">
            <v>m</v>
          </cell>
          <cell r="G31">
            <v>745</v>
          </cell>
          <cell r="H31">
            <v>2700</v>
          </cell>
          <cell r="Q31">
            <v>2700</v>
          </cell>
          <cell r="R31">
            <v>0.1</v>
          </cell>
          <cell r="U31" t="str">
            <v>배전</v>
          </cell>
          <cell r="V31">
            <v>2.5000000000000001E-2</v>
          </cell>
          <cell r="W31" t="str">
            <v>보인</v>
          </cell>
          <cell r="X31">
            <v>7.6999999999999999E-2</v>
          </cell>
        </row>
        <row r="32">
          <cell r="A32">
            <v>30</v>
          </cell>
          <cell r="B32" t="str">
            <v>전선관</v>
          </cell>
          <cell r="C32" t="str">
            <v>ELPφ150</v>
          </cell>
          <cell r="D32" t="str">
            <v>m</v>
          </cell>
          <cell r="G32">
            <v>745</v>
          </cell>
          <cell r="H32">
            <v>3200</v>
          </cell>
          <cell r="Q32">
            <v>3200</v>
          </cell>
          <cell r="R32">
            <v>0.1</v>
          </cell>
          <cell r="U32" t="str">
            <v>배전</v>
          </cell>
          <cell r="V32">
            <v>0.03</v>
          </cell>
          <cell r="W32" t="str">
            <v>보인</v>
          </cell>
          <cell r="X32">
            <v>9.7000000000000003E-2</v>
          </cell>
        </row>
        <row r="33">
          <cell r="A33">
            <v>31</v>
          </cell>
          <cell r="B33" t="str">
            <v>전선관</v>
          </cell>
          <cell r="C33" t="str">
            <v>ELPφ175</v>
          </cell>
          <cell r="D33" t="str">
            <v>m</v>
          </cell>
          <cell r="G33">
            <v>745</v>
          </cell>
          <cell r="H33">
            <v>4800</v>
          </cell>
          <cell r="Q33">
            <v>4800</v>
          </cell>
          <cell r="R33">
            <v>0.1</v>
          </cell>
          <cell r="U33" t="str">
            <v>배전</v>
          </cell>
          <cell r="V33">
            <v>3.5999999999999997E-2</v>
          </cell>
          <cell r="W33" t="str">
            <v>보인</v>
          </cell>
          <cell r="X33">
            <v>0.11700000000000001</v>
          </cell>
        </row>
        <row r="34">
          <cell r="A34">
            <v>32</v>
          </cell>
          <cell r="B34" t="str">
            <v>전선관</v>
          </cell>
          <cell r="C34" t="str">
            <v>ELPφ200</v>
          </cell>
          <cell r="D34" t="str">
            <v>m</v>
          </cell>
          <cell r="G34">
            <v>745</v>
          </cell>
          <cell r="H34">
            <v>6400</v>
          </cell>
          <cell r="Q34">
            <v>6400</v>
          </cell>
          <cell r="R34">
            <v>0.1</v>
          </cell>
          <cell r="U34" t="str">
            <v>배전</v>
          </cell>
          <cell r="V34">
            <v>4.1000000000000002E-2</v>
          </cell>
          <cell r="W34" t="str">
            <v>보인</v>
          </cell>
          <cell r="X34">
            <v>0.129</v>
          </cell>
        </row>
        <row r="35">
          <cell r="A35">
            <v>33</v>
          </cell>
          <cell r="B35" t="str">
            <v>FLEXIBLE  TUBE 2종</v>
          </cell>
          <cell r="C35" t="str">
            <v>PLICA 방수 #38</v>
          </cell>
          <cell r="D35" t="str">
            <v>m</v>
          </cell>
          <cell r="G35">
            <v>743</v>
          </cell>
          <cell r="H35">
            <v>5560</v>
          </cell>
          <cell r="Q35">
            <v>5560</v>
          </cell>
          <cell r="R35">
            <v>0.1</v>
          </cell>
          <cell r="S35" t="str">
            <v>내선</v>
          </cell>
          <cell r="T35">
            <v>9.0999999999999998E-2</v>
          </cell>
        </row>
        <row r="36">
          <cell r="A36">
            <v>34</v>
          </cell>
          <cell r="B36" t="str">
            <v>FLEXIBLE  TUBE 2종</v>
          </cell>
          <cell r="C36" t="str">
            <v>PLICA 방수 #50</v>
          </cell>
          <cell r="D36" t="str">
            <v>m</v>
          </cell>
          <cell r="G36">
            <v>743</v>
          </cell>
          <cell r="H36">
            <v>8080</v>
          </cell>
          <cell r="Q36">
            <v>8080</v>
          </cell>
          <cell r="R36">
            <v>0.1</v>
          </cell>
          <cell r="S36" t="str">
            <v>내선</v>
          </cell>
          <cell r="T36">
            <v>0.13</v>
          </cell>
        </row>
        <row r="37">
          <cell r="A37">
            <v>35</v>
          </cell>
          <cell r="B37" t="str">
            <v>FLEXIBLE  TUBE 1종</v>
          </cell>
          <cell r="C37" t="str">
            <v>고장력비방수  15C</v>
          </cell>
          <cell r="D37" t="str">
            <v>m</v>
          </cell>
          <cell r="G37">
            <v>742</v>
          </cell>
          <cell r="H37">
            <v>930</v>
          </cell>
          <cell r="Q37">
            <v>930</v>
          </cell>
          <cell r="R37">
            <v>0.1</v>
          </cell>
          <cell r="S37" t="str">
            <v>내선</v>
          </cell>
          <cell r="T37">
            <v>3.9E-2</v>
          </cell>
        </row>
        <row r="38">
          <cell r="A38">
            <v>36</v>
          </cell>
          <cell r="B38" t="str">
            <v>FLEXIBLE  CONNECTOR</v>
          </cell>
          <cell r="C38" t="str">
            <v>PVC 15C-CD</v>
          </cell>
          <cell r="D38" t="str">
            <v>EA</v>
          </cell>
          <cell r="G38">
            <v>746</v>
          </cell>
          <cell r="H38">
            <v>90</v>
          </cell>
          <cell r="Q38">
            <v>90</v>
          </cell>
        </row>
        <row r="39">
          <cell r="A39">
            <v>37</v>
          </cell>
          <cell r="B39" t="str">
            <v>FLEXIBLE  TUBE 1종</v>
          </cell>
          <cell r="C39" t="str">
            <v>고장력방수  15C</v>
          </cell>
          <cell r="D39" t="str">
            <v>m</v>
          </cell>
          <cell r="G39">
            <v>742</v>
          </cell>
          <cell r="H39">
            <v>2000</v>
          </cell>
          <cell r="Q39">
            <v>2000</v>
          </cell>
          <cell r="R39">
            <v>0.1</v>
          </cell>
          <cell r="S39" t="str">
            <v>내선</v>
          </cell>
          <cell r="T39">
            <v>3.9E-2</v>
          </cell>
        </row>
        <row r="40">
          <cell r="A40">
            <v>38</v>
          </cell>
          <cell r="B40" t="str">
            <v>FLEXIBLE  CONNECTOR</v>
          </cell>
          <cell r="C40" t="str">
            <v>방수용콘넥타15C-황동</v>
          </cell>
          <cell r="D40" t="str">
            <v>EA</v>
          </cell>
          <cell r="G40">
            <v>742</v>
          </cell>
          <cell r="H40">
            <v>1370</v>
          </cell>
          <cell r="Q40">
            <v>1370</v>
          </cell>
        </row>
        <row r="41">
          <cell r="A41">
            <v>39</v>
          </cell>
          <cell r="B41" t="str">
            <v>FLEXIBLE  TUBE 1종</v>
          </cell>
          <cell r="C41" t="str">
            <v>고장력방수  17C</v>
          </cell>
          <cell r="D41" t="str">
            <v>m</v>
          </cell>
          <cell r="G41">
            <v>742</v>
          </cell>
          <cell r="H41">
            <v>2620</v>
          </cell>
          <cell r="Q41">
            <v>2620</v>
          </cell>
          <cell r="R41">
            <v>0.1</v>
          </cell>
          <cell r="S41" t="str">
            <v>내선</v>
          </cell>
          <cell r="T41">
            <v>4.9000000000000002E-2</v>
          </cell>
        </row>
        <row r="42">
          <cell r="A42">
            <v>40</v>
          </cell>
          <cell r="B42" t="str">
            <v>FLEXIBLE  CONNECTOR</v>
          </cell>
          <cell r="C42" t="str">
            <v>방수용콘넥타17C-황동</v>
          </cell>
          <cell r="D42" t="str">
            <v>EA</v>
          </cell>
          <cell r="G42">
            <v>742</v>
          </cell>
          <cell r="H42">
            <v>1890</v>
          </cell>
          <cell r="Q42">
            <v>1890</v>
          </cell>
        </row>
        <row r="43">
          <cell r="A43">
            <v>41</v>
          </cell>
          <cell r="B43" t="str">
            <v>FLEXIBLE  TUBE 1종</v>
          </cell>
          <cell r="C43" t="str">
            <v>고장력방수  24C</v>
          </cell>
          <cell r="D43" t="str">
            <v>m</v>
          </cell>
          <cell r="G43">
            <v>742</v>
          </cell>
          <cell r="H43">
            <v>3120</v>
          </cell>
          <cell r="Q43">
            <v>3120</v>
          </cell>
          <cell r="R43">
            <v>0.1</v>
          </cell>
          <cell r="S43" t="str">
            <v>내선</v>
          </cell>
          <cell r="T43">
            <v>6.3E-2</v>
          </cell>
        </row>
        <row r="44">
          <cell r="A44">
            <v>42</v>
          </cell>
          <cell r="B44" t="str">
            <v>FLEXIBLE  CONNECTOR</v>
          </cell>
          <cell r="C44" t="str">
            <v>방수용콘넥타24C-황동</v>
          </cell>
          <cell r="D44" t="str">
            <v>EA</v>
          </cell>
          <cell r="G44">
            <v>742</v>
          </cell>
          <cell r="H44">
            <v>2300</v>
          </cell>
          <cell r="Q44">
            <v>2300</v>
          </cell>
        </row>
        <row r="45">
          <cell r="A45">
            <v>43</v>
          </cell>
          <cell r="B45" t="str">
            <v>FLEXIBLE  TUBE 1종</v>
          </cell>
          <cell r="C45" t="str">
            <v>고장력방수  30C</v>
          </cell>
          <cell r="D45" t="str">
            <v>m</v>
          </cell>
          <cell r="G45">
            <v>742</v>
          </cell>
          <cell r="H45">
            <v>4700</v>
          </cell>
          <cell r="Q45">
            <v>4700</v>
          </cell>
          <cell r="R45">
            <v>0.1</v>
          </cell>
          <cell r="S45" t="str">
            <v>내선</v>
          </cell>
          <cell r="T45">
            <v>7.6999999999999999E-2</v>
          </cell>
        </row>
        <row r="46">
          <cell r="A46">
            <v>44</v>
          </cell>
          <cell r="B46" t="str">
            <v>FLEXIBLE  CONNECTOR</v>
          </cell>
          <cell r="C46" t="str">
            <v>방수용콘넥타30C-황동</v>
          </cell>
          <cell r="D46" t="str">
            <v>EA</v>
          </cell>
          <cell r="G46">
            <v>742</v>
          </cell>
          <cell r="H46">
            <v>3620</v>
          </cell>
          <cell r="Q46">
            <v>3620</v>
          </cell>
        </row>
        <row r="47">
          <cell r="A47">
            <v>45</v>
          </cell>
          <cell r="B47" t="str">
            <v>FLEXIBLE  TUBE 1종</v>
          </cell>
          <cell r="C47" t="str">
            <v>고장력방수  38C</v>
          </cell>
          <cell r="D47" t="str">
            <v>m</v>
          </cell>
          <cell r="G47">
            <v>742</v>
          </cell>
          <cell r="H47">
            <v>7500</v>
          </cell>
          <cell r="Q47">
            <v>7500</v>
          </cell>
          <cell r="R47">
            <v>0.1</v>
          </cell>
          <cell r="S47" t="str">
            <v>내선</v>
          </cell>
          <cell r="T47">
            <v>9.0999999999999998E-2</v>
          </cell>
        </row>
        <row r="48">
          <cell r="A48">
            <v>46</v>
          </cell>
          <cell r="B48" t="str">
            <v>FLEXIBLE  CONNECTOR</v>
          </cell>
          <cell r="C48" t="str">
            <v>방수용콘넥타38C-황동</v>
          </cell>
          <cell r="D48" t="str">
            <v>EA</v>
          </cell>
          <cell r="G48">
            <v>742</v>
          </cell>
          <cell r="H48">
            <v>5450</v>
          </cell>
          <cell r="Q48">
            <v>5450</v>
          </cell>
        </row>
        <row r="49">
          <cell r="A49">
            <v>47</v>
          </cell>
          <cell r="B49" t="str">
            <v>FLEXIBLE  TUBE 1종</v>
          </cell>
          <cell r="C49" t="str">
            <v>고장력방수 50C</v>
          </cell>
          <cell r="D49" t="str">
            <v>m</v>
          </cell>
          <cell r="G49">
            <v>742</v>
          </cell>
          <cell r="H49">
            <v>8800</v>
          </cell>
          <cell r="Q49">
            <v>8800</v>
          </cell>
          <cell r="R49">
            <v>0.1</v>
          </cell>
          <cell r="S49" t="str">
            <v>내선</v>
          </cell>
          <cell r="T49">
            <v>0.13</v>
          </cell>
        </row>
        <row r="50">
          <cell r="A50">
            <v>48</v>
          </cell>
          <cell r="B50" t="str">
            <v>FLEXIBLE  CONNECTOR</v>
          </cell>
          <cell r="C50" t="str">
            <v>방수용콘넥타50C-황동</v>
          </cell>
          <cell r="D50" t="str">
            <v>EA</v>
          </cell>
          <cell r="G50">
            <v>742</v>
          </cell>
          <cell r="H50">
            <v>7370</v>
          </cell>
          <cell r="Q50">
            <v>7370</v>
          </cell>
        </row>
        <row r="51">
          <cell r="A51">
            <v>49</v>
          </cell>
          <cell r="B51" t="str">
            <v>FLEXIBLE  TUBE 2종</v>
          </cell>
          <cell r="C51" t="str">
            <v>PLICA 방수 #15</v>
          </cell>
          <cell r="D51" t="str">
            <v>m</v>
          </cell>
          <cell r="G51">
            <v>743</v>
          </cell>
          <cell r="H51">
            <v>2370</v>
          </cell>
          <cell r="Q51">
            <v>2370</v>
          </cell>
          <cell r="R51">
            <v>0.1</v>
          </cell>
          <cell r="S51" t="str">
            <v>내선</v>
          </cell>
          <cell r="T51">
            <v>3.9E-2</v>
          </cell>
        </row>
        <row r="52">
          <cell r="A52">
            <v>50</v>
          </cell>
          <cell r="B52" t="str">
            <v>FLEXIBLE  TUBE 2종</v>
          </cell>
          <cell r="C52" t="str">
            <v>PLICA 방수 #17</v>
          </cell>
          <cell r="D52" t="str">
            <v>m</v>
          </cell>
          <cell r="G52">
            <v>743</v>
          </cell>
          <cell r="H52">
            <v>2650</v>
          </cell>
          <cell r="Q52">
            <v>2650</v>
          </cell>
          <cell r="R52">
            <v>0.1</v>
          </cell>
          <cell r="S52" t="str">
            <v>내선</v>
          </cell>
          <cell r="T52">
            <v>4.9000000000000002E-2</v>
          </cell>
        </row>
        <row r="53">
          <cell r="A53">
            <v>51</v>
          </cell>
          <cell r="B53" t="str">
            <v>FLEXIBLE  TUBE 2종</v>
          </cell>
          <cell r="C53" t="str">
            <v>PLICA 방수 #24</v>
          </cell>
          <cell r="D53" t="str">
            <v>m</v>
          </cell>
          <cell r="G53">
            <v>743</v>
          </cell>
          <cell r="H53">
            <v>3520</v>
          </cell>
          <cell r="Q53">
            <v>3520</v>
          </cell>
          <cell r="R53">
            <v>0.1</v>
          </cell>
          <cell r="S53" t="str">
            <v>내선</v>
          </cell>
          <cell r="T53">
            <v>6.3E-2</v>
          </cell>
        </row>
        <row r="54">
          <cell r="A54">
            <v>52</v>
          </cell>
          <cell r="B54" t="str">
            <v>FLEXIBLE  TUBE 2종</v>
          </cell>
          <cell r="C54" t="str">
            <v>PLICA 방수 #30</v>
          </cell>
          <cell r="D54" t="str">
            <v>EA</v>
          </cell>
          <cell r="G54">
            <v>743</v>
          </cell>
          <cell r="H54">
            <v>4560</v>
          </cell>
          <cell r="Q54">
            <v>4560</v>
          </cell>
          <cell r="R54">
            <v>0.1</v>
          </cell>
          <cell r="S54" t="str">
            <v>내선</v>
          </cell>
          <cell r="T54">
            <v>7.6999999999999999E-2</v>
          </cell>
        </row>
        <row r="55">
          <cell r="A55">
            <v>53</v>
          </cell>
          <cell r="B55" t="str">
            <v>노말 밴드</v>
          </cell>
          <cell r="C55" t="str">
            <v>ST  28C</v>
          </cell>
          <cell r="D55" t="str">
            <v>EA</v>
          </cell>
          <cell r="G55">
            <v>741</v>
          </cell>
          <cell r="H55">
            <v>1440</v>
          </cell>
          <cell r="Q55">
            <v>1440</v>
          </cell>
        </row>
        <row r="56">
          <cell r="A56">
            <v>54</v>
          </cell>
          <cell r="B56" t="str">
            <v>노말 밴드</v>
          </cell>
          <cell r="C56" t="str">
            <v>ST  36C</v>
          </cell>
          <cell r="D56" t="str">
            <v>EA</v>
          </cell>
          <cell r="G56">
            <v>741</v>
          </cell>
          <cell r="H56">
            <v>2240</v>
          </cell>
          <cell r="Q56">
            <v>2240</v>
          </cell>
        </row>
        <row r="57">
          <cell r="A57">
            <v>55</v>
          </cell>
          <cell r="B57" t="str">
            <v>노말 밴드</v>
          </cell>
          <cell r="C57" t="str">
            <v>ST  42C</v>
          </cell>
          <cell r="D57" t="str">
            <v>EA</v>
          </cell>
          <cell r="G57">
            <v>741</v>
          </cell>
          <cell r="H57">
            <v>2640</v>
          </cell>
          <cell r="Q57">
            <v>2640</v>
          </cell>
        </row>
        <row r="58">
          <cell r="A58">
            <v>56</v>
          </cell>
          <cell r="B58" t="str">
            <v>노말 밴드</v>
          </cell>
          <cell r="C58" t="str">
            <v>ST  54C</v>
          </cell>
          <cell r="D58" t="str">
            <v>EA</v>
          </cell>
          <cell r="G58">
            <v>741</v>
          </cell>
          <cell r="H58">
            <v>4000</v>
          </cell>
          <cell r="Q58">
            <v>4000</v>
          </cell>
        </row>
        <row r="59">
          <cell r="A59">
            <v>57</v>
          </cell>
          <cell r="B59" t="str">
            <v>노말 밴드</v>
          </cell>
          <cell r="C59" t="str">
            <v>ST  104C</v>
          </cell>
          <cell r="D59" t="str">
            <v>EA</v>
          </cell>
          <cell r="G59">
            <v>741</v>
          </cell>
          <cell r="H59">
            <v>18400</v>
          </cell>
          <cell r="Q59">
            <v>18400</v>
          </cell>
        </row>
        <row r="60">
          <cell r="A60">
            <v>58</v>
          </cell>
          <cell r="B60" t="str">
            <v>FLEXIBLE  CONNECTOR</v>
          </cell>
          <cell r="C60" t="str">
            <v>PLICA 방수 #24</v>
          </cell>
          <cell r="D60" t="str">
            <v>EA</v>
          </cell>
          <cell r="G60">
            <v>743</v>
          </cell>
          <cell r="H60">
            <v>1010</v>
          </cell>
          <cell r="Q60">
            <v>1010</v>
          </cell>
        </row>
        <row r="61">
          <cell r="A61">
            <v>59</v>
          </cell>
          <cell r="B61" t="str">
            <v>FLEXIBLE  CONNECTOR</v>
          </cell>
          <cell r="C61" t="str">
            <v>PLICA 방수 #30</v>
          </cell>
          <cell r="D61" t="str">
            <v>EA</v>
          </cell>
          <cell r="G61">
            <v>743</v>
          </cell>
          <cell r="H61">
            <v>1620</v>
          </cell>
          <cell r="Q61">
            <v>1620</v>
          </cell>
        </row>
        <row r="62">
          <cell r="A62">
            <v>60</v>
          </cell>
          <cell r="B62" t="str">
            <v>노말 밴드</v>
          </cell>
          <cell r="C62" t="str">
            <v>HI-PVC  28C</v>
          </cell>
          <cell r="D62" t="str">
            <v>EA</v>
          </cell>
          <cell r="G62">
            <v>745</v>
          </cell>
          <cell r="H62">
            <v>800</v>
          </cell>
          <cell r="Q62">
            <v>800</v>
          </cell>
        </row>
        <row r="63">
          <cell r="A63">
            <v>61</v>
          </cell>
          <cell r="B63" t="str">
            <v>노말 밴드</v>
          </cell>
          <cell r="C63" t="str">
            <v>HI-PVC  36C</v>
          </cell>
          <cell r="D63" t="str">
            <v>EA</v>
          </cell>
          <cell r="G63">
            <v>745</v>
          </cell>
          <cell r="H63">
            <v>900</v>
          </cell>
          <cell r="Q63">
            <v>900</v>
          </cell>
        </row>
        <row r="64">
          <cell r="A64">
            <v>62</v>
          </cell>
          <cell r="B64" t="str">
            <v>노말 밴드</v>
          </cell>
          <cell r="C64" t="str">
            <v>HI-PVC  42C</v>
          </cell>
          <cell r="D64" t="str">
            <v>EA</v>
          </cell>
          <cell r="G64">
            <v>745</v>
          </cell>
          <cell r="H64">
            <v>1200</v>
          </cell>
          <cell r="Q64">
            <v>1200</v>
          </cell>
        </row>
        <row r="65">
          <cell r="A65">
            <v>63</v>
          </cell>
          <cell r="Q65" t="str">
            <v/>
          </cell>
        </row>
        <row r="66">
          <cell r="A66">
            <v>64</v>
          </cell>
          <cell r="Q66" t="str">
            <v/>
          </cell>
        </row>
        <row r="67">
          <cell r="A67">
            <v>65</v>
          </cell>
          <cell r="B67" t="str">
            <v xml:space="preserve">전선 </v>
          </cell>
          <cell r="C67" t="str">
            <v>IV   1.6</v>
          </cell>
          <cell r="D67" t="str">
            <v>m</v>
          </cell>
          <cell r="G67">
            <v>714</v>
          </cell>
          <cell r="H67">
            <v>69</v>
          </cell>
          <cell r="Q67">
            <v>69</v>
          </cell>
          <cell r="R67">
            <v>0.1</v>
          </cell>
          <cell r="S67" t="str">
            <v>내선</v>
          </cell>
          <cell r="T67">
            <v>0.01</v>
          </cell>
          <cell r="U67" t="str">
            <v>내선</v>
          </cell>
          <cell r="V67">
            <v>8.0000000000000002E-3</v>
          </cell>
          <cell r="Y67" t="str">
            <v>바닥배선 :80%</v>
          </cell>
        </row>
        <row r="68">
          <cell r="A68">
            <v>66</v>
          </cell>
          <cell r="B68" t="str">
            <v xml:space="preserve">전선 </v>
          </cell>
          <cell r="C68" t="str">
            <v>IV   2.0</v>
          </cell>
          <cell r="D68" t="str">
            <v>m</v>
          </cell>
          <cell r="G68">
            <v>714</v>
          </cell>
          <cell r="H68">
            <v>103</v>
          </cell>
          <cell r="Q68">
            <v>103</v>
          </cell>
          <cell r="R68">
            <v>0.1</v>
          </cell>
          <cell r="S68" t="str">
            <v>내선</v>
          </cell>
          <cell r="T68">
            <v>0.01</v>
          </cell>
          <cell r="U68" t="str">
            <v>내선</v>
          </cell>
          <cell r="V68">
            <v>8.0000000000000002E-3</v>
          </cell>
          <cell r="Y68" t="str">
            <v>바닥배선 :80%</v>
          </cell>
        </row>
        <row r="69">
          <cell r="A69">
            <v>67</v>
          </cell>
          <cell r="B69" t="str">
            <v xml:space="preserve">전선 </v>
          </cell>
          <cell r="C69" t="str">
            <v>IV   5.5sq</v>
          </cell>
          <cell r="D69" t="str">
            <v>m</v>
          </cell>
          <cell r="G69">
            <v>714</v>
          </cell>
          <cell r="H69">
            <v>196</v>
          </cell>
          <cell r="Q69">
            <v>196</v>
          </cell>
          <cell r="R69">
            <v>0.1</v>
          </cell>
          <cell r="S69" t="str">
            <v>내선</v>
          </cell>
          <cell r="T69">
            <v>0.01</v>
          </cell>
          <cell r="U69" t="str">
            <v>내선</v>
          </cell>
          <cell r="V69">
            <v>8.0000000000000002E-3</v>
          </cell>
          <cell r="Y69" t="str">
            <v>바닥배선 :80%</v>
          </cell>
        </row>
        <row r="70">
          <cell r="A70">
            <v>68</v>
          </cell>
          <cell r="B70" t="str">
            <v xml:space="preserve">전선 </v>
          </cell>
          <cell r="C70" t="str">
            <v>IV   8sq</v>
          </cell>
          <cell r="D70" t="str">
            <v>m</v>
          </cell>
          <cell r="G70">
            <v>714</v>
          </cell>
          <cell r="H70">
            <v>277</v>
          </cell>
          <cell r="Q70">
            <v>277</v>
          </cell>
          <cell r="R70">
            <v>0.1</v>
          </cell>
          <cell r="S70" t="str">
            <v>내선</v>
          </cell>
          <cell r="T70">
            <v>0.02</v>
          </cell>
          <cell r="U70" t="str">
            <v>내선</v>
          </cell>
          <cell r="V70">
            <v>1.6E-2</v>
          </cell>
          <cell r="Y70" t="str">
            <v>바닥배선 :80%</v>
          </cell>
        </row>
        <row r="71">
          <cell r="A71">
            <v>69</v>
          </cell>
          <cell r="B71" t="str">
            <v xml:space="preserve">전선 </v>
          </cell>
          <cell r="C71" t="str">
            <v>IV   14sq</v>
          </cell>
          <cell r="D71" t="str">
            <v>m</v>
          </cell>
          <cell r="G71">
            <v>714</v>
          </cell>
          <cell r="H71">
            <v>543</v>
          </cell>
          <cell r="Q71">
            <v>543</v>
          </cell>
          <cell r="R71">
            <v>0.1</v>
          </cell>
          <cell r="S71" t="str">
            <v>내선</v>
          </cell>
          <cell r="T71">
            <v>0.02</v>
          </cell>
          <cell r="U71" t="str">
            <v>내선</v>
          </cell>
          <cell r="V71">
            <v>1.6E-2</v>
          </cell>
          <cell r="Y71" t="str">
            <v>바닥배선 :80%</v>
          </cell>
        </row>
        <row r="72">
          <cell r="A72">
            <v>70</v>
          </cell>
          <cell r="B72" t="str">
            <v xml:space="preserve">전선 </v>
          </cell>
          <cell r="C72" t="str">
            <v>IV   22sq</v>
          </cell>
          <cell r="D72" t="str">
            <v>m</v>
          </cell>
          <cell r="G72">
            <v>714</v>
          </cell>
          <cell r="H72">
            <v>830</v>
          </cell>
          <cell r="Q72">
            <v>830</v>
          </cell>
          <cell r="R72">
            <v>0.1</v>
          </cell>
          <cell r="S72" t="str">
            <v>내선</v>
          </cell>
          <cell r="T72">
            <v>3.1E-2</v>
          </cell>
          <cell r="U72" t="str">
            <v>내선</v>
          </cell>
          <cell r="V72">
            <v>2.5000000000000001E-2</v>
          </cell>
          <cell r="Y72" t="str">
            <v>바닥배선 :80%</v>
          </cell>
        </row>
        <row r="73">
          <cell r="A73">
            <v>71</v>
          </cell>
          <cell r="B73" t="str">
            <v xml:space="preserve">전선 </v>
          </cell>
          <cell r="C73" t="str">
            <v>IV   38sq</v>
          </cell>
          <cell r="D73" t="str">
            <v>m</v>
          </cell>
          <cell r="G73">
            <v>714</v>
          </cell>
          <cell r="H73">
            <v>1321</v>
          </cell>
          <cell r="Q73">
            <v>1321</v>
          </cell>
          <cell r="R73">
            <v>0.1</v>
          </cell>
          <cell r="S73" t="str">
            <v>내선</v>
          </cell>
          <cell r="T73">
            <v>3.1E-2</v>
          </cell>
          <cell r="U73" t="str">
            <v>내선</v>
          </cell>
          <cell r="V73">
            <v>2.5000000000000001E-2</v>
          </cell>
          <cell r="Y73" t="str">
            <v>바닥배선 :80%</v>
          </cell>
        </row>
        <row r="74">
          <cell r="A74">
            <v>72</v>
          </cell>
          <cell r="Q74" t="str">
            <v/>
          </cell>
        </row>
        <row r="75">
          <cell r="A75">
            <v>73</v>
          </cell>
          <cell r="Q75" t="str">
            <v/>
          </cell>
        </row>
        <row r="76">
          <cell r="A76">
            <v>74</v>
          </cell>
          <cell r="Q76" t="str">
            <v/>
          </cell>
        </row>
        <row r="77">
          <cell r="A77">
            <v>75</v>
          </cell>
          <cell r="B77" t="str">
            <v xml:space="preserve">전선 </v>
          </cell>
          <cell r="C77" t="str">
            <v>GV   2.0sq</v>
          </cell>
          <cell r="D77" t="str">
            <v>m</v>
          </cell>
          <cell r="G77">
            <v>715</v>
          </cell>
          <cell r="H77">
            <v>177</v>
          </cell>
          <cell r="Q77">
            <v>177</v>
          </cell>
          <cell r="R77">
            <v>0.1</v>
          </cell>
          <cell r="S77" t="str">
            <v>내선</v>
          </cell>
          <cell r="T77">
            <v>0.01</v>
          </cell>
          <cell r="U77" t="str">
            <v>내선</v>
          </cell>
          <cell r="V77">
            <v>8.0000000000000002E-3</v>
          </cell>
          <cell r="Y77" t="str">
            <v>바닥배선 :80%</v>
          </cell>
        </row>
        <row r="78">
          <cell r="A78">
            <v>76</v>
          </cell>
          <cell r="B78" t="str">
            <v xml:space="preserve">전선 </v>
          </cell>
          <cell r="C78" t="str">
            <v>GV   3.5sq</v>
          </cell>
          <cell r="D78" t="str">
            <v>m</v>
          </cell>
          <cell r="G78">
            <v>715</v>
          </cell>
          <cell r="H78">
            <v>239</v>
          </cell>
          <cell r="Q78">
            <v>239</v>
          </cell>
          <cell r="R78">
            <v>0.1</v>
          </cell>
          <cell r="S78" t="str">
            <v>내선</v>
          </cell>
          <cell r="T78">
            <v>0.01</v>
          </cell>
          <cell r="U78" t="str">
            <v>내선</v>
          </cell>
          <cell r="V78">
            <v>8.0000000000000002E-3</v>
          </cell>
          <cell r="Y78" t="str">
            <v>바닥배선 :80%</v>
          </cell>
        </row>
        <row r="79">
          <cell r="A79">
            <v>77</v>
          </cell>
          <cell r="B79" t="str">
            <v xml:space="preserve">전선 </v>
          </cell>
          <cell r="C79" t="str">
            <v>GV   5.5sq</v>
          </cell>
          <cell r="D79" t="str">
            <v>m</v>
          </cell>
          <cell r="G79">
            <v>715</v>
          </cell>
          <cell r="H79">
            <v>324</v>
          </cell>
          <cell r="Q79">
            <v>324</v>
          </cell>
          <cell r="R79">
            <v>0.1</v>
          </cell>
          <cell r="S79" t="str">
            <v>내선</v>
          </cell>
          <cell r="T79">
            <v>0.01</v>
          </cell>
          <cell r="U79" t="str">
            <v>내선</v>
          </cell>
          <cell r="V79">
            <v>8.0000000000000002E-3</v>
          </cell>
          <cell r="Y79" t="str">
            <v>바닥배선 :80%</v>
          </cell>
        </row>
        <row r="80">
          <cell r="A80">
            <v>78</v>
          </cell>
          <cell r="B80" t="str">
            <v xml:space="preserve">전선 </v>
          </cell>
          <cell r="C80" t="str">
            <v>GV   8sq</v>
          </cell>
          <cell r="D80" t="str">
            <v>m</v>
          </cell>
          <cell r="G80">
            <v>715</v>
          </cell>
          <cell r="H80">
            <v>495</v>
          </cell>
          <cell r="Q80">
            <v>495</v>
          </cell>
          <cell r="R80">
            <v>0.1</v>
          </cell>
          <cell r="S80" t="str">
            <v>내선</v>
          </cell>
          <cell r="T80">
            <v>0.02</v>
          </cell>
          <cell r="U80" t="str">
            <v>내선</v>
          </cell>
          <cell r="V80">
            <v>1.6E-2</v>
          </cell>
          <cell r="Y80" t="str">
            <v>바닥배선 :80%</v>
          </cell>
        </row>
        <row r="81">
          <cell r="A81">
            <v>79</v>
          </cell>
          <cell r="B81" t="str">
            <v xml:space="preserve">전선 </v>
          </cell>
          <cell r="C81" t="str">
            <v>GV   14sq</v>
          </cell>
          <cell r="D81" t="str">
            <v>m</v>
          </cell>
          <cell r="G81">
            <v>715</v>
          </cell>
          <cell r="H81">
            <v>835</v>
          </cell>
          <cell r="Q81">
            <v>835</v>
          </cell>
          <cell r="R81">
            <v>0.1</v>
          </cell>
          <cell r="S81" t="str">
            <v>내선</v>
          </cell>
          <cell r="T81">
            <v>0.02</v>
          </cell>
          <cell r="U81" t="str">
            <v>내선</v>
          </cell>
          <cell r="V81">
            <v>1.6E-2</v>
          </cell>
          <cell r="Y81" t="str">
            <v>바닥배선 :80%</v>
          </cell>
        </row>
        <row r="82">
          <cell r="A82">
            <v>80</v>
          </cell>
          <cell r="B82" t="str">
            <v xml:space="preserve">전선 </v>
          </cell>
          <cell r="C82" t="str">
            <v>GV   22sq</v>
          </cell>
          <cell r="D82" t="str">
            <v>m</v>
          </cell>
          <cell r="G82">
            <v>715</v>
          </cell>
          <cell r="H82">
            <v>1159</v>
          </cell>
          <cell r="Q82">
            <v>1159</v>
          </cell>
          <cell r="R82">
            <v>0.1</v>
          </cell>
          <cell r="S82" t="str">
            <v>내선</v>
          </cell>
          <cell r="T82">
            <v>3.1E-2</v>
          </cell>
          <cell r="U82" t="str">
            <v>내선</v>
          </cell>
          <cell r="V82">
            <v>2.5000000000000001E-2</v>
          </cell>
          <cell r="Y82" t="str">
            <v>바닥배선 :80%</v>
          </cell>
        </row>
        <row r="83">
          <cell r="A83">
            <v>81</v>
          </cell>
          <cell r="B83" t="str">
            <v xml:space="preserve">전선 </v>
          </cell>
          <cell r="C83" t="str">
            <v>GV   38sq</v>
          </cell>
          <cell r="D83" t="str">
            <v>m</v>
          </cell>
          <cell r="G83">
            <v>715</v>
          </cell>
          <cell r="H83">
            <v>1746</v>
          </cell>
          <cell r="Q83">
            <v>1746</v>
          </cell>
          <cell r="R83">
            <v>0.1</v>
          </cell>
          <cell r="S83" t="str">
            <v>내선</v>
          </cell>
          <cell r="T83">
            <v>3.1E-2</v>
          </cell>
          <cell r="U83" t="str">
            <v>내선</v>
          </cell>
          <cell r="V83">
            <v>2.5000000000000001E-2</v>
          </cell>
          <cell r="Y83" t="str">
            <v>바닥배선 :80%</v>
          </cell>
        </row>
        <row r="84">
          <cell r="A84">
            <v>82</v>
          </cell>
          <cell r="B84" t="str">
            <v xml:space="preserve">전선 </v>
          </cell>
          <cell r="C84" t="str">
            <v>GV   60sq</v>
          </cell>
          <cell r="D84" t="str">
            <v>m</v>
          </cell>
          <cell r="G84">
            <v>715</v>
          </cell>
          <cell r="H84">
            <v>2760</v>
          </cell>
          <cell r="Q84">
            <v>2760</v>
          </cell>
          <cell r="R84">
            <v>0.1</v>
          </cell>
          <cell r="S84" t="str">
            <v>내선</v>
          </cell>
          <cell r="T84">
            <v>5.1999999999999998E-2</v>
          </cell>
          <cell r="U84" t="str">
            <v>내선</v>
          </cell>
          <cell r="V84">
            <v>4.2000000000000003E-2</v>
          </cell>
          <cell r="Y84" t="str">
            <v>바닥배선 :80%</v>
          </cell>
        </row>
        <row r="85">
          <cell r="A85">
            <v>83</v>
          </cell>
          <cell r="B85" t="str">
            <v xml:space="preserve">전선 </v>
          </cell>
          <cell r="C85" t="str">
            <v>GV   100sq</v>
          </cell>
          <cell r="D85" t="str">
            <v>m</v>
          </cell>
          <cell r="G85">
            <v>715</v>
          </cell>
          <cell r="H85">
            <v>4112</v>
          </cell>
          <cell r="Q85">
            <v>4112</v>
          </cell>
          <cell r="R85">
            <v>0.1</v>
          </cell>
          <cell r="S85" t="str">
            <v>내선</v>
          </cell>
          <cell r="T85">
            <v>6.4000000000000001E-2</v>
          </cell>
          <cell r="U85" t="str">
            <v>내선</v>
          </cell>
          <cell r="V85">
            <v>5.0999999999999997E-2</v>
          </cell>
          <cell r="Y85" t="str">
            <v>바닥배선 :80%</v>
          </cell>
        </row>
        <row r="86">
          <cell r="A86">
            <v>84</v>
          </cell>
          <cell r="Q86" t="str">
            <v/>
          </cell>
        </row>
        <row r="87">
          <cell r="A87">
            <v>85</v>
          </cell>
          <cell r="Q87" t="str">
            <v/>
          </cell>
        </row>
        <row r="88">
          <cell r="A88">
            <v>86</v>
          </cell>
          <cell r="Q88" t="str">
            <v/>
          </cell>
        </row>
        <row r="89">
          <cell r="A89">
            <v>87</v>
          </cell>
          <cell r="B89" t="str">
            <v>동 피뢰침H:7.5M이하</v>
          </cell>
          <cell r="C89" t="str">
            <v>大14×430㎜</v>
          </cell>
          <cell r="D89" t="str">
            <v>EA</v>
          </cell>
          <cell r="G89">
            <v>800</v>
          </cell>
          <cell r="H89">
            <v>10800</v>
          </cell>
          <cell r="Q89">
            <v>10800</v>
          </cell>
          <cell r="S89" t="str">
            <v>내선</v>
          </cell>
          <cell r="T89">
            <v>0.89999999999999991</v>
          </cell>
          <cell r="U89" t="str">
            <v>내선</v>
          </cell>
          <cell r="V89">
            <v>1.5</v>
          </cell>
          <cell r="Y89" t="str">
            <v>발판좋은곳(철탑)60%</v>
          </cell>
        </row>
        <row r="90">
          <cell r="A90">
            <v>88</v>
          </cell>
          <cell r="B90" t="str">
            <v>동 피뢰침H:10M이하</v>
          </cell>
          <cell r="C90" t="str">
            <v>大14×430㎜</v>
          </cell>
          <cell r="D90" t="str">
            <v>EA</v>
          </cell>
          <cell r="G90">
            <v>800</v>
          </cell>
          <cell r="H90">
            <v>10800</v>
          </cell>
          <cell r="Q90">
            <v>10800</v>
          </cell>
          <cell r="S90" t="str">
            <v>내선</v>
          </cell>
          <cell r="T90">
            <v>1.1399999999999999</v>
          </cell>
          <cell r="U90" t="str">
            <v>내선</v>
          </cell>
          <cell r="V90">
            <v>1.9</v>
          </cell>
          <cell r="Y90" t="str">
            <v>*배선,접지물포함</v>
          </cell>
        </row>
        <row r="91">
          <cell r="A91">
            <v>89</v>
          </cell>
          <cell r="B91" t="str">
            <v>동 피뢰침H:15M이하</v>
          </cell>
          <cell r="C91" t="str">
            <v>大14×430㎜</v>
          </cell>
          <cell r="D91" t="str">
            <v>EA</v>
          </cell>
          <cell r="G91">
            <v>800</v>
          </cell>
          <cell r="H91">
            <v>10800</v>
          </cell>
          <cell r="Q91">
            <v>10800</v>
          </cell>
          <cell r="U91" t="str">
            <v>배전</v>
          </cell>
          <cell r="V91">
            <v>2.6</v>
          </cell>
          <cell r="Y91" t="str">
            <v>*전주설치는배전전공</v>
          </cell>
        </row>
        <row r="92">
          <cell r="A92">
            <v>90</v>
          </cell>
          <cell r="B92" t="str">
            <v>동 피뢰침H:20M이하</v>
          </cell>
          <cell r="C92" t="str">
            <v>大14×430㎜</v>
          </cell>
          <cell r="D92" t="str">
            <v>EA</v>
          </cell>
          <cell r="G92">
            <v>800</v>
          </cell>
          <cell r="H92">
            <v>10800</v>
          </cell>
          <cell r="Q92">
            <v>10800</v>
          </cell>
          <cell r="U92" t="str">
            <v>배전</v>
          </cell>
          <cell r="V92">
            <v>3.4</v>
          </cell>
          <cell r="Y92" t="str">
            <v>상동</v>
          </cell>
        </row>
        <row r="93">
          <cell r="A93">
            <v>91</v>
          </cell>
          <cell r="B93" t="str">
            <v>동 피뢰침H:7.5M이하</v>
          </cell>
          <cell r="C93" t="str">
            <v>中14×320㎜</v>
          </cell>
          <cell r="D93" t="str">
            <v>EA</v>
          </cell>
          <cell r="G93">
            <v>800</v>
          </cell>
          <cell r="H93">
            <v>9560</v>
          </cell>
          <cell r="Q93">
            <v>9560</v>
          </cell>
          <cell r="S93" t="str">
            <v>내선</v>
          </cell>
          <cell r="T93">
            <v>0.89999999999999991</v>
          </cell>
          <cell r="U93" t="str">
            <v>내선</v>
          </cell>
          <cell r="V93">
            <v>1.5</v>
          </cell>
          <cell r="Y93" t="str">
            <v>상동</v>
          </cell>
        </row>
        <row r="94">
          <cell r="A94">
            <v>92</v>
          </cell>
          <cell r="B94" t="str">
            <v>동 피뢰침H:10M이하</v>
          </cell>
          <cell r="C94" t="str">
            <v>中14×320㎜</v>
          </cell>
          <cell r="D94" t="str">
            <v>EA</v>
          </cell>
          <cell r="G94">
            <v>800</v>
          </cell>
          <cell r="H94">
            <v>9560</v>
          </cell>
          <cell r="Q94">
            <v>9560</v>
          </cell>
          <cell r="S94" t="str">
            <v>내선</v>
          </cell>
          <cell r="T94">
            <v>1.1399999999999999</v>
          </cell>
          <cell r="U94" t="str">
            <v>내선</v>
          </cell>
          <cell r="V94">
            <v>1.9</v>
          </cell>
          <cell r="Y94" t="str">
            <v>상동</v>
          </cell>
        </row>
        <row r="95">
          <cell r="A95">
            <v>93</v>
          </cell>
          <cell r="B95" t="str">
            <v>동 피뢰침H:15M이하</v>
          </cell>
          <cell r="C95" t="str">
            <v>中14×320㎜</v>
          </cell>
          <cell r="D95" t="str">
            <v>EA</v>
          </cell>
          <cell r="G95">
            <v>800</v>
          </cell>
          <cell r="H95">
            <v>9560</v>
          </cell>
          <cell r="Q95">
            <v>9560</v>
          </cell>
          <cell r="U95" t="str">
            <v>배전</v>
          </cell>
          <cell r="V95">
            <v>2.6</v>
          </cell>
          <cell r="Y95" t="str">
            <v>상동</v>
          </cell>
        </row>
        <row r="96">
          <cell r="A96">
            <v>94</v>
          </cell>
          <cell r="B96" t="str">
            <v>동 피뢰침H:20M이하</v>
          </cell>
          <cell r="C96" t="str">
            <v>中14×320㎜</v>
          </cell>
          <cell r="D96" t="str">
            <v>EA</v>
          </cell>
          <cell r="G96">
            <v>800</v>
          </cell>
          <cell r="H96">
            <v>9560</v>
          </cell>
          <cell r="Q96">
            <v>9560</v>
          </cell>
          <cell r="U96" t="str">
            <v>배전</v>
          </cell>
          <cell r="V96">
            <v>3.4</v>
          </cell>
          <cell r="Y96" t="str">
            <v>상동</v>
          </cell>
        </row>
        <row r="97">
          <cell r="A97">
            <v>95</v>
          </cell>
          <cell r="Q97" t="str">
            <v/>
          </cell>
        </row>
        <row r="98">
          <cell r="A98">
            <v>96</v>
          </cell>
          <cell r="B98" t="str">
            <v>접지봉</v>
          </cell>
          <cell r="C98" t="str">
            <v>φ14×1000㎜(동피복)</v>
          </cell>
          <cell r="D98" t="str">
            <v>EA</v>
          </cell>
          <cell r="G98">
            <v>800</v>
          </cell>
          <cell r="H98">
            <v>2700</v>
          </cell>
          <cell r="Q98">
            <v>2700</v>
          </cell>
          <cell r="S98" t="str">
            <v>내선</v>
          </cell>
          <cell r="T98">
            <v>0.2</v>
          </cell>
          <cell r="U98" t="str">
            <v>보인</v>
          </cell>
          <cell r="V98">
            <v>0.1</v>
          </cell>
        </row>
        <row r="99">
          <cell r="A99">
            <v>97</v>
          </cell>
          <cell r="B99" t="str">
            <v>접지봉</v>
          </cell>
          <cell r="C99" t="str">
            <v>φ16×1800㎜(동피복)</v>
          </cell>
          <cell r="D99" t="str">
            <v>EA</v>
          </cell>
          <cell r="G99">
            <v>800</v>
          </cell>
          <cell r="H99">
            <v>3820</v>
          </cell>
          <cell r="Q99">
            <v>3820</v>
          </cell>
          <cell r="S99" t="str">
            <v>내선</v>
          </cell>
          <cell r="T99">
            <v>0.2</v>
          </cell>
          <cell r="U99" t="str">
            <v>보인</v>
          </cell>
          <cell r="V99">
            <v>0.1</v>
          </cell>
        </row>
        <row r="100">
          <cell r="A100">
            <v>98</v>
          </cell>
          <cell r="B100" t="str">
            <v>접지봉</v>
          </cell>
          <cell r="C100" t="str">
            <v>φ18×2400㎜(동피복)</v>
          </cell>
          <cell r="D100" t="str">
            <v>EA</v>
          </cell>
          <cell r="G100">
            <v>800</v>
          </cell>
          <cell r="H100">
            <v>5280</v>
          </cell>
          <cell r="Q100">
            <v>5280</v>
          </cell>
          <cell r="S100" t="str">
            <v>내선</v>
          </cell>
          <cell r="T100">
            <v>0.2</v>
          </cell>
          <cell r="U100" t="str">
            <v>보인</v>
          </cell>
          <cell r="V100">
            <v>0.1</v>
          </cell>
        </row>
        <row r="101">
          <cell r="A101">
            <v>99</v>
          </cell>
          <cell r="B101" t="str">
            <v>접지봉</v>
          </cell>
          <cell r="C101" t="str">
            <v>φ16×1800㎜-3EA</v>
          </cell>
          <cell r="D101" t="str">
            <v>조</v>
          </cell>
          <cell r="Q101">
            <v>0</v>
          </cell>
          <cell r="S101" t="str">
            <v>내선</v>
          </cell>
          <cell r="T101">
            <v>0.45</v>
          </cell>
          <cell r="U101" t="str">
            <v>보인</v>
          </cell>
          <cell r="V101">
            <v>0.23</v>
          </cell>
        </row>
        <row r="102">
          <cell r="A102">
            <v>100</v>
          </cell>
          <cell r="Q102" t="str">
            <v/>
          </cell>
        </row>
        <row r="103">
          <cell r="A103">
            <v>101</v>
          </cell>
          <cell r="B103" t="str">
            <v xml:space="preserve">전선 </v>
          </cell>
          <cell r="C103" t="str">
            <v>HIV   1.2</v>
          </cell>
          <cell r="D103" t="str">
            <v>m</v>
          </cell>
          <cell r="G103">
            <v>714</v>
          </cell>
          <cell r="H103">
            <v>45</v>
          </cell>
          <cell r="Q103">
            <v>45</v>
          </cell>
          <cell r="R103">
            <v>0.1</v>
          </cell>
          <cell r="S103" t="str">
            <v>내선</v>
          </cell>
          <cell r="T103">
            <v>0.01</v>
          </cell>
        </row>
        <row r="104">
          <cell r="A104">
            <v>102</v>
          </cell>
          <cell r="B104" t="str">
            <v xml:space="preserve">전선 </v>
          </cell>
          <cell r="C104" t="str">
            <v>HIV   1.6</v>
          </cell>
          <cell r="D104" t="str">
            <v>m</v>
          </cell>
          <cell r="G104">
            <v>714</v>
          </cell>
          <cell r="H104">
            <v>73</v>
          </cell>
          <cell r="Q104">
            <v>73</v>
          </cell>
          <cell r="R104">
            <v>0.1</v>
          </cell>
          <cell r="S104" t="str">
            <v>내선</v>
          </cell>
          <cell r="T104">
            <v>0.01</v>
          </cell>
        </row>
        <row r="105">
          <cell r="A105">
            <v>103</v>
          </cell>
          <cell r="B105" t="str">
            <v xml:space="preserve">전선 </v>
          </cell>
          <cell r="C105" t="str">
            <v>HIV   2.0</v>
          </cell>
          <cell r="D105" t="str">
            <v>m</v>
          </cell>
          <cell r="G105">
            <v>714</v>
          </cell>
          <cell r="H105">
            <v>107</v>
          </cell>
          <cell r="Q105">
            <v>107</v>
          </cell>
          <cell r="R105">
            <v>0.1</v>
          </cell>
          <cell r="S105" t="str">
            <v>내선</v>
          </cell>
          <cell r="T105">
            <v>0.01</v>
          </cell>
        </row>
        <row r="106">
          <cell r="A106">
            <v>104</v>
          </cell>
          <cell r="B106" t="str">
            <v xml:space="preserve">전선 </v>
          </cell>
          <cell r="C106" t="str">
            <v>HIV   5.5sq</v>
          </cell>
          <cell r="D106" t="str">
            <v>m</v>
          </cell>
          <cell r="G106">
            <v>714</v>
          </cell>
          <cell r="H106">
            <v>209</v>
          </cell>
          <cell r="Q106">
            <v>209</v>
          </cell>
          <cell r="R106">
            <v>0.1</v>
          </cell>
          <cell r="S106" t="str">
            <v>내선</v>
          </cell>
          <cell r="T106">
            <v>0.01</v>
          </cell>
        </row>
        <row r="107">
          <cell r="A107">
            <v>105</v>
          </cell>
          <cell r="B107" t="str">
            <v xml:space="preserve">전선 </v>
          </cell>
          <cell r="C107" t="str">
            <v>HIV   8sq</v>
          </cell>
          <cell r="D107" t="str">
            <v>m</v>
          </cell>
          <cell r="G107">
            <v>714</v>
          </cell>
          <cell r="H107">
            <v>296</v>
          </cell>
          <cell r="Q107">
            <v>296</v>
          </cell>
          <cell r="R107">
            <v>0.1</v>
          </cell>
          <cell r="S107" t="str">
            <v>내선</v>
          </cell>
          <cell r="T107">
            <v>0.02</v>
          </cell>
        </row>
        <row r="108">
          <cell r="A108">
            <v>106</v>
          </cell>
          <cell r="B108" t="str">
            <v xml:space="preserve">전선 </v>
          </cell>
          <cell r="C108" t="str">
            <v>HIV   14sq</v>
          </cell>
          <cell r="D108" t="str">
            <v>m</v>
          </cell>
          <cell r="G108">
            <v>714</v>
          </cell>
          <cell r="H108">
            <v>583</v>
          </cell>
          <cell r="Q108">
            <v>583</v>
          </cell>
          <cell r="R108">
            <v>0.1</v>
          </cell>
          <cell r="S108" t="str">
            <v>내선</v>
          </cell>
          <cell r="T108">
            <v>0.02</v>
          </cell>
        </row>
        <row r="109">
          <cell r="A109">
            <v>107</v>
          </cell>
          <cell r="B109" t="str">
            <v xml:space="preserve">전선 </v>
          </cell>
          <cell r="C109" t="str">
            <v>HIV   22sq</v>
          </cell>
          <cell r="D109" t="str">
            <v>m</v>
          </cell>
          <cell r="G109">
            <v>714</v>
          </cell>
          <cell r="H109">
            <v>888</v>
          </cell>
          <cell r="Q109">
            <v>888</v>
          </cell>
          <cell r="R109">
            <v>0.1</v>
          </cell>
          <cell r="S109" t="str">
            <v>내선</v>
          </cell>
          <cell r="T109">
            <v>3.1E-2</v>
          </cell>
        </row>
        <row r="110">
          <cell r="A110">
            <v>108</v>
          </cell>
          <cell r="B110" t="str">
            <v xml:space="preserve">전선 </v>
          </cell>
          <cell r="C110" t="str">
            <v>HIV   38sq</v>
          </cell>
          <cell r="D110" t="str">
            <v>m</v>
          </cell>
          <cell r="G110">
            <v>714</v>
          </cell>
          <cell r="H110">
            <v>1414</v>
          </cell>
          <cell r="Q110">
            <v>1414</v>
          </cell>
          <cell r="R110">
            <v>0.1</v>
          </cell>
          <cell r="S110" t="str">
            <v>내선</v>
          </cell>
          <cell r="T110">
            <v>3.1E-2</v>
          </cell>
        </row>
        <row r="111">
          <cell r="A111">
            <v>109</v>
          </cell>
          <cell r="Q111" t="str">
            <v/>
          </cell>
        </row>
        <row r="112">
          <cell r="A112">
            <v>110</v>
          </cell>
          <cell r="Q112" t="str">
            <v/>
          </cell>
        </row>
        <row r="113">
          <cell r="A113">
            <v>111</v>
          </cell>
          <cell r="Q113" t="str">
            <v/>
          </cell>
        </row>
        <row r="114">
          <cell r="A114">
            <v>112</v>
          </cell>
          <cell r="B114" t="str">
            <v>전화선</v>
          </cell>
          <cell r="C114" t="str">
            <v>TIV 0.8/2C</v>
          </cell>
          <cell r="D114" t="str">
            <v>m</v>
          </cell>
          <cell r="G114">
            <v>731</v>
          </cell>
          <cell r="H114">
            <v>60</v>
          </cell>
          <cell r="Q114">
            <v>60</v>
          </cell>
          <cell r="R114">
            <v>0.1</v>
          </cell>
          <cell r="S114" t="str">
            <v>통내</v>
          </cell>
          <cell r="T114">
            <v>1.4999999999999999E-2</v>
          </cell>
        </row>
        <row r="115">
          <cell r="A115">
            <v>113</v>
          </cell>
          <cell r="B115" t="str">
            <v>전화선</v>
          </cell>
          <cell r="C115" t="str">
            <v>TIV 1.0/2C</v>
          </cell>
          <cell r="D115" t="str">
            <v>m</v>
          </cell>
          <cell r="G115">
            <v>731</v>
          </cell>
          <cell r="H115">
            <v>113</v>
          </cell>
          <cell r="Q115">
            <v>113</v>
          </cell>
          <cell r="R115">
            <v>0.1</v>
          </cell>
          <cell r="S115" t="str">
            <v>통내</v>
          </cell>
          <cell r="T115">
            <v>1.4999999999999999E-2</v>
          </cell>
        </row>
        <row r="116">
          <cell r="A116">
            <v>114</v>
          </cell>
          <cell r="B116" t="str">
            <v>전화선</v>
          </cell>
          <cell r="C116" t="str">
            <v>TIV 1.2/2C</v>
          </cell>
          <cell r="D116" t="str">
            <v>m</v>
          </cell>
          <cell r="G116">
            <v>731</v>
          </cell>
          <cell r="H116">
            <v>119</v>
          </cell>
          <cell r="Q116">
            <v>119</v>
          </cell>
          <cell r="R116">
            <v>0.1</v>
          </cell>
          <cell r="S116" t="str">
            <v>통내</v>
          </cell>
          <cell r="T116">
            <v>1.4999999999999999E-2</v>
          </cell>
        </row>
        <row r="117">
          <cell r="A117">
            <v>115</v>
          </cell>
          <cell r="Q117" t="str">
            <v/>
          </cell>
        </row>
        <row r="118">
          <cell r="A118">
            <v>116</v>
          </cell>
          <cell r="B118" t="str">
            <v xml:space="preserve"> 저압 케이블</v>
          </cell>
          <cell r="C118" t="str">
            <v>600V CV 2.0 sq/1C</v>
          </cell>
          <cell r="D118" t="str">
            <v>m</v>
          </cell>
          <cell r="G118">
            <v>718</v>
          </cell>
          <cell r="H118">
            <v>173</v>
          </cell>
          <cell r="Q118">
            <v>173</v>
          </cell>
          <cell r="R118">
            <v>0.05</v>
          </cell>
          <cell r="S118" t="str">
            <v>저케</v>
          </cell>
          <cell r="T118">
            <v>0.01</v>
          </cell>
          <cell r="U118" t="str">
            <v>저케</v>
          </cell>
          <cell r="V118">
            <v>5.0000000000000001E-3</v>
          </cell>
          <cell r="W118" t="str">
            <v>보인</v>
          </cell>
          <cell r="X118">
            <v>5.0000000000000001E-3</v>
          </cell>
          <cell r="Y118" t="str">
            <v xml:space="preserve">옥외에서    2열동시 :180%        3열동시 :260%        4열동시 :340%         *구내부설시 본품의50%가산    </v>
          </cell>
        </row>
        <row r="119">
          <cell r="A119">
            <v>117</v>
          </cell>
          <cell r="B119" t="str">
            <v xml:space="preserve"> 저압 케이블</v>
          </cell>
          <cell r="C119" t="str">
            <v>600V CV 3.5 sq/1C</v>
          </cell>
          <cell r="D119" t="str">
            <v>m</v>
          </cell>
          <cell r="G119">
            <v>718</v>
          </cell>
          <cell r="H119">
            <v>218</v>
          </cell>
          <cell r="Q119">
            <v>218</v>
          </cell>
          <cell r="R119">
            <v>0.05</v>
          </cell>
          <cell r="S119" t="str">
            <v>저케</v>
          </cell>
          <cell r="T119">
            <v>1.0999999999999999E-2</v>
          </cell>
          <cell r="U119" t="str">
            <v>저케</v>
          </cell>
          <cell r="V119">
            <v>5.0000000000000001E-3</v>
          </cell>
          <cell r="W119" t="str">
            <v>보인</v>
          </cell>
          <cell r="X119">
            <v>5.0000000000000001E-3</v>
          </cell>
          <cell r="Y119" t="str">
            <v xml:space="preserve"> :180%        3열동시 :260%        4열동시 :340%         *구내부설시 본품의51%가산</v>
          </cell>
        </row>
        <row r="120">
          <cell r="A120">
            <v>118</v>
          </cell>
          <cell r="B120" t="str">
            <v xml:space="preserve"> 저압 케이블</v>
          </cell>
          <cell r="C120" t="str">
            <v>600V CV 5.5 sq/1C</v>
          </cell>
          <cell r="D120" t="str">
            <v>m</v>
          </cell>
          <cell r="G120">
            <v>718</v>
          </cell>
          <cell r="H120">
            <v>316</v>
          </cell>
          <cell r="Q120">
            <v>316</v>
          </cell>
          <cell r="R120">
            <v>0.05</v>
          </cell>
          <cell r="S120" t="str">
            <v>저케</v>
          </cell>
          <cell r="T120">
            <v>1.2999999999999999E-2</v>
          </cell>
          <cell r="U120" t="str">
            <v>저케</v>
          </cell>
          <cell r="V120">
            <v>5.0000000000000001E-3</v>
          </cell>
          <cell r="W120" t="str">
            <v>보인</v>
          </cell>
          <cell r="X120">
            <v>5.0000000000000001E-3</v>
          </cell>
          <cell r="Y120" t="str">
            <v xml:space="preserve"> :260%        4열동시 :340%         *구내부설시 본품의52%가산</v>
          </cell>
        </row>
        <row r="121">
          <cell r="A121">
            <v>119</v>
          </cell>
          <cell r="B121" t="str">
            <v xml:space="preserve"> 저압 케이블</v>
          </cell>
          <cell r="C121" t="str">
            <v>600V CV 8sq/1C</v>
          </cell>
          <cell r="D121" t="str">
            <v>m</v>
          </cell>
          <cell r="G121">
            <v>718</v>
          </cell>
          <cell r="H121">
            <v>409</v>
          </cell>
          <cell r="Q121">
            <v>409</v>
          </cell>
          <cell r="R121">
            <v>0.05</v>
          </cell>
          <cell r="S121" t="str">
            <v>저케</v>
          </cell>
          <cell r="T121">
            <v>1.4E-2</v>
          </cell>
          <cell r="U121" t="str">
            <v>저케</v>
          </cell>
          <cell r="V121">
            <v>5.4999999999999997E-3</v>
          </cell>
          <cell r="W121" t="str">
            <v>보인</v>
          </cell>
          <cell r="X121">
            <v>5.4999999999999997E-3</v>
          </cell>
          <cell r="Y121" t="str">
            <v xml:space="preserve"> :340%         *구내부설시 본품의53%가산</v>
          </cell>
        </row>
        <row r="122">
          <cell r="A122">
            <v>120</v>
          </cell>
          <cell r="B122" t="str">
            <v xml:space="preserve"> 저압 케이블</v>
          </cell>
          <cell r="C122" t="str">
            <v>600V  CV  14sq/1C</v>
          </cell>
          <cell r="D122" t="str">
            <v>m</v>
          </cell>
          <cell r="G122">
            <v>718</v>
          </cell>
          <cell r="H122">
            <v>719</v>
          </cell>
          <cell r="Q122">
            <v>719</v>
          </cell>
          <cell r="R122">
            <v>0.05</v>
          </cell>
          <cell r="S122" t="str">
            <v>저케</v>
          </cell>
          <cell r="T122">
            <v>0.02</v>
          </cell>
          <cell r="U122" t="str">
            <v>저케</v>
          </cell>
          <cell r="V122">
            <v>5.4999999999999997E-3</v>
          </cell>
          <cell r="W122" t="str">
            <v>보인</v>
          </cell>
          <cell r="X122">
            <v>5.4999999999999997E-3</v>
          </cell>
          <cell r="Y122" t="str">
            <v>시 본품의50%가산</v>
          </cell>
        </row>
        <row r="123">
          <cell r="A123">
            <v>121</v>
          </cell>
          <cell r="B123" t="str">
            <v xml:space="preserve"> 저압 케이블</v>
          </cell>
          <cell r="C123" t="str">
            <v>600V  CV 22sq/1C</v>
          </cell>
          <cell r="D123" t="str">
            <v>m</v>
          </cell>
          <cell r="G123">
            <v>718</v>
          </cell>
          <cell r="H123">
            <v>949</v>
          </cell>
          <cell r="Q123">
            <v>949</v>
          </cell>
          <cell r="R123">
            <v>0.05</v>
          </cell>
          <cell r="S123" t="str">
            <v>저케</v>
          </cell>
          <cell r="T123">
            <v>2.5999999999999999E-2</v>
          </cell>
          <cell r="U123" t="str">
            <v>저케</v>
          </cell>
          <cell r="V123">
            <v>7.0000000000000001E-3</v>
          </cell>
          <cell r="W123" t="str">
            <v>보인</v>
          </cell>
          <cell r="X123">
            <v>5.4999999999999997E-3</v>
          </cell>
        </row>
        <row r="124">
          <cell r="A124">
            <v>122</v>
          </cell>
          <cell r="B124" t="str">
            <v xml:space="preserve"> 저압 케이블</v>
          </cell>
          <cell r="C124" t="str">
            <v>600V  CV 38sq/1C</v>
          </cell>
          <cell r="D124" t="str">
            <v>m</v>
          </cell>
          <cell r="G124">
            <v>718</v>
          </cell>
          <cell r="H124">
            <v>1461</v>
          </cell>
          <cell r="Q124">
            <v>1461</v>
          </cell>
          <cell r="R124">
            <v>0.05</v>
          </cell>
          <cell r="S124" t="str">
            <v>저케</v>
          </cell>
          <cell r="T124">
            <v>3.5999999999999997E-2</v>
          </cell>
          <cell r="U124" t="str">
            <v>저케</v>
          </cell>
          <cell r="V124">
            <v>7.4999999999999997E-3</v>
          </cell>
          <cell r="W124" t="str">
            <v>보인</v>
          </cell>
          <cell r="X124">
            <v>7.0000000000000001E-3</v>
          </cell>
        </row>
        <row r="125">
          <cell r="A125">
            <v>123</v>
          </cell>
          <cell r="B125" t="str">
            <v xml:space="preserve"> 저압 케이블</v>
          </cell>
          <cell r="C125" t="str">
            <v>600V  CV 60sq/1C</v>
          </cell>
          <cell r="D125" t="str">
            <v>m</v>
          </cell>
          <cell r="G125">
            <v>718</v>
          </cell>
          <cell r="H125">
            <v>2288</v>
          </cell>
          <cell r="Q125">
            <v>2288</v>
          </cell>
          <cell r="R125">
            <v>0.05</v>
          </cell>
          <cell r="S125" t="str">
            <v>저케</v>
          </cell>
          <cell r="T125">
            <v>4.9000000000000002E-2</v>
          </cell>
          <cell r="U125" t="str">
            <v>저케</v>
          </cell>
          <cell r="V125">
            <v>8.5000000000000006E-3</v>
          </cell>
          <cell r="W125" t="str">
            <v>보인</v>
          </cell>
          <cell r="X125">
            <v>8.5000000000000006E-3</v>
          </cell>
        </row>
        <row r="126">
          <cell r="A126">
            <v>124</v>
          </cell>
          <cell r="B126" t="str">
            <v xml:space="preserve"> 저압 케이블</v>
          </cell>
          <cell r="C126" t="str">
            <v>600V  CV 100sq/1C</v>
          </cell>
          <cell r="D126" t="str">
            <v>m</v>
          </cell>
          <cell r="G126">
            <v>718</v>
          </cell>
          <cell r="H126">
            <v>3735</v>
          </cell>
          <cell r="Q126">
            <v>3735</v>
          </cell>
          <cell r="R126">
            <v>0.05</v>
          </cell>
          <cell r="S126" t="str">
            <v>저케</v>
          </cell>
          <cell r="T126">
            <v>7.0999999999999994E-2</v>
          </cell>
          <cell r="U126" t="str">
            <v>저케</v>
          </cell>
          <cell r="V126">
            <v>1.15E-2</v>
          </cell>
          <cell r="W126" t="str">
            <v>보인</v>
          </cell>
          <cell r="X126">
            <v>1.0999999999999999E-2</v>
          </cell>
        </row>
        <row r="127">
          <cell r="A127">
            <v>125</v>
          </cell>
          <cell r="B127" t="str">
            <v xml:space="preserve"> 저압 케이블</v>
          </cell>
          <cell r="C127" t="str">
            <v>600V  CV 150sq/1C</v>
          </cell>
          <cell r="D127" t="str">
            <v>m</v>
          </cell>
          <cell r="G127">
            <v>718</v>
          </cell>
          <cell r="H127">
            <v>5445</v>
          </cell>
          <cell r="Q127">
            <v>5445</v>
          </cell>
          <cell r="R127">
            <v>0.05</v>
          </cell>
          <cell r="S127" t="str">
            <v>저케</v>
          </cell>
          <cell r="T127">
            <v>9.7000000000000003E-2</v>
          </cell>
          <cell r="U127" t="str">
            <v>저케</v>
          </cell>
          <cell r="V127">
            <v>1.4500000000000001E-2</v>
          </cell>
          <cell r="W127" t="str">
            <v>보인</v>
          </cell>
          <cell r="X127">
            <v>1.4500000000000001E-2</v>
          </cell>
        </row>
        <row r="128">
          <cell r="A128">
            <v>126</v>
          </cell>
          <cell r="B128" t="str">
            <v xml:space="preserve"> 저압 케이블</v>
          </cell>
          <cell r="C128" t="str">
            <v>600V  CV 200sq/1C</v>
          </cell>
          <cell r="D128" t="str">
            <v>m</v>
          </cell>
          <cell r="G128">
            <v>718</v>
          </cell>
          <cell r="H128">
            <v>8560</v>
          </cell>
          <cell r="Q128">
            <v>8560</v>
          </cell>
          <cell r="R128">
            <v>0.05</v>
          </cell>
          <cell r="S128" t="str">
            <v>저케</v>
          </cell>
          <cell r="T128">
            <v>0.11700000000000001</v>
          </cell>
          <cell r="U128" t="str">
            <v>저케</v>
          </cell>
          <cell r="V128">
            <v>1.7500000000000002E-2</v>
          </cell>
          <cell r="W128" t="str">
            <v>보인</v>
          </cell>
          <cell r="X128">
            <v>1.7000000000000001E-2</v>
          </cell>
        </row>
        <row r="129">
          <cell r="A129">
            <v>127</v>
          </cell>
          <cell r="B129" t="str">
            <v xml:space="preserve"> 저압 케이블</v>
          </cell>
          <cell r="C129" t="str">
            <v>600V  CV 250sq/1C</v>
          </cell>
          <cell r="D129" t="str">
            <v>m</v>
          </cell>
          <cell r="G129">
            <v>718</v>
          </cell>
          <cell r="H129">
            <v>9933</v>
          </cell>
          <cell r="Q129">
            <v>9933</v>
          </cell>
          <cell r="R129">
            <v>0.05</v>
          </cell>
          <cell r="S129" t="str">
            <v>저케</v>
          </cell>
          <cell r="T129">
            <v>0.14199999999999999</v>
          </cell>
          <cell r="U129" t="str">
            <v>저케</v>
          </cell>
          <cell r="V129">
            <v>2.5000000000000001E-2</v>
          </cell>
          <cell r="W129" t="str">
            <v>보인</v>
          </cell>
          <cell r="X129">
            <v>2.4500000000000001E-2</v>
          </cell>
        </row>
        <row r="130">
          <cell r="A130">
            <v>128</v>
          </cell>
          <cell r="Q130" t="str">
            <v/>
          </cell>
        </row>
        <row r="131">
          <cell r="A131">
            <v>129</v>
          </cell>
          <cell r="Q131" t="str">
            <v/>
          </cell>
        </row>
        <row r="132">
          <cell r="A132">
            <v>130</v>
          </cell>
          <cell r="B132" t="str">
            <v>저압 케이블</v>
          </cell>
          <cell r="C132" t="str">
            <v>600V EV 5.5 sq/1C</v>
          </cell>
          <cell r="D132" t="str">
            <v>m</v>
          </cell>
          <cell r="G132">
            <v>727</v>
          </cell>
          <cell r="H132">
            <v>251</v>
          </cell>
          <cell r="Q132">
            <v>251</v>
          </cell>
          <cell r="R132">
            <v>0.05</v>
          </cell>
          <cell r="S132" t="str">
            <v>저케</v>
          </cell>
          <cell r="T132">
            <v>1.2999999999999999E-2</v>
          </cell>
          <cell r="U132" t="str">
            <v>저케</v>
          </cell>
          <cell r="V132">
            <v>5.0000000000000001E-3</v>
          </cell>
          <cell r="W132" t="str">
            <v>보인</v>
          </cell>
          <cell r="X132">
            <v>5.0000000000000001E-3</v>
          </cell>
          <cell r="Y132" t="str">
            <v xml:space="preserve">옥외에서    2열동시 :180%        3열동시 :260%        4열동시 :340%         *구내부설시 본품의50%가산    </v>
          </cell>
        </row>
        <row r="133">
          <cell r="A133">
            <v>131</v>
          </cell>
          <cell r="B133" t="str">
            <v>저압 케이블</v>
          </cell>
          <cell r="C133" t="str">
            <v>600V EV 8sq/1C</v>
          </cell>
          <cell r="D133" t="str">
            <v>m</v>
          </cell>
          <cell r="G133">
            <v>727</v>
          </cell>
          <cell r="H133">
            <v>356</v>
          </cell>
          <cell r="Q133">
            <v>356</v>
          </cell>
          <cell r="R133">
            <v>0.05</v>
          </cell>
          <cell r="S133" t="str">
            <v>저케</v>
          </cell>
          <cell r="T133">
            <v>1.4E-2</v>
          </cell>
          <cell r="U133" t="str">
            <v>저케</v>
          </cell>
          <cell r="V133">
            <v>5.4999999999999997E-3</v>
          </cell>
          <cell r="W133" t="str">
            <v>보인</v>
          </cell>
          <cell r="X133">
            <v>5.4999999999999997E-3</v>
          </cell>
          <cell r="Y133" t="str">
            <v xml:space="preserve"> :180%        3열동시 :260%        4열동시 :340%         *구내부설시 본품의51%가산</v>
          </cell>
        </row>
        <row r="134">
          <cell r="A134">
            <v>132</v>
          </cell>
          <cell r="B134" t="str">
            <v>저압 케이블</v>
          </cell>
          <cell r="C134" t="str">
            <v>600V  EV  14sq/1C</v>
          </cell>
          <cell r="D134" t="str">
            <v>m</v>
          </cell>
          <cell r="G134">
            <v>727</v>
          </cell>
          <cell r="H134">
            <v>533</v>
          </cell>
          <cell r="Q134">
            <v>533</v>
          </cell>
          <cell r="R134">
            <v>0.05</v>
          </cell>
          <cell r="S134" t="str">
            <v>저케</v>
          </cell>
          <cell r="T134">
            <v>0.02</v>
          </cell>
          <cell r="U134" t="str">
            <v>저케</v>
          </cell>
          <cell r="V134">
            <v>5.4999999999999997E-3</v>
          </cell>
          <cell r="W134" t="str">
            <v>보인</v>
          </cell>
          <cell r="X134">
            <v>5.4999999999999997E-3</v>
          </cell>
          <cell r="Y134" t="str">
            <v xml:space="preserve"> :260%        4열동시 :340%         *구내부설시 본품의52%가산</v>
          </cell>
        </row>
        <row r="135">
          <cell r="A135">
            <v>133</v>
          </cell>
          <cell r="B135" t="str">
            <v>저압 케이블</v>
          </cell>
          <cell r="C135" t="str">
            <v>600V  EV 22sq/1C</v>
          </cell>
          <cell r="D135" t="str">
            <v>m</v>
          </cell>
          <cell r="G135">
            <v>727</v>
          </cell>
          <cell r="H135">
            <v>755</v>
          </cell>
          <cell r="Q135">
            <v>755</v>
          </cell>
          <cell r="R135">
            <v>0.05</v>
          </cell>
          <cell r="S135" t="str">
            <v>저케</v>
          </cell>
          <cell r="T135">
            <v>2.5999999999999999E-2</v>
          </cell>
          <cell r="U135" t="str">
            <v>저케</v>
          </cell>
          <cell r="V135">
            <v>7.0000000000000001E-3</v>
          </cell>
          <cell r="W135" t="str">
            <v>보인</v>
          </cell>
          <cell r="X135">
            <v>5.4999999999999997E-3</v>
          </cell>
          <cell r="Y135" t="str">
            <v xml:space="preserve"> :340%         *구내부설시 본품의53%가산</v>
          </cell>
        </row>
        <row r="136">
          <cell r="A136">
            <v>134</v>
          </cell>
          <cell r="B136" t="str">
            <v>저압 케이블</v>
          </cell>
          <cell r="C136" t="str">
            <v>600V  EV 38sq/1C</v>
          </cell>
          <cell r="D136" t="str">
            <v>m</v>
          </cell>
          <cell r="G136">
            <v>727</v>
          </cell>
          <cell r="H136">
            <v>1181</v>
          </cell>
          <cell r="Q136">
            <v>1181</v>
          </cell>
          <cell r="R136">
            <v>0.05</v>
          </cell>
          <cell r="S136" t="str">
            <v>저케</v>
          </cell>
          <cell r="T136">
            <v>3.5999999999999997E-2</v>
          </cell>
          <cell r="U136" t="str">
            <v>저케</v>
          </cell>
          <cell r="V136">
            <v>7.4999999999999997E-3</v>
          </cell>
          <cell r="W136" t="str">
            <v>보인</v>
          </cell>
          <cell r="X136">
            <v>7.0000000000000001E-3</v>
          </cell>
          <cell r="Y136" t="str">
            <v>시 본품의50%가산</v>
          </cell>
        </row>
        <row r="137">
          <cell r="A137">
            <v>135</v>
          </cell>
          <cell r="B137" t="str">
            <v>저압 케이블</v>
          </cell>
          <cell r="C137" t="str">
            <v>600V  EV 50sq/1C</v>
          </cell>
          <cell r="D137" t="str">
            <v>m</v>
          </cell>
          <cell r="G137">
            <v>727</v>
          </cell>
          <cell r="H137">
            <v>1626</v>
          </cell>
          <cell r="Q137">
            <v>1626</v>
          </cell>
          <cell r="R137">
            <v>0.05</v>
          </cell>
          <cell r="S137" t="str">
            <v>저케</v>
          </cell>
          <cell r="T137">
            <v>4.2999999999999997E-2</v>
          </cell>
          <cell r="U137" t="str">
            <v>저케</v>
          </cell>
          <cell r="V137">
            <v>8.5000000000000006E-3</v>
          </cell>
          <cell r="W137" t="str">
            <v>보인</v>
          </cell>
          <cell r="X137">
            <v>8.5000000000000006E-3</v>
          </cell>
        </row>
        <row r="138">
          <cell r="A138">
            <v>136</v>
          </cell>
          <cell r="B138" t="str">
            <v>저압 케이블</v>
          </cell>
          <cell r="C138" t="str">
            <v>600V  EV 60sq/1C</v>
          </cell>
          <cell r="D138" t="str">
            <v>m</v>
          </cell>
          <cell r="G138">
            <v>727</v>
          </cell>
          <cell r="H138">
            <v>1939</v>
          </cell>
          <cell r="Q138">
            <v>1939</v>
          </cell>
          <cell r="R138">
            <v>0.05</v>
          </cell>
          <cell r="S138" t="str">
            <v>저케</v>
          </cell>
          <cell r="T138">
            <v>4.9000000000000002E-2</v>
          </cell>
          <cell r="U138" t="str">
            <v>저케</v>
          </cell>
          <cell r="V138">
            <v>8.5000000000000006E-3</v>
          </cell>
          <cell r="W138" t="str">
            <v>보인</v>
          </cell>
          <cell r="X138">
            <v>8.5000000000000006E-3</v>
          </cell>
        </row>
        <row r="139">
          <cell r="A139">
            <v>137</v>
          </cell>
          <cell r="B139" t="str">
            <v>저압 케이블</v>
          </cell>
          <cell r="C139" t="str">
            <v>600V  EV 80sq/1C</v>
          </cell>
          <cell r="D139" t="str">
            <v>m</v>
          </cell>
          <cell r="G139">
            <v>727</v>
          </cell>
          <cell r="H139">
            <v>2494</v>
          </cell>
          <cell r="Q139">
            <v>2494</v>
          </cell>
          <cell r="R139">
            <v>0.05</v>
          </cell>
          <cell r="S139" t="str">
            <v>저케</v>
          </cell>
          <cell r="T139">
            <v>0.06</v>
          </cell>
          <cell r="U139" t="str">
            <v>저케</v>
          </cell>
          <cell r="V139">
            <v>1.15E-2</v>
          </cell>
          <cell r="W139" t="str">
            <v>보인</v>
          </cell>
          <cell r="X139">
            <v>1.0999999999999999E-2</v>
          </cell>
        </row>
        <row r="140">
          <cell r="A140">
            <v>138</v>
          </cell>
          <cell r="B140" t="str">
            <v>저압 케이블</v>
          </cell>
          <cell r="C140" t="str">
            <v>600V  EV 100sq/1C</v>
          </cell>
          <cell r="D140" t="str">
            <v>m</v>
          </cell>
          <cell r="G140">
            <v>727</v>
          </cell>
          <cell r="H140">
            <v>3160</v>
          </cell>
          <cell r="Q140">
            <v>3160</v>
          </cell>
          <cell r="R140">
            <v>0.05</v>
          </cell>
          <cell r="S140" t="str">
            <v>저케</v>
          </cell>
          <cell r="T140">
            <v>7.0999999999999994E-2</v>
          </cell>
          <cell r="U140" t="str">
            <v>저케</v>
          </cell>
          <cell r="V140">
            <v>1.15E-2</v>
          </cell>
          <cell r="W140" t="str">
            <v>보인</v>
          </cell>
          <cell r="X140">
            <v>1.0999999999999999E-2</v>
          </cell>
        </row>
        <row r="141">
          <cell r="A141">
            <v>139</v>
          </cell>
          <cell r="B141" t="str">
            <v>저압 케이블</v>
          </cell>
          <cell r="C141" t="str">
            <v>600V  EV 125sq/1C</v>
          </cell>
          <cell r="D141" t="str">
            <v>m</v>
          </cell>
          <cell r="G141">
            <v>727</v>
          </cell>
          <cell r="H141">
            <v>3881</v>
          </cell>
          <cell r="Q141">
            <v>3881</v>
          </cell>
          <cell r="R141">
            <v>0.05</v>
          </cell>
          <cell r="S141" t="str">
            <v>저케</v>
          </cell>
          <cell r="T141">
            <v>8.4000000000000005E-2</v>
          </cell>
          <cell r="U141" t="str">
            <v>저케</v>
          </cell>
          <cell r="V141">
            <v>1.4500000000000001E-2</v>
          </cell>
          <cell r="W141" t="str">
            <v>보인</v>
          </cell>
          <cell r="X141">
            <v>1.4500000000000001E-2</v>
          </cell>
        </row>
        <row r="142">
          <cell r="A142">
            <v>140</v>
          </cell>
          <cell r="B142" t="str">
            <v>저압 케이블</v>
          </cell>
          <cell r="C142" t="str">
            <v>600V  EV 150sq/1C</v>
          </cell>
          <cell r="D142" t="str">
            <v>m</v>
          </cell>
          <cell r="G142">
            <v>727</v>
          </cell>
          <cell r="H142">
            <v>4748</v>
          </cell>
          <cell r="Q142">
            <v>4748</v>
          </cell>
          <cell r="R142">
            <v>0.05</v>
          </cell>
          <cell r="S142" t="str">
            <v>저케</v>
          </cell>
          <cell r="T142">
            <v>9.7000000000000003E-2</v>
          </cell>
          <cell r="U142" t="str">
            <v>저케</v>
          </cell>
          <cell r="V142">
            <v>1.4500000000000001E-2</v>
          </cell>
          <cell r="W142" t="str">
            <v>보인</v>
          </cell>
          <cell r="X142">
            <v>1.4500000000000001E-2</v>
          </cell>
        </row>
        <row r="143">
          <cell r="A143">
            <v>141</v>
          </cell>
          <cell r="B143" t="str">
            <v>저압 케이블</v>
          </cell>
          <cell r="C143" t="str">
            <v>600V  EV 200sq/1C</v>
          </cell>
          <cell r="D143" t="str">
            <v>m</v>
          </cell>
          <cell r="G143">
            <v>727</v>
          </cell>
          <cell r="H143">
            <v>6086</v>
          </cell>
          <cell r="Q143">
            <v>6086</v>
          </cell>
          <cell r="R143">
            <v>0.05</v>
          </cell>
          <cell r="S143" t="str">
            <v>저케</v>
          </cell>
          <cell r="T143">
            <v>0.11700000000000001</v>
          </cell>
          <cell r="U143" t="str">
            <v>저케</v>
          </cell>
          <cell r="V143">
            <v>1.7500000000000002E-2</v>
          </cell>
          <cell r="W143" t="str">
            <v>보인</v>
          </cell>
          <cell r="X143">
            <v>1.7000000000000001E-2</v>
          </cell>
        </row>
        <row r="144">
          <cell r="A144">
            <v>142</v>
          </cell>
          <cell r="B144" t="str">
            <v>저압 케이블</v>
          </cell>
          <cell r="C144" t="str">
            <v>600V  EV 250sq/1C</v>
          </cell>
          <cell r="D144" t="str">
            <v>m</v>
          </cell>
          <cell r="G144">
            <v>727</v>
          </cell>
          <cell r="H144">
            <v>7801</v>
          </cell>
          <cell r="Q144">
            <v>7801</v>
          </cell>
          <cell r="R144">
            <v>0.05</v>
          </cell>
          <cell r="S144" t="str">
            <v>저케</v>
          </cell>
          <cell r="T144">
            <v>0.14199999999999999</v>
          </cell>
          <cell r="U144" t="str">
            <v>저케</v>
          </cell>
          <cell r="V144">
            <v>2.5000000000000001E-2</v>
          </cell>
          <cell r="W144" t="str">
            <v>보인</v>
          </cell>
          <cell r="X144">
            <v>2.4500000000000001E-2</v>
          </cell>
        </row>
        <row r="145">
          <cell r="A145">
            <v>143</v>
          </cell>
          <cell r="Q145" t="str">
            <v/>
          </cell>
        </row>
        <row r="146">
          <cell r="A146">
            <v>144</v>
          </cell>
          <cell r="Q146" t="str">
            <v/>
          </cell>
        </row>
        <row r="147">
          <cell r="A147">
            <v>145</v>
          </cell>
          <cell r="B147" t="str">
            <v>제어 케이블</v>
          </cell>
          <cell r="C147" t="str">
            <v>CVV  2.0sq/2C</v>
          </cell>
          <cell r="D147" t="str">
            <v>m</v>
          </cell>
          <cell r="G147">
            <v>716</v>
          </cell>
          <cell r="H147">
            <v>484</v>
          </cell>
          <cell r="Q147">
            <v>484</v>
          </cell>
          <cell r="R147">
            <v>0.05</v>
          </cell>
          <cell r="S147" t="str">
            <v>저케</v>
          </cell>
          <cell r="T147">
            <v>1.4E-2</v>
          </cell>
        </row>
        <row r="148">
          <cell r="A148">
            <v>146</v>
          </cell>
          <cell r="B148" t="str">
            <v>제어 케이블</v>
          </cell>
          <cell r="C148" t="str">
            <v>CVV  2.0sq/3C</v>
          </cell>
          <cell r="D148" t="str">
            <v>m</v>
          </cell>
          <cell r="G148">
            <v>716</v>
          </cell>
          <cell r="H148">
            <v>594</v>
          </cell>
          <cell r="Q148">
            <v>594</v>
          </cell>
          <cell r="R148">
            <v>0.05</v>
          </cell>
          <cell r="S148" t="str">
            <v>저케</v>
          </cell>
          <cell r="T148">
            <v>1.9E-2</v>
          </cell>
        </row>
        <row r="149">
          <cell r="A149">
            <v>147</v>
          </cell>
          <cell r="B149" t="str">
            <v>제어 케이블</v>
          </cell>
          <cell r="C149" t="str">
            <v>CVV  2.0sq/4C</v>
          </cell>
          <cell r="D149" t="str">
            <v>m</v>
          </cell>
          <cell r="G149">
            <v>716</v>
          </cell>
          <cell r="H149">
            <v>716</v>
          </cell>
          <cell r="Q149">
            <v>716</v>
          </cell>
          <cell r="R149">
            <v>0.05</v>
          </cell>
          <cell r="S149" t="str">
            <v>저케</v>
          </cell>
          <cell r="T149">
            <v>2.5999999999999999E-2</v>
          </cell>
        </row>
        <row r="150">
          <cell r="A150">
            <v>148</v>
          </cell>
          <cell r="B150" t="str">
            <v>제어 케이블</v>
          </cell>
          <cell r="C150" t="str">
            <v>CVV  2.0sq/5C</v>
          </cell>
          <cell r="D150" t="str">
            <v>m</v>
          </cell>
          <cell r="G150">
            <v>716</v>
          </cell>
          <cell r="H150">
            <v>656</v>
          </cell>
          <cell r="Q150">
            <v>656</v>
          </cell>
          <cell r="R150">
            <v>0.05</v>
          </cell>
          <cell r="S150" t="str">
            <v>저케</v>
          </cell>
          <cell r="T150">
            <v>3.2000000000000001E-2</v>
          </cell>
        </row>
        <row r="151">
          <cell r="A151">
            <v>149</v>
          </cell>
          <cell r="B151" t="str">
            <v>제어 케이블</v>
          </cell>
          <cell r="C151" t="str">
            <v>CVV  2.0sq/6C</v>
          </cell>
          <cell r="D151" t="str">
            <v>m</v>
          </cell>
          <cell r="G151">
            <v>716</v>
          </cell>
          <cell r="H151">
            <v>758</v>
          </cell>
          <cell r="Q151">
            <v>758</v>
          </cell>
          <cell r="R151">
            <v>0.05</v>
          </cell>
          <cell r="S151" t="str">
            <v>저케</v>
          </cell>
          <cell r="T151">
            <v>3.5000000000000003E-2</v>
          </cell>
        </row>
        <row r="152">
          <cell r="A152">
            <v>150</v>
          </cell>
          <cell r="B152" t="str">
            <v>제어 케이블</v>
          </cell>
          <cell r="C152" t="str">
            <v>CVV  2.0sq/7C</v>
          </cell>
          <cell r="D152" t="str">
            <v>m</v>
          </cell>
          <cell r="G152">
            <v>716</v>
          </cell>
          <cell r="H152">
            <v>810</v>
          </cell>
          <cell r="Q152">
            <v>810</v>
          </cell>
          <cell r="R152">
            <v>0.05</v>
          </cell>
          <cell r="S152" t="str">
            <v>저케</v>
          </cell>
          <cell r="T152">
            <v>3.9E-2</v>
          </cell>
        </row>
        <row r="153">
          <cell r="A153">
            <v>151</v>
          </cell>
          <cell r="B153" t="str">
            <v>제어 케이블</v>
          </cell>
          <cell r="C153" t="str">
            <v>CVV  2.0sq/8C</v>
          </cell>
          <cell r="D153" t="str">
            <v>m</v>
          </cell>
          <cell r="G153">
            <v>716</v>
          </cell>
          <cell r="H153">
            <v>1010</v>
          </cell>
          <cell r="Q153">
            <v>1010</v>
          </cell>
          <cell r="R153">
            <v>0.05</v>
          </cell>
          <cell r="S153" t="str">
            <v>저케</v>
          </cell>
          <cell r="T153">
            <v>4.2000000000000003E-2</v>
          </cell>
        </row>
        <row r="154">
          <cell r="A154">
            <v>152</v>
          </cell>
          <cell r="B154" t="str">
            <v>제어 케이블</v>
          </cell>
          <cell r="C154" t="str">
            <v>CVV  2.0sq/9C</v>
          </cell>
          <cell r="D154" t="str">
            <v>m</v>
          </cell>
          <cell r="G154">
            <v>716</v>
          </cell>
          <cell r="H154">
            <v>1100</v>
          </cell>
          <cell r="Q154">
            <v>1100</v>
          </cell>
          <cell r="R154">
            <v>0.05</v>
          </cell>
          <cell r="S154" t="str">
            <v>저케</v>
          </cell>
          <cell r="T154">
            <v>4.4999999999999998E-2</v>
          </cell>
        </row>
        <row r="155">
          <cell r="A155">
            <v>153</v>
          </cell>
          <cell r="B155" t="str">
            <v>제어 케이블</v>
          </cell>
          <cell r="C155" t="str">
            <v>CVV  2.0sq/10C</v>
          </cell>
          <cell r="D155" t="str">
            <v>m</v>
          </cell>
          <cell r="G155">
            <v>716</v>
          </cell>
          <cell r="H155">
            <v>1262</v>
          </cell>
          <cell r="Q155">
            <v>1262</v>
          </cell>
          <cell r="R155">
            <v>0.05</v>
          </cell>
          <cell r="S155" t="str">
            <v>저케</v>
          </cell>
          <cell r="T155">
            <v>4.8000000000000001E-2</v>
          </cell>
        </row>
        <row r="156">
          <cell r="A156">
            <v>154</v>
          </cell>
          <cell r="B156" t="str">
            <v>제어 케이블</v>
          </cell>
          <cell r="C156" t="str">
            <v>CVV  2.0sq/12C</v>
          </cell>
          <cell r="D156" t="str">
            <v>m</v>
          </cell>
          <cell r="G156">
            <v>716</v>
          </cell>
          <cell r="H156">
            <v>1400</v>
          </cell>
          <cell r="Q156">
            <v>1400</v>
          </cell>
          <cell r="R156">
            <v>0.05</v>
          </cell>
          <cell r="S156" t="str">
            <v>저케</v>
          </cell>
          <cell r="T156">
            <v>5.3999999999999999E-2</v>
          </cell>
        </row>
        <row r="157">
          <cell r="A157">
            <v>155</v>
          </cell>
          <cell r="B157" t="str">
            <v>제어 케이블</v>
          </cell>
          <cell r="C157" t="str">
            <v>CVV  2.0sq/15C</v>
          </cell>
          <cell r="D157" t="str">
            <v>m</v>
          </cell>
          <cell r="G157">
            <v>716</v>
          </cell>
          <cell r="H157">
            <v>1813</v>
          </cell>
          <cell r="Q157">
            <v>1813</v>
          </cell>
          <cell r="R157">
            <v>0.05</v>
          </cell>
          <cell r="S157" t="str">
            <v>저케</v>
          </cell>
          <cell r="T157">
            <v>6.3E-2</v>
          </cell>
        </row>
        <row r="158">
          <cell r="A158">
            <v>156</v>
          </cell>
          <cell r="B158" t="str">
            <v>제어 케이블</v>
          </cell>
          <cell r="C158" t="str">
            <v>CVV  2.0sq/19C</v>
          </cell>
          <cell r="D158" t="str">
            <v>m</v>
          </cell>
          <cell r="G158">
            <v>716</v>
          </cell>
          <cell r="H158">
            <v>2049</v>
          </cell>
          <cell r="Q158">
            <v>2049</v>
          </cell>
          <cell r="R158">
            <v>0.05</v>
          </cell>
          <cell r="S158" t="str">
            <v>저케</v>
          </cell>
          <cell r="T158">
            <v>7.1999999999999995E-2</v>
          </cell>
        </row>
        <row r="159">
          <cell r="A159">
            <v>157</v>
          </cell>
          <cell r="B159" t="str">
            <v>제어 케이블</v>
          </cell>
          <cell r="C159" t="str">
            <v>CVV  2.0sq/24C</v>
          </cell>
          <cell r="D159" t="str">
            <v>m</v>
          </cell>
          <cell r="G159">
            <v>716</v>
          </cell>
          <cell r="H159">
            <v>2590</v>
          </cell>
          <cell r="Q159">
            <v>2590</v>
          </cell>
          <cell r="R159">
            <v>0.05</v>
          </cell>
          <cell r="S159" t="str">
            <v>저케</v>
          </cell>
          <cell r="T159">
            <v>8.4000000000000005E-2</v>
          </cell>
        </row>
        <row r="160">
          <cell r="A160">
            <v>158</v>
          </cell>
          <cell r="B160" t="str">
            <v>제어 케이블</v>
          </cell>
          <cell r="C160" t="str">
            <v>CVV  2.0sq/27C</v>
          </cell>
          <cell r="D160" t="str">
            <v>m</v>
          </cell>
          <cell r="G160">
            <v>716</v>
          </cell>
          <cell r="H160">
            <v>2826</v>
          </cell>
          <cell r="Q160">
            <v>2826</v>
          </cell>
          <cell r="R160">
            <v>0.05</v>
          </cell>
          <cell r="S160" t="str">
            <v>저케</v>
          </cell>
          <cell r="T160">
            <v>9.0999999999999998E-2</v>
          </cell>
        </row>
        <row r="161">
          <cell r="A161">
            <v>159</v>
          </cell>
          <cell r="B161" t="str">
            <v>제어 케이블</v>
          </cell>
          <cell r="C161" t="str">
            <v>CVV  2.0sq/30C</v>
          </cell>
          <cell r="D161" t="str">
            <v>m</v>
          </cell>
          <cell r="G161">
            <v>716</v>
          </cell>
          <cell r="H161">
            <v>3163</v>
          </cell>
          <cell r="Q161">
            <v>3163</v>
          </cell>
          <cell r="R161">
            <v>0.05</v>
          </cell>
          <cell r="S161" t="str">
            <v>저케</v>
          </cell>
          <cell r="T161">
            <v>9.8000000000000004E-2</v>
          </cell>
        </row>
        <row r="162">
          <cell r="A162">
            <v>160</v>
          </cell>
          <cell r="Q162" t="str">
            <v/>
          </cell>
        </row>
        <row r="163">
          <cell r="A163">
            <v>161</v>
          </cell>
          <cell r="B163" t="str">
            <v>제어 케이블</v>
          </cell>
          <cell r="C163" t="str">
            <v>CVV-SB  2.0sq/2C</v>
          </cell>
          <cell r="D163" t="str">
            <v>m</v>
          </cell>
          <cell r="G163">
            <v>717</v>
          </cell>
          <cell r="H163">
            <v>754</v>
          </cell>
          <cell r="Q163">
            <v>754</v>
          </cell>
          <cell r="R163">
            <v>0.05</v>
          </cell>
          <cell r="S163" t="str">
            <v>저케</v>
          </cell>
          <cell r="T163">
            <v>1.4E-2</v>
          </cell>
        </row>
        <row r="164">
          <cell r="A164">
            <v>162</v>
          </cell>
          <cell r="B164" t="str">
            <v>제어 케이블</v>
          </cell>
          <cell r="C164" t="str">
            <v>CVV-SB  2.0sq/3C</v>
          </cell>
          <cell r="D164" t="str">
            <v>m</v>
          </cell>
          <cell r="G164">
            <v>717</v>
          </cell>
          <cell r="H164">
            <v>910</v>
          </cell>
          <cell r="Q164">
            <v>910</v>
          </cell>
          <cell r="R164">
            <v>0.05</v>
          </cell>
          <cell r="S164" t="str">
            <v>저케</v>
          </cell>
          <cell r="T164">
            <v>1.9E-2</v>
          </cell>
        </row>
        <row r="165">
          <cell r="A165">
            <v>163</v>
          </cell>
          <cell r="B165" t="str">
            <v>제어 케이블</v>
          </cell>
          <cell r="C165" t="str">
            <v>CVV-SB  2.0sq/4C</v>
          </cell>
          <cell r="D165" t="str">
            <v>m</v>
          </cell>
          <cell r="G165">
            <v>717</v>
          </cell>
          <cell r="H165">
            <v>1048</v>
          </cell>
          <cell r="Q165">
            <v>1048</v>
          </cell>
          <cell r="R165">
            <v>0.05</v>
          </cell>
          <cell r="S165" t="str">
            <v>저케</v>
          </cell>
          <cell r="T165">
            <v>2.5999999999999999E-2</v>
          </cell>
        </row>
        <row r="166">
          <cell r="A166">
            <v>164</v>
          </cell>
          <cell r="B166" t="str">
            <v>제어 케이블</v>
          </cell>
          <cell r="C166" t="str">
            <v>CVV-SB  2.0sq/5C</v>
          </cell>
          <cell r="D166" t="str">
            <v>m</v>
          </cell>
          <cell r="G166">
            <v>717</v>
          </cell>
          <cell r="H166">
            <v>1143</v>
          </cell>
          <cell r="Q166">
            <v>1143</v>
          </cell>
          <cell r="R166">
            <v>0.05</v>
          </cell>
          <cell r="S166" t="str">
            <v>저케</v>
          </cell>
          <cell r="T166">
            <v>3.2000000000000001E-2</v>
          </cell>
        </row>
        <row r="167">
          <cell r="A167">
            <v>165</v>
          </cell>
          <cell r="B167" t="str">
            <v>제어 케이블</v>
          </cell>
          <cell r="C167" t="str">
            <v>CVV-SB  2.0sq/6C</v>
          </cell>
          <cell r="D167" t="str">
            <v>m</v>
          </cell>
          <cell r="G167">
            <v>717</v>
          </cell>
          <cell r="H167">
            <v>1283</v>
          </cell>
          <cell r="Q167">
            <v>1283</v>
          </cell>
          <cell r="R167">
            <v>0.05</v>
          </cell>
          <cell r="S167" t="str">
            <v>저케</v>
          </cell>
          <cell r="T167">
            <v>3.5000000000000003E-2</v>
          </cell>
        </row>
        <row r="168">
          <cell r="A168">
            <v>166</v>
          </cell>
          <cell r="B168" t="str">
            <v>제어 케이블</v>
          </cell>
          <cell r="C168" t="str">
            <v>CVV-SB  2.0sq/7C</v>
          </cell>
          <cell r="D168" t="str">
            <v>m</v>
          </cell>
          <cell r="G168">
            <v>717</v>
          </cell>
          <cell r="H168">
            <v>1363</v>
          </cell>
          <cell r="Q168">
            <v>1363</v>
          </cell>
          <cell r="R168">
            <v>0.05</v>
          </cell>
          <cell r="S168" t="str">
            <v>저케</v>
          </cell>
          <cell r="T168">
            <v>3.9E-2</v>
          </cell>
        </row>
        <row r="169">
          <cell r="A169">
            <v>167</v>
          </cell>
          <cell r="B169" t="str">
            <v>제어 케이블</v>
          </cell>
          <cell r="C169" t="str">
            <v>CVV-SB  2.0sq/9C</v>
          </cell>
          <cell r="D169" t="str">
            <v>m</v>
          </cell>
          <cell r="G169">
            <v>717</v>
          </cell>
          <cell r="H169">
            <v>1584</v>
          </cell>
          <cell r="Q169">
            <v>1584</v>
          </cell>
          <cell r="R169">
            <v>0.05</v>
          </cell>
          <cell r="S169" t="str">
            <v>저케</v>
          </cell>
          <cell r="T169">
            <v>4.4999999999999998E-2</v>
          </cell>
        </row>
        <row r="170">
          <cell r="A170">
            <v>168</v>
          </cell>
          <cell r="B170" t="str">
            <v>제어 케이블</v>
          </cell>
          <cell r="C170" t="str">
            <v>CVV-SB  2.0sq/10C</v>
          </cell>
          <cell r="D170" t="str">
            <v>m</v>
          </cell>
          <cell r="G170">
            <v>717</v>
          </cell>
          <cell r="H170">
            <v>1734</v>
          </cell>
          <cell r="Q170">
            <v>1734</v>
          </cell>
          <cell r="R170">
            <v>0.05</v>
          </cell>
          <cell r="S170" t="str">
            <v>저케</v>
          </cell>
          <cell r="T170">
            <v>4.8000000000000001E-2</v>
          </cell>
        </row>
        <row r="171">
          <cell r="A171">
            <v>169</v>
          </cell>
          <cell r="B171" t="str">
            <v>제어 케이블</v>
          </cell>
          <cell r="C171" t="str">
            <v>CVV-SB  2.0sq/12C</v>
          </cell>
          <cell r="D171" t="str">
            <v>m</v>
          </cell>
          <cell r="G171">
            <v>717</v>
          </cell>
          <cell r="H171">
            <v>1899</v>
          </cell>
          <cell r="Q171">
            <v>1899</v>
          </cell>
          <cell r="R171">
            <v>0.05</v>
          </cell>
          <cell r="S171" t="str">
            <v>저케</v>
          </cell>
          <cell r="T171">
            <v>5.3999999999999999E-2</v>
          </cell>
        </row>
        <row r="172">
          <cell r="A172">
            <v>170</v>
          </cell>
          <cell r="B172" t="str">
            <v>제어 케이블</v>
          </cell>
          <cell r="C172" t="str">
            <v>CVV-SB  2.0sq/15C</v>
          </cell>
          <cell r="D172" t="str">
            <v>m</v>
          </cell>
          <cell r="G172">
            <v>717</v>
          </cell>
          <cell r="H172">
            <v>2278</v>
          </cell>
          <cell r="Q172">
            <v>2278</v>
          </cell>
          <cell r="R172">
            <v>0.05</v>
          </cell>
          <cell r="S172" t="str">
            <v>저케</v>
          </cell>
          <cell r="T172">
            <v>6.3E-2</v>
          </cell>
        </row>
        <row r="173">
          <cell r="A173">
            <v>171</v>
          </cell>
          <cell r="B173" t="str">
            <v>제어 케이블</v>
          </cell>
          <cell r="C173" t="str">
            <v>CVV-SB  2.0sq/17C</v>
          </cell>
          <cell r="D173" t="str">
            <v>m</v>
          </cell>
          <cell r="G173">
            <v>717</v>
          </cell>
          <cell r="H173">
            <v>2502</v>
          </cell>
          <cell r="Q173">
            <v>2502</v>
          </cell>
          <cell r="R173">
            <v>0.05</v>
          </cell>
          <cell r="S173" t="str">
            <v>저케</v>
          </cell>
          <cell r="T173">
            <v>6.9000000000000006E-2</v>
          </cell>
        </row>
        <row r="174">
          <cell r="A174">
            <v>172</v>
          </cell>
          <cell r="B174" t="str">
            <v>제어 케이블</v>
          </cell>
          <cell r="C174" t="str">
            <v>CVV-SB  2.0sq/19C</v>
          </cell>
          <cell r="D174" t="str">
            <v>m</v>
          </cell>
          <cell r="G174">
            <v>717</v>
          </cell>
          <cell r="H174">
            <v>2643</v>
          </cell>
          <cell r="Q174">
            <v>2643</v>
          </cell>
          <cell r="R174">
            <v>0.05</v>
          </cell>
          <cell r="S174" t="str">
            <v>저케</v>
          </cell>
          <cell r="T174">
            <v>7.1999999999999995E-2</v>
          </cell>
        </row>
        <row r="175">
          <cell r="A175">
            <v>173</v>
          </cell>
          <cell r="B175" t="str">
            <v>제어 케이블</v>
          </cell>
          <cell r="C175" t="str">
            <v>CVV-SB  2.0sq/22C</v>
          </cell>
          <cell r="D175" t="str">
            <v>m</v>
          </cell>
          <cell r="G175">
            <v>717</v>
          </cell>
          <cell r="H175">
            <v>3171</v>
          </cell>
          <cell r="Q175">
            <v>3171</v>
          </cell>
          <cell r="R175">
            <v>0.05</v>
          </cell>
          <cell r="S175" t="str">
            <v>저케</v>
          </cell>
          <cell r="T175">
            <v>7.9000000000000001E-2</v>
          </cell>
        </row>
        <row r="176">
          <cell r="A176">
            <v>174</v>
          </cell>
          <cell r="B176" t="str">
            <v>제어 케이블</v>
          </cell>
          <cell r="C176" t="str">
            <v>CVV-SB  2.0sq/24C</v>
          </cell>
          <cell r="D176" t="str">
            <v>m</v>
          </cell>
          <cell r="G176">
            <v>717</v>
          </cell>
          <cell r="H176">
            <v>3150</v>
          </cell>
          <cell r="Q176">
            <v>3150</v>
          </cell>
          <cell r="R176">
            <v>0.05</v>
          </cell>
          <cell r="S176" t="str">
            <v>저케</v>
          </cell>
          <cell r="T176">
            <v>8.4000000000000005E-2</v>
          </cell>
        </row>
        <row r="177">
          <cell r="A177">
            <v>175</v>
          </cell>
          <cell r="B177" t="str">
            <v>제어 케이블</v>
          </cell>
          <cell r="C177" t="str">
            <v>CVV-SB  2.0sq/29C</v>
          </cell>
          <cell r="D177" t="str">
            <v>m</v>
          </cell>
          <cell r="G177">
            <v>717</v>
          </cell>
          <cell r="H177">
            <v>3452</v>
          </cell>
          <cell r="Q177">
            <v>3452</v>
          </cell>
          <cell r="R177">
            <v>0.05</v>
          </cell>
          <cell r="S177" t="str">
            <v>저케</v>
          </cell>
          <cell r="T177">
            <v>9.5000000000000001E-2</v>
          </cell>
        </row>
        <row r="178">
          <cell r="A178">
            <v>176</v>
          </cell>
          <cell r="B178" t="str">
            <v>제어 케이블</v>
          </cell>
          <cell r="C178" t="str">
            <v>CVV-SB  2.0sq/30C</v>
          </cell>
          <cell r="D178" t="str">
            <v>m</v>
          </cell>
          <cell r="G178">
            <v>717</v>
          </cell>
          <cell r="H178">
            <v>3695</v>
          </cell>
          <cell r="Q178">
            <v>3695</v>
          </cell>
          <cell r="R178">
            <v>0.05</v>
          </cell>
          <cell r="S178" t="str">
            <v>저케</v>
          </cell>
          <cell r="T178">
            <v>9.8000000000000004E-2</v>
          </cell>
        </row>
        <row r="179">
          <cell r="A179">
            <v>177</v>
          </cell>
          <cell r="Q179" t="str">
            <v/>
          </cell>
        </row>
        <row r="180">
          <cell r="A180">
            <v>178</v>
          </cell>
          <cell r="B180" t="str">
            <v>통신 케이블</v>
          </cell>
          <cell r="C180" t="str">
            <v>CPEV 0.65/5P</v>
          </cell>
          <cell r="D180" t="str">
            <v>m</v>
          </cell>
          <cell r="G180">
            <v>730</v>
          </cell>
          <cell r="H180">
            <v>568</v>
          </cell>
          <cell r="Q180">
            <v>568</v>
          </cell>
          <cell r="R180">
            <v>0.05</v>
          </cell>
          <cell r="S180" t="str">
            <v>통케</v>
          </cell>
          <cell r="T180">
            <v>1.7999999999999999E-2</v>
          </cell>
          <cell r="Y180" t="str">
            <v>2열동시180%</v>
          </cell>
        </row>
        <row r="181">
          <cell r="A181">
            <v>179</v>
          </cell>
          <cell r="B181" t="str">
            <v>통신 케이블</v>
          </cell>
          <cell r="C181" t="str">
            <v>CPEV 0.65/10P</v>
          </cell>
          <cell r="D181" t="str">
            <v>m</v>
          </cell>
          <cell r="G181">
            <v>730</v>
          </cell>
          <cell r="H181">
            <v>713</v>
          </cell>
          <cell r="Q181">
            <v>713</v>
          </cell>
          <cell r="R181">
            <v>0.05</v>
          </cell>
          <cell r="S181" t="str">
            <v>통케</v>
          </cell>
          <cell r="T181">
            <v>1.7999999999999999E-2</v>
          </cell>
          <cell r="Y181" t="str">
            <v>3열동시240%</v>
          </cell>
        </row>
        <row r="182">
          <cell r="A182">
            <v>180</v>
          </cell>
          <cell r="B182" t="str">
            <v>통신 케이블</v>
          </cell>
          <cell r="C182" t="str">
            <v>CPEV 0.65/20P</v>
          </cell>
          <cell r="D182" t="str">
            <v>m</v>
          </cell>
          <cell r="G182">
            <v>730</v>
          </cell>
          <cell r="H182">
            <v>1053</v>
          </cell>
          <cell r="Q182">
            <v>1053</v>
          </cell>
          <cell r="R182">
            <v>0.05</v>
          </cell>
          <cell r="S182" t="str">
            <v>통케</v>
          </cell>
          <cell r="T182">
            <v>2.1999999999999999E-2</v>
          </cell>
          <cell r="Y182" t="str">
            <v>4열동시320%</v>
          </cell>
        </row>
        <row r="183">
          <cell r="A183">
            <v>181</v>
          </cell>
          <cell r="B183" t="str">
            <v>통신 케이블</v>
          </cell>
          <cell r="C183" t="str">
            <v>CPEV 0.65/30P</v>
          </cell>
          <cell r="D183" t="str">
            <v>m</v>
          </cell>
          <cell r="G183">
            <v>730</v>
          </cell>
          <cell r="H183">
            <v>1432</v>
          </cell>
          <cell r="Q183">
            <v>1432</v>
          </cell>
          <cell r="R183">
            <v>0.05</v>
          </cell>
          <cell r="S183" t="str">
            <v>통케</v>
          </cell>
          <cell r="T183">
            <v>2.3E-2</v>
          </cell>
        </row>
        <row r="184">
          <cell r="A184">
            <v>182</v>
          </cell>
          <cell r="Q184" t="str">
            <v/>
          </cell>
        </row>
        <row r="185">
          <cell r="A185">
            <v>183</v>
          </cell>
          <cell r="Q185" t="str">
            <v/>
          </cell>
        </row>
        <row r="186">
          <cell r="A186">
            <v>184</v>
          </cell>
          <cell r="B186" t="str">
            <v>동축 케이블</v>
          </cell>
          <cell r="C186" t="str">
            <v>ECX  5C-2V</v>
          </cell>
          <cell r="D186" t="str">
            <v>m</v>
          </cell>
          <cell r="G186">
            <v>730</v>
          </cell>
          <cell r="H186">
            <v>386</v>
          </cell>
          <cell r="Q186">
            <v>386</v>
          </cell>
          <cell r="R186">
            <v>0.05</v>
          </cell>
          <cell r="S186" t="str">
            <v>통설</v>
          </cell>
          <cell r="T186">
            <v>1.7999999999999999E-2</v>
          </cell>
        </row>
        <row r="187">
          <cell r="A187">
            <v>185</v>
          </cell>
          <cell r="B187" t="str">
            <v>동축 케이블</v>
          </cell>
          <cell r="C187" t="str">
            <v>ECX  7C-2V</v>
          </cell>
          <cell r="D187" t="str">
            <v>m</v>
          </cell>
          <cell r="G187">
            <v>730</v>
          </cell>
          <cell r="H187">
            <v>698</v>
          </cell>
          <cell r="Q187">
            <v>698</v>
          </cell>
          <cell r="R187">
            <v>0.05</v>
          </cell>
          <cell r="S187" t="str">
            <v>통설</v>
          </cell>
          <cell r="T187">
            <v>2.1999999999999999E-2</v>
          </cell>
        </row>
        <row r="188">
          <cell r="A188">
            <v>186</v>
          </cell>
          <cell r="B188" t="str">
            <v>동축 케이블</v>
          </cell>
          <cell r="C188" t="str">
            <v>ECX 10C-2V</v>
          </cell>
          <cell r="D188" t="str">
            <v>m</v>
          </cell>
          <cell r="G188">
            <v>730</v>
          </cell>
          <cell r="H188">
            <v>1432</v>
          </cell>
          <cell r="Q188">
            <v>1432</v>
          </cell>
          <cell r="R188">
            <v>0.05</v>
          </cell>
          <cell r="S188" t="str">
            <v>통설</v>
          </cell>
          <cell r="T188">
            <v>3.2000000000000001E-2</v>
          </cell>
        </row>
        <row r="189">
          <cell r="A189">
            <v>187</v>
          </cell>
          <cell r="Q189" t="str">
            <v/>
          </cell>
        </row>
        <row r="190">
          <cell r="A190">
            <v>188</v>
          </cell>
          <cell r="B190" t="str">
            <v>22.9KV 전력케이블</v>
          </cell>
          <cell r="C190" t="str">
            <v>CV/CN 60sq/1C</v>
          </cell>
          <cell r="D190" t="str">
            <v>m</v>
          </cell>
          <cell r="G190">
            <v>720</v>
          </cell>
          <cell r="H190">
            <v>7834</v>
          </cell>
          <cell r="Q190">
            <v>7834</v>
          </cell>
          <cell r="R190">
            <v>0.05</v>
          </cell>
          <cell r="S190" t="str">
            <v>특케</v>
          </cell>
          <cell r="T190">
            <v>8.09E-2</v>
          </cell>
          <cell r="Y190" t="str">
            <v>2심:140%</v>
          </cell>
        </row>
        <row r="191">
          <cell r="A191">
            <v>189</v>
          </cell>
          <cell r="B191" t="str">
            <v>22.9KV 전력케이블</v>
          </cell>
          <cell r="C191" t="str">
            <v>CV/CN 100sq/1C</v>
          </cell>
          <cell r="D191" t="str">
            <v>m</v>
          </cell>
          <cell r="G191">
            <v>720</v>
          </cell>
          <cell r="H191">
            <v>9219</v>
          </cell>
          <cell r="Q191">
            <v>9219</v>
          </cell>
          <cell r="R191">
            <v>0.05</v>
          </cell>
          <cell r="S191" t="str">
            <v>특케</v>
          </cell>
          <cell r="T191">
            <v>0.1172</v>
          </cell>
          <cell r="Y191" t="str">
            <v>3심:200%</v>
          </cell>
        </row>
        <row r="192">
          <cell r="A192">
            <v>190</v>
          </cell>
          <cell r="Q192" t="str">
            <v/>
          </cell>
          <cell r="Y192" t="str">
            <v>4심:260%</v>
          </cell>
        </row>
        <row r="193">
          <cell r="A193">
            <v>191</v>
          </cell>
          <cell r="Q193" t="str">
            <v/>
          </cell>
        </row>
        <row r="194">
          <cell r="A194">
            <v>192</v>
          </cell>
          <cell r="Q194" t="str">
            <v/>
          </cell>
        </row>
        <row r="195">
          <cell r="A195">
            <v>193</v>
          </cell>
          <cell r="B195" t="str">
            <v>케이블 헤드 60sq</v>
          </cell>
          <cell r="C195" t="str">
            <v>23KV/1C  1단말/KIT</v>
          </cell>
          <cell r="D195" t="str">
            <v>EA</v>
          </cell>
          <cell r="G195">
            <v>736</v>
          </cell>
          <cell r="H195">
            <v>67400</v>
          </cell>
          <cell r="Q195">
            <v>67400</v>
          </cell>
          <cell r="R195">
            <v>0.05</v>
          </cell>
          <cell r="S195" t="str">
            <v>특케</v>
          </cell>
          <cell r="T195">
            <v>1.05</v>
          </cell>
        </row>
        <row r="196">
          <cell r="A196">
            <v>194</v>
          </cell>
          <cell r="B196" t="str">
            <v>케이블 헤드 100sq</v>
          </cell>
          <cell r="C196" t="str">
            <v>23KV/1C  1단말/KIT</v>
          </cell>
          <cell r="D196" t="str">
            <v>EA</v>
          </cell>
          <cell r="G196">
            <v>736</v>
          </cell>
          <cell r="H196">
            <v>89500</v>
          </cell>
          <cell r="Q196">
            <v>89500</v>
          </cell>
          <cell r="R196">
            <v>0.05</v>
          </cell>
          <cell r="S196" t="str">
            <v>특케</v>
          </cell>
          <cell r="T196">
            <v>1.2</v>
          </cell>
        </row>
        <row r="197">
          <cell r="A197">
            <v>195</v>
          </cell>
          <cell r="Q197" t="str">
            <v/>
          </cell>
        </row>
        <row r="198">
          <cell r="A198">
            <v>196</v>
          </cell>
          <cell r="Q198" t="str">
            <v/>
          </cell>
        </row>
        <row r="199">
          <cell r="A199">
            <v>197</v>
          </cell>
          <cell r="Q199" t="str">
            <v/>
          </cell>
        </row>
        <row r="200">
          <cell r="A200">
            <v>198</v>
          </cell>
          <cell r="B200" t="str">
            <v>고압케이블</v>
          </cell>
          <cell r="C200" t="str">
            <v>3.3KV CV8sq/1C</v>
          </cell>
          <cell r="D200" t="str">
            <v>m</v>
          </cell>
          <cell r="G200">
            <v>719</v>
          </cell>
          <cell r="H200">
            <v>1182</v>
          </cell>
          <cell r="Q200">
            <v>1182</v>
          </cell>
          <cell r="R200">
            <v>0.05</v>
          </cell>
          <cell r="S200" t="str">
            <v>고케</v>
          </cell>
          <cell r="T200">
            <v>1.5400000000000002E-2</v>
          </cell>
        </row>
        <row r="201">
          <cell r="A201">
            <v>199</v>
          </cell>
          <cell r="B201" t="str">
            <v>고압케이블</v>
          </cell>
          <cell r="C201" t="str">
            <v>3.3KV CV14sq/1C</v>
          </cell>
          <cell r="D201" t="str">
            <v>m</v>
          </cell>
          <cell r="G201">
            <v>719</v>
          </cell>
          <cell r="H201">
            <v>1515</v>
          </cell>
          <cell r="Q201">
            <v>1515</v>
          </cell>
          <cell r="R201">
            <v>0.05</v>
          </cell>
          <cell r="S201" t="str">
            <v>고케</v>
          </cell>
          <cell r="T201">
            <v>2.2000000000000002E-2</v>
          </cell>
        </row>
        <row r="202">
          <cell r="A202">
            <v>200</v>
          </cell>
          <cell r="B202" t="str">
            <v>고압케이블</v>
          </cell>
          <cell r="C202" t="str">
            <v>3.3KV CV22sq/1C</v>
          </cell>
          <cell r="D202" t="str">
            <v>m</v>
          </cell>
          <cell r="G202">
            <v>719</v>
          </cell>
          <cell r="H202">
            <v>1825</v>
          </cell>
          <cell r="Q202">
            <v>1825</v>
          </cell>
          <cell r="R202">
            <v>0.05</v>
          </cell>
          <cell r="S202" t="str">
            <v>고케</v>
          </cell>
          <cell r="T202">
            <v>2.86E-2</v>
          </cell>
        </row>
        <row r="203">
          <cell r="A203">
            <v>201</v>
          </cell>
          <cell r="B203" t="str">
            <v>고압케이블</v>
          </cell>
          <cell r="C203" t="str">
            <v>3.3KV CV30sq/1C</v>
          </cell>
          <cell r="D203" t="str">
            <v>m</v>
          </cell>
          <cell r="G203">
            <v>719</v>
          </cell>
          <cell r="H203">
            <v>2201</v>
          </cell>
          <cell r="Q203">
            <v>2201</v>
          </cell>
          <cell r="R203">
            <v>0.05</v>
          </cell>
          <cell r="S203" t="str">
            <v>고케</v>
          </cell>
          <cell r="T203">
            <v>3.3000000000000002E-2</v>
          </cell>
        </row>
        <row r="204">
          <cell r="A204">
            <v>202</v>
          </cell>
          <cell r="B204" t="str">
            <v>고압케이블</v>
          </cell>
          <cell r="C204" t="str">
            <v>3.3KV CV38sq/1C</v>
          </cell>
          <cell r="D204" t="str">
            <v>m</v>
          </cell>
          <cell r="G204">
            <v>719</v>
          </cell>
          <cell r="H204">
            <v>2647</v>
          </cell>
          <cell r="Q204">
            <v>2647</v>
          </cell>
          <cell r="R204">
            <v>0.05</v>
          </cell>
          <cell r="S204" t="str">
            <v>고케</v>
          </cell>
          <cell r="T204">
            <v>3.9600000000000003E-2</v>
          </cell>
        </row>
        <row r="205">
          <cell r="A205">
            <v>203</v>
          </cell>
          <cell r="B205" t="str">
            <v>고압케이블</v>
          </cell>
          <cell r="C205" t="str">
            <v>3.3KV CV50sq/1C</v>
          </cell>
          <cell r="D205" t="str">
            <v>m</v>
          </cell>
          <cell r="G205">
            <v>719</v>
          </cell>
          <cell r="H205">
            <v>3260</v>
          </cell>
          <cell r="Q205">
            <v>3260</v>
          </cell>
          <cell r="R205">
            <v>0.05</v>
          </cell>
          <cell r="S205" t="str">
            <v>고케</v>
          </cell>
          <cell r="T205">
            <v>4.7300000000000002E-2</v>
          </cell>
        </row>
        <row r="206">
          <cell r="A206">
            <v>204</v>
          </cell>
          <cell r="B206" t="str">
            <v>고압케이블</v>
          </cell>
          <cell r="C206" t="str">
            <v>3.3KV CV60sq/1C</v>
          </cell>
          <cell r="D206" t="str">
            <v>m</v>
          </cell>
          <cell r="G206">
            <v>719</v>
          </cell>
          <cell r="H206">
            <v>3953</v>
          </cell>
          <cell r="Q206">
            <v>3953</v>
          </cell>
          <cell r="R206">
            <v>0.05</v>
          </cell>
          <cell r="S206" t="str">
            <v>고케</v>
          </cell>
          <cell r="T206">
            <v>5.3900000000000003E-2</v>
          </cell>
        </row>
        <row r="207">
          <cell r="A207">
            <v>205</v>
          </cell>
          <cell r="B207" t="str">
            <v>고압케이블</v>
          </cell>
          <cell r="C207" t="str">
            <v>3.3KV CV80sq/1C</v>
          </cell>
          <cell r="D207" t="str">
            <v>m</v>
          </cell>
          <cell r="G207">
            <v>719</v>
          </cell>
          <cell r="H207">
            <v>4347</v>
          </cell>
          <cell r="Q207">
            <v>4347</v>
          </cell>
          <cell r="R207">
            <v>0.05</v>
          </cell>
          <cell r="S207" t="str">
            <v>고케</v>
          </cell>
          <cell r="T207">
            <v>6.6000000000000003E-2</v>
          </cell>
        </row>
        <row r="208">
          <cell r="A208">
            <v>206</v>
          </cell>
          <cell r="B208" t="str">
            <v>고압케이블</v>
          </cell>
          <cell r="C208" t="str">
            <v>3.3KV CV100sq/1C</v>
          </cell>
          <cell r="D208" t="str">
            <v>m</v>
          </cell>
          <cell r="G208">
            <v>719</v>
          </cell>
          <cell r="H208">
            <v>5188</v>
          </cell>
          <cell r="Q208">
            <v>5188</v>
          </cell>
          <cell r="R208">
            <v>0.05</v>
          </cell>
          <cell r="S208" t="str">
            <v>고케</v>
          </cell>
          <cell r="T208">
            <v>7.8100000000000003E-2</v>
          </cell>
        </row>
        <row r="209">
          <cell r="A209">
            <v>207</v>
          </cell>
          <cell r="B209" t="str">
            <v>고압케이블</v>
          </cell>
          <cell r="C209" t="str">
            <v>3.3KV CV125sq/1C</v>
          </cell>
          <cell r="D209" t="str">
            <v>m</v>
          </cell>
          <cell r="G209">
            <v>719</v>
          </cell>
          <cell r="H209">
            <v>7110</v>
          </cell>
          <cell r="Q209">
            <v>7110</v>
          </cell>
          <cell r="R209">
            <v>0.05</v>
          </cell>
          <cell r="S209" t="str">
            <v>고케</v>
          </cell>
          <cell r="T209">
            <v>9.240000000000001E-2</v>
          </cell>
        </row>
        <row r="210">
          <cell r="A210">
            <v>208</v>
          </cell>
          <cell r="B210" t="str">
            <v>고압케이블</v>
          </cell>
          <cell r="C210" t="str">
            <v>3.3KV CV150sq/1C</v>
          </cell>
          <cell r="D210" t="str">
            <v>m</v>
          </cell>
          <cell r="G210">
            <v>719</v>
          </cell>
          <cell r="H210">
            <v>8415</v>
          </cell>
          <cell r="Q210">
            <v>8415</v>
          </cell>
          <cell r="R210">
            <v>0.05</v>
          </cell>
          <cell r="S210" t="str">
            <v>고케</v>
          </cell>
          <cell r="T210">
            <v>0.10670000000000002</v>
          </cell>
        </row>
        <row r="211">
          <cell r="A211">
            <v>209</v>
          </cell>
          <cell r="B211" t="str">
            <v>고압케이블</v>
          </cell>
          <cell r="C211" t="str">
            <v>3.3KV CV200sq/1C</v>
          </cell>
          <cell r="D211" t="str">
            <v>m</v>
          </cell>
          <cell r="G211">
            <v>719</v>
          </cell>
          <cell r="H211">
            <v>11412</v>
          </cell>
          <cell r="Q211">
            <v>11412</v>
          </cell>
          <cell r="R211">
            <v>0.05</v>
          </cell>
          <cell r="S211" t="str">
            <v>고케</v>
          </cell>
          <cell r="T211">
            <v>0.12870000000000001</v>
          </cell>
        </row>
        <row r="212">
          <cell r="A212">
            <v>210</v>
          </cell>
          <cell r="B212" t="str">
            <v>고압케이블</v>
          </cell>
          <cell r="C212" t="str">
            <v>3.3KV CV250sq/1C</v>
          </cell>
          <cell r="D212" t="str">
            <v>m</v>
          </cell>
          <cell r="G212">
            <v>719</v>
          </cell>
          <cell r="H212">
            <v>13970</v>
          </cell>
          <cell r="Q212">
            <v>13970</v>
          </cell>
          <cell r="R212">
            <v>0.05</v>
          </cell>
          <cell r="S212" t="str">
            <v>고케</v>
          </cell>
          <cell r="T212">
            <v>0.15620000000000001</v>
          </cell>
        </row>
        <row r="213">
          <cell r="A213">
            <v>211</v>
          </cell>
          <cell r="Q213" t="str">
            <v/>
          </cell>
        </row>
        <row r="214">
          <cell r="A214">
            <v>212</v>
          </cell>
          <cell r="Q214" t="str">
            <v/>
          </cell>
        </row>
        <row r="215">
          <cell r="A215">
            <v>213</v>
          </cell>
          <cell r="Q215" t="str">
            <v/>
          </cell>
        </row>
        <row r="216">
          <cell r="A216">
            <v>214</v>
          </cell>
          <cell r="B216" t="str">
            <v>케이블 헤드 8sq</v>
          </cell>
          <cell r="C216" t="str">
            <v>6.6KV/1C  1단말/KIT</v>
          </cell>
          <cell r="D216" t="str">
            <v>EA</v>
          </cell>
          <cell r="Q216">
            <v>0</v>
          </cell>
          <cell r="S216" t="str">
            <v>고케</v>
          </cell>
          <cell r="T216">
            <v>0.34</v>
          </cell>
        </row>
        <row r="217">
          <cell r="A217">
            <v>215</v>
          </cell>
          <cell r="B217" t="str">
            <v>케이블 헤드 14sq</v>
          </cell>
          <cell r="C217" t="str">
            <v>6.6KV/1C  1단말/KIT</v>
          </cell>
          <cell r="D217" t="str">
            <v>EA</v>
          </cell>
          <cell r="Q217">
            <v>0</v>
          </cell>
          <cell r="S217" t="str">
            <v>고케</v>
          </cell>
          <cell r="T217">
            <v>0.36</v>
          </cell>
        </row>
        <row r="218">
          <cell r="A218">
            <v>216</v>
          </cell>
          <cell r="B218" t="str">
            <v>케이블 헤드 22sq</v>
          </cell>
          <cell r="C218" t="str">
            <v>6.6KV/1C  1단말/KIT</v>
          </cell>
          <cell r="D218" t="str">
            <v>EA</v>
          </cell>
          <cell r="G218">
            <v>738</v>
          </cell>
          <cell r="H218">
            <v>22640</v>
          </cell>
          <cell r="Q218">
            <v>22640</v>
          </cell>
          <cell r="S218" t="str">
            <v>고케</v>
          </cell>
          <cell r="T218">
            <v>0.46</v>
          </cell>
        </row>
        <row r="219">
          <cell r="A219">
            <v>217</v>
          </cell>
          <cell r="B219" t="str">
            <v>케이블 헤드 30sq</v>
          </cell>
          <cell r="C219" t="str">
            <v>6.6KV/1C  1단말/KIT</v>
          </cell>
          <cell r="D219" t="str">
            <v>EA</v>
          </cell>
          <cell r="Q219">
            <v>0</v>
          </cell>
          <cell r="S219" t="str">
            <v>고케</v>
          </cell>
          <cell r="T219">
            <v>0.52</v>
          </cell>
        </row>
        <row r="220">
          <cell r="A220">
            <v>218</v>
          </cell>
          <cell r="B220" t="str">
            <v>케이블 헤드 38sq</v>
          </cell>
          <cell r="C220" t="str">
            <v>6.6KV/1C  1단말/KIT</v>
          </cell>
          <cell r="D220" t="str">
            <v>EA</v>
          </cell>
          <cell r="G220">
            <v>738</v>
          </cell>
          <cell r="H220">
            <v>22800</v>
          </cell>
          <cell r="Q220">
            <v>22800</v>
          </cell>
          <cell r="S220" t="str">
            <v>고케</v>
          </cell>
          <cell r="T220">
            <v>0.55000000000000004</v>
          </cell>
        </row>
        <row r="221">
          <cell r="A221">
            <v>219</v>
          </cell>
          <cell r="B221" t="str">
            <v>케이블 헤드 50sq</v>
          </cell>
          <cell r="C221" t="str">
            <v>6.6KV/1C  1단말/KIT</v>
          </cell>
          <cell r="D221" t="str">
            <v>EA</v>
          </cell>
          <cell r="Q221">
            <v>0</v>
          </cell>
          <cell r="S221" t="str">
            <v>고케</v>
          </cell>
          <cell r="T221">
            <v>0.6</v>
          </cell>
        </row>
        <row r="222">
          <cell r="A222">
            <v>220</v>
          </cell>
          <cell r="B222" t="str">
            <v>케이블 헤드 60sq</v>
          </cell>
          <cell r="C222" t="str">
            <v>6.6KV/1C  1단말/KIT</v>
          </cell>
          <cell r="D222" t="str">
            <v>EA</v>
          </cell>
          <cell r="G222">
            <v>738</v>
          </cell>
          <cell r="H222">
            <v>26000</v>
          </cell>
          <cell r="Q222">
            <v>26000</v>
          </cell>
          <cell r="S222" t="str">
            <v>고케</v>
          </cell>
          <cell r="T222">
            <v>0.67</v>
          </cell>
        </row>
        <row r="223">
          <cell r="A223">
            <v>221</v>
          </cell>
          <cell r="B223" t="str">
            <v>케이블 헤드 80sq</v>
          </cell>
          <cell r="C223" t="str">
            <v>6.6KV/1C  1단말/KIT</v>
          </cell>
          <cell r="D223" t="str">
            <v>EA</v>
          </cell>
          <cell r="Q223">
            <v>0</v>
          </cell>
          <cell r="S223" t="str">
            <v>고케</v>
          </cell>
          <cell r="T223">
            <v>0.72</v>
          </cell>
        </row>
        <row r="224">
          <cell r="A224">
            <v>222</v>
          </cell>
          <cell r="B224" t="str">
            <v>케이블 헤드 100sq</v>
          </cell>
          <cell r="C224" t="str">
            <v>6.6KV/1C  1단말/KIT</v>
          </cell>
          <cell r="D224" t="str">
            <v>EA</v>
          </cell>
          <cell r="G224">
            <v>738</v>
          </cell>
          <cell r="H224">
            <v>26700</v>
          </cell>
          <cell r="Q224">
            <v>26700</v>
          </cell>
          <cell r="S224" t="str">
            <v>고케</v>
          </cell>
          <cell r="T224">
            <v>0.76</v>
          </cell>
        </row>
        <row r="225">
          <cell r="A225">
            <v>223</v>
          </cell>
          <cell r="B225" t="str">
            <v>케이블 헤드 125sq</v>
          </cell>
          <cell r="C225" t="str">
            <v>6.6KV/1C  1단말/KIT</v>
          </cell>
          <cell r="D225" t="str">
            <v>EA</v>
          </cell>
          <cell r="Q225">
            <v>0</v>
          </cell>
          <cell r="S225" t="str">
            <v>고케</v>
          </cell>
          <cell r="T225">
            <v>0.85</v>
          </cell>
        </row>
        <row r="226">
          <cell r="A226">
            <v>224</v>
          </cell>
          <cell r="B226" t="str">
            <v>케이블 헤드 150sq</v>
          </cell>
          <cell r="C226" t="str">
            <v>6.6KV/1C  1단말/KIT</v>
          </cell>
          <cell r="D226" t="str">
            <v>EA</v>
          </cell>
          <cell r="G226">
            <v>738</v>
          </cell>
          <cell r="H226">
            <v>31800</v>
          </cell>
          <cell r="Q226">
            <v>31800</v>
          </cell>
          <cell r="S226" t="str">
            <v>고케</v>
          </cell>
          <cell r="T226">
            <v>0.95</v>
          </cell>
        </row>
        <row r="227">
          <cell r="A227">
            <v>225</v>
          </cell>
          <cell r="B227" t="str">
            <v>케이블 헤드 200sq</v>
          </cell>
          <cell r="C227" t="str">
            <v>6.6KV/1C  1단말/KIT</v>
          </cell>
          <cell r="D227" t="str">
            <v>EA</v>
          </cell>
          <cell r="G227">
            <v>738</v>
          </cell>
          <cell r="H227">
            <v>32600</v>
          </cell>
          <cell r="Q227">
            <v>32600</v>
          </cell>
          <cell r="S227" t="str">
            <v>고케</v>
          </cell>
          <cell r="T227">
            <v>1.03</v>
          </cell>
        </row>
        <row r="228">
          <cell r="A228">
            <v>226</v>
          </cell>
          <cell r="B228" t="str">
            <v>케이블 헤드 250sq</v>
          </cell>
          <cell r="C228" t="str">
            <v>6.6KV/1C  1단말/KIT</v>
          </cell>
          <cell r="D228" t="str">
            <v>EA</v>
          </cell>
          <cell r="G228">
            <v>738</v>
          </cell>
          <cell r="H228">
            <v>33400</v>
          </cell>
          <cell r="Q228">
            <v>33400</v>
          </cell>
          <cell r="S228" t="str">
            <v>고케</v>
          </cell>
          <cell r="T228">
            <v>1.18</v>
          </cell>
        </row>
        <row r="229">
          <cell r="A229">
            <v>227</v>
          </cell>
          <cell r="Q229" t="str">
            <v/>
          </cell>
        </row>
        <row r="230">
          <cell r="A230">
            <v>228</v>
          </cell>
          <cell r="Q230" t="str">
            <v/>
          </cell>
        </row>
        <row r="231">
          <cell r="A231">
            <v>229</v>
          </cell>
          <cell r="B231" t="str">
            <v>케이블헤드 지지금구</v>
          </cell>
          <cell r="C231" t="str">
            <v>상,하부용</v>
          </cell>
          <cell r="D231" t="str">
            <v>조</v>
          </cell>
          <cell r="G231">
            <v>828</v>
          </cell>
          <cell r="H231">
            <v>42000</v>
          </cell>
          <cell r="Q231">
            <v>42000</v>
          </cell>
          <cell r="U231" t="str">
            <v>배전</v>
          </cell>
          <cell r="V231">
            <v>0.45</v>
          </cell>
          <cell r="W231" t="str">
            <v>보인</v>
          </cell>
          <cell r="X231">
            <v>0.23</v>
          </cell>
        </row>
        <row r="232">
          <cell r="A232">
            <v>230</v>
          </cell>
          <cell r="B232" t="str">
            <v>전주용 입상관</v>
          </cell>
          <cell r="C232" t="str">
            <v>φ130×2m</v>
          </cell>
          <cell r="D232" t="str">
            <v>EA</v>
          </cell>
          <cell r="G232">
            <v>828</v>
          </cell>
          <cell r="H232">
            <v>17000</v>
          </cell>
          <cell r="Q232">
            <v>17000</v>
          </cell>
          <cell r="U232" t="str">
            <v>배전</v>
          </cell>
          <cell r="V232">
            <v>0.46</v>
          </cell>
          <cell r="W232" t="str">
            <v>보인</v>
          </cell>
          <cell r="X232">
            <v>0.17</v>
          </cell>
        </row>
        <row r="233">
          <cell r="A233">
            <v>231</v>
          </cell>
          <cell r="B233" t="str">
            <v>반경철관</v>
          </cell>
          <cell r="C233" t="str">
            <v>80×2×2400</v>
          </cell>
          <cell r="D233" t="str">
            <v>EA</v>
          </cell>
          <cell r="G233">
            <v>827</v>
          </cell>
          <cell r="H233">
            <v>9800</v>
          </cell>
          <cell r="Q233">
            <v>9800</v>
          </cell>
          <cell r="U233" t="str">
            <v>배관</v>
          </cell>
          <cell r="V233">
            <v>0.122</v>
          </cell>
        </row>
        <row r="234">
          <cell r="A234">
            <v>232</v>
          </cell>
          <cell r="B234" t="str">
            <v>반경철관 취부밴드</v>
          </cell>
          <cell r="D234" t="str">
            <v>EA</v>
          </cell>
          <cell r="G234">
            <v>827</v>
          </cell>
          <cell r="H234">
            <v>1200</v>
          </cell>
          <cell r="Q234">
            <v>1200</v>
          </cell>
        </row>
        <row r="235">
          <cell r="A235">
            <v>233</v>
          </cell>
          <cell r="B235" t="str">
            <v>입상관취부밴드</v>
          </cell>
          <cell r="D235" t="str">
            <v>EA</v>
          </cell>
          <cell r="G235">
            <v>827</v>
          </cell>
          <cell r="H235">
            <v>1200</v>
          </cell>
          <cell r="Q235">
            <v>1200</v>
          </cell>
        </row>
        <row r="236">
          <cell r="A236">
            <v>234</v>
          </cell>
          <cell r="Q236" t="str">
            <v/>
          </cell>
        </row>
        <row r="237">
          <cell r="A237">
            <v>235</v>
          </cell>
          <cell r="B237" t="str">
            <v>위샤 캡</v>
          </cell>
          <cell r="C237" t="str">
            <v>ST 36C</v>
          </cell>
          <cell r="D237" t="str">
            <v>EA</v>
          </cell>
          <cell r="G237">
            <v>741</v>
          </cell>
          <cell r="H237">
            <v>2480</v>
          </cell>
          <cell r="Q237">
            <v>2480</v>
          </cell>
          <cell r="S237" t="str">
            <v>내선</v>
          </cell>
          <cell r="T237">
            <v>0.03</v>
          </cell>
        </row>
        <row r="238">
          <cell r="A238">
            <v>236</v>
          </cell>
          <cell r="B238" t="str">
            <v>위샤 캡</v>
          </cell>
          <cell r="C238" t="str">
            <v>ST 42C</v>
          </cell>
          <cell r="D238" t="str">
            <v>EA</v>
          </cell>
          <cell r="G238">
            <v>741</v>
          </cell>
          <cell r="H238">
            <v>2770</v>
          </cell>
          <cell r="Q238">
            <v>2770</v>
          </cell>
          <cell r="S238" t="str">
            <v>내선</v>
          </cell>
          <cell r="T238">
            <v>0.03</v>
          </cell>
        </row>
        <row r="239">
          <cell r="A239">
            <v>237</v>
          </cell>
          <cell r="B239" t="str">
            <v>위샤 캡</v>
          </cell>
          <cell r="C239" t="str">
            <v>ST 54C</v>
          </cell>
          <cell r="D239" t="str">
            <v>EA</v>
          </cell>
          <cell r="G239">
            <v>741</v>
          </cell>
          <cell r="H239">
            <v>3440</v>
          </cell>
          <cell r="Q239">
            <v>3440</v>
          </cell>
          <cell r="S239" t="str">
            <v>내선</v>
          </cell>
          <cell r="T239">
            <v>0.04</v>
          </cell>
        </row>
        <row r="240">
          <cell r="A240">
            <v>238</v>
          </cell>
          <cell r="B240" t="str">
            <v>위샤 캡</v>
          </cell>
          <cell r="C240" t="str">
            <v>ST 104C</v>
          </cell>
          <cell r="D240" t="str">
            <v>EA</v>
          </cell>
          <cell r="G240">
            <v>741</v>
          </cell>
          <cell r="H240">
            <v>23910</v>
          </cell>
          <cell r="Q240">
            <v>23910</v>
          </cell>
          <cell r="S240" t="str">
            <v>내선</v>
          </cell>
          <cell r="T240">
            <v>0.04</v>
          </cell>
        </row>
        <row r="241">
          <cell r="A241">
            <v>239</v>
          </cell>
          <cell r="Q241" t="str">
            <v/>
          </cell>
        </row>
        <row r="242">
          <cell r="A242">
            <v>240</v>
          </cell>
          <cell r="Q242" t="str">
            <v/>
          </cell>
        </row>
        <row r="243">
          <cell r="A243">
            <v>241</v>
          </cell>
          <cell r="B243" t="str">
            <v>PULL BOX</v>
          </cell>
          <cell r="C243" t="str">
            <v>100×100×100</v>
          </cell>
          <cell r="D243" t="str">
            <v>EA</v>
          </cell>
          <cell r="G243">
            <v>746</v>
          </cell>
          <cell r="H243">
            <v>1600</v>
          </cell>
          <cell r="Q243">
            <v>1600</v>
          </cell>
          <cell r="S243" t="str">
            <v>내선</v>
          </cell>
          <cell r="T243">
            <v>0.35</v>
          </cell>
          <cell r="U243" t="str">
            <v>내선</v>
          </cell>
          <cell r="V243">
            <v>0.66</v>
          </cell>
          <cell r="Y243" t="str">
            <v>옥외는 벽면</v>
          </cell>
        </row>
        <row r="244">
          <cell r="A244">
            <v>242</v>
          </cell>
          <cell r="B244" t="str">
            <v>PULL BOX</v>
          </cell>
          <cell r="C244" t="str">
            <v>150×150×100</v>
          </cell>
          <cell r="D244" t="str">
            <v>EA</v>
          </cell>
          <cell r="G244">
            <v>746</v>
          </cell>
          <cell r="H244">
            <v>2000</v>
          </cell>
          <cell r="Q244">
            <v>2000</v>
          </cell>
          <cell r="S244" t="str">
            <v>내선</v>
          </cell>
          <cell r="T244">
            <v>0.35</v>
          </cell>
          <cell r="U244" t="str">
            <v>내선</v>
          </cell>
          <cell r="V244">
            <v>0.66</v>
          </cell>
          <cell r="Y244" t="str">
            <v>옥외는 벽면</v>
          </cell>
        </row>
        <row r="245">
          <cell r="A245">
            <v>243</v>
          </cell>
          <cell r="B245" t="str">
            <v>PULL BOX</v>
          </cell>
          <cell r="C245" t="str">
            <v>200×200×100</v>
          </cell>
          <cell r="D245" t="str">
            <v>EA</v>
          </cell>
          <cell r="G245">
            <v>746</v>
          </cell>
          <cell r="H245">
            <v>3100</v>
          </cell>
          <cell r="Q245">
            <v>3100</v>
          </cell>
          <cell r="S245" t="str">
            <v>내선</v>
          </cell>
          <cell r="T245">
            <v>0.35</v>
          </cell>
          <cell r="U245" t="str">
            <v>내선</v>
          </cell>
          <cell r="V245">
            <v>0.66</v>
          </cell>
          <cell r="Y245" t="str">
            <v>옥외는 벽면</v>
          </cell>
        </row>
        <row r="246">
          <cell r="A246">
            <v>244</v>
          </cell>
          <cell r="B246" t="str">
            <v>PULL BOX</v>
          </cell>
          <cell r="C246" t="str">
            <v>250×250×100</v>
          </cell>
          <cell r="D246" t="str">
            <v>EA</v>
          </cell>
          <cell r="G246">
            <v>746</v>
          </cell>
          <cell r="H246">
            <v>4650</v>
          </cell>
          <cell r="Q246">
            <v>4650</v>
          </cell>
          <cell r="S246" t="str">
            <v>내선</v>
          </cell>
          <cell r="T246">
            <v>0.35</v>
          </cell>
          <cell r="U246" t="str">
            <v>내선</v>
          </cell>
          <cell r="V246">
            <v>0.66</v>
          </cell>
          <cell r="Y246" t="str">
            <v>옥외는 벽면</v>
          </cell>
        </row>
        <row r="247">
          <cell r="A247">
            <v>245</v>
          </cell>
          <cell r="B247" t="str">
            <v>PULL BOX</v>
          </cell>
          <cell r="C247" t="str">
            <v>300×300×100</v>
          </cell>
          <cell r="D247" t="str">
            <v>EA</v>
          </cell>
          <cell r="G247">
            <v>746</v>
          </cell>
          <cell r="H247">
            <v>5000</v>
          </cell>
          <cell r="Q247">
            <v>5000</v>
          </cell>
          <cell r="S247" t="str">
            <v>내선</v>
          </cell>
          <cell r="T247">
            <v>0.35</v>
          </cell>
          <cell r="U247" t="str">
            <v>내선</v>
          </cell>
          <cell r="V247">
            <v>0.66</v>
          </cell>
          <cell r="Y247" t="str">
            <v>옥외는 벽면</v>
          </cell>
        </row>
        <row r="248">
          <cell r="A248">
            <v>246</v>
          </cell>
          <cell r="B248" t="str">
            <v>PULL BOX</v>
          </cell>
          <cell r="C248" t="str">
            <v>150×150×150</v>
          </cell>
          <cell r="D248" t="str">
            <v>EA</v>
          </cell>
          <cell r="G248">
            <v>746</v>
          </cell>
          <cell r="H248">
            <v>2350</v>
          </cell>
          <cell r="Q248">
            <v>2350</v>
          </cell>
          <cell r="S248" t="str">
            <v>내선</v>
          </cell>
          <cell r="T248">
            <v>0.35</v>
          </cell>
          <cell r="U248" t="str">
            <v>내선</v>
          </cell>
          <cell r="V248">
            <v>0.66</v>
          </cell>
          <cell r="Y248" t="str">
            <v>옥외는 벽면</v>
          </cell>
        </row>
        <row r="249">
          <cell r="A249">
            <v>247</v>
          </cell>
          <cell r="B249" t="str">
            <v>PULL BOX</v>
          </cell>
          <cell r="C249" t="str">
            <v>200×200×150</v>
          </cell>
          <cell r="D249" t="str">
            <v>EA</v>
          </cell>
          <cell r="G249">
            <v>746</v>
          </cell>
          <cell r="H249">
            <v>3900</v>
          </cell>
          <cell r="Q249">
            <v>3900</v>
          </cell>
          <cell r="S249" t="str">
            <v>내선</v>
          </cell>
          <cell r="T249">
            <v>0.35</v>
          </cell>
          <cell r="U249" t="str">
            <v>내선</v>
          </cell>
          <cell r="V249">
            <v>0.66</v>
          </cell>
          <cell r="Y249" t="str">
            <v>옥외는 벽면</v>
          </cell>
        </row>
        <row r="250">
          <cell r="A250">
            <v>248</v>
          </cell>
          <cell r="B250" t="str">
            <v>PULL BOX</v>
          </cell>
          <cell r="C250" t="str">
            <v>250×250×150</v>
          </cell>
          <cell r="D250" t="str">
            <v>EA</v>
          </cell>
          <cell r="G250">
            <v>746</v>
          </cell>
          <cell r="H250">
            <v>5000</v>
          </cell>
          <cell r="Q250">
            <v>5000</v>
          </cell>
          <cell r="S250" t="str">
            <v>내선</v>
          </cell>
          <cell r="T250">
            <v>0.35</v>
          </cell>
          <cell r="U250" t="str">
            <v>내선</v>
          </cell>
          <cell r="V250">
            <v>0.66</v>
          </cell>
          <cell r="Y250" t="str">
            <v>옥외는 벽면</v>
          </cell>
        </row>
        <row r="251">
          <cell r="A251">
            <v>249</v>
          </cell>
          <cell r="B251" t="str">
            <v>PULL BOX</v>
          </cell>
          <cell r="C251" t="str">
            <v>300×300×150</v>
          </cell>
          <cell r="D251" t="str">
            <v>EA</v>
          </cell>
          <cell r="G251">
            <v>746</v>
          </cell>
          <cell r="H251">
            <v>5750</v>
          </cell>
          <cell r="Q251">
            <v>5750</v>
          </cell>
          <cell r="S251" t="str">
            <v>내선</v>
          </cell>
          <cell r="T251">
            <v>0.35</v>
          </cell>
          <cell r="U251" t="str">
            <v>내선</v>
          </cell>
          <cell r="V251">
            <v>0.66</v>
          </cell>
          <cell r="Y251" t="str">
            <v>옥외는 벽면</v>
          </cell>
        </row>
        <row r="252">
          <cell r="A252">
            <v>250</v>
          </cell>
          <cell r="B252" t="str">
            <v>PULL BOX</v>
          </cell>
          <cell r="C252" t="str">
            <v>400×400×150</v>
          </cell>
          <cell r="D252" t="str">
            <v>EA</v>
          </cell>
          <cell r="G252">
            <v>746</v>
          </cell>
          <cell r="H252">
            <v>9350</v>
          </cell>
          <cell r="Q252">
            <v>9350</v>
          </cell>
          <cell r="S252" t="str">
            <v>내선</v>
          </cell>
          <cell r="T252">
            <v>0.35</v>
          </cell>
          <cell r="U252" t="str">
            <v>내선</v>
          </cell>
          <cell r="V252">
            <v>0.66</v>
          </cell>
          <cell r="Y252" t="str">
            <v>옥외는 벽면</v>
          </cell>
        </row>
        <row r="253">
          <cell r="A253">
            <v>251</v>
          </cell>
          <cell r="B253" t="str">
            <v>PULL BOX</v>
          </cell>
          <cell r="C253" t="str">
            <v>300×300×200</v>
          </cell>
          <cell r="D253" t="str">
            <v>EA</v>
          </cell>
          <cell r="G253">
            <v>746</v>
          </cell>
          <cell r="H253">
            <v>6500</v>
          </cell>
          <cell r="Q253">
            <v>6500</v>
          </cell>
          <cell r="S253" t="str">
            <v>내선</v>
          </cell>
          <cell r="T253">
            <v>0.35</v>
          </cell>
          <cell r="U253" t="str">
            <v>내선</v>
          </cell>
          <cell r="V253">
            <v>0.66</v>
          </cell>
          <cell r="Y253" t="str">
            <v>옥외는 벽면</v>
          </cell>
        </row>
        <row r="254">
          <cell r="A254">
            <v>252</v>
          </cell>
          <cell r="B254" t="str">
            <v>PULL BOX</v>
          </cell>
          <cell r="C254" t="str">
            <v>400×400×200</v>
          </cell>
          <cell r="D254" t="str">
            <v>EA</v>
          </cell>
          <cell r="G254">
            <v>746</v>
          </cell>
          <cell r="H254">
            <v>10200</v>
          </cell>
          <cell r="Q254">
            <v>10200</v>
          </cell>
          <cell r="S254" t="str">
            <v>내선</v>
          </cell>
          <cell r="T254">
            <v>0.66</v>
          </cell>
          <cell r="U254" t="str">
            <v>내선</v>
          </cell>
          <cell r="V254">
            <v>0.95</v>
          </cell>
          <cell r="Y254" t="str">
            <v>옥외는 벽면</v>
          </cell>
        </row>
        <row r="255">
          <cell r="A255">
            <v>253</v>
          </cell>
          <cell r="B255" t="str">
            <v>PULL BOX</v>
          </cell>
          <cell r="C255" t="str">
            <v>500×500×200</v>
          </cell>
          <cell r="D255" t="str">
            <v>EA</v>
          </cell>
          <cell r="G255">
            <v>746</v>
          </cell>
          <cell r="H255">
            <v>18200</v>
          </cell>
          <cell r="Q255">
            <v>18200</v>
          </cell>
          <cell r="S255" t="str">
            <v>내선</v>
          </cell>
          <cell r="T255">
            <v>0.66</v>
          </cell>
          <cell r="U255" t="str">
            <v>내선</v>
          </cell>
          <cell r="V255">
            <v>0.95</v>
          </cell>
          <cell r="Y255" t="str">
            <v>옥외는 벽면</v>
          </cell>
        </row>
        <row r="256">
          <cell r="A256">
            <v>254</v>
          </cell>
          <cell r="B256" t="str">
            <v>PULL BOX</v>
          </cell>
          <cell r="C256" t="str">
            <v>300×300×300</v>
          </cell>
          <cell r="D256" t="str">
            <v>EA</v>
          </cell>
          <cell r="G256">
            <v>746</v>
          </cell>
          <cell r="H256">
            <v>6500</v>
          </cell>
          <cell r="Q256">
            <v>6500</v>
          </cell>
          <cell r="S256" t="str">
            <v>내선</v>
          </cell>
          <cell r="T256">
            <v>0.66</v>
          </cell>
          <cell r="U256" t="str">
            <v>내선</v>
          </cell>
          <cell r="V256">
            <v>0.95</v>
          </cell>
          <cell r="Y256" t="str">
            <v>옥외는 벽면</v>
          </cell>
        </row>
        <row r="257">
          <cell r="A257">
            <v>255</v>
          </cell>
          <cell r="B257" t="str">
            <v>PULL BOX</v>
          </cell>
          <cell r="C257" t="str">
            <v>400×400×300</v>
          </cell>
          <cell r="D257" t="str">
            <v>EA</v>
          </cell>
          <cell r="G257">
            <v>746</v>
          </cell>
          <cell r="H257">
            <v>12100</v>
          </cell>
          <cell r="Q257">
            <v>12100</v>
          </cell>
          <cell r="S257" t="str">
            <v>내선</v>
          </cell>
          <cell r="T257">
            <v>0.66</v>
          </cell>
          <cell r="U257" t="str">
            <v>내선</v>
          </cell>
          <cell r="V257">
            <v>0.95</v>
          </cell>
          <cell r="Y257" t="str">
            <v>옥외는 벽면</v>
          </cell>
        </row>
        <row r="258">
          <cell r="A258">
            <v>256</v>
          </cell>
          <cell r="B258" t="str">
            <v>PULL BOX</v>
          </cell>
          <cell r="C258" t="str">
            <v>500×500×300</v>
          </cell>
          <cell r="D258" t="str">
            <v>EA</v>
          </cell>
          <cell r="G258">
            <v>746</v>
          </cell>
          <cell r="H258">
            <v>22000</v>
          </cell>
          <cell r="Q258">
            <v>22000</v>
          </cell>
          <cell r="S258" t="str">
            <v>내선</v>
          </cell>
          <cell r="T258">
            <v>0.66</v>
          </cell>
          <cell r="U258" t="str">
            <v>내선</v>
          </cell>
          <cell r="V258">
            <v>0.95</v>
          </cell>
          <cell r="Y258" t="str">
            <v>옥외는 벽면</v>
          </cell>
        </row>
        <row r="259">
          <cell r="A259">
            <v>257</v>
          </cell>
          <cell r="B259" t="str">
            <v>PULL BOX</v>
          </cell>
          <cell r="C259" t="str">
            <v>600×600×300</v>
          </cell>
          <cell r="D259" t="str">
            <v>EA</v>
          </cell>
          <cell r="G259">
            <v>746</v>
          </cell>
          <cell r="H259">
            <v>27500</v>
          </cell>
          <cell r="Q259">
            <v>27500</v>
          </cell>
          <cell r="S259" t="str">
            <v>내선</v>
          </cell>
          <cell r="T259">
            <v>0.66</v>
          </cell>
          <cell r="U259" t="str">
            <v>내선</v>
          </cell>
          <cell r="V259">
            <v>0.95</v>
          </cell>
          <cell r="Y259" t="str">
            <v>옥외는 벽면</v>
          </cell>
        </row>
        <row r="260">
          <cell r="A260">
            <v>258</v>
          </cell>
          <cell r="B260" t="str">
            <v>PULL BOX</v>
          </cell>
          <cell r="C260" t="str">
            <v>600×600×400</v>
          </cell>
          <cell r="D260" t="str">
            <v>EA</v>
          </cell>
          <cell r="G260">
            <v>746</v>
          </cell>
          <cell r="H260">
            <v>33000</v>
          </cell>
          <cell r="Q260">
            <v>33000</v>
          </cell>
          <cell r="S260" t="str">
            <v>내선</v>
          </cell>
          <cell r="T260">
            <v>0.66</v>
          </cell>
          <cell r="U260" t="str">
            <v>내선</v>
          </cell>
          <cell r="V260">
            <v>0.95</v>
          </cell>
          <cell r="Y260" t="str">
            <v>옥외는 벽면</v>
          </cell>
        </row>
        <row r="261">
          <cell r="A261">
            <v>259</v>
          </cell>
          <cell r="Q261" t="str">
            <v/>
          </cell>
        </row>
        <row r="262">
          <cell r="A262">
            <v>260</v>
          </cell>
          <cell r="Q262" t="str">
            <v/>
          </cell>
        </row>
        <row r="263">
          <cell r="A263">
            <v>261</v>
          </cell>
          <cell r="Q263" t="str">
            <v/>
          </cell>
        </row>
        <row r="264">
          <cell r="A264">
            <v>262</v>
          </cell>
          <cell r="Q264" t="str">
            <v/>
          </cell>
        </row>
        <row r="265">
          <cell r="A265">
            <v>263</v>
          </cell>
          <cell r="B265" t="str">
            <v>노출박스</v>
          </cell>
          <cell r="C265" t="str">
            <v>16C 1방출</v>
          </cell>
          <cell r="D265" t="str">
            <v>EA</v>
          </cell>
          <cell r="G265">
            <v>748</v>
          </cell>
          <cell r="H265">
            <v>2040</v>
          </cell>
          <cell r="Q265">
            <v>2040</v>
          </cell>
          <cell r="S265" t="str">
            <v>내선</v>
          </cell>
          <cell r="T265">
            <v>0.28999999999999998</v>
          </cell>
        </row>
        <row r="266">
          <cell r="A266">
            <v>264</v>
          </cell>
          <cell r="B266" t="str">
            <v>노출박스</v>
          </cell>
          <cell r="C266" t="str">
            <v>16C 2방출</v>
          </cell>
          <cell r="D266" t="str">
            <v>EA</v>
          </cell>
          <cell r="G266">
            <v>748</v>
          </cell>
          <cell r="H266">
            <v>2167</v>
          </cell>
          <cell r="Q266">
            <v>2167</v>
          </cell>
          <cell r="S266" t="str">
            <v>내선</v>
          </cell>
          <cell r="T266">
            <v>0.28999999999999998</v>
          </cell>
        </row>
        <row r="267">
          <cell r="A267">
            <v>265</v>
          </cell>
          <cell r="B267" t="str">
            <v>노출박스</v>
          </cell>
          <cell r="C267" t="str">
            <v>22C 1방출</v>
          </cell>
          <cell r="D267" t="str">
            <v>EA</v>
          </cell>
          <cell r="G267">
            <v>748</v>
          </cell>
          <cell r="H267">
            <v>2295</v>
          </cell>
          <cell r="Q267">
            <v>2295</v>
          </cell>
          <cell r="S267" t="str">
            <v>내선</v>
          </cell>
          <cell r="T267">
            <v>0.28999999999999998</v>
          </cell>
        </row>
        <row r="268">
          <cell r="A268">
            <v>266</v>
          </cell>
          <cell r="B268" t="str">
            <v>노출박스</v>
          </cell>
          <cell r="C268" t="str">
            <v>22C 2방출</v>
          </cell>
          <cell r="D268" t="str">
            <v>EA</v>
          </cell>
          <cell r="G268">
            <v>748</v>
          </cell>
          <cell r="H268">
            <v>2465</v>
          </cell>
          <cell r="Q268">
            <v>2465</v>
          </cell>
          <cell r="S268" t="str">
            <v>내선</v>
          </cell>
          <cell r="T268">
            <v>0.28999999999999998</v>
          </cell>
        </row>
        <row r="269">
          <cell r="A269">
            <v>267</v>
          </cell>
          <cell r="B269" t="str">
            <v>노출박스</v>
          </cell>
          <cell r="C269" t="str">
            <v>28C 1방출</v>
          </cell>
          <cell r="D269" t="str">
            <v>EA</v>
          </cell>
          <cell r="G269">
            <v>748</v>
          </cell>
          <cell r="H269">
            <v>3655</v>
          </cell>
          <cell r="Q269">
            <v>3655</v>
          </cell>
          <cell r="S269" t="str">
            <v>내선</v>
          </cell>
          <cell r="T269">
            <v>0.28999999999999998</v>
          </cell>
        </row>
        <row r="270">
          <cell r="A270">
            <v>268</v>
          </cell>
          <cell r="B270" t="str">
            <v>노출박스</v>
          </cell>
          <cell r="C270" t="str">
            <v>28C 2방출</v>
          </cell>
          <cell r="D270" t="str">
            <v>EA</v>
          </cell>
          <cell r="G270">
            <v>748</v>
          </cell>
          <cell r="H270">
            <v>3995</v>
          </cell>
          <cell r="Q270">
            <v>3995</v>
          </cell>
          <cell r="S270" t="str">
            <v>내선</v>
          </cell>
          <cell r="T270">
            <v>0.28999999999999998</v>
          </cell>
        </row>
        <row r="271">
          <cell r="A271">
            <v>269</v>
          </cell>
          <cell r="Q271" t="str">
            <v/>
          </cell>
        </row>
        <row r="272">
          <cell r="A272">
            <v>270</v>
          </cell>
          <cell r="Q272" t="str">
            <v/>
          </cell>
        </row>
        <row r="273">
          <cell r="A273">
            <v>271</v>
          </cell>
          <cell r="B273" t="str">
            <v>Outlet Box</v>
          </cell>
          <cell r="C273" t="str">
            <v>4각 천정</v>
          </cell>
          <cell r="D273" t="str">
            <v>EA</v>
          </cell>
          <cell r="G273">
            <v>748</v>
          </cell>
          <cell r="H273">
            <v>630</v>
          </cell>
          <cell r="Q273">
            <v>630</v>
          </cell>
          <cell r="S273" t="str">
            <v>내선</v>
          </cell>
          <cell r="T273">
            <v>0.12</v>
          </cell>
        </row>
        <row r="274">
          <cell r="A274">
            <v>272</v>
          </cell>
          <cell r="B274" t="str">
            <v>Outlet Box</v>
          </cell>
          <cell r="C274" t="str">
            <v>4각벽부</v>
          </cell>
          <cell r="D274" t="str">
            <v>EA</v>
          </cell>
          <cell r="G274">
            <v>748</v>
          </cell>
          <cell r="H274">
            <v>630</v>
          </cell>
          <cell r="Q274">
            <v>630</v>
          </cell>
          <cell r="S274" t="str">
            <v>내선</v>
          </cell>
          <cell r="T274">
            <v>0.2</v>
          </cell>
        </row>
        <row r="275">
          <cell r="A275">
            <v>273</v>
          </cell>
          <cell r="B275" t="str">
            <v>Outlet Box</v>
          </cell>
          <cell r="C275" t="str">
            <v xml:space="preserve">  8 각</v>
          </cell>
          <cell r="D275" t="str">
            <v>EA</v>
          </cell>
          <cell r="G275">
            <v>748</v>
          </cell>
          <cell r="H275">
            <v>540</v>
          </cell>
          <cell r="Q275">
            <v>540</v>
          </cell>
          <cell r="S275" t="str">
            <v>내선</v>
          </cell>
          <cell r="T275">
            <v>0.12</v>
          </cell>
        </row>
        <row r="276">
          <cell r="A276">
            <v>274</v>
          </cell>
          <cell r="B276" t="str">
            <v>Outlet Box</v>
          </cell>
          <cell r="C276" t="str">
            <v>SW</v>
          </cell>
          <cell r="D276" t="str">
            <v>EA</v>
          </cell>
          <cell r="G276">
            <v>748</v>
          </cell>
          <cell r="H276">
            <v>495</v>
          </cell>
          <cell r="Q276">
            <v>495</v>
          </cell>
          <cell r="S276" t="str">
            <v>내선</v>
          </cell>
          <cell r="T276">
            <v>0.2</v>
          </cell>
        </row>
        <row r="277">
          <cell r="A277">
            <v>275</v>
          </cell>
          <cell r="B277" t="str">
            <v>PVC  Outlet Box</v>
          </cell>
          <cell r="C277" t="str">
            <v xml:space="preserve">  8 각</v>
          </cell>
          <cell r="D277" t="str">
            <v>EA</v>
          </cell>
          <cell r="G277">
            <v>749</v>
          </cell>
          <cell r="H277">
            <v>670</v>
          </cell>
          <cell r="Q277">
            <v>670</v>
          </cell>
          <cell r="S277" t="str">
            <v>내선</v>
          </cell>
          <cell r="T277">
            <v>0.12</v>
          </cell>
        </row>
        <row r="278">
          <cell r="A278">
            <v>276</v>
          </cell>
          <cell r="B278" t="str">
            <v>PVC  Outlet Box</v>
          </cell>
          <cell r="C278" t="str">
            <v xml:space="preserve">  4 각</v>
          </cell>
          <cell r="D278" t="str">
            <v>EA</v>
          </cell>
          <cell r="G278">
            <v>749</v>
          </cell>
          <cell r="H278">
            <v>745</v>
          </cell>
          <cell r="Q278">
            <v>745</v>
          </cell>
          <cell r="S278" t="str">
            <v>내선</v>
          </cell>
          <cell r="T278">
            <v>0.12</v>
          </cell>
        </row>
        <row r="279">
          <cell r="A279">
            <v>277</v>
          </cell>
          <cell r="B279" t="str">
            <v>콘센트(접지극부 )</v>
          </cell>
          <cell r="C279" t="str">
            <v>1구 2P 15A 250V</v>
          </cell>
          <cell r="D279" t="str">
            <v>EA</v>
          </cell>
          <cell r="G279">
            <v>804</v>
          </cell>
          <cell r="H279">
            <v>1010</v>
          </cell>
          <cell r="Q279">
            <v>1010</v>
          </cell>
          <cell r="S279" t="str">
            <v>내선</v>
          </cell>
          <cell r="T279">
            <v>0.08</v>
          </cell>
        </row>
        <row r="280">
          <cell r="A280">
            <v>278</v>
          </cell>
          <cell r="B280" t="str">
            <v>콘센트(접지극부 )</v>
          </cell>
          <cell r="C280" t="str">
            <v>1구방폭 2P 15A 250V</v>
          </cell>
          <cell r="D280" t="str">
            <v>EA</v>
          </cell>
          <cell r="G280">
            <v>818</v>
          </cell>
          <cell r="H280">
            <v>67000</v>
          </cell>
          <cell r="Q280">
            <v>67000</v>
          </cell>
          <cell r="S280" t="str">
            <v>내선</v>
          </cell>
          <cell r="T280">
            <v>0.16</v>
          </cell>
        </row>
        <row r="281">
          <cell r="A281">
            <v>279</v>
          </cell>
          <cell r="B281" t="str">
            <v>콘센트(접지극부 )</v>
          </cell>
          <cell r="C281" t="str">
            <v>1구방수 2P 15A 250V</v>
          </cell>
          <cell r="D281" t="str">
            <v>EA</v>
          </cell>
          <cell r="G281">
            <v>804</v>
          </cell>
          <cell r="H281">
            <v>2500</v>
          </cell>
          <cell r="Q281">
            <v>2500</v>
          </cell>
          <cell r="S281" t="str">
            <v>내선</v>
          </cell>
          <cell r="T281">
            <v>0.08</v>
          </cell>
        </row>
        <row r="282">
          <cell r="A282">
            <v>280</v>
          </cell>
          <cell r="B282" t="str">
            <v>콘센트(접지극부 )</v>
          </cell>
          <cell r="C282" t="str">
            <v>2구 2P 15A 250V</v>
          </cell>
          <cell r="D282" t="str">
            <v>EA</v>
          </cell>
          <cell r="G282">
            <v>804</v>
          </cell>
          <cell r="H282">
            <v>1300</v>
          </cell>
          <cell r="Q282">
            <v>1300</v>
          </cell>
          <cell r="S282" t="str">
            <v>내선</v>
          </cell>
          <cell r="T282">
            <v>0.08</v>
          </cell>
        </row>
        <row r="283">
          <cell r="A283">
            <v>281</v>
          </cell>
          <cell r="B283" t="str">
            <v>콘센트(접지극부 )</v>
          </cell>
          <cell r="C283" t="str">
            <v>2구 2P 30A 250V</v>
          </cell>
          <cell r="D283" t="str">
            <v>EA</v>
          </cell>
          <cell r="G283">
            <v>806</v>
          </cell>
          <cell r="H283">
            <v>1452</v>
          </cell>
          <cell r="Q283">
            <v>1452</v>
          </cell>
          <cell r="S283" t="str">
            <v>내선</v>
          </cell>
          <cell r="T283">
            <v>0.08</v>
          </cell>
        </row>
        <row r="284">
          <cell r="A284">
            <v>282</v>
          </cell>
          <cell r="B284" t="str">
            <v>콘센트(접지극부 )</v>
          </cell>
          <cell r="C284" t="str">
            <v>3P 20A 250V</v>
          </cell>
          <cell r="D284" t="str">
            <v>EA</v>
          </cell>
          <cell r="G284">
            <v>806</v>
          </cell>
          <cell r="H284">
            <v>1074</v>
          </cell>
          <cell r="Q284">
            <v>1074</v>
          </cell>
          <cell r="S284" t="str">
            <v>내선</v>
          </cell>
          <cell r="T284">
            <v>9.5000000000000001E-2</v>
          </cell>
        </row>
        <row r="285">
          <cell r="A285">
            <v>283</v>
          </cell>
          <cell r="B285" t="str">
            <v>콘센트(접지극부 )</v>
          </cell>
          <cell r="C285" t="str">
            <v>3P 30A 250V</v>
          </cell>
          <cell r="D285" t="str">
            <v>EA</v>
          </cell>
          <cell r="Q285">
            <v>0</v>
          </cell>
          <cell r="S285" t="str">
            <v>내선</v>
          </cell>
          <cell r="T285">
            <v>0.14499999999999999</v>
          </cell>
        </row>
        <row r="286">
          <cell r="A286">
            <v>284</v>
          </cell>
          <cell r="Q286" t="str">
            <v/>
          </cell>
        </row>
        <row r="287">
          <cell r="A287">
            <v>285</v>
          </cell>
          <cell r="Q287" t="str">
            <v/>
          </cell>
        </row>
        <row r="288">
          <cell r="A288">
            <v>286</v>
          </cell>
          <cell r="B288" t="str">
            <v>전화용 콘센트</v>
          </cell>
          <cell r="C288" t="str">
            <v>체신부규격4P</v>
          </cell>
          <cell r="D288" t="str">
            <v>EA</v>
          </cell>
          <cell r="G288">
            <v>804</v>
          </cell>
          <cell r="H288">
            <v>620</v>
          </cell>
          <cell r="Q288">
            <v>620</v>
          </cell>
          <cell r="S288" t="str">
            <v>통내</v>
          </cell>
          <cell r="T288">
            <v>7.0000000000000007E-2</v>
          </cell>
        </row>
        <row r="289">
          <cell r="A289">
            <v>287</v>
          </cell>
          <cell r="B289" t="str">
            <v>TV유니트</v>
          </cell>
          <cell r="C289" t="str">
            <v>IN 75</v>
          </cell>
          <cell r="D289" t="str">
            <v>EA</v>
          </cell>
          <cell r="G289">
            <v>804</v>
          </cell>
          <cell r="H289">
            <v>1700</v>
          </cell>
          <cell r="Q289">
            <v>1700</v>
          </cell>
          <cell r="S289" t="str">
            <v>통내</v>
          </cell>
          <cell r="T289">
            <v>0.08</v>
          </cell>
        </row>
        <row r="290">
          <cell r="A290">
            <v>288</v>
          </cell>
          <cell r="Q290" t="str">
            <v/>
          </cell>
        </row>
        <row r="291">
          <cell r="A291">
            <v>289</v>
          </cell>
          <cell r="Q291" t="str">
            <v/>
          </cell>
        </row>
        <row r="292">
          <cell r="A292">
            <v>290</v>
          </cell>
          <cell r="B292" t="str">
            <v>텀블러SW</v>
          </cell>
          <cell r="C292" t="str">
            <v>1로 1구 램프</v>
          </cell>
          <cell r="D292" t="str">
            <v>EA</v>
          </cell>
          <cell r="G292">
            <v>804</v>
          </cell>
          <cell r="H292">
            <v>1080</v>
          </cell>
          <cell r="Q292">
            <v>1080</v>
          </cell>
          <cell r="S292" t="str">
            <v>내선</v>
          </cell>
          <cell r="T292">
            <v>6.5000000000000002E-2</v>
          </cell>
        </row>
        <row r="293">
          <cell r="A293">
            <v>291</v>
          </cell>
          <cell r="B293" t="str">
            <v>텀블러SW</v>
          </cell>
          <cell r="C293" t="str">
            <v>1로 1구  방폭2P 10A</v>
          </cell>
          <cell r="D293" t="str">
            <v>EA</v>
          </cell>
          <cell r="G293">
            <v>818</v>
          </cell>
          <cell r="H293">
            <v>38600</v>
          </cell>
          <cell r="Q293">
            <v>38600</v>
          </cell>
          <cell r="S293" t="str">
            <v>내선</v>
          </cell>
          <cell r="T293">
            <v>0.13</v>
          </cell>
        </row>
        <row r="294">
          <cell r="A294">
            <v>292</v>
          </cell>
          <cell r="B294" t="str">
            <v>텀블러SW</v>
          </cell>
          <cell r="C294" t="str">
            <v>1로 2구 램프</v>
          </cell>
          <cell r="D294" t="str">
            <v>EA</v>
          </cell>
          <cell r="G294">
            <v>804</v>
          </cell>
          <cell r="H294">
            <v>1840</v>
          </cell>
          <cell r="Q294">
            <v>1840</v>
          </cell>
          <cell r="S294" t="str">
            <v>내선</v>
          </cell>
          <cell r="T294">
            <v>8.5000000000000006E-2</v>
          </cell>
        </row>
        <row r="295">
          <cell r="A295">
            <v>293</v>
          </cell>
          <cell r="B295" t="str">
            <v>텀블러SW</v>
          </cell>
          <cell r="C295" t="str">
            <v>1로 3구 램프</v>
          </cell>
          <cell r="D295" t="str">
            <v>EA</v>
          </cell>
          <cell r="G295">
            <v>804</v>
          </cell>
          <cell r="H295">
            <v>2600</v>
          </cell>
          <cell r="Q295">
            <v>2600</v>
          </cell>
          <cell r="S295" t="str">
            <v>내선</v>
          </cell>
          <cell r="T295">
            <v>8.5000000000000006E-2</v>
          </cell>
        </row>
        <row r="296">
          <cell r="A296">
            <v>294</v>
          </cell>
          <cell r="B296" t="str">
            <v>텀블러SW</v>
          </cell>
          <cell r="C296" t="str">
            <v>3로 1구 램프</v>
          </cell>
          <cell r="D296" t="str">
            <v>EA</v>
          </cell>
          <cell r="G296">
            <v>804</v>
          </cell>
          <cell r="H296">
            <v>1210</v>
          </cell>
          <cell r="Q296">
            <v>1210</v>
          </cell>
          <cell r="S296" t="str">
            <v>내선</v>
          </cell>
          <cell r="T296">
            <v>8.5000000000000006E-2</v>
          </cell>
        </row>
        <row r="297">
          <cell r="A297">
            <v>295</v>
          </cell>
          <cell r="B297" t="str">
            <v>텀블러SW</v>
          </cell>
          <cell r="C297" t="str">
            <v>3로  2구</v>
          </cell>
          <cell r="D297" t="str">
            <v>EA</v>
          </cell>
          <cell r="G297">
            <v>804</v>
          </cell>
          <cell r="H297">
            <v>2100</v>
          </cell>
          <cell r="Q297">
            <v>2100</v>
          </cell>
          <cell r="S297" t="str">
            <v>내선</v>
          </cell>
          <cell r="T297">
            <v>0.10200000000000001</v>
          </cell>
        </row>
        <row r="298">
          <cell r="A298">
            <v>296</v>
          </cell>
          <cell r="B298" t="str">
            <v>텀블러SW</v>
          </cell>
          <cell r="C298" t="str">
            <v>4로 1구 램프</v>
          </cell>
          <cell r="D298" t="str">
            <v>EA</v>
          </cell>
          <cell r="G298">
            <v>804</v>
          </cell>
          <cell r="H298">
            <v>2020</v>
          </cell>
          <cell r="Q298">
            <v>2020</v>
          </cell>
          <cell r="S298" t="str">
            <v>내선</v>
          </cell>
          <cell r="T298">
            <v>0.1</v>
          </cell>
        </row>
        <row r="299">
          <cell r="A299">
            <v>297</v>
          </cell>
          <cell r="B299" t="str">
            <v>텀블러SW</v>
          </cell>
          <cell r="C299" t="str">
            <v>4로 2구 램프</v>
          </cell>
          <cell r="D299" t="str">
            <v>EA</v>
          </cell>
          <cell r="G299">
            <v>804</v>
          </cell>
          <cell r="H299">
            <v>3720</v>
          </cell>
          <cell r="Q299">
            <v>3720</v>
          </cell>
          <cell r="S299" t="str">
            <v>내선</v>
          </cell>
          <cell r="T299">
            <v>0.12</v>
          </cell>
        </row>
        <row r="300">
          <cell r="A300">
            <v>298</v>
          </cell>
          <cell r="Q300" t="str">
            <v/>
          </cell>
        </row>
        <row r="301">
          <cell r="A301">
            <v>299</v>
          </cell>
          <cell r="Q301" t="str">
            <v/>
          </cell>
        </row>
        <row r="302">
          <cell r="A302">
            <v>300</v>
          </cell>
          <cell r="B302" t="str">
            <v>등 기 구</v>
          </cell>
          <cell r="C302" t="str">
            <v>IL-60W 벽부</v>
          </cell>
          <cell r="D302" t="str">
            <v>EA</v>
          </cell>
          <cell r="G302">
            <v>816</v>
          </cell>
          <cell r="H302">
            <v>25500</v>
          </cell>
          <cell r="Q302">
            <v>25500</v>
          </cell>
          <cell r="S302" t="str">
            <v>내선</v>
          </cell>
          <cell r="T302">
            <v>0.15</v>
          </cell>
        </row>
        <row r="303">
          <cell r="A303">
            <v>301</v>
          </cell>
          <cell r="B303" t="str">
            <v>등 기 구</v>
          </cell>
          <cell r="C303" t="str">
            <v>IL-100W 벽부</v>
          </cell>
          <cell r="D303" t="str">
            <v>EA</v>
          </cell>
          <cell r="G303">
            <v>816</v>
          </cell>
          <cell r="H303">
            <v>25500</v>
          </cell>
          <cell r="Q303">
            <v>25500</v>
          </cell>
          <cell r="S303" t="str">
            <v>내선</v>
          </cell>
          <cell r="T303">
            <v>0.158</v>
          </cell>
        </row>
        <row r="304">
          <cell r="A304">
            <v>302</v>
          </cell>
          <cell r="B304" t="str">
            <v>등 기 구</v>
          </cell>
          <cell r="C304" t="str">
            <v>IL-200W 벽부</v>
          </cell>
          <cell r="D304" t="str">
            <v>EA</v>
          </cell>
          <cell r="G304">
            <v>816</v>
          </cell>
          <cell r="H304">
            <v>25500</v>
          </cell>
          <cell r="Q304">
            <v>25500</v>
          </cell>
          <cell r="S304" t="str">
            <v>내선</v>
          </cell>
          <cell r="T304">
            <v>0.158</v>
          </cell>
        </row>
        <row r="305">
          <cell r="A305">
            <v>303</v>
          </cell>
          <cell r="B305" t="str">
            <v>등 기 구</v>
          </cell>
          <cell r="C305" t="str">
            <v>IL-60W 천정매입</v>
          </cell>
          <cell r="D305" t="str">
            <v>EA</v>
          </cell>
          <cell r="G305">
            <v>816</v>
          </cell>
          <cell r="H305">
            <v>25500</v>
          </cell>
          <cell r="Q305">
            <v>25500</v>
          </cell>
          <cell r="S305" t="str">
            <v>내선</v>
          </cell>
          <cell r="T305">
            <v>0.245</v>
          </cell>
        </row>
        <row r="306">
          <cell r="A306">
            <v>304</v>
          </cell>
          <cell r="B306" t="str">
            <v>등 기 구</v>
          </cell>
          <cell r="C306" t="str">
            <v>IL-60W 천정직부</v>
          </cell>
          <cell r="D306" t="str">
            <v>EA</v>
          </cell>
          <cell r="G306">
            <v>816</v>
          </cell>
          <cell r="H306">
            <v>25500</v>
          </cell>
          <cell r="Q306">
            <v>25500</v>
          </cell>
          <cell r="S306" t="str">
            <v>내선</v>
          </cell>
          <cell r="T306">
            <v>0.18</v>
          </cell>
        </row>
        <row r="307">
          <cell r="A307">
            <v>305</v>
          </cell>
          <cell r="B307" t="str">
            <v>등 기 구</v>
          </cell>
          <cell r="C307" t="str">
            <v>IL-100W 천정직부</v>
          </cell>
          <cell r="D307" t="str">
            <v>EA</v>
          </cell>
          <cell r="G307">
            <v>816</v>
          </cell>
          <cell r="H307">
            <v>25500</v>
          </cell>
          <cell r="Q307">
            <v>25500</v>
          </cell>
          <cell r="S307" t="str">
            <v>내선</v>
          </cell>
          <cell r="T307">
            <v>0.19</v>
          </cell>
        </row>
        <row r="308">
          <cell r="A308">
            <v>306</v>
          </cell>
          <cell r="B308" t="str">
            <v>등 기 구</v>
          </cell>
          <cell r="C308" t="str">
            <v>비상등</v>
          </cell>
          <cell r="D308" t="str">
            <v>EA</v>
          </cell>
          <cell r="G308">
            <v>650</v>
          </cell>
          <cell r="H308">
            <v>95000</v>
          </cell>
          <cell r="Q308">
            <v>95000</v>
          </cell>
          <cell r="S308" t="str">
            <v>내선</v>
          </cell>
          <cell r="T308">
            <v>0.158</v>
          </cell>
        </row>
        <row r="309">
          <cell r="A309">
            <v>307</v>
          </cell>
          <cell r="Q309" t="str">
            <v/>
          </cell>
        </row>
        <row r="310">
          <cell r="A310">
            <v>308</v>
          </cell>
          <cell r="B310" t="str">
            <v>등 기 구</v>
          </cell>
          <cell r="C310" t="str">
            <v>FL 2/40삼각벽부</v>
          </cell>
          <cell r="D310" t="str">
            <v>EA</v>
          </cell>
          <cell r="G310">
            <v>811</v>
          </cell>
          <cell r="H310">
            <v>27500</v>
          </cell>
          <cell r="Q310">
            <v>27500</v>
          </cell>
          <cell r="S310" t="str">
            <v>내선</v>
          </cell>
          <cell r="T310">
            <v>0.36499999999999999</v>
          </cell>
        </row>
        <row r="311">
          <cell r="A311">
            <v>309</v>
          </cell>
          <cell r="B311" t="str">
            <v>등 기 구</v>
          </cell>
          <cell r="C311" t="str">
            <v>FL 2/20삼각직부</v>
          </cell>
          <cell r="D311" t="str">
            <v>EA</v>
          </cell>
          <cell r="G311">
            <v>811</v>
          </cell>
          <cell r="H311">
            <v>24000</v>
          </cell>
          <cell r="Q311">
            <v>24000</v>
          </cell>
          <cell r="S311" t="str">
            <v>내선</v>
          </cell>
          <cell r="T311">
            <v>0.19500000000000001</v>
          </cell>
        </row>
        <row r="312">
          <cell r="A312">
            <v>310</v>
          </cell>
          <cell r="B312" t="str">
            <v>등 기 구</v>
          </cell>
          <cell r="C312" t="str">
            <v>FL 2/40삼각직부</v>
          </cell>
          <cell r="D312" t="str">
            <v>EA</v>
          </cell>
          <cell r="G312">
            <v>811</v>
          </cell>
          <cell r="H312">
            <v>26500</v>
          </cell>
          <cell r="Q312">
            <v>26500</v>
          </cell>
          <cell r="S312" t="str">
            <v>내선</v>
          </cell>
          <cell r="T312">
            <v>0.30499999999999999</v>
          </cell>
        </row>
        <row r="313">
          <cell r="A313">
            <v>311</v>
          </cell>
          <cell r="B313" t="str">
            <v>등 기 구</v>
          </cell>
          <cell r="C313" t="str">
            <v>FL 1/40삼각직부</v>
          </cell>
          <cell r="D313" t="str">
            <v>EA</v>
          </cell>
          <cell r="G313">
            <v>811</v>
          </cell>
          <cell r="H313">
            <v>15500</v>
          </cell>
          <cell r="Q313">
            <v>15500</v>
          </cell>
          <cell r="S313" t="str">
            <v>내선</v>
          </cell>
          <cell r="T313">
            <v>0.245</v>
          </cell>
        </row>
        <row r="314">
          <cell r="A314">
            <v>312</v>
          </cell>
          <cell r="B314" t="str">
            <v>등 기 구(SUS)</v>
          </cell>
          <cell r="C314" t="str">
            <v>FL 1/40삼각직부</v>
          </cell>
          <cell r="D314" t="str">
            <v>EA</v>
          </cell>
          <cell r="K314" t="str">
            <v>신일조명</v>
          </cell>
          <cell r="L314">
            <v>23500</v>
          </cell>
          <cell r="Q314">
            <v>23500</v>
          </cell>
          <cell r="S314" t="str">
            <v>내선</v>
          </cell>
          <cell r="T314">
            <v>0.245</v>
          </cell>
        </row>
        <row r="315">
          <cell r="A315">
            <v>313</v>
          </cell>
          <cell r="B315" t="str">
            <v>등 기 구</v>
          </cell>
          <cell r="C315" t="str">
            <v>FL 2/20매입</v>
          </cell>
          <cell r="D315" t="str">
            <v>EA</v>
          </cell>
          <cell r="G315">
            <v>811</v>
          </cell>
          <cell r="H315">
            <v>28000</v>
          </cell>
          <cell r="Q315">
            <v>28000</v>
          </cell>
          <cell r="S315" t="str">
            <v>내선</v>
          </cell>
          <cell r="T315">
            <v>0.32</v>
          </cell>
        </row>
        <row r="316">
          <cell r="A316">
            <v>314</v>
          </cell>
          <cell r="B316" t="str">
            <v>등 기 구</v>
          </cell>
          <cell r="C316" t="str">
            <v>FL 4/20매입</v>
          </cell>
          <cell r="D316" t="str">
            <v>EA</v>
          </cell>
          <cell r="G316">
            <v>811</v>
          </cell>
          <cell r="H316">
            <v>49500</v>
          </cell>
          <cell r="Q316">
            <v>49500</v>
          </cell>
          <cell r="S316" t="str">
            <v>내선</v>
          </cell>
          <cell r="T316">
            <v>0.56999999999999995</v>
          </cell>
        </row>
        <row r="317">
          <cell r="A317">
            <v>315</v>
          </cell>
          <cell r="B317" t="str">
            <v>등 기 구</v>
          </cell>
          <cell r="C317" t="str">
            <v>FL 2/40매입</v>
          </cell>
          <cell r="D317" t="str">
            <v>EA</v>
          </cell>
          <cell r="G317">
            <v>811</v>
          </cell>
          <cell r="H317">
            <v>35000</v>
          </cell>
          <cell r="Q317">
            <v>35000</v>
          </cell>
          <cell r="S317" t="str">
            <v>내선</v>
          </cell>
          <cell r="T317">
            <v>0.48799999999999999</v>
          </cell>
        </row>
        <row r="318">
          <cell r="A318">
            <v>316</v>
          </cell>
          <cell r="B318" t="str">
            <v>등 기 구</v>
          </cell>
          <cell r="C318" t="str">
            <v>FL 2/20펜던트</v>
          </cell>
          <cell r="D318" t="str">
            <v>EA</v>
          </cell>
          <cell r="G318">
            <v>811</v>
          </cell>
          <cell r="H318">
            <v>24500</v>
          </cell>
          <cell r="Q318">
            <v>24500</v>
          </cell>
          <cell r="S318" t="str">
            <v>내선</v>
          </cell>
          <cell r="T318">
            <v>0.23499999999999999</v>
          </cell>
        </row>
        <row r="319">
          <cell r="A319">
            <v>317</v>
          </cell>
          <cell r="B319" t="str">
            <v>등 기 구</v>
          </cell>
          <cell r="C319" t="str">
            <v>FL 2/40펜던트</v>
          </cell>
          <cell r="D319" t="str">
            <v>EA</v>
          </cell>
          <cell r="G319">
            <v>811</v>
          </cell>
          <cell r="H319">
            <v>27500</v>
          </cell>
          <cell r="Q319">
            <v>27500</v>
          </cell>
          <cell r="S319" t="str">
            <v>내선</v>
          </cell>
          <cell r="T319">
            <v>0.36499999999999999</v>
          </cell>
        </row>
        <row r="320">
          <cell r="A320">
            <v>318</v>
          </cell>
          <cell r="B320" t="str">
            <v>등 기 구</v>
          </cell>
          <cell r="C320" t="str">
            <v>FL 1/40펜던트</v>
          </cell>
          <cell r="D320" t="str">
            <v>EA</v>
          </cell>
          <cell r="G320">
            <v>811</v>
          </cell>
          <cell r="H320">
            <v>16500</v>
          </cell>
          <cell r="Q320">
            <v>16500</v>
          </cell>
          <cell r="S320" t="str">
            <v>내선</v>
          </cell>
          <cell r="T320">
            <v>0.29499999999999998</v>
          </cell>
        </row>
        <row r="321">
          <cell r="A321">
            <v>319</v>
          </cell>
          <cell r="B321" t="str">
            <v>등 기 구</v>
          </cell>
          <cell r="C321" t="str">
            <v>FL 1/30W 천정직부</v>
          </cell>
          <cell r="D321" t="str">
            <v>EA</v>
          </cell>
          <cell r="Q321">
            <v>0</v>
          </cell>
          <cell r="S321" t="str">
            <v>내선</v>
          </cell>
          <cell r="T321">
            <v>0.16500000000000001</v>
          </cell>
        </row>
        <row r="322">
          <cell r="A322">
            <v>320</v>
          </cell>
          <cell r="B322" t="str">
            <v>등 기 구</v>
          </cell>
          <cell r="C322" t="str">
            <v>FL 1/30W매입</v>
          </cell>
          <cell r="D322" t="str">
            <v>EA</v>
          </cell>
          <cell r="Q322">
            <v>0</v>
          </cell>
          <cell r="S322" t="str">
            <v>내선</v>
          </cell>
          <cell r="T322">
            <v>0.26600000000000001</v>
          </cell>
        </row>
        <row r="323">
          <cell r="A323">
            <v>321</v>
          </cell>
          <cell r="B323" t="str">
            <v>등 기 구</v>
          </cell>
          <cell r="C323" t="str">
            <v>FL 2/30W매입</v>
          </cell>
          <cell r="D323" t="str">
            <v>EA</v>
          </cell>
          <cell r="Q323">
            <v>0</v>
          </cell>
          <cell r="S323" t="str">
            <v>내선</v>
          </cell>
          <cell r="T323">
            <v>0.36</v>
          </cell>
        </row>
        <row r="324">
          <cell r="A324">
            <v>322</v>
          </cell>
          <cell r="B324" t="str">
            <v>등 기 구</v>
          </cell>
          <cell r="C324" t="str">
            <v>FL 1/40W매입</v>
          </cell>
          <cell r="D324" t="str">
            <v>EA</v>
          </cell>
          <cell r="G324">
            <v>811</v>
          </cell>
          <cell r="H324">
            <v>26000</v>
          </cell>
          <cell r="Q324">
            <v>26000</v>
          </cell>
          <cell r="S324" t="str">
            <v>내선</v>
          </cell>
          <cell r="T324">
            <v>0.39900000000000002</v>
          </cell>
        </row>
        <row r="325">
          <cell r="A325">
            <v>323</v>
          </cell>
          <cell r="B325" t="str">
            <v>등 기 구</v>
          </cell>
          <cell r="C325" t="str">
            <v>FL 2/40방폭형</v>
          </cell>
          <cell r="D325" t="str">
            <v>EA</v>
          </cell>
          <cell r="G325">
            <v>818</v>
          </cell>
          <cell r="H325">
            <v>244000</v>
          </cell>
          <cell r="Q325">
            <v>244000</v>
          </cell>
          <cell r="S325" t="str">
            <v>내선</v>
          </cell>
          <cell r="T325">
            <v>0.73</v>
          </cell>
        </row>
        <row r="326">
          <cell r="A326">
            <v>324</v>
          </cell>
          <cell r="B326" t="str">
            <v>등 기 구(SUS)</v>
          </cell>
          <cell r="C326" t="str">
            <v>FL 1/40W매입</v>
          </cell>
          <cell r="D326" t="str">
            <v>EA</v>
          </cell>
          <cell r="K326" t="str">
            <v>신일조명</v>
          </cell>
          <cell r="L326">
            <v>34000</v>
          </cell>
          <cell r="Q326">
            <v>34000</v>
          </cell>
          <cell r="S326" t="str">
            <v>내선</v>
          </cell>
          <cell r="T326">
            <v>0.39900000000000002</v>
          </cell>
        </row>
        <row r="327">
          <cell r="A327">
            <v>325</v>
          </cell>
          <cell r="B327" t="str">
            <v>등 기 구(SUS)</v>
          </cell>
          <cell r="C327" t="str">
            <v>FL 1/40펜던트</v>
          </cell>
          <cell r="D327" t="str">
            <v>EA</v>
          </cell>
          <cell r="K327" t="str">
            <v>신일조명</v>
          </cell>
          <cell r="L327">
            <v>24500</v>
          </cell>
          <cell r="Q327">
            <v>24500</v>
          </cell>
          <cell r="S327" t="str">
            <v>내선</v>
          </cell>
          <cell r="T327">
            <v>0.29499999999999998</v>
          </cell>
        </row>
        <row r="328">
          <cell r="A328">
            <v>326</v>
          </cell>
          <cell r="B328" t="str">
            <v>램      프</v>
          </cell>
          <cell r="C328" t="str">
            <v>FL 10W  26㎜×330㎜</v>
          </cell>
          <cell r="D328" t="str">
            <v>EA</v>
          </cell>
          <cell r="G328">
            <v>807</v>
          </cell>
          <cell r="H328">
            <v>580</v>
          </cell>
          <cell r="Q328">
            <v>580</v>
          </cell>
        </row>
        <row r="329">
          <cell r="A329">
            <v>327</v>
          </cell>
          <cell r="B329" t="str">
            <v>램      프</v>
          </cell>
          <cell r="C329" t="str">
            <v>FL 20W  28㎜×590㎜</v>
          </cell>
          <cell r="D329" t="str">
            <v>EA</v>
          </cell>
          <cell r="G329">
            <v>807</v>
          </cell>
          <cell r="H329">
            <v>650</v>
          </cell>
          <cell r="Q329">
            <v>650</v>
          </cell>
        </row>
        <row r="330">
          <cell r="A330">
            <v>328</v>
          </cell>
          <cell r="B330" t="str">
            <v>램      프</v>
          </cell>
          <cell r="C330" t="str">
            <v>FL 30W  26㎜×893㎜</v>
          </cell>
          <cell r="D330" t="str">
            <v>EA</v>
          </cell>
          <cell r="G330">
            <v>807</v>
          </cell>
          <cell r="H330">
            <v>1450</v>
          </cell>
          <cell r="Q330">
            <v>1450</v>
          </cell>
        </row>
        <row r="331">
          <cell r="A331">
            <v>329</v>
          </cell>
          <cell r="B331" t="str">
            <v>램      프</v>
          </cell>
          <cell r="C331" t="str">
            <v>FL 40W  28㎜×1198㎜</v>
          </cell>
          <cell r="D331" t="str">
            <v>EA</v>
          </cell>
          <cell r="G331">
            <v>807</v>
          </cell>
          <cell r="H331">
            <v>980</v>
          </cell>
          <cell r="Q331">
            <v>980</v>
          </cell>
        </row>
        <row r="332">
          <cell r="A332">
            <v>330</v>
          </cell>
          <cell r="B332" t="str">
            <v>램      프</v>
          </cell>
          <cell r="C332" t="str">
            <v>FCL22W28.5㎜×216㎜</v>
          </cell>
          <cell r="D332" t="str">
            <v>EA</v>
          </cell>
          <cell r="G332">
            <v>807</v>
          </cell>
          <cell r="H332">
            <v>1300</v>
          </cell>
          <cell r="Q332">
            <v>1300</v>
          </cell>
        </row>
        <row r="333">
          <cell r="A333">
            <v>331</v>
          </cell>
          <cell r="B333" t="str">
            <v>램      프</v>
          </cell>
          <cell r="C333" t="str">
            <v>FCL30W28.5㎜×236㎜</v>
          </cell>
          <cell r="D333" t="str">
            <v>EA</v>
          </cell>
          <cell r="G333">
            <v>807</v>
          </cell>
          <cell r="H333">
            <v>1300</v>
          </cell>
          <cell r="Q333">
            <v>1300</v>
          </cell>
        </row>
        <row r="334">
          <cell r="A334">
            <v>332</v>
          </cell>
          <cell r="B334" t="str">
            <v>램      프</v>
          </cell>
          <cell r="C334" t="str">
            <v>FCL32W28.5㎜×312㎜</v>
          </cell>
          <cell r="D334" t="str">
            <v>EA</v>
          </cell>
          <cell r="G334">
            <v>807</v>
          </cell>
          <cell r="H334">
            <v>1800</v>
          </cell>
          <cell r="Q334">
            <v>1800</v>
          </cell>
        </row>
        <row r="335">
          <cell r="A335">
            <v>333</v>
          </cell>
          <cell r="B335" t="str">
            <v>램      프</v>
          </cell>
          <cell r="C335" t="str">
            <v>FCL40W28.5㎜×386㎜</v>
          </cell>
          <cell r="D335" t="str">
            <v>EA</v>
          </cell>
          <cell r="G335">
            <v>807</v>
          </cell>
          <cell r="H335">
            <v>2700</v>
          </cell>
          <cell r="Q335">
            <v>2700</v>
          </cell>
        </row>
        <row r="336">
          <cell r="A336">
            <v>334</v>
          </cell>
          <cell r="Q336" t="str">
            <v/>
          </cell>
        </row>
        <row r="337">
          <cell r="A337">
            <v>335</v>
          </cell>
          <cell r="Q337" t="str">
            <v/>
          </cell>
        </row>
        <row r="338">
          <cell r="A338">
            <v>336</v>
          </cell>
          <cell r="Q338" t="str">
            <v/>
          </cell>
        </row>
        <row r="339">
          <cell r="A339">
            <v>337</v>
          </cell>
          <cell r="B339" t="str">
            <v>램      프</v>
          </cell>
          <cell r="C339" t="str">
            <v>220V  IL 60W</v>
          </cell>
          <cell r="D339" t="str">
            <v>EA</v>
          </cell>
          <cell r="G339">
            <v>808</v>
          </cell>
          <cell r="H339">
            <v>220</v>
          </cell>
          <cell r="Q339">
            <v>220</v>
          </cell>
        </row>
        <row r="340">
          <cell r="A340">
            <v>338</v>
          </cell>
          <cell r="B340" t="str">
            <v>램      프</v>
          </cell>
          <cell r="C340" t="str">
            <v>220V  IL 100W</v>
          </cell>
          <cell r="D340" t="str">
            <v>EA</v>
          </cell>
          <cell r="G340">
            <v>808</v>
          </cell>
          <cell r="H340">
            <v>230</v>
          </cell>
          <cell r="Q340">
            <v>230</v>
          </cell>
        </row>
        <row r="341">
          <cell r="A341">
            <v>339</v>
          </cell>
          <cell r="B341" t="str">
            <v>램      프</v>
          </cell>
          <cell r="C341" t="str">
            <v>220V  IL 200W</v>
          </cell>
          <cell r="D341" t="str">
            <v>EA</v>
          </cell>
          <cell r="G341">
            <v>808</v>
          </cell>
          <cell r="H341">
            <v>380</v>
          </cell>
          <cell r="Q341">
            <v>380</v>
          </cell>
        </row>
        <row r="342">
          <cell r="A342">
            <v>340</v>
          </cell>
          <cell r="Q342" t="str">
            <v/>
          </cell>
        </row>
        <row r="343">
          <cell r="A343">
            <v>341</v>
          </cell>
          <cell r="Q343" t="str">
            <v/>
          </cell>
        </row>
        <row r="344">
          <cell r="A344">
            <v>342</v>
          </cell>
          <cell r="B344" t="str">
            <v>등 기 구</v>
          </cell>
          <cell r="C344" t="str">
            <v>MH 250W천정형</v>
          </cell>
          <cell r="D344" t="str">
            <v>EA</v>
          </cell>
          <cell r="G344">
            <v>810</v>
          </cell>
          <cell r="H344">
            <v>44000</v>
          </cell>
          <cell r="Q344">
            <v>44000</v>
          </cell>
          <cell r="S344" t="str">
            <v>내선</v>
          </cell>
          <cell r="T344">
            <v>0.495</v>
          </cell>
        </row>
        <row r="345">
          <cell r="A345">
            <v>343</v>
          </cell>
          <cell r="B345" t="str">
            <v>등 기 구</v>
          </cell>
          <cell r="C345" t="str">
            <v>MH 175W천정형</v>
          </cell>
          <cell r="D345" t="str">
            <v>EA</v>
          </cell>
          <cell r="G345">
            <v>810</v>
          </cell>
          <cell r="H345">
            <v>44000</v>
          </cell>
          <cell r="Q345">
            <v>44000</v>
          </cell>
          <cell r="S345" t="str">
            <v>내선</v>
          </cell>
          <cell r="T345">
            <v>0.44</v>
          </cell>
        </row>
        <row r="346">
          <cell r="A346">
            <v>344</v>
          </cell>
          <cell r="B346" t="str">
            <v>등 기 구</v>
          </cell>
          <cell r="C346" t="str">
            <v>MH 175W벽부형</v>
          </cell>
          <cell r="D346" t="str">
            <v>EA</v>
          </cell>
          <cell r="G346">
            <v>810</v>
          </cell>
          <cell r="H346">
            <v>45000</v>
          </cell>
          <cell r="Q346">
            <v>45000</v>
          </cell>
          <cell r="S346" t="str">
            <v>내선</v>
          </cell>
          <cell r="T346">
            <v>0.44</v>
          </cell>
        </row>
        <row r="347">
          <cell r="A347">
            <v>345</v>
          </cell>
          <cell r="Q347" t="str">
            <v/>
          </cell>
        </row>
        <row r="348">
          <cell r="A348">
            <v>346</v>
          </cell>
          <cell r="Q348" t="str">
            <v/>
          </cell>
        </row>
        <row r="349">
          <cell r="A349">
            <v>347</v>
          </cell>
          <cell r="Q349" t="str">
            <v/>
          </cell>
        </row>
        <row r="350">
          <cell r="A350">
            <v>348</v>
          </cell>
          <cell r="Q350" t="str">
            <v/>
          </cell>
        </row>
        <row r="351">
          <cell r="A351">
            <v>349</v>
          </cell>
          <cell r="B351" t="str">
            <v>메탈할라이드 램프</v>
          </cell>
          <cell r="C351" t="str">
            <v>MH 175W</v>
          </cell>
          <cell r="D351" t="str">
            <v>EA</v>
          </cell>
          <cell r="G351">
            <v>813</v>
          </cell>
          <cell r="H351">
            <v>15000</v>
          </cell>
          <cell r="Q351">
            <v>15000</v>
          </cell>
        </row>
        <row r="352">
          <cell r="A352">
            <v>350</v>
          </cell>
          <cell r="B352" t="str">
            <v>메탈할라이드 램프</v>
          </cell>
          <cell r="C352" t="str">
            <v>MH 250W</v>
          </cell>
          <cell r="D352" t="str">
            <v>EA</v>
          </cell>
          <cell r="G352">
            <v>813</v>
          </cell>
          <cell r="H352">
            <v>16000</v>
          </cell>
          <cell r="Q352">
            <v>16000</v>
          </cell>
        </row>
        <row r="353">
          <cell r="A353">
            <v>351</v>
          </cell>
          <cell r="Q353" t="str">
            <v/>
          </cell>
        </row>
        <row r="354">
          <cell r="A354">
            <v>352</v>
          </cell>
          <cell r="Q354" t="str">
            <v/>
          </cell>
        </row>
        <row r="355">
          <cell r="A355">
            <v>353</v>
          </cell>
          <cell r="Q355" t="str">
            <v/>
          </cell>
        </row>
        <row r="356">
          <cell r="A356">
            <v>354</v>
          </cell>
          <cell r="B356" t="str">
            <v>메탈할라이드 안정기</v>
          </cell>
          <cell r="C356" t="str">
            <v>220V/175W</v>
          </cell>
          <cell r="D356" t="str">
            <v>EA</v>
          </cell>
          <cell r="G356">
            <v>813</v>
          </cell>
          <cell r="H356">
            <v>22000</v>
          </cell>
          <cell r="Q356">
            <v>22000</v>
          </cell>
        </row>
        <row r="357">
          <cell r="A357">
            <v>355</v>
          </cell>
          <cell r="B357" t="str">
            <v>메탈할라이드 안정기</v>
          </cell>
          <cell r="C357" t="str">
            <v>220V/250W</v>
          </cell>
          <cell r="D357" t="str">
            <v>EA</v>
          </cell>
          <cell r="G357">
            <v>813</v>
          </cell>
          <cell r="H357">
            <v>25000</v>
          </cell>
          <cell r="Q357">
            <v>25000</v>
          </cell>
        </row>
        <row r="358">
          <cell r="A358">
            <v>356</v>
          </cell>
          <cell r="Q358" t="str">
            <v/>
          </cell>
        </row>
        <row r="359">
          <cell r="A359">
            <v>357</v>
          </cell>
          <cell r="Q359" t="str">
            <v/>
          </cell>
        </row>
        <row r="360">
          <cell r="A360">
            <v>358</v>
          </cell>
          <cell r="B360" t="str">
            <v>판넬</v>
          </cell>
          <cell r="D360" t="str">
            <v>면</v>
          </cell>
          <cell r="Q360">
            <v>0</v>
          </cell>
          <cell r="S360" t="str">
            <v>프전</v>
          </cell>
          <cell r="T360">
            <v>5.8</v>
          </cell>
          <cell r="U360" t="str">
            <v>보인</v>
          </cell>
          <cell r="V360">
            <v>1.9</v>
          </cell>
        </row>
        <row r="361">
          <cell r="A361">
            <v>359</v>
          </cell>
          <cell r="Q361" t="str">
            <v/>
          </cell>
        </row>
        <row r="362">
          <cell r="A362">
            <v>360</v>
          </cell>
          <cell r="B362" t="str">
            <v>전극식레벨</v>
          </cell>
          <cell r="C362" t="str">
            <v>3선 3극</v>
          </cell>
          <cell r="D362" t="str">
            <v>set</v>
          </cell>
          <cell r="G362">
            <v>794</v>
          </cell>
          <cell r="H362">
            <v>40000</v>
          </cell>
          <cell r="Q362">
            <v>40000</v>
          </cell>
          <cell r="S362" t="str">
            <v>내선</v>
          </cell>
          <cell r="T362">
            <v>0.8</v>
          </cell>
          <cell r="Y362" t="str">
            <v>공율은 전극봉지지기</v>
          </cell>
        </row>
        <row r="363">
          <cell r="A363">
            <v>361</v>
          </cell>
          <cell r="B363" t="str">
            <v>전극식레벨</v>
          </cell>
          <cell r="C363" t="str">
            <v>4선 4극</v>
          </cell>
          <cell r="D363" t="str">
            <v>set</v>
          </cell>
          <cell r="G363">
            <v>794</v>
          </cell>
          <cell r="H363">
            <v>85000</v>
          </cell>
          <cell r="Q363">
            <v>85000</v>
          </cell>
          <cell r="S363" t="str">
            <v>내선</v>
          </cell>
          <cell r="T363">
            <v>0.85</v>
          </cell>
          <cell r="Y363" t="str">
            <v>공율은 전극봉지지기</v>
          </cell>
        </row>
        <row r="364">
          <cell r="A364">
            <v>362</v>
          </cell>
          <cell r="B364" t="str">
            <v>전극식레벨</v>
          </cell>
          <cell r="C364" t="str">
            <v>5선 5극</v>
          </cell>
          <cell r="D364" t="str">
            <v>set</v>
          </cell>
          <cell r="G364">
            <v>794</v>
          </cell>
          <cell r="H364">
            <v>100000</v>
          </cell>
          <cell r="Q364">
            <v>100000</v>
          </cell>
          <cell r="S364" t="str">
            <v>내선</v>
          </cell>
          <cell r="T364">
            <v>1.1000000000000001</v>
          </cell>
          <cell r="Y364" t="str">
            <v>공율은 전극봉지지기</v>
          </cell>
        </row>
        <row r="365">
          <cell r="A365">
            <v>363</v>
          </cell>
          <cell r="Q365" t="str">
            <v/>
          </cell>
        </row>
        <row r="366">
          <cell r="A366">
            <v>364</v>
          </cell>
          <cell r="Q366" t="str">
            <v/>
          </cell>
        </row>
        <row r="367">
          <cell r="A367">
            <v>365</v>
          </cell>
          <cell r="B367" t="str">
            <v>AMP</v>
          </cell>
          <cell r="D367" t="str">
            <v>면</v>
          </cell>
          <cell r="Q367">
            <v>0</v>
          </cell>
          <cell r="S367" t="str">
            <v>통내</v>
          </cell>
          <cell r="T367">
            <v>9</v>
          </cell>
        </row>
        <row r="368">
          <cell r="A368">
            <v>366</v>
          </cell>
          <cell r="B368" t="str">
            <v>스피커</v>
          </cell>
          <cell r="C368" t="str">
            <v>3W  천정형</v>
          </cell>
          <cell r="D368" t="str">
            <v>EA</v>
          </cell>
          <cell r="G368">
            <v>838</v>
          </cell>
          <cell r="H368">
            <v>12000</v>
          </cell>
          <cell r="Q368">
            <v>12000</v>
          </cell>
          <cell r="S368" t="str">
            <v>통내</v>
          </cell>
          <cell r="T368">
            <v>0.45</v>
          </cell>
        </row>
        <row r="369">
          <cell r="A369">
            <v>367</v>
          </cell>
          <cell r="B369" t="str">
            <v>스피커</v>
          </cell>
          <cell r="C369" t="str">
            <v>3W 벽부형</v>
          </cell>
          <cell r="D369" t="str">
            <v>EA</v>
          </cell>
          <cell r="G369">
            <v>838</v>
          </cell>
          <cell r="H369">
            <v>12000</v>
          </cell>
          <cell r="Q369">
            <v>12000</v>
          </cell>
          <cell r="S369" t="str">
            <v>통내</v>
          </cell>
          <cell r="T369">
            <v>0.45</v>
          </cell>
        </row>
        <row r="370">
          <cell r="A370">
            <v>368</v>
          </cell>
          <cell r="B370" t="str">
            <v>스피커</v>
          </cell>
          <cell r="C370" t="str">
            <v>20W옥외칼럼형</v>
          </cell>
          <cell r="D370" t="str">
            <v>EA</v>
          </cell>
          <cell r="G370">
            <v>838</v>
          </cell>
          <cell r="H370">
            <v>40000</v>
          </cell>
          <cell r="Q370">
            <v>40000</v>
          </cell>
          <cell r="S370" t="str">
            <v>통내</v>
          </cell>
          <cell r="T370">
            <v>1</v>
          </cell>
        </row>
        <row r="371">
          <cell r="A371">
            <v>369</v>
          </cell>
          <cell r="B371" t="str">
            <v>스피커</v>
          </cell>
          <cell r="C371" t="str">
            <v xml:space="preserve">HORN형 10W  </v>
          </cell>
          <cell r="D371" t="str">
            <v>EA</v>
          </cell>
          <cell r="G371">
            <v>835</v>
          </cell>
          <cell r="H371">
            <v>35200</v>
          </cell>
          <cell r="Q371">
            <v>35200</v>
          </cell>
          <cell r="S371" t="str">
            <v>통내</v>
          </cell>
          <cell r="T371">
            <v>0.6</v>
          </cell>
        </row>
        <row r="372">
          <cell r="A372">
            <v>370</v>
          </cell>
          <cell r="B372" t="str">
            <v>스피커</v>
          </cell>
          <cell r="C372" t="str">
            <v xml:space="preserve">HORN형 30W  </v>
          </cell>
          <cell r="D372" t="str">
            <v>EA</v>
          </cell>
          <cell r="G372">
            <v>835</v>
          </cell>
          <cell r="H372">
            <v>46200</v>
          </cell>
          <cell r="Q372">
            <v>46200</v>
          </cell>
          <cell r="S372" t="str">
            <v>통내</v>
          </cell>
          <cell r="T372">
            <v>1</v>
          </cell>
        </row>
        <row r="373">
          <cell r="A373">
            <v>371</v>
          </cell>
          <cell r="Q373" t="str">
            <v/>
          </cell>
        </row>
        <row r="374">
          <cell r="A374">
            <v>372</v>
          </cell>
          <cell r="Q374" t="str">
            <v/>
          </cell>
        </row>
        <row r="375">
          <cell r="A375">
            <v>373</v>
          </cell>
          <cell r="B375" t="str">
            <v>인터폰</v>
          </cell>
          <cell r="C375" t="str">
            <v>전자연립식20회로</v>
          </cell>
          <cell r="D375" t="str">
            <v>EA</v>
          </cell>
          <cell r="G375">
            <v>861</v>
          </cell>
          <cell r="H375">
            <v>36000</v>
          </cell>
          <cell r="Q375">
            <v>36000</v>
          </cell>
          <cell r="S375" t="str">
            <v>통내</v>
          </cell>
          <cell r="T375">
            <v>1</v>
          </cell>
          <cell r="U375" t="str">
            <v>통설</v>
          </cell>
          <cell r="V375">
            <v>2</v>
          </cell>
        </row>
        <row r="376">
          <cell r="A376">
            <v>374</v>
          </cell>
          <cell r="Q376" t="str">
            <v/>
          </cell>
        </row>
        <row r="377">
          <cell r="A377">
            <v>375</v>
          </cell>
          <cell r="Q377" t="str">
            <v/>
          </cell>
        </row>
        <row r="378">
          <cell r="A378">
            <v>376</v>
          </cell>
          <cell r="B378" t="str">
            <v>차동식 스포트감지기</v>
          </cell>
          <cell r="C378" t="str">
            <v>2종</v>
          </cell>
          <cell r="D378" t="str">
            <v>EA</v>
          </cell>
          <cell r="G378">
            <v>650</v>
          </cell>
          <cell r="H378">
            <v>5000</v>
          </cell>
          <cell r="Q378">
            <v>5000</v>
          </cell>
          <cell r="S378" t="str">
            <v>내선</v>
          </cell>
          <cell r="T378">
            <v>0.14300000000000002</v>
          </cell>
        </row>
        <row r="379">
          <cell r="A379">
            <v>377</v>
          </cell>
          <cell r="B379" t="str">
            <v>광전식 연감지기</v>
          </cell>
          <cell r="C379" t="str">
            <v>비축적형</v>
          </cell>
          <cell r="D379" t="str">
            <v>EA</v>
          </cell>
          <cell r="G379">
            <v>650</v>
          </cell>
          <cell r="H379">
            <v>20000</v>
          </cell>
          <cell r="Q379">
            <v>20000</v>
          </cell>
          <cell r="S379" t="str">
            <v>내선</v>
          </cell>
          <cell r="T379">
            <v>0.14300000000000002</v>
          </cell>
        </row>
        <row r="380">
          <cell r="A380">
            <v>378</v>
          </cell>
          <cell r="B380" t="str">
            <v>정온식감지기</v>
          </cell>
          <cell r="C380" t="str">
            <v>1종</v>
          </cell>
          <cell r="D380" t="str">
            <v>EA</v>
          </cell>
          <cell r="G380">
            <v>650</v>
          </cell>
          <cell r="H380">
            <v>5000</v>
          </cell>
          <cell r="Q380">
            <v>5000</v>
          </cell>
          <cell r="S380" t="str">
            <v>내선</v>
          </cell>
          <cell r="T380">
            <v>0.14300000000000002</v>
          </cell>
        </row>
        <row r="381">
          <cell r="A381">
            <v>379</v>
          </cell>
          <cell r="B381" t="str">
            <v>유도등</v>
          </cell>
          <cell r="C381" t="str">
            <v>통로유도등</v>
          </cell>
          <cell r="D381" t="str">
            <v>EA</v>
          </cell>
          <cell r="G381">
            <v>650</v>
          </cell>
          <cell r="H381">
            <v>27000</v>
          </cell>
          <cell r="Q381">
            <v>27000</v>
          </cell>
          <cell r="S381" t="str">
            <v>내선</v>
          </cell>
          <cell r="T381">
            <v>0.79500000000000004</v>
          </cell>
        </row>
        <row r="382">
          <cell r="A382">
            <v>380</v>
          </cell>
          <cell r="B382" t="str">
            <v>유도등</v>
          </cell>
          <cell r="C382" t="str">
            <v>피난구유도등</v>
          </cell>
          <cell r="D382" t="str">
            <v>EA</v>
          </cell>
          <cell r="G382">
            <v>650</v>
          </cell>
          <cell r="H382">
            <v>25000</v>
          </cell>
          <cell r="Q382">
            <v>25000</v>
          </cell>
          <cell r="S382" t="str">
            <v>내선</v>
          </cell>
          <cell r="T382">
            <v>0.13500000000000001</v>
          </cell>
        </row>
        <row r="383">
          <cell r="A383">
            <v>381</v>
          </cell>
          <cell r="B383" t="str">
            <v>수동발신기</v>
          </cell>
          <cell r="D383" t="str">
            <v>EA</v>
          </cell>
          <cell r="G383">
            <v>650</v>
          </cell>
          <cell r="H383">
            <v>3500</v>
          </cell>
          <cell r="Q383">
            <v>3500</v>
          </cell>
          <cell r="S383" t="str">
            <v>내선</v>
          </cell>
          <cell r="T383">
            <v>0.3</v>
          </cell>
        </row>
        <row r="384">
          <cell r="A384">
            <v>382</v>
          </cell>
          <cell r="B384" t="str">
            <v>경종</v>
          </cell>
          <cell r="D384" t="str">
            <v>EA</v>
          </cell>
          <cell r="G384">
            <v>650</v>
          </cell>
          <cell r="H384">
            <v>5500</v>
          </cell>
          <cell r="Q384">
            <v>5500</v>
          </cell>
          <cell r="S384" t="str">
            <v>내선</v>
          </cell>
          <cell r="T384">
            <v>0.15</v>
          </cell>
        </row>
        <row r="385">
          <cell r="A385">
            <v>383</v>
          </cell>
          <cell r="B385" t="str">
            <v>표시등</v>
          </cell>
          <cell r="D385" t="str">
            <v>EA</v>
          </cell>
          <cell r="G385">
            <v>650</v>
          </cell>
          <cell r="H385">
            <v>1200</v>
          </cell>
          <cell r="Q385">
            <v>1200</v>
          </cell>
          <cell r="S385" t="str">
            <v>내선</v>
          </cell>
          <cell r="T385">
            <v>0.2</v>
          </cell>
        </row>
        <row r="386">
          <cell r="A386">
            <v>384</v>
          </cell>
          <cell r="B386" t="str">
            <v>속보세트 함</v>
          </cell>
          <cell r="D386" t="str">
            <v>EA</v>
          </cell>
          <cell r="K386" t="str">
            <v>동방전자</v>
          </cell>
          <cell r="L386">
            <v>6000</v>
          </cell>
          <cell r="Q386">
            <v>6000</v>
          </cell>
          <cell r="S386" t="str">
            <v>내선</v>
          </cell>
          <cell r="T386">
            <v>0.66</v>
          </cell>
        </row>
        <row r="387">
          <cell r="A387">
            <v>385</v>
          </cell>
          <cell r="Q387" t="str">
            <v/>
          </cell>
        </row>
        <row r="388">
          <cell r="A388">
            <v>386</v>
          </cell>
          <cell r="Q388" t="str">
            <v/>
          </cell>
        </row>
        <row r="389">
          <cell r="A389">
            <v>387</v>
          </cell>
          <cell r="B389" t="str">
            <v>수신기</v>
          </cell>
          <cell r="C389" t="str">
            <v>P형1급   10회로용</v>
          </cell>
          <cell r="D389" t="str">
            <v>set</v>
          </cell>
          <cell r="K389" t="str">
            <v>대우소방</v>
          </cell>
          <cell r="L389">
            <v>280000</v>
          </cell>
          <cell r="M389" t="str">
            <v>대일소방</v>
          </cell>
          <cell r="N389">
            <v>315000</v>
          </cell>
          <cell r="O389" t="str">
            <v>국민소방설비</v>
          </cell>
          <cell r="P389">
            <v>318000</v>
          </cell>
          <cell r="Q389">
            <v>280000</v>
          </cell>
          <cell r="S389" t="str">
            <v>내선</v>
          </cell>
          <cell r="T389">
            <v>9</v>
          </cell>
        </row>
        <row r="390">
          <cell r="A390">
            <v>388</v>
          </cell>
          <cell r="B390" t="str">
            <v>부표시기</v>
          </cell>
          <cell r="C390" t="str">
            <v xml:space="preserve"> 10회로용</v>
          </cell>
          <cell r="D390" t="str">
            <v>대</v>
          </cell>
          <cell r="G390">
            <v>650</v>
          </cell>
          <cell r="H390">
            <v>255000</v>
          </cell>
          <cell r="Q390">
            <v>255000</v>
          </cell>
          <cell r="S390" t="str">
            <v>내선</v>
          </cell>
          <cell r="T390">
            <v>4</v>
          </cell>
        </row>
        <row r="391">
          <cell r="A391">
            <v>389</v>
          </cell>
          <cell r="B391" t="str">
            <v>스프링쿨러수동조작함</v>
          </cell>
          <cell r="D391" t="str">
            <v>EA</v>
          </cell>
          <cell r="G391">
            <v>650</v>
          </cell>
          <cell r="H391">
            <v>30000</v>
          </cell>
          <cell r="Q391">
            <v>30000</v>
          </cell>
          <cell r="S391" t="str">
            <v>내선</v>
          </cell>
          <cell r="T391">
            <v>0.66</v>
          </cell>
        </row>
        <row r="392">
          <cell r="A392">
            <v>390</v>
          </cell>
          <cell r="B392" t="str">
            <v>전자 싸이렌</v>
          </cell>
          <cell r="D392" t="str">
            <v>EA</v>
          </cell>
          <cell r="G392">
            <v>650</v>
          </cell>
          <cell r="H392">
            <v>30000</v>
          </cell>
          <cell r="Q392">
            <v>30000</v>
          </cell>
          <cell r="S392" t="str">
            <v>통내</v>
          </cell>
          <cell r="T392">
            <v>1.6</v>
          </cell>
        </row>
        <row r="393">
          <cell r="A393">
            <v>391</v>
          </cell>
          <cell r="Q393" t="str">
            <v/>
          </cell>
        </row>
        <row r="394">
          <cell r="A394">
            <v>392</v>
          </cell>
          <cell r="Q394" t="str">
            <v/>
          </cell>
        </row>
        <row r="395">
          <cell r="A395">
            <v>393</v>
          </cell>
          <cell r="Q395" t="str">
            <v/>
          </cell>
        </row>
        <row r="396">
          <cell r="A396">
            <v>394</v>
          </cell>
          <cell r="B396" t="str">
            <v>가로등점멸기</v>
          </cell>
          <cell r="C396" t="str">
            <v>상시/격등</v>
          </cell>
          <cell r="D396" t="str">
            <v>대</v>
          </cell>
          <cell r="G396">
            <v>821</v>
          </cell>
          <cell r="H396">
            <v>3280000</v>
          </cell>
          <cell r="Q396">
            <v>3280000</v>
          </cell>
          <cell r="S396" t="str">
            <v>프전</v>
          </cell>
          <cell r="T396">
            <v>5.8</v>
          </cell>
          <cell r="U396" t="str">
            <v>보인</v>
          </cell>
          <cell r="V396">
            <v>1.9</v>
          </cell>
        </row>
        <row r="397">
          <cell r="A397">
            <v>395</v>
          </cell>
          <cell r="B397" t="str">
            <v>차광막</v>
          </cell>
          <cell r="D397" t="str">
            <v>대</v>
          </cell>
          <cell r="G397">
            <v>821</v>
          </cell>
          <cell r="H397">
            <v>150000</v>
          </cell>
          <cell r="Q397">
            <v>150000</v>
          </cell>
        </row>
        <row r="398">
          <cell r="A398">
            <v>396</v>
          </cell>
          <cell r="Q398" t="str">
            <v/>
          </cell>
        </row>
        <row r="399">
          <cell r="A399">
            <v>397</v>
          </cell>
          <cell r="B399" t="str">
            <v>가로등주</v>
          </cell>
          <cell r="C399" t="str">
            <v>8각테퍼7m폴1등용</v>
          </cell>
          <cell r="D399" t="str">
            <v>본</v>
          </cell>
          <cell r="G399">
            <v>825</v>
          </cell>
          <cell r="H399">
            <v>143000</v>
          </cell>
          <cell r="Q399">
            <v>143000</v>
          </cell>
          <cell r="S399" t="str">
            <v>내선</v>
          </cell>
          <cell r="T399">
            <v>2.52</v>
          </cell>
        </row>
        <row r="400">
          <cell r="A400">
            <v>398</v>
          </cell>
          <cell r="B400" t="str">
            <v>가로등주</v>
          </cell>
          <cell r="C400" t="str">
            <v>8각테퍼7m폴2등용</v>
          </cell>
          <cell r="D400" t="str">
            <v>본</v>
          </cell>
          <cell r="Q400">
            <v>0</v>
          </cell>
          <cell r="S400" t="str">
            <v>내선</v>
          </cell>
          <cell r="T400">
            <v>2.9</v>
          </cell>
        </row>
        <row r="401">
          <cell r="A401">
            <v>399</v>
          </cell>
          <cell r="B401" t="str">
            <v>가로등주</v>
          </cell>
          <cell r="C401" t="str">
            <v>8각테퍼8m폴1등용</v>
          </cell>
          <cell r="D401" t="str">
            <v>본</v>
          </cell>
          <cell r="G401">
            <v>825</v>
          </cell>
          <cell r="H401">
            <v>152000</v>
          </cell>
          <cell r="Q401">
            <v>152000</v>
          </cell>
          <cell r="S401" t="str">
            <v>내선</v>
          </cell>
          <cell r="T401">
            <v>2.76</v>
          </cell>
        </row>
        <row r="402">
          <cell r="A402">
            <v>400</v>
          </cell>
          <cell r="B402" t="str">
            <v>가로등주</v>
          </cell>
          <cell r="C402" t="str">
            <v>8각테퍼8m폴2등용</v>
          </cell>
          <cell r="D402" t="str">
            <v>본</v>
          </cell>
          <cell r="Q402">
            <v>0</v>
          </cell>
          <cell r="S402" t="str">
            <v>내선</v>
          </cell>
          <cell r="T402">
            <v>3.08</v>
          </cell>
        </row>
        <row r="403">
          <cell r="A403">
            <v>401</v>
          </cell>
          <cell r="B403" t="str">
            <v>가로등주</v>
          </cell>
          <cell r="C403" t="str">
            <v>8각테퍼8.5m폴1등용</v>
          </cell>
          <cell r="D403" t="str">
            <v>본</v>
          </cell>
          <cell r="G403">
            <v>825</v>
          </cell>
          <cell r="H403">
            <v>157000</v>
          </cell>
          <cell r="K403" t="str">
            <v>조일조명(10/28)</v>
          </cell>
          <cell r="L403">
            <v>195000</v>
          </cell>
          <cell r="Q403">
            <v>157000</v>
          </cell>
          <cell r="S403" t="str">
            <v>내선</v>
          </cell>
          <cell r="T403">
            <v>3.13</v>
          </cell>
        </row>
        <row r="404">
          <cell r="A404">
            <v>402</v>
          </cell>
          <cell r="B404" t="str">
            <v>가로등주</v>
          </cell>
          <cell r="C404" t="str">
            <v>8각테퍼8.5m폴2등용</v>
          </cell>
          <cell r="D404" t="str">
            <v>본</v>
          </cell>
          <cell r="Q404">
            <v>0</v>
          </cell>
          <cell r="S404" t="str">
            <v>내선</v>
          </cell>
          <cell r="T404">
            <v>3.37</v>
          </cell>
        </row>
        <row r="405">
          <cell r="A405">
            <v>403</v>
          </cell>
          <cell r="B405" t="str">
            <v>가로등주</v>
          </cell>
          <cell r="C405" t="str">
            <v>8각테퍼9m폴1등용</v>
          </cell>
          <cell r="D405" t="str">
            <v>본</v>
          </cell>
          <cell r="G405">
            <v>825</v>
          </cell>
          <cell r="H405">
            <v>200000</v>
          </cell>
          <cell r="Q405">
            <v>200000</v>
          </cell>
          <cell r="S405" t="str">
            <v>내선</v>
          </cell>
          <cell r="T405">
            <v>3.13</v>
          </cell>
        </row>
        <row r="406">
          <cell r="A406">
            <v>404</v>
          </cell>
          <cell r="B406" t="str">
            <v>가로등주</v>
          </cell>
          <cell r="C406" t="str">
            <v>8각테퍼9m폴2등용</v>
          </cell>
          <cell r="D406" t="str">
            <v>본</v>
          </cell>
          <cell r="Q406">
            <v>0</v>
          </cell>
          <cell r="S406" t="str">
            <v>내선</v>
          </cell>
          <cell r="T406">
            <v>3.37</v>
          </cell>
        </row>
        <row r="407">
          <cell r="A407">
            <v>405</v>
          </cell>
          <cell r="B407" t="str">
            <v>가로등주</v>
          </cell>
          <cell r="C407" t="str">
            <v>8각테퍼10m폴1등용</v>
          </cell>
          <cell r="D407" t="str">
            <v>본</v>
          </cell>
          <cell r="G407">
            <v>825</v>
          </cell>
          <cell r="H407">
            <v>211000</v>
          </cell>
          <cell r="Q407">
            <v>211000</v>
          </cell>
          <cell r="S407" t="str">
            <v>내선</v>
          </cell>
          <cell r="T407">
            <v>3.49</v>
          </cell>
        </row>
        <row r="408">
          <cell r="A408">
            <v>406</v>
          </cell>
          <cell r="B408" t="str">
            <v>가로등주</v>
          </cell>
          <cell r="C408" t="str">
            <v>8각테퍼10m폴2등용</v>
          </cell>
          <cell r="D408" t="str">
            <v>본</v>
          </cell>
          <cell r="Q408">
            <v>0</v>
          </cell>
          <cell r="S408" t="str">
            <v>내선</v>
          </cell>
          <cell r="T408">
            <v>3.7</v>
          </cell>
        </row>
        <row r="409">
          <cell r="A409">
            <v>407</v>
          </cell>
          <cell r="B409" t="str">
            <v>가로등주</v>
          </cell>
          <cell r="C409" t="str">
            <v>8각테퍼11m폴1등용</v>
          </cell>
          <cell r="D409" t="str">
            <v>본</v>
          </cell>
          <cell r="G409">
            <v>825</v>
          </cell>
          <cell r="H409">
            <v>225000</v>
          </cell>
          <cell r="Q409">
            <v>225000</v>
          </cell>
          <cell r="S409" t="str">
            <v>내선</v>
          </cell>
          <cell r="T409">
            <v>4.1900000000000004</v>
          </cell>
        </row>
        <row r="410">
          <cell r="A410">
            <v>408</v>
          </cell>
          <cell r="B410" t="str">
            <v>가로등주</v>
          </cell>
          <cell r="C410" t="str">
            <v>8각테퍼11m폴2등용</v>
          </cell>
          <cell r="D410" t="str">
            <v>본</v>
          </cell>
          <cell r="Q410">
            <v>0</v>
          </cell>
          <cell r="S410" t="str">
            <v>내선</v>
          </cell>
          <cell r="T410">
            <v>4.4000000000000004</v>
          </cell>
        </row>
        <row r="411">
          <cell r="A411">
            <v>409</v>
          </cell>
          <cell r="B411" t="str">
            <v>가로등주</v>
          </cell>
          <cell r="C411" t="str">
            <v>주철 10m폴2등용</v>
          </cell>
          <cell r="D411" t="str">
            <v>본</v>
          </cell>
          <cell r="K411" t="str">
            <v>(주) 보명</v>
          </cell>
          <cell r="L411">
            <v>1284000</v>
          </cell>
          <cell r="Q411">
            <v>1284000</v>
          </cell>
          <cell r="S411" t="str">
            <v>내선</v>
          </cell>
          <cell r="T411">
            <v>3.7</v>
          </cell>
        </row>
        <row r="412">
          <cell r="A412">
            <v>410</v>
          </cell>
          <cell r="B412" t="str">
            <v>가로등 NH등기구</v>
          </cell>
          <cell r="C412" t="str">
            <v>세종로대형</v>
          </cell>
          <cell r="D412" t="str">
            <v>EA</v>
          </cell>
          <cell r="G412">
            <v>810</v>
          </cell>
          <cell r="H412">
            <v>63000</v>
          </cell>
          <cell r="Q412">
            <v>63000</v>
          </cell>
        </row>
        <row r="413">
          <cell r="A413">
            <v>411</v>
          </cell>
          <cell r="B413" t="str">
            <v>가로등 NH등기구</v>
          </cell>
          <cell r="C413" t="str">
            <v>세종로소형</v>
          </cell>
          <cell r="D413" t="str">
            <v>EA</v>
          </cell>
          <cell r="G413">
            <v>810</v>
          </cell>
          <cell r="H413">
            <v>54000</v>
          </cell>
          <cell r="Q413">
            <v>54000</v>
          </cell>
        </row>
        <row r="414">
          <cell r="A414">
            <v>412</v>
          </cell>
          <cell r="B414" t="str">
            <v>고압나트륨등기구</v>
          </cell>
          <cell r="C414" t="str">
            <v xml:space="preserve">NH250W  </v>
          </cell>
          <cell r="D414" t="str">
            <v>EA</v>
          </cell>
          <cell r="G414">
            <v>810</v>
          </cell>
          <cell r="H414">
            <v>63000</v>
          </cell>
          <cell r="Q414">
            <v>63000</v>
          </cell>
          <cell r="S414" t="str">
            <v>내선</v>
          </cell>
          <cell r="T414">
            <v>0.495</v>
          </cell>
        </row>
        <row r="415">
          <cell r="A415">
            <v>413</v>
          </cell>
          <cell r="B415" t="str">
            <v>고압나트륨등기구</v>
          </cell>
          <cell r="C415" t="str">
            <v>NH400W</v>
          </cell>
          <cell r="D415" t="str">
            <v>EA</v>
          </cell>
          <cell r="G415">
            <v>810</v>
          </cell>
          <cell r="H415">
            <v>63000</v>
          </cell>
          <cell r="Q415">
            <v>63000</v>
          </cell>
          <cell r="S415" t="str">
            <v>내선</v>
          </cell>
          <cell r="T415">
            <v>0.53</v>
          </cell>
        </row>
        <row r="416">
          <cell r="A416">
            <v>414</v>
          </cell>
          <cell r="B416" t="str">
            <v>터널등기구(AL판)</v>
          </cell>
          <cell r="C416" t="str">
            <v>NXT 35W</v>
          </cell>
          <cell r="D416" t="str">
            <v>EA</v>
          </cell>
          <cell r="G416">
            <v>810</v>
          </cell>
          <cell r="H416">
            <v>67500</v>
          </cell>
          <cell r="Q416">
            <v>67500</v>
          </cell>
          <cell r="S416" t="str">
            <v>내선</v>
          </cell>
          <cell r="T416">
            <v>0.38</v>
          </cell>
        </row>
        <row r="417">
          <cell r="A417">
            <v>415</v>
          </cell>
          <cell r="B417" t="str">
            <v>터널등기구(AL판)</v>
          </cell>
          <cell r="C417" t="str">
            <v>NXT 90W</v>
          </cell>
          <cell r="D417" t="str">
            <v>EA</v>
          </cell>
          <cell r="G417">
            <v>810</v>
          </cell>
          <cell r="H417">
            <v>88000</v>
          </cell>
          <cell r="Q417">
            <v>88000</v>
          </cell>
          <cell r="S417" t="str">
            <v>내선</v>
          </cell>
          <cell r="T417">
            <v>0.38</v>
          </cell>
        </row>
        <row r="418">
          <cell r="A418">
            <v>416</v>
          </cell>
          <cell r="B418" t="str">
            <v>터널등기구(AL판)</v>
          </cell>
          <cell r="C418" t="str">
            <v>NXT 135W</v>
          </cell>
          <cell r="D418" t="str">
            <v>EA</v>
          </cell>
          <cell r="G418">
            <v>810</v>
          </cell>
          <cell r="H418">
            <v>113000</v>
          </cell>
          <cell r="Q418">
            <v>113000</v>
          </cell>
          <cell r="S418" t="str">
            <v>내선</v>
          </cell>
          <cell r="T418">
            <v>0.44</v>
          </cell>
        </row>
        <row r="419">
          <cell r="A419">
            <v>417</v>
          </cell>
          <cell r="B419" t="str">
            <v>터널등기구(AL판)</v>
          </cell>
          <cell r="C419" t="str">
            <v>NXT 180W</v>
          </cell>
          <cell r="D419" t="str">
            <v>EA</v>
          </cell>
          <cell r="G419">
            <v>810</v>
          </cell>
          <cell r="H419">
            <v>135000</v>
          </cell>
          <cell r="Q419">
            <v>135000</v>
          </cell>
          <cell r="S419" t="str">
            <v>내선</v>
          </cell>
          <cell r="T419">
            <v>0.44</v>
          </cell>
        </row>
        <row r="420">
          <cell r="A420">
            <v>418</v>
          </cell>
          <cell r="B420" t="str">
            <v>내압방폭백열등</v>
          </cell>
          <cell r="C420" t="str">
            <v>IL 220V/200W</v>
          </cell>
          <cell r="D420" t="str">
            <v>EA</v>
          </cell>
          <cell r="G420">
            <v>818</v>
          </cell>
          <cell r="H420">
            <v>90450</v>
          </cell>
          <cell r="Q420">
            <v>90450</v>
          </cell>
          <cell r="S420" t="str">
            <v>내선</v>
          </cell>
          <cell r="T420">
            <v>0.38</v>
          </cell>
        </row>
        <row r="421">
          <cell r="A421">
            <v>419</v>
          </cell>
          <cell r="Q421" t="str">
            <v/>
          </cell>
        </row>
        <row r="422">
          <cell r="A422">
            <v>420</v>
          </cell>
          <cell r="Q422" t="str">
            <v/>
          </cell>
        </row>
        <row r="423">
          <cell r="A423">
            <v>421</v>
          </cell>
          <cell r="B423" t="str">
            <v>고압나트륨램프</v>
          </cell>
          <cell r="C423" t="str">
            <v>NH  150W</v>
          </cell>
          <cell r="D423" t="str">
            <v>EA</v>
          </cell>
          <cell r="G423">
            <v>814</v>
          </cell>
          <cell r="H423">
            <v>12000</v>
          </cell>
          <cell r="Q423">
            <v>12000</v>
          </cell>
        </row>
        <row r="424">
          <cell r="A424">
            <v>422</v>
          </cell>
          <cell r="B424" t="str">
            <v>고압나트륨램프</v>
          </cell>
          <cell r="C424" t="str">
            <v>NH  250W</v>
          </cell>
          <cell r="D424" t="str">
            <v>EA</v>
          </cell>
          <cell r="G424">
            <v>814</v>
          </cell>
          <cell r="H424">
            <v>12500</v>
          </cell>
          <cell r="Q424">
            <v>12500</v>
          </cell>
        </row>
        <row r="425">
          <cell r="A425">
            <v>423</v>
          </cell>
          <cell r="B425" t="str">
            <v>고압나트륨램프</v>
          </cell>
          <cell r="C425" t="str">
            <v>NH  400W</v>
          </cell>
          <cell r="D425" t="str">
            <v>EA</v>
          </cell>
          <cell r="G425">
            <v>814</v>
          </cell>
          <cell r="H425">
            <v>16000</v>
          </cell>
          <cell r="Q425">
            <v>16000</v>
          </cell>
        </row>
        <row r="426">
          <cell r="A426">
            <v>424</v>
          </cell>
          <cell r="Q426" t="str">
            <v/>
          </cell>
        </row>
        <row r="427">
          <cell r="A427">
            <v>425</v>
          </cell>
          <cell r="Q427" t="str">
            <v/>
          </cell>
        </row>
        <row r="428">
          <cell r="A428">
            <v>426</v>
          </cell>
          <cell r="B428" t="str">
            <v>고압나트륨안정기</v>
          </cell>
          <cell r="C428" t="str">
            <v>220V/150W</v>
          </cell>
          <cell r="D428" t="str">
            <v>EA</v>
          </cell>
          <cell r="G428">
            <v>814</v>
          </cell>
          <cell r="H428">
            <v>18000</v>
          </cell>
          <cell r="Q428">
            <v>18000</v>
          </cell>
        </row>
        <row r="429">
          <cell r="A429">
            <v>427</v>
          </cell>
          <cell r="B429" t="str">
            <v>고압나트륨안정기</v>
          </cell>
          <cell r="C429" t="str">
            <v>220V/250W</v>
          </cell>
          <cell r="D429" t="str">
            <v>EA</v>
          </cell>
          <cell r="G429">
            <v>814</v>
          </cell>
          <cell r="H429">
            <v>22000</v>
          </cell>
          <cell r="Q429">
            <v>22000</v>
          </cell>
        </row>
        <row r="430">
          <cell r="A430">
            <v>428</v>
          </cell>
          <cell r="B430" t="str">
            <v>고압나트륨안정기</v>
          </cell>
          <cell r="C430" t="str">
            <v>220V/400W</v>
          </cell>
          <cell r="D430" t="str">
            <v>EA</v>
          </cell>
          <cell r="G430">
            <v>814</v>
          </cell>
          <cell r="H430">
            <v>24000</v>
          </cell>
          <cell r="Q430">
            <v>24000</v>
          </cell>
        </row>
        <row r="431">
          <cell r="A431">
            <v>429</v>
          </cell>
          <cell r="Q431" t="str">
            <v/>
          </cell>
        </row>
        <row r="432">
          <cell r="A432">
            <v>430</v>
          </cell>
          <cell r="Q432" t="str">
            <v/>
          </cell>
        </row>
        <row r="433">
          <cell r="A433">
            <v>431</v>
          </cell>
          <cell r="B433" t="str">
            <v>저압나트륨램프</v>
          </cell>
          <cell r="C433" t="str">
            <v>NXT 36W</v>
          </cell>
          <cell r="D433" t="str">
            <v>EA</v>
          </cell>
          <cell r="G433">
            <v>814</v>
          </cell>
          <cell r="H433">
            <v>28000</v>
          </cell>
          <cell r="Q433">
            <v>28000</v>
          </cell>
        </row>
        <row r="434">
          <cell r="A434">
            <v>432</v>
          </cell>
          <cell r="B434" t="str">
            <v>저압나트륨램프</v>
          </cell>
          <cell r="C434" t="str">
            <v>NXT 66W</v>
          </cell>
          <cell r="D434" t="str">
            <v>EA</v>
          </cell>
          <cell r="G434">
            <v>814</v>
          </cell>
          <cell r="H434">
            <v>32000</v>
          </cell>
          <cell r="Q434">
            <v>32000</v>
          </cell>
        </row>
        <row r="435">
          <cell r="A435">
            <v>433</v>
          </cell>
          <cell r="B435" t="str">
            <v>저압나트륨램프</v>
          </cell>
          <cell r="C435" t="str">
            <v>NXT 91W</v>
          </cell>
          <cell r="D435" t="str">
            <v>EA</v>
          </cell>
          <cell r="G435">
            <v>814</v>
          </cell>
          <cell r="H435">
            <v>38000</v>
          </cell>
          <cell r="Q435">
            <v>38000</v>
          </cell>
        </row>
        <row r="436">
          <cell r="A436">
            <v>434</v>
          </cell>
          <cell r="B436" t="str">
            <v>저압나트륨램프</v>
          </cell>
          <cell r="C436" t="str">
            <v>NXT 131W</v>
          </cell>
          <cell r="D436" t="str">
            <v>EA</v>
          </cell>
          <cell r="G436">
            <v>814</v>
          </cell>
          <cell r="H436">
            <v>50000</v>
          </cell>
          <cell r="Q436">
            <v>50000</v>
          </cell>
        </row>
        <row r="437">
          <cell r="A437">
            <v>435</v>
          </cell>
          <cell r="Q437" t="str">
            <v/>
          </cell>
        </row>
        <row r="438">
          <cell r="A438">
            <v>436</v>
          </cell>
          <cell r="Q438" t="str">
            <v/>
          </cell>
        </row>
        <row r="439">
          <cell r="A439">
            <v>437</v>
          </cell>
          <cell r="B439" t="str">
            <v>저압나트륨안정기</v>
          </cell>
          <cell r="C439" t="str">
            <v>NXT 36W</v>
          </cell>
          <cell r="D439" t="str">
            <v>EA</v>
          </cell>
          <cell r="G439">
            <v>814</v>
          </cell>
          <cell r="H439">
            <v>29000</v>
          </cell>
          <cell r="Q439">
            <v>29000</v>
          </cell>
        </row>
        <row r="440">
          <cell r="A440">
            <v>438</v>
          </cell>
          <cell r="B440" t="str">
            <v>저압나트륨안정기</v>
          </cell>
          <cell r="C440" t="str">
            <v>NXT 66W</v>
          </cell>
          <cell r="D440" t="str">
            <v>EA</v>
          </cell>
          <cell r="G440">
            <v>814</v>
          </cell>
          <cell r="H440">
            <v>32000</v>
          </cell>
          <cell r="Q440">
            <v>32000</v>
          </cell>
        </row>
        <row r="441">
          <cell r="A441">
            <v>439</v>
          </cell>
          <cell r="B441" t="str">
            <v>저압나트륨안정기</v>
          </cell>
          <cell r="C441" t="str">
            <v>NXT 91W</v>
          </cell>
          <cell r="D441" t="str">
            <v>EA</v>
          </cell>
          <cell r="G441">
            <v>814</v>
          </cell>
          <cell r="H441">
            <v>35000</v>
          </cell>
          <cell r="Q441">
            <v>35000</v>
          </cell>
        </row>
        <row r="442">
          <cell r="A442">
            <v>440</v>
          </cell>
          <cell r="B442" t="str">
            <v>저압나트륨안정기</v>
          </cell>
          <cell r="C442" t="str">
            <v>NXT 131W</v>
          </cell>
          <cell r="D442" t="str">
            <v>EA</v>
          </cell>
          <cell r="G442">
            <v>814</v>
          </cell>
          <cell r="H442">
            <v>38000</v>
          </cell>
          <cell r="Q442">
            <v>38000</v>
          </cell>
        </row>
        <row r="443">
          <cell r="A443">
            <v>441</v>
          </cell>
          <cell r="Q443" t="str">
            <v/>
          </cell>
        </row>
        <row r="444">
          <cell r="A444">
            <v>442</v>
          </cell>
          <cell r="Q444" t="str">
            <v/>
          </cell>
        </row>
        <row r="445">
          <cell r="A445">
            <v>443</v>
          </cell>
          <cell r="Q445" t="str">
            <v/>
          </cell>
        </row>
        <row r="446">
          <cell r="A446">
            <v>444</v>
          </cell>
          <cell r="B446" t="str">
            <v>STRAIGHT TRAY(H.D.G)</v>
          </cell>
          <cell r="C446" t="str">
            <v>150W×100H</v>
          </cell>
          <cell r="D446" t="str">
            <v>m</v>
          </cell>
          <cell r="G446">
            <v>753</v>
          </cell>
          <cell r="H446">
            <v>8700</v>
          </cell>
          <cell r="Q446">
            <v>8700</v>
          </cell>
          <cell r="S446" t="str">
            <v>내선</v>
          </cell>
          <cell r="T446">
            <v>0.22500000000000001</v>
          </cell>
          <cell r="Y446" t="str">
            <v>4m이상: 20%증</v>
          </cell>
        </row>
        <row r="447">
          <cell r="A447">
            <v>445</v>
          </cell>
          <cell r="B447" t="str">
            <v>STRAIGHT TRAY(H.D.G)</v>
          </cell>
          <cell r="C447" t="str">
            <v>150W×150H</v>
          </cell>
          <cell r="D447" t="str">
            <v>m</v>
          </cell>
          <cell r="G447">
            <v>753</v>
          </cell>
          <cell r="H447">
            <v>11600</v>
          </cell>
          <cell r="Q447">
            <v>11600</v>
          </cell>
          <cell r="S447" t="str">
            <v>내선</v>
          </cell>
          <cell r="T447">
            <v>0.22500000000000001</v>
          </cell>
        </row>
        <row r="448">
          <cell r="A448">
            <v>446</v>
          </cell>
          <cell r="B448" t="str">
            <v>STRAIGHT TRAY(H.D.G)</v>
          </cell>
          <cell r="C448" t="str">
            <v>200W×100H</v>
          </cell>
          <cell r="D448" t="str">
            <v>m</v>
          </cell>
          <cell r="G448">
            <v>753</v>
          </cell>
          <cell r="H448">
            <v>9000</v>
          </cell>
          <cell r="Q448">
            <v>9000</v>
          </cell>
          <cell r="S448" t="str">
            <v>내선</v>
          </cell>
          <cell r="T448">
            <v>0.22500000000000001</v>
          </cell>
        </row>
        <row r="449">
          <cell r="A449">
            <v>447</v>
          </cell>
          <cell r="B449" t="str">
            <v>STRAIGHT TRAY(H.D.G)</v>
          </cell>
          <cell r="C449" t="str">
            <v>200W×150H</v>
          </cell>
          <cell r="D449" t="str">
            <v>m</v>
          </cell>
          <cell r="G449">
            <v>753</v>
          </cell>
          <cell r="H449">
            <v>11900</v>
          </cell>
          <cell r="Q449">
            <v>11900</v>
          </cell>
          <cell r="S449" t="str">
            <v>내선</v>
          </cell>
          <cell r="T449">
            <v>0.22500000000000001</v>
          </cell>
        </row>
        <row r="450">
          <cell r="A450">
            <v>448</v>
          </cell>
          <cell r="B450" t="str">
            <v>STRAIGHT TRAY(H.D.G)</v>
          </cell>
          <cell r="C450" t="str">
            <v>300W×100H</v>
          </cell>
          <cell r="D450" t="str">
            <v>m</v>
          </cell>
          <cell r="G450">
            <v>753</v>
          </cell>
          <cell r="H450">
            <v>9600</v>
          </cell>
          <cell r="Q450">
            <v>9600</v>
          </cell>
          <cell r="S450" t="str">
            <v>내선</v>
          </cell>
          <cell r="T450">
            <v>0.28499999999999998</v>
          </cell>
        </row>
        <row r="451">
          <cell r="A451">
            <v>449</v>
          </cell>
          <cell r="B451" t="str">
            <v>STRAIGHT TRAY(H.D.G)</v>
          </cell>
          <cell r="C451" t="str">
            <v>300W×150H</v>
          </cell>
          <cell r="D451" t="str">
            <v>m</v>
          </cell>
          <cell r="G451">
            <v>753</v>
          </cell>
          <cell r="H451">
            <v>12600</v>
          </cell>
          <cell r="Q451">
            <v>12600</v>
          </cell>
          <cell r="S451" t="str">
            <v>내선</v>
          </cell>
          <cell r="T451">
            <v>0.28499999999999998</v>
          </cell>
        </row>
        <row r="452">
          <cell r="A452">
            <v>450</v>
          </cell>
          <cell r="B452" t="str">
            <v>STRAIGHT TRAY(H.D.G)</v>
          </cell>
          <cell r="C452" t="str">
            <v>400W×100H</v>
          </cell>
          <cell r="D452" t="str">
            <v>m</v>
          </cell>
          <cell r="G452">
            <v>753</v>
          </cell>
          <cell r="H452">
            <v>10200</v>
          </cell>
          <cell r="Q452">
            <v>10200</v>
          </cell>
          <cell r="S452" t="str">
            <v>내선</v>
          </cell>
          <cell r="T452">
            <v>0.33500000000000002</v>
          </cell>
        </row>
        <row r="453">
          <cell r="A453">
            <v>451</v>
          </cell>
          <cell r="B453" t="str">
            <v>STRAIGHT TRAY(H.D.G)</v>
          </cell>
          <cell r="C453" t="str">
            <v>400W×150H</v>
          </cell>
          <cell r="D453" t="str">
            <v>m</v>
          </cell>
          <cell r="G453">
            <v>753</v>
          </cell>
          <cell r="H453">
            <v>13200</v>
          </cell>
          <cell r="Q453">
            <v>13200</v>
          </cell>
          <cell r="S453" t="str">
            <v>내선</v>
          </cell>
          <cell r="T453">
            <v>0.33500000000000002</v>
          </cell>
        </row>
        <row r="454">
          <cell r="A454">
            <v>452</v>
          </cell>
          <cell r="B454" t="str">
            <v>STRAIGHT TRAY(H.D.G)</v>
          </cell>
          <cell r="C454" t="str">
            <v>500W×100H</v>
          </cell>
          <cell r="D454" t="str">
            <v>m</v>
          </cell>
          <cell r="G454">
            <v>753</v>
          </cell>
          <cell r="H454">
            <v>10800</v>
          </cell>
          <cell r="Q454">
            <v>10800</v>
          </cell>
          <cell r="S454" t="str">
            <v>내선</v>
          </cell>
          <cell r="T454">
            <v>0.44500000000000001</v>
          </cell>
        </row>
        <row r="455">
          <cell r="A455">
            <v>453</v>
          </cell>
          <cell r="B455" t="str">
            <v>STRAIGHT TRAY(H.D.G)</v>
          </cell>
          <cell r="C455" t="str">
            <v>500W×150H</v>
          </cell>
          <cell r="D455" t="str">
            <v>m</v>
          </cell>
          <cell r="G455">
            <v>753</v>
          </cell>
          <cell r="H455">
            <v>13800</v>
          </cell>
          <cell r="Q455">
            <v>13800</v>
          </cell>
          <cell r="S455" t="str">
            <v>내선</v>
          </cell>
          <cell r="T455">
            <v>0.44500000000000001</v>
          </cell>
        </row>
        <row r="456">
          <cell r="A456">
            <v>454</v>
          </cell>
          <cell r="B456" t="str">
            <v>STRAIGHT TRAY(H.D.G)</v>
          </cell>
          <cell r="C456" t="str">
            <v>600W×100H</v>
          </cell>
          <cell r="D456" t="str">
            <v>m</v>
          </cell>
          <cell r="G456">
            <v>753</v>
          </cell>
          <cell r="H456">
            <v>11500</v>
          </cell>
          <cell r="Q456">
            <v>11500</v>
          </cell>
          <cell r="S456" t="str">
            <v>내선</v>
          </cell>
          <cell r="T456">
            <v>0.52</v>
          </cell>
        </row>
        <row r="457">
          <cell r="A457">
            <v>455</v>
          </cell>
          <cell r="B457" t="str">
            <v>STRAIGHT TRAY(H.D.G)</v>
          </cell>
          <cell r="C457" t="str">
            <v>600W×150H</v>
          </cell>
          <cell r="D457" t="str">
            <v>m</v>
          </cell>
          <cell r="G457">
            <v>753</v>
          </cell>
          <cell r="H457">
            <v>14400</v>
          </cell>
          <cell r="Q457">
            <v>14400</v>
          </cell>
          <cell r="S457" t="str">
            <v>내선</v>
          </cell>
          <cell r="T457">
            <v>0.52</v>
          </cell>
        </row>
        <row r="458">
          <cell r="A458">
            <v>456</v>
          </cell>
          <cell r="Q458" t="str">
            <v/>
          </cell>
        </row>
        <row r="459">
          <cell r="A459">
            <v>457</v>
          </cell>
          <cell r="B459" t="str">
            <v>HOR-ELBOW (H.D.G)</v>
          </cell>
          <cell r="C459" t="str">
            <v>150W×100H</v>
          </cell>
          <cell r="D459" t="str">
            <v>EA</v>
          </cell>
          <cell r="G459">
            <v>753</v>
          </cell>
          <cell r="H459">
            <v>10300</v>
          </cell>
          <cell r="Q459">
            <v>10300</v>
          </cell>
          <cell r="S459" t="str">
            <v>내선</v>
          </cell>
          <cell r="T459">
            <v>0.22500000000000001</v>
          </cell>
        </row>
        <row r="460">
          <cell r="A460">
            <v>458</v>
          </cell>
          <cell r="B460" t="str">
            <v>HOR-ELBOW (H.D.G)</v>
          </cell>
          <cell r="C460" t="str">
            <v>150W×150H</v>
          </cell>
          <cell r="D460" t="str">
            <v>EA</v>
          </cell>
          <cell r="G460">
            <v>753</v>
          </cell>
          <cell r="H460">
            <v>13700</v>
          </cell>
          <cell r="Q460">
            <v>13700</v>
          </cell>
          <cell r="S460" t="str">
            <v>내선</v>
          </cell>
          <cell r="T460">
            <v>0.22500000000000001</v>
          </cell>
        </row>
        <row r="461">
          <cell r="A461">
            <v>459</v>
          </cell>
          <cell r="B461" t="str">
            <v>HOR-ELBOW (H.D.G)</v>
          </cell>
          <cell r="C461" t="str">
            <v>200W×100H</v>
          </cell>
          <cell r="D461" t="str">
            <v>EA</v>
          </cell>
          <cell r="G461">
            <v>753</v>
          </cell>
          <cell r="H461">
            <v>11100</v>
          </cell>
          <cell r="Q461">
            <v>11100</v>
          </cell>
          <cell r="S461" t="str">
            <v>내선</v>
          </cell>
          <cell r="T461">
            <v>0.22500000000000001</v>
          </cell>
        </row>
        <row r="462">
          <cell r="A462">
            <v>460</v>
          </cell>
          <cell r="B462" t="str">
            <v>HOR-ELBOW (H.D.G)</v>
          </cell>
          <cell r="C462" t="str">
            <v>200W×150H</v>
          </cell>
          <cell r="D462" t="str">
            <v>EA</v>
          </cell>
          <cell r="G462">
            <v>753</v>
          </cell>
          <cell r="H462">
            <v>14700</v>
          </cell>
          <cell r="Q462">
            <v>14700</v>
          </cell>
          <cell r="S462" t="str">
            <v>내선</v>
          </cell>
          <cell r="T462">
            <v>0.22500000000000001</v>
          </cell>
        </row>
        <row r="463">
          <cell r="A463">
            <v>461</v>
          </cell>
          <cell r="B463" t="str">
            <v>HOR-ELBOW (H.D.G)</v>
          </cell>
          <cell r="C463" t="str">
            <v>300W×100H</v>
          </cell>
          <cell r="D463" t="str">
            <v>EA</v>
          </cell>
          <cell r="G463">
            <v>753</v>
          </cell>
          <cell r="H463">
            <v>12800</v>
          </cell>
          <cell r="Q463">
            <v>12800</v>
          </cell>
          <cell r="S463" t="str">
            <v>내선</v>
          </cell>
          <cell r="T463">
            <v>0.28499999999999998</v>
          </cell>
        </row>
        <row r="464">
          <cell r="A464">
            <v>462</v>
          </cell>
          <cell r="B464" t="str">
            <v>HOR-ELBOW (H.D.G)</v>
          </cell>
          <cell r="C464" t="str">
            <v>300W×150H</v>
          </cell>
          <cell r="D464" t="str">
            <v>EA</v>
          </cell>
          <cell r="G464">
            <v>753</v>
          </cell>
          <cell r="H464">
            <v>16800</v>
          </cell>
          <cell r="Q464">
            <v>16800</v>
          </cell>
          <cell r="S464" t="str">
            <v>내선</v>
          </cell>
          <cell r="T464">
            <v>0.28499999999999998</v>
          </cell>
        </row>
        <row r="465">
          <cell r="A465">
            <v>463</v>
          </cell>
          <cell r="B465" t="str">
            <v>HOR-ELBOW (H.D.G)</v>
          </cell>
          <cell r="C465" t="str">
            <v>400W×100H</v>
          </cell>
          <cell r="D465" t="str">
            <v>EA</v>
          </cell>
          <cell r="G465">
            <v>753</v>
          </cell>
          <cell r="H465">
            <v>14500</v>
          </cell>
          <cell r="Q465">
            <v>14500</v>
          </cell>
          <cell r="S465" t="str">
            <v>내선</v>
          </cell>
          <cell r="T465">
            <v>0.33500000000000002</v>
          </cell>
        </row>
        <row r="466">
          <cell r="A466">
            <v>464</v>
          </cell>
          <cell r="B466" t="str">
            <v>HOR-ELBOW (H.D.G)</v>
          </cell>
          <cell r="C466" t="str">
            <v>400W×150H</v>
          </cell>
          <cell r="D466" t="str">
            <v>EA</v>
          </cell>
          <cell r="G466">
            <v>753</v>
          </cell>
          <cell r="H466">
            <v>18800</v>
          </cell>
          <cell r="Q466">
            <v>18800</v>
          </cell>
          <cell r="S466" t="str">
            <v>내선</v>
          </cell>
          <cell r="T466">
            <v>0.33500000000000002</v>
          </cell>
        </row>
        <row r="467">
          <cell r="A467">
            <v>465</v>
          </cell>
          <cell r="B467" t="str">
            <v>HOR-ELBOW (H.D.G)</v>
          </cell>
          <cell r="C467" t="str">
            <v>500W×100H</v>
          </cell>
          <cell r="D467" t="str">
            <v>EA</v>
          </cell>
          <cell r="G467">
            <v>753</v>
          </cell>
          <cell r="H467">
            <v>16200</v>
          </cell>
          <cell r="Q467">
            <v>16200</v>
          </cell>
          <cell r="S467" t="str">
            <v>내선</v>
          </cell>
          <cell r="T467">
            <v>0.44500000000000001</v>
          </cell>
        </row>
        <row r="468">
          <cell r="A468">
            <v>466</v>
          </cell>
          <cell r="B468" t="str">
            <v>HOR-ELBOW (H.D.G)</v>
          </cell>
          <cell r="C468" t="str">
            <v>500W×150H</v>
          </cell>
          <cell r="D468" t="str">
            <v>EA</v>
          </cell>
          <cell r="G468">
            <v>753</v>
          </cell>
          <cell r="H468">
            <v>20800</v>
          </cell>
          <cell r="Q468">
            <v>20800</v>
          </cell>
          <cell r="S468" t="str">
            <v>내선</v>
          </cell>
          <cell r="T468">
            <v>0.44500000000000001</v>
          </cell>
        </row>
        <row r="469">
          <cell r="A469">
            <v>467</v>
          </cell>
          <cell r="B469" t="str">
            <v>HOR-ELBOW (H.D.G)</v>
          </cell>
          <cell r="C469" t="str">
            <v>600W×100H</v>
          </cell>
          <cell r="D469" t="str">
            <v>EA</v>
          </cell>
          <cell r="G469">
            <v>753</v>
          </cell>
          <cell r="H469">
            <v>17900</v>
          </cell>
          <cell r="Q469">
            <v>17900</v>
          </cell>
          <cell r="S469" t="str">
            <v>내선</v>
          </cell>
          <cell r="T469">
            <v>0.52</v>
          </cell>
        </row>
        <row r="470">
          <cell r="A470">
            <v>468</v>
          </cell>
          <cell r="B470" t="str">
            <v>HOR-ELBOW (H.D.G)</v>
          </cell>
          <cell r="C470" t="str">
            <v>600W×150H</v>
          </cell>
          <cell r="D470" t="str">
            <v>EA</v>
          </cell>
          <cell r="G470">
            <v>753</v>
          </cell>
          <cell r="H470">
            <v>22800</v>
          </cell>
          <cell r="Q470">
            <v>22800</v>
          </cell>
          <cell r="S470" t="str">
            <v>내선</v>
          </cell>
          <cell r="T470">
            <v>0.52</v>
          </cell>
        </row>
        <row r="471">
          <cell r="A471">
            <v>469</v>
          </cell>
          <cell r="Q471" t="str">
            <v/>
          </cell>
        </row>
        <row r="472">
          <cell r="A472">
            <v>470</v>
          </cell>
          <cell r="B472" t="str">
            <v>VER-ELBOW (H.D.G)</v>
          </cell>
          <cell r="C472" t="str">
            <v>150W×100H</v>
          </cell>
          <cell r="D472" t="str">
            <v>EA</v>
          </cell>
          <cell r="G472">
            <v>753</v>
          </cell>
          <cell r="H472">
            <v>10700</v>
          </cell>
          <cell r="Q472">
            <v>10700</v>
          </cell>
          <cell r="S472" t="str">
            <v>내선</v>
          </cell>
          <cell r="T472">
            <v>0.22500000000000001</v>
          </cell>
        </row>
        <row r="473">
          <cell r="A473">
            <v>471</v>
          </cell>
          <cell r="B473" t="str">
            <v>VER-ELBOW (H.D.G)</v>
          </cell>
          <cell r="C473" t="str">
            <v>150W×150H</v>
          </cell>
          <cell r="D473" t="str">
            <v>EA</v>
          </cell>
          <cell r="G473">
            <v>753</v>
          </cell>
          <cell r="H473">
            <v>15500</v>
          </cell>
          <cell r="Q473">
            <v>15500</v>
          </cell>
          <cell r="S473" t="str">
            <v>내선</v>
          </cell>
          <cell r="T473">
            <v>0.22500000000000001</v>
          </cell>
        </row>
        <row r="474">
          <cell r="A474">
            <v>472</v>
          </cell>
          <cell r="B474" t="str">
            <v>VER-ELBOW (H.D.G)</v>
          </cell>
          <cell r="C474" t="str">
            <v>200W×100H</v>
          </cell>
          <cell r="D474" t="str">
            <v>EA</v>
          </cell>
          <cell r="G474">
            <v>753</v>
          </cell>
          <cell r="H474">
            <v>11100</v>
          </cell>
          <cell r="Q474">
            <v>11100</v>
          </cell>
          <cell r="S474" t="str">
            <v>내선</v>
          </cell>
          <cell r="T474">
            <v>0.22500000000000001</v>
          </cell>
        </row>
        <row r="475">
          <cell r="A475">
            <v>473</v>
          </cell>
          <cell r="B475" t="str">
            <v>VER-ELBOW (H.D.G)</v>
          </cell>
          <cell r="C475" t="str">
            <v>200W×150H</v>
          </cell>
          <cell r="D475" t="str">
            <v>EA</v>
          </cell>
          <cell r="G475">
            <v>753</v>
          </cell>
          <cell r="H475">
            <v>15900</v>
          </cell>
          <cell r="Q475">
            <v>15900</v>
          </cell>
          <cell r="S475" t="str">
            <v>내선</v>
          </cell>
          <cell r="T475">
            <v>0.22500000000000001</v>
          </cell>
        </row>
        <row r="476">
          <cell r="A476">
            <v>474</v>
          </cell>
          <cell r="B476" t="str">
            <v>VER-ELBOW (H.D.G)</v>
          </cell>
          <cell r="C476" t="str">
            <v>300W×100H</v>
          </cell>
          <cell r="D476" t="str">
            <v>EA</v>
          </cell>
          <cell r="G476">
            <v>753</v>
          </cell>
          <cell r="H476">
            <v>12000</v>
          </cell>
          <cell r="Q476">
            <v>12000</v>
          </cell>
          <cell r="S476" t="str">
            <v>내선</v>
          </cell>
          <cell r="T476">
            <v>0.28499999999999998</v>
          </cell>
        </row>
        <row r="477">
          <cell r="A477">
            <v>475</v>
          </cell>
          <cell r="B477" t="str">
            <v>VER-ELBOW (H.D.G)</v>
          </cell>
          <cell r="C477" t="str">
            <v>300W×150H</v>
          </cell>
          <cell r="D477" t="str">
            <v>EA</v>
          </cell>
          <cell r="G477">
            <v>753</v>
          </cell>
          <cell r="H477">
            <v>16800</v>
          </cell>
          <cell r="Q477">
            <v>16800</v>
          </cell>
          <cell r="S477" t="str">
            <v>내선</v>
          </cell>
          <cell r="T477">
            <v>0.28499999999999998</v>
          </cell>
        </row>
        <row r="478">
          <cell r="A478">
            <v>476</v>
          </cell>
          <cell r="B478" t="str">
            <v>VER-ELBOW (H.D.G)</v>
          </cell>
          <cell r="C478" t="str">
            <v>400W×100H</v>
          </cell>
          <cell r="D478" t="str">
            <v>EA</v>
          </cell>
          <cell r="G478">
            <v>753</v>
          </cell>
          <cell r="H478">
            <v>12900</v>
          </cell>
          <cell r="Q478">
            <v>12900</v>
          </cell>
          <cell r="S478" t="str">
            <v>내선</v>
          </cell>
          <cell r="T478">
            <v>0.33500000000000002</v>
          </cell>
        </row>
        <row r="479">
          <cell r="A479">
            <v>477</v>
          </cell>
          <cell r="B479" t="str">
            <v>VER-ELBOW (H.D.G)</v>
          </cell>
          <cell r="C479" t="str">
            <v>400W×150H</v>
          </cell>
          <cell r="D479" t="str">
            <v>EA</v>
          </cell>
          <cell r="G479">
            <v>753</v>
          </cell>
          <cell r="H479">
            <v>17600</v>
          </cell>
          <cell r="Q479">
            <v>17600</v>
          </cell>
          <cell r="S479" t="str">
            <v>내선</v>
          </cell>
          <cell r="T479">
            <v>0.33500000000000002</v>
          </cell>
        </row>
        <row r="480">
          <cell r="A480">
            <v>478</v>
          </cell>
          <cell r="B480" t="str">
            <v>VER-ELBOW (H.D.G)</v>
          </cell>
          <cell r="C480" t="str">
            <v>500W×100H</v>
          </cell>
          <cell r="D480" t="str">
            <v>EA</v>
          </cell>
          <cell r="G480">
            <v>753</v>
          </cell>
          <cell r="H480">
            <v>13700</v>
          </cell>
          <cell r="Q480">
            <v>13700</v>
          </cell>
          <cell r="S480" t="str">
            <v>내선</v>
          </cell>
          <cell r="T480">
            <v>0.44500000000000001</v>
          </cell>
        </row>
        <row r="481">
          <cell r="A481">
            <v>479</v>
          </cell>
          <cell r="B481" t="str">
            <v>VER-ELBOW (H.D.G)</v>
          </cell>
          <cell r="C481" t="str">
            <v>500W×150H</v>
          </cell>
          <cell r="D481" t="str">
            <v>EA</v>
          </cell>
          <cell r="G481">
            <v>753</v>
          </cell>
          <cell r="H481">
            <v>18500</v>
          </cell>
          <cell r="Q481">
            <v>18500</v>
          </cell>
          <cell r="S481" t="str">
            <v>내선</v>
          </cell>
          <cell r="T481">
            <v>0.44500000000000001</v>
          </cell>
        </row>
        <row r="482">
          <cell r="A482">
            <v>480</v>
          </cell>
          <cell r="B482" t="str">
            <v>VER-ELBOW (H.D.G)</v>
          </cell>
          <cell r="C482" t="str">
            <v>600W×100H</v>
          </cell>
          <cell r="D482" t="str">
            <v>EA</v>
          </cell>
          <cell r="G482">
            <v>753</v>
          </cell>
          <cell r="H482">
            <v>14600</v>
          </cell>
          <cell r="Q482">
            <v>14600</v>
          </cell>
          <cell r="S482" t="str">
            <v>내선</v>
          </cell>
          <cell r="T482">
            <v>0.52</v>
          </cell>
        </row>
        <row r="483">
          <cell r="A483">
            <v>481</v>
          </cell>
          <cell r="B483" t="str">
            <v>VER-ELBOW (H.D.G)</v>
          </cell>
          <cell r="C483" t="str">
            <v>600W×150H</v>
          </cell>
          <cell r="D483" t="str">
            <v>EA</v>
          </cell>
          <cell r="G483">
            <v>753</v>
          </cell>
          <cell r="H483">
            <v>19300</v>
          </cell>
          <cell r="Q483">
            <v>19300</v>
          </cell>
          <cell r="S483" t="str">
            <v>내선</v>
          </cell>
          <cell r="T483">
            <v>0.52</v>
          </cell>
        </row>
        <row r="484">
          <cell r="A484">
            <v>482</v>
          </cell>
          <cell r="Q484" t="str">
            <v/>
          </cell>
        </row>
        <row r="485">
          <cell r="A485">
            <v>483</v>
          </cell>
          <cell r="B485" t="str">
            <v>HOR-TEE (H.D.G)</v>
          </cell>
          <cell r="C485" t="str">
            <v>150W×100H</v>
          </cell>
          <cell r="D485" t="str">
            <v>EA</v>
          </cell>
          <cell r="G485">
            <v>753</v>
          </cell>
          <cell r="H485">
            <v>17500</v>
          </cell>
          <cell r="Q485">
            <v>17500</v>
          </cell>
          <cell r="S485" t="str">
            <v>내선</v>
          </cell>
          <cell r="T485">
            <v>0.22500000000000001</v>
          </cell>
        </row>
        <row r="486">
          <cell r="A486">
            <v>484</v>
          </cell>
          <cell r="B486" t="str">
            <v>HOR-TEE (H.D.G)</v>
          </cell>
          <cell r="C486" t="str">
            <v>150W×150H</v>
          </cell>
          <cell r="D486" t="str">
            <v>EA</v>
          </cell>
          <cell r="G486">
            <v>753</v>
          </cell>
          <cell r="H486">
            <v>22600</v>
          </cell>
          <cell r="Q486">
            <v>22600</v>
          </cell>
          <cell r="S486" t="str">
            <v>내선</v>
          </cell>
          <cell r="T486">
            <v>0.22500000000000001</v>
          </cell>
        </row>
        <row r="487">
          <cell r="A487">
            <v>485</v>
          </cell>
          <cell r="B487" t="str">
            <v>HOR-TEE (H.D.G)</v>
          </cell>
          <cell r="C487" t="str">
            <v>200W×100H</v>
          </cell>
          <cell r="D487" t="str">
            <v>EA</v>
          </cell>
          <cell r="G487">
            <v>753</v>
          </cell>
          <cell r="H487">
            <v>18500</v>
          </cell>
          <cell r="Q487">
            <v>18500</v>
          </cell>
          <cell r="S487" t="str">
            <v>내선</v>
          </cell>
          <cell r="T487">
            <v>0.22500000000000001</v>
          </cell>
        </row>
        <row r="488">
          <cell r="A488">
            <v>486</v>
          </cell>
          <cell r="B488" t="str">
            <v>HOR-TEE (H.D.G)</v>
          </cell>
          <cell r="C488" t="str">
            <v>200W×150H</v>
          </cell>
          <cell r="D488" t="str">
            <v>EA</v>
          </cell>
          <cell r="G488">
            <v>753</v>
          </cell>
          <cell r="H488">
            <v>23600</v>
          </cell>
          <cell r="Q488">
            <v>23600</v>
          </cell>
          <cell r="S488" t="str">
            <v>내선</v>
          </cell>
          <cell r="T488">
            <v>0.22500000000000001</v>
          </cell>
        </row>
        <row r="489">
          <cell r="A489">
            <v>487</v>
          </cell>
          <cell r="B489" t="str">
            <v>HOR-TEE (H.D.G)</v>
          </cell>
          <cell r="C489" t="str">
            <v>300W×100H</v>
          </cell>
          <cell r="D489" t="str">
            <v>EA</v>
          </cell>
          <cell r="G489">
            <v>753</v>
          </cell>
          <cell r="H489">
            <v>20300</v>
          </cell>
          <cell r="Q489">
            <v>20300</v>
          </cell>
          <cell r="S489" t="str">
            <v>내선</v>
          </cell>
          <cell r="T489">
            <v>0.28499999999999998</v>
          </cell>
        </row>
        <row r="490">
          <cell r="A490">
            <v>488</v>
          </cell>
          <cell r="B490" t="str">
            <v>HOR-TEE (H.D.G)</v>
          </cell>
          <cell r="C490" t="str">
            <v>300W×150H</v>
          </cell>
          <cell r="D490" t="str">
            <v>EA</v>
          </cell>
          <cell r="G490">
            <v>753</v>
          </cell>
          <cell r="H490">
            <v>25600</v>
          </cell>
          <cell r="Q490">
            <v>25600</v>
          </cell>
          <cell r="S490" t="str">
            <v>내선</v>
          </cell>
          <cell r="T490">
            <v>0.28499999999999998</v>
          </cell>
        </row>
        <row r="491">
          <cell r="A491">
            <v>489</v>
          </cell>
          <cell r="B491" t="str">
            <v>HOR-TEE (H.D.G)</v>
          </cell>
          <cell r="C491" t="str">
            <v>400W×100H</v>
          </cell>
          <cell r="D491" t="str">
            <v>EA</v>
          </cell>
          <cell r="G491">
            <v>753</v>
          </cell>
          <cell r="H491">
            <v>23000</v>
          </cell>
          <cell r="Q491">
            <v>23000</v>
          </cell>
          <cell r="S491" t="str">
            <v>내선</v>
          </cell>
          <cell r="T491">
            <v>0.33500000000000002</v>
          </cell>
        </row>
        <row r="492">
          <cell r="A492">
            <v>490</v>
          </cell>
          <cell r="B492" t="str">
            <v>HOR-TEE (H.D.G)</v>
          </cell>
          <cell r="C492" t="str">
            <v>400W×150H</v>
          </cell>
          <cell r="D492" t="str">
            <v>EA</v>
          </cell>
          <cell r="G492">
            <v>753</v>
          </cell>
          <cell r="H492">
            <v>28500</v>
          </cell>
          <cell r="Q492">
            <v>28500</v>
          </cell>
          <cell r="S492" t="str">
            <v>내선</v>
          </cell>
          <cell r="T492">
            <v>0.33500000000000002</v>
          </cell>
        </row>
        <row r="493">
          <cell r="A493">
            <v>491</v>
          </cell>
          <cell r="B493" t="str">
            <v>HOR-TEE (H.D.G)</v>
          </cell>
          <cell r="C493" t="str">
            <v>500W×100H</v>
          </cell>
          <cell r="D493" t="str">
            <v>EA</v>
          </cell>
          <cell r="G493">
            <v>753</v>
          </cell>
          <cell r="H493">
            <v>25000</v>
          </cell>
          <cell r="Q493">
            <v>25000</v>
          </cell>
          <cell r="S493" t="str">
            <v>내선</v>
          </cell>
          <cell r="T493">
            <v>0.44500000000000001</v>
          </cell>
        </row>
        <row r="494">
          <cell r="A494">
            <v>492</v>
          </cell>
          <cell r="B494" t="str">
            <v>HOR-TEE (H.D.G)</v>
          </cell>
          <cell r="C494" t="str">
            <v>500W×150H</v>
          </cell>
          <cell r="D494" t="str">
            <v>EA</v>
          </cell>
          <cell r="G494">
            <v>753</v>
          </cell>
          <cell r="H494">
            <v>30800</v>
          </cell>
          <cell r="Q494">
            <v>30800</v>
          </cell>
          <cell r="S494" t="str">
            <v>내선</v>
          </cell>
          <cell r="T494">
            <v>0.44500000000000001</v>
          </cell>
        </row>
        <row r="495">
          <cell r="A495">
            <v>493</v>
          </cell>
          <cell r="B495" t="str">
            <v>HOR-TEE (H.D.G)</v>
          </cell>
          <cell r="C495" t="str">
            <v>600W×100H</v>
          </cell>
          <cell r="D495" t="str">
            <v>EA</v>
          </cell>
          <cell r="G495">
            <v>753</v>
          </cell>
          <cell r="H495">
            <v>27000</v>
          </cell>
          <cell r="Q495">
            <v>27000</v>
          </cell>
          <cell r="S495" t="str">
            <v>내선</v>
          </cell>
          <cell r="T495">
            <v>0.52</v>
          </cell>
        </row>
        <row r="496">
          <cell r="A496">
            <v>494</v>
          </cell>
          <cell r="B496" t="str">
            <v>HOR-TEE (H.D.G)</v>
          </cell>
          <cell r="C496" t="str">
            <v>600W×150H</v>
          </cell>
          <cell r="D496" t="str">
            <v>EA</v>
          </cell>
          <cell r="G496">
            <v>753</v>
          </cell>
          <cell r="H496">
            <v>33100</v>
          </cell>
          <cell r="Q496">
            <v>33100</v>
          </cell>
          <cell r="S496" t="str">
            <v>내선</v>
          </cell>
          <cell r="T496">
            <v>0.52</v>
          </cell>
        </row>
        <row r="497">
          <cell r="A497">
            <v>495</v>
          </cell>
          <cell r="Q497" t="str">
            <v/>
          </cell>
        </row>
        <row r="498">
          <cell r="A498">
            <v>496</v>
          </cell>
          <cell r="B498" t="str">
            <v>HOR-CROSS (H.D.G)</v>
          </cell>
          <cell r="C498" t="str">
            <v>150W×100H</v>
          </cell>
          <cell r="D498" t="str">
            <v>EA</v>
          </cell>
          <cell r="G498">
            <v>753</v>
          </cell>
          <cell r="H498">
            <v>23200</v>
          </cell>
          <cell r="Q498">
            <v>23200</v>
          </cell>
          <cell r="S498" t="str">
            <v>내선</v>
          </cell>
          <cell r="T498">
            <v>0.22500000000000001</v>
          </cell>
        </row>
        <row r="499">
          <cell r="A499">
            <v>497</v>
          </cell>
          <cell r="B499" t="str">
            <v>HOR-CROSS (H.D.G)</v>
          </cell>
          <cell r="C499" t="str">
            <v>150W×150H</v>
          </cell>
          <cell r="D499" t="str">
            <v>EA</v>
          </cell>
          <cell r="G499">
            <v>753</v>
          </cell>
          <cell r="H499">
            <v>29100</v>
          </cell>
          <cell r="Q499">
            <v>29100</v>
          </cell>
          <cell r="S499" t="str">
            <v>내선</v>
          </cell>
          <cell r="T499">
            <v>0.22500000000000001</v>
          </cell>
        </row>
        <row r="500">
          <cell r="A500">
            <v>498</v>
          </cell>
          <cell r="B500" t="str">
            <v>HOR-CROSS (H.D.G)</v>
          </cell>
          <cell r="C500" t="str">
            <v>200W×100H</v>
          </cell>
          <cell r="D500" t="str">
            <v>EA</v>
          </cell>
          <cell r="G500">
            <v>753</v>
          </cell>
          <cell r="H500">
            <v>24000</v>
          </cell>
          <cell r="Q500">
            <v>24000</v>
          </cell>
          <cell r="S500" t="str">
            <v>내선</v>
          </cell>
          <cell r="T500">
            <v>0.22500000000000001</v>
          </cell>
        </row>
        <row r="501">
          <cell r="A501">
            <v>499</v>
          </cell>
          <cell r="B501" t="str">
            <v>HOR-CROSS (H.D.G)</v>
          </cell>
          <cell r="C501" t="str">
            <v>200W×150H</v>
          </cell>
          <cell r="D501" t="str">
            <v>EA</v>
          </cell>
          <cell r="G501">
            <v>753</v>
          </cell>
          <cell r="H501">
            <v>30000</v>
          </cell>
          <cell r="Q501">
            <v>30000</v>
          </cell>
          <cell r="S501" t="str">
            <v>내선</v>
          </cell>
          <cell r="T501">
            <v>0.22500000000000001</v>
          </cell>
        </row>
        <row r="502">
          <cell r="A502">
            <v>500</v>
          </cell>
          <cell r="B502" t="str">
            <v>HOR-CROSS (H.D.G)</v>
          </cell>
          <cell r="C502" t="str">
            <v>300W×100H</v>
          </cell>
          <cell r="D502" t="str">
            <v>EA</v>
          </cell>
          <cell r="G502">
            <v>753</v>
          </cell>
          <cell r="H502">
            <v>25700</v>
          </cell>
          <cell r="Q502">
            <v>25700</v>
          </cell>
          <cell r="S502" t="str">
            <v>내선</v>
          </cell>
          <cell r="T502">
            <v>0.28499999999999998</v>
          </cell>
        </row>
        <row r="503">
          <cell r="A503">
            <v>501</v>
          </cell>
          <cell r="B503" t="str">
            <v>HOR-CROSS (H.D.G)</v>
          </cell>
          <cell r="C503" t="str">
            <v>300W×150H</v>
          </cell>
          <cell r="D503" t="str">
            <v>EA</v>
          </cell>
          <cell r="G503">
            <v>753</v>
          </cell>
          <cell r="H503">
            <v>31700</v>
          </cell>
          <cell r="Q503">
            <v>31700</v>
          </cell>
          <cell r="S503" t="str">
            <v>내선</v>
          </cell>
          <cell r="T503">
            <v>0.28499999999999998</v>
          </cell>
        </row>
        <row r="504">
          <cell r="A504">
            <v>502</v>
          </cell>
          <cell r="B504" t="str">
            <v>HOR-CROSS (H.D.G)</v>
          </cell>
          <cell r="C504" t="str">
            <v>400W×100H</v>
          </cell>
          <cell r="D504" t="str">
            <v>EA</v>
          </cell>
          <cell r="G504">
            <v>753</v>
          </cell>
          <cell r="H504">
            <v>27000</v>
          </cell>
          <cell r="Q504">
            <v>27000</v>
          </cell>
          <cell r="S504" t="str">
            <v>내선</v>
          </cell>
          <cell r="T504">
            <v>0.33500000000000002</v>
          </cell>
        </row>
        <row r="505">
          <cell r="A505">
            <v>503</v>
          </cell>
          <cell r="B505" t="str">
            <v>HOR-CROSS (H.D.G)</v>
          </cell>
          <cell r="C505" t="str">
            <v>400W×150H</v>
          </cell>
          <cell r="D505" t="str">
            <v>EA</v>
          </cell>
          <cell r="G505">
            <v>753</v>
          </cell>
          <cell r="H505">
            <v>34300</v>
          </cell>
          <cell r="Q505">
            <v>34300</v>
          </cell>
          <cell r="S505" t="str">
            <v>내선</v>
          </cell>
          <cell r="T505">
            <v>0.33500000000000002</v>
          </cell>
        </row>
        <row r="506">
          <cell r="A506">
            <v>504</v>
          </cell>
          <cell r="B506" t="str">
            <v>HOR-CROSS (H.D.G)</v>
          </cell>
          <cell r="C506" t="str">
            <v>500W×100H</v>
          </cell>
          <cell r="D506" t="str">
            <v>EA</v>
          </cell>
          <cell r="G506">
            <v>753</v>
          </cell>
          <cell r="H506">
            <v>30300</v>
          </cell>
          <cell r="Q506">
            <v>30300</v>
          </cell>
          <cell r="S506" t="str">
            <v>내선</v>
          </cell>
          <cell r="T506">
            <v>0.44500000000000001</v>
          </cell>
        </row>
        <row r="507">
          <cell r="A507">
            <v>505</v>
          </cell>
          <cell r="B507" t="str">
            <v>HOR-CROSS (H.D.G)</v>
          </cell>
          <cell r="C507" t="str">
            <v>500W×150H</v>
          </cell>
          <cell r="D507" t="str">
            <v>EA</v>
          </cell>
          <cell r="G507">
            <v>753</v>
          </cell>
          <cell r="H507">
            <v>36200</v>
          </cell>
          <cell r="Q507">
            <v>36200</v>
          </cell>
          <cell r="S507" t="str">
            <v>내선</v>
          </cell>
          <cell r="T507">
            <v>0.44500000000000001</v>
          </cell>
        </row>
        <row r="508">
          <cell r="A508">
            <v>506</v>
          </cell>
          <cell r="B508" t="str">
            <v>HOR-CROSS (H.D.G)</v>
          </cell>
          <cell r="C508" t="str">
            <v>600W×100H</v>
          </cell>
          <cell r="D508" t="str">
            <v>EA</v>
          </cell>
          <cell r="G508">
            <v>753</v>
          </cell>
          <cell r="H508">
            <v>32200</v>
          </cell>
          <cell r="Q508">
            <v>32200</v>
          </cell>
          <cell r="S508" t="str">
            <v>내선</v>
          </cell>
          <cell r="T508">
            <v>0.52</v>
          </cell>
        </row>
        <row r="509">
          <cell r="A509">
            <v>507</v>
          </cell>
          <cell r="B509" t="str">
            <v>HOR-CROSS (H.D.G)</v>
          </cell>
          <cell r="C509" t="str">
            <v>600W×150H</v>
          </cell>
          <cell r="D509" t="str">
            <v>EA</v>
          </cell>
          <cell r="G509">
            <v>753</v>
          </cell>
          <cell r="H509">
            <v>38200</v>
          </cell>
          <cell r="Q509">
            <v>38200</v>
          </cell>
          <cell r="S509" t="str">
            <v>내선</v>
          </cell>
          <cell r="T509">
            <v>0.52</v>
          </cell>
        </row>
        <row r="510">
          <cell r="A510">
            <v>508</v>
          </cell>
          <cell r="Q510" t="str">
            <v/>
          </cell>
        </row>
        <row r="511">
          <cell r="A511">
            <v>509</v>
          </cell>
          <cell r="B511" t="str">
            <v>REDUCER (H.D.G)</v>
          </cell>
          <cell r="C511" t="str">
            <v>600×500W×100H</v>
          </cell>
          <cell r="D511" t="str">
            <v>EA</v>
          </cell>
          <cell r="G511">
            <v>753</v>
          </cell>
          <cell r="H511">
            <v>7900</v>
          </cell>
          <cell r="Q511">
            <v>7900</v>
          </cell>
          <cell r="S511" t="str">
            <v>내선</v>
          </cell>
          <cell r="T511">
            <v>0.22500000000000001</v>
          </cell>
        </row>
        <row r="512">
          <cell r="A512">
            <v>510</v>
          </cell>
          <cell r="B512" t="str">
            <v>REDUCER (H.D.G)</v>
          </cell>
          <cell r="C512" t="str">
            <v>600×500W×150H</v>
          </cell>
          <cell r="D512" t="str">
            <v>EA</v>
          </cell>
          <cell r="G512">
            <v>753</v>
          </cell>
          <cell r="H512">
            <v>10100</v>
          </cell>
          <cell r="Q512">
            <v>10100</v>
          </cell>
          <cell r="S512" t="str">
            <v>내선</v>
          </cell>
          <cell r="T512">
            <v>0.22500000000000001</v>
          </cell>
        </row>
        <row r="513">
          <cell r="A513">
            <v>511</v>
          </cell>
          <cell r="B513" t="str">
            <v>REDUCER (H.D.G)</v>
          </cell>
          <cell r="C513" t="str">
            <v>600×400W×100H</v>
          </cell>
          <cell r="D513" t="str">
            <v>EA</v>
          </cell>
          <cell r="G513">
            <v>753</v>
          </cell>
          <cell r="H513">
            <v>7900</v>
          </cell>
          <cell r="Q513">
            <v>7900</v>
          </cell>
          <cell r="S513" t="str">
            <v>내선</v>
          </cell>
          <cell r="T513">
            <v>0.22500000000000001</v>
          </cell>
        </row>
        <row r="514">
          <cell r="A514">
            <v>512</v>
          </cell>
          <cell r="B514" t="str">
            <v>REDUCER (H.D.G)</v>
          </cell>
          <cell r="C514" t="str">
            <v>600×400W×150H</v>
          </cell>
          <cell r="D514" t="str">
            <v>EA</v>
          </cell>
          <cell r="G514">
            <v>753</v>
          </cell>
          <cell r="H514">
            <v>10100</v>
          </cell>
          <cell r="Q514">
            <v>10100</v>
          </cell>
          <cell r="S514" t="str">
            <v>내선</v>
          </cell>
          <cell r="T514">
            <v>0.22500000000000001</v>
          </cell>
        </row>
        <row r="515">
          <cell r="A515">
            <v>513</v>
          </cell>
          <cell r="B515" t="str">
            <v>REDUCER (H.D.G)</v>
          </cell>
          <cell r="C515" t="str">
            <v>600×300W×100H</v>
          </cell>
          <cell r="D515" t="str">
            <v>EA</v>
          </cell>
          <cell r="G515">
            <v>753</v>
          </cell>
          <cell r="H515">
            <v>8000</v>
          </cell>
          <cell r="Q515">
            <v>8000</v>
          </cell>
          <cell r="S515" t="str">
            <v>내선</v>
          </cell>
          <cell r="T515">
            <v>0.28499999999999998</v>
          </cell>
        </row>
        <row r="516">
          <cell r="A516">
            <v>514</v>
          </cell>
          <cell r="B516" t="str">
            <v>REDUCER (H.D.G)</v>
          </cell>
          <cell r="C516" t="str">
            <v>600×300W×150H</v>
          </cell>
          <cell r="D516" t="str">
            <v>EA</v>
          </cell>
          <cell r="G516">
            <v>753</v>
          </cell>
          <cell r="H516">
            <v>10400</v>
          </cell>
          <cell r="Q516">
            <v>10400</v>
          </cell>
          <cell r="S516" t="str">
            <v>내선</v>
          </cell>
          <cell r="T516">
            <v>0.28499999999999998</v>
          </cell>
        </row>
        <row r="517">
          <cell r="A517">
            <v>515</v>
          </cell>
          <cell r="B517" t="str">
            <v>REDUCER (H.D.G)</v>
          </cell>
          <cell r="C517" t="str">
            <v>600×200W×100H</v>
          </cell>
          <cell r="D517" t="str">
            <v>EA</v>
          </cell>
          <cell r="G517">
            <v>753</v>
          </cell>
          <cell r="H517">
            <v>8100</v>
          </cell>
          <cell r="Q517">
            <v>8100</v>
          </cell>
          <cell r="S517" t="str">
            <v>내선</v>
          </cell>
          <cell r="T517">
            <v>0.33500000000000002</v>
          </cell>
        </row>
        <row r="518">
          <cell r="A518">
            <v>516</v>
          </cell>
          <cell r="B518" t="str">
            <v>REDUCER (H.D.G)</v>
          </cell>
          <cell r="C518" t="str">
            <v>600×200W×150H</v>
          </cell>
          <cell r="D518" t="str">
            <v>EA</v>
          </cell>
          <cell r="G518">
            <v>753</v>
          </cell>
          <cell r="H518">
            <v>10600</v>
          </cell>
          <cell r="Q518">
            <v>10600</v>
          </cell>
          <cell r="S518" t="str">
            <v>내선</v>
          </cell>
          <cell r="T518">
            <v>0.33500000000000002</v>
          </cell>
        </row>
        <row r="519">
          <cell r="A519">
            <v>517</v>
          </cell>
          <cell r="B519" t="str">
            <v>REDUCER (H.D.G)</v>
          </cell>
          <cell r="C519" t="str">
            <v>600×150W×100H</v>
          </cell>
          <cell r="D519" t="str">
            <v>EA</v>
          </cell>
          <cell r="G519">
            <v>753</v>
          </cell>
          <cell r="H519">
            <v>8600</v>
          </cell>
          <cell r="Q519">
            <v>8600</v>
          </cell>
          <cell r="S519" t="str">
            <v>내선</v>
          </cell>
          <cell r="T519">
            <v>0.44500000000000001</v>
          </cell>
        </row>
        <row r="520">
          <cell r="A520">
            <v>518</v>
          </cell>
          <cell r="B520" t="str">
            <v>REDUCER (H.D.G)</v>
          </cell>
          <cell r="C520" t="str">
            <v>600×150W×150H</v>
          </cell>
          <cell r="D520" t="str">
            <v>EA</v>
          </cell>
          <cell r="G520">
            <v>753</v>
          </cell>
          <cell r="H520">
            <v>11100</v>
          </cell>
          <cell r="Q520">
            <v>11100</v>
          </cell>
          <cell r="S520" t="str">
            <v>내선</v>
          </cell>
          <cell r="T520">
            <v>0.44500000000000001</v>
          </cell>
        </row>
        <row r="521">
          <cell r="A521">
            <v>519</v>
          </cell>
          <cell r="B521" t="str">
            <v>REDUCER (H.D.G)</v>
          </cell>
          <cell r="C521" t="str">
            <v>300×150W×100H</v>
          </cell>
          <cell r="D521" t="str">
            <v>EA</v>
          </cell>
          <cell r="G521">
            <v>753</v>
          </cell>
          <cell r="H521">
            <v>6500</v>
          </cell>
          <cell r="Q521">
            <v>6500</v>
          </cell>
          <cell r="S521" t="str">
            <v>내선</v>
          </cell>
          <cell r="T521">
            <v>0.52</v>
          </cell>
        </row>
        <row r="522">
          <cell r="A522">
            <v>520</v>
          </cell>
          <cell r="B522" t="str">
            <v>REDUCER (H.D.G)</v>
          </cell>
          <cell r="C522" t="str">
            <v>300×150W×150H</v>
          </cell>
          <cell r="D522" t="str">
            <v>EA</v>
          </cell>
          <cell r="G522">
            <v>753</v>
          </cell>
          <cell r="H522">
            <v>8700</v>
          </cell>
          <cell r="Q522">
            <v>8700</v>
          </cell>
          <cell r="S522" t="str">
            <v>내선</v>
          </cell>
          <cell r="T522">
            <v>0.52</v>
          </cell>
        </row>
        <row r="523">
          <cell r="A523">
            <v>521</v>
          </cell>
          <cell r="Q523" t="str">
            <v/>
          </cell>
        </row>
        <row r="524">
          <cell r="A524">
            <v>522</v>
          </cell>
          <cell r="B524" t="str">
            <v>STRAIGHT-COV.(H.D.G)</v>
          </cell>
          <cell r="C524" t="str">
            <v>150W</v>
          </cell>
          <cell r="D524" t="str">
            <v>EA</v>
          </cell>
          <cell r="G524">
            <v>753</v>
          </cell>
          <cell r="H524">
            <v>4000</v>
          </cell>
          <cell r="Q524">
            <v>4000</v>
          </cell>
        </row>
        <row r="525">
          <cell r="A525">
            <v>523</v>
          </cell>
          <cell r="B525" t="str">
            <v>STRAIGHT-COV.(H.D.G)</v>
          </cell>
          <cell r="C525" t="str">
            <v>200W</v>
          </cell>
          <cell r="D525" t="str">
            <v>EA</v>
          </cell>
          <cell r="G525">
            <v>753</v>
          </cell>
          <cell r="H525">
            <v>5000</v>
          </cell>
          <cell r="Q525">
            <v>5000</v>
          </cell>
        </row>
        <row r="526">
          <cell r="A526">
            <v>524</v>
          </cell>
          <cell r="B526" t="str">
            <v>STRAIGHT-COV.(H.D.G)</v>
          </cell>
          <cell r="C526" t="str">
            <v>300W</v>
          </cell>
          <cell r="D526" t="str">
            <v>EA</v>
          </cell>
          <cell r="G526">
            <v>753</v>
          </cell>
          <cell r="H526">
            <v>7100</v>
          </cell>
          <cell r="Q526">
            <v>7100</v>
          </cell>
        </row>
        <row r="527">
          <cell r="A527">
            <v>525</v>
          </cell>
          <cell r="B527" t="str">
            <v>STRAIGHT-COV.(H.D.G)</v>
          </cell>
          <cell r="C527" t="str">
            <v>400W</v>
          </cell>
          <cell r="D527" t="str">
            <v>EA</v>
          </cell>
          <cell r="G527">
            <v>753</v>
          </cell>
          <cell r="H527">
            <v>9100</v>
          </cell>
          <cell r="Q527">
            <v>9100</v>
          </cell>
        </row>
        <row r="528">
          <cell r="A528">
            <v>526</v>
          </cell>
          <cell r="B528" t="str">
            <v>STRAIGHT-COV.(H.D.G)</v>
          </cell>
          <cell r="C528" t="str">
            <v>500W</v>
          </cell>
          <cell r="D528" t="str">
            <v>EA</v>
          </cell>
          <cell r="G528">
            <v>753</v>
          </cell>
          <cell r="H528">
            <v>11200</v>
          </cell>
          <cell r="Q528">
            <v>11200</v>
          </cell>
        </row>
        <row r="529">
          <cell r="A529">
            <v>527</v>
          </cell>
          <cell r="B529" t="str">
            <v>STRAIGHT-COV.(H.D.G)</v>
          </cell>
          <cell r="C529" t="str">
            <v>600W</v>
          </cell>
          <cell r="D529" t="str">
            <v>EA</v>
          </cell>
          <cell r="G529">
            <v>753</v>
          </cell>
          <cell r="H529">
            <v>13200</v>
          </cell>
          <cell r="Q529">
            <v>13200</v>
          </cell>
        </row>
        <row r="530">
          <cell r="A530">
            <v>528</v>
          </cell>
          <cell r="Q530" t="str">
            <v/>
          </cell>
        </row>
        <row r="531">
          <cell r="A531">
            <v>529</v>
          </cell>
          <cell r="B531" t="str">
            <v>JOINT CONN.</v>
          </cell>
          <cell r="C531" t="str">
            <v>100H</v>
          </cell>
          <cell r="D531" t="str">
            <v>EA</v>
          </cell>
          <cell r="G531">
            <v>753</v>
          </cell>
          <cell r="H531">
            <v>900</v>
          </cell>
          <cell r="Q531">
            <v>900</v>
          </cell>
        </row>
        <row r="532">
          <cell r="A532">
            <v>530</v>
          </cell>
          <cell r="B532" t="str">
            <v>JOINT CONN.</v>
          </cell>
          <cell r="C532" t="str">
            <v>150H</v>
          </cell>
          <cell r="D532" t="str">
            <v>EA</v>
          </cell>
          <cell r="G532">
            <v>753</v>
          </cell>
          <cell r="H532">
            <v>1050</v>
          </cell>
          <cell r="Q532">
            <v>1050</v>
          </cell>
        </row>
        <row r="533">
          <cell r="A533">
            <v>531</v>
          </cell>
          <cell r="Q533" t="str">
            <v/>
          </cell>
        </row>
        <row r="534">
          <cell r="A534">
            <v>532</v>
          </cell>
          <cell r="B534" t="str">
            <v>SHANK BOLT&amp;NOT</v>
          </cell>
          <cell r="C534" t="str">
            <v>3/8inch×19L</v>
          </cell>
          <cell r="D534" t="str">
            <v>set</v>
          </cell>
          <cell r="G534">
            <v>753</v>
          </cell>
          <cell r="H534">
            <v>120</v>
          </cell>
          <cell r="Q534">
            <v>120</v>
          </cell>
        </row>
        <row r="535">
          <cell r="A535">
            <v>533</v>
          </cell>
          <cell r="B535" t="str">
            <v>그라운딩 본딩 점퍼</v>
          </cell>
          <cell r="C535" t="str">
            <v>14sq</v>
          </cell>
          <cell r="D535" t="str">
            <v>EA</v>
          </cell>
          <cell r="G535">
            <v>753</v>
          </cell>
          <cell r="H535">
            <v>1300</v>
          </cell>
          <cell r="Q535">
            <v>1300</v>
          </cell>
        </row>
        <row r="536">
          <cell r="A536">
            <v>534</v>
          </cell>
          <cell r="B536" t="str">
            <v>그라운딩 본딩 점퍼</v>
          </cell>
          <cell r="C536" t="str">
            <v>38sq</v>
          </cell>
          <cell r="D536" t="str">
            <v>EA</v>
          </cell>
          <cell r="G536">
            <v>753</v>
          </cell>
          <cell r="H536">
            <v>2800</v>
          </cell>
          <cell r="Q536">
            <v>2800</v>
          </cell>
        </row>
        <row r="537">
          <cell r="A537">
            <v>535</v>
          </cell>
          <cell r="B537" t="str">
            <v>홀드다운 크램프</v>
          </cell>
          <cell r="D537" t="str">
            <v>EA</v>
          </cell>
          <cell r="G537">
            <v>753</v>
          </cell>
          <cell r="H537">
            <v>300</v>
          </cell>
          <cell r="Q537">
            <v>300</v>
          </cell>
        </row>
        <row r="538">
          <cell r="A538">
            <v>536</v>
          </cell>
          <cell r="B538" t="str">
            <v>SPRING NUT</v>
          </cell>
          <cell r="C538" t="str">
            <v>3/8inch 1/2inch</v>
          </cell>
          <cell r="D538" t="str">
            <v>EA</v>
          </cell>
          <cell r="G538">
            <v>753</v>
          </cell>
          <cell r="H538">
            <v>400</v>
          </cell>
          <cell r="Q538">
            <v>400</v>
          </cell>
        </row>
        <row r="539">
          <cell r="A539">
            <v>537</v>
          </cell>
          <cell r="Q539" t="str">
            <v/>
          </cell>
        </row>
        <row r="540">
          <cell r="A540">
            <v>538</v>
          </cell>
          <cell r="Q540" t="str">
            <v/>
          </cell>
        </row>
        <row r="541">
          <cell r="A541">
            <v>539</v>
          </cell>
          <cell r="B541" t="str">
            <v>RACE WAY BODY</v>
          </cell>
          <cell r="C541" t="str">
            <v>40×40</v>
          </cell>
          <cell r="D541" t="str">
            <v>m</v>
          </cell>
          <cell r="G541">
            <v>750</v>
          </cell>
          <cell r="H541">
            <v>1950</v>
          </cell>
          <cell r="Q541">
            <v>1950</v>
          </cell>
          <cell r="S541" t="str">
            <v>내선</v>
          </cell>
          <cell r="T541">
            <v>0.15</v>
          </cell>
        </row>
        <row r="542">
          <cell r="A542">
            <v>540</v>
          </cell>
          <cell r="B542" t="str">
            <v>RACE WAY BODY</v>
          </cell>
          <cell r="C542" t="str">
            <v>70×40</v>
          </cell>
          <cell r="D542" t="str">
            <v>m</v>
          </cell>
          <cell r="G542">
            <v>750</v>
          </cell>
          <cell r="H542">
            <v>2450</v>
          </cell>
          <cell r="Q542">
            <v>2450</v>
          </cell>
          <cell r="S542" t="str">
            <v>내선</v>
          </cell>
          <cell r="T542">
            <v>0.2</v>
          </cell>
        </row>
        <row r="543">
          <cell r="A543">
            <v>541</v>
          </cell>
          <cell r="G543">
            <v>0</v>
          </cell>
          <cell r="H543">
            <v>8600</v>
          </cell>
          <cell r="Q543" t="str">
            <v/>
          </cell>
        </row>
        <row r="544">
          <cell r="A544">
            <v>542</v>
          </cell>
          <cell r="B544" t="str">
            <v>RACE WAY COVER</v>
          </cell>
          <cell r="C544" t="str">
            <v>40×40</v>
          </cell>
          <cell r="D544" t="str">
            <v>m</v>
          </cell>
          <cell r="G544">
            <v>750</v>
          </cell>
          <cell r="H544">
            <v>850</v>
          </cell>
          <cell r="Q544">
            <v>850</v>
          </cell>
        </row>
        <row r="545">
          <cell r="A545">
            <v>543</v>
          </cell>
          <cell r="B545" t="str">
            <v>RACE WAY COVER</v>
          </cell>
          <cell r="C545" t="str">
            <v>70×40</v>
          </cell>
          <cell r="D545" t="str">
            <v>m</v>
          </cell>
          <cell r="G545">
            <v>750</v>
          </cell>
          <cell r="H545">
            <v>1100</v>
          </cell>
          <cell r="Q545">
            <v>1100</v>
          </cell>
        </row>
        <row r="546">
          <cell r="A546">
            <v>544</v>
          </cell>
          <cell r="Q546" t="str">
            <v/>
          </cell>
        </row>
        <row r="547">
          <cell r="A547">
            <v>545</v>
          </cell>
          <cell r="B547" t="str">
            <v>RACE WAY JOIVER</v>
          </cell>
          <cell r="C547" t="str">
            <v>40×40</v>
          </cell>
          <cell r="D547" t="str">
            <v>EA</v>
          </cell>
          <cell r="G547">
            <v>750</v>
          </cell>
          <cell r="H547">
            <v>850</v>
          </cell>
          <cell r="Q547">
            <v>850</v>
          </cell>
        </row>
        <row r="548">
          <cell r="A548">
            <v>546</v>
          </cell>
          <cell r="B548" t="str">
            <v>RACE WAY JOIVER</v>
          </cell>
          <cell r="C548" t="str">
            <v>70×40</v>
          </cell>
          <cell r="D548" t="str">
            <v>EA</v>
          </cell>
          <cell r="G548">
            <v>750</v>
          </cell>
          <cell r="H548">
            <v>1300</v>
          </cell>
          <cell r="Q548">
            <v>1300</v>
          </cell>
        </row>
        <row r="549">
          <cell r="A549">
            <v>547</v>
          </cell>
          <cell r="Q549" t="str">
            <v/>
          </cell>
        </row>
        <row r="550">
          <cell r="A550">
            <v>548</v>
          </cell>
          <cell r="B550" t="str">
            <v>RACE WAY HANGER</v>
          </cell>
          <cell r="C550" t="str">
            <v>40×40</v>
          </cell>
          <cell r="D550" t="str">
            <v>EA</v>
          </cell>
          <cell r="G550">
            <v>750</v>
          </cell>
          <cell r="H550">
            <v>850</v>
          </cell>
          <cell r="Q550">
            <v>850</v>
          </cell>
        </row>
        <row r="551">
          <cell r="A551">
            <v>549</v>
          </cell>
          <cell r="B551" t="str">
            <v>RACE WAY HANGER</v>
          </cell>
          <cell r="C551" t="str">
            <v>70×40</v>
          </cell>
          <cell r="D551" t="str">
            <v>EA</v>
          </cell>
          <cell r="G551">
            <v>750</v>
          </cell>
          <cell r="H551">
            <v>1300</v>
          </cell>
          <cell r="Q551">
            <v>1300</v>
          </cell>
        </row>
        <row r="552">
          <cell r="A552">
            <v>550</v>
          </cell>
          <cell r="Q552" t="str">
            <v/>
          </cell>
        </row>
        <row r="553">
          <cell r="A553">
            <v>551</v>
          </cell>
          <cell r="B553" t="str">
            <v>RACE WAY END CAP</v>
          </cell>
          <cell r="C553" t="str">
            <v>40×40</v>
          </cell>
          <cell r="D553" t="str">
            <v>EA</v>
          </cell>
          <cell r="G553">
            <v>750</v>
          </cell>
          <cell r="H553">
            <v>650</v>
          </cell>
          <cell r="Q553">
            <v>650</v>
          </cell>
        </row>
        <row r="554">
          <cell r="A554">
            <v>552</v>
          </cell>
          <cell r="B554" t="str">
            <v>RACE WAY END CAP</v>
          </cell>
          <cell r="C554" t="str">
            <v>70×40</v>
          </cell>
          <cell r="D554" t="str">
            <v>EA</v>
          </cell>
          <cell r="G554">
            <v>750</v>
          </cell>
          <cell r="H554">
            <v>1050</v>
          </cell>
          <cell r="Q554">
            <v>1050</v>
          </cell>
        </row>
        <row r="555">
          <cell r="A555">
            <v>553</v>
          </cell>
          <cell r="Q555" t="str">
            <v/>
          </cell>
        </row>
        <row r="556">
          <cell r="A556">
            <v>554</v>
          </cell>
          <cell r="B556" t="str">
            <v>RACE WAY H,V/ELBOW</v>
          </cell>
          <cell r="C556" t="str">
            <v>40×40</v>
          </cell>
          <cell r="D556" t="str">
            <v>EA</v>
          </cell>
          <cell r="G556">
            <v>750</v>
          </cell>
          <cell r="H556">
            <v>1850</v>
          </cell>
          <cell r="Q556">
            <v>1850</v>
          </cell>
        </row>
        <row r="557">
          <cell r="A557">
            <v>555</v>
          </cell>
          <cell r="B557" t="str">
            <v>RACE WAY H,V/ELBOW</v>
          </cell>
          <cell r="C557" t="str">
            <v>70×40</v>
          </cell>
          <cell r="D557" t="str">
            <v>EA</v>
          </cell>
          <cell r="G557">
            <v>750</v>
          </cell>
          <cell r="H557">
            <v>2450</v>
          </cell>
          <cell r="Q557">
            <v>2450</v>
          </cell>
        </row>
        <row r="558">
          <cell r="A558">
            <v>556</v>
          </cell>
          <cell r="Q558" t="str">
            <v/>
          </cell>
        </row>
        <row r="559">
          <cell r="A559">
            <v>557</v>
          </cell>
          <cell r="B559" t="str">
            <v>RACE WAY BOX CONN.</v>
          </cell>
          <cell r="C559" t="str">
            <v>40×40</v>
          </cell>
          <cell r="D559" t="str">
            <v>EA</v>
          </cell>
          <cell r="G559">
            <v>750</v>
          </cell>
          <cell r="H559">
            <v>1050</v>
          </cell>
          <cell r="Q559">
            <v>1050</v>
          </cell>
        </row>
        <row r="560">
          <cell r="A560">
            <v>558</v>
          </cell>
          <cell r="Q560" t="str">
            <v/>
          </cell>
        </row>
        <row r="561">
          <cell r="A561">
            <v>559</v>
          </cell>
          <cell r="Q561" t="str">
            <v/>
          </cell>
        </row>
        <row r="562">
          <cell r="A562">
            <v>560</v>
          </cell>
          <cell r="B562" t="str">
            <v>교통신호제어기(일반)</v>
          </cell>
          <cell r="C562" t="str">
            <v>교차로연동(검사품)</v>
          </cell>
          <cell r="D562" t="str">
            <v>대</v>
          </cell>
          <cell r="G562">
            <v>834</v>
          </cell>
          <cell r="H562">
            <v>4500000</v>
          </cell>
          <cell r="Q562">
            <v>4500000</v>
          </cell>
          <cell r="S562" t="str">
            <v>프전</v>
          </cell>
          <cell r="T562">
            <v>4.5999999999999996</v>
          </cell>
          <cell r="U562" t="str">
            <v>보인</v>
          </cell>
          <cell r="V562">
            <v>1.5</v>
          </cell>
        </row>
        <row r="563">
          <cell r="A563">
            <v>561</v>
          </cell>
          <cell r="B563" t="str">
            <v>차량신호등</v>
          </cell>
          <cell r="C563" t="str">
            <v>1면 4색</v>
          </cell>
          <cell r="D563" t="str">
            <v>대</v>
          </cell>
          <cell r="G563">
            <v>834</v>
          </cell>
          <cell r="H563">
            <v>280000</v>
          </cell>
          <cell r="Q563">
            <v>280000</v>
          </cell>
          <cell r="S563" t="str">
            <v>신호</v>
          </cell>
          <cell r="T563">
            <v>2.4</v>
          </cell>
          <cell r="U563" t="str">
            <v>보인</v>
          </cell>
          <cell r="V563">
            <v>1</v>
          </cell>
        </row>
        <row r="564">
          <cell r="A564">
            <v>562</v>
          </cell>
          <cell r="B564" t="str">
            <v>차량신호등</v>
          </cell>
          <cell r="C564" t="str">
            <v>1면 3색</v>
          </cell>
          <cell r="D564" t="str">
            <v>대</v>
          </cell>
          <cell r="G564">
            <v>834</v>
          </cell>
          <cell r="H564">
            <v>240000</v>
          </cell>
          <cell r="Q564">
            <v>240000</v>
          </cell>
          <cell r="S564" t="str">
            <v>신호</v>
          </cell>
          <cell r="T564">
            <v>2.4</v>
          </cell>
          <cell r="U564" t="str">
            <v>보인</v>
          </cell>
          <cell r="V564">
            <v>1</v>
          </cell>
        </row>
        <row r="565">
          <cell r="A565">
            <v>563</v>
          </cell>
          <cell r="B565" t="str">
            <v>보행신호등</v>
          </cell>
          <cell r="C565" t="str">
            <v>1면 2색</v>
          </cell>
          <cell r="D565" t="str">
            <v>대</v>
          </cell>
          <cell r="G565">
            <v>834</v>
          </cell>
          <cell r="H565">
            <v>160000</v>
          </cell>
          <cell r="Q565">
            <v>160000</v>
          </cell>
        </row>
        <row r="566">
          <cell r="A566">
            <v>564</v>
          </cell>
          <cell r="Q566" t="str">
            <v/>
          </cell>
        </row>
        <row r="567">
          <cell r="A567">
            <v>565</v>
          </cell>
          <cell r="B567" t="str">
            <v>차량등철주</v>
          </cell>
          <cell r="C567" t="str">
            <v>250φ×9m(용융도금)</v>
          </cell>
          <cell r="D567" t="str">
            <v>EA</v>
          </cell>
          <cell r="G567">
            <v>834</v>
          </cell>
          <cell r="H567">
            <v>645270</v>
          </cell>
          <cell r="Q567">
            <v>645270</v>
          </cell>
          <cell r="S567" t="str">
            <v>신호</v>
          </cell>
          <cell r="T567">
            <v>1.7</v>
          </cell>
          <cell r="U567" t="str">
            <v>보인</v>
          </cell>
          <cell r="V567">
            <v>1</v>
          </cell>
        </row>
        <row r="568">
          <cell r="A568">
            <v>566</v>
          </cell>
          <cell r="B568" t="str">
            <v>차량등철주</v>
          </cell>
          <cell r="C568" t="str">
            <v>250φ×8m(용융도금)</v>
          </cell>
          <cell r="D568" t="str">
            <v>EA</v>
          </cell>
          <cell r="G568">
            <v>834</v>
          </cell>
          <cell r="H568">
            <v>620400</v>
          </cell>
          <cell r="Q568">
            <v>620400</v>
          </cell>
          <cell r="S568" t="str">
            <v>신호</v>
          </cell>
          <cell r="T568">
            <v>1.7</v>
          </cell>
          <cell r="U568" t="str">
            <v>보인</v>
          </cell>
          <cell r="V568">
            <v>1</v>
          </cell>
        </row>
        <row r="569">
          <cell r="A569">
            <v>567</v>
          </cell>
          <cell r="B569" t="str">
            <v>차량등철주</v>
          </cell>
          <cell r="C569" t="str">
            <v>200φ×8m(용융도금)</v>
          </cell>
          <cell r="D569" t="str">
            <v>EA</v>
          </cell>
          <cell r="G569">
            <v>834</v>
          </cell>
          <cell r="H569">
            <v>460800</v>
          </cell>
          <cell r="Q569">
            <v>460800</v>
          </cell>
          <cell r="S569" t="str">
            <v>신호</v>
          </cell>
          <cell r="T569">
            <v>1.7</v>
          </cell>
          <cell r="U569" t="str">
            <v>보인</v>
          </cell>
          <cell r="V569">
            <v>1</v>
          </cell>
        </row>
        <row r="570">
          <cell r="A570">
            <v>568</v>
          </cell>
          <cell r="B570" t="str">
            <v>차량등철주</v>
          </cell>
          <cell r="C570" t="str">
            <v>150φ×8m(용융도금)</v>
          </cell>
          <cell r="D570" t="str">
            <v>EA</v>
          </cell>
          <cell r="G570">
            <v>834</v>
          </cell>
          <cell r="H570">
            <v>277200</v>
          </cell>
          <cell r="Q570">
            <v>277200</v>
          </cell>
          <cell r="S570" t="str">
            <v>신호</v>
          </cell>
          <cell r="T570">
            <v>1.7</v>
          </cell>
          <cell r="U570" t="str">
            <v>보인</v>
          </cell>
          <cell r="V570">
            <v>1</v>
          </cell>
        </row>
        <row r="571">
          <cell r="A571">
            <v>569</v>
          </cell>
          <cell r="B571" t="str">
            <v>보행등철주</v>
          </cell>
          <cell r="C571" t="str">
            <v>125φ×4m(용융도금)</v>
          </cell>
          <cell r="D571" t="str">
            <v>EA</v>
          </cell>
          <cell r="G571">
            <v>834</v>
          </cell>
          <cell r="H571">
            <v>110400</v>
          </cell>
          <cell r="Q571">
            <v>110400</v>
          </cell>
          <cell r="S571" t="str">
            <v>신호</v>
          </cell>
          <cell r="T571">
            <v>1.3</v>
          </cell>
          <cell r="U571" t="str">
            <v>보인</v>
          </cell>
          <cell r="V571">
            <v>1</v>
          </cell>
        </row>
        <row r="572">
          <cell r="A572">
            <v>570</v>
          </cell>
          <cell r="Q572" t="str">
            <v/>
          </cell>
        </row>
        <row r="573">
          <cell r="A573">
            <v>571</v>
          </cell>
          <cell r="B573" t="str">
            <v>부착대</v>
          </cell>
          <cell r="C573" t="str">
            <v>9m 용융도금</v>
          </cell>
          <cell r="D573" t="str">
            <v>EA</v>
          </cell>
          <cell r="G573">
            <v>834</v>
          </cell>
          <cell r="H573">
            <v>146400</v>
          </cell>
          <cell r="Q573">
            <v>146400</v>
          </cell>
          <cell r="S573" t="str">
            <v>신호</v>
          </cell>
          <cell r="T573">
            <v>1.7</v>
          </cell>
          <cell r="U573" t="str">
            <v>보인</v>
          </cell>
          <cell r="V573">
            <v>1</v>
          </cell>
        </row>
        <row r="574">
          <cell r="A574">
            <v>572</v>
          </cell>
          <cell r="B574" t="str">
            <v>부착대</v>
          </cell>
          <cell r="C574" t="str">
            <v>8m 용융도금</v>
          </cell>
          <cell r="D574" t="str">
            <v>EA</v>
          </cell>
          <cell r="G574">
            <v>834</v>
          </cell>
          <cell r="H574">
            <v>136800</v>
          </cell>
          <cell r="Q574">
            <v>136800</v>
          </cell>
          <cell r="S574" t="str">
            <v>신호</v>
          </cell>
          <cell r="T574">
            <v>1.7</v>
          </cell>
          <cell r="U574" t="str">
            <v>보인</v>
          </cell>
          <cell r="V574">
            <v>1</v>
          </cell>
        </row>
        <row r="575">
          <cell r="A575">
            <v>573</v>
          </cell>
          <cell r="B575" t="str">
            <v>부착대</v>
          </cell>
          <cell r="C575" t="str">
            <v>7m 용융도금</v>
          </cell>
          <cell r="D575" t="str">
            <v>EA</v>
          </cell>
          <cell r="G575">
            <v>834</v>
          </cell>
          <cell r="H575">
            <v>124800</v>
          </cell>
          <cell r="Q575">
            <v>124800</v>
          </cell>
          <cell r="S575" t="str">
            <v>신호</v>
          </cell>
          <cell r="T575">
            <v>1.3</v>
          </cell>
          <cell r="U575" t="str">
            <v>보인</v>
          </cell>
          <cell r="V575">
            <v>1</v>
          </cell>
        </row>
        <row r="576">
          <cell r="A576">
            <v>574</v>
          </cell>
          <cell r="Q576" t="str">
            <v/>
          </cell>
        </row>
        <row r="577">
          <cell r="A577">
            <v>575</v>
          </cell>
          <cell r="Q577" t="str">
            <v/>
          </cell>
        </row>
        <row r="578">
          <cell r="A578">
            <v>576</v>
          </cell>
          <cell r="B578" t="str">
            <v>제어기보호막</v>
          </cell>
          <cell r="C578" t="str">
            <v>F.R.P</v>
          </cell>
          <cell r="D578" t="str">
            <v>EA</v>
          </cell>
          <cell r="G578">
            <v>834</v>
          </cell>
          <cell r="H578">
            <v>150000</v>
          </cell>
          <cell r="Q578">
            <v>150000</v>
          </cell>
        </row>
        <row r="579">
          <cell r="A579">
            <v>577</v>
          </cell>
          <cell r="Q579" t="str">
            <v/>
          </cell>
        </row>
        <row r="580">
          <cell r="A580">
            <v>578</v>
          </cell>
          <cell r="B580" t="str">
            <v>기초앙카</v>
          </cell>
          <cell r="C580" t="str">
            <v>φ125 식</v>
          </cell>
          <cell r="D580" t="str">
            <v>EA</v>
          </cell>
          <cell r="G580" t="str">
            <v>834 (95/01)</v>
          </cell>
          <cell r="H580">
            <v>12000</v>
          </cell>
        </row>
        <row r="581">
          <cell r="A581">
            <v>579</v>
          </cell>
          <cell r="B581" t="str">
            <v>기초앙카</v>
          </cell>
          <cell r="C581" t="str">
            <v>φ150×1.2m가공품</v>
          </cell>
          <cell r="D581" t="str">
            <v>EA</v>
          </cell>
          <cell r="G581">
            <v>834</v>
          </cell>
          <cell r="H581">
            <v>79200</v>
          </cell>
          <cell r="Q581">
            <v>79200</v>
          </cell>
          <cell r="S581" t="str">
            <v>용접</v>
          </cell>
          <cell r="T581">
            <v>0.8</v>
          </cell>
          <cell r="U581" t="str">
            <v>특인</v>
          </cell>
          <cell r="V581">
            <v>0.8</v>
          </cell>
        </row>
        <row r="582">
          <cell r="A582">
            <v>580</v>
          </cell>
          <cell r="B582" t="str">
            <v>기초앙카</v>
          </cell>
          <cell r="C582" t="str">
            <v>φ200×1.5m가공품</v>
          </cell>
          <cell r="D582" t="str">
            <v>EA</v>
          </cell>
          <cell r="G582">
            <v>834</v>
          </cell>
          <cell r="H582">
            <v>158400</v>
          </cell>
          <cell r="Q582">
            <v>158400</v>
          </cell>
          <cell r="S582" t="str">
            <v>용접</v>
          </cell>
          <cell r="T582">
            <v>1.5</v>
          </cell>
          <cell r="U582" t="str">
            <v>특인</v>
          </cell>
          <cell r="V582">
            <v>1.5</v>
          </cell>
        </row>
        <row r="583">
          <cell r="A583">
            <v>581</v>
          </cell>
          <cell r="B583" t="str">
            <v>기초앙카</v>
          </cell>
          <cell r="C583" t="str">
            <v>φ250×1.8m가공품</v>
          </cell>
          <cell r="D583" t="str">
            <v>EA</v>
          </cell>
          <cell r="G583">
            <v>834</v>
          </cell>
          <cell r="H583">
            <v>186000</v>
          </cell>
          <cell r="Q583">
            <v>186000</v>
          </cell>
          <cell r="S583" t="str">
            <v>용접</v>
          </cell>
          <cell r="T583">
            <v>1.5</v>
          </cell>
          <cell r="U583" t="str">
            <v>특인</v>
          </cell>
          <cell r="V583">
            <v>1.5</v>
          </cell>
        </row>
        <row r="584">
          <cell r="A584">
            <v>582</v>
          </cell>
          <cell r="Q584" t="str">
            <v/>
          </cell>
        </row>
        <row r="585">
          <cell r="A585">
            <v>583</v>
          </cell>
          <cell r="B585" t="str">
            <v>보호금구</v>
          </cell>
          <cell r="C585" t="str">
            <v>φ35×1.1m (가공품)</v>
          </cell>
          <cell r="D585" t="str">
            <v>조</v>
          </cell>
          <cell r="G585">
            <v>834</v>
          </cell>
          <cell r="H585">
            <v>20000</v>
          </cell>
          <cell r="Q585">
            <v>20000</v>
          </cell>
        </row>
        <row r="586">
          <cell r="A586">
            <v>584</v>
          </cell>
          <cell r="B586" t="str">
            <v>맨홀 (뚜껑포함)</v>
          </cell>
          <cell r="C586" t="str">
            <v>600×600×600  F.R.P</v>
          </cell>
          <cell r="D586" t="str">
            <v>EA</v>
          </cell>
          <cell r="G586">
            <v>834</v>
          </cell>
          <cell r="H586">
            <v>65000</v>
          </cell>
          <cell r="Q586">
            <v>65000</v>
          </cell>
          <cell r="S586" t="str">
            <v>미장</v>
          </cell>
          <cell r="T586">
            <v>0.6</v>
          </cell>
          <cell r="U586" t="str">
            <v>보인</v>
          </cell>
          <cell r="V586">
            <v>0.3</v>
          </cell>
        </row>
        <row r="587">
          <cell r="A587">
            <v>585</v>
          </cell>
          <cell r="Q587" t="str">
            <v/>
          </cell>
        </row>
        <row r="588">
          <cell r="A588">
            <v>586</v>
          </cell>
          <cell r="B588" t="str">
            <v>사다리조립비</v>
          </cell>
          <cell r="C588" t="str">
            <v>7m 이상</v>
          </cell>
          <cell r="D588" t="str">
            <v>조</v>
          </cell>
          <cell r="Q588">
            <v>0</v>
          </cell>
          <cell r="S588" t="str">
            <v>신호</v>
          </cell>
          <cell r="T588">
            <v>0.4</v>
          </cell>
          <cell r="U588" t="str">
            <v>보인</v>
          </cell>
          <cell r="V588">
            <v>0.56000000000000005</v>
          </cell>
        </row>
        <row r="589">
          <cell r="A589">
            <v>587</v>
          </cell>
          <cell r="B589" t="str">
            <v>사다리조립비</v>
          </cell>
          <cell r="C589" t="str">
            <v>7m 이하</v>
          </cell>
          <cell r="D589" t="str">
            <v>조</v>
          </cell>
          <cell r="Q589">
            <v>0</v>
          </cell>
          <cell r="S589" t="str">
            <v>신호</v>
          </cell>
          <cell r="T589">
            <v>0.3</v>
          </cell>
          <cell r="U589" t="str">
            <v>보인</v>
          </cell>
          <cell r="V589">
            <v>0.44</v>
          </cell>
        </row>
        <row r="590">
          <cell r="A590">
            <v>588</v>
          </cell>
          <cell r="Q590" t="str">
            <v/>
          </cell>
        </row>
        <row r="591">
          <cell r="A591">
            <v>589</v>
          </cell>
          <cell r="B591" t="str">
            <v>전원선</v>
          </cell>
          <cell r="C591" t="str">
            <v>EV 5.5sq/2C</v>
          </cell>
          <cell r="D591" t="str">
            <v>m</v>
          </cell>
          <cell r="G591" t="str">
            <v>818(95/03)</v>
          </cell>
          <cell r="H591">
            <v>600</v>
          </cell>
          <cell r="Q591">
            <v>600</v>
          </cell>
          <cell r="R591">
            <v>0.05</v>
          </cell>
          <cell r="S591" t="str">
            <v>저케</v>
          </cell>
          <cell r="T591">
            <v>1.7999999999999999E-2</v>
          </cell>
        </row>
        <row r="592">
          <cell r="A592">
            <v>590</v>
          </cell>
          <cell r="Q592" t="str">
            <v/>
          </cell>
        </row>
        <row r="593">
          <cell r="A593">
            <v>591</v>
          </cell>
          <cell r="B593" t="str">
            <v>신호케이블</v>
          </cell>
          <cell r="C593" t="str">
            <v>CVS 2.0sq/5C</v>
          </cell>
          <cell r="D593" t="str">
            <v>m</v>
          </cell>
          <cell r="G593" t="str">
            <v>818(95/03)</v>
          </cell>
          <cell r="H593">
            <v>900</v>
          </cell>
          <cell r="Q593">
            <v>900</v>
          </cell>
          <cell r="R593">
            <v>0.05</v>
          </cell>
          <cell r="S593" t="str">
            <v>신호</v>
          </cell>
          <cell r="T593">
            <v>3.2000000000000001E-2</v>
          </cell>
        </row>
        <row r="594">
          <cell r="A594">
            <v>592</v>
          </cell>
          <cell r="Q594" t="str">
            <v/>
          </cell>
        </row>
        <row r="595">
          <cell r="A595">
            <v>593</v>
          </cell>
          <cell r="Q595" t="str">
            <v/>
          </cell>
        </row>
        <row r="596">
          <cell r="A596">
            <v>594</v>
          </cell>
          <cell r="Q596" t="str">
            <v/>
          </cell>
        </row>
        <row r="597">
          <cell r="A597">
            <v>595</v>
          </cell>
          <cell r="Q597" t="str">
            <v/>
          </cell>
        </row>
        <row r="598">
          <cell r="A598">
            <v>596</v>
          </cell>
          <cell r="Q598" t="str">
            <v/>
          </cell>
        </row>
        <row r="599">
          <cell r="A599">
            <v>597</v>
          </cell>
          <cell r="Q599" t="str">
            <v/>
          </cell>
        </row>
        <row r="600">
          <cell r="A600">
            <v>598</v>
          </cell>
          <cell r="Q600" t="str">
            <v/>
          </cell>
        </row>
        <row r="601">
          <cell r="A601">
            <v>599</v>
          </cell>
          <cell r="Q601" t="str">
            <v/>
          </cell>
        </row>
        <row r="602">
          <cell r="A602">
            <v>600</v>
          </cell>
          <cell r="Q602" t="str">
            <v/>
          </cell>
        </row>
        <row r="603">
          <cell r="A603">
            <v>601</v>
          </cell>
          <cell r="C603" t="str">
            <v>내선전공</v>
          </cell>
          <cell r="D603" t="str">
            <v>인</v>
          </cell>
          <cell r="F603">
            <v>43600</v>
          </cell>
          <cell r="Q603">
            <v>43600</v>
          </cell>
        </row>
        <row r="604">
          <cell r="A604">
            <v>602</v>
          </cell>
          <cell r="C604" t="str">
            <v>저압케이블공</v>
          </cell>
          <cell r="D604" t="str">
            <v>인</v>
          </cell>
          <cell r="F604">
            <v>52900</v>
          </cell>
          <cell r="Q604">
            <v>52900</v>
          </cell>
        </row>
        <row r="605">
          <cell r="A605">
            <v>603</v>
          </cell>
          <cell r="C605" t="str">
            <v>배전전공</v>
          </cell>
          <cell r="D605" t="str">
            <v>인</v>
          </cell>
          <cell r="F605">
            <v>94200</v>
          </cell>
          <cell r="Q605">
            <v>94200</v>
          </cell>
        </row>
        <row r="606">
          <cell r="A606">
            <v>604</v>
          </cell>
          <cell r="C606" t="str">
            <v>프랜트전공</v>
          </cell>
          <cell r="D606" t="str">
            <v>인</v>
          </cell>
          <cell r="F606">
            <v>48400</v>
          </cell>
          <cell r="Q606">
            <v>48400</v>
          </cell>
        </row>
        <row r="607">
          <cell r="A607">
            <v>605</v>
          </cell>
          <cell r="C607" t="str">
            <v>보통인부</v>
          </cell>
          <cell r="D607" t="str">
            <v>인</v>
          </cell>
          <cell r="F607">
            <v>27200</v>
          </cell>
          <cell r="Q607">
            <v>27200</v>
          </cell>
        </row>
        <row r="608">
          <cell r="A608">
            <v>606</v>
          </cell>
          <cell r="C608" t="str">
            <v>고압케이블공</v>
          </cell>
          <cell r="D608" t="str">
            <v>인</v>
          </cell>
          <cell r="F608">
            <v>53700</v>
          </cell>
          <cell r="Q608">
            <v>53700</v>
          </cell>
        </row>
        <row r="609">
          <cell r="A609">
            <v>607</v>
          </cell>
          <cell r="C609" t="str">
            <v>특고압케이블공</v>
          </cell>
          <cell r="D609" t="str">
            <v>인</v>
          </cell>
          <cell r="F609">
            <v>79800</v>
          </cell>
          <cell r="Q609">
            <v>79800</v>
          </cell>
        </row>
        <row r="610">
          <cell r="A610">
            <v>608</v>
          </cell>
          <cell r="C610" t="str">
            <v>통신설비공</v>
          </cell>
          <cell r="D610" t="str">
            <v>인</v>
          </cell>
          <cell r="F610">
            <v>52700</v>
          </cell>
          <cell r="Q610">
            <v>52700</v>
          </cell>
        </row>
        <row r="611">
          <cell r="A611">
            <v>609</v>
          </cell>
          <cell r="C611" t="str">
            <v>통신내선공</v>
          </cell>
          <cell r="D611" t="str">
            <v>인</v>
          </cell>
          <cell r="F611">
            <v>45500</v>
          </cell>
          <cell r="Q611">
            <v>45500</v>
          </cell>
        </row>
        <row r="612">
          <cell r="A612">
            <v>610</v>
          </cell>
          <cell r="C612" t="str">
            <v>통신케이블공</v>
          </cell>
          <cell r="D612" t="str">
            <v>인</v>
          </cell>
          <cell r="F612">
            <v>58100</v>
          </cell>
          <cell r="Q612">
            <v>58100</v>
          </cell>
        </row>
        <row r="613">
          <cell r="A613">
            <v>611</v>
          </cell>
          <cell r="C613" t="str">
            <v>신호공</v>
          </cell>
          <cell r="D613" t="str">
            <v>인</v>
          </cell>
          <cell r="F613">
            <v>62300</v>
          </cell>
          <cell r="Q613">
            <v>62300</v>
          </cell>
        </row>
        <row r="614">
          <cell r="A614">
            <v>612</v>
          </cell>
          <cell r="C614" t="str">
            <v>특별인부</v>
          </cell>
          <cell r="D614" t="str">
            <v>인</v>
          </cell>
          <cell r="F614">
            <v>38500</v>
          </cell>
          <cell r="Q614">
            <v>38500</v>
          </cell>
        </row>
        <row r="615">
          <cell r="A615">
            <v>613</v>
          </cell>
          <cell r="C615" t="str">
            <v>계장공</v>
          </cell>
          <cell r="D615" t="str">
            <v>인</v>
          </cell>
          <cell r="F615">
            <v>42500</v>
          </cell>
          <cell r="Q615">
            <v>42500</v>
          </cell>
        </row>
        <row r="616">
          <cell r="A616">
            <v>614</v>
          </cell>
          <cell r="C616" t="str">
            <v>미장공</v>
          </cell>
          <cell r="D616" t="str">
            <v>인</v>
          </cell>
          <cell r="F616">
            <v>52800</v>
          </cell>
          <cell r="Q616">
            <v>52800</v>
          </cell>
        </row>
        <row r="617">
          <cell r="A617">
            <v>615</v>
          </cell>
          <cell r="C617" t="str">
            <v>용접공(일반)</v>
          </cell>
          <cell r="D617" t="str">
            <v>인</v>
          </cell>
          <cell r="F617">
            <v>48800</v>
          </cell>
          <cell r="Q617">
            <v>48800</v>
          </cell>
        </row>
        <row r="618">
          <cell r="A618">
            <v>616</v>
          </cell>
          <cell r="C618" t="str">
            <v>도장공</v>
          </cell>
          <cell r="D618" t="str">
            <v>인</v>
          </cell>
          <cell r="F618">
            <v>47200</v>
          </cell>
          <cell r="Q618">
            <v>47200</v>
          </cell>
        </row>
        <row r="619">
          <cell r="A619">
            <v>617</v>
          </cell>
          <cell r="C619" t="str">
            <v>배관공</v>
          </cell>
          <cell r="D619" t="str">
            <v>인</v>
          </cell>
          <cell r="F619">
            <v>42000</v>
          </cell>
          <cell r="Q619">
            <v>42000</v>
          </cell>
        </row>
        <row r="620">
          <cell r="A620">
            <v>618</v>
          </cell>
          <cell r="C620" t="str">
            <v>콘크리트공</v>
          </cell>
          <cell r="D620" t="str">
            <v>인</v>
          </cell>
          <cell r="F620">
            <v>47600</v>
          </cell>
          <cell r="Q620">
            <v>47600</v>
          </cell>
        </row>
        <row r="621">
          <cell r="A621">
            <v>619</v>
          </cell>
          <cell r="C621" t="str">
            <v>형틀목공</v>
          </cell>
          <cell r="D621" t="str">
            <v>인</v>
          </cell>
          <cell r="F621">
            <v>52900</v>
          </cell>
          <cell r="Q621">
            <v>52900</v>
          </cell>
        </row>
        <row r="622">
          <cell r="A622">
            <v>620</v>
          </cell>
          <cell r="C622" t="str">
            <v>철근공</v>
          </cell>
          <cell r="D622" t="str">
            <v>인</v>
          </cell>
          <cell r="F622">
            <v>50500</v>
          </cell>
          <cell r="Q622">
            <v>50500</v>
          </cell>
        </row>
        <row r="623">
          <cell r="A623">
            <v>621</v>
          </cell>
          <cell r="C623" t="str">
            <v>철판공</v>
          </cell>
          <cell r="D623" t="str">
            <v>인</v>
          </cell>
          <cell r="F623">
            <v>43700</v>
          </cell>
          <cell r="Q623">
            <v>43700</v>
          </cell>
        </row>
        <row r="624">
          <cell r="A624">
            <v>622</v>
          </cell>
          <cell r="C624" t="str">
            <v>방수공</v>
          </cell>
          <cell r="D624" t="str">
            <v>인</v>
          </cell>
          <cell r="F624">
            <v>45100</v>
          </cell>
          <cell r="Q624">
            <v>45100</v>
          </cell>
        </row>
        <row r="625">
          <cell r="A625">
            <v>623</v>
          </cell>
          <cell r="B625" t="str">
            <v>STRAIGHT TRAY(H.D.G)</v>
          </cell>
          <cell r="C625" t="str">
            <v>450W×100H</v>
          </cell>
          <cell r="D625" t="str">
            <v>m</v>
          </cell>
          <cell r="K625" t="str">
            <v>(주)동명 ENG.</v>
          </cell>
          <cell r="L625">
            <v>10500</v>
          </cell>
          <cell r="Q625">
            <v>10500</v>
          </cell>
          <cell r="S625" t="str">
            <v>내선</v>
          </cell>
          <cell r="T625">
            <v>0.44500000000000001</v>
          </cell>
        </row>
        <row r="626">
          <cell r="A626">
            <v>624</v>
          </cell>
          <cell r="B626" t="str">
            <v>STRAIGHT TRAY(H.D.G)</v>
          </cell>
          <cell r="C626" t="str">
            <v>450W×150H</v>
          </cell>
          <cell r="D626" t="str">
            <v>m</v>
          </cell>
          <cell r="K626" t="str">
            <v>(주)동명 ENG.</v>
          </cell>
          <cell r="L626">
            <v>13500</v>
          </cell>
          <cell r="Q626">
            <v>13500</v>
          </cell>
          <cell r="S626" t="str">
            <v>내선</v>
          </cell>
          <cell r="T626">
            <v>0.44500000000000001</v>
          </cell>
        </row>
        <row r="627">
          <cell r="A627">
            <v>625</v>
          </cell>
          <cell r="B627" t="str">
            <v>HDR-TEE (H.D.G)</v>
          </cell>
          <cell r="C627" t="str">
            <v>450W×100H</v>
          </cell>
          <cell r="D627" t="str">
            <v>m</v>
          </cell>
          <cell r="K627" t="str">
            <v>(주)동명 ENG.</v>
          </cell>
          <cell r="L627">
            <v>24000</v>
          </cell>
          <cell r="Q627">
            <v>24000</v>
          </cell>
          <cell r="S627" t="str">
            <v>내선</v>
          </cell>
          <cell r="T627">
            <v>0.44500000000000001</v>
          </cell>
        </row>
        <row r="628">
          <cell r="A628">
            <v>626</v>
          </cell>
          <cell r="B628" t="str">
            <v>전선관부속품</v>
          </cell>
          <cell r="C628" t="str">
            <v>배관자재비의 15%</v>
          </cell>
          <cell r="D628" t="str">
            <v>식</v>
          </cell>
          <cell r="Q628">
            <v>0</v>
          </cell>
        </row>
        <row r="629">
          <cell r="A629">
            <v>627</v>
          </cell>
          <cell r="B629" t="str">
            <v>잡자재및소모품비</v>
          </cell>
          <cell r="C629" t="str">
            <v>배관배선자재비의 2%</v>
          </cell>
          <cell r="D629" t="str">
            <v>식</v>
          </cell>
          <cell r="Q629">
            <v>0</v>
          </cell>
        </row>
        <row r="630">
          <cell r="A630">
            <v>628</v>
          </cell>
          <cell r="B630" t="str">
            <v>U-CHANEL</v>
          </cell>
          <cell r="C630" t="str">
            <v>41×41×2.6 t</v>
          </cell>
          <cell r="D630" t="str">
            <v>m</v>
          </cell>
          <cell r="K630" t="str">
            <v>(주)동명 ENG.</v>
          </cell>
          <cell r="L630">
            <v>3300</v>
          </cell>
          <cell r="Q630">
            <v>3300</v>
          </cell>
        </row>
        <row r="631">
          <cell r="A631">
            <v>629</v>
          </cell>
          <cell r="B631" t="str">
            <v>가로등주(도금후도장)</v>
          </cell>
          <cell r="C631" t="str">
            <v>8각테퍼8.5m폴1.5m1등용</v>
          </cell>
          <cell r="D631" t="str">
            <v>본</v>
          </cell>
          <cell r="K631" t="str">
            <v>조일조명</v>
          </cell>
          <cell r="L631">
            <v>195000</v>
          </cell>
          <cell r="Q631">
            <v>195000</v>
          </cell>
          <cell r="S631" t="str">
            <v>내선</v>
          </cell>
          <cell r="T631">
            <v>3.13</v>
          </cell>
        </row>
        <row r="632">
          <cell r="A632">
            <v>630</v>
          </cell>
          <cell r="B632" t="str">
            <v>저압케이블</v>
          </cell>
          <cell r="C632" t="str">
            <v>600V CV5.5sq/3C</v>
          </cell>
          <cell r="D632" t="str">
            <v>m</v>
          </cell>
          <cell r="G632">
            <v>718</v>
          </cell>
          <cell r="H632">
            <v>952</v>
          </cell>
          <cell r="Q632">
            <v>952</v>
          </cell>
          <cell r="R632">
            <v>0.05</v>
          </cell>
          <cell r="S632" t="str">
            <v>저케</v>
          </cell>
          <cell r="T632">
            <v>2.5999999999999999E-2</v>
          </cell>
        </row>
        <row r="633">
          <cell r="A633">
            <v>631</v>
          </cell>
          <cell r="B633" t="str">
            <v>저압케이블</v>
          </cell>
          <cell r="C633" t="str">
            <v>600V CV14sq/4C</v>
          </cell>
          <cell r="D633" t="str">
            <v>m</v>
          </cell>
          <cell r="G633">
            <v>718</v>
          </cell>
          <cell r="H633">
            <v>2174</v>
          </cell>
          <cell r="Q633">
            <v>2174</v>
          </cell>
          <cell r="R633">
            <v>0.05</v>
          </cell>
          <cell r="S633" t="str">
            <v>저케</v>
          </cell>
          <cell r="T633">
            <v>5.2000000000000005E-2</v>
          </cell>
        </row>
        <row r="634">
          <cell r="A634">
            <v>632</v>
          </cell>
          <cell r="B634" t="str">
            <v>저압케이블</v>
          </cell>
          <cell r="C634" t="str">
            <v>600V CV5.5sq/4C</v>
          </cell>
          <cell r="D634" t="str">
            <v>m</v>
          </cell>
          <cell r="G634">
            <v>718</v>
          </cell>
          <cell r="H634">
            <v>1175</v>
          </cell>
          <cell r="Q634">
            <v>1175</v>
          </cell>
          <cell r="R634">
            <v>0.05</v>
          </cell>
          <cell r="S634" t="str">
            <v>저케</v>
          </cell>
          <cell r="T634">
            <v>3.4000000000000002E-2</v>
          </cell>
        </row>
        <row r="635">
          <cell r="A635">
            <v>633</v>
          </cell>
          <cell r="B635" t="str">
            <v>저압케이블</v>
          </cell>
          <cell r="C635" t="str">
            <v>600V CV22sq/4C</v>
          </cell>
          <cell r="D635" t="str">
            <v>m</v>
          </cell>
          <cell r="G635">
            <v>718</v>
          </cell>
          <cell r="H635">
            <v>3711</v>
          </cell>
          <cell r="Q635">
            <v>3711</v>
          </cell>
          <cell r="R635">
            <v>0.05</v>
          </cell>
          <cell r="S635" t="str">
            <v>저케</v>
          </cell>
          <cell r="T635">
            <v>6.7599999999999993E-2</v>
          </cell>
        </row>
        <row r="636">
          <cell r="A636">
            <v>634</v>
          </cell>
          <cell r="B636" t="str">
            <v>저압케이블</v>
          </cell>
          <cell r="C636" t="str">
            <v>600V CV38sq/2C</v>
          </cell>
          <cell r="D636" t="str">
            <v>m</v>
          </cell>
          <cell r="G636">
            <v>718</v>
          </cell>
          <cell r="H636">
            <v>3327</v>
          </cell>
          <cell r="Q636">
            <v>3327</v>
          </cell>
          <cell r="R636">
            <v>0.05</v>
          </cell>
          <cell r="S636" t="str">
            <v>저케</v>
          </cell>
          <cell r="T636">
            <v>5.0399999999999993E-2</v>
          </cell>
        </row>
        <row r="637">
          <cell r="A637">
            <v>635</v>
          </cell>
          <cell r="B637" t="str">
            <v>가로등제어반</v>
          </cell>
          <cell r="C637" t="str">
            <v>상시/격등</v>
          </cell>
          <cell r="D637" t="str">
            <v>대</v>
          </cell>
          <cell r="G637">
            <v>821</v>
          </cell>
          <cell r="H637">
            <v>1366200</v>
          </cell>
          <cell r="Q637">
            <v>1366200</v>
          </cell>
          <cell r="S637" t="str">
            <v>프전</v>
          </cell>
          <cell r="T637">
            <v>4.5999999999999996</v>
          </cell>
          <cell r="U637" t="str">
            <v>보인</v>
          </cell>
          <cell r="V637">
            <v>1.5</v>
          </cell>
        </row>
        <row r="638">
          <cell r="A638">
            <v>636</v>
          </cell>
          <cell r="B638" t="str">
            <v>강교용 L-PANEL</v>
          </cell>
          <cell r="C638" t="str">
            <v>계량기 부착형</v>
          </cell>
          <cell r="D638" t="str">
            <v>면</v>
          </cell>
          <cell r="K638" t="str">
            <v>삼화진흥</v>
          </cell>
          <cell r="L638">
            <v>829900</v>
          </cell>
          <cell r="Q638">
            <v>829900</v>
          </cell>
          <cell r="S638" t="str">
            <v>프전</v>
          </cell>
          <cell r="T638">
            <v>4.5999999999999996</v>
          </cell>
          <cell r="U638" t="str">
            <v>보인</v>
          </cell>
          <cell r="V638">
            <v>1.5</v>
          </cell>
        </row>
        <row r="639">
          <cell r="A639">
            <v>637</v>
          </cell>
          <cell r="B639" t="str">
            <v>강교용 LOP-PANEL</v>
          </cell>
          <cell r="C639" t="str">
            <v>250×350×150</v>
          </cell>
          <cell r="D639" t="str">
            <v>면</v>
          </cell>
          <cell r="K639" t="str">
            <v>삼화진흥</v>
          </cell>
          <cell r="L639">
            <v>124800</v>
          </cell>
          <cell r="Q639">
            <v>124800</v>
          </cell>
          <cell r="S639" t="str">
            <v>내선</v>
          </cell>
          <cell r="T639">
            <v>0.48099999999999998</v>
          </cell>
        </row>
        <row r="640">
          <cell r="A640">
            <v>638</v>
          </cell>
          <cell r="Q640" t="str">
            <v/>
          </cell>
        </row>
        <row r="641">
          <cell r="A641">
            <v>639</v>
          </cell>
          <cell r="B641" t="str">
            <v>저압케이블</v>
          </cell>
          <cell r="C641" t="str">
            <v>600V EV38sq/2C</v>
          </cell>
          <cell r="D641" t="str">
            <v>m</v>
          </cell>
          <cell r="G641">
            <v>727</v>
          </cell>
          <cell r="H641">
            <v>2675</v>
          </cell>
          <cell r="Q641">
            <v>2675</v>
          </cell>
          <cell r="R641">
            <v>0.05</v>
          </cell>
          <cell r="S641" t="str">
            <v>저케</v>
          </cell>
          <cell r="T641">
            <v>5.0399999999999993E-2</v>
          </cell>
        </row>
        <row r="642">
          <cell r="A642">
            <v>640</v>
          </cell>
          <cell r="B642" t="str">
            <v>저압케이블</v>
          </cell>
          <cell r="C642" t="str">
            <v>600V EV60sq/2C</v>
          </cell>
          <cell r="D642" t="str">
            <v>m</v>
          </cell>
          <cell r="G642">
            <v>727</v>
          </cell>
          <cell r="H642">
            <v>4364</v>
          </cell>
          <cell r="Q642">
            <v>4364</v>
          </cell>
          <cell r="R642">
            <v>0.05</v>
          </cell>
          <cell r="S642" t="str">
            <v>저케</v>
          </cell>
          <cell r="T642">
            <v>6.8599999999999994E-2</v>
          </cell>
        </row>
        <row r="643">
          <cell r="A643">
            <v>641</v>
          </cell>
          <cell r="B643" t="str">
            <v>관로굴착</v>
          </cell>
          <cell r="C643" t="str">
            <v>0.6M</v>
          </cell>
          <cell r="D643" t="str">
            <v>m</v>
          </cell>
          <cell r="Q643">
            <v>0</v>
          </cell>
        </row>
        <row r="644">
          <cell r="A644">
            <v>642</v>
          </cell>
          <cell r="B644" t="str">
            <v>관로굴착</v>
          </cell>
          <cell r="C644" t="str">
            <v>1.2M</v>
          </cell>
          <cell r="D644" t="str">
            <v>m</v>
          </cell>
          <cell r="Q644">
            <v>0</v>
          </cell>
        </row>
        <row r="645">
          <cell r="A645">
            <v>643</v>
          </cell>
          <cell r="B645" t="str">
            <v>DATA WAY</v>
          </cell>
          <cell r="D645" t="str">
            <v>m</v>
          </cell>
          <cell r="Q645">
            <v>0</v>
          </cell>
          <cell r="R645">
            <v>0.05</v>
          </cell>
        </row>
        <row r="646">
          <cell r="A646">
            <v>644</v>
          </cell>
          <cell r="Q646" t="str">
            <v/>
          </cell>
        </row>
        <row r="647">
          <cell r="A647">
            <v>645</v>
          </cell>
          <cell r="Q647" t="str">
            <v/>
          </cell>
        </row>
        <row r="648">
          <cell r="A648">
            <v>646</v>
          </cell>
          <cell r="B648" t="str">
            <v>AUDIO CABLE</v>
          </cell>
          <cell r="C648" t="str">
            <v>MW-3100</v>
          </cell>
          <cell r="D648" t="str">
            <v>m</v>
          </cell>
          <cell r="K648" t="str">
            <v>(주)경일기업</v>
          </cell>
          <cell r="L648">
            <v>550</v>
          </cell>
          <cell r="Q648">
            <v>550</v>
          </cell>
          <cell r="R648">
            <v>0.05</v>
          </cell>
          <cell r="S648" t="str">
            <v>저케</v>
          </cell>
          <cell r="T648">
            <v>1.6E-2</v>
          </cell>
        </row>
        <row r="649">
          <cell r="A649">
            <v>647</v>
          </cell>
          <cell r="B649" t="str">
            <v>저압케이블</v>
          </cell>
          <cell r="C649" t="str">
            <v>CVV-SB 3.5sq/2C</v>
          </cell>
          <cell r="D649" t="str">
            <v>m</v>
          </cell>
          <cell r="G649">
            <v>717</v>
          </cell>
          <cell r="H649">
            <v>951</v>
          </cell>
          <cell r="Q649">
            <v>951</v>
          </cell>
          <cell r="R649">
            <v>0.05</v>
          </cell>
          <cell r="S649" t="str">
            <v>저케</v>
          </cell>
          <cell r="T649">
            <v>1.6E-2</v>
          </cell>
        </row>
        <row r="650">
          <cell r="A650">
            <v>648</v>
          </cell>
          <cell r="B650" t="str">
            <v>저압케이블</v>
          </cell>
          <cell r="C650" t="str">
            <v>CVV-SB 3.5sq/4C</v>
          </cell>
          <cell r="D650" t="str">
            <v>m</v>
          </cell>
          <cell r="G650">
            <v>717</v>
          </cell>
          <cell r="H650">
            <v>1287</v>
          </cell>
          <cell r="Q650">
            <v>1287</v>
          </cell>
          <cell r="R650">
            <v>0.05</v>
          </cell>
          <cell r="S650" t="str">
            <v>저케</v>
          </cell>
          <cell r="T650">
            <v>2.9000000000000001E-2</v>
          </cell>
        </row>
        <row r="651">
          <cell r="A651">
            <v>649</v>
          </cell>
          <cell r="B651" t="str">
            <v>저압케이블</v>
          </cell>
          <cell r="C651" t="str">
            <v>600V EV 3.5sq/2C</v>
          </cell>
          <cell r="D651" t="str">
            <v>m</v>
          </cell>
          <cell r="G651">
            <v>727</v>
          </cell>
          <cell r="H651">
            <v>455</v>
          </cell>
          <cell r="Q651">
            <v>455</v>
          </cell>
          <cell r="R651">
            <v>0.05</v>
          </cell>
          <cell r="S651" t="str">
            <v>저케</v>
          </cell>
          <cell r="T651">
            <v>1.6E-2</v>
          </cell>
        </row>
        <row r="652">
          <cell r="A652">
            <v>650</v>
          </cell>
          <cell r="B652" t="str">
            <v>저압케이블</v>
          </cell>
          <cell r="C652" t="str">
            <v>600V CV 3.5sq/3C</v>
          </cell>
          <cell r="D652" t="str">
            <v>m</v>
          </cell>
          <cell r="G652">
            <v>718</v>
          </cell>
          <cell r="H652">
            <v>685</v>
          </cell>
          <cell r="Q652">
            <v>685</v>
          </cell>
          <cell r="R652">
            <v>0.05</v>
          </cell>
          <cell r="S652" t="str">
            <v>저케</v>
          </cell>
          <cell r="T652">
            <v>2.1999999999999999E-2</v>
          </cell>
        </row>
        <row r="653">
          <cell r="A653">
            <v>651</v>
          </cell>
          <cell r="B653" t="str">
            <v>저압케이블</v>
          </cell>
          <cell r="C653" t="str">
            <v>600V CV 8sq/4C</v>
          </cell>
          <cell r="D653" t="str">
            <v>m</v>
          </cell>
          <cell r="G653">
            <v>718</v>
          </cell>
          <cell r="H653">
            <v>1530</v>
          </cell>
          <cell r="Q653">
            <v>1530</v>
          </cell>
          <cell r="R653">
            <v>0.05</v>
          </cell>
          <cell r="S653" t="str">
            <v>저케</v>
          </cell>
          <cell r="T653">
            <v>3.9E-2</v>
          </cell>
        </row>
        <row r="654">
          <cell r="A654">
            <v>652</v>
          </cell>
          <cell r="B654" t="str">
            <v>저압케이블</v>
          </cell>
          <cell r="C654" t="str">
            <v>600V CV 38sq/4C</v>
          </cell>
          <cell r="D654" t="str">
            <v>m</v>
          </cell>
          <cell r="G654">
            <v>718</v>
          </cell>
          <cell r="H654">
            <v>6040</v>
          </cell>
          <cell r="Q654">
            <v>6040</v>
          </cell>
          <cell r="R654">
            <v>0.05</v>
          </cell>
          <cell r="S654" t="str">
            <v>저케</v>
          </cell>
          <cell r="T654">
            <v>3.9600000000000003E-2</v>
          </cell>
        </row>
        <row r="655">
          <cell r="A655">
            <v>653</v>
          </cell>
          <cell r="B655" t="str">
            <v>HOR-ELBOW (H.D.G)</v>
          </cell>
          <cell r="C655" t="str">
            <v>450W×100H</v>
          </cell>
          <cell r="D655" t="str">
            <v>EA</v>
          </cell>
          <cell r="K655" t="str">
            <v>(주)동명 ENG.</v>
          </cell>
          <cell r="L655">
            <v>15300</v>
          </cell>
          <cell r="Q655">
            <v>15300</v>
          </cell>
          <cell r="S655" t="str">
            <v>내선</v>
          </cell>
          <cell r="T655">
            <v>0.44500000000000001</v>
          </cell>
        </row>
        <row r="656">
          <cell r="A656">
            <v>654</v>
          </cell>
          <cell r="B656" t="str">
            <v>HOR-ELBOW (H.D.G)</v>
          </cell>
          <cell r="C656" t="str">
            <v>450W×500H</v>
          </cell>
          <cell r="D656" t="str">
            <v>EA</v>
          </cell>
          <cell r="K656" t="str">
            <v>(주)동명 ENG.</v>
          </cell>
          <cell r="L656">
            <v>19800</v>
          </cell>
          <cell r="Q656">
            <v>19800</v>
          </cell>
          <cell r="S656" t="str">
            <v>내선</v>
          </cell>
          <cell r="T656">
            <v>0.44500000000000001</v>
          </cell>
        </row>
        <row r="657">
          <cell r="A657">
            <v>655</v>
          </cell>
          <cell r="B657" t="str">
            <v>CHANEL BRACKET</v>
          </cell>
          <cell r="C657" t="str">
            <v>42×42×470L</v>
          </cell>
          <cell r="D657" t="str">
            <v>EA</v>
          </cell>
          <cell r="K657" t="str">
            <v>(주)동명 ENG.</v>
          </cell>
          <cell r="L657">
            <v>3500</v>
          </cell>
          <cell r="Q657">
            <v>3500</v>
          </cell>
        </row>
        <row r="658">
          <cell r="A658">
            <v>656</v>
          </cell>
          <cell r="B658" t="str">
            <v>SHANK BOLT &amp; NUT</v>
          </cell>
          <cell r="C658" t="str">
            <v>3/8"×19L</v>
          </cell>
          <cell r="D658" t="str">
            <v>EA</v>
          </cell>
          <cell r="K658" t="str">
            <v>(주)동명 ENG.</v>
          </cell>
          <cell r="L658">
            <v>100</v>
          </cell>
          <cell r="Q658">
            <v>100</v>
          </cell>
        </row>
        <row r="659">
          <cell r="A659">
            <v>657</v>
          </cell>
          <cell r="B659" t="str">
            <v>SPRING NUT</v>
          </cell>
          <cell r="C659" t="str">
            <v>W/BOLT,WASHER 3/8"</v>
          </cell>
          <cell r="D659" t="str">
            <v>EA</v>
          </cell>
          <cell r="K659" t="str">
            <v>(주)동명 ENG.</v>
          </cell>
          <cell r="L659">
            <v>450</v>
          </cell>
          <cell r="Q659">
            <v>450</v>
          </cell>
        </row>
        <row r="660">
          <cell r="A660">
            <v>658</v>
          </cell>
          <cell r="B660" t="str">
            <v>SPRING NUT</v>
          </cell>
          <cell r="C660" t="str">
            <v>W/BOLT,WASHER 1/2"</v>
          </cell>
          <cell r="D660" t="str">
            <v>EA</v>
          </cell>
          <cell r="K660" t="str">
            <v>(주)동명 ENG.</v>
          </cell>
          <cell r="L660">
            <v>500</v>
          </cell>
          <cell r="Q660">
            <v>500</v>
          </cell>
        </row>
        <row r="661">
          <cell r="A661">
            <v>659</v>
          </cell>
          <cell r="B661" t="str">
            <v>SET ANCHOR</v>
          </cell>
          <cell r="C661" t="str">
            <v>3/8"</v>
          </cell>
          <cell r="D661" t="str">
            <v>EA</v>
          </cell>
          <cell r="K661" t="str">
            <v>(주)동명 ENG.</v>
          </cell>
          <cell r="L661">
            <v>170</v>
          </cell>
          <cell r="Q661">
            <v>170</v>
          </cell>
        </row>
        <row r="662">
          <cell r="A662">
            <v>660</v>
          </cell>
          <cell r="B662" t="str">
            <v>STRONG ANCHOR</v>
          </cell>
          <cell r="C662" t="str">
            <v>3/8"</v>
          </cell>
          <cell r="D662" t="str">
            <v>EA</v>
          </cell>
          <cell r="K662" t="str">
            <v>(주)동명 ENG.</v>
          </cell>
          <cell r="L662">
            <v>120</v>
          </cell>
          <cell r="Q662">
            <v>120</v>
          </cell>
        </row>
        <row r="663">
          <cell r="A663">
            <v>661</v>
          </cell>
          <cell r="B663" t="str">
            <v>THREAD ROD</v>
          </cell>
          <cell r="C663" t="str">
            <v>3/8"</v>
          </cell>
          <cell r="D663" t="str">
            <v>m</v>
          </cell>
          <cell r="K663" t="str">
            <v>(주)동명 ENG.</v>
          </cell>
          <cell r="L663">
            <v>500</v>
          </cell>
          <cell r="Q663">
            <v>500</v>
          </cell>
        </row>
        <row r="664">
          <cell r="A664">
            <v>662</v>
          </cell>
          <cell r="B664" t="str">
            <v>SQUARE WASHER</v>
          </cell>
          <cell r="C664" t="str">
            <v>φ 11</v>
          </cell>
          <cell r="D664" t="str">
            <v>EA</v>
          </cell>
          <cell r="K664" t="str">
            <v>(주)동명 ENG.</v>
          </cell>
          <cell r="L664">
            <v>200</v>
          </cell>
          <cell r="Q664">
            <v>200</v>
          </cell>
        </row>
        <row r="665">
          <cell r="A665">
            <v>663</v>
          </cell>
          <cell r="B665" t="str">
            <v>HEX H.B/NUT</v>
          </cell>
          <cell r="C665" t="str">
            <v>W/WASHER 3/8"</v>
          </cell>
          <cell r="D665" t="str">
            <v>SET</v>
          </cell>
          <cell r="K665" t="str">
            <v>(주)동명 ENG.</v>
          </cell>
          <cell r="L665">
            <v>60</v>
          </cell>
          <cell r="Q665">
            <v>60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11"/>
      <sheetName val="9509"/>
      <sheetName val="대로근거"/>
      <sheetName val="중로근거"/>
      <sheetName val="관급"/>
      <sheetName val="기준표"/>
      <sheetName val="기초안정검토"/>
      <sheetName val="집계표"/>
      <sheetName val="SORCE1"/>
      <sheetName val="부표총괄"/>
      <sheetName val="기초일위"/>
      <sheetName val="시설일위"/>
      <sheetName val="조명일위"/>
      <sheetName val="보활"/>
      <sheetName val="하수처리장"/>
      <sheetName val="설계예산서"/>
      <sheetName val="대비"/>
      <sheetName val="실행(1)"/>
      <sheetName val="적용표"/>
    </sheetNames>
    <sheetDataSet>
      <sheetData sheetId="0" refreshError="1">
        <row r="3">
          <cell r="A3">
            <v>3</v>
          </cell>
          <cell r="C3" t="str">
            <v>'98년 하반기 노임단가</v>
          </cell>
          <cell r="D3" t="str">
            <v>기계설치공</v>
          </cell>
          <cell r="E3" t="str">
            <v>인</v>
          </cell>
          <cell r="G3">
            <v>51838</v>
          </cell>
          <cell r="R3">
            <v>51838</v>
          </cell>
        </row>
        <row r="4">
          <cell r="A4">
            <v>4</v>
          </cell>
          <cell r="D4" t="str">
            <v>내선전공</v>
          </cell>
          <cell r="E4" t="str">
            <v>인</v>
          </cell>
          <cell r="G4">
            <v>51021</v>
          </cell>
          <cell r="R4">
            <v>51021</v>
          </cell>
        </row>
        <row r="5">
          <cell r="A5">
            <v>5</v>
          </cell>
          <cell r="D5" t="str">
            <v>저압케이블공</v>
          </cell>
          <cell r="E5" t="str">
            <v>인</v>
          </cell>
          <cell r="G5">
            <v>55486</v>
          </cell>
          <cell r="R5">
            <v>55486</v>
          </cell>
        </row>
        <row r="6">
          <cell r="A6">
            <v>6</v>
          </cell>
          <cell r="D6" t="str">
            <v>배전전공</v>
          </cell>
          <cell r="E6" t="str">
            <v>인</v>
          </cell>
          <cell r="G6">
            <v>164094</v>
          </cell>
          <cell r="R6">
            <v>164094</v>
          </cell>
        </row>
        <row r="7">
          <cell r="A7">
            <v>7</v>
          </cell>
          <cell r="D7" t="str">
            <v>프랜트전공</v>
          </cell>
          <cell r="E7" t="str">
            <v>인</v>
          </cell>
          <cell r="G7">
            <v>54503</v>
          </cell>
          <cell r="R7">
            <v>54503</v>
          </cell>
        </row>
        <row r="8">
          <cell r="A8">
            <v>8</v>
          </cell>
          <cell r="D8" t="str">
            <v>보통인부</v>
          </cell>
          <cell r="E8" t="str">
            <v>인</v>
          </cell>
          <cell r="G8">
            <v>34098</v>
          </cell>
          <cell r="R8">
            <v>34098</v>
          </cell>
        </row>
        <row r="9">
          <cell r="A9">
            <v>9</v>
          </cell>
          <cell r="D9" t="str">
            <v>고압케이블공</v>
          </cell>
          <cell r="E9" t="str">
            <v>인</v>
          </cell>
          <cell r="G9">
            <v>74151</v>
          </cell>
          <cell r="R9">
            <v>74151</v>
          </cell>
        </row>
        <row r="10">
          <cell r="A10">
            <v>10</v>
          </cell>
          <cell r="D10" t="str">
            <v>특고압케이블공</v>
          </cell>
          <cell r="E10" t="str">
            <v>인</v>
          </cell>
          <cell r="G10">
            <v>102881</v>
          </cell>
          <cell r="R10">
            <v>102881</v>
          </cell>
        </row>
        <row r="11">
          <cell r="A11">
            <v>11</v>
          </cell>
          <cell r="D11" t="str">
            <v>통신내선공</v>
          </cell>
          <cell r="E11" t="str">
            <v>인</v>
          </cell>
          <cell r="G11">
            <v>63738</v>
          </cell>
          <cell r="R11">
            <v>63738</v>
          </cell>
        </row>
        <row r="12">
          <cell r="A12">
            <v>12</v>
          </cell>
          <cell r="D12" t="str">
            <v>통신설비공</v>
          </cell>
          <cell r="E12" t="str">
            <v>인</v>
          </cell>
          <cell r="G12">
            <v>66296</v>
          </cell>
          <cell r="R12">
            <v>66296</v>
          </cell>
        </row>
        <row r="13">
          <cell r="A13">
            <v>13</v>
          </cell>
          <cell r="D13" t="str">
            <v>통신케이블공</v>
          </cell>
          <cell r="E13" t="str">
            <v>인</v>
          </cell>
          <cell r="G13">
            <v>80042</v>
          </cell>
          <cell r="R13">
            <v>80042</v>
          </cell>
        </row>
        <row r="14">
          <cell r="A14">
            <v>14</v>
          </cell>
          <cell r="D14" t="str">
            <v>무선안테나공</v>
          </cell>
          <cell r="E14" t="str">
            <v>인</v>
          </cell>
          <cell r="G14">
            <v>97216</v>
          </cell>
          <cell r="R14">
            <v>97216</v>
          </cell>
        </row>
        <row r="15">
          <cell r="A15">
            <v>15</v>
          </cell>
          <cell r="D15" t="str">
            <v>배관공</v>
          </cell>
          <cell r="E15" t="str">
            <v>인</v>
          </cell>
          <cell r="G15">
            <v>52004</v>
          </cell>
          <cell r="R15">
            <v>52004</v>
          </cell>
        </row>
        <row r="16">
          <cell r="A16">
            <v>16</v>
          </cell>
          <cell r="D16" t="str">
            <v>특별인부</v>
          </cell>
          <cell r="E16" t="str">
            <v>인</v>
          </cell>
          <cell r="G16">
            <v>49659</v>
          </cell>
          <cell r="R16">
            <v>49659</v>
          </cell>
        </row>
        <row r="17">
          <cell r="A17">
            <v>17</v>
          </cell>
          <cell r="D17" t="str">
            <v>계장공</v>
          </cell>
          <cell r="E17" t="str">
            <v>인</v>
          </cell>
          <cell r="G17">
            <v>57587</v>
          </cell>
          <cell r="R17">
            <v>57587</v>
          </cell>
        </row>
        <row r="18">
          <cell r="A18">
            <v>18</v>
          </cell>
          <cell r="D18" t="str">
            <v>신호공</v>
          </cell>
          <cell r="E18" t="str">
            <v>인</v>
          </cell>
          <cell r="G18">
            <v>73483</v>
          </cell>
          <cell r="R18">
            <v>73483</v>
          </cell>
        </row>
        <row r="19">
          <cell r="A19">
            <v>19</v>
          </cell>
          <cell r="D19" t="str">
            <v>미장공</v>
          </cell>
          <cell r="E19" t="str">
            <v>인</v>
          </cell>
          <cell r="G19">
            <v>61569</v>
          </cell>
          <cell r="R19">
            <v>61569</v>
          </cell>
        </row>
        <row r="20">
          <cell r="A20">
            <v>20</v>
          </cell>
          <cell r="D20" t="str">
            <v>용접공(일반)</v>
          </cell>
          <cell r="E20" t="str">
            <v>인</v>
          </cell>
          <cell r="G20">
            <v>61021</v>
          </cell>
          <cell r="R20">
            <v>61021</v>
          </cell>
        </row>
        <row r="21">
          <cell r="A21">
            <v>21</v>
          </cell>
          <cell r="D21" t="str">
            <v>도장공</v>
          </cell>
          <cell r="E21" t="str">
            <v>인</v>
          </cell>
          <cell r="G21">
            <v>55640</v>
          </cell>
          <cell r="R21">
            <v>55640</v>
          </cell>
        </row>
        <row r="22">
          <cell r="A22">
            <v>22</v>
          </cell>
          <cell r="D22" t="str">
            <v>콘크리트공</v>
          </cell>
          <cell r="E22" t="str">
            <v>인</v>
          </cell>
          <cell r="G22">
            <v>63650</v>
          </cell>
          <cell r="R22">
            <v>63650</v>
          </cell>
        </row>
        <row r="23">
          <cell r="A23">
            <v>23</v>
          </cell>
          <cell r="D23" t="str">
            <v>형틀목공</v>
          </cell>
          <cell r="E23" t="str">
            <v>인</v>
          </cell>
          <cell r="G23">
            <v>65381</v>
          </cell>
          <cell r="R23">
            <v>65381</v>
          </cell>
        </row>
        <row r="24">
          <cell r="A24">
            <v>24</v>
          </cell>
          <cell r="D24" t="str">
            <v>철근공</v>
          </cell>
          <cell r="E24" t="str">
            <v>인</v>
          </cell>
          <cell r="G24">
            <v>66944</v>
          </cell>
          <cell r="R24">
            <v>66944</v>
          </cell>
        </row>
        <row r="25">
          <cell r="A25">
            <v>25</v>
          </cell>
          <cell r="D25" t="str">
            <v>철판공</v>
          </cell>
          <cell r="E25" t="str">
            <v>인</v>
          </cell>
          <cell r="G25">
            <v>68465</v>
          </cell>
          <cell r="R25">
            <v>68465</v>
          </cell>
        </row>
        <row r="26">
          <cell r="A26">
            <v>26</v>
          </cell>
          <cell r="D26" t="str">
            <v>방수공</v>
          </cell>
          <cell r="E26" t="str">
            <v>인</v>
          </cell>
          <cell r="G26">
            <v>51640</v>
          </cell>
          <cell r="R26">
            <v>51640</v>
          </cell>
        </row>
        <row r="27">
          <cell r="A27">
            <v>27</v>
          </cell>
          <cell r="D27" t="str">
            <v>비계공</v>
          </cell>
          <cell r="E27" t="str">
            <v>인</v>
          </cell>
          <cell r="G27">
            <v>69324</v>
          </cell>
          <cell r="R27">
            <v>69324</v>
          </cell>
        </row>
        <row r="28">
          <cell r="A28">
            <v>28</v>
          </cell>
          <cell r="C28" t="str">
            <v>공구손료</v>
          </cell>
          <cell r="D28" t="str">
            <v>인건비의 3%</v>
          </cell>
          <cell r="E28" t="str">
            <v>식</v>
          </cell>
          <cell r="S28">
            <v>0</v>
          </cell>
        </row>
        <row r="29">
          <cell r="A29">
            <v>29</v>
          </cell>
          <cell r="C29" t="str">
            <v>전선관</v>
          </cell>
          <cell r="D29" t="str">
            <v>ST  16C</v>
          </cell>
          <cell r="E29" t="str">
            <v>m</v>
          </cell>
          <cell r="H29">
            <v>820</v>
          </cell>
          <cell r="I29">
            <v>932</v>
          </cell>
          <cell r="J29">
            <v>866</v>
          </cell>
          <cell r="K29">
            <v>913</v>
          </cell>
          <cell r="S29">
            <v>913</v>
          </cell>
          <cell r="U29">
            <v>0.1</v>
          </cell>
          <cell r="V29" t="str">
            <v>내선</v>
          </cell>
          <cell r="W29">
            <v>0.08</v>
          </cell>
        </row>
        <row r="30">
          <cell r="A30">
            <v>30</v>
          </cell>
          <cell r="B30" t="str">
            <v>노출</v>
          </cell>
          <cell r="C30" t="str">
            <v>전선관(노출)</v>
          </cell>
          <cell r="D30" t="str">
            <v>ST  16C</v>
          </cell>
          <cell r="E30" t="str">
            <v>m</v>
          </cell>
          <cell r="H30">
            <v>820</v>
          </cell>
          <cell r="I30">
            <v>932</v>
          </cell>
          <cell r="J30">
            <v>866</v>
          </cell>
          <cell r="K30">
            <v>913</v>
          </cell>
          <cell r="S30">
            <v>913</v>
          </cell>
          <cell r="U30">
            <v>0.1</v>
          </cell>
          <cell r="V30" t="str">
            <v>내선</v>
          </cell>
          <cell r="W30">
            <v>9.6000000000000002E-2</v>
          </cell>
        </row>
        <row r="31">
          <cell r="A31">
            <v>31</v>
          </cell>
          <cell r="C31" t="str">
            <v>전선관</v>
          </cell>
          <cell r="D31" t="str">
            <v>ST  22C</v>
          </cell>
          <cell r="E31" t="str">
            <v>m</v>
          </cell>
          <cell r="H31">
            <v>820</v>
          </cell>
          <cell r="I31">
            <v>1192</v>
          </cell>
          <cell r="J31">
            <v>866</v>
          </cell>
          <cell r="K31">
            <v>1169</v>
          </cell>
          <cell r="S31">
            <v>1169</v>
          </cell>
          <cell r="U31">
            <v>0.1</v>
          </cell>
          <cell r="V31" t="str">
            <v>내선</v>
          </cell>
          <cell r="W31">
            <v>0.11</v>
          </cell>
        </row>
        <row r="32">
          <cell r="A32">
            <v>32</v>
          </cell>
          <cell r="B32" t="str">
            <v>노출</v>
          </cell>
          <cell r="C32" t="str">
            <v>전선관(노출)</v>
          </cell>
          <cell r="D32" t="str">
            <v>ST  22C</v>
          </cell>
          <cell r="E32" t="str">
            <v>m</v>
          </cell>
          <cell r="H32">
            <v>820</v>
          </cell>
          <cell r="I32">
            <v>1192</v>
          </cell>
          <cell r="J32">
            <v>866</v>
          </cell>
          <cell r="K32">
            <v>1169</v>
          </cell>
          <cell r="S32">
            <v>1169</v>
          </cell>
          <cell r="U32">
            <v>0.1</v>
          </cell>
          <cell r="V32" t="str">
            <v>내선</v>
          </cell>
          <cell r="W32">
            <v>0.13200000000000001</v>
          </cell>
        </row>
        <row r="33">
          <cell r="A33">
            <v>33</v>
          </cell>
          <cell r="C33" t="str">
            <v>전선관</v>
          </cell>
          <cell r="D33" t="str">
            <v>ST  28C</v>
          </cell>
          <cell r="E33" t="str">
            <v>m</v>
          </cell>
          <cell r="H33">
            <v>820</v>
          </cell>
          <cell r="I33">
            <v>1566</v>
          </cell>
          <cell r="J33">
            <v>866</v>
          </cell>
          <cell r="K33">
            <v>1526</v>
          </cell>
          <cell r="S33">
            <v>1526</v>
          </cell>
          <cell r="U33">
            <v>0.1</v>
          </cell>
          <cell r="V33" t="str">
            <v>내선</v>
          </cell>
          <cell r="W33">
            <v>0.14000000000000001</v>
          </cell>
        </row>
        <row r="34">
          <cell r="A34">
            <v>34</v>
          </cell>
          <cell r="B34" t="str">
            <v>노출</v>
          </cell>
          <cell r="C34" t="str">
            <v>전선관(노출)</v>
          </cell>
          <cell r="D34" t="str">
            <v>ST  28C</v>
          </cell>
          <cell r="E34" t="str">
            <v>m</v>
          </cell>
          <cell r="H34">
            <v>820</v>
          </cell>
          <cell r="I34">
            <v>1566</v>
          </cell>
          <cell r="J34">
            <v>866</v>
          </cell>
          <cell r="K34">
            <v>1526</v>
          </cell>
          <cell r="S34">
            <v>1526</v>
          </cell>
          <cell r="U34">
            <v>0.1</v>
          </cell>
          <cell r="V34" t="str">
            <v>내선</v>
          </cell>
          <cell r="W34">
            <v>0.16800000000000001</v>
          </cell>
        </row>
        <row r="35">
          <cell r="A35">
            <v>35</v>
          </cell>
          <cell r="C35" t="str">
            <v>전선관</v>
          </cell>
          <cell r="D35" t="str">
            <v>ST  36C</v>
          </cell>
          <cell r="E35" t="str">
            <v>m</v>
          </cell>
          <cell r="H35">
            <v>820</v>
          </cell>
          <cell r="I35">
            <v>1921</v>
          </cell>
          <cell r="J35">
            <v>866</v>
          </cell>
          <cell r="K35">
            <v>1873</v>
          </cell>
          <cell r="S35">
            <v>1873</v>
          </cell>
          <cell r="U35">
            <v>0.1</v>
          </cell>
          <cell r="V35" t="str">
            <v>내선</v>
          </cell>
          <cell r="W35">
            <v>0.2</v>
          </cell>
        </row>
        <row r="36">
          <cell r="A36">
            <v>36</v>
          </cell>
          <cell r="B36" t="str">
            <v>노출</v>
          </cell>
          <cell r="C36" t="str">
            <v>전선관(노출)</v>
          </cell>
          <cell r="D36" t="str">
            <v>ST  36C</v>
          </cell>
          <cell r="E36" t="str">
            <v>m</v>
          </cell>
          <cell r="H36">
            <v>820</v>
          </cell>
          <cell r="I36">
            <v>1921</v>
          </cell>
          <cell r="J36">
            <v>866</v>
          </cell>
          <cell r="K36">
            <v>1873</v>
          </cell>
          <cell r="S36">
            <v>1873</v>
          </cell>
          <cell r="U36">
            <v>0.1</v>
          </cell>
          <cell r="V36" t="str">
            <v>내선</v>
          </cell>
          <cell r="W36">
            <v>0.24</v>
          </cell>
        </row>
        <row r="37">
          <cell r="A37">
            <v>37</v>
          </cell>
          <cell r="C37" t="str">
            <v>전선관</v>
          </cell>
          <cell r="D37" t="str">
            <v>ST  42C</v>
          </cell>
          <cell r="E37" t="str">
            <v>m</v>
          </cell>
          <cell r="H37">
            <v>820</v>
          </cell>
          <cell r="I37">
            <v>2224</v>
          </cell>
          <cell r="J37">
            <v>866</v>
          </cell>
          <cell r="K37">
            <v>2171</v>
          </cell>
          <cell r="S37">
            <v>2171</v>
          </cell>
          <cell r="U37">
            <v>0.1</v>
          </cell>
          <cell r="V37" t="str">
            <v>내선</v>
          </cell>
          <cell r="W37">
            <v>0.25</v>
          </cell>
        </row>
        <row r="38">
          <cell r="A38">
            <v>38</v>
          </cell>
          <cell r="B38" t="str">
            <v>노출</v>
          </cell>
          <cell r="C38" t="str">
            <v>전선관(노출)</v>
          </cell>
          <cell r="D38" t="str">
            <v>ST  42C</v>
          </cell>
          <cell r="E38" t="str">
            <v>m</v>
          </cell>
          <cell r="H38">
            <v>820</v>
          </cell>
          <cell r="I38">
            <v>2224</v>
          </cell>
          <cell r="J38">
            <v>866</v>
          </cell>
          <cell r="K38">
            <v>2171</v>
          </cell>
          <cell r="S38">
            <v>2171</v>
          </cell>
          <cell r="U38">
            <v>0.1</v>
          </cell>
          <cell r="V38" t="str">
            <v>내선</v>
          </cell>
          <cell r="W38">
            <v>0.3</v>
          </cell>
        </row>
        <row r="39">
          <cell r="A39">
            <v>39</v>
          </cell>
          <cell r="C39" t="str">
            <v>전선관</v>
          </cell>
          <cell r="D39" t="str">
            <v>ST  54C</v>
          </cell>
          <cell r="E39" t="str">
            <v>m</v>
          </cell>
          <cell r="H39">
            <v>820</v>
          </cell>
          <cell r="I39">
            <v>3104</v>
          </cell>
          <cell r="J39">
            <v>866</v>
          </cell>
          <cell r="K39">
            <v>3027</v>
          </cell>
          <cell r="S39">
            <v>3027</v>
          </cell>
          <cell r="U39">
            <v>0.1</v>
          </cell>
          <cell r="V39" t="str">
            <v>내선</v>
          </cell>
          <cell r="W39">
            <v>0.34</v>
          </cell>
        </row>
        <row r="40">
          <cell r="A40">
            <v>40</v>
          </cell>
          <cell r="B40" t="str">
            <v>노출</v>
          </cell>
          <cell r="C40" t="str">
            <v>전선관(노출)</v>
          </cell>
          <cell r="D40" t="str">
            <v>ST  54C</v>
          </cell>
          <cell r="E40" t="str">
            <v>m</v>
          </cell>
          <cell r="H40">
            <v>820</v>
          </cell>
          <cell r="I40">
            <v>3104</v>
          </cell>
          <cell r="J40">
            <v>866</v>
          </cell>
          <cell r="K40">
            <v>3027</v>
          </cell>
          <cell r="S40">
            <v>3027</v>
          </cell>
          <cell r="U40">
            <v>0.1</v>
          </cell>
          <cell r="V40" t="str">
            <v>내선</v>
          </cell>
          <cell r="W40">
            <v>0.40800000000000003</v>
          </cell>
        </row>
        <row r="41">
          <cell r="A41">
            <v>41</v>
          </cell>
          <cell r="C41" t="str">
            <v>전선관</v>
          </cell>
          <cell r="D41" t="str">
            <v>ST  70C</v>
          </cell>
          <cell r="E41" t="str">
            <v>m</v>
          </cell>
          <cell r="H41">
            <v>820</v>
          </cell>
          <cell r="I41">
            <v>3950</v>
          </cell>
          <cell r="J41">
            <v>866</v>
          </cell>
          <cell r="K41">
            <v>3851</v>
          </cell>
          <cell r="S41">
            <v>3851</v>
          </cell>
          <cell r="U41">
            <v>0.1</v>
          </cell>
          <cell r="V41" t="str">
            <v>내선</v>
          </cell>
          <cell r="W41">
            <v>0.44</v>
          </cell>
        </row>
        <row r="42">
          <cell r="A42">
            <v>42</v>
          </cell>
          <cell r="B42" t="str">
            <v>노출</v>
          </cell>
          <cell r="C42" t="str">
            <v>전선관(노출)</v>
          </cell>
          <cell r="D42" t="str">
            <v>ST  70C</v>
          </cell>
          <cell r="E42" t="str">
            <v>m</v>
          </cell>
          <cell r="H42">
            <v>820</v>
          </cell>
          <cell r="I42">
            <v>3950</v>
          </cell>
          <cell r="J42">
            <v>866</v>
          </cell>
          <cell r="K42">
            <v>3851</v>
          </cell>
          <cell r="S42">
            <v>3851</v>
          </cell>
          <cell r="U42">
            <v>0.1</v>
          </cell>
          <cell r="V42" t="str">
            <v>내선</v>
          </cell>
          <cell r="W42">
            <v>0.52800000000000002</v>
          </cell>
        </row>
        <row r="43">
          <cell r="A43">
            <v>43</v>
          </cell>
          <cell r="C43" t="str">
            <v>전선관</v>
          </cell>
          <cell r="D43" t="str">
            <v>ST  82C</v>
          </cell>
          <cell r="E43" t="str">
            <v>m</v>
          </cell>
          <cell r="H43">
            <v>820</v>
          </cell>
          <cell r="I43">
            <v>4424</v>
          </cell>
          <cell r="J43">
            <v>866</v>
          </cell>
          <cell r="K43">
            <v>4324</v>
          </cell>
          <cell r="S43">
            <v>4324</v>
          </cell>
          <cell r="U43">
            <v>0.1</v>
          </cell>
          <cell r="V43" t="str">
            <v>내선</v>
          </cell>
          <cell r="W43">
            <v>0.54</v>
          </cell>
        </row>
        <row r="44">
          <cell r="A44">
            <v>44</v>
          </cell>
          <cell r="B44" t="str">
            <v>노출</v>
          </cell>
          <cell r="C44" t="str">
            <v>전선관(노출)</v>
          </cell>
          <cell r="D44" t="str">
            <v>ST  82C</v>
          </cell>
          <cell r="E44" t="str">
            <v>m</v>
          </cell>
          <cell r="H44">
            <v>820</v>
          </cell>
          <cell r="I44">
            <v>4424</v>
          </cell>
          <cell r="J44">
            <v>866</v>
          </cell>
          <cell r="K44">
            <v>4324</v>
          </cell>
          <cell r="S44">
            <v>4324</v>
          </cell>
          <cell r="U44">
            <v>0.1</v>
          </cell>
          <cell r="V44" t="str">
            <v>내선</v>
          </cell>
          <cell r="W44">
            <v>0.64800000000000002</v>
          </cell>
        </row>
        <row r="45">
          <cell r="A45">
            <v>45</v>
          </cell>
          <cell r="C45" t="str">
            <v>전선관</v>
          </cell>
          <cell r="D45" t="str">
            <v>ST  104C</v>
          </cell>
          <cell r="E45" t="str">
            <v>m</v>
          </cell>
          <cell r="H45">
            <v>820</v>
          </cell>
          <cell r="I45">
            <v>7081</v>
          </cell>
          <cell r="J45">
            <v>866</v>
          </cell>
          <cell r="K45">
            <v>6889</v>
          </cell>
          <cell r="S45">
            <v>6889</v>
          </cell>
          <cell r="U45">
            <v>0.1</v>
          </cell>
          <cell r="V45" t="str">
            <v>내선</v>
          </cell>
          <cell r="W45">
            <v>0.71</v>
          </cell>
        </row>
        <row r="46">
          <cell r="A46">
            <v>46</v>
          </cell>
          <cell r="B46" t="str">
            <v>노출</v>
          </cell>
          <cell r="C46" t="str">
            <v>전선관(노출)</v>
          </cell>
          <cell r="D46" t="str">
            <v>ST  104C</v>
          </cell>
          <cell r="E46" t="str">
            <v>m</v>
          </cell>
          <cell r="H46">
            <v>820</v>
          </cell>
          <cell r="I46">
            <v>7081</v>
          </cell>
          <cell r="J46">
            <v>866</v>
          </cell>
          <cell r="K46">
            <v>6889</v>
          </cell>
          <cell r="S46">
            <v>6889</v>
          </cell>
          <cell r="U46">
            <v>0.1</v>
          </cell>
          <cell r="V46" t="str">
            <v>내선</v>
          </cell>
          <cell r="W46">
            <v>0.85199999999999998</v>
          </cell>
        </row>
        <row r="47">
          <cell r="A47">
            <v>47</v>
          </cell>
          <cell r="S47" t="str">
            <v/>
          </cell>
        </row>
        <row r="48">
          <cell r="A48">
            <v>48</v>
          </cell>
          <cell r="S48" t="str">
            <v/>
          </cell>
        </row>
        <row r="49">
          <cell r="A49">
            <v>49</v>
          </cell>
          <cell r="C49" t="str">
            <v>전선관</v>
          </cell>
          <cell r="D49" t="str">
            <v>HI-PVC  16C</v>
          </cell>
          <cell r="E49" t="str">
            <v>m</v>
          </cell>
          <cell r="H49">
            <v>824</v>
          </cell>
          <cell r="I49">
            <v>372</v>
          </cell>
          <cell r="J49">
            <v>866</v>
          </cell>
          <cell r="K49">
            <v>291</v>
          </cell>
          <cell r="S49">
            <v>291</v>
          </cell>
          <cell r="U49">
            <v>0.1</v>
          </cell>
          <cell r="V49" t="str">
            <v>내선</v>
          </cell>
          <cell r="W49">
            <v>0.05</v>
          </cell>
        </row>
        <row r="50">
          <cell r="A50">
            <v>50</v>
          </cell>
          <cell r="B50" t="str">
            <v>지중매설</v>
          </cell>
          <cell r="C50" t="str">
            <v>전선관</v>
          </cell>
          <cell r="D50" t="str">
            <v>HI-PVC  16C</v>
          </cell>
          <cell r="E50" t="str">
            <v>m</v>
          </cell>
          <cell r="H50">
            <v>824</v>
          </cell>
          <cell r="I50">
            <v>372</v>
          </cell>
          <cell r="J50">
            <v>866</v>
          </cell>
          <cell r="K50">
            <v>291</v>
          </cell>
          <cell r="S50">
            <v>291</v>
          </cell>
          <cell r="U50">
            <v>0.1</v>
          </cell>
          <cell r="V50" t="str">
            <v>내선</v>
          </cell>
          <cell r="W50">
            <v>3.4999999999999996E-2</v>
          </cell>
        </row>
        <row r="51">
          <cell r="A51">
            <v>51</v>
          </cell>
          <cell r="C51" t="str">
            <v>전선관</v>
          </cell>
          <cell r="D51" t="str">
            <v>HI-PVC  22C</v>
          </cell>
          <cell r="E51" t="str">
            <v>m</v>
          </cell>
          <cell r="H51">
            <v>824</v>
          </cell>
          <cell r="I51">
            <v>448</v>
          </cell>
          <cell r="J51">
            <v>866</v>
          </cell>
          <cell r="K51">
            <v>347</v>
          </cell>
          <cell r="S51">
            <v>347</v>
          </cell>
          <cell r="U51">
            <v>0.1</v>
          </cell>
          <cell r="V51" t="str">
            <v>내선</v>
          </cell>
          <cell r="W51">
            <v>0.06</v>
          </cell>
        </row>
        <row r="52">
          <cell r="A52">
            <v>52</v>
          </cell>
          <cell r="B52" t="str">
            <v>지중매설</v>
          </cell>
          <cell r="C52" t="str">
            <v>전선관</v>
          </cell>
          <cell r="D52" t="str">
            <v>HI-PVC  22C</v>
          </cell>
          <cell r="E52" t="str">
            <v>m</v>
          </cell>
          <cell r="H52">
            <v>824</v>
          </cell>
          <cell r="I52">
            <v>448</v>
          </cell>
          <cell r="J52">
            <v>866</v>
          </cell>
          <cell r="K52">
            <v>347</v>
          </cell>
          <cell r="S52">
            <v>347</v>
          </cell>
          <cell r="U52">
            <v>0.1</v>
          </cell>
          <cell r="V52" t="str">
            <v>내선</v>
          </cell>
          <cell r="W52">
            <v>4.1999999999999996E-2</v>
          </cell>
        </row>
        <row r="53">
          <cell r="A53">
            <v>53</v>
          </cell>
          <cell r="C53" t="str">
            <v>전선관</v>
          </cell>
          <cell r="D53" t="str">
            <v>HI-PVC  28C</v>
          </cell>
          <cell r="E53" t="str">
            <v>m</v>
          </cell>
          <cell r="H53">
            <v>824</v>
          </cell>
          <cell r="I53">
            <v>802</v>
          </cell>
          <cell r="J53">
            <v>866</v>
          </cell>
          <cell r="K53">
            <v>677</v>
          </cell>
          <cell r="S53">
            <v>677</v>
          </cell>
          <cell r="U53">
            <v>0.1</v>
          </cell>
          <cell r="V53" t="str">
            <v>내선</v>
          </cell>
          <cell r="W53">
            <v>0.08</v>
          </cell>
        </row>
        <row r="54">
          <cell r="A54">
            <v>54</v>
          </cell>
          <cell r="B54" t="str">
            <v>지중매설</v>
          </cell>
          <cell r="C54" t="str">
            <v>전선관</v>
          </cell>
          <cell r="D54" t="str">
            <v>HI-PVC  28C</v>
          </cell>
          <cell r="E54" t="str">
            <v>m</v>
          </cell>
          <cell r="H54">
            <v>824</v>
          </cell>
          <cell r="I54">
            <v>802</v>
          </cell>
          <cell r="J54">
            <v>866</v>
          </cell>
          <cell r="K54">
            <v>677</v>
          </cell>
          <cell r="S54">
            <v>677</v>
          </cell>
          <cell r="U54">
            <v>0.1</v>
          </cell>
          <cell r="V54" t="str">
            <v>내선</v>
          </cell>
          <cell r="W54">
            <v>5.5999999999999994E-2</v>
          </cell>
        </row>
        <row r="55">
          <cell r="A55">
            <v>55</v>
          </cell>
          <cell r="C55" t="str">
            <v>전선관</v>
          </cell>
          <cell r="D55" t="str">
            <v>HI-PVC  36C</v>
          </cell>
          <cell r="E55" t="str">
            <v>m</v>
          </cell>
          <cell r="H55">
            <v>824</v>
          </cell>
          <cell r="I55">
            <v>1138</v>
          </cell>
          <cell r="J55">
            <v>866</v>
          </cell>
          <cell r="K55">
            <v>947</v>
          </cell>
          <cell r="S55">
            <v>947</v>
          </cell>
          <cell r="U55">
            <v>0.1</v>
          </cell>
          <cell r="V55" t="str">
            <v>내선</v>
          </cell>
          <cell r="W55">
            <v>0.1</v>
          </cell>
        </row>
        <row r="56">
          <cell r="A56">
            <v>56</v>
          </cell>
          <cell r="B56" t="str">
            <v>지중매설</v>
          </cell>
          <cell r="C56" t="str">
            <v>전선관</v>
          </cell>
          <cell r="D56" t="str">
            <v>HI-PVC  36C</v>
          </cell>
          <cell r="E56" t="str">
            <v>m</v>
          </cell>
          <cell r="H56">
            <v>824</v>
          </cell>
          <cell r="I56">
            <v>1138</v>
          </cell>
          <cell r="J56">
            <v>866</v>
          </cell>
          <cell r="K56">
            <v>947</v>
          </cell>
          <cell r="S56">
            <v>947</v>
          </cell>
          <cell r="U56">
            <v>0.1</v>
          </cell>
          <cell r="V56" t="str">
            <v>내선</v>
          </cell>
          <cell r="W56">
            <v>6.9999999999999993E-2</v>
          </cell>
        </row>
        <row r="57">
          <cell r="A57">
            <v>57</v>
          </cell>
          <cell r="C57" t="str">
            <v>전선관</v>
          </cell>
          <cell r="D57" t="str">
            <v>HI-PVC  42C</v>
          </cell>
          <cell r="E57" t="str">
            <v>m</v>
          </cell>
          <cell r="H57">
            <v>824</v>
          </cell>
          <cell r="I57">
            <v>1484</v>
          </cell>
          <cell r="J57">
            <v>866</v>
          </cell>
          <cell r="K57">
            <v>1241</v>
          </cell>
          <cell r="S57">
            <v>1241</v>
          </cell>
          <cell r="U57">
            <v>0.1</v>
          </cell>
          <cell r="V57" t="str">
            <v>내선</v>
          </cell>
          <cell r="W57">
            <v>0.13</v>
          </cell>
        </row>
        <row r="58">
          <cell r="A58">
            <v>58</v>
          </cell>
          <cell r="B58" t="str">
            <v>지중매설</v>
          </cell>
          <cell r="C58" t="str">
            <v>전선관</v>
          </cell>
          <cell r="D58" t="str">
            <v>HI-PVC  42C</v>
          </cell>
          <cell r="E58" t="str">
            <v>m</v>
          </cell>
          <cell r="H58">
            <v>824</v>
          </cell>
          <cell r="I58">
            <v>1484</v>
          </cell>
          <cell r="J58">
            <v>866</v>
          </cell>
          <cell r="K58">
            <v>1241</v>
          </cell>
          <cell r="S58">
            <v>1241</v>
          </cell>
          <cell r="U58">
            <v>0.1</v>
          </cell>
          <cell r="V58" t="str">
            <v>내선</v>
          </cell>
          <cell r="W58">
            <v>9.0999999999999998E-2</v>
          </cell>
        </row>
        <row r="59">
          <cell r="A59">
            <v>59</v>
          </cell>
          <cell r="C59" t="str">
            <v>전선관</v>
          </cell>
          <cell r="D59" t="str">
            <v>HI-PVC  54C</v>
          </cell>
          <cell r="E59" t="str">
            <v>m</v>
          </cell>
          <cell r="H59">
            <v>824</v>
          </cell>
          <cell r="I59">
            <v>2106</v>
          </cell>
          <cell r="J59">
            <v>866</v>
          </cell>
          <cell r="K59">
            <v>1761</v>
          </cell>
          <cell r="S59">
            <v>1761</v>
          </cell>
          <cell r="U59">
            <v>0.1</v>
          </cell>
          <cell r="V59" t="str">
            <v>내선</v>
          </cell>
          <cell r="W59">
            <v>0.19</v>
          </cell>
        </row>
        <row r="60">
          <cell r="A60">
            <v>60</v>
          </cell>
          <cell r="B60" t="str">
            <v>지중매설</v>
          </cell>
          <cell r="C60" t="str">
            <v>전선관</v>
          </cell>
          <cell r="D60" t="str">
            <v>HI-PVC  54C</v>
          </cell>
          <cell r="E60" t="str">
            <v>m</v>
          </cell>
          <cell r="H60">
            <v>824</v>
          </cell>
          <cell r="I60">
            <v>2106</v>
          </cell>
          <cell r="J60">
            <v>866</v>
          </cell>
          <cell r="K60">
            <v>1761</v>
          </cell>
          <cell r="S60">
            <v>1761</v>
          </cell>
          <cell r="U60">
            <v>0.1</v>
          </cell>
          <cell r="V60" t="str">
            <v>내선</v>
          </cell>
          <cell r="W60">
            <v>0.13299999999999998</v>
          </cell>
        </row>
        <row r="61">
          <cell r="A61">
            <v>61</v>
          </cell>
          <cell r="C61" t="str">
            <v>전선관</v>
          </cell>
          <cell r="D61" t="str">
            <v>HI-PVC  70C</v>
          </cell>
          <cell r="E61" t="str">
            <v>m</v>
          </cell>
          <cell r="H61">
            <v>824</v>
          </cell>
          <cell r="I61">
            <v>2713</v>
          </cell>
          <cell r="J61">
            <v>866</v>
          </cell>
          <cell r="K61">
            <v>2267</v>
          </cell>
          <cell r="S61">
            <v>2267</v>
          </cell>
          <cell r="U61">
            <v>0.1</v>
          </cell>
          <cell r="V61" t="str">
            <v>내선</v>
          </cell>
          <cell r="W61">
            <v>0.28000000000000003</v>
          </cell>
        </row>
        <row r="62">
          <cell r="A62">
            <v>62</v>
          </cell>
          <cell r="B62" t="str">
            <v>지중매설</v>
          </cell>
          <cell r="C62" t="str">
            <v>전선관</v>
          </cell>
          <cell r="D62" t="str">
            <v>HI-PVC  70C</v>
          </cell>
          <cell r="E62" t="str">
            <v>m</v>
          </cell>
          <cell r="H62">
            <v>824</v>
          </cell>
          <cell r="I62">
            <v>2713</v>
          </cell>
          <cell r="J62">
            <v>866</v>
          </cell>
          <cell r="K62">
            <v>2267</v>
          </cell>
          <cell r="S62">
            <v>2267</v>
          </cell>
          <cell r="U62">
            <v>0.1</v>
          </cell>
          <cell r="V62" t="str">
            <v>내선</v>
          </cell>
          <cell r="W62">
            <v>0.19600000000000001</v>
          </cell>
        </row>
        <row r="63">
          <cell r="A63">
            <v>63</v>
          </cell>
          <cell r="C63" t="str">
            <v>전선관</v>
          </cell>
          <cell r="D63" t="str">
            <v>HI-PVC  82C</v>
          </cell>
          <cell r="E63" t="str">
            <v>m</v>
          </cell>
          <cell r="H63">
            <v>824</v>
          </cell>
          <cell r="I63">
            <v>4070</v>
          </cell>
          <cell r="J63">
            <v>866</v>
          </cell>
          <cell r="K63">
            <v>3455</v>
          </cell>
          <cell r="S63">
            <v>3455</v>
          </cell>
          <cell r="U63">
            <v>0.1</v>
          </cell>
          <cell r="V63" t="str">
            <v>내선</v>
          </cell>
          <cell r="W63">
            <v>0.37</v>
          </cell>
        </row>
        <row r="64">
          <cell r="A64">
            <v>64</v>
          </cell>
          <cell r="B64" t="str">
            <v>지중매설</v>
          </cell>
          <cell r="C64" t="str">
            <v>전선관</v>
          </cell>
          <cell r="D64" t="str">
            <v>HI-PVC  82C</v>
          </cell>
          <cell r="E64" t="str">
            <v>m</v>
          </cell>
          <cell r="H64">
            <v>824</v>
          </cell>
          <cell r="I64">
            <v>4070</v>
          </cell>
          <cell r="J64">
            <v>866</v>
          </cell>
          <cell r="K64">
            <v>3455</v>
          </cell>
          <cell r="S64">
            <v>3455</v>
          </cell>
          <cell r="U64">
            <v>0.1</v>
          </cell>
          <cell r="V64" t="str">
            <v>내선</v>
          </cell>
          <cell r="W64">
            <v>0.25900000000000001</v>
          </cell>
        </row>
        <row r="65">
          <cell r="A65">
            <v>65</v>
          </cell>
          <cell r="C65" t="str">
            <v>전선관</v>
          </cell>
          <cell r="D65" t="str">
            <v>HI-PVC  104C</v>
          </cell>
          <cell r="E65" t="str">
            <v>m</v>
          </cell>
          <cell r="H65">
            <v>824</v>
          </cell>
          <cell r="I65">
            <v>4897</v>
          </cell>
          <cell r="J65">
            <v>866</v>
          </cell>
          <cell r="K65">
            <v>4092</v>
          </cell>
          <cell r="S65">
            <v>4092</v>
          </cell>
          <cell r="U65">
            <v>0.1</v>
          </cell>
          <cell r="V65" t="str">
            <v>내선</v>
          </cell>
          <cell r="W65">
            <v>0.46</v>
          </cell>
        </row>
        <row r="66">
          <cell r="A66">
            <v>66</v>
          </cell>
          <cell r="B66" t="str">
            <v>지중매설</v>
          </cell>
          <cell r="C66" t="str">
            <v>전선관</v>
          </cell>
          <cell r="D66" t="str">
            <v>HI-PVC  104C</v>
          </cell>
          <cell r="E66" t="str">
            <v>m</v>
          </cell>
          <cell r="H66">
            <v>824</v>
          </cell>
          <cell r="I66">
            <v>4897</v>
          </cell>
          <cell r="J66">
            <v>866</v>
          </cell>
          <cell r="K66">
            <v>4092</v>
          </cell>
          <cell r="S66">
            <v>4092</v>
          </cell>
          <cell r="U66">
            <v>0.1</v>
          </cell>
          <cell r="V66" t="str">
            <v>내선</v>
          </cell>
          <cell r="W66">
            <v>0.32200000000000001</v>
          </cell>
        </row>
        <row r="67">
          <cell r="A67">
            <v>67</v>
          </cell>
          <cell r="S67" t="str">
            <v/>
          </cell>
        </row>
        <row r="68">
          <cell r="A68">
            <v>68</v>
          </cell>
          <cell r="C68" t="str">
            <v>전선관</v>
          </cell>
          <cell r="D68" t="str">
            <v xml:space="preserve">PE  22C  </v>
          </cell>
          <cell r="E68" t="str">
            <v>m</v>
          </cell>
          <cell r="H68">
            <v>825</v>
          </cell>
          <cell r="I68">
            <v>285</v>
          </cell>
          <cell r="J68">
            <v>867</v>
          </cell>
          <cell r="K68">
            <v>285</v>
          </cell>
          <cell r="S68">
            <v>285</v>
          </cell>
          <cell r="U68">
            <v>0.03</v>
          </cell>
          <cell r="V68" t="str">
            <v>배전</v>
          </cell>
          <cell r="W68">
            <v>7.8E-2</v>
          </cell>
        </row>
        <row r="69">
          <cell r="A69">
            <v>69</v>
          </cell>
          <cell r="C69" t="str">
            <v>전선관</v>
          </cell>
          <cell r="D69" t="str">
            <v>PE  28C</v>
          </cell>
          <cell r="E69" t="str">
            <v>m</v>
          </cell>
          <cell r="H69">
            <v>825</v>
          </cell>
          <cell r="I69">
            <v>470</v>
          </cell>
          <cell r="J69">
            <v>867</v>
          </cell>
          <cell r="K69">
            <v>470</v>
          </cell>
          <cell r="S69">
            <v>470</v>
          </cell>
          <cell r="U69">
            <v>0.03</v>
          </cell>
          <cell r="V69" t="str">
            <v>배전</v>
          </cell>
          <cell r="W69">
            <v>7.8E-2</v>
          </cell>
        </row>
        <row r="70">
          <cell r="A70">
            <v>70</v>
          </cell>
          <cell r="C70" t="str">
            <v>전선관</v>
          </cell>
          <cell r="D70" t="str">
            <v>PE  36C</v>
          </cell>
          <cell r="E70" t="str">
            <v>m</v>
          </cell>
          <cell r="H70">
            <v>825</v>
          </cell>
          <cell r="I70">
            <v>700</v>
          </cell>
          <cell r="J70">
            <v>867</v>
          </cell>
          <cell r="K70">
            <v>700</v>
          </cell>
          <cell r="S70">
            <v>700</v>
          </cell>
          <cell r="U70">
            <v>0.03</v>
          </cell>
          <cell r="V70" t="str">
            <v>배전</v>
          </cell>
          <cell r="W70">
            <v>7.8E-2</v>
          </cell>
        </row>
        <row r="71">
          <cell r="A71">
            <v>71</v>
          </cell>
          <cell r="C71" t="str">
            <v>전선관</v>
          </cell>
          <cell r="D71" t="str">
            <v>PE  42C</v>
          </cell>
          <cell r="E71" t="str">
            <v>m</v>
          </cell>
          <cell r="H71">
            <v>825</v>
          </cell>
          <cell r="I71">
            <v>820</v>
          </cell>
          <cell r="J71">
            <v>867</v>
          </cell>
          <cell r="K71">
            <v>820</v>
          </cell>
          <cell r="S71">
            <v>820</v>
          </cell>
          <cell r="U71">
            <v>0.03</v>
          </cell>
          <cell r="V71" t="str">
            <v>배전</v>
          </cell>
          <cell r="W71">
            <v>7.8E-2</v>
          </cell>
        </row>
        <row r="72">
          <cell r="A72">
            <v>72</v>
          </cell>
          <cell r="C72" t="str">
            <v>전선관</v>
          </cell>
          <cell r="D72" t="str">
            <v>PE  54C</v>
          </cell>
          <cell r="E72" t="str">
            <v>m</v>
          </cell>
          <cell r="H72">
            <v>825</v>
          </cell>
          <cell r="I72">
            <v>1235</v>
          </cell>
          <cell r="J72">
            <v>867</v>
          </cell>
          <cell r="K72">
            <v>1235</v>
          </cell>
          <cell r="S72">
            <v>1235</v>
          </cell>
          <cell r="U72">
            <v>0.03</v>
          </cell>
          <cell r="V72" t="str">
            <v>배전</v>
          </cell>
          <cell r="W72">
            <v>7.8E-2</v>
          </cell>
        </row>
        <row r="73">
          <cell r="A73">
            <v>73</v>
          </cell>
          <cell r="C73" t="str">
            <v>전선관</v>
          </cell>
          <cell r="D73" t="str">
            <v>PE  70C</v>
          </cell>
          <cell r="E73" t="str">
            <v>m</v>
          </cell>
          <cell r="H73">
            <v>825</v>
          </cell>
          <cell r="I73">
            <v>1715</v>
          </cell>
          <cell r="J73">
            <v>867</v>
          </cell>
          <cell r="K73">
            <v>1715</v>
          </cell>
          <cell r="S73">
            <v>1715</v>
          </cell>
          <cell r="U73">
            <v>0.03</v>
          </cell>
          <cell r="V73" t="str">
            <v>배전</v>
          </cell>
          <cell r="W73">
            <v>7.8E-2</v>
          </cell>
        </row>
        <row r="74">
          <cell r="A74">
            <v>74</v>
          </cell>
          <cell r="C74" t="str">
            <v>전선관</v>
          </cell>
          <cell r="D74" t="str">
            <v>PE  82C</v>
          </cell>
          <cell r="E74" t="str">
            <v>m</v>
          </cell>
          <cell r="H74">
            <v>825</v>
          </cell>
          <cell r="I74">
            <v>2430</v>
          </cell>
          <cell r="J74">
            <v>867</v>
          </cell>
          <cell r="K74">
            <v>2430</v>
          </cell>
          <cell r="S74">
            <v>2430</v>
          </cell>
          <cell r="U74">
            <v>0.03</v>
          </cell>
          <cell r="V74" t="str">
            <v>배전</v>
          </cell>
          <cell r="W74">
            <v>9.1199999999999989E-2</v>
          </cell>
        </row>
        <row r="75">
          <cell r="A75">
            <v>75</v>
          </cell>
          <cell r="C75" t="str">
            <v>전선관</v>
          </cell>
          <cell r="D75" t="str">
            <v>PE  100C</v>
          </cell>
          <cell r="E75" t="str">
            <v>m</v>
          </cell>
          <cell r="H75">
            <v>825</v>
          </cell>
          <cell r="I75">
            <v>3575</v>
          </cell>
          <cell r="J75">
            <v>867</v>
          </cell>
          <cell r="K75">
            <v>3575</v>
          </cell>
          <cell r="S75">
            <v>3575</v>
          </cell>
          <cell r="U75">
            <v>0.03</v>
          </cell>
          <cell r="V75" t="str">
            <v>배전</v>
          </cell>
          <cell r="W75">
            <v>9.1199999999999989E-2</v>
          </cell>
        </row>
        <row r="76">
          <cell r="A76">
            <v>76</v>
          </cell>
          <cell r="B76" t="str">
            <v>통신</v>
          </cell>
          <cell r="C76" t="str">
            <v>전선관</v>
          </cell>
          <cell r="D76" t="str">
            <v xml:space="preserve">ELPφ30  </v>
          </cell>
          <cell r="E76" t="str">
            <v>m</v>
          </cell>
          <cell r="H76">
            <v>825</v>
          </cell>
          <cell r="I76">
            <v>470</v>
          </cell>
          <cell r="J76">
            <v>867</v>
          </cell>
          <cell r="K76">
            <v>310</v>
          </cell>
          <cell r="S76">
            <v>310</v>
          </cell>
          <cell r="U76">
            <v>0.02</v>
          </cell>
          <cell r="V76" t="str">
            <v>배관</v>
          </cell>
          <cell r="W76">
            <v>1.2E-2</v>
          </cell>
          <cell r="X76" t="str">
            <v>보인</v>
          </cell>
          <cell r="Y76">
            <v>2.9000000000000001E-2</v>
          </cell>
        </row>
        <row r="77">
          <cell r="A77">
            <v>77</v>
          </cell>
          <cell r="C77" t="str">
            <v>전선관</v>
          </cell>
          <cell r="D77" t="str">
            <v xml:space="preserve">ELPφ30  </v>
          </cell>
          <cell r="E77" t="str">
            <v>m</v>
          </cell>
          <cell r="H77">
            <v>825</v>
          </cell>
          <cell r="I77">
            <v>470</v>
          </cell>
          <cell r="J77">
            <v>866</v>
          </cell>
          <cell r="K77">
            <v>310</v>
          </cell>
          <cell r="S77">
            <v>310</v>
          </cell>
          <cell r="U77">
            <v>0.03</v>
          </cell>
          <cell r="V77" t="str">
            <v>배전</v>
          </cell>
          <cell r="W77">
            <v>1.2E-2</v>
          </cell>
          <cell r="X77" t="str">
            <v>보인</v>
          </cell>
          <cell r="Y77">
            <v>2.9000000000000001E-2</v>
          </cell>
        </row>
        <row r="78">
          <cell r="A78">
            <v>78</v>
          </cell>
          <cell r="C78" t="str">
            <v>전선관</v>
          </cell>
          <cell r="D78" t="str">
            <v xml:space="preserve">ELPφ40  </v>
          </cell>
          <cell r="E78" t="str">
            <v>m</v>
          </cell>
          <cell r="H78">
            <v>825</v>
          </cell>
          <cell r="I78">
            <v>690</v>
          </cell>
          <cell r="J78">
            <v>866</v>
          </cell>
          <cell r="K78">
            <v>500</v>
          </cell>
          <cell r="S78">
            <v>500</v>
          </cell>
          <cell r="U78">
            <v>0.03</v>
          </cell>
          <cell r="V78" t="str">
            <v>배전</v>
          </cell>
          <cell r="W78">
            <v>1.2E-2</v>
          </cell>
          <cell r="X78" t="str">
            <v>보인</v>
          </cell>
          <cell r="Y78">
            <v>2.9000000000000001E-2</v>
          </cell>
        </row>
        <row r="79">
          <cell r="A79">
            <v>79</v>
          </cell>
          <cell r="C79" t="str">
            <v>전선관</v>
          </cell>
          <cell r="D79" t="str">
            <v xml:space="preserve">ELPφ50  </v>
          </cell>
          <cell r="E79" t="str">
            <v>m</v>
          </cell>
          <cell r="H79">
            <v>825</v>
          </cell>
          <cell r="I79">
            <v>860</v>
          </cell>
          <cell r="J79">
            <v>866</v>
          </cell>
          <cell r="K79">
            <v>640</v>
          </cell>
          <cell r="S79">
            <v>640</v>
          </cell>
          <cell r="U79">
            <v>0.03</v>
          </cell>
          <cell r="V79" t="str">
            <v>배전</v>
          </cell>
          <cell r="W79">
            <v>1.2E-2</v>
          </cell>
          <cell r="X79" t="str">
            <v>보인</v>
          </cell>
          <cell r="Y79">
            <v>2.9000000000000001E-2</v>
          </cell>
        </row>
        <row r="80">
          <cell r="A80">
            <v>80</v>
          </cell>
          <cell r="C80" t="str">
            <v>전선관</v>
          </cell>
          <cell r="D80" t="str">
            <v>ELPφ65</v>
          </cell>
          <cell r="E80" t="str">
            <v>m</v>
          </cell>
          <cell r="H80">
            <v>825</v>
          </cell>
          <cell r="I80">
            <v>1290</v>
          </cell>
          <cell r="J80">
            <v>866</v>
          </cell>
          <cell r="K80">
            <v>970</v>
          </cell>
          <cell r="S80">
            <v>970</v>
          </cell>
          <cell r="U80">
            <v>0.03</v>
          </cell>
          <cell r="V80" t="str">
            <v>배전</v>
          </cell>
          <cell r="W80">
            <v>1.4999999999999999E-2</v>
          </cell>
          <cell r="X80" t="str">
            <v>보인</v>
          </cell>
          <cell r="Y80">
            <v>3.5000000000000003E-2</v>
          </cell>
        </row>
        <row r="81">
          <cell r="A81">
            <v>81</v>
          </cell>
          <cell r="C81" t="str">
            <v>전선관</v>
          </cell>
          <cell r="D81" t="str">
            <v>ELPφ80</v>
          </cell>
          <cell r="E81" t="str">
            <v>m</v>
          </cell>
          <cell r="H81">
            <v>825</v>
          </cell>
          <cell r="I81">
            <v>1860</v>
          </cell>
          <cell r="J81">
            <v>867</v>
          </cell>
          <cell r="K81">
            <v>1300</v>
          </cell>
          <cell r="S81">
            <v>1300</v>
          </cell>
          <cell r="U81">
            <v>0.03</v>
          </cell>
          <cell r="V81" t="str">
            <v>배전</v>
          </cell>
          <cell r="W81">
            <v>1.4999999999999999E-2</v>
          </cell>
          <cell r="X81" t="str">
            <v>보인</v>
          </cell>
          <cell r="Y81">
            <v>3.5000000000000003E-2</v>
          </cell>
        </row>
        <row r="82">
          <cell r="A82">
            <v>82</v>
          </cell>
          <cell r="C82" t="str">
            <v>전선관</v>
          </cell>
          <cell r="D82" t="str">
            <v>ELPφ100</v>
          </cell>
          <cell r="E82" t="str">
            <v>m</v>
          </cell>
          <cell r="H82">
            <v>825</v>
          </cell>
          <cell r="I82">
            <v>2570</v>
          </cell>
          <cell r="J82">
            <v>867</v>
          </cell>
          <cell r="K82">
            <v>1600</v>
          </cell>
          <cell r="S82">
            <v>1600</v>
          </cell>
          <cell r="U82">
            <v>0.03</v>
          </cell>
          <cell r="V82" t="str">
            <v>배전</v>
          </cell>
          <cell r="W82">
            <v>1.7999999999999999E-2</v>
          </cell>
          <cell r="X82" t="str">
            <v>보인</v>
          </cell>
          <cell r="Y82">
            <v>5.7000000000000002E-2</v>
          </cell>
        </row>
        <row r="83">
          <cell r="A83">
            <v>83</v>
          </cell>
          <cell r="C83" t="str">
            <v>전선관</v>
          </cell>
          <cell r="D83" t="str">
            <v>ELPφ125</v>
          </cell>
          <cell r="E83" t="str">
            <v>m</v>
          </cell>
          <cell r="H83">
            <v>825</v>
          </cell>
          <cell r="I83">
            <v>3860</v>
          </cell>
          <cell r="J83">
            <v>867</v>
          </cell>
          <cell r="K83">
            <v>2540</v>
          </cell>
          <cell r="S83">
            <v>2540</v>
          </cell>
          <cell r="U83">
            <v>0.03</v>
          </cell>
          <cell r="V83" t="str">
            <v>배전</v>
          </cell>
          <cell r="W83">
            <v>2.5000000000000001E-2</v>
          </cell>
          <cell r="X83" t="str">
            <v>보인</v>
          </cell>
          <cell r="Y83">
            <v>7.6999999999999999E-2</v>
          </cell>
        </row>
        <row r="84">
          <cell r="A84">
            <v>84</v>
          </cell>
          <cell r="C84" t="str">
            <v>전선관</v>
          </cell>
          <cell r="D84" t="str">
            <v>ELPφ150</v>
          </cell>
          <cell r="E84" t="str">
            <v>m</v>
          </cell>
          <cell r="H84">
            <v>825</v>
          </cell>
          <cell r="I84">
            <v>4580</v>
          </cell>
          <cell r="J84">
            <v>867</v>
          </cell>
          <cell r="K84">
            <v>3280</v>
          </cell>
          <cell r="S84">
            <v>3280</v>
          </cell>
          <cell r="U84">
            <v>0.03</v>
          </cell>
          <cell r="V84" t="str">
            <v>배전</v>
          </cell>
          <cell r="W84">
            <v>0.03</v>
          </cell>
          <cell r="X84" t="str">
            <v>보인</v>
          </cell>
          <cell r="Y84">
            <v>9.7000000000000003E-2</v>
          </cell>
        </row>
        <row r="85">
          <cell r="A85">
            <v>85</v>
          </cell>
          <cell r="C85" t="str">
            <v>전선관</v>
          </cell>
          <cell r="D85" t="str">
            <v>ELPφ175</v>
          </cell>
          <cell r="E85" t="str">
            <v>m</v>
          </cell>
          <cell r="H85">
            <v>825</v>
          </cell>
          <cell r="I85">
            <v>6860</v>
          </cell>
          <cell r="J85">
            <v>867</v>
          </cell>
          <cell r="K85">
            <v>5350</v>
          </cell>
          <cell r="S85">
            <v>5350</v>
          </cell>
          <cell r="U85">
            <v>0.03</v>
          </cell>
          <cell r="V85" t="str">
            <v>배전</v>
          </cell>
          <cell r="W85">
            <v>3.5999999999999997E-2</v>
          </cell>
          <cell r="X85" t="str">
            <v>보인</v>
          </cell>
          <cell r="Y85">
            <v>0.11700000000000001</v>
          </cell>
        </row>
        <row r="86">
          <cell r="A86">
            <v>86</v>
          </cell>
          <cell r="C86" t="str">
            <v>전선관</v>
          </cell>
          <cell r="D86" t="str">
            <v>ELPφ200</v>
          </cell>
          <cell r="E86" t="str">
            <v>m</v>
          </cell>
          <cell r="H86">
            <v>825</v>
          </cell>
          <cell r="I86">
            <v>9150</v>
          </cell>
          <cell r="J86">
            <v>867</v>
          </cell>
          <cell r="K86">
            <v>6600</v>
          </cell>
          <cell r="S86">
            <v>6600</v>
          </cell>
          <cell r="U86">
            <v>0.03</v>
          </cell>
          <cell r="V86" t="str">
            <v>배전</v>
          </cell>
          <cell r="W86">
            <v>4.1000000000000002E-2</v>
          </cell>
          <cell r="X86" t="str">
            <v>보인</v>
          </cell>
          <cell r="Y86">
            <v>0.129</v>
          </cell>
        </row>
        <row r="87">
          <cell r="A87">
            <v>87</v>
          </cell>
          <cell r="S87" t="str">
            <v/>
          </cell>
        </row>
        <row r="88">
          <cell r="A88">
            <v>88</v>
          </cell>
          <cell r="S88" t="str">
            <v/>
          </cell>
        </row>
        <row r="89">
          <cell r="A89">
            <v>89</v>
          </cell>
          <cell r="C89" t="str">
            <v>FLEXIBLE  TUBE 1종</v>
          </cell>
          <cell r="D89" t="str">
            <v>고장력비방수  16C</v>
          </cell>
          <cell r="E89" t="str">
            <v>m</v>
          </cell>
          <cell r="H89">
            <v>821</v>
          </cell>
          <cell r="I89">
            <v>850</v>
          </cell>
          <cell r="J89">
            <v>869</v>
          </cell>
          <cell r="K89">
            <v>930</v>
          </cell>
          <cell r="S89">
            <v>850</v>
          </cell>
          <cell r="U89">
            <v>0.1</v>
          </cell>
          <cell r="V89" t="str">
            <v>내선</v>
          </cell>
          <cell r="W89">
            <v>3.9E-2</v>
          </cell>
        </row>
        <row r="90">
          <cell r="A90">
            <v>90</v>
          </cell>
          <cell r="C90" t="str">
            <v>FLEXIBLE  TUBE 1종</v>
          </cell>
          <cell r="D90" t="str">
            <v>고장력방수  16C</v>
          </cell>
          <cell r="E90" t="str">
            <v>m</v>
          </cell>
          <cell r="H90">
            <v>821</v>
          </cell>
          <cell r="I90">
            <v>1390</v>
          </cell>
          <cell r="J90">
            <v>869</v>
          </cell>
          <cell r="K90">
            <v>1300</v>
          </cell>
          <cell r="S90">
            <v>1300</v>
          </cell>
          <cell r="U90">
            <v>0.1</v>
          </cell>
          <cell r="V90" t="str">
            <v>내선</v>
          </cell>
          <cell r="W90">
            <v>3.9E-2</v>
          </cell>
        </row>
        <row r="91">
          <cell r="A91">
            <v>91</v>
          </cell>
          <cell r="C91" t="str">
            <v>FLEXIBLE  TUBE 1종</v>
          </cell>
          <cell r="D91" t="str">
            <v>고장력방수  22C</v>
          </cell>
          <cell r="E91" t="str">
            <v>m</v>
          </cell>
          <cell r="H91">
            <v>821</v>
          </cell>
          <cell r="I91">
            <v>1820</v>
          </cell>
          <cell r="J91">
            <v>869</v>
          </cell>
          <cell r="K91">
            <v>1610</v>
          </cell>
          <cell r="S91">
            <v>1610</v>
          </cell>
          <cell r="U91">
            <v>0.1</v>
          </cell>
          <cell r="V91" t="str">
            <v>내선</v>
          </cell>
          <cell r="W91">
            <v>4.9000000000000002E-2</v>
          </cell>
        </row>
        <row r="92">
          <cell r="A92">
            <v>92</v>
          </cell>
          <cell r="C92" t="str">
            <v>FLEXIBLE  TUBE 1종</v>
          </cell>
          <cell r="D92" t="str">
            <v>고장력방수  28C</v>
          </cell>
          <cell r="E92" t="str">
            <v>m</v>
          </cell>
          <cell r="H92">
            <v>821</v>
          </cell>
          <cell r="I92">
            <v>2170</v>
          </cell>
          <cell r="J92">
            <v>869</v>
          </cell>
          <cell r="K92">
            <v>2280</v>
          </cell>
          <cell r="S92">
            <v>2170</v>
          </cell>
          <cell r="U92">
            <v>0.1</v>
          </cell>
          <cell r="V92" t="str">
            <v>내선</v>
          </cell>
          <cell r="W92">
            <v>6.3E-2</v>
          </cell>
        </row>
        <row r="93">
          <cell r="A93">
            <v>93</v>
          </cell>
          <cell r="C93" t="str">
            <v>FLEXIBLE  TUBE 1종</v>
          </cell>
          <cell r="D93" t="str">
            <v>고장력방수  36C</v>
          </cell>
          <cell r="E93" t="str">
            <v>m</v>
          </cell>
          <cell r="H93">
            <v>821</v>
          </cell>
          <cell r="I93">
            <v>3270</v>
          </cell>
          <cell r="J93">
            <v>869</v>
          </cell>
          <cell r="K93">
            <v>3040</v>
          </cell>
          <cell r="S93">
            <v>3040</v>
          </cell>
          <cell r="U93">
            <v>0.1</v>
          </cell>
          <cell r="V93" t="str">
            <v>내선</v>
          </cell>
          <cell r="W93">
            <v>7.6999999999999999E-2</v>
          </cell>
        </row>
        <row r="94">
          <cell r="A94">
            <v>94</v>
          </cell>
          <cell r="C94" t="str">
            <v>FLEXIBLE  TUBE 1종</v>
          </cell>
          <cell r="D94" t="str">
            <v>고장력방수  42C</v>
          </cell>
          <cell r="E94" t="str">
            <v>m</v>
          </cell>
          <cell r="H94">
            <v>821</v>
          </cell>
          <cell r="I94">
            <v>5210</v>
          </cell>
          <cell r="J94">
            <v>869</v>
          </cell>
          <cell r="K94">
            <v>4750</v>
          </cell>
          <cell r="S94">
            <v>4750</v>
          </cell>
          <cell r="U94">
            <v>0.1</v>
          </cell>
          <cell r="V94" t="str">
            <v>내선</v>
          </cell>
          <cell r="W94">
            <v>9.0999999999999998E-2</v>
          </cell>
        </row>
        <row r="95">
          <cell r="A95">
            <v>95</v>
          </cell>
          <cell r="C95" t="str">
            <v>FLEXIBLE  TUBE 1종</v>
          </cell>
          <cell r="D95" t="str">
            <v>고장력방수 54C</v>
          </cell>
          <cell r="E95" t="str">
            <v>m</v>
          </cell>
          <cell r="H95">
            <v>821</v>
          </cell>
          <cell r="I95">
            <v>6200</v>
          </cell>
          <cell r="J95">
            <v>869</v>
          </cell>
          <cell r="K95">
            <v>6180</v>
          </cell>
          <cell r="S95">
            <v>6180</v>
          </cell>
          <cell r="U95">
            <v>0.1</v>
          </cell>
          <cell r="V95" t="str">
            <v>내선</v>
          </cell>
          <cell r="W95">
            <v>0.13</v>
          </cell>
        </row>
        <row r="96">
          <cell r="A96">
            <v>96</v>
          </cell>
          <cell r="C96" t="str">
            <v>FLEXIBLE  TUBE 1종</v>
          </cell>
          <cell r="D96" t="str">
            <v>고장력방수 70C</v>
          </cell>
          <cell r="E96" t="str">
            <v>m</v>
          </cell>
          <cell r="H96">
            <v>821</v>
          </cell>
          <cell r="I96">
            <v>13800</v>
          </cell>
          <cell r="J96">
            <v>869</v>
          </cell>
          <cell r="K96">
            <v>12350</v>
          </cell>
          <cell r="S96">
            <v>12350</v>
          </cell>
          <cell r="U96">
            <v>0.1</v>
          </cell>
          <cell r="V96" t="str">
            <v>내선</v>
          </cell>
          <cell r="W96">
            <v>0.15</v>
          </cell>
        </row>
        <row r="97">
          <cell r="A97">
            <v>97</v>
          </cell>
          <cell r="C97" t="str">
            <v>FLEXIBLE  TUBE 1종</v>
          </cell>
          <cell r="D97" t="str">
            <v>고장력방수 82C</v>
          </cell>
          <cell r="E97" t="str">
            <v>m</v>
          </cell>
          <cell r="H97">
            <v>821</v>
          </cell>
          <cell r="I97">
            <v>18700</v>
          </cell>
          <cell r="J97">
            <v>869</v>
          </cell>
          <cell r="K97">
            <v>18050</v>
          </cell>
          <cell r="S97">
            <v>18050</v>
          </cell>
          <cell r="U97">
            <v>0.1</v>
          </cell>
          <cell r="V97" t="str">
            <v>내선</v>
          </cell>
          <cell r="W97">
            <v>0.17</v>
          </cell>
        </row>
        <row r="98">
          <cell r="A98">
            <v>98</v>
          </cell>
          <cell r="C98" t="str">
            <v>FLEXIBLE  TUBE 1종</v>
          </cell>
          <cell r="D98" t="str">
            <v>고장력방수 104C</v>
          </cell>
          <cell r="E98" t="str">
            <v>m</v>
          </cell>
          <cell r="H98">
            <v>821</v>
          </cell>
          <cell r="I98">
            <v>27100</v>
          </cell>
          <cell r="J98">
            <v>869</v>
          </cell>
          <cell r="K98">
            <v>26650</v>
          </cell>
          <cell r="S98">
            <v>26650</v>
          </cell>
          <cell r="U98">
            <v>0.1</v>
          </cell>
          <cell r="V98" t="str">
            <v>내선</v>
          </cell>
          <cell r="W98">
            <v>0.2</v>
          </cell>
        </row>
        <row r="99">
          <cell r="A99">
            <v>99</v>
          </cell>
          <cell r="S99" t="str">
            <v/>
          </cell>
        </row>
        <row r="100">
          <cell r="A100">
            <v>100</v>
          </cell>
          <cell r="S100" t="str">
            <v/>
          </cell>
        </row>
        <row r="101">
          <cell r="A101">
            <v>101</v>
          </cell>
          <cell r="C101" t="str">
            <v>FLEXIBLE  TUBE 2종</v>
          </cell>
          <cell r="D101" t="str">
            <v>PLICA 방수 #15</v>
          </cell>
          <cell r="E101" t="str">
            <v>m</v>
          </cell>
          <cell r="H101">
            <v>822</v>
          </cell>
          <cell r="I101">
            <v>3320</v>
          </cell>
          <cell r="J101">
            <v>868</v>
          </cell>
          <cell r="K101">
            <v>3320</v>
          </cell>
          <cell r="S101">
            <v>3320</v>
          </cell>
          <cell r="U101">
            <v>0.1</v>
          </cell>
          <cell r="V101" t="str">
            <v>내선</v>
          </cell>
          <cell r="W101">
            <v>3.9E-2</v>
          </cell>
        </row>
        <row r="102">
          <cell r="A102">
            <v>102</v>
          </cell>
          <cell r="C102" t="str">
            <v>FLEXIBLE  TUBE 2종</v>
          </cell>
          <cell r="D102" t="str">
            <v>PLICA 방수 #17</v>
          </cell>
          <cell r="E102" t="str">
            <v>m</v>
          </cell>
          <cell r="H102">
            <v>822</v>
          </cell>
          <cell r="I102">
            <v>3720</v>
          </cell>
          <cell r="J102">
            <v>868</v>
          </cell>
          <cell r="K102">
            <v>3720</v>
          </cell>
          <cell r="S102">
            <v>3720</v>
          </cell>
          <cell r="U102">
            <v>0.1</v>
          </cell>
          <cell r="V102" t="str">
            <v>내선</v>
          </cell>
          <cell r="W102">
            <v>4.9000000000000002E-2</v>
          </cell>
        </row>
        <row r="103">
          <cell r="A103">
            <v>103</v>
          </cell>
          <cell r="C103" t="str">
            <v>FLEXIBLE  TUBE 2종</v>
          </cell>
          <cell r="D103" t="str">
            <v>PLICA 방수 #24</v>
          </cell>
          <cell r="E103" t="str">
            <v>m</v>
          </cell>
          <cell r="H103">
            <v>822</v>
          </cell>
          <cell r="I103">
            <v>4900</v>
          </cell>
          <cell r="J103">
            <v>868</v>
          </cell>
          <cell r="K103">
            <v>4900</v>
          </cell>
          <cell r="S103">
            <v>4900</v>
          </cell>
          <cell r="U103">
            <v>0.1</v>
          </cell>
          <cell r="V103" t="str">
            <v>내선</v>
          </cell>
          <cell r="W103">
            <v>6.3E-2</v>
          </cell>
        </row>
        <row r="104">
          <cell r="A104">
            <v>104</v>
          </cell>
          <cell r="C104" t="str">
            <v>FLEXIBLE  TUBE 2종</v>
          </cell>
          <cell r="D104" t="str">
            <v>PLICA 방수 #30</v>
          </cell>
          <cell r="E104" t="str">
            <v>m</v>
          </cell>
          <cell r="H104">
            <v>822</v>
          </cell>
          <cell r="I104">
            <v>6400</v>
          </cell>
          <cell r="J104">
            <v>868</v>
          </cell>
          <cell r="K104">
            <v>6400</v>
          </cell>
          <cell r="S104">
            <v>6400</v>
          </cell>
          <cell r="U104">
            <v>0.1</v>
          </cell>
          <cell r="V104" t="str">
            <v>내선</v>
          </cell>
          <cell r="W104">
            <v>7.6999999999999999E-2</v>
          </cell>
        </row>
        <row r="105">
          <cell r="A105">
            <v>105</v>
          </cell>
          <cell r="C105" t="str">
            <v>FLEXIBLE  TUBE 2종</v>
          </cell>
          <cell r="D105" t="str">
            <v>PLICA 방수 #38</v>
          </cell>
          <cell r="E105" t="str">
            <v>m</v>
          </cell>
          <cell r="H105">
            <v>822</v>
          </cell>
          <cell r="I105">
            <v>7800</v>
          </cell>
          <cell r="J105">
            <v>868</v>
          </cell>
          <cell r="K105">
            <v>7800</v>
          </cell>
          <cell r="S105">
            <v>7800</v>
          </cell>
          <cell r="U105">
            <v>0.1</v>
          </cell>
          <cell r="V105" t="str">
            <v>내선</v>
          </cell>
          <cell r="W105">
            <v>9.0999999999999998E-2</v>
          </cell>
        </row>
        <row r="106">
          <cell r="A106">
            <v>106</v>
          </cell>
          <cell r="C106" t="str">
            <v>FLEXIBLE  TUBE 2종</v>
          </cell>
          <cell r="D106" t="str">
            <v>PLICA 방수 #50</v>
          </cell>
          <cell r="E106" t="str">
            <v>m</v>
          </cell>
          <cell r="H106">
            <v>822</v>
          </cell>
          <cell r="I106">
            <v>11300</v>
          </cell>
          <cell r="J106">
            <v>868</v>
          </cell>
          <cell r="K106">
            <v>11300</v>
          </cell>
          <cell r="S106">
            <v>11300</v>
          </cell>
          <cell r="U106">
            <v>0.1</v>
          </cell>
          <cell r="V106" t="str">
            <v>내선</v>
          </cell>
          <cell r="W106">
            <v>0.13</v>
          </cell>
        </row>
        <row r="107">
          <cell r="A107">
            <v>107</v>
          </cell>
          <cell r="B107" t="str">
            <v>공율은</v>
          </cell>
          <cell r="C107" t="str">
            <v>FLEXIBLE  TUBE 2종</v>
          </cell>
          <cell r="D107" t="str">
            <v>PLICA 방수 #63</v>
          </cell>
          <cell r="E107" t="str">
            <v>m</v>
          </cell>
          <cell r="H107">
            <v>822</v>
          </cell>
          <cell r="I107">
            <v>19300</v>
          </cell>
          <cell r="J107">
            <v>868</v>
          </cell>
          <cell r="K107">
            <v>19300</v>
          </cell>
          <cell r="S107">
            <v>19300</v>
          </cell>
          <cell r="U107">
            <v>0.1</v>
          </cell>
          <cell r="V107" t="str">
            <v>내선</v>
          </cell>
          <cell r="W107">
            <v>0.1575</v>
          </cell>
        </row>
        <row r="108">
          <cell r="A108">
            <v>108</v>
          </cell>
          <cell r="B108" t="str">
            <v>0.0025</v>
          </cell>
          <cell r="C108" t="str">
            <v>FLEXIBLE  TUBE 2종</v>
          </cell>
          <cell r="D108" t="str">
            <v>PLICA 방수 #76</v>
          </cell>
          <cell r="E108" t="str">
            <v>m</v>
          </cell>
          <cell r="H108">
            <v>822</v>
          </cell>
          <cell r="I108">
            <v>25900</v>
          </cell>
          <cell r="J108">
            <v>868</v>
          </cell>
          <cell r="K108">
            <v>25900</v>
          </cell>
          <cell r="S108">
            <v>25900</v>
          </cell>
          <cell r="U108">
            <v>0.1</v>
          </cell>
          <cell r="V108" t="str">
            <v>내선</v>
          </cell>
          <cell r="W108">
            <v>0.19</v>
          </cell>
        </row>
        <row r="109">
          <cell r="A109">
            <v>109</v>
          </cell>
          <cell r="B109" t="str">
            <v>*직경</v>
          </cell>
          <cell r="C109" t="str">
            <v>FLEXIBLE  TUBE 2종</v>
          </cell>
          <cell r="D109" t="str">
            <v>PLICA 방수 #83</v>
          </cell>
          <cell r="E109" t="str">
            <v>m</v>
          </cell>
          <cell r="H109">
            <v>822</v>
          </cell>
          <cell r="I109">
            <v>40560</v>
          </cell>
          <cell r="J109">
            <v>868</v>
          </cell>
          <cell r="K109">
            <v>40560</v>
          </cell>
          <cell r="S109">
            <v>40560</v>
          </cell>
          <cell r="U109">
            <v>0.1</v>
          </cell>
          <cell r="V109" t="str">
            <v>내선</v>
          </cell>
          <cell r="W109">
            <v>0.20749999999999999</v>
          </cell>
        </row>
        <row r="110">
          <cell r="A110">
            <v>110</v>
          </cell>
          <cell r="B110" t="str">
            <v>임</v>
          </cell>
          <cell r="C110" t="str">
            <v>FLEXIBLE  TUBE 2종</v>
          </cell>
          <cell r="D110" t="str">
            <v>PLICA 방수 #101</v>
          </cell>
          <cell r="E110" t="str">
            <v>m</v>
          </cell>
          <cell r="H110">
            <v>822</v>
          </cell>
          <cell r="I110">
            <v>48670</v>
          </cell>
          <cell r="J110">
            <v>868</v>
          </cell>
          <cell r="K110">
            <v>48670</v>
          </cell>
          <cell r="S110">
            <v>48670</v>
          </cell>
          <cell r="U110">
            <v>0.1</v>
          </cell>
          <cell r="V110" t="str">
            <v>내선</v>
          </cell>
          <cell r="W110">
            <v>0.2525</v>
          </cell>
        </row>
        <row r="111">
          <cell r="A111">
            <v>111</v>
          </cell>
          <cell r="C111" t="str">
            <v>전선관 부속품비</v>
          </cell>
          <cell r="D111" t="str">
            <v>배관자재비의 15%</v>
          </cell>
          <cell r="E111" t="str">
            <v>식</v>
          </cell>
          <cell r="S111">
            <v>0</v>
          </cell>
        </row>
        <row r="112">
          <cell r="A112">
            <v>112</v>
          </cell>
          <cell r="C112" t="str">
            <v xml:space="preserve">전선 </v>
          </cell>
          <cell r="D112" t="str">
            <v>IV   1.2</v>
          </cell>
          <cell r="E112" t="str">
            <v>m</v>
          </cell>
          <cell r="H112">
            <v>794</v>
          </cell>
          <cell r="I112">
            <v>49</v>
          </cell>
          <cell r="J112">
            <v>842</v>
          </cell>
          <cell r="K112">
            <v>52</v>
          </cell>
          <cell r="S112">
            <v>49</v>
          </cell>
          <cell r="U112">
            <v>0.1</v>
          </cell>
          <cell r="V112" t="str">
            <v>내선</v>
          </cell>
          <cell r="W112">
            <v>0.01</v>
          </cell>
        </row>
        <row r="113">
          <cell r="A113">
            <v>113</v>
          </cell>
          <cell r="C113" t="str">
            <v xml:space="preserve">전선 </v>
          </cell>
          <cell r="D113" t="str">
            <v>IV   1.6</v>
          </cell>
          <cell r="E113" t="str">
            <v>m</v>
          </cell>
          <cell r="H113">
            <v>794</v>
          </cell>
          <cell r="I113">
            <v>79</v>
          </cell>
          <cell r="J113">
            <v>842</v>
          </cell>
          <cell r="K113">
            <v>85</v>
          </cell>
          <cell r="S113">
            <v>79</v>
          </cell>
          <cell r="U113">
            <v>0.1</v>
          </cell>
          <cell r="V113" t="str">
            <v>내선</v>
          </cell>
          <cell r="W113">
            <v>0.01</v>
          </cell>
        </row>
        <row r="114">
          <cell r="A114">
            <v>114</v>
          </cell>
          <cell r="B114" t="str">
            <v>관내바닥</v>
          </cell>
          <cell r="C114" t="str">
            <v xml:space="preserve">전선 </v>
          </cell>
          <cell r="D114" t="str">
            <v>IV   1.6</v>
          </cell>
          <cell r="E114" t="str">
            <v>m</v>
          </cell>
          <cell r="H114">
            <v>794</v>
          </cell>
          <cell r="I114">
            <v>79</v>
          </cell>
          <cell r="J114">
            <v>842</v>
          </cell>
          <cell r="K114">
            <v>85</v>
          </cell>
          <cell r="S114">
            <v>79</v>
          </cell>
          <cell r="U114">
            <v>0.1</v>
          </cell>
          <cell r="V114" t="str">
            <v>내선</v>
          </cell>
          <cell r="W114">
            <v>8.0000000000000002E-3</v>
          </cell>
        </row>
        <row r="115">
          <cell r="A115">
            <v>115</v>
          </cell>
          <cell r="C115" t="str">
            <v xml:space="preserve">전선 </v>
          </cell>
          <cell r="D115" t="str">
            <v>IV   2.0</v>
          </cell>
          <cell r="E115" t="str">
            <v>m</v>
          </cell>
          <cell r="H115">
            <v>794</v>
          </cell>
          <cell r="I115">
            <v>119</v>
          </cell>
          <cell r="J115">
            <v>842</v>
          </cell>
          <cell r="K115">
            <v>126</v>
          </cell>
          <cell r="S115">
            <v>119</v>
          </cell>
          <cell r="U115">
            <v>0.1</v>
          </cell>
          <cell r="V115" t="str">
            <v>내선</v>
          </cell>
          <cell r="W115">
            <v>0.01</v>
          </cell>
        </row>
        <row r="116">
          <cell r="A116">
            <v>116</v>
          </cell>
          <cell r="C116" t="str">
            <v xml:space="preserve">전선 </v>
          </cell>
          <cell r="D116" t="str">
            <v>IV   3.5sq</v>
          </cell>
          <cell r="E116" t="str">
            <v>m</v>
          </cell>
          <cell r="H116">
            <v>794</v>
          </cell>
          <cell r="I116">
            <v>147</v>
          </cell>
          <cell r="J116">
            <v>842</v>
          </cell>
          <cell r="K116">
            <v>159</v>
          </cell>
          <cell r="S116">
            <v>147</v>
          </cell>
          <cell r="U116">
            <v>0.1</v>
          </cell>
          <cell r="V116" t="str">
            <v>내선</v>
          </cell>
          <cell r="W116">
            <v>8.0000000000000002E-3</v>
          </cell>
        </row>
        <row r="117">
          <cell r="A117">
            <v>117</v>
          </cell>
          <cell r="C117" t="str">
            <v xml:space="preserve">전선 </v>
          </cell>
          <cell r="D117" t="str">
            <v>IV   5.5sq</v>
          </cell>
          <cell r="E117" t="str">
            <v>m</v>
          </cell>
          <cell r="H117">
            <v>794</v>
          </cell>
          <cell r="I117">
            <v>212</v>
          </cell>
          <cell r="J117">
            <v>842</v>
          </cell>
          <cell r="K117">
            <v>241</v>
          </cell>
          <cell r="S117">
            <v>212</v>
          </cell>
          <cell r="U117">
            <v>0.1</v>
          </cell>
          <cell r="V117" t="str">
            <v>내선</v>
          </cell>
          <cell r="W117">
            <v>0.01</v>
          </cell>
        </row>
        <row r="118">
          <cell r="A118">
            <v>118</v>
          </cell>
          <cell r="B118" t="str">
            <v>관내바닥</v>
          </cell>
          <cell r="C118" t="str">
            <v xml:space="preserve">전선 </v>
          </cell>
          <cell r="D118" t="str">
            <v>IV   5.5sq</v>
          </cell>
          <cell r="E118" t="str">
            <v>m</v>
          </cell>
          <cell r="H118">
            <v>794</v>
          </cell>
          <cell r="I118">
            <v>212</v>
          </cell>
          <cell r="J118">
            <v>842</v>
          </cell>
          <cell r="K118">
            <v>241</v>
          </cell>
          <cell r="S118">
            <v>212</v>
          </cell>
          <cell r="U118">
            <v>0.1</v>
          </cell>
          <cell r="V118" t="str">
            <v>내선</v>
          </cell>
          <cell r="W118">
            <v>8.0000000000000002E-3</v>
          </cell>
        </row>
        <row r="119">
          <cell r="A119">
            <v>119</v>
          </cell>
          <cell r="C119" t="str">
            <v xml:space="preserve">전선 </v>
          </cell>
          <cell r="D119" t="str">
            <v>IV   8sq</v>
          </cell>
          <cell r="E119" t="str">
            <v>m</v>
          </cell>
          <cell r="H119">
            <v>794</v>
          </cell>
          <cell r="I119">
            <v>316</v>
          </cell>
          <cell r="J119">
            <v>842</v>
          </cell>
          <cell r="K119">
            <v>341</v>
          </cell>
          <cell r="S119">
            <v>316</v>
          </cell>
          <cell r="U119">
            <v>0.1</v>
          </cell>
          <cell r="V119" t="str">
            <v>내선</v>
          </cell>
          <cell r="W119">
            <v>0.02</v>
          </cell>
        </row>
        <row r="120">
          <cell r="A120">
            <v>120</v>
          </cell>
          <cell r="B120" t="str">
            <v>관내바닥</v>
          </cell>
          <cell r="C120" t="str">
            <v xml:space="preserve">전선 </v>
          </cell>
          <cell r="D120" t="str">
            <v>IV   8sq</v>
          </cell>
          <cell r="E120" t="str">
            <v>m</v>
          </cell>
          <cell r="H120">
            <v>794</v>
          </cell>
          <cell r="I120">
            <v>316</v>
          </cell>
          <cell r="J120">
            <v>842</v>
          </cell>
          <cell r="K120">
            <v>341</v>
          </cell>
          <cell r="S120">
            <v>316</v>
          </cell>
          <cell r="U120">
            <v>0.1</v>
          </cell>
          <cell r="V120" t="str">
            <v>내선</v>
          </cell>
          <cell r="W120">
            <v>1.6E-2</v>
          </cell>
        </row>
        <row r="121">
          <cell r="A121">
            <v>121</v>
          </cell>
          <cell r="C121" t="str">
            <v xml:space="preserve">전선 </v>
          </cell>
          <cell r="D121" t="str">
            <v>IV   14sq</v>
          </cell>
          <cell r="E121" t="str">
            <v>m</v>
          </cell>
          <cell r="H121">
            <v>794</v>
          </cell>
          <cell r="I121">
            <v>548</v>
          </cell>
          <cell r="J121">
            <v>842</v>
          </cell>
          <cell r="K121">
            <v>669</v>
          </cell>
          <cell r="S121">
            <v>548</v>
          </cell>
          <cell r="U121">
            <v>0.1</v>
          </cell>
          <cell r="V121" t="str">
            <v>내선</v>
          </cell>
          <cell r="W121">
            <v>0.02</v>
          </cell>
        </row>
        <row r="122">
          <cell r="A122">
            <v>122</v>
          </cell>
          <cell r="C122" t="str">
            <v xml:space="preserve">전선 </v>
          </cell>
          <cell r="D122" t="str">
            <v>IV   22sq</v>
          </cell>
          <cell r="E122" t="str">
            <v>m</v>
          </cell>
          <cell r="H122">
            <v>794</v>
          </cell>
          <cell r="I122">
            <v>846</v>
          </cell>
          <cell r="J122">
            <v>842</v>
          </cell>
          <cell r="K122">
            <v>1022</v>
          </cell>
          <cell r="S122">
            <v>846</v>
          </cell>
          <cell r="U122">
            <v>0.1</v>
          </cell>
          <cell r="V122" t="str">
            <v>내선</v>
          </cell>
          <cell r="W122">
            <v>3.1E-2</v>
          </cell>
        </row>
        <row r="123">
          <cell r="A123">
            <v>123</v>
          </cell>
          <cell r="C123" t="str">
            <v xml:space="preserve">전선 </v>
          </cell>
          <cell r="E123" t="str">
            <v>m</v>
          </cell>
          <cell r="H123">
            <v>794</v>
          </cell>
          <cell r="J123">
            <v>842</v>
          </cell>
          <cell r="S123">
            <v>0</v>
          </cell>
          <cell r="U123">
            <v>0.1</v>
          </cell>
          <cell r="V123" t="str">
            <v>내선</v>
          </cell>
          <cell r="W123">
            <v>3.1E-2</v>
          </cell>
        </row>
        <row r="124">
          <cell r="A124">
            <v>124</v>
          </cell>
          <cell r="C124" t="str">
            <v xml:space="preserve">전선 </v>
          </cell>
          <cell r="D124" t="str">
            <v>IV   38sq</v>
          </cell>
          <cell r="E124" t="str">
            <v>m</v>
          </cell>
          <cell r="H124">
            <v>794</v>
          </cell>
          <cell r="I124">
            <v>1346</v>
          </cell>
          <cell r="J124">
            <v>842</v>
          </cell>
          <cell r="K124">
            <v>1627</v>
          </cell>
          <cell r="S124">
            <v>1346</v>
          </cell>
          <cell r="U124">
            <v>0.1</v>
          </cell>
          <cell r="V124" t="str">
            <v>내선</v>
          </cell>
          <cell r="W124">
            <v>3.1E-2</v>
          </cell>
        </row>
        <row r="125">
          <cell r="A125">
            <v>125</v>
          </cell>
          <cell r="C125" t="str">
            <v xml:space="preserve">전선 </v>
          </cell>
          <cell r="E125" t="str">
            <v>m</v>
          </cell>
          <cell r="H125">
            <v>794</v>
          </cell>
          <cell r="J125">
            <v>842</v>
          </cell>
          <cell r="S125">
            <v>0</v>
          </cell>
          <cell r="U125">
            <v>0.1</v>
          </cell>
          <cell r="V125" t="str">
            <v>내선</v>
          </cell>
          <cell r="W125">
            <v>5.1999999999999998E-2</v>
          </cell>
        </row>
        <row r="126">
          <cell r="A126">
            <v>126</v>
          </cell>
          <cell r="C126" t="str">
            <v xml:space="preserve">전선 </v>
          </cell>
          <cell r="D126" t="str">
            <v>IV   60sq</v>
          </cell>
          <cell r="E126" t="str">
            <v>m</v>
          </cell>
          <cell r="H126">
            <v>794</v>
          </cell>
          <cell r="I126">
            <v>2333</v>
          </cell>
          <cell r="J126">
            <v>842</v>
          </cell>
          <cell r="K126">
            <v>2763</v>
          </cell>
          <cell r="S126">
            <v>2333</v>
          </cell>
          <cell r="U126">
            <v>0.1</v>
          </cell>
          <cell r="V126" t="str">
            <v>내선</v>
          </cell>
          <cell r="W126">
            <v>5.1999999999999998E-2</v>
          </cell>
        </row>
        <row r="127">
          <cell r="A127">
            <v>127</v>
          </cell>
          <cell r="C127" t="str">
            <v xml:space="preserve">전선 </v>
          </cell>
          <cell r="E127" t="str">
            <v>m</v>
          </cell>
          <cell r="H127">
            <v>794</v>
          </cell>
          <cell r="J127">
            <v>842</v>
          </cell>
          <cell r="S127">
            <v>0</v>
          </cell>
          <cell r="U127">
            <v>0.1</v>
          </cell>
          <cell r="V127" t="str">
            <v>내선</v>
          </cell>
          <cell r="W127">
            <v>6.4000000000000001E-2</v>
          </cell>
        </row>
        <row r="128">
          <cell r="A128">
            <v>128</v>
          </cell>
          <cell r="C128" t="str">
            <v xml:space="preserve">전선 </v>
          </cell>
          <cell r="D128" t="str">
            <v>IV   100sq</v>
          </cell>
          <cell r="E128" t="str">
            <v>m</v>
          </cell>
          <cell r="H128">
            <v>794</v>
          </cell>
          <cell r="I128">
            <v>3606</v>
          </cell>
          <cell r="J128">
            <v>842</v>
          </cell>
          <cell r="K128">
            <v>4357</v>
          </cell>
          <cell r="S128">
            <v>3606</v>
          </cell>
          <cell r="U128">
            <v>0.1</v>
          </cell>
          <cell r="V128" t="str">
            <v>내선</v>
          </cell>
          <cell r="W128">
            <v>6.4000000000000001E-2</v>
          </cell>
        </row>
        <row r="129">
          <cell r="A129">
            <v>129</v>
          </cell>
          <cell r="C129" t="str">
            <v xml:space="preserve">전선 </v>
          </cell>
          <cell r="E129" t="str">
            <v>m</v>
          </cell>
          <cell r="H129">
            <v>794</v>
          </cell>
          <cell r="J129">
            <v>842</v>
          </cell>
          <cell r="S129">
            <v>0</v>
          </cell>
          <cell r="U129">
            <v>0.1</v>
          </cell>
          <cell r="V129" t="str">
            <v>내선</v>
          </cell>
          <cell r="W129">
            <v>8.7999999999999995E-2</v>
          </cell>
        </row>
        <row r="130">
          <cell r="A130">
            <v>130</v>
          </cell>
          <cell r="C130" t="str">
            <v xml:space="preserve">전선 </v>
          </cell>
          <cell r="D130" t="str">
            <v>IV   150sq</v>
          </cell>
          <cell r="E130" t="str">
            <v>m</v>
          </cell>
          <cell r="H130">
            <v>794</v>
          </cell>
          <cell r="I130">
            <v>5525</v>
          </cell>
          <cell r="K130">
            <v>6674</v>
          </cell>
          <cell r="S130">
            <v>5525</v>
          </cell>
          <cell r="U130">
            <v>0.1</v>
          </cell>
          <cell r="V130" t="str">
            <v>내선</v>
          </cell>
          <cell r="W130">
            <v>8.7999999999999995E-2</v>
          </cell>
        </row>
        <row r="131">
          <cell r="A131">
            <v>131</v>
          </cell>
          <cell r="C131" t="str">
            <v xml:space="preserve">전선 </v>
          </cell>
          <cell r="D131" t="str">
            <v>IV   200sq</v>
          </cell>
          <cell r="E131" t="str">
            <v>m</v>
          </cell>
          <cell r="H131">
            <v>794</v>
          </cell>
          <cell r="I131">
            <v>6935</v>
          </cell>
          <cell r="K131">
            <v>8378</v>
          </cell>
          <cell r="S131">
            <v>6935</v>
          </cell>
          <cell r="U131">
            <v>0.1</v>
          </cell>
          <cell r="V131" t="str">
            <v>내선</v>
          </cell>
          <cell r="W131">
            <v>0.107</v>
          </cell>
        </row>
        <row r="132">
          <cell r="A132">
            <v>132</v>
          </cell>
          <cell r="S132" t="str">
            <v/>
          </cell>
        </row>
        <row r="133">
          <cell r="A133">
            <v>133</v>
          </cell>
          <cell r="C133" t="str">
            <v xml:space="preserve">전선 </v>
          </cell>
          <cell r="D133" t="str">
            <v>HIV   1.2</v>
          </cell>
          <cell r="E133" t="str">
            <v>m</v>
          </cell>
          <cell r="H133">
            <v>794</v>
          </cell>
          <cell r="I133">
            <v>51</v>
          </cell>
          <cell r="J133">
            <v>842</v>
          </cell>
          <cell r="K133">
            <v>54</v>
          </cell>
          <cell r="S133">
            <v>51</v>
          </cell>
          <cell r="U133">
            <v>0.1</v>
          </cell>
          <cell r="V133" t="str">
            <v>내선</v>
          </cell>
          <cell r="W133">
            <v>0.01</v>
          </cell>
        </row>
        <row r="134">
          <cell r="A134">
            <v>134</v>
          </cell>
          <cell r="C134" t="str">
            <v xml:space="preserve">전선 </v>
          </cell>
          <cell r="D134" t="str">
            <v>HIV   1.6</v>
          </cell>
          <cell r="E134" t="str">
            <v>m</v>
          </cell>
          <cell r="H134">
            <v>794</v>
          </cell>
          <cell r="I134">
            <v>84</v>
          </cell>
          <cell r="J134">
            <v>842</v>
          </cell>
          <cell r="K134">
            <v>90</v>
          </cell>
          <cell r="S134">
            <v>84</v>
          </cell>
          <cell r="U134">
            <v>0.1</v>
          </cell>
          <cell r="V134" t="str">
            <v>내선</v>
          </cell>
          <cell r="W134">
            <v>0.01</v>
          </cell>
        </row>
        <row r="135">
          <cell r="A135">
            <v>135</v>
          </cell>
          <cell r="B135" t="str">
            <v>관내바닥</v>
          </cell>
          <cell r="C135" t="str">
            <v xml:space="preserve">전선 </v>
          </cell>
          <cell r="D135" t="str">
            <v>HIV   1.6</v>
          </cell>
          <cell r="E135" t="str">
            <v>m</v>
          </cell>
          <cell r="H135">
            <v>794</v>
          </cell>
          <cell r="I135">
            <v>84</v>
          </cell>
          <cell r="J135">
            <v>842</v>
          </cell>
          <cell r="K135">
            <v>90</v>
          </cell>
          <cell r="S135">
            <v>84</v>
          </cell>
          <cell r="U135">
            <v>0.1</v>
          </cell>
          <cell r="V135" t="str">
            <v>내선</v>
          </cell>
          <cell r="W135">
            <v>8.0000000000000002E-3</v>
          </cell>
        </row>
        <row r="136">
          <cell r="A136">
            <v>136</v>
          </cell>
          <cell r="C136" t="str">
            <v xml:space="preserve">전선 </v>
          </cell>
          <cell r="D136" t="str">
            <v>HIV   2.0</v>
          </cell>
          <cell r="E136" t="str">
            <v>m</v>
          </cell>
          <cell r="H136">
            <v>794</v>
          </cell>
          <cell r="I136">
            <v>124</v>
          </cell>
          <cell r="J136">
            <v>842</v>
          </cell>
          <cell r="K136">
            <v>132</v>
          </cell>
          <cell r="S136">
            <v>124</v>
          </cell>
          <cell r="U136">
            <v>0.1</v>
          </cell>
          <cell r="V136" t="str">
            <v>내선</v>
          </cell>
          <cell r="W136">
            <v>0.01</v>
          </cell>
        </row>
        <row r="137">
          <cell r="A137">
            <v>137</v>
          </cell>
          <cell r="B137" t="str">
            <v>관내바닥</v>
          </cell>
          <cell r="C137" t="str">
            <v xml:space="preserve">전선 </v>
          </cell>
          <cell r="D137" t="str">
            <v>HIV   2.0</v>
          </cell>
          <cell r="E137" t="str">
            <v>m</v>
          </cell>
          <cell r="H137">
            <v>794</v>
          </cell>
          <cell r="I137">
            <v>124</v>
          </cell>
          <cell r="J137">
            <v>842</v>
          </cell>
          <cell r="K137">
            <v>132</v>
          </cell>
          <cell r="S137">
            <v>124</v>
          </cell>
          <cell r="U137">
            <v>0.1</v>
          </cell>
          <cell r="V137" t="str">
            <v>내선</v>
          </cell>
          <cell r="W137">
            <v>8.0000000000000002E-3</v>
          </cell>
        </row>
        <row r="138">
          <cell r="A138">
            <v>138</v>
          </cell>
          <cell r="C138" t="str">
            <v xml:space="preserve">전선 </v>
          </cell>
          <cell r="D138" t="str">
            <v>HIV   5.5sq</v>
          </cell>
          <cell r="E138" t="str">
            <v>m</v>
          </cell>
          <cell r="H138">
            <v>762</v>
          </cell>
          <cell r="I138">
            <v>229</v>
          </cell>
          <cell r="J138">
            <v>842</v>
          </cell>
          <cell r="K138">
            <v>257</v>
          </cell>
          <cell r="S138">
            <v>229</v>
          </cell>
          <cell r="U138">
            <v>0.1</v>
          </cell>
          <cell r="V138" t="str">
            <v>내선</v>
          </cell>
          <cell r="W138">
            <v>0.01</v>
          </cell>
        </row>
        <row r="139">
          <cell r="A139">
            <v>139</v>
          </cell>
          <cell r="B139" t="str">
            <v>관내바닥</v>
          </cell>
          <cell r="C139" t="str">
            <v xml:space="preserve">전선 </v>
          </cell>
          <cell r="D139" t="str">
            <v>HIV   5.5sq</v>
          </cell>
          <cell r="E139" t="str">
            <v>m</v>
          </cell>
          <cell r="H139">
            <v>762</v>
          </cell>
          <cell r="I139">
            <v>229</v>
          </cell>
          <cell r="J139">
            <v>842</v>
          </cell>
          <cell r="K139">
            <v>257</v>
          </cell>
          <cell r="S139">
            <v>229</v>
          </cell>
          <cell r="U139">
            <v>0.1</v>
          </cell>
          <cell r="V139" t="str">
            <v>내선</v>
          </cell>
          <cell r="W139">
            <v>8.0000000000000002E-3</v>
          </cell>
        </row>
        <row r="140">
          <cell r="A140">
            <v>140</v>
          </cell>
          <cell r="C140" t="str">
            <v xml:space="preserve">전선 </v>
          </cell>
          <cell r="D140" t="str">
            <v>HIV   8sq</v>
          </cell>
          <cell r="E140" t="str">
            <v>m</v>
          </cell>
          <cell r="H140">
            <v>762</v>
          </cell>
          <cell r="I140">
            <v>325</v>
          </cell>
          <cell r="J140">
            <v>842</v>
          </cell>
          <cell r="K140">
            <v>365</v>
          </cell>
          <cell r="S140">
            <v>325</v>
          </cell>
          <cell r="U140">
            <v>0.1</v>
          </cell>
          <cell r="V140" t="str">
            <v>내선</v>
          </cell>
          <cell r="W140">
            <v>0.02</v>
          </cell>
        </row>
        <row r="141">
          <cell r="A141">
            <v>141</v>
          </cell>
          <cell r="B141" t="str">
            <v>관내바닥</v>
          </cell>
          <cell r="C141" t="str">
            <v xml:space="preserve">전선 </v>
          </cell>
          <cell r="D141" t="str">
            <v>HIV   8sq</v>
          </cell>
          <cell r="E141" t="str">
            <v>m</v>
          </cell>
          <cell r="H141">
            <v>762</v>
          </cell>
          <cell r="I141">
            <v>325</v>
          </cell>
          <cell r="J141">
            <v>842</v>
          </cell>
          <cell r="K141">
            <v>365</v>
          </cell>
          <cell r="S141">
            <v>325</v>
          </cell>
          <cell r="U141">
            <v>0.1</v>
          </cell>
          <cell r="V141" t="str">
            <v>내선</v>
          </cell>
          <cell r="W141">
            <v>1.6E-2</v>
          </cell>
        </row>
        <row r="142">
          <cell r="A142">
            <v>142</v>
          </cell>
          <cell r="C142" t="str">
            <v xml:space="preserve">전선 </v>
          </cell>
          <cell r="D142" t="str">
            <v>HIV   14sq</v>
          </cell>
          <cell r="E142" t="str">
            <v>m</v>
          </cell>
          <cell r="H142">
            <v>762</v>
          </cell>
          <cell r="I142">
            <v>641</v>
          </cell>
          <cell r="J142">
            <v>842</v>
          </cell>
          <cell r="K142">
            <v>718</v>
          </cell>
          <cell r="S142">
            <v>641</v>
          </cell>
          <cell r="U142">
            <v>0.1</v>
          </cell>
          <cell r="V142" t="str">
            <v>내선</v>
          </cell>
          <cell r="W142">
            <v>0.02</v>
          </cell>
        </row>
        <row r="143">
          <cell r="A143">
            <v>143</v>
          </cell>
          <cell r="B143" t="str">
            <v>관내바닥</v>
          </cell>
          <cell r="C143" t="str">
            <v xml:space="preserve">전선 </v>
          </cell>
          <cell r="D143" t="str">
            <v>HIV   14sq</v>
          </cell>
          <cell r="E143" t="str">
            <v>m</v>
          </cell>
          <cell r="H143">
            <v>762</v>
          </cell>
          <cell r="I143">
            <v>641</v>
          </cell>
          <cell r="J143">
            <v>842</v>
          </cell>
          <cell r="K143">
            <v>718</v>
          </cell>
          <cell r="S143">
            <v>641</v>
          </cell>
          <cell r="U143">
            <v>0.1</v>
          </cell>
          <cell r="V143" t="str">
            <v>내선</v>
          </cell>
          <cell r="W143">
            <v>1.6E-2</v>
          </cell>
        </row>
        <row r="144">
          <cell r="A144">
            <v>144</v>
          </cell>
          <cell r="C144" t="str">
            <v xml:space="preserve">전선 </v>
          </cell>
          <cell r="D144" t="str">
            <v>HIV   22sq</v>
          </cell>
          <cell r="E144" t="str">
            <v>m</v>
          </cell>
          <cell r="H144">
            <v>762</v>
          </cell>
          <cell r="I144">
            <v>976</v>
          </cell>
          <cell r="J144">
            <v>842</v>
          </cell>
          <cell r="K144">
            <v>1093</v>
          </cell>
          <cell r="S144">
            <v>976</v>
          </cell>
          <cell r="U144">
            <v>0.1</v>
          </cell>
          <cell r="V144" t="str">
            <v>내선</v>
          </cell>
          <cell r="W144">
            <v>3.1E-2</v>
          </cell>
        </row>
        <row r="145">
          <cell r="A145">
            <v>145</v>
          </cell>
          <cell r="C145" t="str">
            <v xml:space="preserve">전선 </v>
          </cell>
          <cell r="D145" t="str">
            <v>HIV   30sq</v>
          </cell>
          <cell r="E145" t="str">
            <v>m</v>
          </cell>
          <cell r="H145">
            <v>762</v>
          </cell>
          <cell r="I145">
            <v>1073</v>
          </cell>
          <cell r="J145">
            <v>842</v>
          </cell>
          <cell r="K145">
            <v>1322</v>
          </cell>
          <cell r="S145">
            <v>1073</v>
          </cell>
          <cell r="U145">
            <v>0.1</v>
          </cell>
          <cell r="V145" t="str">
            <v>내선</v>
          </cell>
          <cell r="W145">
            <v>3.1E-2</v>
          </cell>
        </row>
        <row r="146">
          <cell r="A146">
            <v>146</v>
          </cell>
          <cell r="C146" t="str">
            <v xml:space="preserve">전선 </v>
          </cell>
          <cell r="D146" t="str">
            <v>HIV   38sq</v>
          </cell>
          <cell r="E146" t="str">
            <v>m</v>
          </cell>
          <cell r="H146">
            <v>762</v>
          </cell>
          <cell r="I146">
            <v>1439</v>
          </cell>
          <cell r="J146">
            <v>842</v>
          </cell>
          <cell r="K146">
            <v>1740</v>
          </cell>
          <cell r="S146">
            <v>1439</v>
          </cell>
          <cell r="U146">
            <v>0.1</v>
          </cell>
          <cell r="V146" t="str">
            <v>내선</v>
          </cell>
          <cell r="W146">
            <v>3.1E-2</v>
          </cell>
        </row>
        <row r="147">
          <cell r="A147">
            <v>147</v>
          </cell>
          <cell r="C147" t="str">
            <v xml:space="preserve">전선 </v>
          </cell>
          <cell r="D147" t="str">
            <v>HIV   50sq</v>
          </cell>
          <cell r="E147" t="str">
            <v>m</v>
          </cell>
          <cell r="H147">
            <v>762</v>
          </cell>
          <cell r="I147">
            <v>2017</v>
          </cell>
          <cell r="J147">
            <v>842</v>
          </cell>
          <cell r="K147">
            <v>2437</v>
          </cell>
          <cell r="S147">
            <v>2017</v>
          </cell>
          <cell r="U147">
            <v>0.1</v>
          </cell>
          <cell r="V147" t="str">
            <v>내선</v>
          </cell>
          <cell r="W147">
            <v>5.1999999999999998E-2</v>
          </cell>
        </row>
        <row r="148">
          <cell r="A148">
            <v>148</v>
          </cell>
          <cell r="C148" t="str">
            <v xml:space="preserve">전선 </v>
          </cell>
          <cell r="D148" t="str">
            <v>HIV   60sq</v>
          </cell>
          <cell r="E148" t="str">
            <v>m</v>
          </cell>
          <cell r="H148">
            <v>762</v>
          </cell>
          <cell r="I148">
            <v>2447</v>
          </cell>
          <cell r="J148">
            <v>842</v>
          </cell>
          <cell r="K148">
            <v>2956</v>
          </cell>
          <cell r="S148">
            <v>2447</v>
          </cell>
          <cell r="U148">
            <v>0.1</v>
          </cell>
          <cell r="V148" t="str">
            <v>내선</v>
          </cell>
          <cell r="W148">
            <v>5.1999999999999998E-2</v>
          </cell>
        </row>
        <row r="149">
          <cell r="A149">
            <v>149</v>
          </cell>
          <cell r="C149" t="str">
            <v xml:space="preserve">전선 </v>
          </cell>
          <cell r="D149" t="str">
            <v>HIV   80sq</v>
          </cell>
          <cell r="E149" t="str">
            <v>m</v>
          </cell>
          <cell r="H149">
            <v>762</v>
          </cell>
          <cell r="I149">
            <v>3060</v>
          </cell>
          <cell r="J149">
            <v>842</v>
          </cell>
          <cell r="K149">
            <v>3697</v>
          </cell>
          <cell r="S149">
            <v>3060</v>
          </cell>
          <cell r="U149">
            <v>0.1</v>
          </cell>
          <cell r="V149" t="str">
            <v>내선</v>
          </cell>
          <cell r="W149">
            <v>6.4000000000000001E-2</v>
          </cell>
        </row>
        <row r="150">
          <cell r="A150">
            <v>150</v>
          </cell>
          <cell r="C150" t="str">
            <v xml:space="preserve">전선 </v>
          </cell>
          <cell r="D150" t="str">
            <v>HIV   100sq</v>
          </cell>
          <cell r="E150" t="str">
            <v>m</v>
          </cell>
          <cell r="H150">
            <v>762</v>
          </cell>
          <cell r="I150">
            <v>3858</v>
          </cell>
          <cell r="J150">
            <v>842</v>
          </cell>
          <cell r="K150">
            <v>4661</v>
          </cell>
          <cell r="S150">
            <v>3858</v>
          </cell>
          <cell r="U150">
            <v>0.1</v>
          </cell>
          <cell r="V150" t="str">
            <v>내선</v>
          </cell>
          <cell r="W150">
            <v>6.4000000000000001E-2</v>
          </cell>
        </row>
        <row r="151">
          <cell r="A151">
            <v>151</v>
          </cell>
          <cell r="C151" t="str">
            <v xml:space="preserve">전선 </v>
          </cell>
          <cell r="D151" t="str">
            <v>HIV   125sq</v>
          </cell>
          <cell r="E151" t="str">
            <v>m</v>
          </cell>
          <cell r="H151">
            <v>762</v>
          </cell>
          <cell r="I151">
            <v>4799</v>
          </cell>
          <cell r="J151">
            <v>842</v>
          </cell>
          <cell r="K151">
            <v>5798</v>
          </cell>
          <cell r="S151">
            <v>4799</v>
          </cell>
          <cell r="U151">
            <v>0.1</v>
          </cell>
          <cell r="V151" t="str">
            <v>내선</v>
          </cell>
          <cell r="W151">
            <v>8.7999999999999995E-2</v>
          </cell>
        </row>
        <row r="152">
          <cell r="A152">
            <v>152</v>
          </cell>
          <cell r="C152" t="str">
            <v xml:space="preserve">전선 </v>
          </cell>
          <cell r="D152" t="str">
            <v>HIV   150sq</v>
          </cell>
          <cell r="E152" t="str">
            <v>m</v>
          </cell>
          <cell r="H152">
            <v>762</v>
          </cell>
          <cell r="I152">
            <v>5911</v>
          </cell>
          <cell r="J152">
            <v>842</v>
          </cell>
          <cell r="K152">
            <v>7141</v>
          </cell>
          <cell r="S152">
            <v>5911</v>
          </cell>
          <cell r="U152">
            <v>0.1</v>
          </cell>
          <cell r="V152" t="str">
            <v>내선</v>
          </cell>
          <cell r="W152">
            <v>8.7999999999999995E-2</v>
          </cell>
        </row>
        <row r="153">
          <cell r="A153">
            <v>153</v>
          </cell>
          <cell r="C153" t="str">
            <v xml:space="preserve">전선 </v>
          </cell>
          <cell r="D153" t="str">
            <v>HIV   200sq</v>
          </cell>
          <cell r="E153" t="str">
            <v>m</v>
          </cell>
          <cell r="H153">
            <v>762</v>
          </cell>
          <cell r="I153">
            <v>7421</v>
          </cell>
          <cell r="J153">
            <v>842</v>
          </cell>
          <cell r="K153">
            <v>8964</v>
          </cell>
          <cell r="S153">
            <v>7421</v>
          </cell>
          <cell r="U153">
            <v>0.1</v>
          </cell>
          <cell r="V153" t="str">
            <v>내선</v>
          </cell>
          <cell r="W153">
            <v>0.107</v>
          </cell>
        </row>
        <row r="154">
          <cell r="A154">
            <v>154</v>
          </cell>
          <cell r="C154" t="str">
            <v xml:space="preserve">전선 </v>
          </cell>
          <cell r="D154" t="str">
            <v>HIV   250sq</v>
          </cell>
          <cell r="E154" t="str">
            <v>m</v>
          </cell>
          <cell r="H154">
            <v>762</v>
          </cell>
          <cell r="I154">
            <v>9300</v>
          </cell>
          <cell r="J154">
            <v>842</v>
          </cell>
          <cell r="K154">
            <v>11234</v>
          </cell>
          <cell r="S154">
            <v>9300</v>
          </cell>
          <cell r="U154">
            <v>0.1</v>
          </cell>
          <cell r="V154" t="str">
            <v>내선</v>
          </cell>
          <cell r="W154">
            <v>0.13</v>
          </cell>
        </row>
        <row r="155">
          <cell r="A155">
            <v>155</v>
          </cell>
          <cell r="C155" t="str">
            <v xml:space="preserve">전선 </v>
          </cell>
          <cell r="D155" t="str">
            <v>HIV   325sq</v>
          </cell>
          <cell r="E155" t="str">
            <v>m</v>
          </cell>
          <cell r="H155">
            <v>762</v>
          </cell>
          <cell r="I155">
            <v>12133</v>
          </cell>
          <cell r="J155">
            <v>842</v>
          </cell>
          <cell r="K155">
            <v>14656</v>
          </cell>
          <cell r="S155">
            <v>12133</v>
          </cell>
          <cell r="U155">
            <v>0.1</v>
          </cell>
          <cell r="V155" t="str">
            <v>내선</v>
          </cell>
          <cell r="W155">
            <v>0.16</v>
          </cell>
        </row>
        <row r="156">
          <cell r="A156">
            <v>156</v>
          </cell>
          <cell r="S156" t="str">
            <v/>
          </cell>
        </row>
        <row r="157">
          <cell r="A157">
            <v>157</v>
          </cell>
          <cell r="S157" t="str">
            <v/>
          </cell>
        </row>
        <row r="158">
          <cell r="A158">
            <v>158</v>
          </cell>
          <cell r="C158" t="str">
            <v xml:space="preserve">전선 </v>
          </cell>
          <cell r="D158" t="str">
            <v>GV   1.6</v>
          </cell>
          <cell r="E158" t="str">
            <v>m</v>
          </cell>
          <cell r="H158">
            <v>795</v>
          </cell>
          <cell r="I158">
            <v>171</v>
          </cell>
          <cell r="J158">
            <v>844</v>
          </cell>
          <cell r="K158">
            <v>177</v>
          </cell>
          <cell r="S158">
            <v>171</v>
          </cell>
          <cell r="U158">
            <v>0.1</v>
          </cell>
          <cell r="V158" t="str">
            <v>내선</v>
          </cell>
          <cell r="W158">
            <v>0.01</v>
          </cell>
        </row>
        <row r="159">
          <cell r="A159">
            <v>159</v>
          </cell>
          <cell r="B159" t="str">
            <v>관내바닥</v>
          </cell>
          <cell r="C159" t="str">
            <v xml:space="preserve">전선 </v>
          </cell>
          <cell r="D159" t="str">
            <v>GV   1.6</v>
          </cell>
          <cell r="E159" t="str">
            <v>m</v>
          </cell>
          <cell r="H159">
            <v>763</v>
          </cell>
          <cell r="I159">
            <v>171</v>
          </cell>
          <cell r="J159">
            <v>844</v>
          </cell>
          <cell r="K159">
            <v>177</v>
          </cell>
          <cell r="S159">
            <v>171</v>
          </cell>
          <cell r="U159">
            <v>0.1</v>
          </cell>
          <cell r="V159" t="str">
            <v>내선</v>
          </cell>
          <cell r="W159">
            <v>8.0000000000000002E-3</v>
          </cell>
        </row>
        <row r="160">
          <cell r="A160">
            <v>160</v>
          </cell>
          <cell r="C160" t="str">
            <v xml:space="preserve">전선 </v>
          </cell>
          <cell r="D160" t="str">
            <v>GV   2.0</v>
          </cell>
          <cell r="E160" t="str">
            <v>m</v>
          </cell>
          <cell r="H160">
            <v>763</v>
          </cell>
          <cell r="I160">
            <v>226</v>
          </cell>
          <cell r="J160">
            <v>844</v>
          </cell>
          <cell r="K160">
            <v>234</v>
          </cell>
          <cell r="S160">
            <v>226</v>
          </cell>
          <cell r="U160">
            <v>0.1</v>
          </cell>
          <cell r="V160" t="str">
            <v>내선</v>
          </cell>
          <cell r="W160">
            <v>0.01</v>
          </cell>
        </row>
        <row r="161">
          <cell r="A161">
            <v>161</v>
          </cell>
          <cell r="B161" t="str">
            <v>관내바닥</v>
          </cell>
          <cell r="C161" t="str">
            <v xml:space="preserve">전선 </v>
          </cell>
          <cell r="D161" t="str">
            <v>GV   2.0</v>
          </cell>
          <cell r="E161" t="str">
            <v>m</v>
          </cell>
          <cell r="H161">
            <v>763</v>
          </cell>
          <cell r="I161">
            <v>226</v>
          </cell>
          <cell r="J161">
            <v>844</v>
          </cell>
          <cell r="K161">
            <v>234</v>
          </cell>
          <cell r="S161">
            <v>226</v>
          </cell>
          <cell r="U161">
            <v>0.1</v>
          </cell>
          <cell r="V161" t="str">
            <v>내선</v>
          </cell>
          <cell r="W161">
            <v>8.0000000000000002E-3</v>
          </cell>
        </row>
        <row r="162">
          <cell r="A162">
            <v>162</v>
          </cell>
          <cell r="C162" t="str">
            <v xml:space="preserve">전선 </v>
          </cell>
          <cell r="D162" t="str">
            <v>GV   2.0sq</v>
          </cell>
          <cell r="E162" t="str">
            <v>m</v>
          </cell>
          <cell r="H162">
            <v>763</v>
          </cell>
          <cell r="I162">
            <v>205</v>
          </cell>
          <cell r="J162">
            <v>844</v>
          </cell>
          <cell r="K162">
            <v>212</v>
          </cell>
          <cell r="S162">
            <v>205</v>
          </cell>
          <cell r="U162">
            <v>0.1</v>
          </cell>
          <cell r="V162" t="str">
            <v>내선</v>
          </cell>
          <cell r="W162">
            <v>0.01</v>
          </cell>
        </row>
        <row r="163">
          <cell r="A163">
            <v>163</v>
          </cell>
          <cell r="B163" t="str">
            <v>관내바닥</v>
          </cell>
          <cell r="C163" t="str">
            <v xml:space="preserve">전선 </v>
          </cell>
          <cell r="D163" t="str">
            <v>GV   2.0sq</v>
          </cell>
          <cell r="E163" t="str">
            <v>m</v>
          </cell>
          <cell r="H163">
            <v>763</v>
          </cell>
          <cell r="I163">
            <v>205</v>
          </cell>
          <cell r="J163">
            <v>844</v>
          </cell>
          <cell r="K163">
            <v>212</v>
          </cell>
          <cell r="S163">
            <v>205</v>
          </cell>
          <cell r="U163">
            <v>0.1</v>
          </cell>
          <cell r="V163" t="str">
            <v>내선</v>
          </cell>
          <cell r="W163">
            <v>8.0000000000000002E-3</v>
          </cell>
        </row>
        <row r="164">
          <cell r="A164">
            <v>164</v>
          </cell>
          <cell r="C164" t="str">
            <v xml:space="preserve">전선 </v>
          </cell>
          <cell r="D164" t="str">
            <v>GV   3.5sq</v>
          </cell>
          <cell r="E164" t="str">
            <v>m</v>
          </cell>
          <cell r="H164">
            <v>763</v>
          </cell>
          <cell r="I164">
            <v>277</v>
          </cell>
          <cell r="J164">
            <v>844</v>
          </cell>
          <cell r="K164">
            <v>286</v>
          </cell>
          <cell r="S164">
            <v>277</v>
          </cell>
          <cell r="U164">
            <v>0.1</v>
          </cell>
          <cell r="V164" t="str">
            <v>내선</v>
          </cell>
          <cell r="W164">
            <v>0.01</v>
          </cell>
        </row>
        <row r="165">
          <cell r="A165">
            <v>165</v>
          </cell>
          <cell r="B165" t="str">
            <v>관내바닥</v>
          </cell>
          <cell r="C165" t="str">
            <v xml:space="preserve">전선 </v>
          </cell>
          <cell r="D165" t="str">
            <v>GV   3.5sq</v>
          </cell>
          <cell r="E165" t="str">
            <v>m</v>
          </cell>
          <cell r="H165">
            <v>763</v>
          </cell>
          <cell r="I165">
            <v>277</v>
          </cell>
          <cell r="J165">
            <v>844</v>
          </cell>
          <cell r="K165">
            <v>286</v>
          </cell>
          <cell r="S165">
            <v>277</v>
          </cell>
          <cell r="U165">
            <v>0.1</v>
          </cell>
          <cell r="V165" t="str">
            <v>내선</v>
          </cell>
          <cell r="W165">
            <v>8.0000000000000002E-3</v>
          </cell>
        </row>
        <row r="166">
          <cell r="A166">
            <v>166</v>
          </cell>
          <cell r="C166" t="str">
            <v xml:space="preserve">전선 </v>
          </cell>
          <cell r="D166" t="str">
            <v>GV   5.5sq</v>
          </cell>
          <cell r="E166" t="str">
            <v>m</v>
          </cell>
          <cell r="H166">
            <v>763</v>
          </cell>
          <cell r="I166">
            <v>377</v>
          </cell>
          <cell r="J166">
            <v>844</v>
          </cell>
          <cell r="K166">
            <v>388</v>
          </cell>
          <cell r="S166">
            <v>377</v>
          </cell>
          <cell r="U166">
            <v>0.1</v>
          </cell>
          <cell r="V166" t="str">
            <v>내선</v>
          </cell>
          <cell r="W166">
            <v>0.01</v>
          </cell>
        </row>
        <row r="167">
          <cell r="A167">
            <v>167</v>
          </cell>
          <cell r="B167" t="str">
            <v>관내바닥</v>
          </cell>
          <cell r="C167" t="str">
            <v xml:space="preserve">전선 </v>
          </cell>
          <cell r="D167" t="str">
            <v>GV   5.5sq</v>
          </cell>
          <cell r="E167" t="str">
            <v>m</v>
          </cell>
          <cell r="H167">
            <v>763</v>
          </cell>
          <cell r="I167">
            <v>377</v>
          </cell>
          <cell r="J167">
            <v>844</v>
          </cell>
          <cell r="K167">
            <v>388</v>
          </cell>
          <cell r="S167">
            <v>377</v>
          </cell>
          <cell r="U167">
            <v>0.1</v>
          </cell>
          <cell r="V167" t="str">
            <v>내선</v>
          </cell>
          <cell r="W167">
            <v>8.0000000000000002E-3</v>
          </cell>
        </row>
        <row r="168">
          <cell r="A168">
            <v>168</v>
          </cell>
          <cell r="C168" t="str">
            <v xml:space="preserve">전선 </v>
          </cell>
          <cell r="D168" t="str">
            <v>GV   8sq</v>
          </cell>
          <cell r="E168" t="str">
            <v>m</v>
          </cell>
          <cell r="H168">
            <v>763</v>
          </cell>
          <cell r="I168">
            <v>576</v>
          </cell>
          <cell r="J168">
            <v>844</v>
          </cell>
          <cell r="K168">
            <v>594</v>
          </cell>
          <cell r="S168">
            <v>576</v>
          </cell>
          <cell r="U168">
            <v>0.1</v>
          </cell>
          <cell r="V168" t="str">
            <v>내선</v>
          </cell>
          <cell r="W168">
            <v>0.02</v>
          </cell>
        </row>
        <row r="169">
          <cell r="A169">
            <v>169</v>
          </cell>
          <cell r="B169" t="str">
            <v>관내바닥</v>
          </cell>
          <cell r="C169" t="str">
            <v xml:space="preserve">전선 </v>
          </cell>
          <cell r="D169" t="str">
            <v>GV   8sq</v>
          </cell>
          <cell r="E169" t="str">
            <v>m</v>
          </cell>
          <cell r="H169">
            <v>763</v>
          </cell>
          <cell r="I169">
            <v>576</v>
          </cell>
          <cell r="J169">
            <v>844</v>
          </cell>
          <cell r="K169">
            <v>594</v>
          </cell>
          <cell r="S169">
            <v>576</v>
          </cell>
          <cell r="U169">
            <v>0.1</v>
          </cell>
          <cell r="V169" t="str">
            <v>내선</v>
          </cell>
          <cell r="W169">
            <v>1.6E-2</v>
          </cell>
        </row>
        <row r="170">
          <cell r="A170">
            <v>170</v>
          </cell>
          <cell r="C170" t="str">
            <v xml:space="preserve">전선 </v>
          </cell>
          <cell r="D170" t="str">
            <v>GV   14sq</v>
          </cell>
          <cell r="E170" t="str">
            <v>m</v>
          </cell>
          <cell r="H170">
            <v>763</v>
          </cell>
          <cell r="I170">
            <v>971</v>
          </cell>
          <cell r="J170">
            <v>844</v>
          </cell>
          <cell r="K170">
            <v>1002</v>
          </cell>
          <cell r="S170">
            <v>971</v>
          </cell>
          <cell r="U170">
            <v>0.1</v>
          </cell>
          <cell r="V170" t="str">
            <v>내선</v>
          </cell>
          <cell r="W170">
            <v>0.02</v>
          </cell>
        </row>
        <row r="171">
          <cell r="A171">
            <v>171</v>
          </cell>
          <cell r="C171" t="str">
            <v xml:space="preserve">전선 </v>
          </cell>
          <cell r="D171" t="str">
            <v>GV   22sq</v>
          </cell>
          <cell r="E171" t="str">
            <v>m</v>
          </cell>
          <cell r="H171">
            <v>763</v>
          </cell>
          <cell r="I171">
            <v>1348</v>
          </cell>
          <cell r="J171">
            <v>844</v>
          </cell>
          <cell r="K171">
            <v>1391</v>
          </cell>
          <cell r="S171">
            <v>1348</v>
          </cell>
          <cell r="U171">
            <v>0.1</v>
          </cell>
          <cell r="V171" t="str">
            <v>내선</v>
          </cell>
          <cell r="W171">
            <v>3.1E-2</v>
          </cell>
        </row>
        <row r="172">
          <cell r="A172">
            <v>172</v>
          </cell>
          <cell r="C172" t="str">
            <v xml:space="preserve">전선 </v>
          </cell>
          <cell r="E172" t="str">
            <v>m</v>
          </cell>
          <cell r="H172">
            <v>763</v>
          </cell>
          <cell r="I172">
            <v>1743</v>
          </cell>
          <cell r="J172">
            <v>844</v>
          </cell>
          <cell r="S172">
            <v>1743</v>
          </cell>
          <cell r="U172">
            <v>0.1</v>
          </cell>
          <cell r="V172" t="str">
            <v>내선</v>
          </cell>
          <cell r="W172">
            <v>3.1E-2</v>
          </cell>
        </row>
        <row r="173">
          <cell r="A173">
            <v>173</v>
          </cell>
          <cell r="C173" t="str">
            <v xml:space="preserve">전선 </v>
          </cell>
          <cell r="D173" t="str">
            <v>GV   38sq</v>
          </cell>
          <cell r="E173" t="str">
            <v>m</v>
          </cell>
          <cell r="H173">
            <v>763</v>
          </cell>
          <cell r="I173">
            <v>2032</v>
          </cell>
          <cell r="J173">
            <v>844</v>
          </cell>
          <cell r="K173">
            <v>2095</v>
          </cell>
          <cell r="S173">
            <v>2032</v>
          </cell>
          <cell r="U173">
            <v>0.1</v>
          </cell>
          <cell r="V173" t="str">
            <v>내선</v>
          </cell>
          <cell r="W173">
            <v>3.1E-2</v>
          </cell>
        </row>
        <row r="174">
          <cell r="A174">
            <v>174</v>
          </cell>
          <cell r="C174" t="str">
            <v xml:space="preserve">전선 </v>
          </cell>
          <cell r="E174" t="str">
            <v>m</v>
          </cell>
          <cell r="H174">
            <v>763</v>
          </cell>
          <cell r="I174">
            <v>2728</v>
          </cell>
          <cell r="J174">
            <v>844</v>
          </cell>
          <cell r="S174">
            <v>2728</v>
          </cell>
          <cell r="U174">
            <v>0.1</v>
          </cell>
          <cell r="V174" t="str">
            <v>내선</v>
          </cell>
          <cell r="W174">
            <v>5.1999999999999998E-2</v>
          </cell>
        </row>
        <row r="175">
          <cell r="A175">
            <v>175</v>
          </cell>
          <cell r="C175" t="str">
            <v xml:space="preserve">전선 </v>
          </cell>
          <cell r="D175" t="str">
            <v>GV   60sq</v>
          </cell>
          <cell r="E175" t="str">
            <v>m</v>
          </cell>
          <cell r="H175">
            <v>763</v>
          </cell>
          <cell r="I175">
            <v>3212</v>
          </cell>
          <cell r="J175">
            <v>844</v>
          </cell>
          <cell r="K175">
            <v>3312</v>
          </cell>
          <cell r="S175">
            <v>3212</v>
          </cell>
          <cell r="U175">
            <v>0.1</v>
          </cell>
          <cell r="V175" t="str">
            <v>내선</v>
          </cell>
          <cell r="W175">
            <v>5.1999999999999998E-2</v>
          </cell>
        </row>
        <row r="176">
          <cell r="A176">
            <v>176</v>
          </cell>
          <cell r="C176" t="str">
            <v xml:space="preserve">전선 </v>
          </cell>
          <cell r="E176" t="str">
            <v>m</v>
          </cell>
          <cell r="H176">
            <v>763</v>
          </cell>
          <cell r="I176">
            <v>4099</v>
          </cell>
          <cell r="J176">
            <v>844</v>
          </cell>
          <cell r="S176">
            <v>4099</v>
          </cell>
          <cell r="U176">
            <v>0.1</v>
          </cell>
          <cell r="V176" t="str">
            <v>내선</v>
          </cell>
          <cell r="W176">
            <v>6.4000000000000001E-2</v>
          </cell>
        </row>
        <row r="177">
          <cell r="A177">
            <v>177</v>
          </cell>
          <cell r="C177" t="str">
            <v xml:space="preserve">전선 </v>
          </cell>
          <cell r="D177" t="str">
            <v>GV   100sq</v>
          </cell>
          <cell r="E177" t="str">
            <v>m</v>
          </cell>
          <cell r="H177">
            <v>763</v>
          </cell>
          <cell r="I177">
            <v>4785</v>
          </cell>
          <cell r="J177">
            <v>844</v>
          </cell>
          <cell r="K177">
            <v>4934</v>
          </cell>
          <cell r="S177">
            <v>4785</v>
          </cell>
          <cell r="U177">
            <v>0.1</v>
          </cell>
          <cell r="V177" t="str">
            <v>내선</v>
          </cell>
          <cell r="W177">
            <v>6.4000000000000001E-2</v>
          </cell>
        </row>
        <row r="178">
          <cell r="A178">
            <v>178</v>
          </cell>
          <cell r="S178" t="str">
            <v/>
          </cell>
        </row>
        <row r="179">
          <cell r="A179">
            <v>179</v>
          </cell>
          <cell r="S179" t="str">
            <v/>
          </cell>
        </row>
        <row r="180">
          <cell r="A180">
            <v>180</v>
          </cell>
          <cell r="C180" t="str">
            <v>전화선</v>
          </cell>
          <cell r="D180" t="str">
            <v>TIV 0.8/2C</v>
          </cell>
          <cell r="E180" t="str">
            <v>m</v>
          </cell>
          <cell r="H180">
            <v>811</v>
          </cell>
          <cell r="I180">
            <v>80</v>
          </cell>
          <cell r="J180">
            <v>854</v>
          </cell>
          <cell r="K180">
            <v>75</v>
          </cell>
          <cell r="S180">
            <v>75</v>
          </cell>
          <cell r="U180">
            <v>0.1</v>
          </cell>
          <cell r="V180" t="str">
            <v>통내</v>
          </cell>
          <cell r="W180">
            <v>1.4999999999999999E-2</v>
          </cell>
        </row>
        <row r="181">
          <cell r="A181">
            <v>181</v>
          </cell>
          <cell r="C181" t="str">
            <v>전화선</v>
          </cell>
          <cell r="D181" t="str">
            <v>TIV 0.8/2C×2</v>
          </cell>
          <cell r="E181" t="str">
            <v>m</v>
          </cell>
          <cell r="H181">
            <v>811</v>
          </cell>
          <cell r="I181">
            <v>160</v>
          </cell>
          <cell r="J181">
            <v>854</v>
          </cell>
          <cell r="K181">
            <v>150</v>
          </cell>
          <cell r="S181">
            <v>150</v>
          </cell>
          <cell r="U181">
            <v>0.1</v>
          </cell>
          <cell r="V181" t="str">
            <v>통내</v>
          </cell>
          <cell r="W181">
            <v>2.7E-2</v>
          </cell>
        </row>
        <row r="182">
          <cell r="A182">
            <v>182</v>
          </cell>
          <cell r="C182" t="str">
            <v>전화선</v>
          </cell>
          <cell r="D182" t="str">
            <v>TIV 0.8/2C×3</v>
          </cell>
          <cell r="E182" t="str">
            <v>m</v>
          </cell>
          <cell r="H182">
            <v>811</v>
          </cell>
          <cell r="I182">
            <v>240</v>
          </cell>
          <cell r="J182">
            <v>854</v>
          </cell>
          <cell r="K182">
            <v>225</v>
          </cell>
          <cell r="S182">
            <v>225</v>
          </cell>
          <cell r="U182">
            <v>0.1</v>
          </cell>
          <cell r="V182" t="str">
            <v>통내</v>
          </cell>
          <cell r="W182">
            <v>3.5999999999999997E-2</v>
          </cell>
        </row>
        <row r="183">
          <cell r="A183">
            <v>183</v>
          </cell>
          <cell r="C183" t="str">
            <v>전화선</v>
          </cell>
          <cell r="D183" t="str">
            <v>TIV 0.8/2C×4</v>
          </cell>
          <cell r="E183" t="str">
            <v>m</v>
          </cell>
          <cell r="H183">
            <v>811</v>
          </cell>
          <cell r="I183">
            <v>320</v>
          </cell>
          <cell r="J183">
            <v>854</v>
          </cell>
          <cell r="K183">
            <v>300</v>
          </cell>
          <cell r="S183">
            <v>300</v>
          </cell>
          <cell r="U183">
            <v>0.1</v>
          </cell>
          <cell r="V183" t="str">
            <v>통내</v>
          </cell>
          <cell r="W183">
            <v>4.8000000000000001E-2</v>
          </cell>
        </row>
        <row r="184">
          <cell r="A184">
            <v>184</v>
          </cell>
          <cell r="C184" t="str">
            <v>전화선</v>
          </cell>
          <cell r="D184" t="str">
            <v>TIV 0.8/2C×6</v>
          </cell>
          <cell r="E184" t="str">
            <v>m</v>
          </cell>
          <cell r="H184">
            <v>811</v>
          </cell>
          <cell r="I184">
            <v>480</v>
          </cell>
          <cell r="J184">
            <v>854</v>
          </cell>
          <cell r="K184">
            <v>450</v>
          </cell>
          <cell r="S184">
            <v>450</v>
          </cell>
          <cell r="U184">
            <v>0.1</v>
          </cell>
          <cell r="V184" t="str">
            <v>통내</v>
          </cell>
          <cell r="W184">
            <v>7.1999999999999995E-2</v>
          </cell>
        </row>
        <row r="185">
          <cell r="A185">
            <v>185</v>
          </cell>
          <cell r="C185" t="str">
            <v>전화선</v>
          </cell>
          <cell r="D185" t="str">
            <v>TIV 0.8/2C×8</v>
          </cell>
          <cell r="E185" t="str">
            <v>m</v>
          </cell>
          <cell r="H185">
            <v>811</v>
          </cell>
          <cell r="I185">
            <v>640</v>
          </cell>
          <cell r="J185">
            <v>854</v>
          </cell>
          <cell r="K185">
            <v>600</v>
          </cell>
          <cell r="S185">
            <v>600</v>
          </cell>
          <cell r="U185">
            <v>0.1</v>
          </cell>
          <cell r="V185" t="str">
            <v>통내</v>
          </cell>
          <cell r="W185">
            <v>9.6000000000000002E-2</v>
          </cell>
        </row>
        <row r="186">
          <cell r="A186">
            <v>186</v>
          </cell>
          <cell r="C186" t="str">
            <v>전화선</v>
          </cell>
          <cell r="D186" t="str">
            <v>TIV 0.8/2C×10</v>
          </cell>
          <cell r="E186" t="str">
            <v>m</v>
          </cell>
          <cell r="H186">
            <v>811</v>
          </cell>
          <cell r="I186">
            <v>800</v>
          </cell>
          <cell r="J186">
            <v>854</v>
          </cell>
          <cell r="K186">
            <v>750</v>
          </cell>
          <cell r="S186">
            <v>750</v>
          </cell>
          <cell r="U186">
            <v>0.1</v>
          </cell>
          <cell r="V186" t="str">
            <v>통내</v>
          </cell>
          <cell r="W186">
            <v>0.12</v>
          </cell>
        </row>
        <row r="187">
          <cell r="A187">
            <v>187</v>
          </cell>
          <cell r="C187" t="str">
            <v>전화선</v>
          </cell>
          <cell r="D187" t="str">
            <v>TIV 0.8/2C×12</v>
          </cell>
          <cell r="E187" t="str">
            <v>m</v>
          </cell>
          <cell r="H187">
            <v>811</v>
          </cell>
          <cell r="I187">
            <v>960</v>
          </cell>
          <cell r="J187">
            <v>854</v>
          </cell>
          <cell r="K187">
            <v>900</v>
          </cell>
          <cell r="S187">
            <v>900</v>
          </cell>
          <cell r="U187">
            <v>0.1</v>
          </cell>
          <cell r="V187" t="str">
            <v>통내</v>
          </cell>
          <cell r="W187">
            <v>0.14400000000000002</v>
          </cell>
        </row>
        <row r="188">
          <cell r="A188">
            <v>188</v>
          </cell>
          <cell r="C188" t="str">
            <v>전화선</v>
          </cell>
          <cell r="D188" t="str">
            <v>TIV 0.8/2C×14</v>
          </cell>
          <cell r="E188" t="str">
            <v>m</v>
          </cell>
          <cell r="H188">
            <v>811</v>
          </cell>
          <cell r="I188">
            <v>1120</v>
          </cell>
          <cell r="J188">
            <v>854</v>
          </cell>
          <cell r="K188">
            <v>1050</v>
          </cell>
          <cell r="S188">
            <v>1050</v>
          </cell>
          <cell r="U188">
            <v>0.1</v>
          </cell>
          <cell r="V188" t="str">
            <v>통내</v>
          </cell>
          <cell r="W188">
            <v>0.16800000000000001</v>
          </cell>
        </row>
        <row r="189">
          <cell r="A189">
            <v>189</v>
          </cell>
          <cell r="C189" t="str">
            <v>전화선</v>
          </cell>
          <cell r="D189" t="str">
            <v>TIV 0.8/2C×16</v>
          </cell>
          <cell r="E189" t="str">
            <v>m</v>
          </cell>
          <cell r="H189">
            <v>811</v>
          </cell>
          <cell r="I189">
            <v>1280</v>
          </cell>
          <cell r="J189">
            <v>854</v>
          </cell>
          <cell r="K189">
            <v>1200</v>
          </cell>
          <cell r="S189">
            <v>1200</v>
          </cell>
          <cell r="U189">
            <v>0.1</v>
          </cell>
          <cell r="V189" t="str">
            <v>통내</v>
          </cell>
          <cell r="W189">
            <v>0.192</v>
          </cell>
        </row>
        <row r="190">
          <cell r="A190">
            <v>190</v>
          </cell>
          <cell r="S190" t="str">
            <v/>
          </cell>
        </row>
        <row r="191">
          <cell r="A191">
            <v>191</v>
          </cell>
          <cell r="C191" t="str">
            <v>전화선</v>
          </cell>
          <cell r="D191" t="str">
            <v>TOV 1.0/2C</v>
          </cell>
          <cell r="E191" t="str">
            <v>m</v>
          </cell>
          <cell r="H191">
            <v>811</v>
          </cell>
          <cell r="I191">
            <v>151</v>
          </cell>
          <cell r="J191">
            <v>854</v>
          </cell>
          <cell r="K191">
            <v>114</v>
          </cell>
          <cell r="S191">
            <v>114</v>
          </cell>
          <cell r="U191">
            <v>0.1</v>
          </cell>
          <cell r="V191" t="str">
            <v>통내</v>
          </cell>
          <cell r="W191">
            <v>1.4999999999999999E-2</v>
          </cell>
        </row>
        <row r="192">
          <cell r="A192">
            <v>192</v>
          </cell>
          <cell r="C192" t="str">
            <v>전화선</v>
          </cell>
          <cell r="D192" t="str">
            <v>TOV 1.2/2C</v>
          </cell>
          <cell r="E192" t="str">
            <v>m</v>
          </cell>
          <cell r="H192">
            <v>811</v>
          </cell>
          <cell r="I192">
            <v>158</v>
          </cell>
          <cell r="J192">
            <v>854</v>
          </cell>
          <cell r="K192">
            <v>140</v>
          </cell>
          <cell r="S192">
            <v>140</v>
          </cell>
          <cell r="U192">
            <v>0.1</v>
          </cell>
          <cell r="V192" t="str">
            <v>통내</v>
          </cell>
          <cell r="W192">
            <v>1.4999999999999999E-2</v>
          </cell>
        </row>
        <row r="193">
          <cell r="A193">
            <v>193</v>
          </cell>
          <cell r="S193" t="str">
            <v/>
          </cell>
        </row>
        <row r="194">
          <cell r="A194">
            <v>194</v>
          </cell>
          <cell r="S194" t="str">
            <v/>
          </cell>
        </row>
        <row r="195">
          <cell r="A195">
            <v>195</v>
          </cell>
          <cell r="S195" t="str">
            <v/>
          </cell>
        </row>
        <row r="196">
          <cell r="A196">
            <v>196</v>
          </cell>
          <cell r="C196" t="str">
            <v>고압케이블</v>
          </cell>
          <cell r="D196" t="str">
            <v>3.3KV CV8sq/1C</v>
          </cell>
          <cell r="E196" t="str">
            <v>m</v>
          </cell>
          <cell r="H196">
            <v>799</v>
          </cell>
          <cell r="I196">
            <v>1378</v>
          </cell>
          <cell r="J196">
            <v>851</v>
          </cell>
          <cell r="K196">
            <v>1944</v>
          </cell>
          <cell r="S196">
            <v>1378</v>
          </cell>
          <cell r="U196">
            <v>0.05</v>
          </cell>
          <cell r="V196" t="str">
            <v>고케</v>
          </cell>
          <cell r="W196">
            <v>1.5400000000000002E-2</v>
          </cell>
        </row>
        <row r="197">
          <cell r="A197">
            <v>197</v>
          </cell>
          <cell r="C197" t="str">
            <v>고압케이블</v>
          </cell>
          <cell r="D197" t="str">
            <v>3.3KV CV14sq/1C</v>
          </cell>
          <cell r="E197" t="str">
            <v>m</v>
          </cell>
          <cell r="H197">
            <v>799</v>
          </cell>
          <cell r="I197">
            <v>1767</v>
          </cell>
          <cell r="J197">
            <v>851</v>
          </cell>
          <cell r="K197">
            <v>2577</v>
          </cell>
          <cell r="S197">
            <v>1767</v>
          </cell>
          <cell r="U197">
            <v>0.05</v>
          </cell>
          <cell r="V197" t="str">
            <v>고케</v>
          </cell>
          <cell r="W197">
            <v>2.2000000000000002E-2</v>
          </cell>
        </row>
        <row r="198">
          <cell r="A198">
            <v>198</v>
          </cell>
          <cell r="C198" t="str">
            <v>고압케이블</v>
          </cell>
          <cell r="D198" t="str">
            <v>3.3KV CV22sq/1C</v>
          </cell>
          <cell r="E198" t="str">
            <v>m</v>
          </cell>
          <cell r="H198">
            <v>799</v>
          </cell>
          <cell r="I198">
            <v>2129</v>
          </cell>
          <cell r="J198">
            <v>851</v>
          </cell>
          <cell r="K198">
            <v>3017</v>
          </cell>
          <cell r="S198">
            <v>2129</v>
          </cell>
          <cell r="U198">
            <v>0.05</v>
          </cell>
          <cell r="V198" t="str">
            <v>고케</v>
          </cell>
          <cell r="W198">
            <v>2.86E-2</v>
          </cell>
        </row>
        <row r="199">
          <cell r="A199">
            <v>199</v>
          </cell>
          <cell r="C199" t="str">
            <v>고압케이블</v>
          </cell>
          <cell r="E199" t="str">
            <v>m</v>
          </cell>
          <cell r="H199">
            <v>799</v>
          </cell>
          <cell r="I199">
            <v>2567</v>
          </cell>
          <cell r="J199">
            <v>851</v>
          </cell>
          <cell r="S199">
            <v>2567</v>
          </cell>
          <cell r="U199">
            <v>0.05</v>
          </cell>
          <cell r="V199" t="str">
            <v>고케</v>
          </cell>
          <cell r="W199">
            <v>3.3000000000000002E-2</v>
          </cell>
        </row>
        <row r="200">
          <cell r="A200">
            <v>200</v>
          </cell>
          <cell r="C200" t="str">
            <v>고압케이블</v>
          </cell>
          <cell r="D200" t="str">
            <v>3.3KV CV38sq/1C</v>
          </cell>
          <cell r="E200" t="str">
            <v>m</v>
          </cell>
          <cell r="H200">
            <v>799</v>
          </cell>
          <cell r="I200">
            <v>3088</v>
          </cell>
          <cell r="J200">
            <v>851</v>
          </cell>
          <cell r="K200">
            <v>4223</v>
          </cell>
          <cell r="S200">
            <v>3088</v>
          </cell>
          <cell r="U200">
            <v>0.05</v>
          </cell>
          <cell r="V200" t="str">
            <v>고케</v>
          </cell>
          <cell r="W200">
            <v>3.9600000000000003E-2</v>
          </cell>
        </row>
        <row r="201">
          <cell r="A201">
            <v>201</v>
          </cell>
          <cell r="C201" t="str">
            <v>고압케이블</v>
          </cell>
          <cell r="E201" t="str">
            <v>m</v>
          </cell>
          <cell r="H201">
            <v>799</v>
          </cell>
          <cell r="I201">
            <v>3803</v>
          </cell>
          <cell r="J201">
            <v>851</v>
          </cell>
          <cell r="S201">
            <v>3803</v>
          </cell>
          <cell r="U201">
            <v>0.05</v>
          </cell>
          <cell r="V201" t="str">
            <v>고케</v>
          </cell>
          <cell r="W201">
            <v>4.7300000000000002E-2</v>
          </cell>
        </row>
        <row r="202">
          <cell r="A202">
            <v>202</v>
          </cell>
          <cell r="C202" t="str">
            <v>고압케이블</v>
          </cell>
          <cell r="D202" t="str">
            <v>3.3KV CV60sq/1C</v>
          </cell>
          <cell r="E202" t="str">
            <v>m</v>
          </cell>
          <cell r="H202">
            <v>799</v>
          </cell>
          <cell r="I202">
            <v>4611</v>
          </cell>
          <cell r="J202">
            <v>851</v>
          </cell>
          <cell r="K202">
            <v>5619</v>
          </cell>
          <cell r="S202">
            <v>4611</v>
          </cell>
          <cell r="U202">
            <v>0.05</v>
          </cell>
          <cell r="V202" t="str">
            <v>고케</v>
          </cell>
          <cell r="W202">
            <v>5.3900000000000003E-2</v>
          </cell>
        </row>
        <row r="203">
          <cell r="A203">
            <v>203</v>
          </cell>
          <cell r="C203" t="str">
            <v>고압케이블</v>
          </cell>
          <cell r="E203" t="str">
            <v>m</v>
          </cell>
          <cell r="H203">
            <v>799</v>
          </cell>
          <cell r="I203">
            <v>5071</v>
          </cell>
          <cell r="J203">
            <v>851</v>
          </cell>
          <cell r="S203">
            <v>5071</v>
          </cell>
          <cell r="U203">
            <v>0.05</v>
          </cell>
          <cell r="V203" t="str">
            <v>고케</v>
          </cell>
          <cell r="W203">
            <v>6.6000000000000003E-2</v>
          </cell>
        </row>
        <row r="204">
          <cell r="A204">
            <v>204</v>
          </cell>
          <cell r="C204" t="str">
            <v>고압케이블</v>
          </cell>
          <cell r="D204" t="str">
            <v>3.3KV CV100sq/1C</v>
          </cell>
          <cell r="E204" t="str">
            <v>m</v>
          </cell>
          <cell r="H204">
            <v>799</v>
          </cell>
          <cell r="I204">
            <v>6052</v>
          </cell>
          <cell r="J204">
            <v>851</v>
          </cell>
          <cell r="K204">
            <v>6799</v>
          </cell>
          <cell r="S204">
            <v>6052</v>
          </cell>
          <cell r="U204">
            <v>0.05</v>
          </cell>
          <cell r="V204" t="str">
            <v>고케</v>
          </cell>
          <cell r="W204">
            <v>7.8100000000000003E-2</v>
          </cell>
        </row>
        <row r="205">
          <cell r="A205">
            <v>205</v>
          </cell>
          <cell r="C205" t="str">
            <v>고압케이블</v>
          </cell>
          <cell r="E205" t="str">
            <v>m</v>
          </cell>
          <cell r="H205">
            <v>799</v>
          </cell>
          <cell r="I205">
            <v>8295</v>
          </cell>
          <cell r="J205">
            <v>851</v>
          </cell>
          <cell r="S205">
            <v>8295</v>
          </cell>
          <cell r="U205">
            <v>0.05</v>
          </cell>
          <cell r="V205" t="str">
            <v>고케</v>
          </cell>
          <cell r="W205">
            <v>9.240000000000001E-2</v>
          </cell>
        </row>
        <row r="206">
          <cell r="A206">
            <v>206</v>
          </cell>
          <cell r="C206" t="str">
            <v>고압케이블</v>
          </cell>
          <cell r="D206" t="str">
            <v>3.3KV CV150sq/1C</v>
          </cell>
          <cell r="E206" t="str">
            <v>m</v>
          </cell>
          <cell r="H206">
            <v>799</v>
          </cell>
          <cell r="I206">
            <v>9817</v>
          </cell>
          <cell r="J206">
            <v>851</v>
          </cell>
          <cell r="K206">
            <v>10622</v>
          </cell>
          <cell r="S206">
            <v>9817</v>
          </cell>
          <cell r="U206">
            <v>0.05</v>
          </cell>
          <cell r="V206" t="str">
            <v>고케</v>
          </cell>
          <cell r="W206">
            <v>0.10670000000000002</v>
          </cell>
        </row>
        <row r="207">
          <cell r="A207">
            <v>207</v>
          </cell>
          <cell r="C207" t="str">
            <v>고압케이블</v>
          </cell>
          <cell r="D207" t="str">
            <v>3.3KV CV200sq/1C</v>
          </cell>
          <cell r="E207" t="str">
            <v>m</v>
          </cell>
          <cell r="H207">
            <v>799</v>
          </cell>
          <cell r="I207">
            <v>13314</v>
          </cell>
          <cell r="J207">
            <v>851</v>
          </cell>
          <cell r="K207">
            <v>13334</v>
          </cell>
          <cell r="S207">
            <v>13314</v>
          </cell>
          <cell r="U207">
            <v>0.05</v>
          </cell>
          <cell r="V207" t="str">
            <v>고케</v>
          </cell>
          <cell r="W207">
            <v>0.12870000000000001</v>
          </cell>
        </row>
        <row r="208">
          <cell r="A208">
            <v>208</v>
          </cell>
          <cell r="C208" t="str">
            <v>고압케이블</v>
          </cell>
          <cell r="D208" t="str">
            <v>3.3KV CV250sq/1C</v>
          </cell>
          <cell r="E208" t="str">
            <v>m</v>
          </cell>
          <cell r="H208">
            <v>799</v>
          </cell>
          <cell r="I208">
            <v>16298</v>
          </cell>
          <cell r="J208">
            <v>851</v>
          </cell>
          <cell r="K208">
            <v>15940</v>
          </cell>
          <cell r="S208">
            <v>15940</v>
          </cell>
          <cell r="U208">
            <v>0.05</v>
          </cell>
          <cell r="V208" t="str">
            <v>고케</v>
          </cell>
          <cell r="W208">
            <v>0.15620000000000001</v>
          </cell>
        </row>
        <row r="209">
          <cell r="A209">
            <v>209</v>
          </cell>
          <cell r="S209" t="str">
            <v/>
          </cell>
        </row>
        <row r="210">
          <cell r="A210">
            <v>210</v>
          </cell>
          <cell r="S210" t="str">
            <v/>
          </cell>
        </row>
        <row r="211">
          <cell r="A211">
            <v>211</v>
          </cell>
          <cell r="C211" t="str">
            <v>고압케이블</v>
          </cell>
          <cell r="D211" t="str">
            <v>3.3KV CV8sq/3C</v>
          </cell>
          <cell r="E211" t="str">
            <v>m</v>
          </cell>
          <cell r="H211">
            <v>799</v>
          </cell>
          <cell r="I211">
            <v>3544</v>
          </cell>
          <cell r="J211">
            <v>851</v>
          </cell>
          <cell r="K211">
            <v>6691</v>
          </cell>
          <cell r="S211">
            <v>3544</v>
          </cell>
          <cell r="U211">
            <v>0.05</v>
          </cell>
          <cell r="V211" t="str">
            <v>고케</v>
          </cell>
          <cell r="W211">
            <v>3.0800000000000004E-2</v>
          </cell>
        </row>
        <row r="212">
          <cell r="A212">
            <v>212</v>
          </cell>
          <cell r="C212" t="str">
            <v>고압케이블</v>
          </cell>
          <cell r="D212" t="str">
            <v>3.3KV CV14sq/3C</v>
          </cell>
          <cell r="E212" t="str">
            <v>m</v>
          </cell>
          <cell r="H212">
            <v>799</v>
          </cell>
          <cell r="I212">
            <v>4813</v>
          </cell>
          <cell r="J212">
            <v>851</v>
          </cell>
          <cell r="K212">
            <v>8676</v>
          </cell>
          <cell r="S212">
            <v>4813</v>
          </cell>
          <cell r="U212">
            <v>0.05</v>
          </cell>
          <cell r="V212" t="str">
            <v>고케</v>
          </cell>
          <cell r="W212">
            <v>4.4000000000000004E-2</v>
          </cell>
        </row>
        <row r="213">
          <cell r="A213">
            <v>213</v>
          </cell>
          <cell r="C213" t="str">
            <v>고압케이블</v>
          </cell>
          <cell r="D213" t="str">
            <v>3.3KV CV22sq/3C</v>
          </cell>
          <cell r="E213" t="str">
            <v>m</v>
          </cell>
          <cell r="H213">
            <v>799</v>
          </cell>
          <cell r="I213">
            <v>6064</v>
          </cell>
          <cell r="J213">
            <v>852</v>
          </cell>
          <cell r="K213">
            <v>10281</v>
          </cell>
          <cell r="S213">
            <v>6064</v>
          </cell>
          <cell r="U213">
            <v>0.05</v>
          </cell>
          <cell r="V213" t="str">
            <v>고케</v>
          </cell>
          <cell r="W213">
            <v>5.7200000000000001E-2</v>
          </cell>
        </row>
        <row r="214">
          <cell r="A214">
            <v>214</v>
          </cell>
          <cell r="C214" t="str">
            <v>고압케이블</v>
          </cell>
          <cell r="E214" t="str">
            <v>m</v>
          </cell>
          <cell r="H214">
            <v>799</v>
          </cell>
          <cell r="I214">
            <v>7168</v>
          </cell>
          <cell r="J214">
            <v>852</v>
          </cell>
          <cell r="S214">
            <v>7168</v>
          </cell>
          <cell r="U214">
            <v>0.05</v>
          </cell>
          <cell r="V214" t="str">
            <v>고케</v>
          </cell>
          <cell r="W214">
            <v>6.6000000000000003E-2</v>
          </cell>
        </row>
        <row r="215">
          <cell r="A215">
            <v>215</v>
          </cell>
          <cell r="C215" t="str">
            <v>고압케이블</v>
          </cell>
          <cell r="D215" t="str">
            <v>3.3KV CV38sq/3C</v>
          </cell>
          <cell r="E215" t="str">
            <v>m</v>
          </cell>
          <cell r="H215">
            <v>799</v>
          </cell>
          <cell r="I215">
            <v>8435</v>
          </cell>
          <cell r="J215">
            <v>852</v>
          </cell>
          <cell r="K215">
            <v>13056</v>
          </cell>
          <cell r="S215">
            <v>8435</v>
          </cell>
          <cell r="U215">
            <v>0.05</v>
          </cell>
          <cell r="V215" t="str">
            <v>고케</v>
          </cell>
          <cell r="W215">
            <v>7.9200000000000007E-2</v>
          </cell>
        </row>
        <row r="216">
          <cell r="A216">
            <v>216</v>
          </cell>
          <cell r="C216" t="str">
            <v>고압케이블</v>
          </cell>
          <cell r="E216" t="str">
            <v>m</v>
          </cell>
          <cell r="H216">
            <v>799</v>
          </cell>
          <cell r="I216">
            <v>11056</v>
          </cell>
          <cell r="J216">
            <v>852</v>
          </cell>
          <cell r="S216">
            <v>11056</v>
          </cell>
          <cell r="U216">
            <v>0.05</v>
          </cell>
          <cell r="V216" t="str">
            <v>고케</v>
          </cell>
          <cell r="W216">
            <v>9.4600000000000004E-2</v>
          </cell>
        </row>
        <row r="217">
          <cell r="A217">
            <v>217</v>
          </cell>
          <cell r="C217" t="str">
            <v>고압케이블</v>
          </cell>
          <cell r="D217" t="str">
            <v>3.3KV CV60sq/3C</v>
          </cell>
          <cell r="E217" t="str">
            <v>m</v>
          </cell>
          <cell r="H217">
            <v>799</v>
          </cell>
          <cell r="I217">
            <v>13744</v>
          </cell>
          <cell r="J217">
            <v>852</v>
          </cell>
          <cell r="K217">
            <v>15340</v>
          </cell>
          <cell r="S217">
            <v>13744</v>
          </cell>
          <cell r="U217">
            <v>0.05</v>
          </cell>
          <cell r="V217" t="str">
            <v>고케</v>
          </cell>
          <cell r="W217">
            <v>0.10780000000000001</v>
          </cell>
        </row>
        <row r="218">
          <cell r="A218">
            <v>218</v>
          </cell>
          <cell r="C218" t="str">
            <v>고압케이블</v>
          </cell>
          <cell r="E218" t="str">
            <v>m</v>
          </cell>
          <cell r="H218">
            <v>799</v>
          </cell>
          <cell r="I218">
            <v>15041</v>
          </cell>
          <cell r="J218">
            <v>852</v>
          </cell>
          <cell r="S218">
            <v>15041</v>
          </cell>
          <cell r="U218">
            <v>0.05</v>
          </cell>
          <cell r="V218" t="str">
            <v>고케</v>
          </cell>
          <cell r="W218">
            <v>0.13200000000000001</v>
          </cell>
        </row>
        <row r="219">
          <cell r="A219">
            <v>219</v>
          </cell>
          <cell r="C219" t="str">
            <v>고압케이블</v>
          </cell>
          <cell r="D219" t="str">
            <v>3.3KV CV100sq/3C</v>
          </cell>
          <cell r="E219" t="str">
            <v>m</v>
          </cell>
          <cell r="H219">
            <v>799</v>
          </cell>
          <cell r="I219">
            <v>19498</v>
          </cell>
          <cell r="J219">
            <v>852</v>
          </cell>
          <cell r="K219">
            <v>22061</v>
          </cell>
          <cell r="S219">
            <v>19498</v>
          </cell>
          <cell r="U219">
            <v>0.05</v>
          </cell>
          <cell r="V219" t="str">
            <v>고케</v>
          </cell>
          <cell r="W219">
            <v>0.15620000000000001</v>
          </cell>
        </row>
        <row r="220">
          <cell r="A220">
            <v>220</v>
          </cell>
          <cell r="C220" t="str">
            <v>고압케이블</v>
          </cell>
          <cell r="E220" t="str">
            <v>m</v>
          </cell>
          <cell r="H220">
            <v>799</v>
          </cell>
          <cell r="I220">
            <v>21790</v>
          </cell>
          <cell r="J220">
            <v>852</v>
          </cell>
          <cell r="S220">
            <v>21790</v>
          </cell>
          <cell r="U220">
            <v>0.05</v>
          </cell>
          <cell r="V220" t="str">
            <v>고케</v>
          </cell>
          <cell r="W220">
            <v>0.18480000000000002</v>
          </cell>
        </row>
        <row r="221">
          <cell r="A221">
            <v>221</v>
          </cell>
          <cell r="C221" t="str">
            <v>고압케이블</v>
          </cell>
          <cell r="D221" t="str">
            <v>3.3KV CV150sq/3C</v>
          </cell>
          <cell r="E221" t="str">
            <v>m</v>
          </cell>
          <cell r="H221">
            <v>799</v>
          </cell>
          <cell r="I221">
            <v>31069</v>
          </cell>
          <cell r="J221">
            <v>852</v>
          </cell>
          <cell r="K221">
            <v>29706</v>
          </cell>
          <cell r="S221">
            <v>29706</v>
          </cell>
          <cell r="U221">
            <v>0.05</v>
          </cell>
          <cell r="V221" t="str">
            <v>고케</v>
          </cell>
          <cell r="W221">
            <v>0.21340000000000003</v>
          </cell>
        </row>
        <row r="222">
          <cell r="A222">
            <v>222</v>
          </cell>
          <cell r="C222" t="str">
            <v>고압케이블</v>
          </cell>
          <cell r="D222" t="str">
            <v>3.3KV CV200sq/3C</v>
          </cell>
          <cell r="E222" t="str">
            <v>m</v>
          </cell>
          <cell r="H222">
            <v>799</v>
          </cell>
          <cell r="I222">
            <v>32892</v>
          </cell>
          <cell r="J222">
            <v>852</v>
          </cell>
          <cell r="K222">
            <v>36836</v>
          </cell>
          <cell r="S222">
            <v>32892</v>
          </cell>
          <cell r="U222">
            <v>0.05</v>
          </cell>
          <cell r="V222" t="str">
            <v>고케</v>
          </cell>
          <cell r="W222">
            <v>0.25740000000000002</v>
          </cell>
        </row>
        <row r="223">
          <cell r="A223">
            <v>223</v>
          </cell>
          <cell r="C223" t="str">
            <v>고압케이블</v>
          </cell>
          <cell r="D223" t="str">
            <v>3.3KV CV250sq/3C</v>
          </cell>
          <cell r="E223" t="str">
            <v>m</v>
          </cell>
          <cell r="H223">
            <v>799</v>
          </cell>
          <cell r="I223">
            <v>46142</v>
          </cell>
          <cell r="J223">
            <v>852</v>
          </cell>
          <cell r="K223">
            <v>49771</v>
          </cell>
          <cell r="S223">
            <v>46142</v>
          </cell>
          <cell r="U223">
            <v>0.05</v>
          </cell>
          <cell r="V223" t="str">
            <v>고케</v>
          </cell>
          <cell r="W223">
            <v>0.31240000000000001</v>
          </cell>
        </row>
        <row r="224">
          <cell r="A224">
            <v>224</v>
          </cell>
          <cell r="S224" t="str">
            <v/>
          </cell>
        </row>
        <row r="225">
          <cell r="A225">
            <v>225</v>
          </cell>
          <cell r="S225" t="str">
            <v/>
          </cell>
        </row>
        <row r="226">
          <cell r="A226">
            <v>226</v>
          </cell>
          <cell r="B226" t="str">
            <v>옥외</v>
          </cell>
          <cell r="C226" t="str">
            <v>고압케이블</v>
          </cell>
          <cell r="D226" t="str">
            <v>3.3KV CV8sq/1C</v>
          </cell>
          <cell r="E226" t="str">
            <v>m</v>
          </cell>
          <cell r="H226">
            <v>799</v>
          </cell>
          <cell r="I226">
            <v>1378</v>
          </cell>
          <cell r="J226">
            <v>851</v>
          </cell>
          <cell r="K226">
            <v>1944</v>
          </cell>
          <cell r="S226">
            <v>1378</v>
          </cell>
          <cell r="U226">
            <v>0.03</v>
          </cell>
          <cell r="V226" t="str">
            <v>고케</v>
          </cell>
          <cell r="W226">
            <v>1.5400000000000002E-2</v>
          </cell>
        </row>
        <row r="227">
          <cell r="A227">
            <v>227</v>
          </cell>
          <cell r="B227" t="str">
            <v>옥외</v>
          </cell>
          <cell r="C227" t="str">
            <v>고압케이블</v>
          </cell>
          <cell r="D227" t="str">
            <v>3.3KV CV14sq/1C</v>
          </cell>
          <cell r="E227" t="str">
            <v>m</v>
          </cell>
          <cell r="H227">
            <v>799</v>
          </cell>
          <cell r="I227">
            <v>1767</v>
          </cell>
          <cell r="J227">
            <v>851</v>
          </cell>
          <cell r="K227">
            <v>2577</v>
          </cell>
          <cell r="S227">
            <v>1767</v>
          </cell>
          <cell r="U227">
            <v>0.03</v>
          </cell>
          <cell r="V227" t="str">
            <v>고케</v>
          </cell>
          <cell r="W227">
            <v>2.2000000000000002E-2</v>
          </cell>
        </row>
        <row r="228">
          <cell r="A228">
            <v>228</v>
          </cell>
          <cell r="B228" t="str">
            <v>옥외</v>
          </cell>
          <cell r="C228" t="str">
            <v>고압케이블</v>
          </cell>
          <cell r="D228" t="str">
            <v>3.3KV CV22sq/1C</v>
          </cell>
          <cell r="E228" t="str">
            <v>m</v>
          </cell>
          <cell r="H228">
            <v>799</v>
          </cell>
          <cell r="I228">
            <v>2129</v>
          </cell>
          <cell r="J228">
            <v>851</v>
          </cell>
          <cell r="K228">
            <v>3017</v>
          </cell>
          <cell r="S228">
            <v>2129</v>
          </cell>
          <cell r="U228">
            <v>0.03</v>
          </cell>
          <cell r="V228" t="str">
            <v>고케</v>
          </cell>
          <cell r="W228">
            <v>2.86E-2</v>
          </cell>
        </row>
        <row r="229">
          <cell r="A229">
            <v>229</v>
          </cell>
          <cell r="B229" t="str">
            <v>옥외</v>
          </cell>
          <cell r="C229" t="str">
            <v>고압케이블</v>
          </cell>
          <cell r="D229" t="str">
            <v>3.3KV CV30sq/1C</v>
          </cell>
          <cell r="E229" t="str">
            <v>m</v>
          </cell>
          <cell r="H229">
            <v>799</v>
          </cell>
          <cell r="I229">
            <v>2567</v>
          </cell>
          <cell r="J229">
            <v>851</v>
          </cell>
          <cell r="S229">
            <v>2567</v>
          </cell>
          <cell r="U229">
            <v>0.03</v>
          </cell>
          <cell r="V229" t="str">
            <v>고케</v>
          </cell>
          <cell r="W229">
            <v>3.3000000000000002E-2</v>
          </cell>
        </row>
        <row r="230">
          <cell r="A230">
            <v>230</v>
          </cell>
          <cell r="B230" t="str">
            <v>옥외</v>
          </cell>
          <cell r="C230" t="str">
            <v>고압케이블</v>
          </cell>
          <cell r="D230" t="str">
            <v>3.3KV CV38sq/1C</v>
          </cell>
          <cell r="E230" t="str">
            <v>m</v>
          </cell>
          <cell r="H230">
            <v>799</v>
          </cell>
          <cell r="I230">
            <v>3088</v>
          </cell>
          <cell r="J230">
            <v>851</v>
          </cell>
          <cell r="K230">
            <v>4223</v>
          </cell>
          <cell r="S230">
            <v>3088</v>
          </cell>
          <cell r="U230">
            <v>0.03</v>
          </cell>
          <cell r="V230" t="str">
            <v>고케</v>
          </cell>
          <cell r="W230">
            <v>3.9600000000000003E-2</v>
          </cell>
        </row>
        <row r="231">
          <cell r="A231">
            <v>231</v>
          </cell>
          <cell r="B231" t="str">
            <v>옥외</v>
          </cell>
          <cell r="C231" t="str">
            <v>고압케이블</v>
          </cell>
          <cell r="D231" t="str">
            <v>3.3KV CV50sq/1C</v>
          </cell>
          <cell r="E231" t="str">
            <v>m</v>
          </cell>
          <cell r="H231">
            <v>799</v>
          </cell>
          <cell r="I231">
            <v>3803</v>
          </cell>
          <cell r="J231">
            <v>851</v>
          </cell>
          <cell r="S231">
            <v>3803</v>
          </cell>
          <cell r="U231">
            <v>0.03</v>
          </cell>
          <cell r="V231" t="str">
            <v>고케</v>
          </cell>
          <cell r="W231">
            <v>4.7300000000000002E-2</v>
          </cell>
        </row>
        <row r="232">
          <cell r="A232">
            <v>232</v>
          </cell>
          <cell r="B232" t="str">
            <v>옥외</v>
          </cell>
          <cell r="C232" t="str">
            <v>고압케이블</v>
          </cell>
          <cell r="D232" t="str">
            <v>3.3KV CV60sq/1C</v>
          </cell>
          <cell r="E232" t="str">
            <v>m</v>
          </cell>
          <cell r="H232">
            <v>799</v>
          </cell>
          <cell r="I232">
            <v>4611</v>
          </cell>
          <cell r="J232">
            <v>851</v>
          </cell>
          <cell r="K232">
            <v>5619</v>
          </cell>
          <cell r="S232">
            <v>4611</v>
          </cell>
          <cell r="U232">
            <v>0.03</v>
          </cell>
          <cell r="V232" t="str">
            <v>고케</v>
          </cell>
          <cell r="W232">
            <v>5.3900000000000003E-2</v>
          </cell>
        </row>
        <row r="233">
          <cell r="A233">
            <v>233</v>
          </cell>
          <cell r="B233" t="str">
            <v>옥외</v>
          </cell>
          <cell r="C233" t="str">
            <v>고압케이블</v>
          </cell>
          <cell r="D233" t="str">
            <v>3.3KV CV80sq/1C</v>
          </cell>
          <cell r="E233" t="str">
            <v>m</v>
          </cell>
          <cell r="H233">
            <v>799</v>
          </cell>
          <cell r="I233">
            <v>5071</v>
          </cell>
          <cell r="J233">
            <v>851</v>
          </cell>
          <cell r="S233">
            <v>5071</v>
          </cell>
          <cell r="U233">
            <v>0.03</v>
          </cell>
          <cell r="V233" t="str">
            <v>고케</v>
          </cell>
          <cell r="W233">
            <v>6.6000000000000003E-2</v>
          </cell>
        </row>
        <row r="234">
          <cell r="A234">
            <v>234</v>
          </cell>
          <cell r="B234" t="str">
            <v>옥외</v>
          </cell>
          <cell r="C234" t="str">
            <v>고압케이블</v>
          </cell>
          <cell r="D234" t="str">
            <v>3.3KV CV100sq/1C</v>
          </cell>
          <cell r="E234" t="str">
            <v>m</v>
          </cell>
          <cell r="H234">
            <v>799</v>
          </cell>
          <cell r="I234">
            <v>6052</v>
          </cell>
          <cell r="J234">
            <v>851</v>
          </cell>
          <cell r="K234">
            <v>6799</v>
          </cell>
          <cell r="S234">
            <v>6052</v>
          </cell>
          <cell r="U234">
            <v>0.03</v>
          </cell>
          <cell r="V234" t="str">
            <v>고케</v>
          </cell>
          <cell r="W234">
            <v>7.8100000000000003E-2</v>
          </cell>
        </row>
        <row r="235">
          <cell r="A235">
            <v>235</v>
          </cell>
          <cell r="B235" t="str">
            <v>옥외</v>
          </cell>
          <cell r="C235" t="str">
            <v>고압케이블</v>
          </cell>
          <cell r="D235" t="str">
            <v>3.3KV CV125sq/1C</v>
          </cell>
          <cell r="E235" t="str">
            <v>m</v>
          </cell>
          <cell r="H235">
            <v>799</v>
          </cell>
          <cell r="I235">
            <v>8295</v>
          </cell>
          <cell r="J235">
            <v>851</v>
          </cell>
          <cell r="S235">
            <v>8295</v>
          </cell>
          <cell r="U235">
            <v>0.03</v>
          </cell>
          <cell r="V235" t="str">
            <v>고케</v>
          </cell>
          <cell r="W235">
            <v>9.240000000000001E-2</v>
          </cell>
        </row>
        <row r="236">
          <cell r="A236">
            <v>236</v>
          </cell>
          <cell r="B236" t="str">
            <v>옥외</v>
          </cell>
          <cell r="C236" t="str">
            <v>고압케이블</v>
          </cell>
          <cell r="D236" t="str">
            <v>3.3KV CV150sq/1C</v>
          </cell>
          <cell r="E236" t="str">
            <v>m</v>
          </cell>
          <cell r="H236">
            <v>799</v>
          </cell>
          <cell r="I236">
            <v>9817</v>
          </cell>
          <cell r="J236">
            <v>851</v>
          </cell>
          <cell r="K236">
            <v>10622</v>
          </cell>
          <cell r="S236">
            <v>9817</v>
          </cell>
          <cell r="U236">
            <v>0.03</v>
          </cell>
          <cell r="V236" t="str">
            <v>고케</v>
          </cell>
          <cell r="W236">
            <v>0.10670000000000002</v>
          </cell>
        </row>
        <row r="237">
          <cell r="A237">
            <v>237</v>
          </cell>
          <cell r="B237" t="str">
            <v>옥외</v>
          </cell>
          <cell r="C237" t="str">
            <v>고압케이블</v>
          </cell>
          <cell r="D237" t="str">
            <v>3.3KV CV200sq/1C</v>
          </cell>
          <cell r="E237" t="str">
            <v>m</v>
          </cell>
          <cell r="H237">
            <v>799</v>
          </cell>
          <cell r="I237">
            <v>13314</v>
          </cell>
          <cell r="J237">
            <v>851</v>
          </cell>
          <cell r="K237">
            <v>13334</v>
          </cell>
          <cell r="S237">
            <v>13314</v>
          </cell>
          <cell r="U237">
            <v>0.03</v>
          </cell>
          <cell r="V237" t="str">
            <v>고케</v>
          </cell>
          <cell r="W237">
            <v>0.12870000000000001</v>
          </cell>
        </row>
        <row r="238">
          <cell r="A238">
            <v>238</v>
          </cell>
          <cell r="B238" t="str">
            <v>옥외</v>
          </cell>
          <cell r="C238" t="str">
            <v>고압케이블</v>
          </cell>
          <cell r="D238" t="str">
            <v>3.3KV CV250sq/1C</v>
          </cell>
          <cell r="E238" t="str">
            <v>m</v>
          </cell>
          <cell r="H238">
            <v>799</v>
          </cell>
          <cell r="I238">
            <v>16298</v>
          </cell>
          <cell r="J238">
            <v>851</v>
          </cell>
          <cell r="K238">
            <v>15940</v>
          </cell>
          <cell r="S238">
            <v>15940</v>
          </cell>
          <cell r="U238">
            <v>0.03</v>
          </cell>
          <cell r="V238" t="str">
            <v>고케</v>
          </cell>
          <cell r="W238">
            <v>0.15620000000000001</v>
          </cell>
        </row>
        <row r="239">
          <cell r="A239">
            <v>239</v>
          </cell>
          <cell r="S239" t="str">
            <v/>
          </cell>
        </row>
        <row r="240">
          <cell r="A240">
            <v>240</v>
          </cell>
          <cell r="S240" t="str">
            <v/>
          </cell>
        </row>
        <row r="241">
          <cell r="A241">
            <v>241</v>
          </cell>
          <cell r="B241" t="str">
            <v>옥외</v>
          </cell>
          <cell r="C241" t="str">
            <v>고압케이블</v>
          </cell>
          <cell r="D241" t="str">
            <v>3.3KV CV8sq/3C</v>
          </cell>
          <cell r="E241" t="str">
            <v>m</v>
          </cell>
          <cell r="H241">
            <v>799</v>
          </cell>
          <cell r="I241">
            <v>3544</v>
          </cell>
          <cell r="J241">
            <v>851</v>
          </cell>
          <cell r="K241">
            <v>6691</v>
          </cell>
          <cell r="S241">
            <v>3544</v>
          </cell>
          <cell r="U241">
            <v>0.03</v>
          </cell>
          <cell r="V241" t="str">
            <v>고케</v>
          </cell>
          <cell r="W241">
            <v>3.0800000000000004E-2</v>
          </cell>
        </row>
        <row r="242">
          <cell r="A242">
            <v>242</v>
          </cell>
          <cell r="B242" t="str">
            <v>옥외</v>
          </cell>
          <cell r="C242" t="str">
            <v>고압케이블</v>
          </cell>
          <cell r="D242" t="str">
            <v>3.3KV CV14sq/3C</v>
          </cell>
          <cell r="E242" t="str">
            <v>m</v>
          </cell>
          <cell r="H242">
            <v>799</v>
          </cell>
          <cell r="I242">
            <v>4813</v>
          </cell>
          <cell r="J242">
            <v>851</v>
          </cell>
          <cell r="K242">
            <v>8676</v>
          </cell>
          <cell r="S242">
            <v>4813</v>
          </cell>
          <cell r="U242">
            <v>0.03</v>
          </cell>
          <cell r="V242" t="str">
            <v>고케</v>
          </cell>
          <cell r="W242">
            <v>4.4000000000000004E-2</v>
          </cell>
        </row>
        <row r="243">
          <cell r="A243">
            <v>243</v>
          </cell>
          <cell r="B243" t="str">
            <v>옥외</v>
          </cell>
          <cell r="C243" t="str">
            <v>고압케이블</v>
          </cell>
          <cell r="D243" t="str">
            <v>3.3KV CV22sq/3C</v>
          </cell>
          <cell r="E243" t="str">
            <v>m</v>
          </cell>
          <cell r="H243">
            <v>799</v>
          </cell>
          <cell r="I243">
            <v>6064</v>
          </cell>
          <cell r="J243">
            <v>852</v>
          </cell>
          <cell r="K243">
            <v>10281</v>
          </cell>
          <cell r="S243">
            <v>6064</v>
          </cell>
          <cell r="U243">
            <v>0.03</v>
          </cell>
          <cell r="V243" t="str">
            <v>고케</v>
          </cell>
          <cell r="W243">
            <v>5.7200000000000001E-2</v>
          </cell>
        </row>
        <row r="244">
          <cell r="A244">
            <v>244</v>
          </cell>
          <cell r="B244" t="str">
            <v>옥외</v>
          </cell>
          <cell r="C244" t="str">
            <v>고압케이블</v>
          </cell>
          <cell r="D244" t="str">
            <v>3.3KV CV30sq/3C</v>
          </cell>
          <cell r="E244" t="str">
            <v>m</v>
          </cell>
          <cell r="H244">
            <v>799</v>
          </cell>
          <cell r="I244">
            <v>7168</v>
          </cell>
          <cell r="J244">
            <v>852</v>
          </cell>
          <cell r="S244">
            <v>7168</v>
          </cell>
          <cell r="U244">
            <v>0.03</v>
          </cell>
          <cell r="V244" t="str">
            <v>고케</v>
          </cell>
          <cell r="W244">
            <v>6.6000000000000003E-2</v>
          </cell>
        </row>
        <row r="245">
          <cell r="A245">
            <v>245</v>
          </cell>
          <cell r="B245" t="str">
            <v>옥외</v>
          </cell>
          <cell r="C245" t="str">
            <v>고압케이블</v>
          </cell>
          <cell r="D245" t="str">
            <v>3.3KV CV38sq/3C</v>
          </cell>
          <cell r="E245" t="str">
            <v>m</v>
          </cell>
          <cell r="H245">
            <v>799</v>
          </cell>
          <cell r="I245">
            <v>8435</v>
          </cell>
          <cell r="J245">
            <v>852</v>
          </cell>
          <cell r="K245">
            <v>13056</v>
          </cell>
          <cell r="S245">
            <v>8435</v>
          </cell>
          <cell r="U245">
            <v>0.03</v>
          </cell>
          <cell r="V245" t="str">
            <v>고케</v>
          </cell>
          <cell r="W245">
            <v>7.9200000000000007E-2</v>
          </cell>
        </row>
        <row r="246">
          <cell r="A246">
            <v>246</v>
          </cell>
          <cell r="B246" t="str">
            <v>옥외</v>
          </cell>
          <cell r="C246" t="str">
            <v>고압케이블</v>
          </cell>
          <cell r="D246" t="str">
            <v>3.3KV CV50sq/3C</v>
          </cell>
          <cell r="E246" t="str">
            <v>m</v>
          </cell>
          <cell r="H246">
            <v>799</v>
          </cell>
          <cell r="I246">
            <v>11056</v>
          </cell>
          <cell r="J246">
            <v>852</v>
          </cell>
          <cell r="S246">
            <v>11056</v>
          </cell>
          <cell r="U246">
            <v>0.03</v>
          </cell>
          <cell r="V246" t="str">
            <v>고케</v>
          </cell>
          <cell r="W246">
            <v>9.4600000000000004E-2</v>
          </cell>
        </row>
        <row r="247">
          <cell r="A247">
            <v>247</v>
          </cell>
          <cell r="B247" t="str">
            <v>옥외</v>
          </cell>
          <cell r="C247" t="str">
            <v>고압케이블</v>
          </cell>
          <cell r="D247" t="str">
            <v>3.3KV CV60sq/3C</v>
          </cell>
          <cell r="E247" t="str">
            <v>m</v>
          </cell>
          <cell r="H247">
            <v>799</v>
          </cell>
          <cell r="I247">
            <v>13744</v>
          </cell>
          <cell r="J247">
            <v>852</v>
          </cell>
          <cell r="K247">
            <v>15340</v>
          </cell>
          <cell r="S247">
            <v>13744</v>
          </cell>
          <cell r="U247">
            <v>0.03</v>
          </cell>
          <cell r="V247" t="str">
            <v>고케</v>
          </cell>
          <cell r="W247">
            <v>0.10780000000000001</v>
          </cell>
        </row>
        <row r="248">
          <cell r="A248">
            <v>248</v>
          </cell>
          <cell r="B248" t="str">
            <v>옥외</v>
          </cell>
          <cell r="C248" t="str">
            <v>고압케이블</v>
          </cell>
          <cell r="D248" t="str">
            <v>3.3KV CV80sq/3C</v>
          </cell>
          <cell r="E248" t="str">
            <v>m</v>
          </cell>
          <cell r="H248">
            <v>799</v>
          </cell>
          <cell r="I248">
            <v>15041</v>
          </cell>
          <cell r="J248">
            <v>852</v>
          </cell>
          <cell r="S248">
            <v>15041</v>
          </cell>
          <cell r="U248">
            <v>0.03</v>
          </cell>
          <cell r="V248" t="str">
            <v>고케</v>
          </cell>
          <cell r="W248">
            <v>0.13200000000000001</v>
          </cell>
        </row>
        <row r="249">
          <cell r="A249">
            <v>249</v>
          </cell>
          <cell r="B249" t="str">
            <v>옥외</v>
          </cell>
          <cell r="C249" t="str">
            <v>고압케이블</v>
          </cell>
          <cell r="D249" t="str">
            <v>3.3KV CV100sq/3C</v>
          </cell>
          <cell r="E249" t="str">
            <v>m</v>
          </cell>
          <cell r="H249">
            <v>799</v>
          </cell>
          <cell r="I249">
            <v>19498</v>
          </cell>
          <cell r="J249">
            <v>852</v>
          </cell>
          <cell r="K249">
            <v>22061</v>
          </cell>
          <cell r="S249">
            <v>19498</v>
          </cell>
          <cell r="U249">
            <v>0.03</v>
          </cell>
          <cell r="V249" t="str">
            <v>고케</v>
          </cell>
          <cell r="W249">
            <v>0.15620000000000001</v>
          </cell>
        </row>
        <row r="250">
          <cell r="A250">
            <v>250</v>
          </cell>
          <cell r="B250" t="str">
            <v>옥외</v>
          </cell>
          <cell r="C250" t="str">
            <v>고압케이블</v>
          </cell>
          <cell r="D250" t="str">
            <v>3.3KV CV125sq/3C</v>
          </cell>
          <cell r="E250" t="str">
            <v>m</v>
          </cell>
          <cell r="H250">
            <v>799</v>
          </cell>
          <cell r="I250">
            <v>21790</v>
          </cell>
          <cell r="J250">
            <v>852</v>
          </cell>
          <cell r="S250">
            <v>21790</v>
          </cell>
          <cell r="U250">
            <v>0.03</v>
          </cell>
          <cell r="V250" t="str">
            <v>고케</v>
          </cell>
          <cell r="W250">
            <v>0.18480000000000002</v>
          </cell>
        </row>
        <row r="251">
          <cell r="A251">
            <v>251</v>
          </cell>
          <cell r="B251" t="str">
            <v>옥외</v>
          </cell>
          <cell r="C251" t="str">
            <v>고압케이블</v>
          </cell>
          <cell r="D251" t="str">
            <v>3.3KV CV150sq/3C</v>
          </cell>
          <cell r="E251" t="str">
            <v>m</v>
          </cell>
          <cell r="H251">
            <v>799</v>
          </cell>
          <cell r="I251">
            <v>31069</v>
          </cell>
          <cell r="J251">
            <v>852</v>
          </cell>
          <cell r="K251">
            <v>29706</v>
          </cell>
          <cell r="S251">
            <v>29706</v>
          </cell>
          <cell r="U251">
            <v>0.03</v>
          </cell>
          <cell r="V251" t="str">
            <v>고케</v>
          </cell>
          <cell r="W251">
            <v>0.21340000000000003</v>
          </cell>
        </row>
        <row r="252">
          <cell r="A252">
            <v>252</v>
          </cell>
          <cell r="B252" t="str">
            <v>옥외</v>
          </cell>
          <cell r="C252" t="str">
            <v>고압케이블</v>
          </cell>
          <cell r="D252" t="str">
            <v>3.3KV CV200sq/3C</v>
          </cell>
          <cell r="E252" t="str">
            <v>m</v>
          </cell>
          <cell r="H252">
            <v>799</v>
          </cell>
          <cell r="I252">
            <v>32892</v>
          </cell>
          <cell r="J252">
            <v>852</v>
          </cell>
          <cell r="K252">
            <v>36836</v>
          </cell>
          <cell r="S252">
            <v>32892</v>
          </cell>
          <cell r="U252">
            <v>0.03</v>
          </cell>
          <cell r="V252" t="str">
            <v>고케</v>
          </cell>
          <cell r="W252">
            <v>0.25740000000000002</v>
          </cell>
        </row>
        <row r="253">
          <cell r="A253">
            <v>253</v>
          </cell>
          <cell r="B253" t="str">
            <v>옥외</v>
          </cell>
          <cell r="C253" t="str">
            <v>고압케이블</v>
          </cell>
          <cell r="D253" t="str">
            <v>3.3KV CV250sq/3C</v>
          </cell>
          <cell r="E253" t="str">
            <v>m</v>
          </cell>
          <cell r="H253">
            <v>799</v>
          </cell>
          <cell r="I253">
            <v>46142</v>
          </cell>
          <cell r="J253">
            <v>852</v>
          </cell>
          <cell r="K253">
            <v>49771</v>
          </cell>
          <cell r="S253">
            <v>46142</v>
          </cell>
          <cell r="U253">
            <v>0.03</v>
          </cell>
          <cell r="V253" t="str">
            <v>고케</v>
          </cell>
          <cell r="W253">
            <v>0.31240000000000001</v>
          </cell>
        </row>
        <row r="254">
          <cell r="A254">
            <v>254</v>
          </cell>
          <cell r="S254" t="str">
            <v/>
          </cell>
        </row>
        <row r="255">
          <cell r="A255">
            <v>255</v>
          </cell>
          <cell r="S255" t="str">
            <v/>
          </cell>
        </row>
        <row r="256">
          <cell r="A256">
            <v>256</v>
          </cell>
          <cell r="C256" t="str">
            <v>고압케이블</v>
          </cell>
          <cell r="D256" t="str">
            <v>6.9KV CV8sq/1C</v>
          </cell>
          <cell r="E256" t="str">
            <v>m</v>
          </cell>
          <cell r="H256">
            <v>799</v>
          </cell>
          <cell r="I256">
            <v>1890</v>
          </cell>
          <cell r="J256">
            <v>851</v>
          </cell>
          <cell r="K256">
            <v>1944</v>
          </cell>
          <cell r="S256">
            <v>1890</v>
          </cell>
          <cell r="U256">
            <v>0.05</v>
          </cell>
          <cell r="V256" t="str">
            <v>고케</v>
          </cell>
          <cell r="W256">
            <v>1.6799999999999999E-2</v>
          </cell>
        </row>
        <row r="257">
          <cell r="A257">
            <v>257</v>
          </cell>
          <cell r="C257" t="str">
            <v>고압케이블</v>
          </cell>
          <cell r="D257" t="str">
            <v>6.9KV CV14sq/1C</v>
          </cell>
          <cell r="E257" t="str">
            <v>m</v>
          </cell>
          <cell r="H257">
            <v>799</v>
          </cell>
          <cell r="I257">
            <v>2506</v>
          </cell>
          <cell r="J257">
            <v>851</v>
          </cell>
          <cell r="K257">
            <v>2577</v>
          </cell>
          <cell r="S257">
            <v>2506</v>
          </cell>
          <cell r="U257">
            <v>0.05</v>
          </cell>
          <cell r="V257" t="str">
            <v>고케</v>
          </cell>
          <cell r="W257">
            <v>2.4E-2</v>
          </cell>
        </row>
        <row r="258">
          <cell r="A258">
            <v>258</v>
          </cell>
          <cell r="C258" t="str">
            <v>고압케이블</v>
          </cell>
          <cell r="D258" t="str">
            <v>6.9KV CV22sq/1C</v>
          </cell>
          <cell r="E258" t="str">
            <v>m</v>
          </cell>
          <cell r="H258">
            <v>799</v>
          </cell>
          <cell r="I258">
            <v>2933</v>
          </cell>
          <cell r="J258">
            <v>851</v>
          </cell>
          <cell r="K258">
            <v>3017</v>
          </cell>
          <cell r="S258">
            <v>2933</v>
          </cell>
          <cell r="U258">
            <v>0.05</v>
          </cell>
          <cell r="V258" t="str">
            <v>고케</v>
          </cell>
          <cell r="W258">
            <v>3.1199999999999999E-2</v>
          </cell>
        </row>
        <row r="259">
          <cell r="A259">
            <v>259</v>
          </cell>
          <cell r="C259" t="str">
            <v>고압케이블</v>
          </cell>
          <cell r="D259" t="str">
            <v>6.9KV CV30sq/1C</v>
          </cell>
          <cell r="E259" t="str">
            <v>m</v>
          </cell>
          <cell r="H259">
            <v>799</v>
          </cell>
          <cell r="I259">
            <v>3394</v>
          </cell>
          <cell r="J259">
            <v>851</v>
          </cell>
          <cell r="S259">
            <v>3394</v>
          </cell>
          <cell r="U259">
            <v>0.05</v>
          </cell>
          <cell r="V259" t="str">
            <v>고케</v>
          </cell>
          <cell r="W259">
            <v>3.5999999999999997E-2</v>
          </cell>
        </row>
        <row r="260">
          <cell r="A260">
            <v>260</v>
          </cell>
          <cell r="C260" t="str">
            <v>고압케이블</v>
          </cell>
          <cell r="D260" t="str">
            <v>6.9KV CV38sq/1C</v>
          </cell>
          <cell r="E260" t="str">
            <v>m</v>
          </cell>
          <cell r="H260">
            <v>799</v>
          </cell>
          <cell r="I260">
            <v>4106</v>
          </cell>
          <cell r="J260">
            <v>851</v>
          </cell>
          <cell r="K260">
            <v>4223</v>
          </cell>
          <cell r="S260">
            <v>4106</v>
          </cell>
          <cell r="U260">
            <v>0.05</v>
          </cell>
          <cell r="V260" t="str">
            <v>고케</v>
          </cell>
          <cell r="W260">
            <v>4.3199999999999995E-2</v>
          </cell>
        </row>
        <row r="261">
          <cell r="A261">
            <v>261</v>
          </cell>
          <cell r="C261" t="str">
            <v>고압케이블</v>
          </cell>
          <cell r="D261" t="str">
            <v>6.9KV CV50sq/1C</v>
          </cell>
          <cell r="E261" t="str">
            <v>m</v>
          </cell>
          <cell r="H261">
            <v>799</v>
          </cell>
          <cell r="I261">
            <v>5162</v>
          </cell>
          <cell r="J261">
            <v>851</v>
          </cell>
          <cell r="S261">
            <v>5162</v>
          </cell>
          <cell r="U261">
            <v>0.05</v>
          </cell>
          <cell r="V261" t="str">
            <v>고케</v>
          </cell>
          <cell r="W261">
            <v>5.1599999999999993E-2</v>
          </cell>
        </row>
        <row r="262">
          <cell r="A262">
            <v>262</v>
          </cell>
          <cell r="C262" t="str">
            <v>고압케이블</v>
          </cell>
          <cell r="D262" t="str">
            <v>6.9KV CV60sq/1C</v>
          </cell>
          <cell r="E262" t="str">
            <v>m</v>
          </cell>
          <cell r="H262">
            <v>799</v>
          </cell>
          <cell r="I262">
            <v>5463</v>
          </cell>
          <cell r="J262">
            <v>851</v>
          </cell>
          <cell r="K262">
            <v>5619</v>
          </cell>
          <cell r="S262">
            <v>5463</v>
          </cell>
          <cell r="U262">
            <v>0.05</v>
          </cell>
          <cell r="V262" t="str">
            <v>고케</v>
          </cell>
          <cell r="W262">
            <v>5.8799999999999998E-2</v>
          </cell>
        </row>
        <row r="263">
          <cell r="A263">
            <v>263</v>
          </cell>
          <cell r="C263" t="str">
            <v>고압케이블</v>
          </cell>
          <cell r="D263" t="str">
            <v>6.9KV CV80sq/1C</v>
          </cell>
          <cell r="E263" t="str">
            <v>m</v>
          </cell>
          <cell r="H263">
            <v>799</v>
          </cell>
          <cell r="I263">
            <v>6037</v>
          </cell>
          <cell r="J263">
            <v>851</v>
          </cell>
          <cell r="S263">
            <v>6037</v>
          </cell>
          <cell r="U263">
            <v>0.05</v>
          </cell>
          <cell r="V263" t="str">
            <v>고케</v>
          </cell>
          <cell r="W263">
            <v>7.1999999999999995E-2</v>
          </cell>
        </row>
        <row r="264">
          <cell r="A264">
            <v>264</v>
          </cell>
          <cell r="C264" t="str">
            <v>고압케이블</v>
          </cell>
          <cell r="D264" t="str">
            <v>6.9KV CV100sq/1C</v>
          </cell>
          <cell r="E264" t="str">
            <v>m</v>
          </cell>
          <cell r="H264">
            <v>799</v>
          </cell>
          <cell r="I264">
            <v>6610</v>
          </cell>
          <cell r="J264">
            <v>851</v>
          </cell>
          <cell r="K264">
            <v>6799</v>
          </cell>
          <cell r="S264">
            <v>6610</v>
          </cell>
          <cell r="U264">
            <v>0.05</v>
          </cell>
          <cell r="V264" t="str">
            <v>고케</v>
          </cell>
          <cell r="W264">
            <v>8.5199999999999984E-2</v>
          </cell>
        </row>
        <row r="265">
          <cell r="A265">
            <v>265</v>
          </cell>
          <cell r="C265" t="str">
            <v>고압케이블</v>
          </cell>
          <cell r="D265" t="str">
            <v>6.9KV CV125sq/1C</v>
          </cell>
          <cell r="E265" t="str">
            <v>m</v>
          </cell>
          <cell r="H265">
            <v>799</v>
          </cell>
          <cell r="I265">
            <v>7796</v>
          </cell>
          <cell r="J265">
            <v>851</v>
          </cell>
          <cell r="S265">
            <v>7796</v>
          </cell>
          <cell r="U265">
            <v>0.05</v>
          </cell>
          <cell r="V265" t="str">
            <v>고케</v>
          </cell>
          <cell r="W265">
            <v>0.1008</v>
          </cell>
        </row>
        <row r="266">
          <cell r="A266">
            <v>266</v>
          </cell>
          <cell r="C266" t="str">
            <v>고압케이블</v>
          </cell>
          <cell r="D266" t="str">
            <v>6.9KV CV150sq/1C</v>
          </cell>
          <cell r="E266" t="str">
            <v>m</v>
          </cell>
          <cell r="H266">
            <v>799</v>
          </cell>
          <cell r="I266">
            <v>10327</v>
          </cell>
          <cell r="J266">
            <v>851</v>
          </cell>
          <cell r="K266">
            <v>10622</v>
          </cell>
          <cell r="S266">
            <v>10327</v>
          </cell>
          <cell r="U266">
            <v>0.05</v>
          </cell>
          <cell r="V266" t="str">
            <v>고케</v>
          </cell>
          <cell r="W266">
            <v>0.1164</v>
          </cell>
        </row>
        <row r="267">
          <cell r="A267">
            <v>267</v>
          </cell>
          <cell r="C267" t="str">
            <v>고압케이블</v>
          </cell>
          <cell r="D267" t="str">
            <v>6.9KV CV200sq/1C</v>
          </cell>
          <cell r="E267" t="str">
            <v>m</v>
          </cell>
          <cell r="H267">
            <v>799</v>
          </cell>
          <cell r="I267">
            <v>12964</v>
          </cell>
          <cell r="J267">
            <v>851</v>
          </cell>
          <cell r="K267">
            <v>13334</v>
          </cell>
          <cell r="S267">
            <v>12964</v>
          </cell>
          <cell r="U267">
            <v>0.05</v>
          </cell>
          <cell r="V267" t="str">
            <v>고케</v>
          </cell>
          <cell r="W267">
            <v>0.1404</v>
          </cell>
        </row>
        <row r="268">
          <cell r="A268">
            <v>268</v>
          </cell>
          <cell r="C268" t="str">
            <v>고압케이블</v>
          </cell>
          <cell r="D268" t="str">
            <v>6.9KV CV250sq/1C</v>
          </cell>
          <cell r="E268" t="str">
            <v>m</v>
          </cell>
          <cell r="H268">
            <v>799</v>
          </cell>
          <cell r="I268">
            <v>15498</v>
          </cell>
          <cell r="J268">
            <v>851</v>
          </cell>
          <cell r="K268">
            <v>15940</v>
          </cell>
          <cell r="S268">
            <v>15498</v>
          </cell>
          <cell r="U268">
            <v>0.05</v>
          </cell>
          <cell r="V268" t="str">
            <v>고케</v>
          </cell>
          <cell r="W268">
            <v>0.17039999999999997</v>
          </cell>
        </row>
        <row r="269">
          <cell r="A269">
            <v>269</v>
          </cell>
          <cell r="S269" t="str">
            <v/>
          </cell>
        </row>
        <row r="270">
          <cell r="A270">
            <v>270</v>
          </cell>
          <cell r="S270" t="str">
            <v/>
          </cell>
        </row>
        <row r="271">
          <cell r="A271">
            <v>271</v>
          </cell>
          <cell r="C271" t="str">
            <v>고압케이블</v>
          </cell>
          <cell r="D271" t="str">
            <v>6.9KV CV8sq/3C</v>
          </cell>
          <cell r="E271" t="str">
            <v>m</v>
          </cell>
          <cell r="H271">
            <v>799</v>
          </cell>
          <cell r="I271">
            <v>6505</v>
          </cell>
          <cell r="J271">
            <v>851</v>
          </cell>
          <cell r="K271">
            <v>6691</v>
          </cell>
          <cell r="S271">
            <v>6505</v>
          </cell>
          <cell r="U271">
            <v>0.05</v>
          </cell>
          <cell r="V271" t="str">
            <v>고케</v>
          </cell>
          <cell r="W271">
            <v>3.3599999999999998E-2</v>
          </cell>
        </row>
        <row r="272">
          <cell r="A272">
            <v>272</v>
          </cell>
          <cell r="C272" t="str">
            <v>고압케이블</v>
          </cell>
          <cell r="D272" t="str">
            <v>6.9KV CV14sq/3C</v>
          </cell>
          <cell r="E272" t="str">
            <v>m</v>
          </cell>
          <cell r="H272">
            <v>799</v>
          </cell>
          <cell r="I272">
            <v>8435</v>
          </cell>
          <cell r="J272">
            <v>851</v>
          </cell>
          <cell r="K272">
            <v>8676</v>
          </cell>
          <cell r="S272">
            <v>8435</v>
          </cell>
          <cell r="U272">
            <v>0.05</v>
          </cell>
          <cell r="V272" t="str">
            <v>고케</v>
          </cell>
          <cell r="W272">
            <v>4.8000000000000001E-2</v>
          </cell>
        </row>
        <row r="273">
          <cell r="A273">
            <v>273</v>
          </cell>
          <cell r="C273" t="str">
            <v>고압케이블</v>
          </cell>
          <cell r="D273" t="str">
            <v>6.9KV CV22sq/3C</v>
          </cell>
          <cell r="E273" t="str">
            <v>m</v>
          </cell>
          <cell r="H273">
            <v>799</v>
          </cell>
          <cell r="I273">
            <v>9996</v>
          </cell>
          <cell r="J273">
            <v>852</v>
          </cell>
          <cell r="K273">
            <v>10281</v>
          </cell>
          <cell r="S273">
            <v>9996</v>
          </cell>
          <cell r="U273">
            <v>0.05</v>
          </cell>
          <cell r="V273" t="str">
            <v>고케</v>
          </cell>
          <cell r="W273">
            <v>6.2399999999999997E-2</v>
          </cell>
        </row>
        <row r="274">
          <cell r="A274">
            <v>274</v>
          </cell>
          <cell r="C274" t="str">
            <v>고압케이블</v>
          </cell>
          <cell r="D274" t="str">
            <v>6.9KV CV30sq/3C</v>
          </cell>
          <cell r="E274" t="str">
            <v>m</v>
          </cell>
          <cell r="H274">
            <v>799</v>
          </cell>
          <cell r="I274">
            <v>11108</v>
          </cell>
          <cell r="J274">
            <v>852</v>
          </cell>
          <cell r="S274">
            <v>11108</v>
          </cell>
          <cell r="U274">
            <v>0.05</v>
          </cell>
          <cell r="V274" t="str">
            <v>고케</v>
          </cell>
          <cell r="W274">
            <v>7.1999999999999995E-2</v>
          </cell>
        </row>
        <row r="275">
          <cell r="A275">
            <v>275</v>
          </cell>
          <cell r="C275" t="str">
            <v>고압케이블</v>
          </cell>
          <cell r="D275" t="str">
            <v>6.9KV CV38sq/3C</v>
          </cell>
          <cell r="E275" t="str">
            <v>m</v>
          </cell>
          <cell r="H275">
            <v>799</v>
          </cell>
          <cell r="I275">
            <v>12693</v>
          </cell>
          <cell r="J275">
            <v>852</v>
          </cell>
          <cell r="K275">
            <v>13056</v>
          </cell>
          <cell r="S275">
            <v>12693</v>
          </cell>
          <cell r="U275">
            <v>0.05</v>
          </cell>
          <cell r="V275" t="str">
            <v>고케</v>
          </cell>
          <cell r="W275">
            <v>8.6399999999999991E-2</v>
          </cell>
        </row>
        <row r="276">
          <cell r="A276">
            <v>276</v>
          </cell>
          <cell r="C276" t="str">
            <v>고압케이블</v>
          </cell>
          <cell r="D276" t="str">
            <v>6.9KV CV50sq/3C</v>
          </cell>
          <cell r="E276" t="str">
            <v>m</v>
          </cell>
          <cell r="H276">
            <v>799</v>
          </cell>
          <cell r="I276">
            <v>14159</v>
          </cell>
          <cell r="J276">
            <v>852</v>
          </cell>
          <cell r="S276">
            <v>14159</v>
          </cell>
          <cell r="U276">
            <v>0.05</v>
          </cell>
          <cell r="V276" t="str">
            <v>고케</v>
          </cell>
          <cell r="W276">
            <v>0.10319999999999999</v>
          </cell>
        </row>
        <row r="277">
          <cell r="A277">
            <v>277</v>
          </cell>
          <cell r="C277" t="str">
            <v>고압케이블</v>
          </cell>
          <cell r="D277" t="str">
            <v>6.9KV CV60sq/3C</v>
          </cell>
          <cell r="E277" t="str">
            <v>m</v>
          </cell>
          <cell r="H277">
            <v>799</v>
          </cell>
          <cell r="I277">
            <v>14914</v>
          </cell>
          <cell r="J277">
            <v>852</v>
          </cell>
          <cell r="K277">
            <v>15340</v>
          </cell>
          <cell r="S277">
            <v>14914</v>
          </cell>
          <cell r="U277">
            <v>0.05</v>
          </cell>
          <cell r="V277" t="str">
            <v>고케</v>
          </cell>
          <cell r="W277">
            <v>0.1176</v>
          </cell>
        </row>
        <row r="278">
          <cell r="A278">
            <v>278</v>
          </cell>
          <cell r="C278" t="str">
            <v>고압케이블</v>
          </cell>
          <cell r="D278" t="str">
            <v>6.9KV CV80sq/3C</v>
          </cell>
          <cell r="E278" t="str">
            <v>m</v>
          </cell>
          <cell r="H278">
            <v>799</v>
          </cell>
          <cell r="I278">
            <v>18345</v>
          </cell>
          <cell r="J278">
            <v>852</v>
          </cell>
          <cell r="S278">
            <v>18345</v>
          </cell>
          <cell r="U278">
            <v>0.05</v>
          </cell>
          <cell r="V278" t="str">
            <v>고케</v>
          </cell>
          <cell r="W278">
            <v>0.14399999999999999</v>
          </cell>
        </row>
        <row r="279">
          <cell r="A279">
            <v>279</v>
          </cell>
          <cell r="C279" t="str">
            <v>고압케이블</v>
          </cell>
          <cell r="D279" t="str">
            <v>6.9KV CV100sq/3C</v>
          </cell>
          <cell r="E279" t="str">
            <v>m</v>
          </cell>
          <cell r="H279">
            <v>799</v>
          </cell>
          <cell r="I279">
            <v>21448</v>
          </cell>
          <cell r="J279">
            <v>852</v>
          </cell>
          <cell r="K279">
            <v>22061</v>
          </cell>
          <cell r="S279">
            <v>21448</v>
          </cell>
          <cell r="U279">
            <v>0.05</v>
          </cell>
          <cell r="V279" t="str">
            <v>고케</v>
          </cell>
          <cell r="W279">
            <v>0.17039999999999997</v>
          </cell>
        </row>
        <row r="280">
          <cell r="A280">
            <v>280</v>
          </cell>
          <cell r="C280" t="str">
            <v>고압케이블</v>
          </cell>
          <cell r="D280" t="str">
            <v>6.9KV CV125sq/3C</v>
          </cell>
          <cell r="E280" t="str">
            <v>m</v>
          </cell>
          <cell r="H280">
            <v>799</v>
          </cell>
          <cell r="I280">
            <v>24633</v>
          </cell>
          <cell r="J280">
            <v>852</v>
          </cell>
          <cell r="S280">
            <v>24633</v>
          </cell>
          <cell r="U280">
            <v>0.05</v>
          </cell>
          <cell r="V280" t="str">
            <v>고케</v>
          </cell>
          <cell r="W280">
            <v>0.2016</v>
          </cell>
        </row>
        <row r="281">
          <cell r="A281">
            <v>281</v>
          </cell>
          <cell r="C281" t="str">
            <v>고압케이블</v>
          </cell>
          <cell r="D281" t="str">
            <v>6.9KV CV150sq/3C</v>
          </cell>
          <cell r="E281" t="str">
            <v>m</v>
          </cell>
          <cell r="H281">
            <v>799</v>
          </cell>
          <cell r="I281">
            <v>28881</v>
          </cell>
          <cell r="J281">
            <v>852</v>
          </cell>
          <cell r="K281">
            <v>29706</v>
          </cell>
          <cell r="S281">
            <v>28881</v>
          </cell>
          <cell r="U281">
            <v>0.05</v>
          </cell>
          <cell r="V281" t="str">
            <v>고케</v>
          </cell>
          <cell r="W281">
            <v>0.23280000000000001</v>
          </cell>
        </row>
        <row r="282">
          <cell r="A282">
            <v>282</v>
          </cell>
          <cell r="C282" t="str">
            <v>고압케이블</v>
          </cell>
          <cell r="D282" t="str">
            <v>6.9KV CV200sq/3C</v>
          </cell>
          <cell r="E282" t="str">
            <v>m</v>
          </cell>
          <cell r="H282">
            <v>799</v>
          </cell>
          <cell r="I282">
            <v>35813</v>
          </cell>
          <cell r="J282">
            <v>852</v>
          </cell>
          <cell r="K282">
            <v>36836</v>
          </cell>
          <cell r="S282">
            <v>35813</v>
          </cell>
          <cell r="U282">
            <v>0.05</v>
          </cell>
          <cell r="V282" t="str">
            <v>고케</v>
          </cell>
          <cell r="W282">
            <v>0.28079999999999999</v>
          </cell>
        </row>
        <row r="283">
          <cell r="A283">
            <v>283</v>
          </cell>
          <cell r="C283" t="str">
            <v>고압케이블</v>
          </cell>
          <cell r="D283" t="str">
            <v>6.9KV CV250sq/3C</v>
          </cell>
          <cell r="E283" t="str">
            <v>m</v>
          </cell>
          <cell r="H283">
            <v>799</v>
          </cell>
          <cell r="I283">
            <v>48389</v>
          </cell>
          <cell r="J283">
            <v>852</v>
          </cell>
          <cell r="K283">
            <v>49771</v>
          </cell>
          <cell r="S283">
            <v>48389</v>
          </cell>
          <cell r="U283">
            <v>0.05</v>
          </cell>
          <cell r="V283" t="str">
            <v>고케</v>
          </cell>
          <cell r="W283">
            <v>0.34079999999999994</v>
          </cell>
        </row>
        <row r="284">
          <cell r="A284">
            <v>284</v>
          </cell>
          <cell r="S284" t="str">
            <v/>
          </cell>
        </row>
        <row r="285">
          <cell r="A285">
            <v>285</v>
          </cell>
          <cell r="S285" t="str">
            <v/>
          </cell>
        </row>
        <row r="286">
          <cell r="A286">
            <v>286</v>
          </cell>
          <cell r="B286" t="str">
            <v>옥외</v>
          </cell>
          <cell r="C286" t="str">
            <v>고압케이블</v>
          </cell>
          <cell r="D286" t="str">
            <v>6.9KV CV8sq/1C</v>
          </cell>
          <cell r="E286" t="str">
            <v>m</v>
          </cell>
          <cell r="H286">
            <v>799</v>
          </cell>
          <cell r="I286">
            <v>1890</v>
          </cell>
          <cell r="J286">
            <v>851</v>
          </cell>
          <cell r="K286">
            <v>1944</v>
          </cell>
          <cell r="S286">
            <v>1890</v>
          </cell>
          <cell r="U286">
            <v>0.03</v>
          </cell>
          <cell r="V286" t="str">
            <v>고케</v>
          </cell>
          <cell r="W286">
            <v>1.6799999999999999E-2</v>
          </cell>
        </row>
        <row r="287">
          <cell r="A287">
            <v>287</v>
          </cell>
          <cell r="B287" t="str">
            <v>옥외</v>
          </cell>
          <cell r="C287" t="str">
            <v>고압케이블</v>
          </cell>
          <cell r="D287" t="str">
            <v>6.9KV CV14sq/1C</v>
          </cell>
          <cell r="E287" t="str">
            <v>m</v>
          </cell>
          <cell r="H287">
            <v>799</v>
          </cell>
          <cell r="I287">
            <v>2506</v>
          </cell>
          <cell r="J287">
            <v>851</v>
          </cell>
          <cell r="K287">
            <v>2577</v>
          </cell>
          <cell r="S287">
            <v>2506</v>
          </cell>
          <cell r="U287">
            <v>0.03</v>
          </cell>
          <cell r="V287" t="str">
            <v>고케</v>
          </cell>
          <cell r="W287">
            <v>2.4E-2</v>
          </cell>
        </row>
        <row r="288">
          <cell r="A288">
            <v>288</v>
          </cell>
          <cell r="B288" t="str">
            <v>옥외</v>
          </cell>
          <cell r="C288" t="str">
            <v>고압케이블</v>
          </cell>
          <cell r="D288" t="str">
            <v>6.9KV CV22sq/1C</v>
          </cell>
          <cell r="E288" t="str">
            <v>m</v>
          </cell>
          <cell r="H288">
            <v>799</v>
          </cell>
          <cell r="I288">
            <v>2933</v>
          </cell>
          <cell r="J288">
            <v>851</v>
          </cell>
          <cell r="K288">
            <v>3017</v>
          </cell>
          <cell r="S288">
            <v>2933</v>
          </cell>
          <cell r="U288">
            <v>0.03</v>
          </cell>
          <cell r="V288" t="str">
            <v>고케</v>
          </cell>
          <cell r="W288">
            <v>3.1199999999999999E-2</v>
          </cell>
        </row>
        <row r="289">
          <cell r="A289">
            <v>289</v>
          </cell>
          <cell r="B289" t="str">
            <v>옥외</v>
          </cell>
          <cell r="C289" t="str">
            <v>고압케이블</v>
          </cell>
          <cell r="D289" t="str">
            <v>6.9KV CV30sq/1C</v>
          </cell>
          <cell r="E289" t="str">
            <v>m</v>
          </cell>
          <cell r="H289">
            <v>799</v>
          </cell>
          <cell r="I289">
            <v>3394</v>
          </cell>
          <cell r="J289">
            <v>851</v>
          </cell>
          <cell r="S289">
            <v>3394</v>
          </cell>
          <cell r="U289">
            <v>0.03</v>
          </cell>
          <cell r="V289" t="str">
            <v>고케</v>
          </cell>
          <cell r="W289">
            <v>3.5999999999999997E-2</v>
          </cell>
        </row>
        <row r="290">
          <cell r="A290">
            <v>290</v>
          </cell>
          <cell r="B290" t="str">
            <v>옥외</v>
          </cell>
          <cell r="C290" t="str">
            <v>고압케이블</v>
          </cell>
          <cell r="D290" t="str">
            <v>6.9KV CV38sq/1C</v>
          </cell>
          <cell r="E290" t="str">
            <v>m</v>
          </cell>
          <cell r="H290">
            <v>799</v>
          </cell>
          <cell r="I290">
            <v>4106</v>
          </cell>
          <cell r="J290">
            <v>851</v>
          </cell>
          <cell r="K290">
            <v>4223</v>
          </cell>
          <cell r="S290">
            <v>4106</v>
          </cell>
          <cell r="U290">
            <v>0.03</v>
          </cell>
          <cell r="V290" t="str">
            <v>고케</v>
          </cell>
          <cell r="W290">
            <v>4.3199999999999995E-2</v>
          </cell>
        </row>
        <row r="291">
          <cell r="A291">
            <v>291</v>
          </cell>
          <cell r="B291" t="str">
            <v>옥외</v>
          </cell>
          <cell r="C291" t="str">
            <v>고압케이블</v>
          </cell>
          <cell r="D291" t="str">
            <v>6.9KV CV50sq/1C</v>
          </cell>
          <cell r="E291" t="str">
            <v>m</v>
          </cell>
          <cell r="H291">
            <v>799</v>
          </cell>
          <cell r="I291">
            <v>5162</v>
          </cell>
          <cell r="J291">
            <v>851</v>
          </cell>
          <cell r="S291">
            <v>5162</v>
          </cell>
          <cell r="U291">
            <v>0.03</v>
          </cell>
          <cell r="V291" t="str">
            <v>고케</v>
          </cell>
          <cell r="W291">
            <v>5.1599999999999993E-2</v>
          </cell>
        </row>
        <row r="292">
          <cell r="A292">
            <v>292</v>
          </cell>
          <cell r="B292" t="str">
            <v>옥외</v>
          </cell>
          <cell r="C292" t="str">
            <v>고압케이블</v>
          </cell>
          <cell r="D292" t="str">
            <v>6.9KV CV60sq/1C</v>
          </cell>
          <cell r="E292" t="str">
            <v>m</v>
          </cell>
          <cell r="H292">
            <v>799</v>
          </cell>
          <cell r="I292">
            <v>5463</v>
          </cell>
          <cell r="J292">
            <v>851</v>
          </cell>
          <cell r="K292">
            <v>5619</v>
          </cell>
          <cell r="S292">
            <v>5463</v>
          </cell>
          <cell r="U292">
            <v>0.03</v>
          </cell>
          <cell r="V292" t="str">
            <v>고케</v>
          </cell>
          <cell r="W292">
            <v>5.8799999999999998E-2</v>
          </cell>
        </row>
        <row r="293">
          <cell r="A293">
            <v>293</v>
          </cell>
          <cell r="B293" t="str">
            <v>옥외</v>
          </cell>
          <cell r="C293" t="str">
            <v>고압케이블</v>
          </cell>
          <cell r="D293" t="str">
            <v>6.9KV CV80sq/1C</v>
          </cell>
          <cell r="E293" t="str">
            <v>m</v>
          </cell>
          <cell r="H293">
            <v>799</v>
          </cell>
          <cell r="I293">
            <v>6037</v>
          </cell>
          <cell r="J293">
            <v>851</v>
          </cell>
          <cell r="S293">
            <v>6037</v>
          </cell>
          <cell r="U293">
            <v>0.03</v>
          </cell>
          <cell r="V293" t="str">
            <v>고케</v>
          </cell>
          <cell r="W293">
            <v>7.1999999999999995E-2</v>
          </cell>
        </row>
        <row r="294">
          <cell r="A294">
            <v>294</v>
          </cell>
          <cell r="B294" t="str">
            <v>옥외</v>
          </cell>
          <cell r="C294" t="str">
            <v>고압케이블</v>
          </cell>
          <cell r="D294" t="str">
            <v>6.9KV CV100sq/1C</v>
          </cell>
          <cell r="E294" t="str">
            <v>m</v>
          </cell>
          <cell r="H294">
            <v>799</v>
          </cell>
          <cell r="I294">
            <v>6610</v>
          </cell>
          <cell r="J294">
            <v>851</v>
          </cell>
          <cell r="K294">
            <v>6799</v>
          </cell>
          <cell r="S294">
            <v>6610</v>
          </cell>
          <cell r="U294">
            <v>0.03</v>
          </cell>
          <cell r="V294" t="str">
            <v>고케</v>
          </cell>
          <cell r="W294">
            <v>8.5199999999999984E-2</v>
          </cell>
        </row>
        <row r="295">
          <cell r="A295">
            <v>295</v>
          </cell>
          <cell r="B295" t="str">
            <v>옥외</v>
          </cell>
          <cell r="C295" t="str">
            <v>고압케이블</v>
          </cell>
          <cell r="D295" t="str">
            <v>6.9KV CV125sq/1C</v>
          </cell>
          <cell r="E295" t="str">
            <v>m</v>
          </cell>
          <cell r="H295">
            <v>799</v>
          </cell>
          <cell r="I295">
            <v>7796</v>
          </cell>
          <cell r="J295">
            <v>851</v>
          </cell>
          <cell r="S295">
            <v>7796</v>
          </cell>
          <cell r="U295">
            <v>0.03</v>
          </cell>
          <cell r="V295" t="str">
            <v>고케</v>
          </cell>
          <cell r="W295">
            <v>0.1008</v>
          </cell>
        </row>
        <row r="296">
          <cell r="A296">
            <v>296</v>
          </cell>
          <cell r="B296" t="str">
            <v>옥외</v>
          </cell>
          <cell r="C296" t="str">
            <v>고압케이블</v>
          </cell>
          <cell r="D296" t="str">
            <v>6.9KV CV150sq/1C</v>
          </cell>
          <cell r="E296" t="str">
            <v>m</v>
          </cell>
          <cell r="H296">
            <v>799</v>
          </cell>
          <cell r="I296">
            <v>10327</v>
          </cell>
          <cell r="J296">
            <v>851</v>
          </cell>
          <cell r="K296">
            <v>10622</v>
          </cell>
          <cell r="S296">
            <v>10327</v>
          </cell>
          <cell r="U296">
            <v>0.03</v>
          </cell>
          <cell r="V296" t="str">
            <v>고케</v>
          </cell>
          <cell r="W296">
            <v>0.1164</v>
          </cell>
        </row>
        <row r="297">
          <cell r="A297">
            <v>297</v>
          </cell>
          <cell r="B297" t="str">
            <v>옥외</v>
          </cell>
          <cell r="C297" t="str">
            <v>고압케이블</v>
          </cell>
          <cell r="D297" t="str">
            <v>6.9KV CV200sq/1C</v>
          </cell>
          <cell r="E297" t="str">
            <v>m</v>
          </cell>
          <cell r="H297">
            <v>799</v>
          </cell>
          <cell r="I297">
            <v>12964</v>
          </cell>
          <cell r="J297">
            <v>851</v>
          </cell>
          <cell r="K297">
            <v>13334</v>
          </cell>
          <cell r="S297">
            <v>12964</v>
          </cell>
          <cell r="U297">
            <v>0.03</v>
          </cell>
          <cell r="V297" t="str">
            <v>고케</v>
          </cell>
          <cell r="W297">
            <v>0.1404</v>
          </cell>
        </row>
        <row r="298">
          <cell r="A298">
            <v>298</v>
          </cell>
          <cell r="B298" t="str">
            <v>옥외</v>
          </cell>
          <cell r="C298" t="str">
            <v>고압케이블</v>
          </cell>
          <cell r="D298" t="str">
            <v>6.9KV CV250sq/1C</v>
          </cell>
          <cell r="E298" t="str">
            <v>m</v>
          </cell>
          <cell r="H298">
            <v>799</v>
          </cell>
          <cell r="I298">
            <v>15498</v>
          </cell>
          <cell r="J298">
            <v>851</v>
          </cell>
          <cell r="K298">
            <v>15940</v>
          </cell>
          <cell r="S298">
            <v>15498</v>
          </cell>
          <cell r="U298">
            <v>0.03</v>
          </cell>
          <cell r="V298" t="str">
            <v>고케</v>
          </cell>
          <cell r="W298">
            <v>0.17039999999999997</v>
          </cell>
        </row>
        <row r="299">
          <cell r="A299">
            <v>299</v>
          </cell>
          <cell r="S299" t="str">
            <v/>
          </cell>
        </row>
        <row r="300">
          <cell r="A300">
            <v>300</v>
          </cell>
          <cell r="S300" t="str">
            <v/>
          </cell>
        </row>
        <row r="301">
          <cell r="A301">
            <v>301</v>
          </cell>
          <cell r="B301" t="str">
            <v>옥외</v>
          </cell>
          <cell r="C301" t="str">
            <v>고압케이블</v>
          </cell>
          <cell r="D301" t="str">
            <v>6.9KV CV8sq/3C</v>
          </cell>
          <cell r="E301" t="str">
            <v>m</v>
          </cell>
          <cell r="H301">
            <v>799</v>
          </cell>
          <cell r="I301">
            <v>6505</v>
          </cell>
          <cell r="J301">
            <v>851</v>
          </cell>
          <cell r="K301">
            <v>6691</v>
          </cell>
          <cell r="S301">
            <v>6505</v>
          </cell>
          <cell r="U301">
            <v>0.03</v>
          </cell>
          <cell r="V301" t="str">
            <v>고케</v>
          </cell>
          <cell r="W301">
            <v>3.3599999999999998E-2</v>
          </cell>
        </row>
        <row r="302">
          <cell r="A302">
            <v>302</v>
          </cell>
          <cell r="B302" t="str">
            <v>옥외</v>
          </cell>
          <cell r="C302" t="str">
            <v>고압케이블</v>
          </cell>
          <cell r="D302" t="str">
            <v>6.9KV CV14sq/3C</v>
          </cell>
          <cell r="E302" t="str">
            <v>m</v>
          </cell>
          <cell r="H302">
            <v>799</v>
          </cell>
          <cell r="I302">
            <v>8435</v>
          </cell>
          <cell r="J302">
            <v>851</v>
          </cell>
          <cell r="K302">
            <v>8676</v>
          </cell>
          <cell r="S302">
            <v>8435</v>
          </cell>
          <cell r="U302">
            <v>0.03</v>
          </cell>
          <cell r="V302" t="str">
            <v>고케</v>
          </cell>
          <cell r="W302">
            <v>4.8000000000000001E-2</v>
          </cell>
        </row>
        <row r="303">
          <cell r="A303">
            <v>303</v>
          </cell>
          <cell r="B303" t="str">
            <v>옥외</v>
          </cell>
          <cell r="C303" t="str">
            <v>고압케이블</v>
          </cell>
          <cell r="D303" t="str">
            <v>6.9KV CV22sq/3C</v>
          </cell>
          <cell r="E303" t="str">
            <v>m</v>
          </cell>
          <cell r="H303">
            <v>799</v>
          </cell>
          <cell r="I303">
            <v>9996</v>
          </cell>
          <cell r="J303">
            <v>852</v>
          </cell>
          <cell r="K303">
            <v>10281</v>
          </cell>
          <cell r="S303">
            <v>9996</v>
          </cell>
          <cell r="U303">
            <v>0.03</v>
          </cell>
          <cell r="V303" t="str">
            <v>고케</v>
          </cell>
          <cell r="W303">
            <v>6.2399999999999997E-2</v>
          </cell>
        </row>
        <row r="304">
          <cell r="A304">
            <v>304</v>
          </cell>
          <cell r="B304" t="str">
            <v>옥외</v>
          </cell>
          <cell r="C304" t="str">
            <v>고압케이블</v>
          </cell>
          <cell r="D304" t="str">
            <v>6.9KV CV30sq/3C</v>
          </cell>
          <cell r="E304" t="str">
            <v>m</v>
          </cell>
          <cell r="H304">
            <v>799</v>
          </cell>
          <cell r="I304">
            <v>11108</v>
          </cell>
          <cell r="J304">
            <v>852</v>
          </cell>
          <cell r="S304">
            <v>11108</v>
          </cell>
          <cell r="U304">
            <v>0.03</v>
          </cell>
          <cell r="V304" t="str">
            <v>고케</v>
          </cell>
          <cell r="W304">
            <v>7.1999999999999995E-2</v>
          </cell>
        </row>
        <row r="305">
          <cell r="A305">
            <v>305</v>
          </cell>
          <cell r="B305" t="str">
            <v>옥외</v>
          </cell>
          <cell r="C305" t="str">
            <v>고압케이블</v>
          </cell>
          <cell r="D305" t="str">
            <v>6.9KV CV38sq/3C</v>
          </cell>
          <cell r="E305" t="str">
            <v>m</v>
          </cell>
          <cell r="H305">
            <v>799</v>
          </cell>
          <cell r="I305">
            <v>12693</v>
          </cell>
          <cell r="J305">
            <v>852</v>
          </cell>
          <cell r="K305">
            <v>13056</v>
          </cell>
          <cell r="S305">
            <v>12693</v>
          </cell>
          <cell r="U305">
            <v>0.03</v>
          </cell>
          <cell r="V305" t="str">
            <v>고케</v>
          </cell>
          <cell r="W305">
            <v>8.6399999999999991E-2</v>
          </cell>
        </row>
        <row r="306">
          <cell r="A306">
            <v>306</v>
          </cell>
          <cell r="B306" t="str">
            <v>옥외</v>
          </cell>
          <cell r="C306" t="str">
            <v>고압케이블</v>
          </cell>
          <cell r="D306" t="str">
            <v>6.9KV CV50sq/3C</v>
          </cell>
          <cell r="E306" t="str">
            <v>m</v>
          </cell>
          <cell r="H306">
            <v>799</v>
          </cell>
          <cell r="I306">
            <v>14159</v>
          </cell>
          <cell r="J306">
            <v>852</v>
          </cell>
          <cell r="S306">
            <v>14159</v>
          </cell>
          <cell r="U306">
            <v>0.03</v>
          </cell>
          <cell r="V306" t="str">
            <v>고케</v>
          </cell>
          <cell r="W306">
            <v>0.10319999999999999</v>
          </cell>
        </row>
        <row r="307">
          <cell r="A307">
            <v>307</v>
          </cell>
          <cell r="B307" t="str">
            <v>옥외</v>
          </cell>
          <cell r="C307" t="str">
            <v>고압케이블</v>
          </cell>
          <cell r="D307" t="str">
            <v>6.9KV CV60sq/3C</v>
          </cell>
          <cell r="E307" t="str">
            <v>m</v>
          </cell>
          <cell r="H307">
            <v>799</v>
          </cell>
          <cell r="I307">
            <v>14914</v>
          </cell>
          <cell r="J307">
            <v>852</v>
          </cell>
          <cell r="K307">
            <v>15340</v>
          </cell>
          <cell r="S307">
            <v>14914</v>
          </cell>
          <cell r="U307">
            <v>0.03</v>
          </cell>
          <cell r="V307" t="str">
            <v>고케</v>
          </cell>
          <cell r="W307">
            <v>0.1176</v>
          </cell>
        </row>
        <row r="308">
          <cell r="A308">
            <v>308</v>
          </cell>
          <cell r="B308" t="str">
            <v>옥외</v>
          </cell>
          <cell r="C308" t="str">
            <v>고압케이블</v>
          </cell>
          <cell r="D308" t="str">
            <v>6.9KV CV80sq/3C</v>
          </cell>
          <cell r="E308" t="str">
            <v>m</v>
          </cell>
          <cell r="H308">
            <v>799</v>
          </cell>
          <cell r="I308">
            <v>18345</v>
          </cell>
          <cell r="J308">
            <v>852</v>
          </cell>
          <cell r="S308">
            <v>18345</v>
          </cell>
          <cell r="U308">
            <v>0.03</v>
          </cell>
          <cell r="V308" t="str">
            <v>고케</v>
          </cell>
          <cell r="W308">
            <v>0.14399999999999999</v>
          </cell>
        </row>
        <row r="309">
          <cell r="A309">
            <v>309</v>
          </cell>
          <cell r="B309" t="str">
            <v>옥외</v>
          </cell>
          <cell r="C309" t="str">
            <v>고압케이블</v>
          </cell>
          <cell r="D309" t="str">
            <v>6.9KV CV100sq/3C</v>
          </cell>
          <cell r="E309" t="str">
            <v>m</v>
          </cell>
          <cell r="H309">
            <v>799</v>
          </cell>
          <cell r="I309">
            <v>21448</v>
          </cell>
          <cell r="J309">
            <v>852</v>
          </cell>
          <cell r="K309">
            <v>22061</v>
          </cell>
          <cell r="S309">
            <v>21448</v>
          </cell>
          <cell r="U309">
            <v>0.03</v>
          </cell>
          <cell r="V309" t="str">
            <v>고케</v>
          </cell>
          <cell r="W309">
            <v>0.17039999999999997</v>
          </cell>
        </row>
        <row r="310">
          <cell r="A310">
            <v>310</v>
          </cell>
          <cell r="B310" t="str">
            <v>옥외</v>
          </cell>
          <cell r="C310" t="str">
            <v>고압케이블</v>
          </cell>
          <cell r="D310" t="str">
            <v>6.9KV CV125sq/3C</v>
          </cell>
          <cell r="E310" t="str">
            <v>m</v>
          </cell>
          <cell r="H310">
            <v>799</v>
          </cell>
          <cell r="I310">
            <v>24633</v>
          </cell>
          <cell r="J310">
            <v>852</v>
          </cell>
          <cell r="S310">
            <v>24633</v>
          </cell>
          <cell r="U310">
            <v>0.03</v>
          </cell>
          <cell r="V310" t="str">
            <v>고케</v>
          </cell>
          <cell r="W310">
            <v>0.2016</v>
          </cell>
        </row>
        <row r="311">
          <cell r="A311">
            <v>311</v>
          </cell>
          <cell r="B311" t="str">
            <v>옥외</v>
          </cell>
          <cell r="C311" t="str">
            <v>고압케이블</v>
          </cell>
          <cell r="D311" t="str">
            <v>6.9KV CV150sq/3C</v>
          </cell>
          <cell r="E311" t="str">
            <v>m</v>
          </cell>
          <cell r="H311">
            <v>799</v>
          </cell>
          <cell r="I311">
            <v>28881</v>
          </cell>
          <cell r="J311">
            <v>852</v>
          </cell>
          <cell r="K311">
            <v>29706</v>
          </cell>
          <cell r="S311">
            <v>28881</v>
          </cell>
          <cell r="U311">
            <v>0.03</v>
          </cell>
          <cell r="V311" t="str">
            <v>고케</v>
          </cell>
          <cell r="W311">
            <v>0.23280000000000001</v>
          </cell>
        </row>
        <row r="312">
          <cell r="A312">
            <v>312</v>
          </cell>
          <cell r="B312" t="str">
            <v>옥외</v>
          </cell>
          <cell r="C312" t="str">
            <v>고압케이블</v>
          </cell>
          <cell r="D312" t="str">
            <v>6.9KV CV200sq/3C</v>
          </cell>
          <cell r="E312" t="str">
            <v>m</v>
          </cell>
          <cell r="H312">
            <v>799</v>
          </cell>
          <cell r="I312">
            <v>35813</v>
          </cell>
          <cell r="J312">
            <v>852</v>
          </cell>
          <cell r="K312">
            <v>36836</v>
          </cell>
          <cell r="S312">
            <v>35813</v>
          </cell>
          <cell r="U312">
            <v>0.03</v>
          </cell>
          <cell r="V312" t="str">
            <v>고케</v>
          </cell>
          <cell r="W312">
            <v>0.28079999999999999</v>
          </cell>
        </row>
        <row r="313">
          <cell r="A313">
            <v>313</v>
          </cell>
          <cell r="B313" t="str">
            <v>옥외</v>
          </cell>
          <cell r="C313" t="str">
            <v>고압케이블</v>
          </cell>
          <cell r="D313" t="str">
            <v>6.9KV CV250sq/3C</v>
          </cell>
          <cell r="E313" t="str">
            <v>m</v>
          </cell>
          <cell r="H313">
            <v>799</v>
          </cell>
          <cell r="I313">
            <v>48389</v>
          </cell>
          <cell r="J313">
            <v>852</v>
          </cell>
          <cell r="K313">
            <v>49771</v>
          </cell>
          <cell r="S313">
            <v>48389</v>
          </cell>
          <cell r="U313">
            <v>0.03</v>
          </cell>
          <cell r="V313" t="str">
            <v>고케</v>
          </cell>
          <cell r="W313">
            <v>0.34079999999999994</v>
          </cell>
        </row>
        <row r="314">
          <cell r="A314">
            <v>314</v>
          </cell>
          <cell r="S314" t="str">
            <v/>
          </cell>
        </row>
        <row r="315">
          <cell r="A315">
            <v>315</v>
          </cell>
          <cell r="S315" t="str">
            <v/>
          </cell>
        </row>
        <row r="316">
          <cell r="A316">
            <v>316</v>
          </cell>
          <cell r="C316" t="str">
            <v>저압 케이블</v>
          </cell>
          <cell r="D316" t="str">
            <v>600V EV 2.0 sq/1C</v>
          </cell>
          <cell r="E316" t="str">
            <v>m</v>
          </cell>
          <cell r="S316">
            <v>0</v>
          </cell>
          <cell r="U316">
            <v>0.05</v>
          </cell>
          <cell r="V316" t="str">
            <v>저케</v>
          </cell>
          <cell r="W316">
            <v>0.01</v>
          </cell>
        </row>
        <row r="317">
          <cell r="A317">
            <v>317</v>
          </cell>
          <cell r="C317" t="str">
            <v>저압 케이블</v>
          </cell>
          <cell r="D317" t="str">
            <v>600V EV 3.5sq/1C</v>
          </cell>
          <cell r="E317" t="str">
            <v>m</v>
          </cell>
          <cell r="S317">
            <v>0</v>
          </cell>
          <cell r="U317">
            <v>0.05</v>
          </cell>
          <cell r="V317" t="str">
            <v>저케</v>
          </cell>
          <cell r="W317">
            <v>1.0999999999999999E-2</v>
          </cell>
        </row>
        <row r="318">
          <cell r="A318">
            <v>318</v>
          </cell>
          <cell r="C318" t="str">
            <v>저압 케이블</v>
          </cell>
          <cell r="D318" t="str">
            <v>600V EV 5.5 sq/1C</v>
          </cell>
          <cell r="E318" t="str">
            <v>m</v>
          </cell>
          <cell r="S318">
            <v>0</v>
          </cell>
          <cell r="U318">
            <v>0.05</v>
          </cell>
          <cell r="V318" t="str">
            <v>저케</v>
          </cell>
          <cell r="W318">
            <v>1.2999999999999999E-2</v>
          </cell>
        </row>
        <row r="319">
          <cell r="A319">
            <v>319</v>
          </cell>
          <cell r="C319" t="str">
            <v>저압 케이블</v>
          </cell>
          <cell r="D319" t="str">
            <v>600V EV 8sq/1C</v>
          </cell>
          <cell r="E319" t="str">
            <v>m</v>
          </cell>
          <cell r="S319">
            <v>0</v>
          </cell>
          <cell r="U319">
            <v>0.05</v>
          </cell>
          <cell r="V319" t="str">
            <v>저케</v>
          </cell>
          <cell r="W319">
            <v>1.4E-2</v>
          </cell>
        </row>
        <row r="320">
          <cell r="A320">
            <v>320</v>
          </cell>
          <cell r="C320" t="str">
            <v>저압 케이블</v>
          </cell>
          <cell r="D320" t="str">
            <v>600V  EV  14sq/1C</v>
          </cell>
          <cell r="E320" t="str">
            <v>m</v>
          </cell>
          <cell r="S320">
            <v>0</v>
          </cell>
          <cell r="U320">
            <v>0.05</v>
          </cell>
          <cell r="V320" t="str">
            <v>저케</v>
          </cell>
          <cell r="W320">
            <v>0.02</v>
          </cell>
        </row>
        <row r="321">
          <cell r="A321">
            <v>321</v>
          </cell>
          <cell r="C321" t="str">
            <v>저압 케이블</v>
          </cell>
          <cell r="D321" t="str">
            <v>600V  EV 22sq/1C</v>
          </cell>
          <cell r="E321" t="str">
            <v>m</v>
          </cell>
          <cell r="S321">
            <v>0</v>
          </cell>
          <cell r="U321">
            <v>0.05</v>
          </cell>
          <cell r="V321" t="str">
            <v>저케</v>
          </cell>
          <cell r="W321">
            <v>2.5999999999999999E-2</v>
          </cell>
        </row>
        <row r="322">
          <cell r="A322">
            <v>322</v>
          </cell>
          <cell r="C322" t="str">
            <v>저압 케이블</v>
          </cell>
          <cell r="D322" t="str">
            <v>600V  EV 38sq/1C</v>
          </cell>
          <cell r="E322" t="str">
            <v>m</v>
          </cell>
          <cell r="S322">
            <v>0</v>
          </cell>
          <cell r="U322">
            <v>0.05</v>
          </cell>
          <cell r="V322" t="str">
            <v>저케</v>
          </cell>
          <cell r="W322">
            <v>3.5999999999999997E-2</v>
          </cell>
        </row>
        <row r="323">
          <cell r="A323">
            <v>323</v>
          </cell>
          <cell r="C323" t="str">
            <v>저압 케이블</v>
          </cell>
          <cell r="D323" t="str">
            <v>600V  EV 50sq/1C</v>
          </cell>
          <cell r="E323" t="str">
            <v>m</v>
          </cell>
          <cell r="S323">
            <v>0</v>
          </cell>
          <cell r="U323">
            <v>0.05</v>
          </cell>
          <cell r="V323" t="str">
            <v>저케</v>
          </cell>
          <cell r="W323">
            <v>4.2999999999999997E-2</v>
          </cell>
        </row>
        <row r="324">
          <cell r="A324">
            <v>324</v>
          </cell>
          <cell r="C324" t="str">
            <v>저압 케이블</v>
          </cell>
          <cell r="D324" t="str">
            <v>600V  EV 60sq/1C</v>
          </cell>
          <cell r="E324" t="str">
            <v>m</v>
          </cell>
          <cell r="S324">
            <v>0</v>
          </cell>
          <cell r="U324">
            <v>0.05</v>
          </cell>
          <cell r="V324" t="str">
            <v>저케</v>
          </cell>
          <cell r="W324">
            <v>4.9000000000000002E-2</v>
          </cell>
        </row>
        <row r="325">
          <cell r="A325">
            <v>325</v>
          </cell>
          <cell r="C325" t="str">
            <v>저압 케이블</v>
          </cell>
          <cell r="D325" t="str">
            <v>600V  EV 80sq/1C</v>
          </cell>
          <cell r="E325" t="str">
            <v>m</v>
          </cell>
          <cell r="S325">
            <v>0</v>
          </cell>
          <cell r="U325">
            <v>0.05</v>
          </cell>
          <cell r="V325" t="str">
            <v>저케</v>
          </cell>
          <cell r="W325">
            <v>0.06</v>
          </cell>
        </row>
        <row r="326">
          <cell r="A326">
            <v>326</v>
          </cell>
          <cell r="C326" t="str">
            <v>저압 케이블</v>
          </cell>
          <cell r="D326" t="str">
            <v>600V  EV 100sq/1C</v>
          </cell>
          <cell r="E326" t="str">
            <v>m</v>
          </cell>
          <cell r="S326">
            <v>0</v>
          </cell>
          <cell r="U326">
            <v>0.05</v>
          </cell>
          <cell r="V326" t="str">
            <v>저케</v>
          </cell>
          <cell r="W326">
            <v>7.0999999999999994E-2</v>
          </cell>
        </row>
        <row r="327">
          <cell r="A327">
            <v>327</v>
          </cell>
          <cell r="C327" t="str">
            <v>저압 케이블</v>
          </cell>
          <cell r="D327" t="str">
            <v>600V  EV 125sq/1C</v>
          </cell>
          <cell r="E327" t="str">
            <v>m</v>
          </cell>
          <cell r="S327">
            <v>0</v>
          </cell>
          <cell r="U327">
            <v>0.05</v>
          </cell>
          <cell r="V327" t="str">
            <v>저케</v>
          </cell>
          <cell r="W327">
            <v>8.4000000000000005E-2</v>
          </cell>
        </row>
        <row r="328">
          <cell r="A328">
            <v>328</v>
          </cell>
          <cell r="C328" t="str">
            <v>저압 케이블</v>
          </cell>
          <cell r="D328" t="str">
            <v>600V  EV 150sq/1C</v>
          </cell>
          <cell r="E328" t="str">
            <v>m</v>
          </cell>
          <cell r="S328">
            <v>0</v>
          </cell>
          <cell r="U328">
            <v>0.05</v>
          </cell>
          <cell r="V328" t="str">
            <v>저케</v>
          </cell>
          <cell r="W328">
            <v>9.7000000000000003E-2</v>
          </cell>
        </row>
        <row r="329">
          <cell r="A329">
            <v>329</v>
          </cell>
          <cell r="C329" t="str">
            <v>저압 케이블</v>
          </cell>
          <cell r="D329" t="str">
            <v>600V  EV 200sq/1C</v>
          </cell>
          <cell r="E329" t="str">
            <v>m</v>
          </cell>
          <cell r="S329">
            <v>0</v>
          </cell>
          <cell r="U329">
            <v>0.05</v>
          </cell>
          <cell r="V329" t="str">
            <v>저케</v>
          </cell>
          <cell r="W329">
            <v>0.11700000000000001</v>
          </cell>
        </row>
        <row r="330">
          <cell r="A330">
            <v>330</v>
          </cell>
          <cell r="C330" t="str">
            <v>저압 케이블</v>
          </cell>
          <cell r="D330" t="str">
            <v>600V  EV 250sq/1C</v>
          </cell>
          <cell r="E330" t="str">
            <v>m</v>
          </cell>
          <cell r="S330">
            <v>0</v>
          </cell>
          <cell r="U330">
            <v>0.05</v>
          </cell>
          <cell r="V330" t="str">
            <v>저케</v>
          </cell>
          <cell r="W330">
            <v>0.14199999999999999</v>
          </cell>
        </row>
        <row r="331">
          <cell r="A331">
            <v>331</v>
          </cell>
          <cell r="S331" t="str">
            <v/>
          </cell>
        </row>
        <row r="332">
          <cell r="A332">
            <v>332</v>
          </cell>
          <cell r="S332" t="str">
            <v/>
          </cell>
        </row>
        <row r="333">
          <cell r="A333">
            <v>333</v>
          </cell>
          <cell r="C333" t="str">
            <v>저압 케이블</v>
          </cell>
          <cell r="D333" t="str">
            <v>600V EV 2.0 sq/2C</v>
          </cell>
          <cell r="E333" t="str">
            <v>m</v>
          </cell>
          <cell r="S333">
            <v>0</v>
          </cell>
          <cell r="U333">
            <v>0.05</v>
          </cell>
          <cell r="V333" t="str">
            <v>저케</v>
          </cell>
          <cell r="W333">
            <v>1.3999999999999999E-2</v>
          </cell>
        </row>
        <row r="334">
          <cell r="A334">
            <v>334</v>
          </cell>
          <cell r="C334" t="str">
            <v>저압 케이블</v>
          </cell>
          <cell r="D334" t="str">
            <v>600V EV 3.5sq/2C</v>
          </cell>
          <cell r="E334" t="str">
            <v>m</v>
          </cell>
          <cell r="S334">
            <v>0</v>
          </cell>
          <cell r="U334">
            <v>0.05</v>
          </cell>
          <cell r="V334" t="str">
            <v>저케</v>
          </cell>
          <cell r="W334">
            <v>1.5399999999999999E-2</v>
          </cell>
        </row>
        <row r="335">
          <cell r="A335">
            <v>335</v>
          </cell>
          <cell r="C335" t="str">
            <v>저압 케이블</v>
          </cell>
          <cell r="D335" t="str">
            <v>600V EV 5.5 sq/2C</v>
          </cell>
          <cell r="E335" t="str">
            <v>m</v>
          </cell>
          <cell r="S335">
            <v>0</v>
          </cell>
          <cell r="U335">
            <v>0.05</v>
          </cell>
          <cell r="V335" t="str">
            <v>저케</v>
          </cell>
          <cell r="W335">
            <v>1.8199999999999997E-2</v>
          </cell>
        </row>
        <row r="336">
          <cell r="A336">
            <v>336</v>
          </cell>
          <cell r="C336" t="str">
            <v>저압 케이블</v>
          </cell>
          <cell r="D336" t="str">
            <v>600V EV 8sq/2C</v>
          </cell>
          <cell r="E336" t="str">
            <v>m</v>
          </cell>
          <cell r="S336">
            <v>0</v>
          </cell>
          <cell r="U336">
            <v>0.05</v>
          </cell>
          <cell r="V336" t="str">
            <v>저케</v>
          </cell>
          <cell r="W336">
            <v>1.9599999999999999E-2</v>
          </cell>
        </row>
        <row r="337">
          <cell r="A337">
            <v>337</v>
          </cell>
          <cell r="C337" t="str">
            <v>저압 케이블</v>
          </cell>
          <cell r="D337" t="str">
            <v>600V  EV  14sq/2C</v>
          </cell>
          <cell r="E337" t="str">
            <v>m</v>
          </cell>
          <cell r="S337">
            <v>0</v>
          </cell>
          <cell r="U337">
            <v>0.05</v>
          </cell>
          <cell r="V337" t="str">
            <v>저케</v>
          </cell>
          <cell r="W337">
            <v>2.7999999999999997E-2</v>
          </cell>
        </row>
        <row r="338">
          <cell r="A338">
            <v>338</v>
          </cell>
          <cell r="C338" t="str">
            <v>저압 케이블</v>
          </cell>
          <cell r="D338" t="str">
            <v>600V  EV 22sq/2C</v>
          </cell>
          <cell r="E338" t="str">
            <v>m</v>
          </cell>
          <cell r="S338">
            <v>0</v>
          </cell>
          <cell r="U338">
            <v>0.05</v>
          </cell>
          <cell r="V338" t="str">
            <v>저케</v>
          </cell>
          <cell r="W338">
            <v>3.6399999999999995E-2</v>
          </cell>
        </row>
        <row r="339">
          <cell r="A339">
            <v>339</v>
          </cell>
          <cell r="C339" t="str">
            <v>저압 케이블</v>
          </cell>
          <cell r="D339" t="str">
            <v>600V  EV 38sq/2C</v>
          </cell>
          <cell r="E339" t="str">
            <v>m</v>
          </cell>
          <cell r="S339">
            <v>0</v>
          </cell>
          <cell r="U339">
            <v>0.05</v>
          </cell>
          <cell r="V339" t="str">
            <v>저케</v>
          </cell>
          <cell r="W339">
            <v>5.0399999999999993E-2</v>
          </cell>
        </row>
        <row r="340">
          <cell r="A340">
            <v>340</v>
          </cell>
          <cell r="C340" t="str">
            <v>저압 케이블</v>
          </cell>
          <cell r="D340" t="str">
            <v>600V  EV 60sq/2C</v>
          </cell>
          <cell r="E340" t="str">
            <v>m</v>
          </cell>
          <cell r="S340">
            <v>0</v>
          </cell>
          <cell r="U340">
            <v>0.05</v>
          </cell>
          <cell r="V340" t="str">
            <v>저케</v>
          </cell>
          <cell r="W340">
            <v>6.8599999999999994E-2</v>
          </cell>
        </row>
        <row r="341">
          <cell r="A341">
            <v>341</v>
          </cell>
          <cell r="C341" t="str">
            <v>저압 케이블</v>
          </cell>
          <cell r="D341" t="str">
            <v>600V  EV 80sq/2C</v>
          </cell>
          <cell r="E341" t="str">
            <v>m</v>
          </cell>
          <cell r="S341">
            <v>0</v>
          </cell>
          <cell r="U341">
            <v>0.05</v>
          </cell>
          <cell r="V341" t="str">
            <v>저케</v>
          </cell>
          <cell r="W341">
            <v>8.3999999999999991E-2</v>
          </cell>
        </row>
        <row r="342">
          <cell r="A342">
            <v>342</v>
          </cell>
          <cell r="C342" t="str">
            <v>저압 케이블</v>
          </cell>
          <cell r="D342" t="str">
            <v>600V  EV 100sq/2C</v>
          </cell>
          <cell r="E342" t="str">
            <v>m</v>
          </cell>
          <cell r="S342">
            <v>0</v>
          </cell>
          <cell r="U342">
            <v>0.05</v>
          </cell>
          <cell r="V342" t="str">
            <v>저케</v>
          </cell>
          <cell r="W342">
            <v>9.9399999999999988E-2</v>
          </cell>
        </row>
        <row r="343">
          <cell r="A343">
            <v>343</v>
          </cell>
          <cell r="C343" t="str">
            <v>저압 케이블</v>
          </cell>
          <cell r="D343" t="str">
            <v>600V  EV 125sq/2C</v>
          </cell>
          <cell r="E343" t="str">
            <v>m</v>
          </cell>
          <cell r="S343">
            <v>0</v>
          </cell>
          <cell r="U343">
            <v>0.05</v>
          </cell>
          <cell r="V343" t="str">
            <v>저케</v>
          </cell>
          <cell r="W343">
            <v>0.1176</v>
          </cell>
        </row>
        <row r="344">
          <cell r="A344">
            <v>344</v>
          </cell>
          <cell r="C344" t="str">
            <v>저압 케이블</v>
          </cell>
          <cell r="D344" t="str">
            <v>600V  EV 150sq/2C</v>
          </cell>
          <cell r="E344" t="str">
            <v>m</v>
          </cell>
          <cell r="S344">
            <v>0</v>
          </cell>
          <cell r="U344">
            <v>0.05</v>
          </cell>
          <cell r="V344" t="str">
            <v>저케</v>
          </cell>
          <cell r="W344">
            <v>0.1358</v>
          </cell>
        </row>
        <row r="345">
          <cell r="A345">
            <v>345</v>
          </cell>
          <cell r="C345" t="str">
            <v>저압 케이블</v>
          </cell>
          <cell r="D345" t="str">
            <v>600V  EV 200sq/2C</v>
          </cell>
          <cell r="E345" t="str">
            <v>m</v>
          </cell>
          <cell r="S345">
            <v>0</v>
          </cell>
          <cell r="U345">
            <v>0.05</v>
          </cell>
          <cell r="V345" t="str">
            <v>저케</v>
          </cell>
          <cell r="W345">
            <v>0.1638</v>
          </cell>
        </row>
        <row r="346">
          <cell r="A346">
            <v>346</v>
          </cell>
          <cell r="C346" t="str">
            <v>저압 케이블</v>
          </cell>
          <cell r="D346" t="str">
            <v>600V  EV 250sq/2C</v>
          </cell>
          <cell r="E346" t="str">
            <v>m</v>
          </cell>
          <cell r="S346">
            <v>0</v>
          </cell>
          <cell r="U346">
            <v>0.05</v>
          </cell>
          <cell r="V346" t="str">
            <v>저케</v>
          </cell>
          <cell r="W346">
            <v>0.19879999999999998</v>
          </cell>
        </row>
        <row r="347">
          <cell r="A347">
            <v>347</v>
          </cell>
          <cell r="S347" t="str">
            <v/>
          </cell>
        </row>
        <row r="348">
          <cell r="A348">
            <v>348</v>
          </cell>
          <cell r="S348" t="str">
            <v/>
          </cell>
        </row>
        <row r="349">
          <cell r="A349">
            <v>349</v>
          </cell>
          <cell r="C349" t="str">
            <v>저압 케이블</v>
          </cell>
          <cell r="D349" t="str">
            <v>600V EV 2.0 sq/3C</v>
          </cell>
          <cell r="E349" t="str">
            <v>m</v>
          </cell>
          <cell r="S349">
            <v>0</v>
          </cell>
          <cell r="U349">
            <v>0.05</v>
          </cell>
          <cell r="V349" t="str">
            <v>저케</v>
          </cell>
          <cell r="W349">
            <v>0.02</v>
          </cell>
        </row>
        <row r="350">
          <cell r="A350">
            <v>350</v>
          </cell>
          <cell r="C350" t="str">
            <v>저압 케이블</v>
          </cell>
          <cell r="D350" t="str">
            <v>600V EV 3.5sq/3C</v>
          </cell>
          <cell r="E350" t="str">
            <v>m</v>
          </cell>
          <cell r="S350">
            <v>0</v>
          </cell>
          <cell r="U350">
            <v>0.05</v>
          </cell>
          <cell r="V350" t="str">
            <v>저케</v>
          </cell>
          <cell r="W350">
            <v>2.1999999999999999E-2</v>
          </cell>
        </row>
        <row r="351">
          <cell r="A351">
            <v>351</v>
          </cell>
          <cell r="C351" t="str">
            <v>저압 케이블</v>
          </cell>
          <cell r="D351" t="str">
            <v>600V EV 5.5 sq/3C</v>
          </cell>
          <cell r="E351" t="str">
            <v>m</v>
          </cell>
          <cell r="S351">
            <v>0</v>
          </cell>
          <cell r="U351">
            <v>0.05</v>
          </cell>
          <cell r="V351" t="str">
            <v>저케</v>
          </cell>
          <cell r="W351">
            <v>2.5999999999999999E-2</v>
          </cell>
        </row>
        <row r="352">
          <cell r="A352">
            <v>352</v>
          </cell>
          <cell r="C352" t="str">
            <v>저압 케이블</v>
          </cell>
          <cell r="D352" t="str">
            <v>600V EV 8sq/3C</v>
          </cell>
          <cell r="E352" t="str">
            <v>m</v>
          </cell>
          <cell r="S352">
            <v>0</v>
          </cell>
          <cell r="U352">
            <v>0.05</v>
          </cell>
          <cell r="V352" t="str">
            <v>저케</v>
          </cell>
          <cell r="W352">
            <v>2.8000000000000001E-2</v>
          </cell>
        </row>
        <row r="353">
          <cell r="A353">
            <v>353</v>
          </cell>
          <cell r="C353" t="str">
            <v>저압 케이블</v>
          </cell>
          <cell r="D353" t="str">
            <v>600V  EV  14sq/3C</v>
          </cell>
          <cell r="E353" t="str">
            <v>m</v>
          </cell>
          <cell r="S353">
            <v>0</v>
          </cell>
          <cell r="U353">
            <v>0.05</v>
          </cell>
          <cell r="V353" t="str">
            <v>저케</v>
          </cell>
          <cell r="W353">
            <v>0.04</v>
          </cell>
        </row>
        <row r="354">
          <cell r="A354">
            <v>354</v>
          </cell>
          <cell r="C354" t="str">
            <v>저압 케이블</v>
          </cell>
          <cell r="D354" t="str">
            <v>600V  EV 22sq/3C</v>
          </cell>
          <cell r="E354" t="str">
            <v>m</v>
          </cell>
          <cell r="S354">
            <v>0</v>
          </cell>
          <cell r="U354">
            <v>0.05</v>
          </cell>
          <cell r="V354" t="str">
            <v>저케</v>
          </cell>
          <cell r="W354">
            <v>5.1999999999999998E-2</v>
          </cell>
        </row>
        <row r="355">
          <cell r="A355">
            <v>355</v>
          </cell>
          <cell r="C355" t="str">
            <v>저압 케이블</v>
          </cell>
          <cell r="D355" t="str">
            <v>600V  EV 38sq/3C</v>
          </cell>
          <cell r="E355" t="str">
            <v>m</v>
          </cell>
          <cell r="S355">
            <v>0</v>
          </cell>
          <cell r="U355">
            <v>0.05</v>
          </cell>
          <cell r="V355" t="str">
            <v>저케</v>
          </cell>
          <cell r="W355">
            <v>7.1999999999999995E-2</v>
          </cell>
        </row>
        <row r="356">
          <cell r="A356">
            <v>356</v>
          </cell>
          <cell r="C356" t="str">
            <v>저압 케이블</v>
          </cell>
          <cell r="D356" t="str">
            <v>600V  EV 60sq/3C</v>
          </cell>
          <cell r="E356" t="str">
            <v>m</v>
          </cell>
          <cell r="S356">
            <v>0</v>
          </cell>
          <cell r="U356">
            <v>0.05</v>
          </cell>
          <cell r="V356" t="str">
            <v>저케</v>
          </cell>
          <cell r="W356">
            <v>9.8000000000000004E-2</v>
          </cell>
        </row>
        <row r="357">
          <cell r="A357">
            <v>357</v>
          </cell>
          <cell r="C357" t="str">
            <v>저압 케이블</v>
          </cell>
          <cell r="D357" t="str">
            <v>600V  EV 80sq/3C</v>
          </cell>
          <cell r="E357" t="str">
            <v>m</v>
          </cell>
          <cell r="S357">
            <v>0</v>
          </cell>
          <cell r="U357">
            <v>0.05</v>
          </cell>
          <cell r="V357" t="str">
            <v>저케</v>
          </cell>
          <cell r="W357">
            <v>0.12</v>
          </cell>
        </row>
        <row r="358">
          <cell r="A358">
            <v>358</v>
          </cell>
          <cell r="C358" t="str">
            <v>저압 케이블</v>
          </cell>
          <cell r="D358" t="str">
            <v>600V  EV 100sq/3C</v>
          </cell>
          <cell r="E358" t="str">
            <v>m</v>
          </cell>
          <cell r="S358">
            <v>0</v>
          </cell>
          <cell r="U358">
            <v>0.05</v>
          </cell>
          <cell r="V358" t="str">
            <v>저케</v>
          </cell>
          <cell r="W358">
            <v>0.14199999999999999</v>
          </cell>
        </row>
        <row r="359">
          <cell r="A359">
            <v>359</v>
          </cell>
          <cell r="C359" t="str">
            <v>저압 케이블</v>
          </cell>
          <cell r="D359" t="str">
            <v>600V  EV 125sq/3C</v>
          </cell>
          <cell r="E359" t="str">
            <v>m</v>
          </cell>
          <cell r="S359">
            <v>0</v>
          </cell>
          <cell r="U359">
            <v>0.05</v>
          </cell>
          <cell r="V359" t="str">
            <v>저케</v>
          </cell>
          <cell r="W359">
            <v>0.16800000000000001</v>
          </cell>
        </row>
        <row r="360">
          <cell r="A360">
            <v>360</v>
          </cell>
          <cell r="C360" t="str">
            <v>저압 케이블</v>
          </cell>
          <cell r="D360" t="str">
            <v>600V  EV 150sq/3C</v>
          </cell>
          <cell r="E360" t="str">
            <v>m</v>
          </cell>
          <cell r="S360">
            <v>0</v>
          </cell>
          <cell r="U360">
            <v>0.05</v>
          </cell>
          <cell r="V360" t="str">
            <v>저케</v>
          </cell>
          <cell r="W360">
            <v>0.19400000000000001</v>
          </cell>
        </row>
        <row r="361">
          <cell r="A361">
            <v>361</v>
          </cell>
          <cell r="C361" t="str">
            <v>저압 케이블</v>
          </cell>
          <cell r="D361" t="str">
            <v>600V  EV 200sq/3C</v>
          </cell>
          <cell r="E361" t="str">
            <v>m</v>
          </cell>
          <cell r="S361">
            <v>0</v>
          </cell>
          <cell r="U361">
            <v>0.05</v>
          </cell>
          <cell r="V361" t="str">
            <v>저케</v>
          </cell>
          <cell r="W361">
            <v>0.23400000000000001</v>
          </cell>
        </row>
        <row r="362">
          <cell r="A362">
            <v>362</v>
          </cell>
          <cell r="C362" t="str">
            <v>저압 케이블</v>
          </cell>
          <cell r="D362" t="str">
            <v>600V  EV 250sq/3C</v>
          </cell>
          <cell r="E362" t="str">
            <v>m</v>
          </cell>
          <cell r="S362">
            <v>0</v>
          </cell>
          <cell r="U362">
            <v>0.05</v>
          </cell>
          <cell r="V362" t="str">
            <v>저케</v>
          </cell>
          <cell r="W362">
            <v>0.28399999999999997</v>
          </cell>
        </row>
        <row r="363">
          <cell r="A363">
            <v>363</v>
          </cell>
          <cell r="S363" t="str">
            <v/>
          </cell>
        </row>
        <row r="364">
          <cell r="A364">
            <v>364</v>
          </cell>
          <cell r="S364" t="str">
            <v/>
          </cell>
        </row>
        <row r="365">
          <cell r="A365">
            <v>365</v>
          </cell>
          <cell r="C365" t="str">
            <v>저압 케이블</v>
          </cell>
          <cell r="D365" t="str">
            <v>600V EV 2.0 sq/4C</v>
          </cell>
          <cell r="E365" t="str">
            <v>m</v>
          </cell>
          <cell r="S365">
            <v>0</v>
          </cell>
          <cell r="U365">
            <v>0.05</v>
          </cell>
          <cell r="V365" t="str">
            <v>저케</v>
          </cell>
          <cell r="W365">
            <v>2.6000000000000002E-2</v>
          </cell>
        </row>
        <row r="366">
          <cell r="A366">
            <v>366</v>
          </cell>
          <cell r="C366" t="str">
            <v>저압 케이블</v>
          </cell>
          <cell r="D366" t="str">
            <v>600V EV 3.5sq/4C</v>
          </cell>
          <cell r="E366" t="str">
            <v>m</v>
          </cell>
          <cell r="S366">
            <v>0</v>
          </cell>
          <cell r="U366">
            <v>0.05</v>
          </cell>
          <cell r="V366" t="str">
            <v>저케</v>
          </cell>
          <cell r="W366">
            <v>2.86E-2</v>
          </cell>
        </row>
        <row r="367">
          <cell r="A367">
            <v>367</v>
          </cell>
          <cell r="C367" t="str">
            <v>저압 케이블</v>
          </cell>
          <cell r="D367" t="str">
            <v>600V EV 5.5 sq/4C</v>
          </cell>
          <cell r="E367" t="str">
            <v>m</v>
          </cell>
          <cell r="S367">
            <v>0</v>
          </cell>
          <cell r="U367">
            <v>0.05</v>
          </cell>
          <cell r="V367" t="str">
            <v>저케</v>
          </cell>
          <cell r="W367">
            <v>3.3799999999999997E-2</v>
          </cell>
        </row>
        <row r="368">
          <cell r="A368">
            <v>368</v>
          </cell>
          <cell r="C368" t="str">
            <v>저압 케이블</v>
          </cell>
          <cell r="D368" t="str">
            <v>600V EV 8sq/4C</v>
          </cell>
          <cell r="E368" t="str">
            <v>m</v>
          </cell>
          <cell r="S368">
            <v>0</v>
          </cell>
          <cell r="U368">
            <v>0.05</v>
          </cell>
          <cell r="V368" t="str">
            <v>저케</v>
          </cell>
          <cell r="W368">
            <v>3.6400000000000002E-2</v>
          </cell>
        </row>
        <row r="369">
          <cell r="A369">
            <v>369</v>
          </cell>
          <cell r="C369" t="str">
            <v>저압 케이블</v>
          </cell>
          <cell r="D369" t="str">
            <v>600V  EV  14sq/4C</v>
          </cell>
          <cell r="E369" t="str">
            <v>m</v>
          </cell>
          <cell r="S369">
            <v>0</v>
          </cell>
          <cell r="U369">
            <v>0.05</v>
          </cell>
          <cell r="V369" t="str">
            <v>저케</v>
          </cell>
          <cell r="W369">
            <v>5.2000000000000005E-2</v>
          </cell>
        </row>
        <row r="370">
          <cell r="A370">
            <v>370</v>
          </cell>
          <cell r="C370" t="str">
            <v>저압 케이블</v>
          </cell>
          <cell r="D370" t="str">
            <v>600V  EV 22sq/4C</v>
          </cell>
          <cell r="E370" t="str">
            <v>m</v>
          </cell>
          <cell r="S370">
            <v>0</v>
          </cell>
          <cell r="U370">
            <v>0.05</v>
          </cell>
          <cell r="V370" t="str">
            <v>저케</v>
          </cell>
          <cell r="W370">
            <v>6.7599999999999993E-2</v>
          </cell>
        </row>
        <row r="371">
          <cell r="A371">
            <v>371</v>
          </cell>
          <cell r="C371" t="str">
            <v>저압 케이블</v>
          </cell>
          <cell r="D371" t="str">
            <v>600V  EV 38sq/4C</v>
          </cell>
          <cell r="E371" t="str">
            <v>m</v>
          </cell>
          <cell r="S371">
            <v>0</v>
          </cell>
          <cell r="U371">
            <v>0.05</v>
          </cell>
          <cell r="V371" t="str">
            <v>저케</v>
          </cell>
          <cell r="W371">
            <v>9.3600000000000003E-2</v>
          </cell>
        </row>
        <row r="372">
          <cell r="A372">
            <v>372</v>
          </cell>
          <cell r="C372" t="str">
            <v>저압 케이블</v>
          </cell>
          <cell r="D372" t="str">
            <v>600V  EV 60sq/4C</v>
          </cell>
          <cell r="E372" t="str">
            <v>m</v>
          </cell>
          <cell r="S372">
            <v>0</v>
          </cell>
          <cell r="U372">
            <v>0.05</v>
          </cell>
          <cell r="V372" t="str">
            <v>저케</v>
          </cell>
          <cell r="W372">
            <v>0.12740000000000001</v>
          </cell>
        </row>
        <row r="373">
          <cell r="A373">
            <v>373</v>
          </cell>
          <cell r="C373" t="str">
            <v>저압 케이블</v>
          </cell>
          <cell r="D373" t="str">
            <v>600V  EV 80sq/4C</v>
          </cell>
          <cell r="E373" t="str">
            <v>m</v>
          </cell>
          <cell r="S373">
            <v>0</v>
          </cell>
          <cell r="U373">
            <v>0.05</v>
          </cell>
          <cell r="V373" t="str">
            <v>저케</v>
          </cell>
          <cell r="W373">
            <v>0.156</v>
          </cell>
        </row>
        <row r="374">
          <cell r="A374">
            <v>374</v>
          </cell>
          <cell r="C374" t="str">
            <v>저압 케이블</v>
          </cell>
          <cell r="D374" t="str">
            <v>600V  EV 100sq/4C</v>
          </cell>
          <cell r="E374" t="str">
            <v>m</v>
          </cell>
          <cell r="S374">
            <v>0</v>
          </cell>
          <cell r="U374">
            <v>0.05</v>
          </cell>
          <cell r="V374" t="str">
            <v>저케</v>
          </cell>
          <cell r="W374">
            <v>0.18459999999999999</v>
          </cell>
        </row>
        <row r="375">
          <cell r="A375">
            <v>375</v>
          </cell>
          <cell r="C375" t="str">
            <v>저압 케이블</v>
          </cell>
          <cell r="D375" t="str">
            <v>600V  EV 125sq/4C</v>
          </cell>
          <cell r="E375" t="str">
            <v>m</v>
          </cell>
          <cell r="S375">
            <v>0</v>
          </cell>
          <cell r="U375">
            <v>0.05</v>
          </cell>
          <cell r="V375" t="str">
            <v>저케</v>
          </cell>
          <cell r="W375">
            <v>0.21840000000000001</v>
          </cell>
        </row>
        <row r="376">
          <cell r="A376">
            <v>376</v>
          </cell>
          <cell r="C376" t="str">
            <v>저압 케이블</v>
          </cell>
          <cell r="D376" t="str">
            <v>600V  EV 150sq/4C</v>
          </cell>
          <cell r="E376" t="str">
            <v>m</v>
          </cell>
          <cell r="S376">
            <v>0</v>
          </cell>
          <cell r="U376">
            <v>0.05</v>
          </cell>
          <cell r="V376" t="str">
            <v>저케</v>
          </cell>
          <cell r="W376">
            <v>0.25220000000000004</v>
          </cell>
        </row>
        <row r="377">
          <cell r="A377">
            <v>377</v>
          </cell>
          <cell r="C377" t="str">
            <v>저압 케이블</v>
          </cell>
          <cell r="D377" t="str">
            <v>600V  EV 200sq/4C</v>
          </cell>
          <cell r="E377" t="str">
            <v>m</v>
          </cell>
          <cell r="S377">
            <v>0</v>
          </cell>
          <cell r="U377">
            <v>0.05</v>
          </cell>
          <cell r="V377" t="str">
            <v>저케</v>
          </cell>
          <cell r="W377">
            <v>0.30420000000000003</v>
          </cell>
        </row>
        <row r="378">
          <cell r="A378">
            <v>378</v>
          </cell>
          <cell r="C378" t="str">
            <v>저압 케이블</v>
          </cell>
          <cell r="D378" t="str">
            <v>600V  EV 250sq/4C</v>
          </cell>
          <cell r="E378" t="str">
            <v>m</v>
          </cell>
          <cell r="S378">
            <v>0</v>
          </cell>
          <cell r="U378">
            <v>0.05</v>
          </cell>
          <cell r="V378" t="str">
            <v>저케</v>
          </cell>
          <cell r="W378">
            <v>0.36919999999999997</v>
          </cell>
        </row>
        <row r="379">
          <cell r="A379">
            <v>379</v>
          </cell>
          <cell r="S379" t="str">
            <v/>
          </cell>
        </row>
        <row r="380">
          <cell r="A380">
            <v>380</v>
          </cell>
          <cell r="S380" t="str">
            <v/>
          </cell>
        </row>
        <row r="381">
          <cell r="A381">
            <v>381</v>
          </cell>
          <cell r="B381" t="str">
            <v>옥외</v>
          </cell>
          <cell r="C381" t="str">
            <v>저압 케이블</v>
          </cell>
          <cell r="D381" t="str">
            <v>600V EV 2.0 sq/1C</v>
          </cell>
          <cell r="E381" t="str">
            <v>m</v>
          </cell>
          <cell r="S381">
            <v>0</v>
          </cell>
          <cell r="U381">
            <v>0.03</v>
          </cell>
          <cell r="V381" t="str">
            <v>저케</v>
          </cell>
          <cell r="W381">
            <v>0.01</v>
          </cell>
        </row>
        <row r="382">
          <cell r="A382">
            <v>382</v>
          </cell>
          <cell r="B382" t="str">
            <v>옥외</v>
          </cell>
          <cell r="C382" t="str">
            <v>저압 케이블</v>
          </cell>
          <cell r="D382" t="str">
            <v>600V EV 3.5sq/1C</v>
          </cell>
          <cell r="E382" t="str">
            <v>m</v>
          </cell>
          <cell r="S382">
            <v>0</v>
          </cell>
          <cell r="U382">
            <v>0.03</v>
          </cell>
          <cell r="V382" t="str">
            <v>저케</v>
          </cell>
          <cell r="W382">
            <v>1.0999999999999999E-2</v>
          </cell>
        </row>
        <row r="383">
          <cell r="A383">
            <v>383</v>
          </cell>
          <cell r="B383" t="str">
            <v>옥외</v>
          </cell>
          <cell r="C383" t="str">
            <v>저압 케이블</v>
          </cell>
          <cell r="D383" t="str">
            <v>600V EV 5.5 sq/1C</v>
          </cell>
          <cell r="E383" t="str">
            <v>m</v>
          </cell>
          <cell r="S383">
            <v>0</v>
          </cell>
          <cell r="U383">
            <v>0.03</v>
          </cell>
          <cell r="V383" t="str">
            <v>저케</v>
          </cell>
          <cell r="W383">
            <v>1.2999999999999999E-2</v>
          </cell>
        </row>
        <row r="384">
          <cell r="A384">
            <v>384</v>
          </cell>
          <cell r="B384" t="str">
            <v>옥외</v>
          </cell>
          <cell r="C384" t="str">
            <v>저압 케이블</v>
          </cell>
          <cell r="D384" t="str">
            <v>600V EV 8sq/1C</v>
          </cell>
          <cell r="E384" t="str">
            <v>m</v>
          </cell>
          <cell r="S384">
            <v>0</v>
          </cell>
          <cell r="U384">
            <v>0.03</v>
          </cell>
          <cell r="V384" t="str">
            <v>저케</v>
          </cell>
          <cell r="W384">
            <v>1.4E-2</v>
          </cell>
        </row>
        <row r="385">
          <cell r="A385">
            <v>385</v>
          </cell>
          <cell r="B385" t="str">
            <v>옥외</v>
          </cell>
          <cell r="C385" t="str">
            <v>저압 케이블</v>
          </cell>
          <cell r="D385" t="str">
            <v>600V  EV  14sq/1C</v>
          </cell>
          <cell r="E385" t="str">
            <v>m</v>
          </cell>
          <cell r="S385">
            <v>0</v>
          </cell>
          <cell r="U385">
            <v>0.03</v>
          </cell>
          <cell r="V385" t="str">
            <v>저케</v>
          </cell>
          <cell r="W385">
            <v>0.02</v>
          </cell>
        </row>
        <row r="386">
          <cell r="A386">
            <v>386</v>
          </cell>
          <cell r="B386" t="str">
            <v>옥외</v>
          </cell>
          <cell r="C386" t="str">
            <v>저압 케이블</v>
          </cell>
          <cell r="D386" t="str">
            <v>600V  EV 22sq/1C</v>
          </cell>
          <cell r="E386" t="str">
            <v>m</v>
          </cell>
          <cell r="S386">
            <v>0</v>
          </cell>
          <cell r="U386">
            <v>0.03</v>
          </cell>
          <cell r="V386" t="str">
            <v>저케</v>
          </cell>
          <cell r="W386">
            <v>2.5999999999999999E-2</v>
          </cell>
        </row>
        <row r="387">
          <cell r="A387">
            <v>387</v>
          </cell>
          <cell r="B387" t="str">
            <v>옥외</v>
          </cell>
          <cell r="C387" t="str">
            <v>저압 케이블</v>
          </cell>
          <cell r="D387" t="str">
            <v>600V  EV 38sq/1C</v>
          </cell>
          <cell r="E387" t="str">
            <v>m</v>
          </cell>
          <cell r="S387">
            <v>0</v>
          </cell>
          <cell r="U387">
            <v>0.03</v>
          </cell>
          <cell r="V387" t="str">
            <v>저케</v>
          </cell>
          <cell r="W387">
            <v>3.5999999999999997E-2</v>
          </cell>
        </row>
        <row r="388">
          <cell r="A388">
            <v>388</v>
          </cell>
          <cell r="B388" t="str">
            <v>옥외</v>
          </cell>
          <cell r="C388" t="str">
            <v>저압 케이블</v>
          </cell>
          <cell r="D388" t="str">
            <v>600V  EV 50sq/1C</v>
          </cell>
          <cell r="E388" t="str">
            <v>m</v>
          </cell>
          <cell r="S388">
            <v>0</v>
          </cell>
          <cell r="U388">
            <v>0.03</v>
          </cell>
          <cell r="V388" t="str">
            <v>저케</v>
          </cell>
          <cell r="W388">
            <v>4.2999999999999997E-2</v>
          </cell>
        </row>
        <row r="389">
          <cell r="A389">
            <v>389</v>
          </cell>
          <cell r="B389" t="str">
            <v>옥외</v>
          </cell>
          <cell r="C389" t="str">
            <v>저압 케이블</v>
          </cell>
          <cell r="D389" t="str">
            <v>600V  EV 60sq/1C</v>
          </cell>
          <cell r="E389" t="str">
            <v>m</v>
          </cell>
          <cell r="S389">
            <v>0</v>
          </cell>
          <cell r="U389">
            <v>0.03</v>
          </cell>
          <cell r="V389" t="str">
            <v>저케</v>
          </cell>
          <cell r="W389">
            <v>4.9000000000000002E-2</v>
          </cell>
        </row>
        <row r="390">
          <cell r="A390">
            <v>390</v>
          </cell>
          <cell r="B390" t="str">
            <v>옥외</v>
          </cell>
          <cell r="C390" t="str">
            <v>저압 케이블</v>
          </cell>
          <cell r="D390" t="str">
            <v>600V  EV 80sq/1C</v>
          </cell>
          <cell r="E390" t="str">
            <v>m</v>
          </cell>
          <cell r="S390">
            <v>0</v>
          </cell>
          <cell r="U390">
            <v>0.03</v>
          </cell>
          <cell r="V390" t="str">
            <v>저케</v>
          </cell>
          <cell r="W390">
            <v>0.06</v>
          </cell>
        </row>
        <row r="391">
          <cell r="A391">
            <v>391</v>
          </cell>
          <cell r="B391" t="str">
            <v>옥외</v>
          </cell>
          <cell r="C391" t="str">
            <v>저압 케이블</v>
          </cell>
          <cell r="D391" t="str">
            <v>600V  EV 100sq/1C</v>
          </cell>
          <cell r="E391" t="str">
            <v>m</v>
          </cell>
          <cell r="S391">
            <v>0</v>
          </cell>
          <cell r="U391">
            <v>0.03</v>
          </cell>
          <cell r="V391" t="str">
            <v>저케</v>
          </cell>
          <cell r="W391">
            <v>7.0999999999999994E-2</v>
          </cell>
        </row>
        <row r="392">
          <cell r="A392">
            <v>392</v>
          </cell>
          <cell r="B392" t="str">
            <v>옥외</v>
          </cell>
          <cell r="C392" t="str">
            <v>저압 케이블</v>
          </cell>
          <cell r="D392" t="str">
            <v>600V  EV 125sq/1C</v>
          </cell>
          <cell r="E392" t="str">
            <v>m</v>
          </cell>
          <cell r="S392">
            <v>0</v>
          </cell>
          <cell r="U392">
            <v>0.03</v>
          </cell>
          <cell r="V392" t="str">
            <v>저케</v>
          </cell>
          <cell r="W392">
            <v>8.4000000000000005E-2</v>
          </cell>
        </row>
        <row r="393">
          <cell r="A393">
            <v>393</v>
          </cell>
          <cell r="B393" t="str">
            <v>옥외</v>
          </cell>
          <cell r="C393" t="str">
            <v>저압 케이블</v>
          </cell>
          <cell r="D393" t="str">
            <v>600V  EV 150sq/1C</v>
          </cell>
          <cell r="E393" t="str">
            <v>m</v>
          </cell>
          <cell r="S393">
            <v>0</v>
          </cell>
          <cell r="U393">
            <v>0.03</v>
          </cell>
          <cell r="V393" t="str">
            <v>저케</v>
          </cell>
          <cell r="W393">
            <v>9.7000000000000003E-2</v>
          </cell>
        </row>
        <row r="394">
          <cell r="A394">
            <v>394</v>
          </cell>
          <cell r="B394" t="str">
            <v>옥외</v>
          </cell>
          <cell r="C394" t="str">
            <v>저압 케이블</v>
          </cell>
          <cell r="D394" t="str">
            <v>600V  EV 200sq/1C</v>
          </cell>
          <cell r="E394" t="str">
            <v>m</v>
          </cell>
          <cell r="S394">
            <v>0</v>
          </cell>
          <cell r="U394">
            <v>0.03</v>
          </cell>
          <cell r="V394" t="str">
            <v>저케</v>
          </cell>
          <cell r="W394">
            <v>0.11700000000000001</v>
          </cell>
        </row>
        <row r="395">
          <cell r="A395">
            <v>395</v>
          </cell>
          <cell r="B395" t="str">
            <v>옥외</v>
          </cell>
          <cell r="C395" t="str">
            <v>저압 케이블</v>
          </cell>
          <cell r="D395" t="str">
            <v>600V  EV 250sq/1C</v>
          </cell>
          <cell r="E395" t="str">
            <v>m</v>
          </cell>
          <cell r="S395">
            <v>0</v>
          </cell>
          <cell r="U395">
            <v>0.03</v>
          </cell>
          <cell r="V395" t="str">
            <v>저케</v>
          </cell>
          <cell r="W395">
            <v>0.14199999999999999</v>
          </cell>
        </row>
        <row r="396">
          <cell r="A396">
            <v>396</v>
          </cell>
          <cell r="S396" t="str">
            <v/>
          </cell>
        </row>
        <row r="397">
          <cell r="A397">
            <v>397</v>
          </cell>
          <cell r="S397" t="str">
            <v/>
          </cell>
        </row>
        <row r="398">
          <cell r="A398">
            <v>398</v>
          </cell>
          <cell r="B398" t="str">
            <v>옥외</v>
          </cell>
          <cell r="C398" t="str">
            <v>저압 케이블</v>
          </cell>
          <cell r="D398" t="str">
            <v>600V EV 2.0 sq/2C</v>
          </cell>
          <cell r="E398" t="str">
            <v>m</v>
          </cell>
          <cell r="S398">
            <v>0</v>
          </cell>
          <cell r="U398">
            <v>0.03</v>
          </cell>
          <cell r="V398" t="str">
            <v>저케</v>
          </cell>
          <cell r="W398">
            <v>1.3999999999999999E-2</v>
          </cell>
        </row>
        <row r="399">
          <cell r="A399">
            <v>399</v>
          </cell>
          <cell r="B399" t="str">
            <v>옥외</v>
          </cell>
          <cell r="C399" t="str">
            <v>저압 케이블</v>
          </cell>
          <cell r="D399" t="str">
            <v>600V EV 3.5sq/2C</v>
          </cell>
          <cell r="E399" t="str">
            <v>m</v>
          </cell>
          <cell r="S399">
            <v>0</v>
          </cell>
          <cell r="U399">
            <v>0.03</v>
          </cell>
          <cell r="V399" t="str">
            <v>저케</v>
          </cell>
          <cell r="W399">
            <v>1.5399999999999999E-2</v>
          </cell>
        </row>
        <row r="400">
          <cell r="A400">
            <v>400</v>
          </cell>
          <cell r="B400" t="str">
            <v>옥외</v>
          </cell>
          <cell r="C400" t="str">
            <v>저압 케이블</v>
          </cell>
          <cell r="D400" t="str">
            <v>600V EV 5.5 sq/2C</v>
          </cell>
          <cell r="E400" t="str">
            <v>m</v>
          </cell>
          <cell r="S400">
            <v>0</v>
          </cell>
          <cell r="U400">
            <v>0.03</v>
          </cell>
          <cell r="V400" t="str">
            <v>저케</v>
          </cell>
          <cell r="W400">
            <v>1.8199999999999997E-2</v>
          </cell>
        </row>
        <row r="401">
          <cell r="A401">
            <v>401</v>
          </cell>
          <cell r="B401" t="str">
            <v>옥외</v>
          </cell>
          <cell r="C401" t="str">
            <v>저압 케이블</v>
          </cell>
          <cell r="D401" t="str">
            <v>600V EV 8sq/2C</v>
          </cell>
          <cell r="E401" t="str">
            <v>m</v>
          </cell>
          <cell r="S401">
            <v>0</v>
          </cell>
          <cell r="U401">
            <v>0.03</v>
          </cell>
          <cell r="V401" t="str">
            <v>저케</v>
          </cell>
          <cell r="W401">
            <v>1.9599999999999999E-2</v>
          </cell>
        </row>
        <row r="402">
          <cell r="A402">
            <v>402</v>
          </cell>
          <cell r="B402" t="str">
            <v>옥외</v>
          </cell>
          <cell r="C402" t="str">
            <v>저압 케이블</v>
          </cell>
          <cell r="D402" t="str">
            <v>600V  EV  14sq/2C</v>
          </cell>
          <cell r="E402" t="str">
            <v>m</v>
          </cell>
          <cell r="S402">
            <v>0</v>
          </cell>
          <cell r="U402">
            <v>0.03</v>
          </cell>
          <cell r="V402" t="str">
            <v>저케</v>
          </cell>
          <cell r="W402">
            <v>2.7999999999999997E-2</v>
          </cell>
        </row>
        <row r="403">
          <cell r="A403">
            <v>403</v>
          </cell>
          <cell r="B403" t="str">
            <v>옥외</v>
          </cell>
          <cell r="C403" t="str">
            <v>저압 케이블</v>
          </cell>
          <cell r="D403" t="str">
            <v>600V  EV 22sq/2C</v>
          </cell>
          <cell r="E403" t="str">
            <v>m</v>
          </cell>
          <cell r="S403">
            <v>0</v>
          </cell>
          <cell r="U403">
            <v>0.03</v>
          </cell>
          <cell r="V403" t="str">
            <v>저케</v>
          </cell>
          <cell r="W403">
            <v>3.6399999999999995E-2</v>
          </cell>
        </row>
        <row r="404">
          <cell r="A404">
            <v>404</v>
          </cell>
          <cell r="B404" t="str">
            <v>옥외</v>
          </cell>
          <cell r="C404" t="str">
            <v>저압 케이블</v>
          </cell>
          <cell r="D404" t="str">
            <v>600V  EV 38sq/2C</v>
          </cell>
          <cell r="E404" t="str">
            <v>m</v>
          </cell>
          <cell r="S404">
            <v>0</v>
          </cell>
          <cell r="U404">
            <v>0.03</v>
          </cell>
          <cell r="V404" t="str">
            <v>저케</v>
          </cell>
          <cell r="W404">
            <v>5.0399999999999993E-2</v>
          </cell>
        </row>
        <row r="405">
          <cell r="A405">
            <v>405</v>
          </cell>
          <cell r="B405" t="str">
            <v>옥외</v>
          </cell>
          <cell r="C405" t="str">
            <v>저압 케이블</v>
          </cell>
          <cell r="D405" t="str">
            <v>600V  EV 60sq/2C</v>
          </cell>
          <cell r="E405" t="str">
            <v>m</v>
          </cell>
          <cell r="S405">
            <v>0</v>
          </cell>
          <cell r="U405">
            <v>0.03</v>
          </cell>
          <cell r="V405" t="str">
            <v>저케</v>
          </cell>
          <cell r="W405">
            <v>6.8599999999999994E-2</v>
          </cell>
        </row>
        <row r="406">
          <cell r="A406">
            <v>406</v>
          </cell>
          <cell r="B406" t="str">
            <v>옥외</v>
          </cell>
          <cell r="C406" t="str">
            <v>저압 케이블</v>
          </cell>
          <cell r="D406" t="str">
            <v>600V  EV 80sq/2C</v>
          </cell>
          <cell r="E406" t="str">
            <v>m</v>
          </cell>
          <cell r="S406">
            <v>0</v>
          </cell>
          <cell r="U406">
            <v>0.03</v>
          </cell>
          <cell r="V406" t="str">
            <v>저케</v>
          </cell>
          <cell r="W406">
            <v>8.3999999999999991E-2</v>
          </cell>
        </row>
        <row r="407">
          <cell r="A407">
            <v>407</v>
          </cell>
          <cell r="B407" t="str">
            <v>옥외</v>
          </cell>
          <cell r="C407" t="str">
            <v>저압 케이블</v>
          </cell>
          <cell r="D407" t="str">
            <v>600V  EV 100sq/2C</v>
          </cell>
          <cell r="E407" t="str">
            <v>m</v>
          </cell>
          <cell r="S407">
            <v>0</v>
          </cell>
          <cell r="U407">
            <v>0.03</v>
          </cell>
          <cell r="V407" t="str">
            <v>저케</v>
          </cell>
          <cell r="W407">
            <v>9.9399999999999988E-2</v>
          </cell>
        </row>
        <row r="408">
          <cell r="A408">
            <v>408</v>
          </cell>
          <cell r="B408" t="str">
            <v>옥외</v>
          </cell>
          <cell r="C408" t="str">
            <v>저압 케이블</v>
          </cell>
          <cell r="D408" t="str">
            <v>600V  EV 125sq/2C</v>
          </cell>
          <cell r="E408" t="str">
            <v>m</v>
          </cell>
          <cell r="S408">
            <v>0</v>
          </cell>
          <cell r="U408">
            <v>0.03</v>
          </cell>
          <cell r="V408" t="str">
            <v>저케</v>
          </cell>
          <cell r="W408">
            <v>0.1176</v>
          </cell>
        </row>
        <row r="409">
          <cell r="A409">
            <v>409</v>
          </cell>
          <cell r="B409" t="str">
            <v>옥외</v>
          </cell>
          <cell r="C409" t="str">
            <v>저압 케이블</v>
          </cell>
          <cell r="D409" t="str">
            <v>600V  EV 150sq/2C</v>
          </cell>
          <cell r="E409" t="str">
            <v>m</v>
          </cell>
          <cell r="S409">
            <v>0</v>
          </cell>
          <cell r="U409">
            <v>0.03</v>
          </cell>
          <cell r="V409" t="str">
            <v>저케</v>
          </cell>
          <cell r="W409">
            <v>0.1358</v>
          </cell>
        </row>
        <row r="410">
          <cell r="A410">
            <v>410</v>
          </cell>
          <cell r="B410" t="str">
            <v>옥외</v>
          </cell>
          <cell r="C410" t="str">
            <v>저압 케이블</v>
          </cell>
          <cell r="D410" t="str">
            <v>600V  EV 200sq/2C</v>
          </cell>
          <cell r="E410" t="str">
            <v>m</v>
          </cell>
          <cell r="S410">
            <v>0</v>
          </cell>
          <cell r="U410">
            <v>0.03</v>
          </cell>
          <cell r="V410" t="str">
            <v>저케</v>
          </cell>
          <cell r="W410">
            <v>0.1638</v>
          </cell>
        </row>
        <row r="411">
          <cell r="A411">
            <v>411</v>
          </cell>
          <cell r="B411" t="str">
            <v>옥외</v>
          </cell>
          <cell r="C411" t="str">
            <v>저압 케이블</v>
          </cell>
          <cell r="D411" t="str">
            <v>600V  EV 250sq/2C</v>
          </cell>
          <cell r="E411" t="str">
            <v>m</v>
          </cell>
          <cell r="S411">
            <v>0</v>
          </cell>
          <cell r="U411">
            <v>0.03</v>
          </cell>
          <cell r="V411" t="str">
            <v>저케</v>
          </cell>
          <cell r="W411">
            <v>0.19879999999999998</v>
          </cell>
        </row>
        <row r="412">
          <cell r="A412">
            <v>412</v>
          </cell>
          <cell r="S412" t="str">
            <v/>
          </cell>
        </row>
        <row r="413">
          <cell r="A413">
            <v>413</v>
          </cell>
          <cell r="S413" t="str">
            <v/>
          </cell>
        </row>
        <row r="414">
          <cell r="A414">
            <v>414</v>
          </cell>
          <cell r="B414" t="str">
            <v>옥외</v>
          </cell>
          <cell r="C414" t="str">
            <v>저압 케이블</v>
          </cell>
          <cell r="D414" t="str">
            <v>600V EV 2.0 sq/3C</v>
          </cell>
          <cell r="E414" t="str">
            <v>m</v>
          </cell>
          <cell r="S414">
            <v>0</v>
          </cell>
          <cell r="U414">
            <v>0.03</v>
          </cell>
          <cell r="V414" t="str">
            <v>저케</v>
          </cell>
          <cell r="W414">
            <v>0.02</v>
          </cell>
        </row>
        <row r="415">
          <cell r="A415">
            <v>415</v>
          </cell>
          <cell r="B415" t="str">
            <v>옥외</v>
          </cell>
          <cell r="C415" t="str">
            <v>저압 케이블</v>
          </cell>
          <cell r="D415" t="str">
            <v>600V EV 3.5sq/3C</v>
          </cell>
          <cell r="E415" t="str">
            <v>m</v>
          </cell>
          <cell r="S415">
            <v>0</v>
          </cell>
          <cell r="U415">
            <v>0.03</v>
          </cell>
          <cell r="V415" t="str">
            <v>저케</v>
          </cell>
          <cell r="W415">
            <v>2.1999999999999999E-2</v>
          </cell>
        </row>
        <row r="416">
          <cell r="A416">
            <v>416</v>
          </cell>
          <cell r="B416" t="str">
            <v>옥외</v>
          </cell>
          <cell r="C416" t="str">
            <v>저압 케이블</v>
          </cell>
          <cell r="D416" t="str">
            <v>600V EV 5.5 sq/3C</v>
          </cell>
          <cell r="E416" t="str">
            <v>m</v>
          </cell>
          <cell r="S416">
            <v>0</v>
          </cell>
          <cell r="U416">
            <v>0.03</v>
          </cell>
          <cell r="V416" t="str">
            <v>저케</v>
          </cell>
          <cell r="W416">
            <v>2.5999999999999999E-2</v>
          </cell>
        </row>
        <row r="417">
          <cell r="A417">
            <v>417</v>
          </cell>
          <cell r="B417" t="str">
            <v>옥외</v>
          </cell>
          <cell r="C417" t="str">
            <v>저압 케이블</v>
          </cell>
          <cell r="D417" t="str">
            <v>600V EV 8sq/3C</v>
          </cell>
          <cell r="E417" t="str">
            <v>m</v>
          </cell>
          <cell r="S417">
            <v>0</v>
          </cell>
          <cell r="U417">
            <v>0.03</v>
          </cell>
          <cell r="V417" t="str">
            <v>저케</v>
          </cell>
          <cell r="W417">
            <v>2.8000000000000001E-2</v>
          </cell>
        </row>
        <row r="418">
          <cell r="A418">
            <v>418</v>
          </cell>
          <cell r="B418" t="str">
            <v>옥외</v>
          </cell>
          <cell r="C418" t="str">
            <v>저압 케이블</v>
          </cell>
          <cell r="D418" t="str">
            <v>600V  EV  14sq/3C</v>
          </cell>
          <cell r="E418" t="str">
            <v>m</v>
          </cell>
          <cell r="S418">
            <v>0</v>
          </cell>
          <cell r="U418">
            <v>0.03</v>
          </cell>
          <cell r="V418" t="str">
            <v>저케</v>
          </cell>
          <cell r="W418">
            <v>0.04</v>
          </cell>
        </row>
        <row r="419">
          <cell r="A419">
            <v>419</v>
          </cell>
          <cell r="B419" t="str">
            <v>옥외</v>
          </cell>
          <cell r="C419" t="str">
            <v>저압 케이블</v>
          </cell>
          <cell r="D419" t="str">
            <v>600V  EV 22sq/3C</v>
          </cell>
          <cell r="E419" t="str">
            <v>m</v>
          </cell>
          <cell r="S419">
            <v>0</v>
          </cell>
          <cell r="U419">
            <v>0.03</v>
          </cell>
          <cell r="V419" t="str">
            <v>저케</v>
          </cell>
          <cell r="W419">
            <v>5.1999999999999998E-2</v>
          </cell>
        </row>
        <row r="420">
          <cell r="A420">
            <v>420</v>
          </cell>
          <cell r="B420" t="str">
            <v>옥외</v>
          </cell>
          <cell r="C420" t="str">
            <v>저압 케이블</v>
          </cell>
          <cell r="D420" t="str">
            <v>600V  EV 38sq/3C</v>
          </cell>
          <cell r="E420" t="str">
            <v>m</v>
          </cell>
          <cell r="S420">
            <v>0</v>
          </cell>
          <cell r="U420">
            <v>0.03</v>
          </cell>
          <cell r="V420" t="str">
            <v>저케</v>
          </cell>
          <cell r="W420">
            <v>7.1999999999999995E-2</v>
          </cell>
        </row>
        <row r="421">
          <cell r="A421">
            <v>421</v>
          </cell>
          <cell r="B421" t="str">
            <v>옥외</v>
          </cell>
          <cell r="C421" t="str">
            <v>저압 케이블</v>
          </cell>
          <cell r="D421" t="str">
            <v>600V  EV 60sq/3C</v>
          </cell>
          <cell r="E421" t="str">
            <v>m</v>
          </cell>
          <cell r="S421">
            <v>0</v>
          </cell>
          <cell r="U421">
            <v>0.03</v>
          </cell>
          <cell r="V421" t="str">
            <v>저케</v>
          </cell>
          <cell r="W421">
            <v>9.8000000000000004E-2</v>
          </cell>
        </row>
        <row r="422">
          <cell r="A422">
            <v>422</v>
          </cell>
          <cell r="B422" t="str">
            <v>옥외</v>
          </cell>
          <cell r="C422" t="str">
            <v>저압 케이블</v>
          </cell>
          <cell r="D422" t="str">
            <v>600V  EV 80sq/3C</v>
          </cell>
          <cell r="E422" t="str">
            <v>m</v>
          </cell>
          <cell r="S422">
            <v>0</v>
          </cell>
          <cell r="U422">
            <v>0.03</v>
          </cell>
          <cell r="V422" t="str">
            <v>저케</v>
          </cell>
          <cell r="W422">
            <v>0.12</v>
          </cell>
        </row>
        <row r="423">
          <cell r="A423">
            <v>423</v>
          </cell>
          <cell r="B423" t="str">
            <v>옥외</v>
          </cell>
          <cell r="C423" t="str">
            <v>저압 케이블</v>
          </cell>
          <cell r="D423" t="str">
            <v>600V  EV 100sq/3C</v>
          </cell>
          <cell r="E423" t="str">
            <v>m</v>
          </cell>
          <cell r="S423">
            <v>0</v>
          </cell>
          <cell r="U423">
            <v>0.03</v>
          </cell>
          <cell r="V423" t="str">
            <v>저케</v>
          </cell>
          <cell r="W423">
            <v>0.14199999999999999</v>
          </cell>
        </row>
        <row r="424">
          <cell r="A424">
            <v>424</v>
          </cell>
          <cell r="B424" t="str">
            <v>옥외</v>
          </cell>
          <cell r="C424" t="str">
            <v>저압 케이블</v>
          </cell>
          <cell r="D424" t="str">
            <v>600V  EV 125sq/3C</v>
          </cell>
          <cell r="E424" t="str">
            <v>m</v>
          </cell>
          <cell r="S424">
            <v>0</v>
          </cell>
          <cell r="U424">
            <v>0.03</v>
          </cell>
          <cell r="V424" t="str">
            <v>저케</v>
          </cell>
          <cell r="W424">
            <v>0.16800000000000001</v>
          </cell>
        </row>
        <row r="425">
          <cell r="A425">
            <v>425</v>
          </cell>
          <cell r="B425" t="str">
            <v>옥외</v>
          </cell>
          <cell r="C425" t="str">
            <v>저압 케이블</v>
          </cell>
          <cell r="D425" t="str">
            <v>600V  EV 150sq/3C</v>
          </cell>
          <cell r="E425" t="str">
            <v>m</v>
          </cell>
          <cell r="S425">
            <v>0</v>
          </cell>
          <cell r="U425">
            <v>0.03</v>
          </cell>
          <cell r="V425" t="str">
            <v>저케</v>
          </cell>
          <cell r="W425">
            <v>0.19400000000000001</v>
          </cell>
        </row>
        <row r="426">
          <cell r="A426">
            <v>426</v>
          </cell>
          <cell r="B426" t="str">
            <v>옥외</v>
          </cell>
          <cell r="C426" t="str">
            <v>저압 케이블</v>
          </cell>
          <cell r="D426" t="str">
            <v>600V  EV 200sq/3C</v>
          </cell>
          <cell r="E426" t="str">
            <v>m</v>
          </cell>
          <cell r="S426">
            <v>0</v>
          </cell>
          <cell r="U426">
            <v>0.03</v>
          </cell>
          <cell r="V426" t="str">
            <v>저케</v>
          </cell>
          <cell r="W426">
            <v>0.23400000000000001</v>
          </cell>
        </row>
        <row r="427">
          <cell r="A427">
            <v>427</v>
          </cell>
          <cell r="B427" t="str">
            <v>옥외</v>
          </cell>
          <cell r="C427" t="str">
            <v>저압 케이블</v>
          </cell>
          <cell r="D427" t="str">
            <v>600V  EV 250sq/3C</v>
          </cell>
          <cell r="E427" t="str">
            <v>m</v>
          </cell>
          <cell r="S427">
            <v>0</v>
          </cell>
          <cell r="U427">
            <v>0.03</v>
          </cell>
          <cell r="V427" t="str">
            <v>저케</v>
          </cell>
          <cell r="W427">
            <v>0.28399999999999997</v>
          </cell>
        </row>
        <row r="428">
          <cell r="A428">
            <v>428</v>
          </cell>
          <cell r="S428" t="str">
            <v/>
          </cell>
        </row>
        <row r="429">
          <cell r="A429">
            <v>429</v>
          </cell>
          <cell r="S429" t="str">
            <v/>
          </cell>
        </row>
        <row r="430">
          <cell r="A430">
            <v>430</v>
          </cell>
          <cell r="B430" t="str">
            <v>옥외</v>
          </cell>
          <cell r="C430" t="str">
            <v>저압 케이블</v>
          </cell>
          <cell r="D430" t="str">
            <v>600V EV 2.0 sq/4C</v>
          </cell>
          <cell r="E430" t="str">
            <v>m</v>
          </cell>
          <cell r="S430">
            <v>0</v>
          </cell>
          <cell r="U430">
            <v>0.03</v>
          </cell>
          <cell r="V430" t="str">
            <v>저케</v>
          </cell>
          <cell r="W430">
            <v>2.6000000000000002E-2</v>
          </cell>
        </row>
        <row r="431">
          <cell r="A431">
            <v>431</v>
          </cell>
          <cell r="B431" t="str">
            <v>옥외</v>
          </cell>
          <cell r="C431" t="str">
            <v>저압 케이블</v>
          </cell>
          <cell r="D431" t="str">
            <v>600V EV 3.5sq/4C</v>
          </cell>
          <cell r="E431" t="str">
            <v>m</v>
          </cell>
          <cell r="S431">
            <v>0</v>
          </cell>
          <cell r="U431">
            <v>0.03</v>
          </cell>
          <cell r="V431" t="str">
            <v>저케</v>
          </cell>
          <cell r="W431">
            <v>2.86E-2</v>
          </cell>
        </row>
        <row r="432">
          <cell r="A432">
            <v>432</v>
          </cell>
          <cell r="B432" t="str">
            <v>옥외</v>
          </cell>
          <cell r="C432" t="str">
            <v>저압 케이블</v>
          </cell>
          <cell r="D432" t="str">
            <v>600V EV 5.5 sq/4C</v>
          </cell>
          <cell r="E432" t="str">
            <v>m</v>
          </cell>
          <cell r="S432">
            <v>0</v>
          </cell>
          <cell r="U432">
            <v>0.03</v>
          </cell>
          <cell r="V432" t="str">
            <v>저케</v>
          </cell>
          <cell r="W432">
            <v>3.3799999999999997E-2</v>
          </cell>
        </row>
        <row r="433">
          <cell r="A433">
            <v>433</v>
          </cell>
          <cell r="B433" t="str">
            <v>옥외</v>
          </cell>
          <cell r="C433" t="str">
            <v>저압 케이블</v>
          </cell>
          <cell r="D433" t="str">
            <v>600V EV 8sq/4C</v>
          </cell>
          <cell r="E433" t="str">
            <v>m</v>
          </cell>
          <cell r="S433">
            <v>0</v>
          </cell>
          <cell r="U433">
            <v>0.03</v>
          </cell>
          <cell r="V433" t="str">
            <v>저케</v>
          </cell>
          <cell r="W433">
            <v>3.6400000000000002E-2</v>
          </cell>
        </row>
        <row r="434">
          <cell r="A434">
            <v>434</v>
          </cell>
          <cell r="B434" t="str">
            <v>옥외</v>
          </cell>
          <cell r="C434" t="str">
            <v>저압 케이블</v>
          </cell>
          <cell r="D434" t="str">
            <v>600V  EV  14sq/4C</v>
          </cell>
          <cell r="E434" t="str">
            <v>m</v>
          </cell>
          <cell r="S434">
            <v>0</v>
          </cell>
          <cell r="U434">
            <v>0.03</v>
          </cell>
          <cell r="V434" t="str">
            <v>저케</v>
          </cell>
          <cell r="W434">
            <v>5.2000000000000005E-2</v>
          </cell>
        </row>
        <row r="435">
          <cell r="A435">
            <v>435</v>
          </cell>
          <cell r="B435" t="str">
            <v>옥외</v>
          </cell>
          <cell r="C435" t="str">
            <v>저압 케이블</v>
          </cell>
          <cell r="D435" t="str">
            <v>600V  EV 22sq/4C</v>
          </cell>
          <cell r="E435" t="str">
            <v>m</v>
          </cell>
          <cell r="S435">
            <v>0</v>
          </cell>
          <cell r="U435">
            <v>0.03</v>
          </cell>
          <cell r="V435" t="str">
            <v>저케</v>
          </cell>
          <cell r="W435">
            <v>6.7599999999999993E-2</v>
          </cell>
        </row>
        <row r="436">
          <cell r="A436">
            <v>436</v>
          </cell>
          <cell r="B436" t="str">
            <v>옥외</v>
          </cell>
          <cell r="C436" t="str">
            <v>저압 케이블</v>
          </cell>
          <cell r="D436" t="str">
            <v>600V  EV 38sq/4C</v>
          </cell>
          <cell r="E436" t="str">
            <v>m</v>
          </cell>
          <cell r="S436">
            <v>0</v>
          </cell>
          <cell r="U436">
            <v>0.03</v>
          </cell>
          <cell r="V436" t="str">
            <v>저케</v>
          </cell>
          <cell r="W436">
            <v>9.3600000000000003E-2</v>
          </cell>
        </row>
        <row r="437">
          <cell r="A437">
            <v>437</v>
          </cell>
          <cell r="B437" t="str">
            <v>옥외</v>
          </cell>
          <cell r="C437" t="str">
            <v>저압 케이블</v>
          </cell>
          <cell r="D437" t="str">
            <v>600V  EV 60sq/4C</v>
          </cell>
          <cell r="E437" t="str">
            <v>m</v>
          </cell>
          <cell r="S437">
            <v>0</v>
          </cell>
          <cell r="U437">
            <v>0.03</v>
          </cell>
          <cell r="V437" t="str">
            <v>저케</v>
          </cell>
          <cell r="W437">
            <v>0.12740000000000001</v>
          </cell>
        </row>
        <row r="438">
          <cell r="A438">
            <v>438</v>
          </cell>
          <cell r="B438" t="str">
            <v>옥외</v>
          </cell>
          <cell r="C438" t="str">
            <v>저압 케이블</v>
          </cell>
          <cell r="D438" t="str">
            <v>600V  EV 80sq/4C</v>
          </cell>
          <cell r="E438" t="str">
            <v>m</v>
          </cell>
          <cell r="S438">
            <v>0</v>
          </cell>
          <cell r="U438">
            <v>0.03</v>
          </cell>
          <cell r="V438" t="str">
            <v>저케</v>
          </cell>
          <cell r="W438">
            <v>0.156</v>
          </cell>
        </row>
        <row r="439">
          <cell r="A439">
            <v>439</v>
          </cell>
          <cell r="B439" t="str">
            <v>옥외</v>
          </cell>
          <cell r="C439" t="str">
            <v>저압 케이블</v>
          </cell>
          <cell r="D439" t="str">
            <v>600V  EV 100sq/4C</v>
          </cell>
          <cell r="E439" t="str">
            <v>m</v>
          </cell>
          <cell r="S439">
            <v>0</v>
          </cell>
          <cell r="U439">
            <v>0.03</v>
          </cell>
          <cell r="V439" t="str">
            <v>저케</v>
          </cell>
          <cell r="W439">
            <v>0.18459999999999999</v>
          </cell>
        </row>
        <row r="440">
          <cell r="A440">
            <v>440</v>
          </cell>
          <cell r="B440" t="str">
            <v>옥외</v>
          </cell>
          <cell r="C440" t="str">
            <v>저압 케이블</v>
          </cell>
          <cell r="D440" t="str">
            <v>600V  EV 125sq/4C</v>
          </cell>
          <cell r="E440" t="str">
            <v>m</v>
          </cell>
          <cell r="S440">
            <v>0</v>
          </cell>
          <cell r="U440">
            <v>0.03</v>
          </cell>
          <cell r="V440" t="str">
            <v>저케</v>
          </cell>
          <cell r="W440">
            <v>0.21840000000000001</v>
          </cell>
        </row>
        <row r="441">
          <cell r="A441">
            <v>441</v>
          </cell>
          <cell r="B441" t="str">
            <v>옥외</v>
          </cell>
          <cell r="C441" t="str">
            <v>저압 케이블</v>
          </cell>
          <cell r="D441" t="str">
            <v>600V  EV 150sq/4C</v>
          </cell>
          <cell r="E441" t="str">
            <v>m</v>
          </cell>
          <cell r="S441">
            <v>0</v>
          </cell>
          <cell r="U441">
            <v>0.03</v>
          </cell>
          <cell r="V441" t="str">
            <v>저케</v>
          </cell>
          <cell r="W441">
            <v>0.25220000000000004</v>
          </cell>
        </row>
        <row r="442">
          <cell r="A442">
            <v>442</v>
          </cell>
          <cell r="B442" t="str">
            <v>옥외</v>
          </cell>
          <cell r="C442" t="str">
            <v>저압 케이블</v>
          </cell>
          <cell r="D442" t="str">
            <v>600V  EV 200sq/4C</v>
          </cell>
          <cell r="E442" t="str">
            <v>m</v>
          </cell>
          <cell r="S442">
            <v>0</v>
          </cell>
          <cell r="U442">
            <v>0.03</v>
          </cell>
          <cell r="V442" t="str">
            <v>저케</v>
          </cell>
          <cell r="W442">
            <v>0.30420000000000003</v>
          </cell>
        </row>
        <row r="443">
          <cell r="A443">
            <v>443</v>
          </cell>
          <cell r="B443" t="str">
            <v>옥외</v>
          </cell>
          <cell r="C443" t="str">
            <v>저압 케이블</v>
          </cell>
          <cell r="D443" t="str">
            <v>600V  EV 250sq/4C</v>
          </cell>
          <cell r="E443" t="str">
            <v>m</v>
          </cell>
          <cell r="S443">
            <v>0</v>
          </cell>
          <cell r="U443">
            <v>0.03</v>
          </cell>
          <cell r="V443" t="str">
            <v>저케</v>
          </cell>
          <cell r="W443">
            <v>0.36919999999999997</v>
          </cell>
        </row>
        <row r="444">
          <cell r="A444">
            <v>444</v>
          </cell>
          <cell r="S444" t="str">
            <v/>
          </cell>
        </row>
        <row r="445">
          <cell r="A445">
            <v>445</v>
          </cell>
          <cell r="S445" t="str">
            <v/>
          </cell>
        </row>
        <row r="446">
          <cell r="A446">
            <v>446</v>
          </cell>
          <cell r="C446" t="str">
            <v xml:space="preserve"> 저압 케이블</v>
          </cell>
          <cell r="D446" t="str">
            <v>600V CV 2.0 sq/1C</v>
          </cell>
          <cell r="E446" t="str">
            <v>m</v>
          </cell>
          <cell r="H446">
            <v>798</v>
          </cell>
          <cell r="I446">
            <v>201</v>
          </cell>
          <cell r="J446">
            <v>851</v>
          </cell>
          <cell r="K446">
            <v>207</v>
          </cell>
          <cell r="S446">
            <v>201</v>
          </cell>
          <cell r="U446">
            <v>0.05</v>
          </cell>
          <cell r="V446" t="str">
            <v>저케</v>
          </cell>
          <cell r="W446">
            <v>0.01</v>
          </cell>
        </row>
        <row r="447">
          <cell r="A447">
            <v>447</v>
          </cell>
          <cell r="C447" t="str">
            <v xml:space="preserve"> 저압 케이블</v>
          </cell>
          <cell r="D447" t="str">
            <v>600V CV 3.5 sq/1C</v>
          </cell>
          <cell r="E447" t="str">
            <v>m</v>
          </cell>
          <cell r="H447">
            <v>798</v>
          </cell>
          <cell r="I447">
            <v>254</v>
          </cell>
          <cell r="J447">
            <v>851</v>
          </cell>
          <cell r="K447">
            <v>261</v>
          </cell>
          <cell r="S447">
            <v>254</v>
          </cell>
          <cell r="U447">
            <v>0.05</v>
          </cell>
          <cell r="V447" t="str">
            <v>저케</v>
          </cell>
          <cell r="W447">
            <v>1.0999999999999999E-2</v>
          </cell>
        </row>
        <row r="448">
          <cell r="A448">
            <v>448</v>
          </cell>
          <cell r="C448" t="str">
            <v xml:space="preserve"> 저압 케이블</v>
          </cell>
          <cell r="D448" t="str">
            <v>600V CV 5.5 sq/1C</v>
          </cell>
          <cell r="E448" t="str">
            <v>m</v>
          </cell>
          <cell r="H448">
            <v>798</v>
          </cell>
          <cell r="I448">
            <v>368</v>
          </cell>
          <cell r="J448">
            <v>851</v>
          </cell>
          <cell r="K448">
            <v>379</v>
          </cell>
          <cell r="S448">
            <v>368</v>
          </cell>
          <cell r="U448">
            <v>0.05</v>
          </cell>
          <cell r="V448" t="str">
            <v>저케</v>
          </cell>
          <cell r="W448">
            <v>1.2999999999999999E-2</v>
          </cell>
        </row>
        <row r="449">
          <cell r="A449">
            <v>449</v>
          </cell>
          <cell r="C449" t="str">
            <v xml:space="preserve"> 저압 케이블</v>
          </cell>
          <cell r="D449" t="str">
            <v>600V CV 8sq/1C</v>
          </cell>
          <cell r="E449" t="str">
            <v>m</v>
          </cell>
          <cell r="H449">
            <v>798</v>
          </cell>
          <cell r="I449">
            <v>476</v>
          </cell>
          <cell r="J449">
            <v>851</v>
          </cell>
          <cell r="K449">
            <v>490</v>
          </cell>
          <cell r="S449">
            <v>476</v>
          </cell>
          <cell r="U449">
            <v>0.05</v>
          </cell>
          <cell r="V449" t="str">
            <v>저케</v>
          </cell>
          <cell r="W449">
            <v>1.4E-2</v>
          </cell>
        </row>
        <row r="450">
          <cell r="A450">
            <v>450</v>
          </cell>
          <cell r="C450" t="str">
            <v xml:space="preserve"> 저압 케이블</v>
          </cell>
          <cell r="D450" t="str">
            <v>600V  CV  14sq/1C</v>
          </cell>
          <cell r="E450" t="str">
            <v>m</v>
          </cell>
          <cell r="H450">
            <v>798</v>
          </cell>
          <cell r="I450">
            <v>838</v>
          </cell>
          <cell r="J450">
            <v>842</v>
          </cell>
          <cell r="K450">
            <v>862</v>
          </cell>
          <cell r="S450">
            <v>838</v>
          </cell>
          <cell r="U450">
            <v>0.05</v>
          </cell>
          <cell r="V450" t="str">
            <v>저케</v>
          </cell>
          <cell r="W450">
            <v>0.02</v>
          </cell>
        </row>
        <row r="451">
          <cell r="A451">
            <v>451</v>
          </cell>
          <cell r="C451" t="str">
            <v xml:space="preserve"> 저압 케이블</v>
          </cell>
          <cell r="D451" t="str">
            <v>600V  CV 22sq/1C</v>
          </cell>
          <cell r="E451" t="str">
            <v>m</v>
          </cell>
          <cell r="H451">
            <v>798</v>
          </cell>
          <cell r="I451">
            <v>1106</v>
          </cell>
          <cell r="J451">
            <v>851</v>
          </cell>
          <cell r="K451">
            <v>1138</v>
          </cell>
          <cell r="S451">
            <v>1106</v>
          </cell>
          <cell r="U451">
            <v>0.05</v>
          </cell>
          <cell r="V451" t="str">
            <v>저케</v>
          </cell>
          <cell r="W451">
            <v>2.5999999999999999E-2</v>
          </cell>
        </row>
        <row r="452">
          <cell r="A452">
            <v>452</v>
          </cell>
          <cell r="C452" t="str">
            <v xml:space="preserve"> 저압 케이블</v>
          </cell>
          <cell r="D452" t="str">
            <v>600V  CV 38sq/1C</v>
          </cell>
          <cell r="E452" t="str">
            <v>m</v>
          </cell>
          <cell r="H452">
            <v>798</v>
          </cell>
          <cell r="I452">
            <v>1704</v>
          </cell>
          <cell r="J452">
            <v>851</v>
          </cell>
          <cell r="K452">
            <v>1752</v>
          </cell>
          <cell r="S452">
            <v>1704</v>
          </cell>
          <cell r="U452">
            <v>0.05</v>
          </cell>
          <cell r="V452" t="str">
            <v>저케</v>
          </cell>
          <cell r="W452">
            <v>3.5999999999999997E-2</v>
          </cell>
        </row>
        <row r="453">
          <cell r="A453">
            <v>453</v>
          </cell>
          <cell r="C453" t="str">
            <v xml:space="preserve"> 저압 케이블</v>
          </cell>
          <cell r="D453" t="str">
            <v>600V  CV 60sq/1C</v>
          </cell>
          <cell r="E453" t="str">
            <v>m</v>
          </cell>
          <cell r="H453">
            <v>798</v>
          </cell>
          <cell r="I453">
            <v>2669</v>
          </cell>
          <cell r="J453">
            <v>851</v>
          </cell>
          <cell r="K453">
            <v>2745</v>
          </cell>
          <cell r="S453">
            <v>2669</v>
          </cell>
          <cell r="U453">
            <v>0.05</v>
          </cell>
          <cell r="V453" t="str">
            <v>저케</v>
          </cell>
          <cell r="W453">
            <v>4.9000000000000002E-2</v>
          </cell>
        </row>
        <row r="454">
          <cell r="A454">
            <v>454</v>
          </cell>
          <cell r="C454" t="str">
            <v xml:space="preserve"> 저압 케이블</v>
          </cell>
          <cell r="D454" t="str">
            <v>600V  CV 100sq/1C</v>
          </cell>
          <cell r="E454" t="str">
            <v>m</v>
          </cell>
          <cell r="H454">
            <v>798</v>
          </cell>
          <cell r="I454">
            <v>4357</v>
          </cell>
          <cell r="J454">
            <v>851</v>
          </cell>
          <cell r="K454">
            <v>4482</v>
          </cell>
          <cell r="S454">
            <v>4357</v>
          </cell>
          <cell r="U454">
            <v>0.05</v>
          </cell>
          <cell r="V454" t="str">
            <v>저케</v>
          </cell>
          <cell r="W454">
            <v>7.0999999999999994E-2</v>
          </cell>
        </row>
        <row r="455">
          <cell r="A455">
            <v>455</v>
          </cell>
          <cell r="C455" t="str">
            <v xml:space="preserve"> 저압 케이블</v>
          </cell>
          <cell r="D455" t="str">
            <v>600V  CV 150sq/1C</v>
          </cell>
          <cell r="E455" t="str">
            <v>m</v>
          </cell>
          <cell r="H455">
            <v>798</v>
          </cell>
          <cell r="I455">
            <v>6352</v>
          </cell>
          <cell r="J455">
            <v>851</v>
          </cell>
          <cell r="K455">
            <v>6534</v>
          </cell>
          <cell r="S455">
            <v>6352</v>
          </cell>
          <cell r="U455">
            <v>0.05</v>
          </cell>
          <cell r="V455" t="str">
            <v>저케</v>
          </cell>
          <cell r="W455">
            <v>9.7000000000000003E-2</v>
          </cell>
        </row>
        <row r="456">
          <cell r="A456">
            <v>456</v>
          </cell>
          <cell r="C456" t="str">
            <v xml:space="preserve"> 저압 케이블</v>
          </cell>
          <cell r="D456" t="str">
            <v>600V  CV 200sq/1C</v>
          </cell>
          <cell r="E456" t="str">
            <v>m</v>
          </cell>
          <cell r="H456">
            <v>798</v>
          </cell>
          <cell r="I456">
            <v>9986</v>
          </cell>
          <cell r="J456">
            <v>851</v>
          </cell>
          <cell r="K456">
            <v>10271</v>
          </cell>
          <cell r="S456">
            <v>9986</v>
          </cell>
          <cell r="U456">
            <v>0.05</v>
          </cell>
          <cell r="V456" t="str">
            <v>저케</v>
          </cell>
          <cell r="W456">
            <v>0.11700000000000001</v>
          </cell>
        </row>
        <row r="457">
          <cell r="A457">
            <v>457</v>
          </cell>
          <cell r="C457" t="str">
            <v xml:space="preserve"> 저압 케이블</v>
          </cell>
          <cell r="D457" t="str">
            <v>600V  CV 250sq/1C</v>
          </cell>
          <cell r="E457" t="str">
            <v>m</v>
          </cell>
          <cell r="H457">
            <v>798</v>
          </cell>
          <cell r="I457">
            <v>11588</v>
          </cell>
          <cell r="J457">
            <v>851</v>
          </cell>
          <cell r="K457">
            <v>11919</v>
          </cell>
          <cell r="S457">
            <v>11588</v>
          </cell>
          <cell r="U457">
            <v>0.05</v>
          </cell>
          <cell r="V457" t="str">
            <v>저케</v>
          </cell>
          <cell r="W457">
            <v>0.14199999999999999</v>
          </cell>
        </row>
        <row r="458">
          <cell r="A458">
            <v>458</v>
          </cell>
          <cell r="C458" t="str">
            <v xml:space="preserve"> 저압 케이블</v>
          </cell>
          <cell r="D458" t="str">
            <v>600V  CV 325sq/1C</v>
          </cell>
          <cell r="E458" t="str">
            <v>m</v>
          </cell>
          <cell r="H458">
            <v>798</v>
          </cell>
          <cell r="I458">
            <v>13908</v>
          </cell>
          <cell r="J458">
            <v>851</v>
          </cell>
          <cell r="K458">
            <v>14305</v>
          </cell>
          <cell r="S458">
            <v>13908</v>
          </cell>
          <cell r="U458">
            <v>0.05</v>
          </cell>
          <cell r="V458" t="str">
            <v>저케</v>
          </cell>
          <cell r="W458">
            <v>0.17199999999999999</v>
          </cell>
        </row>
        <row r="459">
          <cell r="A459">
            <v>459</v>
          </cell>
          <cell r="S459" t="str">
            <v/>
          </cell>
        </row>
        <row r="460">
          <cell r="A460">
            <v>460</v>
          </cell>
          <cell r="S460" t="str">
            <v/>
          </cell>
        </row>
        <row r="461">
          <cell r="A461">
            <v>461</v>
          </cell>
          <cell r="C461" t="str">
            <v xml:space="preserve"> 저압 케이블</v>
          </cell>
          <cell r="D461" t="str">
            <v>600V CV 2.0 sq/2C</v>
          </cell>
          <cell r="E461" t="str">
            <v>m</v>
          </cell>
          <cell r="H461">
            <v>798</v>
          </cell>
          <cell r="I461">
            <v>496</v>
          </cell>
          <cell r="J461">
            <v>851</v>
          </cell>
          <cell r="K461">
            <v>510</v>
          </cell>
          <cell r="S461">
            <v>496</v>
          </cell>
          <cell r="U461">
            <v>0.05</v>
          </cell>
          <cell r="V461" t="str">
            <v>저케</v>
          </cell>
          <cell r="W461">
            <v>1.3999999999999999E-2</v>
          </cell>
        </row>
        <row r="462">
          <cell r="A462">
            <v>462</v>
          </cell>
          <cell r="C462" t="str">
            <v xml:space="preserve"> 저압 케이블</v>
          </cell>
          <cell r="D462" t="str">
            <v>600V CV 3.5 sq/2C</v>
          </cell>
          <cell r="E462" t="str">
            <v>m</v>
          </cell>
          <cell r="H462">
            <v>798</v>
          </cell>
          <cell r="I462">
            <v>634</v>
          </cell>
          <cell r="J462">
            <v>851</v>
          </cell>
          <cell r="K462">
            <v>652</v>
          </cell>
          <cell r="S462">
            <v>634</v>
          </cell>
          <cell r="U462">
            <v>0.05</v>
          </cell>
          <cell r="V462" t="str">
            <v>저케</v>
          </cell>
          <cell r="W462">
            <v>1.6E-2</v>
          </cell>
        </row>
        <row r="463">
          <cell r="A463">
            <v>463</v>
          </cell>
          <cell r="C463" t="str">
            <v xml:space="preserve"> 저압 케이블</v>
          </cell>
          <cell r="D463" t="str">
            <v>600V CV 5.5 sq/2C</v>
          </cell>
          <cell r="E463" t="str">
            <v>m</v>
          </cell>
          <cell r="H463">
            <v>798</v>
          </cell>
          <cell r="I463">
            <v>846</v>
          </cell>
          <cell r="J463">
            <v>851</v>
          </cell>
          <cell r="K463">
            <v>870</v>
          </cell>
          <cell r="S463">
            <v>846</v>
          </cell>
          <cell r="U463">
            <v>0.05</v>
          </cell>
          <cell r="V463" t="str">
            <v>저케</v>
          </cell>
          <cell r="W463">
            <v>1.7999999999999999E-2</v>
          </cell>
        </row>
        <row r="464">
          <cell r="A464">
            <v>464</v>
          </cell>
          <cell r="C464" t="str">
            <v xml:space="preserve"> 저압 케이블</v>
          </cell>
          <cell r="D464" t="str">
            <v>600V CV 8sq/2C</v>
          </cell>
          <cell r="E464" t="str">
            <v>m</v>
          </cell>
          <cell r="H464">
            <v>798</v>
          </cell>
          <cell r="I464">
            <v>1066</v>
          </cell>
          <cell r="J464">
            <v>851</v>
          </cell>
          <cell r="K464">
            <v>1097</v>
          </cell>
          <cell r="S464">
            <v>1066</v>
          </cell>
          <cell r="U464">
            <v>0.05</v>
          </cell>
          <cell r="V464" t="str">
            <v>저케</v>
          </cell>
          <cell r="W464">
            <v>0.02</v>
          </cell>
        </row>
        <row r="465">
          <cell r="A465">
            <v>465</v>
          </cell>
          <cell r="C465" t="str">
            <v xml:space="preserve"> 저압 케이블</v>
          </cell>
          <cell r="D465" t="str">
            <v>600V  CV  14sq/2C</v>
          </cell>
          <cell r="E465" t="str">
            <v>m</v>
          </cell>
          <cell r="H465">
            <v>798</v>
          </cell>
          <cell r="I465">
            <v>1904</v>
          </cell>
          <cell r="J465">
            <v>851</v>
          </cell>
          <cell r="K465">
            <v>1959</v>
          </cell>
          <cell r="S465">
            <v>1904</v>
          </cell>
          <cell r="U465">
            <v>0.05</v>
          </cell>
          <cell r="V465" t="str">
            <v>저케</v>
          </cell>
          <cell r="W465">
            <v>2.7999999999999997E-2</v>
          </cell>
        </row>
        <row r="466">
          <cell r="A466">
            <v>466</v>
          </cell>
          <cell r="C466" t="str">
            <v xml:space="preserve"> 저압 케이블</v>
          </cell>
          <cell r="D466" t="str">
            <v>600V  CV 22sq/2C</v>
          </cell>
          <cell r="E466" t="str">
            <v>m</v>
          </cell>
          <cell r="H466">
            <v>798</v>
          </cell>
          <cell r="I466">
            <v>2520</v>
          </cell>
          <cell r="J466">
            <v>851</v>
          </cell>
          <cell r="K466">
            <v>2592</v>
          </cell>
          <cell r="S466">
            <v>2520</v>
          </cell>
          <cell r="U466">
            <v>0.05</v>
          </cell>
          <cell r="V466" t="str">
            <v>저케</v>
          </cell>
          <cell r="W466">
            <v>3.6399999999999995E-2</v>
          </cell>
        </row>
        <row r="467">
          <cell r="A467">
            <v>467</v>
          </cell>
          <cell r="C467" t="str">
            <v xml:space="preserve"> 저압 케이블</v>
          </cell>
          <cell r="D467" t="str">
            <v>600V  CV 38sq/2C</v>
          </cell>
          <cell r="E467" t="str">
            <v>m</v>
          </cell>
          <cell r="H467">
            <v>798</v>
          </cell>
          <cell r="I467">
            <v>3881</v>
          </cell>
          <cell r="J467">
            <v>851</v>
          </cell>
          <cell r="K467">
            <v>3992</v>
          </cell>
          <cell r="S467">
            <v>3881</v>
          </cell>
          <cell r="U467">
            <v>0.05</v>
          </cell>
          <cell r="V467" t="str">
            <v>저케</v>
          </cell>
          <cell r="W467">
            <v>5.0399999999999993E-2</v>
          </cell>
        </row>
        <row r="468">
          <cell r="A468">
            <v>468</v>
          </cell>
          <cell r="C468" t="str">
            <v xml:space="preserve"> 저압 케이블</v>
          </cell>
          <cell r="D468" t="str">
            <v>600V  CV 60sq/2C</v>
          </cell>
          <cell r="E468" t="str">
            <v>m</v>
          </cell>
          <cell r="H468">
            <v>798</v>
          </cell>
          <cell r="I468">
            <v>6734</v>
          </cell>
          <cell r="J468">
            <v>851</v>
          </cell>
          <cell r="K468">
            <v>6927</v>
          </cell>
          <cell r="S468">
            <v>6734</v>
          </cell>
          <cell r="U468">
            <v>0.05</v>
          </cell>
          <cell r="V468" t="str">
            <v>저케</v>
          </cell>
          <cell r="W468">
            <v>6.8599999999999994E-2</v>
          </cell>
        </row>
        <row r="469">
          <cell r="A469">
            <v>469</v>
          </cell>
          <cell r="C469" t="str">
            <v xml:space="preserve"> 저압 케이블</v>
          </cell>
          <cell r="D469" t="str">
            <v>600V  CV 100sq/2C</v>
          </cell>
          <cell r="E469" t="str">
            <v>m</v>
          </cell>
          <cell r="H469">
            <v>798</v>
          </cell>
          <cell r="I469">
            <v>10426</v>
          </cell>
          <cell r="J469">
            <v>851</v>
          </cell>
          <cell r="K469">
            <v>10724</v>
          </cell>
          <cell r="S469">
            <v>10426</v>
          </cell>
          <cell r="U469">
            <v>0.05</v>
          </cell>
          <cell r="V469" t="str">
            <v>저케</v>
          </cell>
          <cell r="W469">
            <v>9.9399999999999988E-2</v>
          </cell>
        </row>
        <row r="470">
          <cell r="A470">
            <v>470</v>
          </cell>
          <cell r="C470" t="str">
            <v xml:space="preserve"> 저압 케이블</v>
          </cell>
          <cell r="D470" t="str">
            <v>600V  CV 150sq/2C</v>
          </cell>
          <cell r="E470" t="str">
            <v>m</v>
          </cell>
          <cell r="H470">
            <v>798</v>
          </cell>
          <cell r="I470">
            <v>14173</v>
          </cell>
          <cell r="J470">
            <v>851</v>
          </cell>
          <cell r="K470">
            <v>14578</v>
          </cell>
          <cell r="S470">
            <v>14173</v>
          </cell>
          <cell r="U470">
            <v>0.05</v>
          </cell>
          <cell r="V470" t="str">
            <v>저케</v>
          </cell>
          <cell r="W470">
            <v>0.1358</v>
          </cell>
        </row>
        <row r="471">
          <cell r="A471">
            <v>471</v>
          </cell>
          <cell r="C471" t="str">
            <v xml:space="preserve"> 저압 케이블</v>
          </cell>
          <cell r="D471" t="str">
            <v>600V  CV 200sq/2C</v>
          </cell>
          <cell r="E471" t="str">
            <v>m</v>
          </cell>
          <cell r="H471">
            <v>798</v>
          </cell>
          <cell r="I471">
            <v>17848</v>
          </cell>
          <cell r="J471">
            <v>851</v>
          </cell>
          <cell r="K471">
            <v>18358</v>
          </cell>
          <cell r="S471">
            <v>17848</v>
          </cell>
          <cell r="U471">
            <v>0.05</v>
          </cell>
          <cell r="V471" t="str">
            <v>저케</v>
          </cell>
          <cell r="W471">
            <v>0.1638</v>
          </cell>
        </row>
        <row r="472">
          <cell r="A472">
            <v>472</v>
          </cell>
          <cell r="C472" t="str">
            <v xml:space="preserve"> 저압 케이블</v>
          </cell>
          <cell r="D472" t="str">
            <v>600V  CV 250sq/2C</v>
          </cell>
          <cell r="E472" t="str">
            <v>m</v>
          </cell>
          <cell r="H472">
            <v>798</v>
          </cell>
          <cell r="I472">
            <v>22675</v>
          </cell>
          <cell r="J472">
            <v>851</v>
          </cell>
          <cell r="K472">
            <v>23323</v>
          </cell>
          <cell r="S472">
            <v>22675</v>
          </cell>
          <cell r="U472">
            <v>0.05</v>
          </cell>
          <cell r="V472" t="str">
            <v>저케</v>
          </cell>
          <cell r="W472">
            <v>0.19879999999999998</v>
          </cell>
        </row>
        <row r="473">
          <cell r="A473">
            <v>473</v>
          </cell>
          <cell r="C473" t="str">
            <v xml:space="preserve"> 저압 케이블</v>
          </cell>
          <cell r="D473" t="str">
            <v>600V  CV 325sq/2C</v>
          </cell>
          <cell r="E473" t="str">
            <v>m</v>
          </cell>
          <cell r="H473">
            <v>798</v>
          </cell>
          <cell r="I473">
            <v>28015</v>
          </cell>
          <cell r="J473">
            <v>851</v>
          </cell>
          <cell r="K473">
            <v>28815</v>
          </cell>
          <cell r="S473">
            <v>28015</v>
          </cell>
          <cell r="U473">
            <v>0.05</v>
          </cell>
          <cell r="V473" t="str">
            <v>저케</v>
          </cell>
          <cell r="W473">
            <v>0.24079999999999996</v>
          </cell>
        </row>
        <row r="474">
          <cell r="A474">
            <v>474</v>
          </cell>
          <cell r="S474" t="str">
            <v/>
          </cell>
        </row>
        <row r="475">
          <cell r="A475">
            <v>475</v>
          </cell>
          <cell r="S475" t="str">
            <v/>
          </cell>
        </row>
        <row r="476">
          <cell r="A476">
            <v>476</v>
          </cell>
          <cell r="C476" t="str">
            <v xml:space="preserve"> 저압 케이블</v>
          </cell>
          <cell r="D476" t="str">
            <v>600V CV 2.0 sq/3C</v>
          </cell>
          <cell r="E476" t="str">
            <v>m</v>
          </cell>
          <cell r="H476">
            <v>798</v>
          </cell>
          <cell r="I476">
            <v>598</v>
          </cell>
          <cell r="J476">
            <v>851</v>
          </cell>
          <cell r="K476">
            <v>615</v>
          </cell>
          <cell r="S476">
            <v>598</v>
          </cell>
          <cell r="U476">
            <v>0.05</v>
          </cell>
          <cell r="V476" t="str">
            <v>저케</v>
          </cell>
          <cell r="W476">
            <v>1.9E-2</v>
          </cell>
        </row>
        <row r="477">
          <cell r="A477">
            <v>477</v>
          </cell>
          <cell r="C477" t="str">
            <v xml:space="preserve"> 저압 케이블</v>
          </cell>
          <cell r="D477" t="str">
            <v>600V CV 3.5 sq/3C</v>
          </cell>
          <cell r="E477" t="str">
            <v>m</v>
          </cell>
          <cell r="H477">
            <v>798</v>
          </cell>
          <cell r="I477">
            <v>799</v>
          </cell>
          <cell r="J477">
            <v>851</v>
          </cell>
          <cell r="K477">
            <v>821</v>
          </cell>
          <cell r="S477">
            <v>799</v>
          </cell>
          <cell r="U477">
            <v>0.05</v>
          </cell>
          <cell r="V477" t="str">
            <v>저케</v>
          </cell>
          <cell r="W477">
            <v>2.1999999999999999E-2</v>
          </cell>
        </row>
        <row r="478">
          <cell r="A478">
            <v>478</v>
          </cell>
          <cell r="C478" t="str">
            <v xml:space="preserve"> 저압 케이블</v>
          </cell>
          <cell r="D478" t="str">
            <v>600V CV 5.5 sq/3C</v>
          </cell>
          <cell r="E478" t="str">
            <v>m</v>
          </cell>
          <cell r="H478">
            <v>798</v>
          </cell>
          <cell r="I478">
            <v>1110</v>
          </cell>
          <cell r="J478">
            <v>851</v>
          </cell>
          <cell r="K478">
            <v>1142</v>
          </cell>
          <cell r="S478">
            <v>1110</v>
          </cell>
          <cell r="U478">
            <v>0.05</v>
          </cell>
          <cell r="V478" t="str">
            <v>저케</v>
          </cell>
          <cell r="W478">
            <v>2.5999999999999999E-2</v>
          </cell>
        </row>
        <row r="479">
          <cell r="A479">
            <v>479</v>
          </cell>
          <cell r="C479" t="str">
            <v xml:space="preserve"> 저압 케이블</v>
          </cell>
          <cell r="D479" t="str">
            <v>600V CV 8sq/3C</v>
          </cell>
          <cell r="E479" t="str">
            <v>m</v>
          </cell>
          <cell r="H479">
            <v>798</v>
          </cell>
          <cell r="I479">
            <v>1410</v>
          </cell>
          <cell r="J479">
            <v>851</v>
          </cell>
          <cell r="K479">
            <v>1450</v>
          </cell>
          <cell r="S479">
            <v>1410</v>
          </cell>
          <cell r="U479">
            <v>0.05</v>
          </cell>
          <cell r="V479" t="str">
            <v>저케</v>
          </cell>
          <cell r="W479">
            <v>2.9000000000000001E-2</v>
          </cell>
        </row>
        <row r="480">
          <cell r="A480">
            <v>480</v>
          </cell>
          <cell r="C480" t="str">
            <v xml:space="preserve"> 저압 케이블</v>
          </cell>
          <cell r="D480" t="str">
            <v>600V  CV  14sq/3C</v>
          </cell>
          <cell r="E480" t="str">
            <v>m</v>
          </cell>
          <cell r="H480">
            <v>798</v>
          </cell>
          <cell r="I480">
            <v>2536</v>
          </cell>
          <cell r="J480">
            <v>851</v>
          </cell>
          <cell r="K480">
            <v>2609</v>
          </cell>
          <cell r="S480">
            <v>2536</v>
          </cell>
          <cell r="U480">
            <v>0.05</v>
          </cell>
          <cell r="V480" t="str">
            <v>저케</v>
          </cell>
          <cell r="W480">
            <v>0.04</v>
          </cell>
        </row>
        <row r="481">
          <cell r="A481">
            <v>481</v>
          </cell>
          <cell r="C481" t="str">
            <v xml:space="preserve"> 저압 케이블</v>
          </cell>
          <cell r="D481" t="str">
            <v>600V  CV 22sq/3C</v>
          </cell>
          <cell r="E481" t="str">
            <v>m</v>
          </cell>
          <cell r="H481">
            <v>798</v>
          </cell>
          <cell r="I481">
            <v>3417</v>
          </cell>
          <cell r="J481">
            <v>851</v>
          </cell>
          <cell r="K481">
            <v>3515</v>
          </cell>
          <cell r="S481">
            <v>3417</v>
          </cell>
          <cell r="U481">
            <v>0.05</v>
          </cell>
          <cell r="V481" t="str">
            <v>저케</v>
          </cell>
          <cell r="W481">
            <v>5.1999999999999998E-2</v>
          </cell>
        </row>
        <row r="482">
          <cell r="A482">
            <v>482</v>
          </cell>
          <cell r="C482" t="str">
            <v xml:space="preserve"> 저압 케이블</v>
          </cell>
          <cell r="D482" t="str">
            <v>600V  CV 38sq/3C</v>
          </cell>
          <cell r="E482" t="str">
            <v>m</v>
          </cell>
          <cell r="H482">
            <v>798</v>
          </cell>
          <cell r="I482">
            <v>5508</v>
          </cell>
          <cell r="J482">
            <v>851</v>
          </cell>
          <cell r="K482">
            <v>5665</v>
          </cell>
          <cell r="S482">
            <v>5508</v>
          </cell>
          <cell r="U482">
            <v>0.05</v>
          </cell>
          <cell r="V482" t="str">
            <v>저케</v>
          </cell>
          <cell r="W482">
            <v>7.1999999999999995E-2</v>
          </cell>
        </row>
        <row r="483">
          <cell r="A483">
            <v>483</v>
          </cell>
          <cell r="C483" t="str">
            <v xml:space="preserve"> 저압 케이블</v>
          </cell>
          <cell r="D483" t="str">
            <v>600V  CV 60sq/3C</v>
          </cell>
          <cell r="E483" t="str">
            <v>m</v>
          </cell>
          <cell r="H483">
            <v>798</v>
          </cell>
          <cell r="I483">
            <v>9251</v>
          </cell>
          <cell r="J483">
            <v>851</v>
          </cell>
          <cell r="K483">
            <v>9515</v>
          </cell>
          <cell r="S483">
            <v>9251</v>
          </cell>
          <cell r="U483">
            <v>0.05</v>
          </cell>
          <cell r="V483" t="str">
            <v>저케</v>
          </cell>
          <cell r="W483">
            <v>9.8000000000000004E-2</v>
          </cell>
        </row>
        <row r="484">
          <cell r="A484">
            <v>484</v>
          </cell>
          <cell r="C484" t="str">
            <v xml:space="preserve"> 저압 케이블</v>
          </cell>
          <cell r="D484" t="str">
            <v>600V  CV 80sq/3C</v>
          </cell>
          <cell r="E484" t="str">
            <v>m</v>
          </cell>
          <cell r="H484">
            <v>798</v>
          </cell>
          <cell r="J484">
            <v>851</v>
          </cell>
          <cell r="S484">
            <v>0</v>
          </cell>
          <cell r="U484">
            <v>0.05</v>
          </cell>
          <cell r="V484" t="str">
            <v>저케</v>
          </cell>
          <cell r="W484">
            <v>0.12</v>
          </cell>
        </row>
        <row r="485">
          <cell r="A485">
            <v>485</v>
          </cell>
          <cell r="C485" t="str">
            <v xml:space="preserve"> 저압 케이블</v>
          </cell>
          <cell r="D485" t="str">
            <v>600V  CV 100sq/3C</v>
          </cell>
          <cell r="E485" t="str">
            <v>m</v>
          </cell>
          <cell r="H485">
            <v>798</v>
          </cell>
          <cell r="I485">
            <v>13881</v>
          </cell>
          <cell r="J485">
            <v>851</v>
          </cell>
          <cell r="K485">
            <v>14277</v>
          </cell>
          <cell r="S485">
            <v>13881</v>
          </cell>
          <cell r="U485">
            <v>0.05</v>
          </cell>
          <cell r="V485" t="str">
            <v>저케</v>
          </cell>
          <cell r="W485">
            <v>0.14199999999999999</v>
          </cell>
        </row>
        <row r="486">
          <cell r="A486">
            <v>486</v>
          </cell>
          <cell r="C486" t="str">
            <v xml:space="preserve"> 저압 케이블</v>
          </cell>
          <cell r="D486" t="str">
            <v>600V  CV 150sq/3C</v>
          </cell>
          <cell r="E486" t="str">
            <v>m</v>
          </cell>
          <cell r="H486">
            <v>798</v>
          </cell>
          <cell r="I486">
            <v>19594</v>
          </cell>
          <cell r="J486">
            <v>851</v>
          </cell>
          <cell r="K486">
            <v>20153</v>
          </cell>
          <cell r="S486">
            <v>19594</v>
          </cell>
          <cell r="U486">
            <v>0.05</v>
          </cell>
          <cell r="V486" t="str">
            <v>저케</v>
          </cell>
          <cell r="W486">
            <v>0.19400000000000001</v>
          </cell>
        </row>
        <row r="487">
          <cell r="A487">
            <v>487</v>
          </cell>
          <cell r="C487" t="str">
            <v xml:space="preserve"> 저압 케이블</v>
          </cell>
          <cell r="D487" t="str">
            <v>600V  CV 200sq/3C</v>
          </cell>
          <cell r="E487" t="str">
            <v>m</v>
          </cell>
          <cell r="H487">
            <v>798</v>
          </cell>
          <cell r="I487">
            <v>25958</v>
          </cell>
          <cell r="J487">
            <v>851</v>
          </cell>
          <cell r="K487">
            <v>26699</v>
          </cell>
          <cell r="S487">
            <v>25958</v>
          </cell>
          <cell r="U487">
            <v>0.05</v>
          </cell>
          <cell r="V487" t="str">
            <v>저케</v>
          </cell>
          <cell r="W487">
            <v>0.23400000000000001</v>
          </cell>
        </row>
        <row r="488">
          <cell r="A488">
            <v>488</v>
          </cell>
          <cell r="C488" t="str">
            <v xml:space="preserve"> 저압 케이블</v>
          </cell>
          <cell r="D488" t="str">
            <v>600V  CV 250sq/3C</v>
          </cell>
          <cell r="E488" t="str">
            <v>m</v>
          </cell>
          <cell r="H488">
            <v>798</v>
          </cell>
          <cell r="I488">
            <v>32741</v>
          </cell>
          <cell r="J488">
            <v>851</v>
          </cell>
          <cell r="K488">
            <v>33676</v>
          </cell>
          <cell r="S488">
            <v>32741</v>
          </cell>
          <cell r="U488">
            <v>0.05</v>
          </cell>
          <cell r="V488" t="str">
            <v>저케</v>
          </cell>
          <cell r="W488">
            <v>0.28399999999999997</v>
          </cell>
        </row>
        <row r="489">
          <cell r="A489">
            <v>489</v>
          </cell>
          <cell r="C489" t="str">
            <v xml:space="preserve"> 저압 케이블</v>
          </cell>
          <cell r="D489" t="str">
            <v>600V  CV 325sq/3C</v>
          </cell>
          <cell r="E489" t="str">
            <v>m</v>
          </cell>
          <cell r="H489">
            <v>798</v>
          </cell>
          <cell r="I489">
            <v>42038</v>
          </cell>
          <cell r="J489">
            <v>851</v>
          </cell>
          <cell r="K489">
            <v>43239</v>
          </cell>
          <cell r="S489">
            <v>42038</v>
          </cell>
          <cell r="U489">
            <v>0.05</v>
          </cell>
          <cell r="V489" t="str">
            <v>저케</v>
          </cell>
          <cell r="W489">
            <v>0.34399999999999997</v>
          </cell>
        </row>
        <row r="490">
          <cell r="A490">
            <v>490</v>
          </cell>
          <cell r="S490" t="str">
            <v/>
          </cell>
        </row>
        <row r="491">
          <cell r="A491">
            <v>491</v>
          </cell>
          <cell r="S491" t="str">
            <v/>
          </cell>
        </row>
        <row r="492">
          <cell r="A492">
            <v>492</v>
          </cell>
          <cell r="C492" t="str">
            <v xml:space="preserve"> 저압 케이블</v>
          </cell>
          <cell r="D492" t="str">
            <v>600V CV 2.0 sq/4C</v>
          </cell>
          <cell r="E492" t="str">
            <v>m</v>
          </cell>
          <cell r="H492">
            <v>798</v>
          </cell>
          <cell r="I492">
            <v>720</v>
          </cell>
          <cell r="J492">
            <v>851</v>
          </cell>
          <cell r="K492">
            <v>740</v>
          </cell>
          <cell r="S492">
            <v>720</v>
          </cell>
          <cell r="U492">
            <v>0.05</v>
          </cell>
          <cell r="V492" t="str">
            <v>저케</v>
          </cell>
          <cell r="W492">
            <v>2.5999999999999999E-2</v>
          </cell>
        </row>
        <row r="493">
          <cell r="A493">
            <v>493</v>
          </cell>
          <cell r="C493" t="str">
            <v xml:space="preserve"> 저압 케이블</v>
          </cell>
          <cell r="D493" t="str">
            <v>600V CV 3.5 sq/4C</v>
          </cell>
          <cell r="E493" t="str">
            <v>m</v>
          </cell>
          <cell r="H493">
            <v>798</v>
          </cell>
          <cell r="I493">
            <v>971</v>
          </cell>
          <cell r="J493">
            <v>851</v>
          </cell>
          <cell r="K493">
            <v>999</v>
          </cell>
          <cell r="S493">
            <v>971</v>
          </cell>
          <cell r="U493">
            <v>0.05</v>
          </cell>
          <cell r="V493" t="str">
            <v>저케</v>
          </cell>
          <cell r="W493">
            <v>2.9000000000000001E-2</v>
          </cell>
        </row>
        <row r="494">
          <cell r="A494">
            <v>494</v>
          </cell>
          <cell r="C494" t="str">
            <v xml:space="preserve"> 저압 케이블</v>
          </cell>
          <cell r="D494" t="str">
            <v>600V CV 5.5 sq/4C</v>
          </cell>
          <cell r="E494" t="str">
            <v>m</v>
          </cell>
          <cell r="H494">
            <v>798</v>
          </cell>
          <cell r="I494">
            <v>1370</v>
          </cell>
          <cell r="J494">
            <v>851</v>
          </cell>
          <cell r="K494">
            <v>1409</v>
          </cell>
          <cell r="S494">
            <v>1370</v>
          </cell>
          <cell r="U494">
            <v>0.05</v>
          </cell>
          <cell r="V494" t="str">
            <v>저케</v>
          </cell>
          <cell r="W494">
            <v>3.4000000000000002E-2</v>
          </cell>
        </row>
        <row r="495">
          <cell r="A495">
            <v>495</v>
          </cell>
          <cell r="C495" t="str">
            <v xml:space="preserve"> 저압 케이블</v>
          </cell>
          <cell r="D495" t="str">
            <v>600V CV 8sq/4C</v>
          </cell>
          <cell r="E495" t="str">
            <v>m</v>
          </cell>
          <cell r="H495">
            <v>798</v>
          </cell>
          <cell r="I495">
            <v>1785</v>
          </cell>
          <cell r="J495">
            <v>851</v>
          </cell>
          <cell r="K495">
            <v>1836</v>
          </cell>
          <cell r="S495">
            <v>1785</v>
          </cell>
          <cell r="U495">
            <v>0.05</v>
          </cell>
          <cell r="V495" t="str">
            <v>저케</v>
          </cell>
          <cell r="W495">
            <v>3.9E-2</v>
          </cell>
        </row>
        <row r="496">
          <cell r="A496">
            <v>496</v>
          </cell>
          <cell r="C496" t="str">
            <v xml:space="preserve"> 저압 케이블</v>
          </cell>
          <cell r="D496" t="str">
            <v>600V  CV  14sq/4C</v>
          </cell>
          <cell r="E496" t="str">
            <v>m</v>
          </cell>
          <cell r="H496">
            <v>798</v>
          </cell>
          <cell r="I496">
            <v>3215</v>
          </cell>
          <cell r="J496">
            <v>851</v>
          </cell>
          <cell r="K496">
            <v>3306</v>
          </cell>
          <cell r="S496">
            <v>3215</v>
          </cell>
          <cell r="U496">
            <v>0.05</v>
          </cell>
          <cell r="V496" t="str">
            <v>저케</v>
          </cell>
          <cell r="W496">
            <v>5.2000000000000005E-2</v>
          </cell>
        </row>
        <row r="497">
          <cell r="A497">
            <v>497</v>
          </cell>
          <cell r="C497" t="str">
            <v xml:space="preserve"> 저압 케이블</v>
          </cell>
          <cell r="D497" t="str">
            <v>600V  CV 22sq/4C</v>
          </cell>
          <cell r="E497" t="str">
            <v>m</v>
          </cell>
          <cell r="H497">
            <v>798</v>
          </cell>
          <cell r="I497">
            <v>4329</v>
          </cell>
          <cell r="J497">
            <v>851</v>
          </cell>
          <cell r="K497">
            <v>4452</v>
          </cell>
          <cell r="S497">
            <v>4329</v>
          </cell>
          <cell r="U497">
            <v>0.05</v>
          </cell>
          <cell r="V497" t="str">
            <v>저케</v>
          </cell>
          <cell r="W497">
            <v>6.7599999999999993E-2</v>
          </cell>
        </row>
        <row r="498">
          <cell r="A498">
            <v>498</v>
          </cell>
          <cell r="C498" t="str">
            <v xml:space="preserve"> 저압 케이블</v>
          </cell>
          <cell r="D498" t="str">
            <v>600V  CV 38sq/4C</v>
          </cell>
          <cell r="E498" t="str">
            <v>m</v>
          </cell>
          <cell r="H498">
            <v>798</v>
          </cell>
          <cell r="I498">
            <v>7046</v>
          </cell>
          <cell r="J498">
            <v>851</v>
          </cell>
          <cell r="K498">
            <v>7247</v>
          </cell>
          <cell r="S498">
            <v>7046</v>
          </cell>
          <cell r="U498">
            <v>0.05</v>
          </cell>
          <cell r="V498" t="str">
            <v>저케</v>
          </cell>
          <cell r="W498">
            <v>9.3600000000000003E-2</v>
          </cell>
        </row>
        <row r="499">
          <cell r="A499">
            <v>499</v>
          </cell>
          <cell r="C499" t="str">
            <v xml:space="preserve"> 저압 케이블</v>
          </cell>
          <cell r="D499" t="str">
            <v>600V  CV 60sq/4C</v>
          </cell>
          <cell r="E499" t="str">
            <v>m</v>
          </cell>
          <cell r="H499">
            <v>798</v>
          </cell>
          <cell r="I499">
            <v>11841</v>
          </cell>
          <cell r="J499">
            <v>851</v>
          </cell>
          <cell r="K499">
            <v>12180</v>
          </cell>
          <cell r="S499">
            <v>11841</v>
          </cell>
          <cell r="U499">
            <v>0.05</v>
          </cell>
          <cell r="V499" t="str">
            <v>저케</v>
          </cell>
          <cell r="W499">
            <v>0.12740000000000001</v>
          </cell>
        </row>
        <row r="500">
          <cell r="A500">
            <v>500</v>
          </cell>
          <cell r="C500" t="str">
            <v xml:space="preserve"> 저압 케이블</v>
          </cell>
          <cell r="D500" t="str">
            <v>600V  CV 100sq/4C</v>
          </cell>
          <cell r="E500" t="str">
            <v>m</v>
          </cell>
          <cell r="H500">
            <v>798</v>
          </cell>
          <cell r="I500">
            <v>17976</v>
          </cell>
          <cell r="J500">
            <v>851</v>
          </cell>
          <cell r="K500">
            <v>18489</v>
          </cell>
          <cell r="S500">
            <v>17976</v>
          </cell>
          <cell r="U500">
            <v>0.05</v>
          </cell>
          <cell r="V500" t="str">
            <v>저케</v>
          </cell>
          <cell r="W500">
            <v>0.18459999999999999</v>
          </cell>
        </row>
        <row r="501">
          <cell r="A501">
            <v>501</v>
          </cell>
          <cell r="C501" t="str">
            <v xml:space="preserve"> 저압 케이블</v>
          </cell>
          <cell r="D501" t="str">
            <v>600V  CV 125sq/4C</v>
          </cell>
          <cell r="E501" t="str">
            <v>m</v>
          </cell>
          <cell r="H501">
            <v>798</v>
          </cell>
          <cell r="I501">
            <v>21891</v>
          </cell>
          <cell r="J501">
            <v>851</v>
          </cell>
          <cell r="K501">
            <v>22516</v>
          </cell>
          <cell r="S501">
            <v>21891</v>
          </cell>
          <cell r="U501">
            <v>0.05</v>
          </cell>
          <cell r="V501" t="str">
            <v>저케</v>
          </cell>
          <cell r="W501">
            <v>0.21840000000000001</v>
          </cell>
        </row>
        <row r="502">
          <cell r="A502">
            <v>502</v>
          </cell>
          <cell r="C502" t="str">
            <v xml:space="preserve"> 저압 케이블</v>
          </cell>
          <cell r="D502" t="str">
            <v>600V  CV 150sq/4C</v>
          </cell>
          <cell r="E502" t="str">
            <v>m</v>
          </cell>
          <cell r="H502">
            <v>798</v>
          </cell>
          <cell r="I502">
            <v>26262</v>
          </cell>
          <cell r="J502">
            <v>851</v>
          </cell>
          <cell r="K502">
            <v>27012</v>
          </cell>
          <cell r="S502">
            <v>26262</v>
          </cell>
          <cell r="U502">
            <v>0.05</v>
          </cell>
          <cell r="V502" t="str">
            <v>저케</v>
          </cell>
          <cell r="W502">
            <v>0.25220000000000004</v>
          </cell>
        </row>
        <row r="503">
          <cell r="A503">
            <v>503</v>
          </cell>
          <cell r="C503" t="str">
            <v xml:space="preserve"> 저압 케이블</v>
          </cell>
          <cell r="D503" t="str">
            <v>600V  CV 200sq/4C</v>
          </cell>
          <cell r="E503" t="str">
            <v>m</v>
          </cell>
          <cell r="H503">
            <v>798</v>
          </cell>
          <cell r="I503">
            <v>34598</v>
          </cell>
          <cell r="J503">
            <v>851</v>
          </cell>
          <cell r="K503">
            <v>35587</v>
          </cell>
          <cell r="S503">
            <v>34598</v>
          </cell>
          <cell r="U503">
            <v>0.05</v>
          </cell>
          <cell r="V503" t="str">
            <v>저케</v>
          </cell>
          <cell r="W503">
            <v>0.30420000000000003</v>
          </cell>
        </row>
        <row r="504">
          <cell r="A504">
            <v>504</v>
          </cell>
          <cell r="C504" t="str">
            <v xml:space="preserve"> 저압 케이블</v>
          </cell>
          <cell r="D504" t="str">
            <v>600V  CV 250sq/4C</v>
          </cell>
          <cell r="E504" t="str">
            <v>m</v>
          </cell>
          <cell r="H504">
            <v>798</v>
          </cell>
          <cell r="I504">
            <v>43414</v>
          </cell>
          <cell r="J504">
            <v>851</v>
          </cell>
          <cell r="K504">
            <v>44654</v>
          </cell>
          <cell r="S504">
            <v>43414</v>
          </cell>
          <cell r="U504">
            <v>0.05</v>
          </cell>
          <cell r="V504" t="str">
            <v>저케</v>
          </cell>
          <cell r="W504">
            <v>0.36919999999999997</v>
          </cell>
        </row>
        <row r="505">
          <cell r="A505">
            <v>505</v>
          </cell>
          <cell r="C505" t="str">
            <v xml:space="preserve"> 저압 케이블</v>
          </cell>
          <cell r="D505" t="str">
            <v>600V  CV 325sq/4C</v>
          </cell>
          <cell r="E505" t="str">
            <v>m</v>
          </cell>
          <cell r="H505">
            <v>798</v>
          </cell>
          <cell r="I505">
            <v>54591</v>
          </cell>
          <cell r="J505">
            <v>851</v>
          </cell>
          <cell r="K505">
            <v>56151</v>
          </cell>
          <cell r="S505">
            <v>54591</v>
          </cell>
          <cell r="U505">
            <v>0.05</v>
          </cell>
          <cell r="V505" t="str">
            <v>저케</v>
          </cell>
          <cell r="W505">
            <v>0.44719999999999999</v>
          </cell>
        </row>
        <row r="506">
          <cell r="A506">
            <v>506</v>
          </cell>
          <cell r="S506" t="str">
            <v/>
          </cell>
        </row>
        <row r="507">
          <cell r="A507">
            <v>507</v>
          </cell>
          <cell r="S507" t="str">
            <v/>
          </cell>
        </row>
        <row r="508">
          <cell r="A508">
            <v>508</v>
          </cell>
          <cell r="B508" t="str">
            <v>옥외</v>
          </cell>
          <cell r="C508" t="str">
            <v xml:space="preserve"> 저압 케이블</v>
          </cell>
          <cell r="D508" t="str">
            <v>600V CV 2.0 sq/1C</v>
          </cell>
          <cell r="E508" t="str">
            <v>m</v>
          </cell>
          <cell r="H508">
            <v>798</v>
          </cell>
          <cell r="I508">
            <v>201</v>
          </cell>
          <cell r="J508">
            <v>851</v>
          </cell>
          <cell r="K508">
            <v>207</v>
          </cell>
          <cell r="S508">
            <v>201</v>
          </cell>
          <cell r="U508">
            <v>0.03</v>
          </cell>
          <cell r="V508" t="str">
            <v>저케</v>
          </cell>
          <cell r="W508">
            <v>0.01</v>
          </cell>
        </row>
        <row r="509">
          <cell r="A509">
            <v>509</v>
          </cell>
          <cell r="B509" t="str">
            <v>옥외</v>
          </cell>
          <cell r="C509" t="str">
            <v xml:space="preserve"> 저압 케이블</v>
          </cell>
          <cell r="D509" t="str">
            <v>600V CV 3.5 sq/1C</v>
          </cell>
          <cell r="E509" t="str">
            <v>m</v>
          </cell>
          <cell r="H509">
            <v>798</v>
          </cell>
          <cell r="I509">
            <v>254</v>
          </cell>
          <cell r="J509">
            <v>851</v>
          </cell>
          <cell r="K509">
            <v>261</v>
          </cell>
          <cell r="S509">
            <v>254</v>
          </cell>
          <cell r="U509">
            <v>0.03</v>
          </cell>
          <cell r="V509" t="str">
            <v>저케</v>
          </cell>
          <cell r="W509">
            <v>1.0999999999999999E-2</v>
          </cell>
        </row>
        <row r="510">
          <cell r="A510">
            <v>510</v>
          </cell>
          <cell r="B510" t="str">
            <v>옥외</v>
          </cell>
          <cell r="C510" t="str">
            <v xml:space="preserve"> 저압 케이블</v>
          </cell>
          <cell r="D510" t="str">
            <v>600V CV 5.5 sq/1C</v>
          </cell>
          <cell r="E510" t="str">
            <v>m</v>
          </cell>
          <cell r="H510">
            <v>798</v>
          </cell>
          <cell r="I510">
            <v>368</v>
          </cell>
          <cell r="J510">
            <v>851</v>
          </cell>
          <cell r="K510">
            <v>379</v>
          </cell>
          <cell r="S510">
            <v>368</v>
          </cell>
          <cell r="U510">
            <v>0.03</v>
          </cell>
          <cell r="V510" t="str">
            <v>저케</v>
          </cell>
          <cell r="W510">
            <v>1.2999999999999999E-2</v>
          </cell>
        </row>
        <row r="511">
          <cell r="A511">
            <v>511</v>
          </cell>
          <cell r="B511" t="str">
            <v>옥외</v>
          </cell>
          <cell r="C511" t="str">
            <v xml:space="preserve"> 저압 케이블</v>
          </cell>
          <cell r="D511" t="str">
            <v>600V CV 8sq/1C</v>
          </cell>
          <cell r="E511" t="str">
            <v>m</v>
          </cell>
          <cell r="H511">
            <v>798</v>
          </cell>
          <cell r="I511">
            <v>476</v>
          </cell>
          <cell r="J511">
            <v>851</v>
          </cell>
          <cell r="K511">
            <v>490</v>
          </cell>
          <cell r="S511">
            <v>476</v>
          </cell>
          <cell r="U511">
            <v>0.03</v>
          </cell>
          <cell r="V511" t="str">
            <v>저케</v>
          </cell>
          <cell r="W511">
            <v>1.4E-2</v>
          </cell>
        </row>
        <row r="512">
          <cell r="A512">
            <v>512</v>
          </cell>
          <cell r="B512" t="str">
            <v>옥외</v>
          </cell>
          <cell r="C512" t="str">
            <v xml:space="preserve"> 저압 케이블</v>
          </cell>
          <cell r="D512" t="str">
            <v>600V  CV  14sq/1C</v>
          </cell>
          <cell r="E512" t="str">
            <v>m</v>
          </cell>
          <cell r="H512">
            <v>798</v>
          </cell>
          <cell r="I512">
            <v>838</v>
          </cell>
          <cell r="J512">
            <v>842</v>
          </cell>
          <cell r="K512">
            <v>862</v>
          </cell>
          <cell r="S512">
            <v>838</v>
          </cell>
          <cell r="U512">
            <v>0.03</v>
          </cell>
          <cell r="V512" t="str">
            <v>저케</v>
          </cell>
          <cell r="W512">
            <v>0.02</v>
          </cell>
        </row>
        <row r="513">
          <cell r="A513">
            <v>513</v>
          </cell>
          <cell r="B513" t="str">
            <v>옥외</v>
          </cell>
          <cell r="C513" t="str">
            <v xml:space="preserve"> 저압 케이블</v>
          </cell>
          <cell r="D513" t="str">
            <v>600V  CV 22sq/1C</v>
          </cell>
          <cell r="E513" t="str">
            <v>m</v>
          </cell>
          <cell r="H513">
            <v>798</v>
          </cell>
          <cell r="I513">
            <v>1106</v>
          </cell>
          <cell r="J513">
            <v>851</v>
          </cell>
          <cell r="K513">
            <v>1138</v>
          </cell>
          <cell r="S513">
            <v>1106</v>
          </cell>
          <cell r="U513">
            <v>0.03</v>
          </cell>
          <cell r="V513" t="str">
            <v>저케</v>
          </cell>
          <cell r="W513">
            <v>2.5999999999999999E-2</v>
          </cell>
        </row>
        <row r="514">
          <cell r="A514">
            <v>514</v>
          </cell>
          <cell r="B514" t="str">
            <v>옥외</v>
          </cell>
          <cell r="C514" t="str">
            <v xml:space="preserve"> 저압 케이블</v>
          </cell>
          <cell r="D514" t="str">
            <v>600V  CV 38sq/1C</v>
          </cell>
          <cell r="E514" t="str">
            <v>m</v>
          </cell>
          <cell r="H514">
            <v>798</v>
          </cell>
          <cell r="I514">
            <v>1704</v>
          </cell>
          <cell r="J514">
            <v>851</v>
          </cell>
          <cell r="K514">
            <v>1752</v>
          </cell>
          <cell r="S514">
            <v>1704</v>
          </cell>
          <cell r="U514">
            <v>0.03</v>
          </cell>
          <cell r="V514" t="str">
            <v>저케</v>
          </cell>
          <cell r="W514">
            <v>3.5999999999999997E-2</v>
          </cell>
        </row>
        <row r="515">
          <cell r="A515">
            <v>515</v>
          </cell>
          <cell r="B515" t="str">
            <v>옥외</v>
          </cell>
          <cell r="C515" t="str">
            <v xml:space="preserve"> 저압 케이블</v>
          </cell>
          <cell r="D515" t="str">
            <v>600V  CV 60sq/1C</v>
          </cell>
          <cell r="E515" t="str">
            <v>m</v>
          </cell>
          <cell r="H515">
            <v>798</v>
          </cell>
          <cell r="I515">
            <v>2669</v>
          </cell>
          <cell r="J515">
            <v>851</v>
          </cell>
          <cell r="K515">
            <v>2745</v>
          </cell>
          <cell r="S515">
            <v>2669</v>
          </cell>
          <cell r="U515">
            <v>0.03</v>
          </cell>
          <cell r="V515" t="str">
            <v>저케</v>
          </cell>
          <cell r="W515">
            <v>4.9000000000000002E-2</v>
          </cell>
        </row>
        <row r="516">
          <cell r="A516">
            <v>516</v>
          </cell>
          <cell r="B516" t="str">
            <v>옥외</v>
          </cell>
          <cell r="C516" t="str">
            <v xml:space="preserve"> 저압 케이블</v>
          </cell>
          <cell r="D516" t="str">
            <v>600V  CV 100sq/1C</v>
          </cell>
          <cell r="E516" t="str">
            <v>m</v>
          </cell>
          <cell r="H516">
            <v>798</v>
          </cell>
          <cell r="I516">
            <v>4357</v>
          </cell>
          <cell r="J516">
            <v>851</v>
          </cell>
          <cell r="K516">
            <v>4482</v>
          </cell>
          <cell r="S516">
            <v>4357</v>
          </cell>
          <cell r="U516">
            <v>0.03</v>
          </cell>
          <cell r="V516" t="str">
            <v>저케</v>
          </cell>
          <cell r="W516">
            <v>7.0999999999999994E-2</v>
          </cell>
        </row>
        <row r="517">
          <cell r="A517">
            <v>517</v>
          </cell>
          <cell r="B517" t="str">
            <v>옥외</v>
          </cell>
          <cell r="C517" t="str">
            <v xml:space="preserve"> 저압 케이블</v>
          </cell>
          <cell r="D517" t="str">
            <v>600V  CV 150sq/1C</v>
          </cell>
          <cell r="E517" t="str">
            <v>m</v>
          </cell>
          <cell r="H517">
            <v>798</v>
          </cell>
          <cell r="I517">
            <v>6352</v>
          </cell>
          <cell r="J517">
            <v>851</v>
          </cell>
          <cell r="K517">
            <v>6534</v>
          </cell>
          <cell r="S517">
            <v>6352</v>
          </cell>
          <cell r="U517">
            <v>0.03</v>
          </cell>
          <cell r="V517" t="str">
            <v>저케</v>
          </cell>
          <cell r="W517">
            <v>9.7000000000000003E-2</v>
          </cell>
        </row>
        <row r="518">
          <cell r="A518">
            <v>518</v>
          </cell>
          <cell r="B518" t="str">
            <v>옥외</v>
          </cell>
          <cell r="C518" t="str">
            <v xml:space="preserve"> 저압 케이블</v>
          </cell>
          <cell r="D518" t="str">
            <v>600V  CV 200sq/1C</v>
          </cell>
          <cell r="E518" t="str">
            <v>m</v>
          </cell>
          <cell r="H518">
            <v>798</v>
          </cell>
          <cell r="I518">
            <v>9986</v>
          </cell>
          <cell r="J518">
            <v>851</v>
          </cell>
          <cell r="K518">
            <v>10271</v>
          </cell>
          <cell r="S518">
            <v>9986</v>
          </cell>
          <cell r="U518">
            <v>0.03</v>
          </cell>
          <cell r="V518" t="str">
            <v>저케</v>
          </cell>
          <cell r="W518">
            <v>0.11700000000000001</v>
          </cell>
        </row>
        <row r="519">
          <cell r="A519">
            <v>519</v>
          </cell>
          <cell r="B519" t="str">
            <v>옥외</v>
          </cell>
          <cell r="C519" t="str">
            <v xml:space="preserve"> 저압 케이블</v>
          </cell>
          <cell r="D519" t="str">
            <v>600V  CV 250sq/1C</v>
          </cell>
          <cell r="E519" t="str">
            <v>m</v>
          </cell>
          <cell r="H519">
            <v>798</v>
          </cell>
          <cell r="I519">
            <v>11588</v>
          </cell>
          <cell r="J519">
            <v>851</v>
          </cell>
          <cell r="K519">
            <v>11919</v>
          </cell>
          <cell r="S519">
            <v>11588</v>
          </cell>
          <cell r="U519">
            <v>0.03</v>
          </cell>
          <cell r="V519" t="str">
            <v>저케</v>
          </cell>
          <cell r="W519">
            <v>0.14199999999999999</v>
          </cell>
        </row>
        <row r="520">
          <cell r="A520">
            <v>520</v>
          </cell>
          <cell r="B520" t="str">
            <v>옥외</v>
          </cell>
          <cell r="C520" t="str">
            <v xml:space="preserve"> 저압 케이블</v>
          </cell>
          <cell r="D520" t="str">
            <v>600V  CV 325sq/1C</v>
          </cell>
          <cell r="E520" t="str">
            <v>m</v>
          </cell>
          <cell r="H520">
            <v>798</v>
          </cell>
          <cell r="I520">
            <v>13908</v>
          </cell>
          <cell r="J520">
            <v>851</v>
          </cell>
          <cell r="K520">
            <v>14305</v>
          </cell>
          <cell r="S520">
            <v>13908</v>
          </cell>
          <cell r="U520">
            <v>0.03</v>
          </cell>
          <cell r="V520" t="str">
            <v>저케</v>
          </cell>
          <cell r="W520">
            <v>0.17199999999999999</v>
          </cell>
        </row>
        <row r="521">
          <cell r="A521">
            <v>521</v>
          </cell>
          <cell r="S521" t="str">
            <v/>
          </cell>
        </row>
        <row r="522">
          <cell r="A522">
            <v>522</v>
          </cell>
          <cell r="S522" t="str">
            <v/>
          </cell>
        </row>
        <row r="523">
          <cell r="A523">
            <v>523</v>
          </cell>
          <cell r="B523" t="str">
            <v>옥외</v>
          </cell>
          <cell r="C523" t="str">
            <v xml:space="preserve"> 저압 케이블</v>
          </cell>
          <cell r="D523" t="str">
            <v>600V CV 2.0 sq/2C</v>
          </cell>
          <cell r="E523" t="str">
            <v>m</v>
          </cell>
          <cell r="H523">
            <v>798</v>
          </cell>
          <cell r="I523">
            <v>496</v>
          </cell>
          <cell r="J523">
            <v>851</v>
          </cell>
          <cell r="K523">
            <v>510</v>
          </cell>
          <cell r="S523">
            <v>496</v>
          </cell>
          <cell r="U523">
            <v>0.03</v>
          </cell>
          <cell r="V523" t="str">
            <v>저케</v>
          </cell>
          <cell r="W523">
            <v>1.3999999999999999E-2</v>
          </cell>
        </row>
        <row r="524">
          <cell r="A524">
            <v>524</v>
          </cell>
          <cell r="B524" t="str">
            <v>옥외</v>
          </cell>
          <cell r="C524" t="str">
            <v xml:space="preserve"> 저압 케이블</v>
          </cell>
          <cell r="D524" t="str">
            <v>600V CV 3.5 sq/2C</v>
          </cell>
          <cell r="E524" t="str">
            <v>m</v>
          </cell>
          <cell r="H524">
            <v>798</v>
          </cell>
          <cell r="I524">
            <v>634</v>
          </cell>
          <cell r="J524">
            <v>851</v>
          </cell>
          <cell r="K524">
            <v>652</v>
          </cell>
          <cell r="S524">
            <v>634</v>
          </cell>
          <cell r="U524">
            <v>0.03</v>
          </cell>
          <cell r="V524" t="str">
            <v>저케</v>
          </cell>
          <cell r="W524">
            <v>1.6E-2</v>
          </cell>
        </row>
        <row r="525">
          <cell r="A525">
            <v>525</v>
          </cell>
          <cell r="B525" t="str">
            <v>옥외</v>
          </cell>
          <cell r="C525" t="str">
            <v xml:space="preserve"> 저압 케이블</v>
          </cell>
          <cell r="D525" t="str">
            <v>600V CV 5.5 sq/2C</v>
          </cell>
          <cell r="E525" t="str">
            <v>m</v>
          </cell>
          <cell r="H525">
            <v>798</v>
          </cell>
          <cell r="I525">
            <v>846</v>
          </cell>
          <cell r="J525">
            <v>851</v>
          </cell>
          <cell r="K525">
            <v>870</v>
          </cell>
          <cell r="S525">
            <v>846</v>
          </cell>
          <cell r="U525">
            <v>0.03</v>
          </cell>
          <cell r="V525" t="str">
            <v>저케</v>
          </cell>
          <cell r="W525">
            <v>1.7999999999999999E-2</v>
          </cell>
        </row>
        <row r="526">
          <cell r="A526">
            <v>526</v>
          </cell>
          <cell r="B526" t="str">
            <v>옥외</v>
          </cell>
          <cell r="C526" t="str">
            <v xml:space="preserve"> 저압 케이블</v>
          </cell>
          <cell r="D526" t="str">
            <v>600V CV 8sq/2C</v>
          </cell>
          <cell r="E526" t="str">
            <v>m</v>
          </cell>
          <cell r="H526">
            <v>798</v>
          </cell>
          <cell r="I526">
            <v>1066</v>
          </cell>
          <cell r="J526">
            <v>851</v>
          </cell>
          <cell r="K526">
            <v>1097</v>
          </cell>
          <cell r="S526">
            <v>1066</v>
          </cell>
          <cell r="U526">
            <v>0.03</v>
          </cell>
          <cell r="V526" t="str">
            <v>저케</v>
          </cell>
          <cell r="W526">
            <v>0.02</v>
          </cell>
        </row>
        <row r="527">
          <cell r="A527">
            <v>527</v>
          </cell>
          <cell r="B527" t="str">
            <v>옥외</v>
          </cell>
          <cell r="C527" t="str">
            <v xml:space="preserve"> 저압 케이블</v>
          </cell>
          <cell r="D527" t="str">
            <v>600V  CV  14sq/2C</v>
          </cell>
          <cell r="E527" t="str">
            <v>m</v>
          </cell>
          <cell r="H527">
            <v>798</v>
          </cell>
          <cell r="I527">
            <v>1904</v>
          </cell>
          <cell r="J527">
            <v>851</v>
          </cell>
          <cell r="K527">
            <v>1959</v>
          </cell>
          <cell r="S527">
            <v>1904</v>
          </cell>
          <cell r="U527">
            <v>0.03</v>
          </cell>
          <cell r="V527" t="str">
            <v>저케</v>
          </cell>
          <cell r="W527">
            <v>2.7999999999999997E-2</v>
          </cell>
        </row>
        <row r="528">
          <cell r="A528">
            <v>528</v>
          </cell>
          <cell r="B528" t="str">
            <v>옥외</v>
          </cell>
          <cell r="C528" t="str">
            <v xml:space="preserve"> 저압 케이블</v>
          </cell>
          <cell r="D528" t="str">
            <v>600V  CV 22sq/2C</v>
          </cell>
          <cell r="E528" t="str">
            <v>m</v>
          </cell>
          <cell r="H528">
            <v>798</v>
          </cell>
          <cell r="I528">
            <v>2520</v>
          </cell>
          <cell r="J528">
            <v>851</v>
          </cell>
          <cell r="K528">
            <v>2592</v>
          </cell>
          <cell r="S528">
            <v>2520</v>
          </cell>
          <cell r="U528">
            <v>0.03</v>
          </cell>
          <cell r="V528" t="str">
            <v>저케</v>
          </cell>
          <cell r="W528">
            <v>3.6399999999999995E-2</v>
          </cell>
        </row>
        <row r="529">
          <cell r="A529">
            <v>529</v>
          </cell>
          <cell r="B529" t="str">
            <v>옥외</v>
          </cell>
          <cell r="C529" t="str">
            <v xml:space="preserve"> 저압 케이블</v>
          </cell>
          <cell r="D529" t="str">
            <v>600V  CV 38sq/2C</v>
          </cell>
          <cell r="E529" t="str">
            <v>m</v>
          </cell>
          <cell r="H529">
            <v>798</v>
          </cell>
          <cell r="I529">
            <v>3881</v>
          </cell>
          <cell r="J529">
            <v>851</v>
          </cell>
          <cell r="K529">
            <v>3992</v>
          </cell>
          <cell r="S529">
            <v>3881</v>
          </cell>
          <cell r="U529">
            <v>0.03</v>
          </cell>
          <cell r="V529" t="str">
            <v>저케</v>
          </cell>
          <cell r="W529">
            <v>5.0399999999999993E-2</v>
          </cell>
        </row>
        <row r="530">
          <cell r="A530">
            <v>530</v>
          </cell>
          <cell r="B530" t="str">
            <v>옥외</v>
          </cell>
          <cell r="C530" t="str">
            <v xml:space="preserve"> 저압 케이블</v>
          </cell>
          <cell r="D530" t="str">
            <v>600V  CV 60sq/2C</v>
          </cell>
          <cell r="E530" t="str">
            <v>m</v>
          </cell>
          <cell r="H530">
            <v>798</v>
          </cell>
          <cell r="I530">
            <v>6734</v>
          </cell>
          <cell r="J530">
            <v>851</v>
          </cell>
          <cell r="K530">
            <v>6927</v>
          </cell>
          <cell r="S530">
            <v>6734</v>
          </cell>
          <cell r="U530">
            <v>0.03</v>
          </cell>
          <cell r="V530" t="str">
            <v>저케</v>
          </cell>
          <cell r="W530">
            <v>6.8599999999999994E-2</v>
          </cell>
        </row>
        <row r="531">
          <cell r="A531">
            <v>531</v>
          </cell>
          <cell r="B531" t="str">
            <v>옥외</v>
          </cell>
          <cell r="C531" t="str">
            <v xml:space="preserve"> 저압 케이블</v>
          </cell>
          <cell r="D531" t="str">
            <v>600V  CV 100sq/2C</v>
          </cell>
          <cell r="E531" t="str">
            <v>m</v>
          </cell>
          <cell r="H531">
            <v>798</v>
          </cell>
          <cell r="I531">
            <v>10426</v>
          </cell>
          <cell r="J531">
            <v>851</v>
          </cell>
          <cell r="K531">
            <v>10724</v>
          </cell>
          <cell r="S531">
            <v>10426</v>
          </cell>
          <cell r="U531">
            <v>0.03</v>
          </cell>
          <cell r="V531" t="str">
            <v>저케</v>
          </cell>
          <cell r="W531">
            <v>9.9399999999999988E-2</v>
          </cell>
        </row>
        <row r="532">
          <cell r="A532">
            <v>532</v>
          </cell>
          <cell r="B532" t="str">
            <v>옥외</v>
          </cell>
          <cell r="C532" t="str">
            <v xml:space="preserve"> 저압 케이블</v>
          </cell>
          <cell r="D532" t="str">
            <v>600V  CV 150sq/2C</v>
          </cell>
          <cell r="E532" t="str">
            <v>m</v>
          </cell>
          <cell r="H532">
            <v>798</v>
          </cell>
          <cell r="I532">
            <v>14173</v>
          </cell>
          <cell r="J532">
            <v>851</v>
          </cell>
          <cell r="K532">
            <v>14578</v>
          </cell>
          <cell r="S532">
            <v>14173</v>
          </cell>
          <cell r="U532">
            <v>0.03</v>
          </cell>
          <cell r="V532" t="str">
            <v>저케</v>
          </cell>
          <cell r="W532">
            <v>0.1358</v>
          </cell>
        </row>
        <row r="533">
          <cell r="A533">
            <v>533</v>
          </cell>
          <cell r="B533" t="str">
            <v>옥외</v>
          </cell>
          <cell r="C533" t="str">
            <v xml:space="preserve"> 저압 케이블</v>
          </cell>
          <cell r="D533" t="str">
            <v>600V  CV 200sq/2C</v>
          </cell>
          <cell r="E533" t="str">
            <v>m</v>
          </cell>
          <cell r="H533">
            <v>798</v>
          </cell>
          <cell r="I533">
            <v>17848</v>
          </cell>
          <cell r="J533">
            <v>851</v>
          </cell>
          <cell r="K533">
            <v>18358</v>
          </cell>
          <cell r="S533">
            <v>17848</v>
          </cell>
          <cell r="U533">
            <v>0.03</v>
          </cell>
          <cell r="V533" t="str">
            <v>저케</v>
          </cell>
          <cell r="W533">
            <v>0.1638</v>
          </cell>
        </row>
        <row r="534">
          <cell r="A534">
            <v>534</v>
          </cell>
          <cell r="B534" t="str">
            <v>옥외</v>
          </cell>
          <cell r="C534" t="str">
            <v xml:space="preserve"> 저압 케이블</v>
          </cell>
          <cell r="D534" t="str">
            <v>600V  CV 250sq/2C</v>
          </cell>
          <cell r="E534" t="str">
            <v>m</v>
          </cell>
          <cell r="H534">
            <v>798</v>
          </cell>
          <cell r="I534">
            <v>22675</v>
          </cell>
          <cell r="J534">
            <v>851</v>
          </cell>
          <cell r="K534">
            <v>23323</v>
          </cell>
          <cell r="S534">
            <v>22675</v>
          </cell>
          <cell r="U534">
            <v>0.03</v>
          </cell>
          <cell r="V534" t="str">
            <v>저케</v>
          </cell>
          <cell r="W534">
            <v>0.19879999999999998</v>
          </cell>
        </row>
        <row r="535">
          <cell r="A535">
            <v>535</v>
          </cell>
          <cell r="B535" t="str">
            <v>옥외</v>
          </cell>
          <cell r="C535" t="str">
            <v xml:space="preserve"> 저압 케이블</v>
          </cell>
          <cell r="D535" t="str">
            <v>600V  CV 325sq/2C</v>
          </cell>
          <cell r="E535" t="str">
            <v>m</v>
          </cell>
          <cell r="H535">
            <v>798</v>
          </cell>
          <cell r="I535">
            <v>28015</v>
          </cell>
          <cell r="J535">
            <v>851</v>
          </cell>
          <cell r="K535">
            <v>28815</v>
          </cell>
          <cell r="S535">
            <v>28015</v>
          </cell>
          <cell r="U535">
            <v>0.03</v>
          </cell>
          <cell r="V535" t="str">
            <v>저케</v>
          </cell>
          <cell r="W535">
            <v>0.24079999999999996</v>
          </cell>
        </row>
        <row r="536">
          <cell r="A536">
            <v>536</v>
          </cell>
          <cell r="S536" t="str">
            <v/>
          </cell>
        </row>
        <row r="537">
          <cell r="A537">
            <v>537</v>
          </cell>
          <cell r="S537" t="str">
            <v/>
          </cell>
        </row>
        <row r="538">
          <cell r="A538">
            <v>538</v>
          </cell>
          <cell r="B538" t="str">
            <v>옥외</v>
          </cell>
          <cell r="C538" t="str">
            <v xml:space="preserve"> 저압 케이블</v>
          </cell>
          <cell r="D538" t="str">
            <v>600V CV 2.0 sq/3C</v>
          </cell>
          <cell r="E538" t="str">
            <v>m</v>
          </cell>
          <cell r="H538">
            <v>798</v>
          </cell>
          <cell r="I538">
            <v>598</v>
          </cell>
          <cell r="J538">
            <v>851</v>
          </cell>
          <cell r="K538">
            <v>615</v>
          </cell>
          <cell r="S538">
            <v>598</v>
          </cell>
          <cell r="U538">
            <v>0.03</v>
          </cell>
          <cell r="V538" t="str">
            <v>저케</v>
          </cell>
          <cell r="W538">
            <v>1.9E-2</v>
          </cell>
        </row>
        <row r="539">
          <cell r="A539">
            <v>539</v>
          </cell>
          <cell r="B539" t="str">
            <v>옥외</v>
          </cell>
          <cell r="C539" t="str">
            <v xml:space="preserve"> 저압 케이블</v>
          </cell>
          <cell r="D539" t="str">
            <v>600V CV 3.5 sq/3C</v>
          </cell>
          <cell r="E539" t="str">
            <v>m</v>
          </cell>
          <cell r="H539">
            <v>798</v>
          </cell>
          <cell r="I539">
            <v>799</v>
          </cell>
          <cell r="J539">
            <v>851</v>
          </cell>
          <cell r="K539">
            <v>821</v>
          </cell>
          <cell r="S539">
            <v>799</v>
          </cell>
          <cell r="U539">
            <v>0.03</v>
          </cell>
          <cell r="V539" t="str">
            <v>저케</v>
          </cell>
          <cell r="W539">
            <v>2.1999999999999999E-2</v>
          </cell>
        </row>
        <row r="540">
          <cell r="A540">
            <v>540</v>
          </cell>
          <cell r="B540" t="str">
            <v>옥외</v>
          </cell>
          <cell r="C540" t="str">
            <v xml:space="preserve"> 저압 케이블</v>
          </cell>
          <cell r="D540" t="str">
            <v>600V CV 5.5 sq/3C</v>
          </cell>
          <cell r="E540" t="str">
            <v>m</v>
          </cell>
          <cell r="H540">
            <v>798</v>
          </cell>
          <cell r="I540">
            <v>1110</v>
          </cell>
          <cell r="J540">
            <v>851</v>
          </cell>
          <cell r="K540">
            <v>1142</v>
          </cell>
          <cell r="S540">
            <v>1110</v>
          </cell>
          <cell r="U540">
            <v>0.03</v>
          </cell>
          <cell r="V540" t="str">
            <v>저케</v>
          </cell>
          <cell r="W540">
            <v>2.5999999999999999E-2</v>
          </cell>
        </row>
        <row r="541">
          <cell r="A541">
            <v>541</v>
          </cell>
          <cell r="B541" t="str">
            <v>옥외</v>
          </cell>
          <cell r="C541" t="str">
            <v xml:space="preserve"> 저압 케이블</v>
          </cell>
          <cell r="D541" t="str">
            <v>600V CV 8sq/3C</v>
          </cell>
          <cell r="E541" t="str">
            <v>m</v>
          </cell>
          <cell r="H541">
            <v>798</v>
          </cell>
          <cell r="I541">
            <v>1410</v>
          </cell>
          <cell r="J541">
            <v>851</v>
          </cell>
          <cell r="K541">
            <v>1450</v>
          </cell>
          <cell r="S541">
            <v>1410</v>
          </cell>
          <cell r="U541">
            <v>0.03</v>
          </cell>
          <cell r="V541" t="str">
            <v>저케</v>
          </cell>
          <cell r="W541">
            <v>2.9000000000000001E-2</v>
          </cell>
        </row>
        <row r="542">
          <cell r="A542">
            <v>542</v>
          </cell>
          <cell r="B542" t="str">
            <v>옥외</v>
          </cell>
          <cell r="C542" t="str">
            <v xml:space="preserve"> 저압 케이블</v>
          </cell>
          <cell r="D542" t="str">
            <v>600V  CV  14sq/3C</v>
          </cell>
          <cell r="E542" t="str">
            <v>m</v>
          </cell>
          <cell r="H542">
            <v>798</v>
          </cell>
          <cell r="I542">
            <v>2536</v>
          </cell>
          <cell r="J542">
            <v>851</v>
          </cell>
          <cell r="K542">
            <v>2609</v>
          </cell>
          <cell r="S542">
            <v>2536</v>
          </cell>
          <cell r="U542">
            <v>0.03</v>
          </cell>
          <cell r="V542" t="str">
            <v>저케</v>
          </cell>
          <cell r="W542">
            <v>0.04</v>
          </cell>
        </row>
        <row r="543">
          <cell r="A543">
            <v>543</v>
          </cell>
          <cell r="B543" t="str">
            <v>옥외</v>
          </cell>
          <cell r="C543" t="str">
            <v xml:space="preserve"> 저압 케이블</v>
          </cell>
          <cell r="D543" t="str">
            <v>600V  CV 22sq/3C</v>
          </cell>
          <cell r="E543" t="str">
            <v>m</v>
          </cell>
          <cell r="H543">
            <v>798</v>
          </cell>
          <cell r="I543">
            <v>3417</v>
          </cell>
          <cell r="J543">
            <v>851</v>
          </cell>
          <cell r="K543">
            <v>3515</v>
          </cell>
          <cell r="S543">
            <v>3417</v>
          </cell>
          <cell r="U543">
            <v>0.03</v>
          </cell>
          <cell r="V543" t="str">
            <v>저케</v>
          </cell>
          <cell r="W543">
            <v>5.1999999999999998E-2</v>
          </cell>
        </row>
        <row r="544">
          <cell r="A544">
            <v>544</v>
          </cell>
          <cell r="B544" t="str">
            <v>옥외</v>
          </cell>
          <cell r="C544" t="str">
            <v xml:space="preserve"> 저압 케이블</v>
          </cell>
          <cell r="D544" t="str">
            <v>600V  CV 38sq/3C</v>
          </cell>
          <cell r="E544" t="str">
            <v>m</v>
          </cell>
          <cell r="H544">
            <v>798</v>
          </cell>
          <cell r="I544">
            <v>5508</v>
          </cell>
          <cell r="J544">
            <v>851</v>
          </cell>
          <cell r="K544">
            <v>5665</v>
          </cell>
          <cell r="S544">
            <v>5508</v>
          </cell>
          <cell r="U544">
            <v>0.03</v>
          </cell>
          <cell r="V544" t="str">
            <v>저케</v>
          </cell>
          <cell r="W544">
            <v>7.1999999999999995E-2</v>
          </cell>
        </row>
        <row r="545">
          <cell r="A545">
            <v>545</v>
          </cell>
          <cell r="B545" t="str">
            <v>옥외</v>
          </cell>
          <cell r="C545" t="str">
            <v xml:space="preserve"> 저압 케이블</v>
          </cell>
          <cell r="D545" t="str">
            <v>600V  CV 60sq/3C</v>
          </cell>
          <cell r="E545" t="str">
            <v>m</v>
          </cell>
          <cell r="H545">
            <v>798</v>
          </cell>
          <cell r="I545">
            <v>9251</v>
          </cell>
          <cell r="J545">
            <v>851</v>
          </cell>
          <cell r="K545">
            <v>9515</v>
          </cell>
          <cell r="S545">
            <v>9251</v>
          </cell>
          <cell r="U545">
            <v>0.03</v>
          </cell>
          <cell r="V545" t="str">
            <v>저케</v>
          </cell>
          <cell r="W545">
            <v>9.8000000000000004E-2</v>
          </cell>
        </row>
        <row r="546">
          <cell r="A546">
            <v>546</v>
          </cell>
          <cell r="B546" t="str">
            <v>옥외</v>
          </cell>
          <cell r="C546" t="str">
            <v xml:space="preserve"> 저압 케이블</v>
          </cell>
          <cell r="D546" t="str">
            <v>600V  CV 80sq/3C</v>
          </cell>
          <cell r="E546" t="str">
            <v>m</v>
          </cell>
          <cell r="H546">
            <v>798</v>
          </cell>
          <cell r="J546">
            <v>851</v>
          </cell>
          <cell r="S546">
            <v>0</v>
          </cell>
          <cell r="U546">
            <v>0.03</v>
          </cell>
          <cell r="V546" t="str">
            <v>저케</v>
          </cell>
          <cell r="W546">
            <v>0.12</v>
          </cell>
        </row>
        <row r="547">
          <cell r="A547">
            <v>547</v>
          </cell>
          <cell r="B547" t="str">
            <v>옥외</v>
          </cell>
          <cell r="C547" t="str">
            <v xml:space="preserve"> 저압 케이블</v>
          </cell>
          <cell r="D547" t="str">
            <v>600V  CV 100sq/3C</v>
          </cell>
          <cell r="E547" t="str">
            <v>m</v>
          </cell>
          <cell r="H547">
            <v>798</v>
          </cell>
          <cell r="I547">
            <v>13881</v>
          </cell>
          <cell r="J547">
            <v>851</v>
          </cell>
          <cell r="K547">
            <v>14277</v>
          </cell>
          <cell r="S547">
            <v>13881</v>
          </cell>
          <cell r="U547">
            <v>0.03</v>
          </cell>
          <cell r="V547" t="str">
            <v>저케</v>
          </cell>
          <cell r="W547">
            <v>0.14199999999999999</v>
          </cell>
        </row>
        <row r="548">
          <cell r="A548">
            <v>548</v>
          </cell>
          <cell r="B548" t="str">
            <v>옥외</v>
          </cell>
          <cell r="C548" t="str">
            <v xml:space="preserve"> 저압 케이블</v>
          </cell>
          <cell r="D548" t="str">
            <v>600V  CV 150sq/3C</v>
          </cell>
          <cell r="E548" t="str">
            <v>m</v>
          </cell>
          <cell r="H548">
            <v>798</v>
          </cell>
          <cell r="I548">
            <v>19594</v>
          </cell>
          <cell r="J548">
            <v>851</v>
          </cell>
          <cell r="K548">
            <v>20153</v>
          </cell>
          <cell r="S548">
            <v>19594</v>
          </cell>
          <cell r="U548">
            <v>0.03</v>
          </cell>
          <cell r="V548" t="str">
            <v>저케</v>
          </cell>
          <cell r="W548">
            <v>0.19400000000000001</v>
          </cell>
        </row>
        <row r="549">
          <cell r="A549">
            <v>549</v>
          </cell>
          <cell r="B549" t="str">
            <v>옥외</v>
          </cell>
          <cell r="C549" t="str">
            <v xml:space="preserve"> 저압 케이블</v>
          </cell>
          <cell r="D549" t="str">
            <v>600V  CV 200sq/3C</v>
          </cell>
          <cell r="E549" t="str">
            <v>m</v>
          </cell>
          <cell r="H549">
            <v>798</v>
          </cell>
          <cell r="I549">
            <v>25958</v>
          </cell>
          <cell r="J549">
            <v>851</v>
          </cell>
          <cell r="K549">
            <v>26699</v>
          </cell>
          <cell r="S549">
            <v>25958</v>
          </cell>
          <cell r="U549">
            <v>0.03</v>
          </cell>
          <cell r="V549" t="str">
            <v>저케</v>
          </cell>
          <cell r="W549">
            <v>0.23400000000000001</v>
          </cell>
        </row>
        <row r="550">
          <cell r="A550">
            <v>550</v>
          </cell>
          <cell r="B550" t="str">
            <v>옥외</v>
          </cell>
          <cell r="C550" t="str">
            <v xml:space="preserve"> 저압 케이블</v>
          </cell>
          <cell r="D550" t="str">
            <v>600V  CV 250sq/3C</v>
          </cell>
          <cell r="E550" t="str">
            <v>m</v>
          </cell>
          <cell r="H550">
            <v>798</v>
          </cell>
          <cell r="I550">
            <v>32741</v>
          </cell>
          <cell r="J550">
            <v>851</v>
          </cell>
          <cell r="K550">
            <v>33676</v>
          </cell>
          <cell r="S550">
            <v>32741</v>
          </cell>
          <cell r="U550">
            <v>0.03</v>
          </cell>
          <cell r="V550" t="str">
            <v>저케</v>
          </cell>
          <cell r="W550">
            <v>0.28399999999999997</v>
          </cell>
        </row>
        <row r="551">
          <cell r="A551">
            <v>551</v>
          </cell>
          <cell r="B551" t="str">
            <v>옥외</v>
          </cell>
          <cell r="C551" t="str">
            <v xml:space="preserve"> 저압 케이블</v>
          </cell>
          <cell r="D551" t="str">
            <v>600V  CV 325sq/3C</v>
          </cell>
          <cell r="E551" t="str">
            <v>m</v>
          </cell>
          <cell r="H551">
            <v>798</v>
          </cell>
          <cell r="I551">
            <v>42038</v>
          </cell>
          <cell r="J551">
            <v>851</v>
          </cell>
          <cell r="K551">
            <v>43239</v>
          </cell>
          <cell r="S551">
            <v>42038</v>
          </cell>
          <cell r="U551">
            <v>0.03</v>
          </cell>
          <cell r="V551" t="str">
            <v>저케</v>
          </cell>
          <cell r="W551">
            <v>0.34399999999999997</v>
          </cell>
        </row>
        <row r="552">
          <cell r="A552">
            <v>552</v>
          </cell>
          <cell r="B552" t="str">
            <v>옥외</v>
          </cell>
          <cell r="C552" t="str">
            <v xml:space="preserve"> 내열 전선</v>
          </cell>
          <cell r="D552" t="str">
            <v>FR-3 2.0 sq/5C</v>
          </cell>
          <cell r="E552" t="str">
            <v>m</v>
          </cell>
          <cell r="S552">
            <v>0</v>
          </cell>
          <cell r="U552">
            <v>0.03</v>
          </cell>
          <cell r="V552" t="str">
            <v>저케</v>
          </cell>
          <cell r="W552">
            <v>1.9E-2</v>
          </cell>
        </row>
        <row r="553">
          <cell r="A553">
            <v>553</v>
          </cell>
          <cell r="S553" t="str">
            <v/>
          </cell>
        </row>
        <row r="554">
          <cell r="A554">
            <v>554</v>
          </cell>
          <cell r="B554" t="str">
            <v>옥외</v>
          </cell>
          <cell r="C554" t="str">
            <v xml:space="preserve"> 저압 케이블</v>
          </cell>
          <cell r="D554" t="str">
            <v>600V CV 2.0 sq/4C</v>
          </cell>
          <cell r="E554" t="str">
            <v>m</v>
          </cell>
          <cell r="H554">
            <v>798</v>
          </cell>
          <cell r="I554">
            <v>720</v>
          </cell>
          <cell r="J554">
            <v>851</v>
          </cell>
          <cell r="K554">
            <v>740</v>
          </cell>
          <cell r="S554">
            <v>720</v>
          </cell>
          <cell r="U554">
            <v>0.03</v>
          </cell>
          <cell r="V554" t="str">
            <v>저케</v>
          </cell>
          <cell r="W554">
            <v>2.5999999999999999E-2</v>
          </cell>
        </row>
        <row r="555">
          <cell r="A555">
            <v>555</v>
          </cell>
          <cell r="B555" t="str">
            <v>옥외</v>
          </cell>
          <cell r="C555" t="str">
            <v xml:space="preserve"> 저압 케이블</v>
          </cell>
          <cell r="D555" t="str">
            <v>600V CV 3.5 sq/4C</v>
          </cell>
          <cell r="E555" t="str">
            <v>m</v>
          </cell>
          <cell r="H555">
            <v>798</v>
          </cell>
          <cell r="I555">
            <v>971</v>
          </cell>
          <cell r="J555">
            <v>851</v>
          </cell>
          <cell r="K555">
            <v>999</v>
          </cell>
          <cell r="S555">
            <v>971</v>
          </cell>
          <cell r="U555">
            <v>0.03</v>
          </cell>
          <cell r="V555" t="str">
            <v>저케</v>
          </cell>
          <cell r="W555">
            <v>2.9000000000000001E-2</v>
          </cell>
        </row>
        <row r="556">
          <cell r="A556">
            <v>556</v>
          </cell>
          <cell r="B556" t="str">
            <v>옥외</v>
          </cell>
          <cell r="C556" t="str">
            <v xml:space="preserve"> 저압 케이블</v>
          </cell>
          <cell r="D556" t="str">
            <v>600V CV 5.5 sq/4C</v>
          </cell>
          <cell r="E556" t="str">
            <v>m</v>
          </cell>
          <cell r="H556">
            <v>798</v>
          </cell>
          <cell r="I556">
            <v>1370</v>
          </cell>
          <cell r="J556">
            <v>851</v>
          </cell>
          <cell r="K556">
            <v>1409</v>
          </cell>
          <cell r="S556">
            <v>1370</v>
          </cell>
          <cell r="U556">
            <v>0.03</v>
          </cell>
          <cell r="V556" t="str">
            <v>저케</v>
          </cell>
          <cell r="W556">
            <v>3.4000000000000002E-2</v>
          </cell>
        </row>
        <row r="557">
          <cell r="A557">
            <v>557</v>
          </cell>
          <cell r="B557" t="str">
            <v>옥외</v>
          </cell>
          <cell r="C557" t="str">
            <v xml:space="preserve"> 저압 케이블</v>
          </cell>
          <cell r="D557" t="str">
            <v>600V CV 8sq/4C</v>
          </cell>
          <cell r="E557" t="str">
            <v>m</v>
          </cell>
          <cell r="H557">
            <v>798</v>
          </cell>
          <cell r="I557">
            <v>1785</v>
          </cell>
          <cell r="J557">
            <v>851</v>
          </cell>
          <cell r="K557">
            <v>1836</v>
          </cell>
          <cell r="S557">
            <v>1785</v>
          </cell>
          <cell r="U557">
            <v>0.03</v>
          </cell>
          <cell r="V557" t="str">
            <v>저케</v>
          </cell>
          <cell r="W557">
            <v>3.9E-2</v>
          </cell>
        </row>
        <row r="558">
          <cell r="A558">
            <v>558</v>
          </cell>
          <cell r="B558" t="str">
            <v>옥외</v>
          </cell>
          <cell r="C558" t="str">
            <v xml:space="preserve"> 저압 케이블</v>
          </cell>
          <cell r="D558" t="str">
            <v>600V  CV  14sq/4C</v>
          </cell>
          <cell r="E558" t="str">
            <v>m</v>
          </cell>
          <cell r="H558">
            <v>798</v>
          </cell>
          <cell r="I558">
            <v>3215</v>
          </cell>
          <cell r="J558">
            <v>851</v>
          </cell>
          <cell r="K558">
            <v>3306</v>
          </cell>
          <cell r="S558">
            <v>3215</v>
          </cell>
          <cell r="U558">
            <v>0.03</v>
          </cell>
          <cell r="V558" t="str">
            <v>저케</v>
          </cell>
          <cell r="W558">
            <v>5.2000000000000005E-2</v>
          </cell>
        </row>
        <row r="559">
          <cell r="A559">
            <v>559</v>
          </cell>
          <cell r="B559" t="str">
            <v>옥외</v>
          </cell>
          <cell r="C559" t="str">
            <v xml:space="preserve"> 저압 케이블</v>
          </cell>
          <cell r="D559" t="str">
            <v>600V  CV 22sq/4C</v>
          </cell>
          <cell r="E559" t="str">
            <v>m</v>
          </cell>
          <cell r="H559">
            <v>798</v>
          </cell>
          <cell r="I559">
            <v>4329</v>
          </cell>
          <cell r="J559">
            <v>851</v>
          </cell>
          <cell r="K559">
            <v>4452</v>
          </cell>
          <cell r="S559">
            <v>4329</v>
          </cell>
          <cell r="U559">
            <v>0.03</v>
          </cell>
          <cell r="V559" t="str">
            <v>저케</v>
          </cell>
          <cell r="W559">
            <v>6.7599999999999993E-2</v>
          </cell>
        </row>
        <row r="560">
          <cell r="A560">
            <v>560</v>
          </cell>
          <cell r="B560" t="str">
            <v>옥외</v>
          </cell>
          <cell r="C560" t="str">
            <v xml:space="preserve"> 저압 케이블</v>
          </cell>
          <cell r="D560" t="str">
            <v>600V  CV 38sq/4C</v>
          </cell>
          <cell r="E560" t="str">
            <v>m</v>
          </cell>
          <cell r="H560">
            <v>798</v>
          </cell>
          <cell r="I560">
            <v>7046</v>
          </cell>
          <cell r="J560">
            <v>851</v>
          </cell>
          <cell r="K560">
            <v>7247</v>
          </cell>
          <cell r="S560">
            <v>7046</v>
          </cell>
          <cell r="U560">
            <v>0.03</v>
          </cell>
          <cell r="V560" t="str">
            <v>저케</v>
          </cell>
          <cell r="W560">
            <v>9.3600000000000003E-2</v>
          </cell>
        </row>
        <row r="561">
          <cell r="A561">
            <v>561</v>
          </cell>
          <cell r="B561" t="str">
            <v>옥외</v>
          </cell>
          <cell r="C561" t="str">
            <v xml:space="preserve"> 저압 케이블</v>
          </cell>
          <cell r="D561" t="str">
            <v>600V  CV 60sq/4C</v>
          </cell>
          <cell r="E561" t="str">
            <v>m</v>
          </cell>
          <cell r="H561">
            <v>798</v>
          </cell>
          <cell r="I561">
            <v>11841</v>
          </cell>
          <cell r="J561">
            <v>851</v>
          </cell>
          <cell r="K561">
            <v>12180</v>
          </cell>
          <cell r="S561">
            <v>11841</v>
          </cell>
          <cell r="U561">
            <v>0.03</v>
          </cell>
          <cell r="V561" t="str">
            <v>저케</v>
          </cell>
          <cell r="W561">
            <v>0.12740000000000001</v>
          </cell>
        </row>
        <row r="562">
          <cell r="A562">
            <v>562</v>
          </cell>
          <cell r="B562" t="str">
            <v>옥외</v>
          </cell>
          <cell r="C562" t="str">
            <v xml:space="preserve"> 저압 케이블</v>
          </cell>
          <cell r="D562" t="str">
            <v>600V  CV 100sq/4C</v>
          </cell>
          <cell r="E562" t="str">
            <v>m</v>
          </cell>
          <cell r="H562">
            <v>798</v>
          </cell>
          <cell r="I562">
            <v>17976</v>
          </cell>
          <cell r="J562">
            <v>851</v>
          </cell>
          <cell r="K562">
            <v>18489</v>
          </cell>
          <cell r="S562">
            <v>17976</v>
          </cell>
          <cell r="U562">
            <v>0.03</v>
          </cell>
          <cell r="V562" t="str">
            <v>저케</v>
          </cell>
          <cell r="W562">
            <v>0.18459999999999999</v>
          </cell>
        </row>
        <row r="563">
          <cell r="A563">
            <v>563</v>
          </cell>
          <cell r="B563" t="str">
            <v>옥외</v>
          </cell>
          <cell r="C563" t="str">
            <v xml:space="preserve"> 저압 케이블</v>
          </cell>
          <cell r="D563" t="str">
            <v>600V  CV 125sq/4C</v>
          </cell>
          <cell r="E563" t="str">
            <v>m</v>
          </cell>
          <cell r="H563">
            <v>798</v>
          </cell>
          <cell r="I563">
            <v>21891</v>
          </cell>
          <cell r="J563">
            <v>851</v>
          </cell>
          <cell r="K563">
            <v>22516</v>
          </cell>
          <cell r="S563">
            <v>21891</v>
          </cell>
          <cell r="U563">
            <v>0.03</v>
          </cell>
          <cell r="V563" t="str">
            <v>저케</v>
          </cell>
          <cell r="W563">
            <v>0.21840000000000001</v>
          </cell>
        </row>
        <row r="564">
          <cell r="A564">
            <v>564</v>
          </cell>
          <cell r="B564" t="str">
            <v>옥외</v>
          </cell>
          <cell r="C564" t="str">
            <v xml:space="preserve"> 저압 케이블</v>
          </cell>
          <cell r="D564" t="str">
            <v>600V  CV 150sq/4C</v>
          </cell>
          <cell r="E564" t="str">
            <v>m</v>
          </cell>
          <cell r="H564">
            <v>798</v>
          </cell>
          <cell r="I564">
            <v>26262</v>
          </cell>
          <cell r="J564">
            <v>851</v>
          </cell>
          <cell r="K564">
            <v>27012</v>
          </cell>
          <cell r="S564">
            <v>26262</v>
          </cell>
          <cell r="U564">
            <v>0.03</v>
          </cell>
          <cell r="V564" t="str">
            <v>저케</v>
          </cell>
          <cell r="W564">
            <v>0.25220000000000004</v>
          </cell>
        </row>
        <row r="565">
          <cell r="A565">
            <v>565</v>
          </cell>
          <cell r="B565" t="str">
            <v>옥외</v>
          </cell>
          <cell r="C565" t="str">
            <v xml:space="preserve"> 저압 케이블</v>
          </cell>
          <cell r="D565" t="str">
            <v>600V  CV 200sq/4C</v>
          </cell>
          <cell r="E565" t="str">
            <v>m</v>
          </cell>
          <cell r="H565">
            <v>798</v>
          </cell>
          <cell r="I565">
            <v>34598</v>
          </cell>
          <cell r="J565">
            <v>851</v>
          </cell>
          <cell r="K565">
            <v>35587</v>
          </cell>
          <cell r="S565">
            <v>34598</v>
          </cell>
          <cell r="U565">
            <v>0.03</v>
          </cell>
          <cell r="V565" t="str">
            <v>저케</v>
          </cell>
          <cell r="W565">
            <v>0.30420000000000003</v>
          </cell>
        </row>
        <row r="566">
          <cell r="A566">
            <v>566</v>
          </cell>
          <cell r="B566" t="str">
            <v>옥외</v>
          </cell>
          <cell r="C566" t="str">
            <v xml:space="preserve"> 저압 케이블</v>
          </cell>
          <cell r="D566" t="str">
            <v>600V  CV 250sq/4C</v>
          </cell>
          <cell r="E566" t="str">
            <v>m</v>
          </cell>
          <cell r="H566">
            <v>798</v>
          </cell>
          <cell r="I566">
            <v>43414</v>
          </cell>
          <cell r="J566">
            <v>851</v>
          </cell>
          <cell r="K566">
            <v>44654</v>
          </cell>
          <cell r="S566">
            <v>43414</v>
          </cell>
          <cell r="U566">
            <v>0.03</v>
          </cell>
          <cell r="V566" t="str">
            <v>저케</v>
          </cell>
          <cell r="W566">
            <v>0.36919999999999997</v>
          </cell>
        </row>
        <row r="567">
          <cell r="A567">
            <v>567</v>
          </cell>
          <cell r="B567" t="str">
            <v>옥외</v>
          </cell>
          <cell r="C567" t="str">
            <v xml:space="preserve"> 저압 케이블</v>
          </cell>
          <cell r="D567" t="str">
            <v>600V  CV 325sq/4C</v>
          </cell>
          <cell r="E567" t="str">
            <v>m</v>
          </cell>
          <cell r="H567">
            <v>798</v>
          </cell>
          <cell r="I567">
            <v>54591</v>
          </cell>
          <cell r="J567">
            <v>851</v>
          </cell>
          <cell r="K567">
            <v>56151</v>
          </cell>
          <cell r="S567">
            <v>54591</v>
          </cell>
          <cell r="U567">
            <v>0.03</v>
          </cell>
          <cell r="V567" t="str">
            <v>저케</v>
          </cell>
          <cell r="W567">
            <v>0.44719999999999999</v>
          </cell>
        </row>
        <row r="568">
          <cell r="A568">
            <v>568</v>
          </cell>
          <cell r="S568" t="str">
            <v/>
          </cell>
        </row>
        <row r="569">
          <cell r="A569">
            <v>569</v>
          </cell>
          <cell r="S569" t="str">
            <v/>
          </cell>
        </row>
        <row r="570">
          <cell r="A570">
            <v>570</v>
          </cell>
          <cell r="C570" t="str">
            <v>제어 케이블</v>
          </cell>
          <cell r="D570" t="str">
            <v>CVV  2.0sq/2C</v>
          </cell>
          <cell r="E570" t="str">
            <v>m</v>
          </cell>
          <cell r="H570">
            <v>796</v>
          </cell>
          <cell r="I570">
            <v>450</v>
          </cell>
          <cell r="J570">
            <v>845</v>
          </cell>
          <cell r="K570">
            <v>463</v>
          </cell>
          <cell r="S570">
            <v>450</v>
          </cell>
          <cell r="U570">
            <v>0.05</v>
          </cell>
          <cell r="V570" t="str">
            <v>저케</v>
          </cell>
          <cell r="W570">
            <v>1.4E-2</v>
          </cell>
        </row>
        <row r="571">
          <cell r="A571">
            <v>571</v>
          </cell>
          <cell r="C571" t="str">
            <v>제어 케이블</v>
          </cell>
          <cell r="D571" t="str">
            <v>CVV  2.0sq/3C</v>
          </cell>
          <cell r="E571" t="str">
            <v>m</v>
          </cell>
          <cell r="H571">
            <v>796</v>
          </cell>
          <cell r="I571">
            <v>550</v>
          </cell>
          <cell r="J571">
            <v>845</v>
          </cell>
          <cell r="K571">
            <v>565</v>
          </cell>
          <cell r="S571">
            <v>550</v>
          </cell>
          <cell r="U571">
            <v>0.05</v>
          </cell>
          <cell r="V571" t="str">
            <v>저케</v>
          </cell>
          <cell r="W571">
            <v>1.9E-2</v>
          </cell>
        </row>
        <row r="572">
          <cell r="A572">
            <v>572</v>
          </cell>
          <cell r="C572" t="str">
            <v>제어 케이블</v>
          </cell>
          <cell r="D572" t="str">
            <v>CVV  2.0sq/4C</v>
          </cell>
          <cell r="E572" t="str">
            <v>m</v>
          </cell>
          <cell r="H572">
            <v>796</v>
          </cell>
          <cell r="I572">
            <v>670</v>
          </cell>
          <cell r="J572">
            <v>845</v>
          </cell>
          <cell r="K572">
            <v>690</v>
          </cell>
          <cell r="S572">
            <v>670</v>
          </cell>
          <cell r="U572">
            <v>0.05</v>
          </cell>
          <cell r="V572" t="str">
            <v>저케</v>
          </cell>
          <cell r="W572">
            <v>2.5999999999999999E-2</v>
          </cell>
        </row>
        <row r="573">
          <cell r="A573">
            <v>573</v>
          </cell>
          <cell r="C573" t="str">
            <v>제어 케이블</v>
          </cell>
          <cell r="D573" t="str">
            <v>CVV  2.0sq/5C</v>
          </cell>
          <cell r="E573" t="str">
            <v>m</v>
          </cell>
          <cell r="H573">
            <v>796</v>
          </cell>
          <cell r="I573">
            <v>765</v>
          </cell>
          <cell r="J573">
            <v>845</v>
          </cell>
          <cell r="K573">
            <v>787</v>
          </cell>
          <cell r="S573">
            <v>765</v>
          </cell>
          <cell r="U573">
            <v>0.05</v>
          </cell>
          <cell r="V573" t="str">
            <v>저케</v>
          </cell>
          <cell r="W573">
            <v>3.2000000000000001E-2</v>
          </cell>
        </row>
        <row r="574">
          <cell r="A574">
            <v>574</v>
          </cell>
          <cell r="C574" t="str">
            <v>제어 케이블</v>
          </cell>
          <cell r="D574" t="str">
            <v>CVV  2.0sq/6C</v>
          </cell>
          <cell r="E574" t="str">
            <v>m</v>
          </cell>
          <cell r="H574">
            <v>796</v>
          </cell>
          <cell r="I574">
            <v>884</v>
          </cell>
          <cell r="J574">
            <v>845</v>
          </cell>
          <cell r="K574">
            <v>909</v>
          </cell>
          <cell r="S574">
            <v>884</v>
          </cell>
          <cell r="U574">
            <v>0.05</v>
          </cell>
          <cell r="V574" t="str">
            <v>저케</v>
          </cell>
          <cell r="W574">
            <v>3.5000000000000003E-2</v>
          </cell>
        </row>
        <row r="575">
          <cell r="A575">
            <v>575</v>
          </cell>
          <cell r="C575" t="str">
            <v>제어 케이블</v>
          </cell>
          <cell r="D575" t="str">
            <v>CVV  2.0sq/7C</v>
          </cell>
          <cell r="E575" t="str">
            <v>m</v>
          </cell>
          <cell r="H575">
            <v>796</v>
          </cell>
          <cell r="I575">
            <v>945</v>
          </cell>
          <cell r="J575">
            <v>845</v>
          </cell>
          <cell r="K575">
            <v>972</v>
          </cell>
          <cell r="S575">
            <v>945</v>
          </cell>
          <cell r="U575">
            <v>0.05</v>
          </cell>
          <cell r="V575" t="str">
            <v>저케</v>
          </cell>
          <cell r="W575">
            <v>3.9E-2</v>
          </cell>
        </row>
        <row r="576">
          <cell r="A576">
            <v>576</v>
          </cell>
          <cell r="C576" t="str">
            <v>제어 케이블</v>
          </cell>
          <cell r="D576" t="str">
            <v>CVV  2.0sq/8C</v>
          </cell>
          <cell r="E576" t="str">
            <v>m</v>
          </cell>
          <cell r="H576">
            <v>796</v>
          </cell>
          <cell r="I576">
            <v>1178</v>
          </cell>
          <cell r="J576">
            <v>845</v>
          </cell>
          <cell r="K576">
            <v>1211</v>
          </cell>
          <cell r="S576">
            <v>1178</v>
          </cell>
          <cell r="U576">
            <v>0.05</v>
          </cell>
          <cell r="V576" t="str">
            <v>저케</v>
          </cell>
          <cell r="W576">
            <v>4.2000000000000003E-2</v>
          </cell>
        </row>
        <row r="577">
          <cell r="A577">
            <v>577</v>
          </cell>
          <cell r="C577" t="str">
            <v>제어 케이블</v>
          </cell>
          <cell r="D577" t="str">
            <v>CVV  2.0sq/9C</v>
          </cell>
          <cell r="E577" t="str">
            <v>m</v>
          </cell>
          <cell r="H577">
            <v>796</v>
          </cell>
          <cell r="I577">
            <v>1283</v>
          </cell>
          <cell r="J577">
            <v>845</v>
          </cell>
          <cell r="K577">
            <v>1319</v>
          </cell>
          <cell r="S577">
            <v>1283</v>
          </cell>
          <cell r="U577">
            <v>0.05</v>
          </cell>
          <cell r="V577" t="str">
            <v>저케</v>
          </cell>
          <cell r="W577">
            <v>4.4999999999999998E-2</v>
          </cell>
        </row>
        <row r="578">
          <cell r="A578">
            <v>578</v>
          </cell>
          <cell r="C578" t="str">
            <v>제어 케이블</v>
          </cell>
          <cell r="D578" t="str">
            <v>CVV  2.0sq/10C</v>
          </cell>
          <cell r="E578" t="str">
            <v>m</v>
          </cell>
          <cell r="H578">
            <v>796</v>
          </cell>
          <cell r="I578">
            <v>1472</v>
          </cell>
          <cell r="J578">
            <v>845</v>
          </cell>
          <cell r="K578">
            <v>1514</v>
          </cell>
          <cell r="S578">
            <v>1472</v>
          </cell>
          <cell r="U578">
            <v>0.05</v>
          </cell>
          <cell r="V578" t="str">
            <v>저케</v>
          </cell>
          <cell r="W578">
            <v>4.8000000000000001E-2</v>
          </cell>
        </row>
        <row r="579">
          <cell r="A579">
            <v>579</v>
          </cell>
          <cell r="C579" t="str">
            <v>제어 케이블</v>
          </cell>
          <cell r="D579" t="str">
            <v>CVV  2.0sq/12C</v>
          </cell>
          <cell r="E579" t="str">
            <v>m</v>
          </cell>
          <cell r="H579">
            <v>796</v>
          </cell>
          <cell r="I579">
            <v>1632</v>
          </cell>
          <cell r="J579">
            <v>845</v>
          </cell>
          <cell r="K579">
            <v>1679</v>
          </cell>
          <cell r="S579">
            <v>1632</v>
          </cell>
          <cell r="U579">
            <v>0.05</v>
          </cell>
          <cell r="V579" t="str">
            <v>저케</v>
          </cell>
          <cell r="W579">
            <v>5.3999999999999999E-2</v>
          </cell>
        </row>
        <row r="580">
          <cell r="A580">
            <v>580</v>
          </cell>
          <cell r="C580" t="str">
            <v>제어 케이블</v>
          </cell>
          <cell r="D580" t="str">
            <v>CVV  2.0sq/15C</v>
          </cell>
          <cell r="E580" t="str">
            <v>m</v>
          </cell>
          <cell r="H580">
            <v>796</v>
          </cell>
          <cell r="I580">
            <v>2114</v>
          </cell>
          <cell r="J580">
            <v>845</v>
          </cell>
          <cell r="K580">
            <v>2175</v>
          </cell>
          <cell r="S580">
            <v>2114</v>
          </cell>
          <cell r="U580">
            <v>0.05</v>
          </cell>
          <cell r="V580" t="str">
            <v>저케</v>
          </cell>
          <cell r="W580">
            <v>6.3E-2</v>
          </cell>
        </row>
        <row r="581">
          <cell r="A581">
            <v>581</v>
          </cell>
          <cell r="C581" t="str">
            <v>제어 케이블</v>
          </cell>
          <cell r="D581" t="str">
            <v>CVV  2.0sq/19C</v>
          </cell>
          <cell r="E581" t="str">
            <v>m</v>
          </cell>
          <cell r="H581">
            <v>796</v>
          </cell>
          <cell r="I581">
            <v>2390</v>
          </cell>
          <cell r="J581">
            <v>845</v>
          </cell>
          <cell r="K581">
            <v>2459</v>
          </cell>
          <cell r="S581">
            <v>2390</v>
          </cell>
          <cell r="U581">
            <v>0.05</v>
          </cell>
          <cell r="V581" t="str">
            <v>저케</v>
          </cell>
          <cell r="W581">
            <v>7.1999999999999995E-2</v>
          </cell>
        </row>
        <row r="582">
          <cell r="A582">
            <v>582</v>
          </cell>
          <cell r="C582" t="str">
            <v>제어 케이블</v>
          </cell>
          <cell r="D582" t="str">
            <v>CVV  2.0sq/24C</v>
          </cell>
          <cell r="E582" t="str">
            <v>m</v>
          </cell>
          <cell r="H582">
            <v>796</v>
          </cell>
          <cell r="I582">
            <v>3021</v>
          </cell>
          <cell r="J582">
            <v>845</v>
          </cell>
          <cell r="K582">
            <v>3108</v>
          </cell>
          <cell r="S582">
            <v>3021</v>
          </cell>
          <cell r="U582">
            <v>0.05</v>
          </cell>
          <cell r="V582" t="str">
            <v>저케</v>
          </cell>
          <cell r="W582">
            <v>8.4000000000000005E-2</v>
          </cell>
        </row>
        <row r="583">
          <cell r="A583">
            <v>583</v>
          </cell>
          <cell r="C583" t="str">
            <v>제어 케이블</v>
          </cell>
          <cell r="D583" t="str">
            <v>CVV  2.0sq/27C</v>
          </cell>
          <cell r="E583" t="str">
            <v>m</v>
          </cell>
          <cell r="H583">
            <v>796</v>
          </cell>
          <cell r="I583">
            <v>3297</v>
          </cell>
          <cell r="J583">
            <v>845</v>
          </cell>
          <cell r="K583">
            <v>3391</v>
          </cell>
          <cell r="S583">
            <v>3297</v>
          </cell>
          <cell r="U583">
            <v>0.05</v>
          </cell>
          <cell r="V583" t="str">
            <v>저케</v>
          </cell>
          <cell r="W583">
            <v>9.0999999999999998E-2</v>
          </cell>
        </row>
        <row r="584">
          <cell r="A584">
            <v>584</v>
          </cell>
          <cell r="C584" t="str">
            <v>제어 케이블</v>
          </cell>
          <cell r="D584" t="str">
            <v>CVV  2.0sq/30C</v>
          </cell>
          <cell r="E584" t="str">
            <v>m</v>
          </cell>
          <cell r="H584">
            <v>796</v>
          </cell>
          <cell r="I584">
            <v>3689</v>
          </cell>
          <cell r="J584">
            <v>845</v>
          </cell>
          <cell r="K584">
            <v>3795</v>
          </cell>
          <cell r="S584">
            <v>3689</v>
          </cell>
          <cell r="U584">
            <v>0.05</v>
          </cell>
          <cell r="V584" t="str">
            <v>저케</v>
          </cell>
          <cell r="W584">
            <v>9.8000000000000004E-2</v>
          </cell>
        </row>
        <row r="585">
          <cell r="A585">
            <v>585</v>
          </cell>
          <cell r="S585" t="str">
            <v/>
          </cell>
        </row>
        <row r="586">
          <cell r="A586">
            <v>586</v>
          </cell>
          <cell r="S586" t="str">
            <v/>
          </cell>
        </row>
        <row r="587">
          <cell r="A587">
            <v>587</v>
          </cell>
          <cell r="C587" t="str">
            <v>제어 케이블</v>
          </cell>
          <cell r="D587" t="str">
            <v>CVV  3.5sq/2C</v>
          </cell>
          <cell r="E587" t="str">
            <v>m</v>
          </cell>
          <cell r="H587">
            <v>796</v>
          </cell>
          <cell r="I587">
            <v>659</v>
          </cell>
          <cell r="J587">
            <v>845</v>
          </cell>
          <cell r="K587">
            <v>678</v>
          </cell>
          <cell r="S587">
            <v>659</v>
          </cell>
          <cell r="U587">
            <v>0.05</v>
          </cell>
          <cell r="V587" t="str">
            <v>저케</v>
          </cell>
          <cell r="W587">
            <v>1.6E-2</v>
          </cell>
        </row>
        <row r="588">
          <cell r="A588">
            <v>588</v>
          </cell>
          <cell r="C588" t="str">
            <v>제어 케이블</v>
          </cell>
          <cell r="D588" t="str">
            <v>CVV  3.5sq/3C</v>
          </cell>
          <cell r="E588" t="str">
            <v>m</v>
          </cell>
          <cell r="H588">
            <v>796</v>
          </cell>
          <cell r="I588">
            <v>812</v>
          </cell>
          <cell r="J588">
            <v>845</v>
          </cell>
          <cell r="K588">
            <v>835</v>
          </cell>
          <cell r="S588">
            <v>812</v>
          </cell>
          <cell r="U588">
            <v>0.05</v>
          </cell>
          <cell r="V588" t="str">
            <v>저케</v>
          </cell>
          <cell r="W588">
            <v>2.1999999999999999E-2</v>
          </cell>
        </row>
        <row r="589">
          <cell r="A589">
            <v>589</v>
          </cell>
          <cell r="C589" t="str">
            <v>제어 케이블</v>
          </cell>
          <cell r="D589" t="str">
            <v>CVV  3.5sq/4C</v>
          </cell>
          <cell r="E589" t="str">
            <v>m</v>
          </cell>
          <cell r="H589">
            <v>796</v>
          </cell>
          <cell r="I589">
            <v>971</v>
          </cell>
          <cell r="J589">
            <v>845</v>
          </cell>
          <cell r="K589">
            <v>999</v>
          </cell>
          <cell r="S589">
            <v>971</v>
          </cell>
          <cell r="U589">
            <v>0.05</v>
          </cell>
          <cell r="V589" t="str">
            <v>저케</v>
          </cell>
          <cell r="W589">
            <v>2.9000000000000001E-2</v>
          </cell>
        </row>
        <row r="590">
          <cell r="A590">
            <v>590</v>
          </cell>
          <cell r="C590" t="str">
            <v>제어 케이블</v>
          </cell>
          <cell r="D590" t="str">
            <v>CVV  3.5sq/5C</v>
          </cell>
          <cell r="E590" t="str">
            <v>m</v>
          </cell>
          <cell r="H590">
            <v>796</v>
          </cell>
          <cell r="I590">
            <v>1137</v>
          </cell>
          <cell r="J590">
            <v>845</v>
          </cell>
          <cell r="K590">
            <v>1169</v>
          </cell>
          <cell r="S590">
            <v>1137</v>
          </cell>
          <cell r="U590">
            <v>0.05</v>
          </cell>
          <cell r="V590" t="str">
            <v>저케</v>
          </cell>
          <cell r="W590">
            <v>3.4000000000000002E-2</v>
          </cell>
        </row>
        <row r="591">
          <cell r="A591">
            <v>591</v>
          </cell>
          <cell r="C591" t="str">
            <v>제어 케이블</v>
          </cell>
          <cell r="D591" t="str">
            <v>CVV  3.5sq/12C</v>
          </cell>
          <cell r="E591" t="str">
            <v>m</v>
          </cell>
          <cell r="H591">
            <v>796</v>
          </cell>
          <cell r="I591">
            <v>2440</v>
          </cell>
          <cell r="J591">
            <v>845</v>
          </cell>
          <cell r="K591">
            <v>2509</v>
          </cell>
          <cell r="S591">
            <v>2440</v>
          </cell>
          <cell r="U591">
            <v>0.05</v>
          </cell>
          <cell r="V591" t="str">
            <v>저케</v>
          </cell>
          <cell r="W591">
            <v>5.8000000000000003E-2</v>
          </cell>
        </row>
        <row r="592">
          <cell r="A592">
            <v>592</v>
          </cell>
          <cell r="S592" t="str">
            <v/>
          </cell>
        </row>
        <row r="593">
          <cell r="A593">
            <v>593</v>
          </cell>
          <cell r="C593" t="str">
            <v>제어 케이블</v>
          </cell>
          <cell r="D593" t="str">
            <v>CVV  5.5sq/2C</v>
          </cell>
          <cell r="E593" t="str">
            <v>m</v>
          </cell>
          <cell r="H593">
            <v>796</v>
          </cell>
          <cell r="I593">
            <v>828</v>
          </cell>
          <cell r="J593">
            <v>845</v>
          </cell>
          <cell r="K593">
            <v>852</v>
          </cell>
          <cell r="S593">
            <v>828</v>
          </cell>
          <cell r="U593">
            <v>0.05</v>
          </cell>
          <cell r="V593" t="str">
            <v>저케</v>
          </cell>
          <cell r="W593">
            <v>1.7999999999999999E-2</v>
          </cell>
        </row>
        <row r="594">
          <cell r="A594">
            <v>594</v>
          </cell>
          <cell r="C594" t="str">
            <v>제어 케이블</v>
          </cell>
          <cell r="D594" t="str">
            <v>CVV  5.5sq/3C</v>
          </cell>
          <cell r="E594" t="str">
            <v>m</v>
          </cell>
          <cell r="H594">
            <v>796</v>
          </cell>
          <cell r="I594">
            <v>1083</v>
          </cell>
          <cell r="J594">
            <v>845</v>
          </cell>
          <cell r="K594">
            <v>1114</v>
          </cell>
          <cell r="S594">
            <v>1083</v>
          </cell>
          <cell r="U594">
            <v>0.05</v>
          </cell>
          <cell r="V594" t="str">
            <v>저케</v>
          </cell>
          <cell r="W594">
            <v>2.5999999999999999E-2</v>
          </cell>
        </row>
        <row r="595">
          <cell r="A595">
            <v>595</v>
          </cell>
          <cell r="C595" t="str">
            <v>제어 케이블</v>
          </cell>
          <cell r="D595" t="str">
            <v>CVV  5.5sq/4C</v>
          </cell>
          <cell r="E595" t="str">
            <v>m</v>
          </cell>
          <cell r="H595">
            <v>796</v>
          </cell>
          <cell r="I595">
            <v>1345</v>
          </cell>
          <cell r="J595">
            <v>845</v>
          </cell>
          <cell r="K595">
            <v>1383</v>
          </cell>
          <cell r="S595">
            <v>1345</v>
          </cell>
          <cell r="U595">
            <v>0.05</v>
          </cell>
          <cell r="V595" t="str">
            <v>저케</v>
          </cell>
          <cell r="W595">
            <v>3.4000000000000002E-2</v>
          </cell>
        </row>
        <row r="596">
          <cell r="A596">
            <v>596</v>
          </cell>
          <cell r="C596" t="str">
            <v>제어 케이블</v>
          </cell>
          <cell r="D596" t="str">
            <v>CVV  5.5sq/5C</v>
          </cell>
          <cell r="E596" t="str">
            <v>m</v>
          </cell>
          <cell r="H596">
            <v>796</v>
          </cell>
          <cell r="I596">
            <v>1628</v>
          </cell>
          <cell r="J596">
            <v>845</v>
          </cell>
          <cell r="K596">
            <v>1675</v>
          </cell>
          <cell r="S596">
            <v>1628</v>
          </cell>
          <cell r="U596">
            <v>0.05</v>
          </cell>
          <cell r="V596" t="str">
            <v>저케</v>
          </cell>
          <cell r="W596">
            <v>3.9E-2</v>
          </cell>
        </row>
        <row r="597">
          <cell r="A597">
            <v>597</v>
          </cell>
          <cell r="S597" t="str">
            <v/>
          </cell>
        </row>
        <row r="598">
          <cell r="A598">
            <v>598</v>
          </cell>
          <cell r="S598" t="str">
            <v/>
          </cell>
        </row>
        <row r="599">
          <cell r="A599">
            <v>599</v>
          </cell>
          <cell r="C599" t="str">
            <v>제어 케이블</v>
          </cell>
          <cell r="D599" t="str">
            <v>CVV-S  2.0sq/2C</v>
          </cell>
          <cell r="E599" t="str">
            <v>m</v>
          </cell>
          <cell r="H599">
            <v>797</v>
          </cell>
          <cell r="I599">
            <v>711</v>
          </cell>
          <cell r="J599">
            <v>845</v>
          </cell>
          <cell r="K599">
            <v>693</v>
          </cell>
          <cell r="S599">
            <v>693</v>
          </cell>
          <cell r="U599">
            <v>0.05</v>
          </cell>
          <cell r="V599" t="str">
            <v>저케</v>
          </cell>
          <cell r="W599">
            <v>1.6799999999999999E-2</v>
          </cell>
        </row>
        <row r="600">
          <cell r="A600">
            <v>600</v>
          </cell>
          <cell r="C600" t="str">
            <v>제어 케이블</v>
          </cell>
          <cell r="D600" t="str">
            <v>CVV-S  2.0sq/3C</v>
          </cell>
          <cell r="E600" t="str">
            <v>m</v>
          </cell>
          <cell r="H600">
            <v>797</v>
          </cell>
          <cell r="I600">
            <v>823</v>
          </cell>
          <cell r="J600">
            <v>845</v>
          </cell>
          <cell r="K600">
            <v>802</v>
          </cell>
          <cell r="S600">
            <v>802</v>
          </cell>
          <cell r="U600">
            <v>0.05</v>
          </cell>
          <cell r="V600" t="str">
            <v>저케</v>
          </cell>
          <cell r="W600">
            <v>2.2799999999999997E-2</v>
          </cell>
        </row>
        <row r="601">
          <cell r="A601">
            <v>601</v>
          </cell>
          <cell r="C601" t="str">
            <v>제어 케이블</v>
          </cell>
          <cell r="D601" t="str">
            <v>CVV-S  2.0sq/4C</v>
          </cell>
          <cell r="E601" t="str">
            <v>m</v>
          </cell>
          <cell r="H601">
            <v>797</v>
          </cell>
          <cell r="I601">
            <v>954</v>
          </cell>
          <cell r="J601">
            <v>845</v>
          </cell>
          <cell r="K601">
            <v>930</v>
          </cell>
          <cell r="S601">
            <v>930</v>
          </cell>
          <cell r="U601">
            <v>0.05</v>
          </cell>
          <cell r="V601" t="str">
            <v>저케</v>
          </cell>
          <cell r="W601">
            <v>3.1199999999999999E-2</v>
          </cell>
        </row>
        <row r="602">
          <cell r="A602">
            <v>602</v>
          </cell>
          <cell r="C602" t="str">
            <v>제어 케이블</v>
          </cell>
          <cell r="D602" t="str">
            <v>CVV-S  2.0sq/5C</v>
          </cell>
          <cell r="E602" t="str">
            <v>m</v>
          </cell>
          <cell r="H602">
            <v>797</v>
          </cell>
          <cell r="I602">
            <v>1076</v>
          </cell>
          <cell r="J602">
            <v>845</v>
          </cell>
          <cell r="K602">
            <v>1049</v>
          </cell>
          <cell r="S602">
            <v>1049</v>
          </cell>
          <cell r="U602">
            <v>0.05</v>
          </cell>
          <cell r="V602" t="str">
            <v>저케</v>
          </cell>
          <cell r="W602">
            <v>3.8399999999999997E-2</v>
          </cell>
        </row>
        <row r="603">
          <cell r="A603">
            <v>603</v>
          </cell>
          <cell r="C603" t="str">
            <v>제어 케이블</v>
          </cell>
          <cell r="D603" t="str">
            <v>CVV-S  2.0sq/6C</v>
          </cell>
          <cell r="E603" t="str">
            <v>m</v>
          </cell>
          <cell r="H603">
            <v>797</v>
          </cell>
          <cell r="I603">
            <v>1218</v>
          </cell>
          <cell r="J603">
            <v>845</v>
          </cell>
          <cell r="K603">
            <v>1188</v>
          </cell>
          <cell r="S603">
            <v>1188</v>
          </cell>
          <cell r="U603">
            <v>0.05</v>
          </cell>
          <cell r="V603" t="str">
            <v>저케</v>
          </cell>
          <cell r="W603">
            <v>4.2000000000000003E-2</v>
          </cell>
        </row>
        <row r="604">
          <cell r="A604">
            <v>604</v>
          </cell>
          <cell r="C604" t="str">
            <v>제어 케이블</v>
          </cell>
          <cell r="D604" t="str">
            <v>CVV-S  2.0sq/7C</v>
          </cell>
          <cell r="E604" t="str">
            <v>m</v>
          </cell>
          <cell r="H604">
            <v>797</v>
          </cell>
          <cell r="I604">
            <v>1292</v>
          </cell>
          <cell r="J604">
            <v>845</v>
          </cell>
          <cell r="K604">
            <v>1261</v>
          </cell>
          <cell r="S604">
            <v>1261</v>
          </cell>
          <cell r="U604">
            <v>0.05</v>
          </cell>
          <cell r="V604" t="str">
            <v>저케</v>
          </cell>
          <cell r="W604">
            <v>4.6800000000000001E-2</v>
          </cell>
        </row>
        <row r="605">
          <cell r="A605">
            <v>605</v>
          </cell>
          <cell r="C605" t="str">
            <v>제어 케이블</v>
          </cell>
          <cell r="D605" t="str">
            <v>CVV-S  2.0sq/9C</v>
          </cell>
          <cell r="E605" t="str">
            <v>m</v>
          </cell>
          <cell r="H605">
            <v>797</v>
          </cell>
          <cell r="I605">
            <v>1621</v>
          </cell>
          <cell r="J605">
            <v>845</v>
          </cell>
          <cell r="K605">
            <v>1581</v>
          </cell>
          <cell r="S605">
            <v>1581</v>
          </cell>
          <cell r="U605">
            <v>0.05</v>
          </cell>
          <cell r="V605" t="str">
            <v>저케</v>
          </cell>
          <cell r="W605">
            <v>5.3999999999999999E-2</v>
          </cell>
        </row>
        <row r="606">
          <cell r="A606">
            <v>606</v>
          </cell>
          <cell r="C606" t="str">
            <v>제어 케이블</v>
          </cell>
          <cell r="D606" t="str">
            <v>CVV-S  2.0sq/10C</v>
          </cell>
          <cell r="E606" t="str">
            <v>m</v>
          </cell>
          <cell r="H606">
            <v>797</v>
          </cell>
          <cell r="I606">
            <v>1842</v>
          </cell>
          <cell r="J606">
            <v>845</v>
          </cell>
          <cell r="K606">
            <v>1796</v>
          </cell>
          <cell r="S606">
            <v>1796</v>
          </cell>
          <cell r="U606">
            <v>0.05</v>
          </cell>
          <cell r="V606" t="str">
            <v>저케</v>
          </cell>
          <cell r="W606">
            <v>5.7599999999999998E-2</v>
          </cell>
        </row>
        <row r="607">
          <cell r="A607">
            <v>607</v>
          </cell>
          <cell r="C607" t="str">
            <v>제어 케이블</v>
          </cell>
          <cell r="D607" t="str">
            <v>CVV-S  2.0sq/12C</v>
          </cell>
          <cell r="E607" t="str">
            <v>m</v>
          </cell>
          <cell r="H607">
            <v>797</v>
          </cell>
          <cell r="I607">
            <v>2076</v>
          </cell>
          <cell r="J607">
            <v>845</v>
          </cell>
          <cell r="K607">
            <v>2025</v>
          </cell>
          <cell r="S607">
            <v>2025</v>
          </cell>
          <cell r="U607">
            <v>0.05</v>
          </cell>
          <cell r="V607" t="str">
            <v>저케</v>
          </cell>
          <cell r="W607">
            <v>6.4799999999999996E-2</v>
          </cell>
        </row>
        <row r="608">
          <cell r="A608">
            <v>608</v>
          </cell>
          <cell r="C608" t="str">
            <v>제어 케이블</v>
          </cell>
          <cell r="D608" t="str">
            <v>CVV-S  2.0sq/15C</v>
          </cell>
          <cell r="E608" t="str">
            <v>m</v>
          </cell>
          <cell r="H608">
            <v>797</v>
          </cell>
          <cell r="I608">
            <v>2419</v>
          </cell>
          <cell r="J608">
            <v>845</v>
          </cell>
          <cell r="K608">
            <v>2358</v>
          </cell>
          <cell r="S608">
            <v>2358</v>
          </cell>
          <cell r="U608">
            <v>0.05</v>
          </cell>
          <cell r="V608" t="str">
            <v>저케</v>
          </cell>
          <cell r="W608">
            <v>7.5600000000000001E-2</v>
          </cell>
        </row>
        <row r="609">
          <cell r="A609">
            <v>609</v>
          </cell>
          <cell r="C609" t="str">
            <v>제어 케이블</v>
          </cell>
          <cell r="D609" t="str">
            <v>CVV-S  2.0sq/17C</v>
          </cell>
          <cell r="E609" t="str">
            <v>m</v>
          </cell>
          <cell r="H609">
            <v>797</v>
          </cell>
          <cell r="I609">
            <v>2634</v>
          </cell>
          <cell r="J609">
            <v>845</v>
          </cell>
          <cell r="K609">
            <v>2569</v>
          </cell>
          <cell r="S609">
            <v>2569</v>
          </cell>
          <cell r="U609">
            <v>0.05</v>
          </cell>
          <cell r="V609" t="str">
            <v>저케</v>
          </cell>
          <cell r="W609">
            <v>8.6399999999999991E-2</v>
          </cell>
        </row>
        <row r="610">
          <cell r="A610">
            <v>610</v>
          </cell>
          <cell r="C610" t="str">
            <v>제어 케이블</v>
          </cell>
          <cell r="D610" t="str">
            <v>CVV-S  2.0sq/19C</v>
          </cell>
          <cell r="E610" t="str">
            <v>m</v>
          </cell>
          <cell r="H610">
            <v>797</v>
          </cell>
          <cell r="I610">
            <v>2833</v>
          </cell>
          <cell r="J610">
            <v>845</v>
          </cell>
          <cell r="K610">
            <v>2763</v>
          </cell>
          <cell r="S610">
            <v>2763</v>
          </cell>
          <cell r="U610">
            <v>0.05</v>
          </cell>
          <cell r="V610" t="str">
            <v>저케</v>
          </cell>
          <cell r="W610">
            <v>8.6399999999999991E-2</v>
          </cell>
        </row>
        <row r="611">
          <cell r="A611">
            <v>611</v>
          </cell>
          <cell r="C611" t="str">
            <v>제어 케이블</v>
          </cell>
          <cell r="D611" t="str">
            <v>CVV-S  2.0sq/20C</v>
          </cell>
          <cell r="E611" t="str">
            <v>m</v>
          </cell>
          <cell r="H611">
            <v>797</v>
          </cell>
          <cell r="I611">
            <v>3007</v>
          </cell>
          <cell r="J611">
            <v>845</v>
          </cell>
          <cell r="K611">
            <v>2932</v>
          </cell>
          <cell r="S611">
            <v>2932</v>
          </cell>
          <cell r="U611">
            <v>0.05</v>
          </cell>
          <cell r="V611" t="str">
            <v>저케</v>
          </cell>
          <cell r="W611">
            <v>0.1008</v>
          </cell>
        </row>
        <row r="612">
          <cell r="A612">
            <v>612</v>
          </cell>
          <cell r="C612" t="str">
            <v>제어 케이블</v>
          </cell>
          <cell r="D612" t="str">
            <v>CVV-S  2.0sq/24C</v>
          </cell>
          <cell r="E612" t="str">
            <v>m</v>
          </cell>
          <cell r="H612">
            <v>797</v>
          </cell>
          <cell r="I612">
            <v>3724</v>
          </cell>
          <cell r="J612">
            <v>845</v>
          </cell>
          <cell r="K612">
            <v>3629</v>
          </cell>
          <cell r="S612">
            <v>3629</v>
          </cell>
          <cell r="U612">
            <v>0.05</v>
          </cell>
          <cell r="V612" t="str">
            <v>저케</v>
          </cell>
          <cell r="W612">
            <v>0.1008</v>
          </cell>
        </row>
        <row r="613">
          <cell r="A613">
            <v>613</v>
          </cell>
          <cell r="C613" t="str">
            <v>제어 케이블</v>
          </cell>
          <cell r="D613" t="str">
            <v>CVV-S  2.0sq/27C</v>
          </cell>
          <cell r="E613" t="str">
            <v>m</v>
          </cell>
          <cell r="H613">
            <v>797</v>
          </cell>
          <cell r="I613">
            <v>3996</v>
          </cell>
          <cell r="J613">
            <v>845</v>
          </cell>
          <cell r="K613">
            <v>3895</v>
          </cell>
          <cell r="S613">
            <v>3895</v>
          </cell>
          <cell r="U613">
            <v>0.05</v>
          </cell>
          <cell r="V613" t="str">
            <v>저케</v>
          </cell>
          <cell r="W613">
            <v>0.10919999999999999</v>
          </cell>
        </row>
        <row r="614">
          <cell r="A614">
            <v>614</v>
          </cell>
          <cell r="C614" t="str">
            <v>제어 케이블</v>
          </cell>
          <cell r="D614" t="str">
            <v>CVV-S  2.0sq/30C</v>
          </cell>
          <cell r="E614" t="str">
            <v>m</v>
          </cell>
          <cell r="H614">
            <v>797</v>
          </cell>
          <cell r="I614">
            <v>4421</v>
          </cell>
          <cell r="J614">
            <v>845</v>
          </cell>
          <cell r="K614">
            <v>4309</v>
          </cell>
          <cell r="S614">
            <v>4309</v>
          </cell>
          <cell r="U614">
            <v>0.05</v>
          </cell>
          <cell r="V614" t="str">
            <v>저케</v>
          </cell>
          <cell r="W614">
            <v>0.1176</v>
          </cell>
        </row>
        <row r="615">
          <cell r="A615">
            <v>615</v>
          </cell>
          <cell r="S615" t="str">
            <v/>
          </cell>
        </row>
        <row r="616">
          <cell r="A616">
            <v>616</v>
          </cell>
          <cell r="S616" t="str">
            <v/>
          </cell>
        </row>
        <row r="617">
          <cell r="A617">
            <v>617</v>
          </cell>
          <cell r="C617" t="str">
            <v>제어 케이블</v>
          </cell>
          <cell r="D617" t="str">
            <v>CVV-S  3.5sq/2C</v>
          </cell>
          <cell r="E617" t="str">
            <v>m</v>
          </cell>
          <cell r="H617">
            <v>797</v>
          </cell>
          <cell r="I617">
            <v>878</v>
          </cell>
          <cell r="J617">
            <v>845</v>
          </cell>
          <cell r="K617">
            <v>857</v>
          </cell>
          <cell r="S617">
            <v>857</v>
          </cell>
          <cell r="U617">
            <v>0.05</v>
          </cell>
          <cell r="V617" t="str">
            <v>저케</v>
          </cell>
          <cell r="W617">
            <v>1.9199999999999998E-2</v>
          </cell>
        </row>
        <row r="618">
          <cell r="A618">
            <v>618</v>
          </cell>
          <cell r="C618" t="str">
            <v>제어 케이블</v>
          </cell>
          <cell r="D618" t="str">
            <v>CVV-S  3.5sq/3C</v>
          </cell>
          <cell r="E618" t="str">
            <v>m</v>
          </cell>
          <cell r="H618">
            <v>797</v>
          </cell>
          <cell r="I618">
            <v>1050</v>
          </cell>
          <cell r="J618">
            <v>845</v>
          </cell>
          <cell r="K618">
            <v>1024</v>
          </cell>
          <cell r="S618">
            <v>1024</v>
          </cell>
          <cell r="U618">
            <v>0.05</v>
          </cell>
          <cell r="V618" t="str">
            <v>저케</v>
          </cell>
          <cell r="W618">
            <v>2.6399999999999996E-2</v>
          </cell>
        </row>
        <row r="619">
          <cell r="A619">
            <v>619</v>
          </cell>
          <cell r="C619" t="str">
            <v>제어 케이블</v>
          </cell>
          <cell r="D619" t="str">
            <v>CVV-S  3.5sq/4C</v>
          </cell>
          <cell r="E619" t="str">
            <v>m</v>
          </cell>
          <cell r="H619">
            <v>797</v>
          </cell>
          <cell r="I619">
            <v>1256</v>
          </cell>
          <cell r="J619">
            <v>845</v>
          </cell>
          <cell r="K619">
            <v>1223</v>
          </cell>
          <cell r="S619">
            <v>1223</v>
          </cell>
          <cell r="U619">
            <v>0.05</v>
          </cell>
          <cell r="V619" t="str">
            <v>저케</v>
          </cell>
          <cell r="W619">
            <v>3.4799999999999998E-2</v>
          </cell>
        </row>
        <row r="620">
          <cell r="A620">
            <v>620</v>
          </cell>
          <cell r="C620" t="str">
            <v>제어 케이블</v>
          </cell>
          <cell r="D620" t="str">
            <v>CVV-S  3.5sq/5C</v>
          </cell>
          <cell r="E620" t="str">
            <v>m</v>
          </cell>
          <cell r="H620">
            <v>797</v>
          </cell>
          <cell r="I620">
            <v>1456</v>
          </cell>
          <cell r="J620">
            <v>845</v>
          </cell>
          <cell r="K620">
            <v>1420</v>
          </cell>
          <cell r="S620">
            <v>1420</v>
          </cell>
          <cell r="U620">
            <v>0.05</v>
          </cell>
          <cell r="V620" t="str">
            <v>저케</v>
          </cell>
          <cell r="W620">
            <v>4.0800000000000003E-2</v>
          </cell>
        </row>
        <row r="621">
          <cell r="A621">
            <v>621</v>
          </cell>
          <cell r="S621" t="str">
            <v/>
          </cell>
        </row>
        <row r="622">
          <cell r="A622">
            <v>622</v>
          </cell>
          <cell r="S622" t="str">
            <v/>
          </cell>
        </row>
        <row r="623">
          <cell r="A623">
            <v>623</v>
          </cell>
          <cell r="C623" t="str">
            <v>제어 케이블</v>
          </cell>
          <cell r="D623" t="str">
            <v>CVV-S  5.5sq/2C</v>
          </cell>
          <cell r="E623" t="str">
            <v>m</v>
          </cell>
          <cell r="H623">
            <v>797</v>
          </cell>
          <cell r="I623">
            <v>1154</v>
          </cell>
          <cell r="J623">
            <v>845</v>
          </cell>
          <cell r="K623">
            <v>1126</v>
          </cell>
          <cell r="S623">
            <v>1126</v>
          </cell>
          <cell r="U623">
            <v>0.05</v>
          </cell>
          <cell r="V623" t="str">
            <v>저케</v>
          </cell>
          <cell r="W623">
            <v>2.1599999999999998E-2</v>
          </cell>
        </row>
        <row r="624">
          <cell r="A624">
            <v>624</v>
          </cell>
          <cell r="C624" t="str">
            <v>제어 케이블</v>
          </cell>
          <cell r="D624" t="str">
            <v>CVV-S  5.5sq/3C</v>
          </cell>
          <cell r="E624" t="str">
            <v>m</v>
          </cell>
          <cell r="H624">
            <v>797</v>
          </cell>
          <cell r="I624">
            <v>1410</v>
          </cell>
          <cell r="J624">
            <v>845</v>
          </cell>
          <cell r="K624">
            <v>1375</v>
          </cell>
          <cell r="S624">
            <v>1375</v>
          </cell>
          <cell r="U624">
            <v>0.05</v>
          </cell>
          <cell r="V624" t="str">
            <v>저케</v>
          </cell>
          <cell r="W624">
            <v>3.1199999999999999E-2</v>
          </cell>
        </row>
        <row r="625">
          <cell r="A625">
            <v>625</v>
          </cell>
          <cell r="C625" t="str">
            <v>제어 케이블</v>
          </cell>
          <cell r="D625" t="str">
            <v>CVV-S  5.5sq/4C</v>
          </cell>
          <cell r="E625" t="str">
            <v>m</v>
          </cell>
          <cell r="H625">
            <v>797</v>
          </cell>
          <cell r="I625">
            <v>1745</v>
          </cell>
          <cell r="J625">
            <v>845</v>
          </cell>
          <cell r="K625">
            <v>1702</v>
          </cell>
          <cell r="S625">
            <v>1702</v>
          </cell>
          <cell r="U625">
            <v>0.05</v>
          </cell>
          <cell r="V625" t="str">
            <v>저케</v>
          </cell>
          <cell r="W625">
            <v>4.0800000000000003E-2</v>
          </cell>
        </row>
        <row r="626">
          <cell r="A626">
            <v>626</v>
          </cell>
          <cell r="C626" t="str">
            <v>제어 케이블</v>
          </cell>
          <cell r="D626" t="str">
            <v>CVV-S  5.5sq/5C</v>
          </cell>
          <cell r="E626" t="str">
            <v>m</v>
          </cell>
          <cell r="H626">
            <v>797</v>
          </cell>
          <cell r="I626">
            <v>2038</v>
          </cell>
          <cell r="J626">
            <v>845</v>
          </cell>
          <cell r="K626">
            <v>1987</v>
          </cell>
          <cell r="S626">
            <v>1987</v>
          </cell>
          <cell r="U626">
            <v>0.05</v>
          </cell>
          <cell r="V626" t="str">
            <v>저케</v>
          </cell>
          <cell r="W626">
            <v>4.6800000000000001E-2</v>
          </cell>
        </row>
        <row r="627">
          <cell r="A627">
            <v>627</v>
          </cell>
          <cell r="S627" t="str">
            <v/>
          </cell>
        </row>
        <row r="628">
          <cell r="A628">
            <v>628</v>
          </cell>
          <cell r="C628" t="str">
            <v>제어 케이블</v>
          </cell>
          <cell r="D628" t="str">
            <v>CVV-SB  2.0sq/2C</v>
          </cell>
          <cell r="E628" t="str">
            <v>m</v>
          </cell>
          <cell r="H628">
            <v>797</v>
          </cell>
          <cell r="I628">
            <v>925</v>
          </cell>
          <cell r="J628">
            <v>845</v>
          </cell>
          <cell r="K628">
            <v>903</v>
          </cell>
          <cell r="S628">
            <v>903</v>
          </cell>
          <cell r="U628">
            <v>0.05</v>
          </cell>
          <cell r="V628" t="str">
            <v>저케</v>
          </cell>
          <cell r="W628">
            <v>1.6799999999999999E-2</v>
          </cell>
        </row>
        <row r="629">
          <cell r="A629">
            <v>629</v>
          </cell>
          <cell r="C629" t="str">
            <v>제어 케이블</v>
          </cell>
          <cell r="D629" t="str">
            <v>CVV-SB  2.0sq/3C</v>
          </cell>
          <cell r="E629" t="str">
            <v>m</v>
          </cell>
          <cell r="H629">
            <v>797</v>
          </cell>
          <cell r="I629">
            <v>1119</v>
          </cell>
          <cell r="J629">
            <v>845</v>
          </cell>
          <cell r="K629">
            <v>1091</v>
          </cell>
          <cell r="S629">
            <v>1091</v>
          </cell>
          <cell r="U629">
            <v>0.05</v>
          </cell>
          <cell r="V629" t="str">
            <v>저케</v>
          </cell>
          <cell r="W629">
            <v>2.2799999999999997E-2</v>
          </cell>
        </row>
        <row r="630">
          <cell r="A630">
            <v>630</v>
          </cell>
          <cell r="C630" t="str">
            <v>제어 케이블</v>
          </cell>
          <cell r="D630" t="str">
            <v>CVV-SB  2.0sq/4C</v>
          </cell>
          <cell r="E630" t="str">
            <v>m</v>
          </cell>
          <cell r="H630">
            <v>797</v>
          </cell>
          <cell r="I630">
            <v>1288</v>
          </cell>
          <cell r="J630">
            <v>845</v>
          </cell>
          <cell r="K630">
            <v>1257</v>
          </cell>
          <cell r="S630">
            <v>1257</v>
          </cell>
          <cell r="U630">
            <v>0.05</v>
          </cell>
          <cell r="V630" t="str">
            <v>저케</v>
          </cell>
          <cell r="W630">
            <v>3.1199999999999999E-2</v>
          </cell>
        </row>
        <row r="631">
          <cell r="A631">
            <v>631</v>
          </cell>
          <cell r="C631" t="str">
            <v>제어 케이블</v>
          </cell>
          <cell r="D631" t="str">
            <v>CVV-SB  2.0sq/5C</v>
          </cell>
          <cell r="E631" t="str">
            <v>m</v>
          </cell>
          <cell r="H631">
            <v>797</v>
          </cell>
          <cell r="I631">
            <v>1406</v>
          </cell>
          <cell r="J631">
            <v>845</v>
          </cell>
          <cell r="K631">
            <v>1371</v>
          </cell>
          <cell r="S631">
            <v>1371</v>
          </cell>
          <cell r="U631">
            <v>0.05</v>
          </cell>
          <cell r="V631" t="str">
            <v>저케</v>
          </cell>
          <cell r="W631">
            <v>3.8399999999999997E-2</v>
          </cell>
        </row>
        <row r="632">
          <cell r="A632">
            <v>632</v>
          </cell>
          <cell r="C632" t="str">
            <v>제어 케이블</v>
          </cell>
          <cell r="D632" t="str">
            <v>CVV-SB  2.0sq/6C</v>
          </cell>
          <cell r="E632" t="str">
            <v>m</v>
          </cell>
          <cell r="H632">
            <v>797</v>
          </cell>
          <cell r="I632">
            <v>1578</v>
          </cell>
          <cell r="J632">
            <v>845</v>
          </cell>
          <cell r="K632">
            <v>1540</v>
          </cell>
          <cell r="S632">
            <v>1540</v>
          </cell>
          <cell r="U632">
            <v>0.05</v>
          </cell>
          <cell r="V632" t="str">
            <v>저케</v>
          </cell>
          <cell r="W632">
            <v>4.2000000000000003E-2</v>
          </cell>
        </row>
        <row r="633">
          <cell r="A633">
            <v>633</v>
          </cell>
          <cell r="C633" t="str">
            <v>제어 케이블</v>
          </cell>
          <cell r="D633" t="str">
            <v>CVV-SB  2.0sq/7C</v>
          </cell>
          <cell r="E633" t="str">
            <v>m</v>
          </cell>
          <cell r="H633">
            <v>797</v>
          </cell>
          <cell r="I633">
            <v>1676</v>
          </cell>
          <cell r="J633">
            <v>845</v>
          </cell>
          <cell r="K633">
            <v>1635</v>
          </cell>
          <cell r="S633">
            <v>1635</v>
          </cell>
          <cell r="U633">
            <v>0.05</v>
          </cell>
          <cell r="V633" t="str">
            <v>저케</v>
          </cell>
          <cell r="W633">
            <v>4.6800000000000001E-2</v>
          </cell>
        </row>
        <row r="634">
          <cell r="A634">
            <v>634</v>
          </cell>
          <cell r="C634" t="str">
            <v>제어 케이블</v>
          </cell>
          <cell r="D634" t="str">
            <v>CVV-SB  2.0sq/9C</v>
          </cell>
          <cell r="E634" t="str">
            <v>m</v>
          </cell>
          <cell r="H634">
            <v>797</v>
          </cell>
          <cell r="I634">
            <v>1950</v>
          </cell>
          <cell r="J634">
            <v>845</v>
          </cell>
          <cell r="K634">
            <v>1900</v>
          </cell>
          <cell r="S634">
            <v>1900</v>
          </cell>
          <cell r="U634">
            <v>0.05</v>
          </cell>
          <cell r="V634" t="str">
            <v>저케</v>
          </cell>
          <cell r="W634">
            <v>5.3999999999999999E-2</v>
          </cell>
        </row>
        <row r="635">
          <cell r="A635">
            <v>635</v>
          </cell>
          <cell r="C635" t="str">
            <v>제어 케이블</v>
          </cell>
          <cell r="D635" t="str">
            <v>CVV-SB  2.0sq/10C</v>
          </cell>
          <cell r="E635" t="str">
            <v>m</v>
          </cell>
          <cell r="H635">
            <v>797</v>
          </cell>
          <cell r="I635">
            <v>2134</v>
          </cell>
          <cell r="J635">
            <v>845</v>
          </cell>
          <cell r="K635">
            <v>2081</v>
          </cell>
          <cell r="S635">
            <v>2081</v>
          </cell>
          <cell r="U635">
            <v>0.05</v>
          </cell>
          <cell r="V635" t="str">
            <v>저케</v>
          </cell>
          <cell r="W635">
            <v>5.7599999999999998E-2</v>
          </cell>
        </row>
        <row r="636">
          <cell r="A636">
            <v>636</v>
          </cell>
          <cell r="C636" t="str">
            <v>제어 케이블</v>
          </cell>
          <cell r="D636" t="str">
            <v>CVV-SB  2.0sq/12C</v>
          </cell>
          <cell r="E636" t="str">
            <v>m</v>
          </cell>
          <cell r="H636">
            <v>797</v>
          </cell>
          <cell r="I636">
            <v>2337</v>
          </cell>
          <cell r="J636">
            <v>845</v>
          </cell>
          <cell r="K636">
            <v>2278</v>
          </cell>
          <cell r="S636">
            <v>2278</v>
          </cell>
          <cell r="U636">
            <v>0.05</v>
          </cell>
          <cell r="V636" t="str">
            <v>저케</v>
          </cell>
          <cell r="W636">
            <v>6.4799999999999996E-2</v>
          </cell>
        </row>
        <row r="637">
          <cell r="A637">
            <v>637</v>
          </cell>
          <cell r="C637" t="str">
            <v>제어 케이블</v>
          </cell>
          <cell r="D637" t="str">
            <v>CVV-SB  2.0sq/15C</v>
          </cell>
          <cell r="E637" t="str">
            <v>m</v>
          </cell>
          <cell r="H637">
            <v>797</v>
          </cell>
          <cell r="I637">
            <v>2803</v>
          </cell>
          <cell r="J637">
            <v>845</v>
          </cell>
          <cell r="K637">
            <v>2733</v>
          </cell>
          <cell r="S637">
            <v>2733</v>
          </cell>
          <cell r="U637">
            <v>0.05</v>
          </cell>
          <cell r="V637" t="str">
            <v>저케</v>
          </cell>
          <cell r="W637">
            <v>7.5600000000000001E-2</v>
          </cell>
        </row>
        <row r="638">
          <cell r="A638">
            <v>638</v>
          </cell>
          <cell r="C638" t="str">
            <v>제어 케이블</v>
          </cell>
          <cell r="D638" t="str">
            <v>CVV-SB  2.0sq/17C</v>
          </cell>
          <cell r="E638" t="str">
            <v>m</v>
          </cell>
          <cell r="H638">
            <v>797</v>
          </cell>
          <cell r="I638">
            <v>3079</v>
          </cell>
          <cell r="J638">
            <v>845</v>
          </cell>
          <cell r="K638">
            <v>3002</v>
          </cell>
          <cell r="S638">
            <v>3002</v>
          </cell>
          <cell r="U638">
            <v>0.05</v>
          </cell>
          <cell r="V638" t="str">
            <v>저케</v>
          </cell>
          <cell r="W638">
            <v>8.2799999999999999E-2</v>
          </cell>
        </row>
        <row r="639">
          <cell r="A639">
            <v>639</v>
          </cell>
          <cell r="C639" t="str">
            <v>제어 케이블</v>
          </cell>
          <cell r="D639" t="str">
            <v>CVV-SB  2.0sq/19C</v>
          </cell>
          <cell r="E639" t="str">
            <v>m</v>
          </cell>
          <cell r="H639">
            <v>797</v>
          </cell>
          <cell r="I639">
            <v>3252</v>
          </cell>
          <cell r="J639">
            <v>845</v>
          </cell>
          <cell r="K639">
            <v>3171</v>
          </cell>
          <cell r="S639">
            <v>3171</v>
          </cell>
          <cell r="U639">
            <v>0.05</v>
          </cell>
          <cell r="V639" t="str">
            <v>저케</v>
          </cell>
          <cell r="W639">
            <v>8.6399999999999991E-2</v>
          </cell>
        </row>
        <row r="640">
          <cell r="A640">
            <v>640</v>
          </cell>
          <cell r="C640" t="str">
            <v>제어 케이블</v>
          </cell>
          <cell r="D640" t="str">
            <v>CVV-SB  2.0sq/22C</v>
          </cell>
          <cell r="E640" t="str">
            <v>m</v>
          </cell>
          <cell r="H640">
            <v>797</v>
          </cell>
          <cell r="I640">
            <v>3902</v>
          </cell>
          <cell r="J640">
            <v>845</v>
          </cell>
          <cell r="K640">
            <v>3804</v>
          </cell>
          <cell r="S640">
            <v>3804</v>
          </cell>
          <cell r="U640">
            <v>0.05</v>
          </cell>
          <cell r="V640" t="str">
            <v>저케</v>
          </cell>
          <cell r="W640">
            <v>9.4799999999999995E-2</v>
          </cell>
        </row>
        <row r="641">
          <cell r="A641">
            <v>641</v>
          </cell>
          <cell r="C641" t="str">
            <v>제어 케이블</v>
          </cell>
          <cell r="D641" t="str">
            <v>CVV-SB  2.0sq/24C</v>
          </cell>
          <cell r="E641" t="str">
            <v>m</v>
          </cell>
          <cell r="H641">
            <v>797</v>
          </cell>
          <cell r="I641">
            <v>3877</v>
          </cell>
          <cell r="J641">
            <v>845</v>
          </cell>
          <cell r="K641">
            <v>3780</v>
          </cell>
          <cell r="S641">
            <v>3780</v>
          </cell>
          <cell r="U641">
            <v>0.05</v>
          </cell>
          <cell r="V641" t="str">
            <v>저케</v>
          </cell>
          <cell r="W641">
            <v>0.1008</v>
          </cell>
        </row>
        <row r="642">
          <cell r="A642">
            <v>642</v>
          </cell>
          <cell r="C642" t="str">
            <v>제어 케이블</v>
          </cell>
          <cell r="D642" t="str">
            <v>CVV-SB  2.0sq/27C</v>
          </cell>
          <cell r="E642" t="str">
            <v>m</v>
          </cell>
          <cell r="H642">
            <v>797</v>
          </cell>
          <cell r="I642">
            <v>4250</v>
          </cell>
          <cell r="J642">
            <v>845</v>
          </cell>
          <cell r="K642">
            <v>3884</v>
          </cell>
          <cell r="S642">
            <v>3884</v>
          </cell>
          <cell r="U642">
            <v>0.05</v>
          </cell>
          <cell r="V642" t="str">
            <v>저케</v>
          </cell>
          <cell r="W642">
            <v>0.11399999999999999</v>
          </cell>
        </row>
        <row r="643">
          <cell r="A643">
            <v>643</v>
          </cell>
          <cell r="C643" t="str">
            <v>제어 케이블</v>
          </cell>
          <cell r="D643" t="str">
            <v>CVV-SB  2.0sq/30C</v>
          </cell>
          <cell r="E643" t="str">
            <v>m</v>
          </cell>
          <cell r="H643">
            <v>797</v>
          </cell>
          <cell r="I643">
            <v>4548</v>
          </cell>
          <cell r="J643">
            <v>845</v>
          </cell>
          <cell r="K643">
            <v>4434</v>
          </cell>
          <cell r="S643">
            <v>4434</v>
          </cell>
          <cell r="U643">
            <v>0.05</v>
          </cell>
          <cell r="V643" t="str">
            <v>저케</v>
          </cell>
          <cell r="W643">
            <v>0.1176</v>
          </cell>
        </row>
        <row r="644">
          <cell r="A644">
            <v>644</v>
          </cell>
          <cell r="S644" t="str">
            <v/>
          </cell>
        </row>
        <row r="645">
          <cell r="A645">
            <v>645</v>
          </cell>
          <cell r="C645" t="str">
            <v>제어 케이블</v>
          </cell>
          <cell r="D645" t="str">
            <v>CVV-SB  1.25sq/2C</v>
          </cell>
          <cell r="E645" t="str">
            <v>m</v>
          </cell>
          <cell r="H645">
            <v>797</v>
          </cell>
          <cell r="I645">
            <v>691</v>
          </cell>
          <cell r="J645">
            <v>845</v>
          </cell>
          <cell r="K645">
            <v>673</v>
          </cell>
          <cell r="S645">
            <v>673</v>
          </cell>
          <cell r="U645">
            <v>0.05</v>
          </cell>
          <cell r="V645" t="str">
            <v>저케</v>
          </cell>
          <cell r="W645">
            <v>1.6799999999999999E-2</v>
          </cell>
        </row>
        <row r="646">
          <cell r="A646">
            <v>646</v>
          </cell>
          <cell r="C646" t="str">
            <v>제어 케이블</v>
          </cell>
          <cell r="D646" t="str">
            <v>CVV-SB  3.5sq/2C</v>
          </cell>
          <cell r="E646" t="str">
            <v>m</v>
          </cell>
          <cell r="H646">
            <v>797</v>
          </cell>
          <cell r="I646">
            <v>1170</v>
          </cell>
          <cell r="J646">
            <v>845</v>
          </cell>
          <cell r="K646">
            <v>1141</v>
          </cell>
          <cell r="S646">
            <v>1141</v>
          </cell>
          <cell r="U646">
            <v>0.05</v>
          </cell>
          <cell r="V646" t="str">
            <v>저케</v>
          </cell>
          <cell r="W646">
            <v>1.9199999999999998E-2</v>
          </cell>
        </row>
        <row r="647">
          <cell r="A647">
            <v>647</v>
          </cell>
          <cell r="C647" t="str">
            <v>제어 케이블</v>
          </cell>
          <cell r="D647" t="str">
            <v>CVV-SB  3.5sq/3C</v>
          </cell>
          <cell r="E647" t="str">
            <v>m</v>
          </cell>
          <cell r="H647">
            <v>797</v>
          </cell>
          <cell r="I647">
            <v>1379</v>
          </cell>
          <cell r="J647">
            <v>845</v>
          </cell>
          <cell r="K647">
            <v>1345</v>
          </cell>
          <cell r="S647">
            <v>1345</v>
          </cell>
          <cell r="U647">
            <v>0.05</v>
          </cell>
          <cell r="V647" t="str">
            <v>저케</v>
          </cell>
          <cell r="W647">
            <v>2.6399999999999996E-2</v>
          </cell>
        </row>
        <row r="648">
          <cell r="A648">
            <v>648</v>
          </cell>
          <cell r="C648" t="str">
            <v>제어 케이블</v>
          </cell>
          <cell r="D648" t="str">
            <v>CVV-SB  3.5sq/4C</v>
          </cell>
          <cell r="E648" t="str">
            <v>m</v>
          </cell>
          <cell r="H648">
            <v>797</v>
          </cell>
          <cell r="I648">
            <v>1583</v>
          </cell>
          <cell r="J648">
            <v>845</v>
          </cell>
          <cell r="K648">
            <v>1544</v>
          </cell>
          <cell r="S648">
            <v>1544</v>
          </cell>
          <cell r="U648">
            <v>0.05</v>
          </cell>
          <cell r="V648" t="str">
            <v>저케</v>
          </cell>
          <cell r="W648">
            <v>3.4799999999999998E-2</v>
          </cell>
        </row>
        <row r="649">
          <cell r="A649">
            <v>649</v>
          </cell>
          <cell r="C649" t="str">
            <v>제어 케이블</v>
          </cell>
          <cell r="D649" t="str">
            <v>CVV-SB  3.5sq/5C</v>
          </cell>
          <cell r="E649" t="str">
            <v>m</v>
          </cell>
          <cell r="H649">
            <v>797</v>
          </cell>
          <cell r="I649">
            <v>1721</v>
          </cell>
          <cell r="J649">
            <v>845</v>
          </cell>
          <cell r="K649">
            <v>1678</v>
          </cell>
          <cell r="S649">
            <v>1678</v>
          </cell>
          <cell r="U649">
            <v>0.05</v>
          </cell>
          <cell r="V649" t="str">
            <v>저케</v>
          </cell>
          <cell r="W649">
            <v>4.0800000000000003E-2</v>
          </cell>
        </row>
        <row r="650">
          <cell r="A650">
            <v>650</v>
          </cell>
          <cell r="S650" t="str">
            <v/>
          </cell>
        </row>
        <row r="651">
          <cell r="A651">
            <v>651</v>
          </cell>
          <cell r="S651" t="str">
            <v/>
          </cell>
        </row>
        <row r="652">
          <cell r="A652">
            <v>652</v>
          </cell>
          <cell r="C652" t="str">
            <v>제어 케이블</v>
          </cell>
          <cell r="D652" t="str">
            <v>CVV-SB  5.5sq/2C</v>
          </cell>
          <cell r="E652" t="str">
            <v>m</v>
          </cell>
          <cell r="H652">
            <v>797</v>
          </cell>
          <cell r="I652">
            <v>1413</v>
          </cell>
          <cell r="J652">
            <v>845</v>
          </cell>
          <cell r="K652">
            <v>1379</v>
          </cell>
          <cell r="S652">
            <v>1379</v>
          </cell>
          <cell r="U652">
            <v>0.05</v>
          </cell>
          <cell r="V652" t="str">
            <v>저케</v>
          </cell>
          <cell r="W652">
            <v>2.1599999999999998E-2</v>
          </cell>
        </row>
        <row r="653">
          <cell r="A653">
            <v>653</v>
          </cell>
          <cell r="C653" t="str">
            <v>제어 케이블</v>
          </cell>
          <cell r="D653" t="str">
            <v>CVV-SB  5.5sq/3C</v>
          </cell>
          <cell r="E653" t="str">
            <v>m</v>
          </cell>
          <cell r="H653">
            <v>797</v>
          </cell>
          <cell r="I653">
            <v>1740</v>
          </cell>
          <cell r="J653">
            <v>845</v>
          </cell>
          <cell r="K653">
            <v>1696</v>
          </cell>
          <cell r="S653">
            <v>1696</v>
          </cell>
          <cell r="U653">
            <v>0.05</v>
          </cell>
          <cell r="V653" t="str">
            <v>저케</v>
          </cell>
          <cell r="W653">
            <v>3.1199999999999999E-2</v>
          </cell>
        </row>
        <row r="654">
          <cell r="A654">
            <v>654</v>
          </cell>
          <cell r="C654" t="str">
            <v>제어 케이블</v>
          </cell>
          <cell r="D654" t="str">
            <v>CVV-SB  5.5sq/4C</v>
          </cell>
          <cell r="E654" t="str">
            <v>m</v>
          </cell>
          <cell r="H654">
            <v>797</v>
          </cell>
          <cell r="I654">
            <v>2000</v>
          </cell>
          <cell r="J654">
            <v>845</v>
          </cell>
          <cell r="K654">
            <v>1950</v>
          </cell>
          <cell r="S654">
            <v>1950</v>
          </cell>
          <cell r="U654">
            <v>0.05</v>
          </cell>
          <cell r="V654" t="str">
            <v>저케</v>
          </cell>
          <cell r="W654">
            <v>4.0800000000000003E-2</v>
          </cell>
        </row>
        <row r="655">
          <cell r="A655">
            <v>655</v>
          </cell>
          <cell r="C655" t="str">
            <v>제어 케이블</v>
          </cell>
          <cell r="D655" t="str">
            <v>CVV-SB  5.5sq/5C</v>
          </cell>
          <cell r="E655" t="str">
            <v>m</v>
          </cell>
          <cell r="H655">
            <v>797</v>
          </cell>
          <cell r="I655">
            <v>2352</v>
          </cell>
          <cell r="J655">
            <v>845</v>
          </cell>
          <cell r="K655">
            <v>2293</v>
          </cell>
          <cell r="S655">
            <v>2293</v>
          </cell>
          <cell r="U655">
            <v>0.05</v>
          </cell>
          <cell r="V655" t="str">
            <v>저케</v>
          </cell>
          <cell r="W655">
            <v>4.6800000000000001E-2</v>
          </cell>
        </row>
        <row r="656">
          <cell r="A656">
            <v>656</v>
          </cell>
          <cell r="S656" t="str">
            <v/>
          </cell>
        </row>
        <row r="657">
          <cell r="A657">
            <v>657</v>
          </cell>
          <cell r="S657" t="str">
            <v/>
          </cell>
        </row>
        <row r="658">
          <cell r="A658">
            <v>658</v>
          </cell>
          <cell r="B658" t="str">
            <v>옥외</v>
          </cell>
          <cell r="C658" t="str">
            <v>제어 케이블</v>
          </cell>
          <cell r="D658" t="str">
            <v>CVV  2.0sq/2C</v>
          </cell>
          <cell r="E658" t="str">
            <v>m</v>
          </cell>
          <cell r="H658">
            <v>796</v>
          </cell>
          <cell r="I658">
            <v>450</v>
          </cell>
          <cell r="J658">
            <v>845</v>
          </cell>
          <cell r="K658">
            <v>463</v>
          </cell>
          <cell r="S658">
            <v>450</v>
          </cell>
          <cell r="U658">
            <v>0.03</v>
          </cell>
          <cell r="V658" t="str">
            <v>저케</v>
          </cell>
          <cell r="W658">
            <v>1.4E-2</v>
          </cell>
        </row>
        <row r="659">
          <cell r="A659">
            <v>659</v>
          </cell>
          <cell r="B659" t="str">
            <v>옥외</v>
          </cell>
          <cell r="C659" t="str">
            <v>제어 케이블</v>
          </cell>
          <cell r="D659" t="str">
            <v>CVV  2.0sq/3C</v>
          </cell>
          <cell r="E659" t="str">
            <v>m</v>
          </cell>
          <cell r="H659">
            <v>796</v>
          </cell>
          <cell r="I659">
            <v>550</v>
          </cell>
          <cell r="J659">
            <v>845</v>
          </cell>
          <cell r="K659">
            <v>565</v>
          </cell>
          <cell r="S659">
            <v>550</v>
          </cell>
          <cell r="U659">
            <v>0.03</v>
          </cell>
          <cell r="V659" t="str">
            <v>저케</v>
          </cell>
          <cell r="W659">
            <v>1.9E-2</v>
          </cell>
        </row>
        <row r="660">
          <cell r="A660">
            <v>660</v>
          </cell>
          <cell r="B660" t="str">
            <v>옥외</v>
          </cell>
          <cell r="C660" t="str">
            <v>제어 케이블</v>
          </cell>
          <cell r="D660" t="str">
            <v>CVV  2.0sq/4C</v>
          </cell>
          <cell r="E660" t="str">
            <v>m</v>
          </cell>
          <cell r="H660">
            <v>796</v>
          </cell>
          <cell r="I660">
            <v>670</v>
          </cell>
          <cell r="J660">
            <v>845</v>
          </cell>
          <cell r="K660">
            <v>690</v>
          </cell>
          <cell r="S660">
            <v>670</v>
          </cell>
          <cell r="U660">
            <v>0.03</v>
          </cell>
          <cell r="V660" t="str">
            <v>저케</v>
          </cell>
          <cell r="W660">
            <v>2.5999999999999999E-2</v>
          </cell>
        </row>
        <row r="661">
          <cell r="A661">
            <v>661</v>
          </cell>
          <cell r="B661" t="str">
            <v>옥외</v>
          </cell>
          <cell r="C661" t="str">
            <v>제어 케이블</v>
          </cell>
          <cell r="D661" t="str">
            <v>CVV  2.0sq/5C</v>
          </cell>
          <cell r="E661" t="str">
            <v>m</v>
          </cell>
          <cell r="H661">
            <v>796</v>
          </cell>
          <cell r="I661">
            <v>765</v>
          </cell>
          <cell r="J661">
            <v>845</v>
          </cell>
          <cell r="K661">
            <v>787</v>
          </cell>
          <cell r="S661">
            <v>765</v>
          </cell>
          <cell r="U661">
            <v>0.03</v>
          </cell>
          <cell r="V661" t="str">
            <v>저케</v>
          </cell>
          <cell r="W661">
            <v>3.2000000000000001E-2</v>
          </cell>
        </row>
        <row r="662">
          <cell r="A662">
            <v>662</v>
          </cell>
          <cell r="B662" t="str">
            <v>옥외</v>
          </cell>
          <cell r="C662" t="str">
            <v>제어 케이블</v>
          </cell>
          <cell r="D662" t="str">
            <v>CVV  2.0sq/6C</v>
          </cell>
          <cell r="E662" t="str">
            <v>m</v>
          </cell>
          <cell r="H662">
            <v>796</v>
          </cell>
          <cell r="I662">
            <v>884</v>
          </cell>
          <cell r="J662">
            <v>845</v>
          </cell>
          <cell r="K662">
            <v>909</v>
          </cell>
          <cell r="S662">
            <v>884</v>
          </cell>
          <cell r="U662">
            <v>0.03</v>
          </cell>
          <cell r="V662" t="str">
            <v>저케</v>
          </cell>
          <cell r="W662">
            <v>3.5000000000000003E-2</v>
          </cell>
        </row>
        <row r="663">
          <cell r="A663">
            <v>663</v>
          </cell>
          <cell r="B663" t="str">
            <v>옥외</v>
          </cell>
          <cell r="C663" t="str">
            <v>제어 케이블</v>
          </cell>
          <cell r="D663" t="str">
            <v>CVV  2.0sq/7C</v>
          </cell>
          <cell r="E663" t="str">
            <v>m</v>
          </cell>
          <cell r="H663">
            <v>796</v>
          </cell>
          <cell r="I663">
            <v>945</v>
          </cell>
          <cell r="J663">
            <v>845</v>
          </cell>
          <cell r="K663">
            <v>972</v>
          </cell>
          <cell r="S663">
            <v>945</v>
          </cell>
          <cell r="U663">
            <v>0.03</v>
          </cell>
          <cell r="V663" t="str">
            <v>저케</v>
          </cell>
          <cell r="W663">
            <v>3.9E-2</v>
          </cell>
        </row>
        <row r="664">
          <cell r="A664">
            <v>664</v>
          </cell>
          <cell r="B664" t="str">
            <v>옥외</v>
          </cell>
          <cell r="C664" t="str">
            <v>제어 케이블</v>
          </cell>
          <cell r="D664" t="str">
            <v>CVV  2.0sq/8C</v>
          </cell>
          <cell r="E664" t="str">
            <v>m</v>
          </cell>
          <cell r="H664">
            <v>796</v>
          </cell>
          <cell r="I664">
            <v>1178</v>
          </cell>
          <cell r="J664">
            <v>845</v>
          </cell>
          <cell r="K664">
            <v>1211</v>
          </cell>
          <cell r="S664">
            <v>1178</v>
          </cell>
          <cell r="U664">
            <v>0.03</v>
          </cell>
          <cell r="V664" t="str">
            <v>저케</v>
          </cell>
          <cell r="W664">
            <v>4.2000000000000003E-2</v>
          </cell>
        </row>
        <row r="665">
          <cell r="A665">
            <v>665</v>
          </cell>
          <cell r="B665" t="str">
            <v>옥외</v>
          </cell>
          <cell r="C665" t="str">
            <v>제어 케이블</v>
          </cell>
          <cell r="D665" t="str">
            <v>CVV  2.0sq/9C</v>
          </cell>
          <cell r="E665" t="str">
            <v>m</v>
          </cell>
          <cell r="H665">
            <v>796</v>
          </cell>
          <cell r="I665">
            <v>1283</v>
          </cell>
          <cell r="J665">
            <v>845</v>
          </cell>
          <cell r="K665">
            <v>1319</v>
          </cell>
          <cell r="S665">
            <v>1283</v>
          </cell>
          <cell r="U665">
            <v>0.03</v>
          </cell>
          <cell r="V665" t="str">
            <v>저케</v>
          </cell>
          <cell r="W665">
            <v>4.4999999999999998E-2</v>
          </cell>
        </row>
        <row r="666">
          <cell r="A666">
            <v>666</v>
          </cell>
          <cell r="B666" t="str">
            <v>옥외</v>
          </cell>
          <cell r="C666" t="str">
            <v>제어 케이블</v>
          </cell>
          <cell r="D666" t="str">
            <v>CVV  2.0sq/10C</v>
          </cell>
          <cell r="E666" t="str">
            <v>m</v>
          </cell>
          <cell r="H666">
            <v>796</v>
          </cell>
          <cell r="I666">
            <v>1472</v>
          </cell>
          <cell r="J666">
            <v>845</v>
          </cell>
          <cell r="K666">
            <v>1514</v>
          </cell>
          <cell r="S666">
            <v>1472</v>
          </cell>
          <cell r="U666">
            <v>0.03</v>
          </cell>
          <cell r="V666" t="str">
            <v>저케</v>
          </cell>
          <cell r="W666">
            <v>4.8000000000000001E-2</v>
          </cell>
        </row>
        <row r="667">
          <cell r="A667">
            <v>667</v>
          </cell>
          <cell r="B667" t="str">
            <v>옥외</v>
          </cell>
          <cell r="C667" t="str">
            <v>제어 케이블</v>
          </cell>
          <cell r="D667" t="str">
            <v>CVV  2.0sq/12C</v>
          </cell>
          <cell r="E667" t="str">
            <v>m</v>
          </cell>
          <cell r="H667">
            <v>796</v>
          </cell>
          <cell r="I667">
            <v>1632</v>
          </cell>
          <cell r="J667">
            <v>845</v>
          </cell>
          <cell r="K667">
            <v>1679</v>
          </cell>
          <cell r="S667">
            <v>1632</v>
          </cell>
          <cell r="U667">
            <v>0.03</v>
          </cell>
          <cell r="V667" t="str">
            <v>저케</v>
          </cell>
          <cell r="W667">
            <v>5.3999999999999999E-2</v>
          </cell>
        </row>
        <row r="668">
          <cell r="A668">
            <v>668</v>
          </cell>
          <cell r="B668" t="str">
            <v>옥외</v>
          </cell>
          <cell r="C668" t="str">
            <v>제어 케이블</v>
          </cell>
          <cell r="D668" t="str">
            <v>CVV  2.0sq/15C</v>
          </cell>
          <cell r="E668" t="str">
            <v>m</v>
          </cell>
          <cell r="H668">
            <v>796</v>
          </cell>
          <cell r="I668">
            <v>2114</v>
          </cell>
          <cell r="J668">
            <v>845</v>
          </cell>
          <cell r="K668">
            <v>2175</v>
          </cell>
          <cell r="S668">
            <v>2114</v>
          </cell>
          <cell r="U668">
            <v>0.03</v>
          </cell>
          <cell r="V668" t="str">
            <v>저케</v>
          </cell>
          <cell r="W668">
            <v>6.3E-2</v>
          </cell>
        </row>
        <row r="669">
          <cell r="A669">
            <v>669</v>
          </cell>
          <cell r="B669" t="str">
            <v>옥외</v>
          </cell>
          <cell r="C669" t="str">
            <v>제어 케이블</v>
          </cell>
          <cell r="D669" t="str">
            <v>CVV  2.0sq/19C</v>
          </cell>
          <cell r="E669" t="str">
            <v>m</v>
          </cell>
          <cell r="H669">
            <v>796</v>
          </cell>
          <cell r="I669">
            <v>2390</v>
          </cell>
          <cell r="J669">
            <v>845</v>
          </cell>
          <cell r="K669">
            <v>2459</v>
          </cell>
          <cell r="S669">
            <v>2390</v>
          </cell>
          <cell r="U669">
            <v>0.03</v>
          </cell>
          <cell r="V669" t="str">
            <v>저케</v>
          </cell>
          <cell r="W669">
            <v>7.1999999999999995E-2</v>
          </cell>
        </row>
        <row r="670">
          <cell r="A670">
            <v>670</v>
          </cell>
          <cell r="B670" t="str">
            <v>옥외</v>
          </cell>
          <cell r="C670" t="str">
            <v>제어 케이블</v>
          </cell>
          <cell r="D670" t="str">
            <v>CVV  2.0sq/24C</v>
          </cell>
          <cell r="E670" t="str">
            <v>m</v>
          </cell>
          <cell r="H670">
            <v>796</v>
          </cell>
          <cell r="I670">
            <v>3021</v>
          </cell>
          <cell r="J670">
            <v>845</v>
          </cell>
          <cell r="K670">
            <v>3108</v>
          </cell>
          <cell r="S670">
            <v>3021</v>
          </cell>
          <cell r="U670">
            <v>0.03</v>
          </cell>
          <cell r="V670" t="str">
            <v>저케</v>
          </cell>
          <cell r="W670">
            <v>8.4000000000000005E-2</v>
          </cell>
        </row>
        <row r="671">
          <cell r="A671">
            <v>671</v>
          </cell>
          <cell r="B671" t="str">
            <v>옥외</v>
          </cell>
          <cell r="C671" t="str">
            <v>제어 케이블</v>
          </cell>
          <cell r="D671" t="str">
            <v>CVV  2.0sq/27C</v>
          </cell>
          <cell r="E671" t="str">
            <v>m</v>
          </cell>
          <cell r="H671">
            <v>796</v>
          </cell>
          <cell r="I671">
            <v>3297</v>
          </cell>
          <cell r="J671">
            <v>845</v>
          </cell>
          <cell r="K671">
            <v>3391</v>
          </cell>
          <cell r="S671">
            <v>3297</v>
          </cell>
          <cell r="U671">
            <v>0.03</v>
          </cell>
          <cell r="V671" t="str">
            <v>저케</v>
          </cell>
          <cell r="W671">
            <v>9.0999999999999998E-2</v>
          </cell>
        </row>
        <row r="672">
          <cell r="A672">
            <v>672</v>
          </cell>
          <cell r="B672" t="str">
            <v>옥외</v>
          </cell>
          <cell r="C672" t="str">
            <v>제어 케이블</v>
          </cell>
          <cell r="D672" t="str">
            <v>CVV  2.0sq/30C</v>
          </cell>
          <cell r="E672" t="str">
            <v>m</v>
          </cell>
          <cell r="H672">
            <v>796</v>
          </cell>
          <cell r="I672">
            <v>3689</v>
          </cell>
          <cell r="J672">
            <v>845</v>
          </cell>
          <cell r="K672">
            <v>3795</v>
          </cell>
          <cell r="S672">
            <v>3689</v>
          </cell>
          <cell r="U672">
            <v>0.03</v>
          </cell>
          <cell r="V672" t="str">
            <v>저케</v>
          </cell>
          <cell r="W672">
            <v>9.8000000000000004E-2</v>
          </cell>
        </row>
        <row r="673">
          <cell r="A673">
            <v>673</v>
          </cell>
          <cell r="S673" t="str">
            <v/>
          </cell>
        </row>
        <row r="674">
          <cell r="A674">
            <v>674</v>
          </cell>
          <cell r="S674" t="str">
            <v/>
          </cell>
        </row>
        <row r="675">
          <cell r="A675">
            <v>675</v>
          </cell>
          <cell r="B675" t="str">
            <v>옥외</v>
          </cell>
          <cell r="C675" t="str">
            <v>제어 케이블</v>
          </cell>
          <cell r="D675" t="str">
            <v>CVV  3.5sq/2C</v>
          </cell>
          <cell r="E675" t="str">
            <v>m</v>
          </cell>
          <cell r="H675">
            <v>796</v>
          </cell>
          <cell r="I675">
            <v>659</v>
          </cell>
          <cell r="J675">
            <v>845</v>
          </cell>
          <cell r="K675">
            <v>678</v>
          </cell>
          <cell r="S675">
            <v>659</v>
          </cell>
          <cell r="U675">
            <v>0.03</v>
          </cell>
          <cell r="V675" t="str">
            <v>저케</v>
          </cell>
          <cell r="W675">
            <v>1.6E-2</v>
          </cell>
        </row>
        <row r="676">
          <cell r="A676">
            <v>676</v>
          </cell>
          <cell r="B676" t="str">
            <v>옥외</v>
          </cell>
          <cell r="C676" t="str">
            <v>제어 케이블</v>
          </cell>
          <cell r="D676" t="str">
            <v>CVV  3.5sq/3C</v>
          </cell>
          <cell r="E676" t="str">
            <v>m</v>
          </cell>
          <cell r="H676">
            <v>796</v>
          </cell>
          <cell r="I676">
            <v>812</v>
          </cell>
          <cell r="J676">
            <v>845</v>
          </cell>
          <cell r="K676">
            <v>835</v>
          </cell>
          <cell r="S676">
            <v>812</v>
          </cell>
          <cell r="U676">
            <v>0.03</v>
          </cell>
          <cell r="V676" t="str">
            <v>저케</v>
          </cell>
          <cell r="W676">
            <v>2.1999999999999999E-2</v>
          </cell>
        </row>
        <row r="677">
          <cell r="A677">
            <v>677</v>
          </cell>
          <cell r="B677" t="str">
            <v>옥외</v>
          </cell>
          <cell r="C677" t="str">
            <v>제어 케이블</v>
          </cell>
          <cell r="D677" t="str">
            <v>CVV  3.5sq/4C</v>
          </cell>
          <cell r="E677" t="str">
            <v>m</v>
          </cell>
          <cell r="H677">
            <v>796</v>
          </cell>
          <cell r="I677">
            <v>971</v>
          </cell>
          <cell r="J677">
            <v>845</v>
          </cell>
          <cell r="K677">
            <v>999</v>
          </cell>
          <cell r="S677">
            <v>971</v>
          </cell>
          <cell r="U677">
            <v>0.03</v>
          </cell>
          <cell r="V677" t="str">
            <v>저케</v>
          </cell>
          <cell r="W677">
            <v>2.9000000000000001E-2</v>
          </cell>
        </row>
        <row r="678">
          <cell r="A678">
            <v>678</v>
          </cell>
          <cell r="B678" t="str">
            <v>옥외</v>
          </cell>
          <cell r="C678" t="str">
            <v>제어 케이블</v>
          </cell>
          <cell r="D678" t="str">
            <v>CVV  3.5sq/5C</v>
          </cell>
          <cell r="E678" t="str">
            <v>m</v>
          </cell>
          <cell r="H678">
            <v>796</v>
          </cell>
          <cell r="I678">
            <v>1137</v>
          </cell>
          <cell r="J678">
            <v>845</v>
          </cell>
          <cell r="K678">
            <v>1169</v>
          </cell>
          <cell r="S678">
            <v>1137</v>
          </cell>
          <cell r="U678">
            <v>0.03</v>
          </cell>
          <cell r="V678" t="str">
            <v>저케</v>
          </cell>
          <cell r="W678">
            <v>3.4000000000000002E-2</v>
          </cell>
        </row>
        <row r="679">
          <cell r="A679">
            <v>679</v>
          </cell>
          <cell r="B679" t="str">
            <v>옥외</v>
          </cell>
          <cell r="C679" t="str">
            <v>제어 케이블</v>
          </cell>
          <cell r="D679" t="str">
            <v>CVV  3.5sq/12C</v>
          </cell>
          <cell r="E679" t="str">
            <v>m</v>
          </cell>
          <cell r="H679">
            <v>796</v>
          </cell>
          <cell r="I679">
            <v>2440</v>
          </cell>
          <cell r="J679">
            <v>845</v>
          </cell>
          <cell r="K679">
            <v>2509</v>
          </cell>
          <cell r="S679">
            <v>2440</v>
          </cell>
          <cell r="U679">
            <v>0.03</v>
          </cell>
          <cell r="V679" t="str">
            <v>저케</v>
          </cell>
          <cell r="W679">
            <v>5.8000000000000003E-2</v>
          </cell>
        </row>
        <row r="680">
          <cell r="A680">
            <v>680</v>
          </cell>
          <cell r="S680" t="str">
            <v/>
          </cell>
        </row>
        <row r="681">
          <cell r="A681">
            <v>681</v>
          </cell>
          <cell r="B681" t="str">
            <v>옥외</v>
          </cell>
          <cell r="C681" t="str">
            <v>제어 케이블</v>
          </cell>
          <cell r="D681" t="str">
            <v>CVV  5.5sq/2C</v>
          </cell>
          <cell r="E681" t="str">
            <v>m</v>
          </cell>
          <cell r="H681">
            <v>796</v>
          </cell>
          <cell r="I681">
            <v>828</v>
          </cell>
          <cell r="J681">
            <v>845</v>
          </cell>
          <cell r="K681">
            <v>852</v>
          </cell>
          <cell r="S681">
            <v>828</v>
          </cell>
          <cell r="U681">
            <v>0.03</v>
          </cell>
          <cell r="V681" t="str">
            <v>저케</v>
          </cell>
          <cell r="W681">
            <v>1.7999999999999999E-2</v>
          </cell>
        </row>
        <row r="682">
          <cell r="A682">
            <v>682</v>
          </cell>
          <cell r="B682" t="str">
            <v>옥외</v>
          </cell>
          <cell r="C682" t="str">
            <v>제어 케이블</v>
          </cell>
          <cell r="D682" t="str">
            <v>CVV  5.5sq/3C</v>
          </cell>
          <cell r="E682" t="str">
            <v>m</v>
          </cell>
          <cell r="H682">
            <v>796</v>
          </cell>
          <cell r="I682">
            <v>1083</v>
          </cell>
          <cell r="J682">
            <v>845</v>
          </cell>
          <cell r="K682">
            <v>1114</v>
          </cell>
          <cell r="S682">
            <v>1083</v>
          </cell>
          <cell r="U682">
            <v>0.03</v>
          </cell>
          <cell r="V682" t="str">
            <v>저케</v>
          </cell>
          <cell r="W682">
            <v>2.5999999999999999E-2</v>
          </cell>
        </row>
        <row r="683">
          <cell r="A683">
            <v>683</v>
          </cell>
          <cell r="B683" t="str">
            <v>옥외</v>
          </cell>
          <cell r="C683" t="str">
            <v>제어 케이블</v>
          </cell>
          <cell r="D683" t="str">
            <v>CVV  5.5sq/4C</v>
          </cell>
          <cell r="E683" t="str">
            <v>m</v>
          </cell>
          <cell r="H683">
            <v>796</v>
          </cell>
          <cell r="I683">
            <v>1345</v>
          </cell>
          <cell r="J683">
            <v>845</v>
          </cell>
          <cell r="K683">
            <v>1383</v>
          </cell>
          <cell r="S683">
            <v>1345</v>
          </cell>
          <cell r="U683">
            <v>0.03</v>
          </cell>
          <cell r="V683" t="str">
            <v>저케</v>
          </cell>
          <cell r="W683">
            <v>3.4000000000000002E-2</v>
          </cell>
        </row>
        <row r="684">
          <cell r="A684">
            <v>684</v>
          </cell>
          <cell r="B684" t="str">
            <v>옥외</v>
          </cell>
          <cell r="C684" t="str">
            <v>제어 케이블</v>
          </cell>
          <cell r="D684" t="str">
            <v>CVV  5.5sq/5C</v>
          </cell>
          <cell r="E684" t="str">
            <v>m</v>
          </cell>
          <cell r="H684">
            <v>796</v>
          </cell>
          <cell r="I684">
            <v>1628</v>
          </cell>
          <cell r="J684">
            <v>845</v>
          </cell>
          <cell r="K684">
            <v>1675</v>
          </cell>
          <cell r="S684">
            <v>1628</v>
          </cell>
          <cell r="U684">
            <v>0.03</v>
          </cell>
          <cell r="V684" t="str">
            <v>저케</v>
          </cell>
          <cell r="W684">
            <v>3.9E-2</v>
          </cell>
        </row>
        <row r="685">
          <cell r="A685">
            <v>685</v>
          </cell>
          <cell r="S685" t="str">
            <v/>
          </cell>
        </row>
        <row r="686">
          <cell r="A686">
            <v>686</v>
          </cell>
          <cell r="S686" t="str">
            <v/>
          </cell>
        </row>
        <row r="687">
          <cell r="A687">
            <v>687</v>
          </cell>
          <cell r="B687" t="str">
            <v>옥외</v>
          </cell>
          <cell r="C687" t="str">
            <v>제어 케이블</v>
          </cell>
          <cell r="D687" t="str">
            <v>CVV-S  2.0sq/2C</v>
          </cell>
          <cell r="E687" t="str">
            <v>m</v>
          </cell>
          <cell r="H687">
            <v>797</v>
          </cell>
          <cell r="I687">
            <v>711</v>
          </cell>
          <cell r="J687">
            <v>845</v>
          </cell>
          <cell r="K687">
            <v>693</v>
          </cell>
          <cell r="S687">
            <v>693</v>
          </cell>
          <cell r="U687">
            <v>0.03</v>
          </cell>
          <cell r="V687" t="str">
            <v>저케</v>
          </cell>
          <cell r="W687">
            <v>1.6799999999999999E-2</v>
          </cell>
        </row>
        <row r="688">
          <cell r="A688">
            <v>688</v>
          </cell>
          <cell r="B688" t="str">
            <v>옥외</v>
          </cell>
          <cell r="C688" t="str">
            <v>제어 케이블</v>
          </cell>
          <cell r="D688" t="str">
            <v>CVV-S  2.0sq/3C</v>
          </cell>
          <cell r="E688" t="str">
            <v>m</v>
          </cell>
          <cell r="H688">
            <v>797</v>
          </cell>
          <cell r="I688">
            <v>823</v>
          </cell>
          <cell r="J688">
            <v>845</v>
          </cell>
          <cell r="K688">
            <v>802</v>
          </cell>
          <cell r="S688">
            <v>802</v>
          </cell>
          <cell r="U688">
            <v>0.03</v>
          </cell>
          <cell r="V688" t="str">
            <v>저케</v>
          </cell>
          <cell r="W688">
            <v>2.2799999999999997E-2</v>
          </cell>
        </row>
        <row r="689">
          <cell r="A689">
            <v>689</v>
          </cell>
          <cell r="B689" t="str">
            <v>옥외</v>
          </cell>
          <cell r="C689" t="str">
            <v>제어 케이블</v>
          </cell>
          <cell r="D689" t="str">
            <v>CVV-S  2.0sq/4C</v>
          </cell>
          <cell r="E689" t="str">
            <v>m</v>
          </cell>
          <cell r="H689">
            <v>797</v>
          </cell>
          <cell r="I689">
            <v>954</v>
          </cell>
          <cell r="J689">
            <v>845</v>
          </cell>
          <cell r="K689">
            <v>930</v>
          </cell>
          <cell r="S689">
            <v>930</v>
          </cell>
          <cell r="U689">
            <v>0.03</v>
          </cell>
          <cell r="V689" t="str">
            <v>저케</v>
          </cell>
          <cell r="W689">
            <v>3.1199999999999999E-2</v>
          </cell>
        </row>
        <row r="690">
          <cell r="A690">
            <v>690</v>
          </cell>
          <cell r="B690" t="str">
            <v>옥외</v>
          </cell>
          <cell r="C690" t="str">
            <v>제어 케이블</v>
          </cell>
          <cell r="D690" t="str">
            <v>CVV-S  2.0sq/5C</v>
          </cell>
          <cell r="E690" t="str">
            <v>m</v>
          </cell>
          <cell r="H690">
            <v>797</v>
          </cell>
          <cell r="I690">
            <v>1076</v>
          </cell>
          <cell r="J690">
            <v>845</v>
          </cell>
          <cell r="K690">
            <v>1049</v>
          </cell>
          <cell r="S690">
            <v>1049</v>
          </cell>
          <cell r="U690">
            <v>0.03</v>
          </cell>
          <cell r="V690" t="str">
            <v>저케</v>
          </cell>
          <cell r="W690">
            <v>3.8399999999999997E-2</v>
          </cell>
        </row>
        <row r="691">
          <cell r="A691">
            <v>691</v>
          </cell>
          <cell r="B691" t="str">
            <v>옥외</v>
          </cell>
          <cell r="C691" t="str">
            <v>제어 케이블</v>
          </cell>
          <cell r="D691" t="str">
            <v>CVV-S  2.0sq/6C</v>
          </cell>
          <cell r="E691" t="str">
            <v>m</v>
          </cell>
          <cell r="H691">
            <v>797</v>
          </cell>
          <cell r="I691">
            <v>1218</v>
          </cell>
          <cell r="J691">
            <v>845</v>
          </cell>
          <cell r="K691">
            <v>1188</v>
          </cell>
          <cell r="S691">
            <v>1188</v>
          </cell>
          <cell r="U691">
            <v>0.03</v>
          </cell>
          <cell r="V691" t="str">
            <v>저케</v>
          </cell>
          <cell r="W691">
            <v>4.2000000000000003E-2</v>
          </cell>
        </row>
        <row r="692">
          <cell r="A692">
            <v>692</v>
          </cell>
          <cell r="B692" t="str">
            <v>옥외</v>
          </cell>
          <cell r="C692" t="str">
            <v>제어 케이블</v>
          </cell>
          <cell r="D692" t="str">
            <v>CVV-S  2.0sq/7C</v>
          </cell>
          <cell r="E692" t="str">
            <v>m</v>
          </cell>
          <cell r="H692">
            <v>797</v>
          </cell>
          <cell r="I692">
            <v>1292</v>
          </cell>
          <cell r="J692">
            <v>845</v>
          </cell>
          <cell r="K692">
            <v>1261</v>
          </cell>
          <cell r="S692">
            <v>1261</v>
          </cell>
          <cell r="U692">
            <v>0.03</v>
          </cell>
          <cell r="V692" t="str">
            <v>저케</v>
          </cell>
          <cell r="W692">
            <v>4.6800000000000001E-2</v>
          </cell>
        </row>
        <row r="693">
          <cell r="A693">
            <v>693</v>
          </cell>
          <cell r="B693" t="str">
            <v>옥외</v>
          </cell>
          <cell r="C693" t="str">
            <v>제어 케이블</v>
          </cell>
          <cell r="D693" t="str">
            <v>CVV-S  2.0sq/9C</v>
          </cell>
          <cell r="E693" t="str">
            <v>m</v>
          </cell>
          <cell r="H693">
            <v>797</v>
          </cell>
          <cell r="I693">
            <v>1621</v>
          </cell>
          <cell r="J693">
            <v>845</v>
          </cell>
          <cell r="K693">
            <v>1581</v>
          </cell>
          <cell r="S693">
            <v>1581</v>
          </cell>
          <cell r="U693">
            <v>0.03</v>
          </cell>
          <cell r="V693" t="str">
            <v>저케</v>
          </cell>
          <cell r="W693">
            <v>5.3999999999999999E-2</v>
          </cell>
        </row>
        <row r="694">
          <cell r="A694">
            <v>694</v>
          </cell>
          <cell r="B694" t="str">
            <v>옥외</v>
          </cell>
          <cell r="C694" t="str">
            <v>제어 케이블</v>
          </cell>
          <cell r="D694" t="str">
            <v>CVV-S  2.0sq/10C</v>
          </cell>
          <cell r="E694" t="str">
            <v>m</v>
          </cell>
          <cell r="H694">
            <v>797</v>
          </cell>
          <cell r="I694">
            <v>1842</v>
          </cell>
          <cell r="J694">
            <v>845</v>
          </cell>
          <cell r="K694">
            <v>1796</v>
          </cell>
          <cell r="S694">
            <v>1796</v>
          </cell>
          <cell r="U694">
            <v>0.03</v>
          </cell>
          <cell r="V694" t="str">
            <v>저케</v>
          </cell>
          <cell r="W694">
            <v>5.7599999999999998E-2</v>
          </cell>
        </row>
        <row r="695">
          <cell r="A695">
            <v>695</v>
          </cell>
          <cell r="B695" t="str">
            <v>옥외</v>
          </cell>
          <cell r="C695" t="str">
            <v>제어 케이블</v>
          </cell>
          <cell r="D695" t="str">
            <v>CVV-S  2.0sq/12C</v>
          </cell>
          <cell r="E695" t="str">
            <v>m</v>
          </cell>
          <cell r="H695">
            <v>797</v>
          </cell>
          <cell r="I695">
            <v>2076</v>
          </cell>
          <cell r="J695">
            <v>845</v>
          </cell>
          <cell r="K695">
            <v>2025</v>
          </cell>
          <cell r="S695">
            <v>2025</v>
          </cell>
          <cell r="U695">
            <v>0.03</v>
          </cell>
          <cell r="V695" t="str">
            <v>저케</v>
          </cell>
          <cell r="W695">
            <v>6.4799999999999996E-2</v>
          </cell>
        </row>
        <row r="696">
          <cell r="A696">
            <v>696</v>
          </cell>
          <cell r="B696" t="str">
            <v>옥외</v>
          </cell>
          <cell r="C696" t="str">
            <v>제어 케이블</v>
          </cell>
          <cell r="D696" t="str">
            <v>CVV-S  2.0sq/15C</v>
          </cell>
          <cell r="E696" t="str">
            <v>m</v>
          </cell>
          <cell r="H696">
            <v>797</v>
          </cell>
          <cell r="I696">
            <v>2419</v>
          </cell>
          <cell r="J696">
            <v>845</v>
          </cell>
          <cell r="K696">
            <v>2358</v>
          </cell>
          <cell r="S696">
            <v>2358</v>
          </cell>
          <cell r="U696">
            <v>0.03</v>
          </cell>
          <cell r="V696" t="str">
            <v>저케</v>
          </cell>
          <cell r="W696">
            <v>7.5600000000000001E-2</v>
          </cell>
        </row>
        <row r="697">
          <cell r="A697">
            <v>697</v>
          </cell>
          <cell r="B697" t="str">
            <v>옥외</v>
          </cell>
          <cell r="C697" t="str">
            <v>제어 케이블</v>
          </cell>
          <cell r="D697" t="str">
            <v>CVV-S  2.0sq/17C</v>
          </cell>
          <cell r="E697" t="str">
            <v>m</v>
          </cell>
          <cell r="H697">
            <v>797</v>
          </cell>
          <cell r="I697">
            <v>2634</v>
          </cell>
          <cell r="J697">
            <v>845</v>
          </cell>
          <cell r="K697">
            <v>2569</v>
          </cell>
          <cell r="S697">
            <v>2569</v>
          </cell>
          <cell r="U697">
            <v>0.03</v>
          </cell>
          <cell r="V697" t="str">
            <v>저케</v>
          </cell>
          <cell r="W697">
            <v>8.6399999999999991E-2</v>
          </cell>
        </row>
        <row r="698">
          <cell r="A698">
            <v>698</v>
          </cell>
          <cell r="B698" t="str">
            <v>옥외</v>
          </cell>
          <cell r="C698" t="str">
            <v>제어 케이블</v>
          </cell>
          <cell r="D698" t="str">
            <v>CVV-S  2.0sq/19C</v>
          </cell>
          <cell r="E698" t="str">
            <v>m</v>
          </cell>
          <cell r="H698">
            <v>797</v>
          </cell>
          <cell r="I698">
            <v>2833</v>
          </cell>
          <cell r="J698">
            <v>845</v>
          </cell>
          <cell r="K698">
            <v>2763</v>
          </cell>
          <cell r="S698">
            <v>2763</v>
          </cell>
          <cell r="U698">
            <v>0.03</v>
          </cell>
          <cell r="V698" t="str">
            <v>저케</v>
          </cell>
          <cell r="W698">
            <v>8.6399999999999991E-2</v>
          </cell>
        </row>
        <row r="699">
          <cell r="A699">
            <v>699</v>
          </cell>
          <cell r="B699" t="str">
            <v>옥외</v>
          </cell>
          <cell r="C699" t="str">
            <v>제어 케이블</v>
          </cell>
          <cell r="D699" t="str">
            <v>CVV-S  2.0sq/20C</v>
          </cell>
          <cell r="E699" t="str">
            <v>m</v>
          </cell>
          <cell r="H699">
            <v>797</v>
          </cell>
          <cell r="I699">
            <v>3007</v>
          </cell>
          <cell r="J699">
            <v>845</v>
          </cell>
          <cell r="K699">
            <v>2932</v>
          </cell>
          <cell r="S699">
            <v>2932</v>
          </cell>
          <cell r="U699">
            <v>0.03</v>
          </cell>
          <cell r="V699" t="str">
            <v>저케</v>
          </cell>
          <cell r="W699">
            <v>0.1008</v>
          </cell>
        </row>
        <row r="700">
          <cell r="A700">
            <v>700</v>
          </cell>
          <cell r="B700" t="str">
            <v>옥외</v>
          </cell>
          <cell r="C700" t="str">
            <v>제어 케이블</v>
          </cell>
          <cell r="D700" t="str">
            <v>CVV-S  2.0sq/24C</v>
          </cell>
          <cell r="E700" t="str">
            <v>m</v>
          </cell>
          <cell r="H700">
            <v>797</v>
          </cell>
          <cell r="I700">
            <v>3724</v>
          </cell>
          <cell r="J700">
            <v>845</v>
          </cell>
          <cell r="K700">
            <v>3629</v>
          </cell>
          <cell r="S700">
            <v>3629</v>
          </cell>
          <cell r="U700">
            <v>0.03</v>
          </cell>
          <cell r="V700" t="str">
            <v>저케</v>
          </cell>
          <cell r="W700">
            <v>0.1008</v>
          </cell>
        </row>
        <row r="701">
          <cell r="A701">
            <v>701</v>
          </cell>
          <cell r="B701" t="str">
            <v>옥외</v>
          </cell>
          <cell r="C701" t="str">
            <v>제어 케이블</v>
          </cell>
          <cell r="D701" t="str">
            <v>CVV-S  2.0sq/27C</v>
          </cell>
          <cell r="E701" t="str">
            <v>m</v>
          </cell>
          <cell r="H701">
            <v>797</v>
          </cell>
          <cell r="I701">
            <v>3996</v>
          </cell>
          <cell r="J701">
            <v>845</v>
          </cell>
          <cell r="K701">
            <v>3895</v>
          </cell>
          <cell r="S701">
            <v>3895</v>
          </cell>
          <cell r="U701">
            <v>0.03</v>
          </cell>
          <cell r="V701" t="str">
            <v>저케</v>
          </cell>
          <cell r="W701">
            <v>0.10919999999999999</v>
          </cell>
        </row>
        <row r="702">
          <cell r="A702">
            <v>702</v>
          </cell>
          <cell r="B702" t="str">
            <v>옥외</v>
          </cell>
          <cell r="C702" t="str">
            <v>제어 케이블</v>
          </cell>
          <cell r="D702" t="str">
            <v>CVV-S  2.0sq/30C</v>
          </cell>
          <cell r="E702" t="str">
            <v>m</v>
          </cell>
          <cell r="H702">
            <v>797</v>
          </cell>
          <cell r="I702">
            <v>4421</v>
          </cell>
          <cell r="J702">
            <v>845</v>
          </cell>
          <cell r="K702">
            <v>4309</v>
          </cell>
          <cell r="S702">
            <v>4309</v>
          </cell>
          <cell r="U702">
            <v>0.03</v>
          </cell>
          <cell r="V702" t="str">
            <v>저케</v>
          </cell>
          <cell r="W702">
            <v>0.1176</v>
          </cell>
        </row>
        <row r="703">
          <cell r="A703">
            <v>703</v>
          </cell>
          <cell r="S703" t="str">
            <v/>
          </cell>
        </row>
        <row r="704">
          <cell r="A704">
            <v>704</v>
          </cell>
          <cell r="S704" t="str">
            <v/>
          </cell>
        </row>
        <row r="705">
          <cell r="A705">
            <v>705</v>
          </cell>
          <cell r="B705" t="str">
            <v>옥외</v>
          </cell>
          <cell r="C705" t="str">
            <v>제어 케이블</v>
          </cell>
          <cell r="D705" t="str">
            <v>CVV-S  3.5sq/2C</v>
          </cell>
          <cell r="E705" t="str">
            <v>m</v>
          </cell>
          <cell r="H705">
            <v>797</v>
          </cell>
          <cell r="I705">
            <v>878</v>
          </cell>
          <cell r="J705">
            <v>845</v>
          </cell>
          <cell r="K705">
            <v>857</v>
          </cell>
          <cell r="S705">
            <v>857</v>
          </cell>
          <cell r="U705">
            <v>0.03</v>
          </cell>
          <cell r="V705" t="str">
            <v>저케</v>
          </cell>
          <cell r="W705">
            <v>1.9199999999999998E-2</v>
          </cell>
        </row>
        <row r="706">
          <cell r="A706">
            <v>706</v>
          </cell>
          <cell r="B706" t="str">
            <v>옥외</v>
          </cell>
          <cell r="C706" t="str">
            <v>제어 케이블</v>
          </cell>
          <cell r="D706" t="str">
            <v>CVV-S  3.5sq/3C</v>
          </cell>
          <cell r="E706" t="str">
            <v>m</v>
          </cell>
          <cell r="H706">
            <v>797</v>
          </cell>
          <cell r="I706">
            <v>1050</v>
          </cell>
          <cell r="J706">
            <v>845</v>
          </cell>
          <cell r="K706">
            <v>1024</v>
          </cell>
          <cell r="S706">
            <v>1024</v>
          </cell>
          <cell r="U706">
            <v>0.03</v>
          </cell>
          <cell r="V706" t="str">
            <v>저케</v>
          </cell>
          <cell r="W706">
            <v>2.6399999999999996E-2</v>
          </cell>
        </row>
        <row r="707">
          <cell r="A707">
            <v>707</v>
          </cell>
          <cell r="B707" t="str">
            <v>옥외</v>
          </cell>
          <cell r="C707" t="str">
            <v>제어 케이블</v>
          </cell>
          <cell r="D707" t="str">
            <v>CVV-S  3.5sq/4C</v>
          </cell>
          <cell r="E707" t="str">
            <v>m</v>
          </cell>
          <cell r="H707">
            <v>797</v>
          </cell>
          <cell r="I707">
            <v>1256</v>
          </cell>
          <cell r="J707">
            <v>845</v>
          </cell>
          <cell r="K707">
            <v>1223</v>
          </cell>
          <cell r="S707">
            <v>1223</v>
          </cell>
          <cell r="U707">
            <v>0.03</v>
          </cell>
          <cell r="V707" t="str">
            <v>저케</v>
          </cell>
          <cell r="W707">
            <v>3.4799999999999998E-2</v>
          </cell>
        </row>
        <row r="708">
          <cell r="A708">
            <v>708</v>
          </cell>
          <cell r="B708" t="str">
            <v>옥외</v>
          </cell>
          <cell r="C708" t="str">
            <v>제어 케이블</v>
          </cell>
          <cell r="D708" t="str">
            <v>CVV-S  3.5sq/5C</v>
          </cell>
          <cell r="E708" t="str">
            <v>m</v>
          </cell>
          <cell r="H708">
            <v>797</v>
          </cell>
          <cell r="I708">
            <v>1456</v>
          </cell>
          <cell r="J708">
            <v>845</v>
          </cell>
          <cell r="K708">
            <v>1420</v>
          </cell>
          <cell r="S708">
            <v>1420</v>
          </cell>
          <cell r="U708">
            <v>0.03</v>
          </cell>
          <cell r="V708" t="str">
            <v>저케</v>
          </cell>
          <cell r="W708">
            <v>4.0800000000000003E-2</v>
          </cell>
        </row>
        <row r="709">
          <cell r="A709">
            <v>709</v>
          </cell>
          <cell r="S709" t="str">
            <v/>
          </cell>
        </row>
        <row r="710">
          <cell r="A710">
            <v>710</v>
          </cell>
          <cell r="S710" t="str">
            <v/>
          </cell>
        </row>
        <row r="711">
          <cell r="A711">
            <v>711</v>
          </cell>
          <cell r="B711" t="str">
            <v>옥외</v>
          </cell>
          <cell r="C711" t="str">
            <v>제어 케이블</v>
          </cell>
          <cell r="D711" t="str">
            <v>CVV-S  5.5sq/2C</v>
          </cell>
          <cell r="E711" t="str">
            <v>m</v>
          </cell>
          <cell r="H711">
            <v>797</v>
          </cell>
          <cell r="I711">
            <v>1154</v>
          </cell>
          <cell r="J711">
            <v>845</v>
          </cell>
          <cell r="K711">
            <v>1126</v>
          </cell>
          <cell r="S711">
            <v>1126</v>
          </cell>
          <cell r="U711">
            <v>0.03</v>
          </cell>
          <cell r="V711" t="str">
            <v>저케</v>
          </cell>
          <cell r="W711">
            <v>2.1599999999999998E-2</v>
          </cell>
        </row>
        <row r="712">
          <cell r="A712">
            <v>712</v>
          </cell>
          <cell r="B712" t="str">
            <v>옥외</v>
          </cell>
          <cell r="C712" t="str">
            <v>제어 케이블</v>
          </cell>
          <cell r="D712" t="str">
            <v>CVV-S  5.5sq/3C</v>
          </cell>
          <cell r="E712" t="str">
            <v>m</v>
          </cell>
          <cell r="H712">
            <v>797</v>
          </cell>
          <cell r="I712">
            <v>1410</v>
          </cell>
          <cell r="J712">
            <v>845</v>
          </cell>
          <cell r="K712">
            <v>1375</v>
          </cell>
          <cell r="S712">
            <v>1375</v>
          </cell>
          <cell r="U712">
            <v>0.03</v>
          </cell>
          <cell r="V712" t="str">
            <v>저케</v>
          </cell>
          <cell r="W712">
            <v>3.1199999999999999E-2</v>
          </cell>
        </row>
        <row r="713">
          <cell r="A713">
            <v>713</v>
          </cell>
          <cell r="B713" t="str">
            <v>옥외</v>
          </cell>
          <cell r="C713" t="str">
            <v>제어 케이블</v>
          </cell>
          <cell r="D713" t="str">
            <v>CVV-S  5.5sq/4C</v>
          </cell>
          <cell r="E713" t="str">
            <v>m</v>
          </cell>
          <cell r="H713">
            <v>797</v>
          </cell>
          <cell r="I713">
            <v>1745</v>
          </cell>
          <cell r="J713">
            <v>845</v>
          </cell>
          <cell r="K713">
            <v>1702</v>
          </cell>
          <cell r="S713">
            <v>1702</v>
          </cell>
          <cell r="U713">
            <v>0.03</v>
          </cell>
          <cell r="V713" t="str">
            <v>저케</v>
          </cell>
          <cell r="W713">
            <v>4.0800000000000003E-2</v>
          </cell>
        </row>
        <row r="714">
          <cell r="A714">
            <v>714</v>
          </cell>
          <cell r="B714" t="str">
            <v>옥외</v>
          </cell>
          <cell r="C714" t="str">
            <v>제어 케이블</v>
          </cell>
          <cell r="D714" t="str">
            <v>CVV-S  5.5sq/5C</v>
          </cell>
          <cell r="E714" t="str">
            <v>m</v>
          </cell>
          <cell r="H714">
            <v>797</v>
          </cell>
          <cell r="I714">
            <v>2038</v>
          </cell>
          <cell r="J714">
            <v>845</v>
          </cell>
          <cell r="K714">
            <v>1987</v>
          </cell>
          <cell r="S714">
            <v>1987</v>
          </cell>
          <cell r="U714">
            <v>0.03</v>
          </cell>
          <cell r="V714" t="str">
            <v>저케</v>
          </cell>
          <cell r="W714">
            <v>4.6800000000000001E-2</v>
          </cell>
        </row>
        <row r="715">
          <cell r="A715">
            <v>715</v>
          </cell>
          <cell r="S715" t="str">
            <v/>
          </cell>
        </row>
        <row r="716">
          <cell r="A716">
            <v>716</v>
          </cell>
          <cell r="B716" t="str">
            <v>옥외</v>
          </cell>
          <cell r="C716" t="str">
            <v>제어 케이블</v>
          </cell>
          <cell r="D716" t="str">
            <v>CVV-SB  2.0sq/2C</v>
          </cell>
          <cell r="E716" t="str">
            <v>m</v>
          </cell>
          <cell r="H716">
            <v>797</v>
          </cell>
          <cell r="I716">
            <v>925</v>
          </cell>
          <cell r="J716">
            <v>845</v>
          </cell>
          <cell r="K716">
            <v>903</v>
          </cell>
          <cell r="S716">
            <v>903</v>
          </cell>
          <cell r="U716">
            <v>0.03</v>
          </cell>
          <cell r="V716" t="str">
            <v>저케</v>
          </cell>
          <cell r="W716">
            <v>1.6799999999999999E-2</v>
          </cell>
        </row>
        <row r="717">
          <cell r="A717">
            <v>717</v>
          </cell>
          <cell r="B717" t="str">
            <v>옥외</v>
          </cell>
          <cell r="C717" t="str">
            <v>제어 케이블</v>
          </cell>
          <cell r="D717" t="str">
            <v>CVV-SB  2.0sq/3C</v>
          </cell>
          <cell r="E717" t="str">
            <v>m</v>
          </cell>
          <cell r="H717">
            <v>797</v>
          </cell>
          <cell r="I717">
            <v>1119</v>
          </cell>
          <cell r="J717">
            <v>845</v>
          </cell>
          <cell r="K717">
            <v>1091</v>
          </cell>
          <cell r="S717">
            <v>1091</v>
          </cell>
          <cell r="U717">
            <v>0.03</v>
          </cell>
          <cell r="V717" t="str">
            <v>저케</v>
          </cell>
          <cell r="W717">
            <v>2.2799999999999997E-2</v>
          </cell>
        </row>
        <row r="718">
          <cell r="A718">
            <v>718</v>
          </cell>
          <cell r="B718" t="str">
            <v>옥외</v>
          </cell>
          <cell r="C718" t="str">
            <v>제어 케이블</v>
          </cell>
          <cell r="D718" t="str">
            <v>CVV-SB  2.0sq/4C</v>
          </cell>
          <cell r="E718" t="str">
            <v>m</v>
          </cell>
          <cell r="H718">
            <v>797</v>
          </cell>
          <cell r="I718">
            <v>1288</v>
          </cell>
          <cell r="J718">
            <v>845</v>
          </cell>
          <cell r="K718">
            <v>1257</v>
          </cell>
          <cell r="S718">
            <v>1257</v>
          </cell>
          <cell r="U718">
            <v>0.03</v>
          </cell>
          <cell r="V718" t="str">
            <v>저케</v>
          </cell>
          <cell r="W718">
            <v>3.1199999999999999E-2</v>
          </cell>
        </row>
        <row r="719">
          <cell r="A719">
            <v>719</v>
          </cell>
          <cell r="B719" t="str">
            <v>옥외</v>
          </cell>
          <cell r="C719" t="str">
            <v>제어 케이블</v>
          </cell>
          <cell r="D719" t="str">
            <v>CVV-SB  2.0sq/5C</v>
          </cell>
          <cell r="E719" t="str">
            <v>m</v>
          </cell>
          <cell r="H719">
            <v>797</v>
          </cell>
          <cell r="I719">
            <v>1406</v>
          </cell>
          <cell r="J719">
            <v>845</v>
          </cell>
          <cell r="K719">
            <v>1371</v>
          </cell>
          <cell r="S719">
            <v>1371</v>
          </cell>
          <cell r="U719">
            <v>0.03</v>
          </cell>
          <cell r="V719" t="str">
            <v>저케</v>
          </cell>
          <cell r="W719">
            <v>3.8399999999999997E-2</v>
          </cell>
        </row>
        <row r="720">
          <cell r="A720">
            <v>720</v>
          </cell>
          <cell r="B720" t="str">
            <v>옥외</v>
          </cell>
          <cell r="C720" t="str">
            <v>제어 케이블</v>
          </cell>
          <cell r="D720" t="str">
            <v>CVV-SB  2.0sq/6C</v>
          </cell>
          <cell r="E720" t="str">
            <v>m</v>
          </cell>
          <cell r="H720">
            <v>797</v>
          </cell>
          <cell r="I720">
            <v>1578</v>
          </cell>
          <cell r="J720">
            <v>845</v>
          </cell>
          <cell r="K720">
            <v>1540</v>
          </cell>
          <cell r="S720">
            <v>1540</v>
          </cell>
          <cell r="U720">
            <v>0.03</v>
          </cell>
          <cell r="V720" t="str">
            <v>저케</v>
          </cell>
          <cell r="W720">
            <v>4.2000000000000003E-2</v>
          </cell>
        </row>
        <row r="721">
          <cell r="A721">
            <v>721</v>
          </cell>
          <cell r="B721" t="str">
            <v>옥외</v>
          </cell>
          <cell r="C721" t="str">
            <v>제어 케이블</v>
          </cell>
          <cell r="D721" t="str">
            <v>CVV-SB  2.0sq/7C</v>
          </cell>
          <cell r="E721" t="str">
            <v>m</v>
          </cell>
          <cell r="H721">
            <v>797</v>
          </cell>
          <cell r="I721">
            <v>1676</v>
          </cell>
          <cell r="J721">
            <v>845</v>
          </cell>
          <cell r="K721">
            <v>1635</v>
          </cell>
          <cell r="S721">
            <v>1635</v>
          </cell>
          <cell r="U721">
            <v>0.03</v>
          </cell>
          <cell r="V721" t="str">
            <v>저케</v>
          </cell>
          <cell r="W721">
            <v>4.6800000000000001E-2</v>
          </cell>
        </row>
        <row r="722">
          <cell r="A722">
            <v>722</v>
          </cell>
          <cell r="B722" t="str">
            <v>옥외</v>
          </cell>
          <cell r="C722" t="str">
            <v>제어 케이블</v>
          </cell>
          <cell r="D722" t="str">
            <v>CVV-SB  2.0sq/9C</v>
          </cell>
          <cell r="E722" t="str">
            <v>m</v>
          </cell>
          <cell r="H722">
            <v>797</v>
          </cell>
          <cell r="I722">
            <v>1950</v>
          </cell>
          <cell r="J722">
            <v>845</v>
          </cell>
          <cell r="K722">
            <v>1900</v>
          </cell>
          <cell r="S722">
            <v>1900</v>
          </cell>
          <cell r="U722">
            <v>0.03</v>
          </cell>
          <cell r="V722" t="str">
            <v>저케</v>
          </cell>
          <cell r="W722">
            <v>5.3999999999999999E-2</v>
          </cell>
        </row>
        <row r="723">
          <cell r="A723">
            <v>723</v>
          </cell>
          <cell r="B723" t="str">
            <v>옥외</v>
          </cell>
          <cell r="C723" t="str">
            <v>제어 케이블</v>
          </cell>
          <cell r="D723" t="str">
            <v>CVV-SB  2.0sq/10C</v>
          </cell>
          <cell r="E723" t="str">
            <v>m</v>
          </cell>
          <cell r="H723">
            <v>797</v>
          </cell>
          <cell r="I723">
            <v>2134</v>
          </cell>
          <cell r="J723">
            <v>845</v>
          </cell>
          <cell r="K723">
            <v>2081</v>
          </cell>
          <cell r="S723">
            <v>2081</v>
          </cell>
          <cell r="U723">
            <v>0.03</v>
          </cell>
          <cell r="V723" t="str">
            <v>저케</v>
          </cell>
          <cell r="W723">
            <v>5.7599999999999998E-2</v>
          </cell>
        </row>
        <row r="724">
          <cell r="A724">
            <v>724</v>
          </cell>
          <cell r="B724" t="str">
            <v>옥외</v>
          </cell>
          <cell r="C724" t="str">
            <v>제어 케이블</v>
          </cell>
          <cell r="D724" t="str">
            <v>CVV-SB  2.0sq/12C</v>
          </cell>
          <cell r="E724" t="str">
            <v>m</v>
          </cell>
          <cell r="H724">
            <v>797</v>
          </cell>
          <cell r="I724">
            <v>2337</v>
          </cell>
          <cell r="J724">
            <v>845</v>
          </cell>
          <cell r="K724">
            <v>2278</v>
          </cell>
          <cell r="S724">
            <v>2278</v>
          </cell>
          <cell r="U724">
            <v>0.03</v>
          </cell>
          <cell r="V724" t="str">
            <v>저케</v>
          </cell>
          <cell r="W724">
            <v>6.4799999999999996E-2</v>
          </cell>
        </row>
        <row r="725">
          <cell r="A725">
            <v>725</v>
          </cell>
          <cell r="B725" t="str">
            <v>옥외</v>
          </cell>
          <cell r="C725" t="str">
            <v>제어 케이블</v>
          </cell>
          <cell r="D725" t="str">
            <v>CVV-SB  2.0sq/15C</v>
          </cell>
          <cell r="E725" t="str">
            <v>m</v>
          </cell>
          <cell r="H725">
            <v>797</v>
          </cell>
          <cell r="I725">
            <v>2803</v>
          </cell>
          <cell r="J725">
            <v>845</v>
          </cell>
          <cell r="K725">
            <v>2733</v>
          </cell>
          <cell r="S725">
            <v>2733</v>
          </cell>
          <cell r="U725">
            <v>0.03</v>
          </cell>
          <cell r="V725" t="str">
            <v>저케</v>
          </cell>
          <cell r="W725">
            <v>7.5600000000000001E-2</v>
          </cell>
        </row>
        <row r="726">
          <cell r="A726">
            <v>726</v>
          </cell>
          <cell r="B726" t="str">
            <v>옥외</v>
          </cell>
          <cell r="C726" t="str">
            <v>제어 케이블</v>
          </cell>
          <cell r="D726" t="str">
            <v>CVV-SB  2.0sq/17C</v>
          </cell>
          <cell r="E726" t="str">
            <v>m</v>
          </cell>
          <cell r="H726">
            <v>797</v>
          </cell>
          <cell r="I726">
            <v>3079</v>
          </cell>
          <cell r="J726">
            <v>845</v>
          </cell>
          <cell r="K726">
            <v>3002</v>
          </cell>
          <cell r="S726">
            <v>3002</v>
          </cell>
          <cell r="U726">
            <v>0.03</v>
          </cell>
          <cell r="V726" t="str">
            <v>저케</v>
          </cell>
          <cell r="W726">
            <v>8.2799999999999999E-2</v>
          </cell>
        </row>
        <row r="727">
          <cell r="A727">
            <v>727</v>
          </cell>
          <cell r="B727" t="str">
            <v>옥외</v>
          </cell>
          <cell r="C727" t="str">
            <v>제어 케이블</v>
          </cell>
          <cell r="D727" t="str">
            <v>CVV-SB  2.0sq/19C</v>
          </cell>
          <cell r="E727" t="str">
            <v>m</v>
          </cell>
          <cell r="H727">
            <v>797</v>
          </cell>
          <cell r="I727">
            <v>3252</v>
          </cell>
          <cell r="J727">
            <v>845</v>
          </cell>
          <cell r="K727">
            <v>3171</v>
          </cell>
          <cell r="S727">
            <v>3171</v>
          </cell>
          <cell r="U727">
            <v>0.03</v>
          </cell>
          <cell r="V727" t="str">
            <v>저케</v>
          </cell>
          <cell r="W727">
            <v>8.6399999999999991E-2</v>
          </cell>
        </row>
        <row r="728">
          <cell r="A728">
            <v>728</v>
          </cell>
          <cell r="B728" t="str">
            <v>옥외</v>
          </cell>
          <cell r="C728" t="str">
            <v>제어 케이블</v>
          </cell>
          <cell r="D728" t="str">
            <v>CVV-SB  2.0sq/22C</v>
          </cell>
          <cell r="E728" t="str">
            <v>m</v>
          </cell>
          <cell r="H728">
            <v>797</v>
          </cell>
          <cell r="I728">
            <v>3902</v>
          </cell>
          <cell r="J728">
            <v>845</v>
          </cell>
          <cell r="K728">
            <v>3804</v>
          </cell>
          <cell r="S728">
            <v>3804</v>
          </cell>
          <cell r="U728">
            <v>0.03</v>
          </cell>
          <cell r="V728" t="str">
            <v>저케</v>
          </cell>
          <cell r="W728">
            <v>9.4799999999999995E-2</v>
          </cell>
        </row>
        <row r="729">
          <cell r="A729">
            <v>729</v>
          </cell>
          <cell r="B729" t="str">
            <v>옥외</v>
          </cell>
          <cell r="C729" t="str">
            <v>제어 케이블</v>
          </cell>
          <cell r="D729" t="str">
            <v>CVV-SB  2.0sq/24C</v>
          </cell>
          <cell r="E729" t="str">
            <v>m</v>
          </cell>
          <cell r="H729">
            <v>797</v>
          </cell>
          <cell r="I729">
            <v>3877</v>
          </cell>
          <cell r="J729">
            <v>845</v>
          </cell>
          <cell r="K729">
            <v>3780</v>
          </cell>
          <cell r="S729">
            <v>3780</v>
          </cell>
          <cell r="U729">
            <v>0.03</v>
          </cell>
          <cell r="V729" t="str">
            <v>저케</v>
          </cell>
          <cell r="W729">
            <v>0.1008</v>
          </cell>
        </row>
        <row r="730">
          <cell r="A730">
            <v>730</v>
          </cell>
          <cell r="B730" t="str">
            <v>옥외</v>
          </cell>
          <cell r="C730" t="str">
            <v>제어 케이블</v>
          </cell>
          <cell r="D730" t="str">
            <v>CVV-SB  2.0sq/29C</v>
          </cell>
          <cell r="E730" t="str">
            <v>m</v>
          </cell>
          <cell r="H730">
            <v>797</v>
          </cell>
          <cell r="I730">
            <v>4250</v>
          </cell>
          <cell r="J730">
            <v>845</v>
          </cell>
          <cell r="K730">
            <v>3884</v>
          </cell>
          <cell r="S730">
            <v>3884</v>
          </cell>
          <cell r="U730">
            <v>0.03</v>
          </cell>
          <cell r="V730" t="str">
            <v>저케</v>
          </cell>
          <cell r="W730">
            <v>0.11399999999999999</v>
          </cell>
        </row>
        <row r="731">
          <cell r="A731">
            <v>731</v>
          </cell>
          <cell r="B731" t="str">
            <v>옥외</v>
          </cell>
          <cell r="C731" t="str">
            <v>제어 케이블</v>
          </cell>
          <cell r="D731" t="str">
            <v>CVV-SB  2.0sq/30C</v>
          </cell>
          <cell r="E731" t="str">
            <v>m</v>
          </cell>
          <cell r="H731">
            <v>797</v>
          </cell>
          <cell r="I731">
            <v>4548</v>
          </cell>
          <cell r="J731">
            <v>845</v>
          </cell>
          <cell r="K731">
            <v>4434</v>
          </cell>
          <cell r="S731">
            <v>4434</v>
          </cell>
          <cell r="U731">
            <v>0.03</v>
          </cell>
          <cell r="V731" t="str">
            <v>저케</v>
          </cell>
          <cell r="W731">
            <v>0.1176</v>
          </cell>
        </row>
        <row r="732">
          <cell r="A732">
            <v>732</v>
          </cell>
          <cell r="S732" t="str">
            <v/>
          </cell>
        </row>
        <row r="733">
          <cell r="A733">
            <v>733</v>
          </cell>
          <cell r="B733" t="str">
            <v>옥외</v>
          </cell>
          <cell r="C733" t="str">
            <v>제어 케이블</v>
          </cell>
          <cell r="D733" t="str">
            <v>CVV-SB  1.25sq/2C</v>
          </cell>
          <cell r="E733" t="str">
            <v>m</v>
          </cell>
          <cell r="H733">
            <v>797</v>
          </cell>
          <cell r="I733">
            <v>691</v>
          </cell>
          <cell r="J733">
            <v>845</v>
          </cell>
          <cell r="K733">
            <v>673</v>
          </cell>
          <cell r="S733">
            <v>673</v>
          </cell>
          <cell r="U733">
            <v>0.03</v>
          </cell>
          <cell r="V733" t="str">
            <v>저케</v>
          </cell>
          <cell r="W733">
            <v>1.6799999999999999E-2</v>
          </cell>
        </row>
        <row r="734">
          <cell r="A734">
            <v>734</v>
          </cell>
          <cell r="B734" t="str">
            <v>옥외</v>
          </cell>
          <cell r="C734" t="str">
            <v>제어 케이블</v>
          </cell>
          <cell r="D734" t="str">
            <v>CVV-SB  3.5sq/2C</v>
          </cell>
          <cell r="E734" t="str">
            <v>m</v>
          </cell>
          <cell r="H734">
            <v>797</v>
          </cell>
          <cell r="I734">
            <v>1170</v>
          </cell>
          <cell r="J734">
            <v>845</v>
          </cell>
          <cell r="K734">
            <v>1141</v>
          </cell>
          <cell r="S734">
            <v>1141</v>
          </cell>
          <cell r="U734">
            <v>0.03</v>
          </cell>
          <cell r="V734" t="str">
            <v>저케</v>
          </cell>
          <cell r="W734">
            <v>1.9199999999999998E-2</v>
          </cell>
        </row>
        <row r="735">
          <cell r="A735">
            <v>735</v>
          </cell>
          <cell r="B735" t="str">
            <v>옥외</v>
          </cell>
          <cell r="C735" t="str">
            <v>제어 케이블</v>
          </cell>
          <cell r="D735" t="str">
            <v>CVV-SB  3.5sq/3C</v>
          </cell>
          <cell r="E735" t="str">
            <v>m</v>
          </cell>
          <cell r="H735">
            <v>797</v>
          </cell>
          <cell r="I735">
            <v>1379</v>
          </cell>
          <cell r="J735">
            <v>845</v>
          </cell>
          <cell r="K735">
            <v>1345</v>
          </cell>
          <cell r="S735">
            <v>1345</v>
          </cell>
          <cell r="U735">
            <v>0.03</v>
          </cell>
          <cell r="V735" t="str">
            <v>저케</v>
          </cell>
          <cell r="W735">
            <v>2.6399999999999996E-2</v>
          </cell>
        </row>
        <row r="736">
          <cell r="A736">
            <v>736</v>
          </cell>
          <cell r="B736" t="str">
            <v>옥외</v>
          </cell>
          <cell r="C736" t="str">
            <v>제어 케이블</v>
          </cell>
          <cell r="D736" t="str">
            <v>CVV-SB  3.5sq/4C</v>
          </cell>
          <cell r="E736" t="str">
            <v>m</v>
          </cell>
          <cell r="H736">
            <v>797</v>
          </cell>
          <cell r="I736">
            <v>1583</v>
          </cell>
          <cell r="J736">
            <v>845</v>
          </cell>
          <cell r="K736">
            <v>1544</v>
          </cell>
          <cell r="S736">
            <v>1544</v>
          </cell>
          <cell r="U736">
            <v>0.03</v>
          </cell>
          <cell r="V736" t="str">
            <v>저케</v>
          </cell>
          <cell r="W736">
            <v>3.4799999999999998E-2</v>
          </cell>
        </row>
        <row r="737">
          <cell r="A737">
            <v>737</v>
          </cell>
          <cell r="B737" t="str">
            <v>옥외</v>
          </cell>
          <cell r="C737" t="str">
            <v>제어 케이블</v>
          </cell>
          <cell r="D737" t="str">
            <v>CVV-SB  3.5sq/5C</v>
          </cell>
          <cell r="E737" t="str">
            <v>m</v>
          </cell>
          <cell r="H737">
            <v>797</v>
          </cell>
          <cell r="I737">
            <v>1721</v>
          </cell>
          <cell r="J737">
            <v>845</v>
          </cell>
          <cell r="K737">
            <v>1678</v>
          </cell>
          <cell r="S737">
            <v>1678</v>
          </cell>
          <cell r="U737">
            <v>0.03</v>
          </cell>
          <cell r="V737" t="str">
            <v>저케</v>
          </cell>
          <cell r="W737">
            <v>4.0800000000000003E-2</v>
          </cell>
        </row>
        <row r="738">
          <cell r="A738">
            <v>738</v>
          </cell>
          <cell r="S738" t="str">
            <v/>
          </cell>
        </row>
        <row r="739">
          <cell r="A739">
            <v>739</v>
          </cell>
          <cell r="S739" t="str">
            <v/>
          </cell>
        </row>
        <row r="740">
          <cell r="A740">
            <v>740</v>
          </cell>
          <cell r="B740" t="str">
            <v>옥외</v>
          </cell>
          <cell r="C740" t="str">
            <v>제어 케이블</v>
          </cell>
          <cell r="D740" t="str">
            <v>CVV-SB  5.5sq/2C</v>
          </cell>
          <cell r="E740" t="str">
            <v>m</v>
          </cell>
          <cell r="H740">
            <v>797</v>
          </cell>
          <cell r="I740">
            <v>1413</v>
          </cell>
          <cell r="J740">
            <v>845</v>
          </cell>
          <cell r="K740">
            <v>1379</v>
          </cell>
          <cell r="S740">
            <v>1379</v>
          </cell>
          <cell r="U740">
            <v>0.03</v>
          </cell>
          <cell r="V740" t="str">
            <v>저케</v>
          </cell>
          <cell r="W740">
            <v>2.1599999999999998E-2</v>
          </cell>
        </row>
        <row r="741">
          <cell r="A741">
            <v>741</v>
          </cell>
          <cell r="B741" t="str">
            <v>옥외</v>
          </cell>
          <cell r="C741" t="str">
            <v>제어 케이블</v>
          </cell>
          <cell r="D741" t="str">
            <v>CVV-SB  5.5sq/3C</v>
          </cell>
          <cell r="E741" t="str">
            <v>m</v>
          </cell>
          <cell r="H741">
            <v>797</v>
          </cell>
          <cell r="I741">
            <v>1740</v>
          </cell>
          <cell r="J741">
            <v>845</v>
          </cell>
          <cell r="K741">
            <v>1696</v>
          </cell>
          <cell r="S741">
            <v>1696</v>
          </cell>
          <cell r="U741">
            <v>0.03</v>
          </cell>
          <cell r="V741" t="str">
            <v>저케</v>
          </cell>
          <cell r="W741">
            <v>3.1199999999999999E-2</v>
          </cell>
        </row>
        <row r="742">
          <cell r="A742">
            <v>742</v>
          </cell>
          <cell r="B742" t="str">
            <v>옥외</v>
          </cell>
          <cell r="C742" t="str">
            <v>제어 케이블</v>
          </cell>
          <cell r="D742" t="str">
            <v>CVV-SB  5.5sq/4C</v>
          </cell>
          <cell r="E742" t="str">
            <v>m</v>
          </cell>
          <cell r="H742">
            <v>797</v>
          </cell>
          <cell r="I742">
            <v>2000</v>
          </cell>
          <cell r="J742">
            <v>845</v>
          </cell>
          <cell r="K742">
            <v>1950</v>
          </cell>
          <cell r="S742">
            <v>1950</v>
          </cell>
          <cell r="U742">
            <v>0.03</v>
          </cell>
          <cell r="V742" t="str">
            <v>저케</v>
          </cell>
          <cell r="W742">
            <v>4.0800000000000003E-2</v>
          </cell>
        </row>
        <row r="743">
          <cell r="A743">
            <v>743</v>
          </cell>
          <cell r="B743" t="str">
            <v>옥외</v>
          </cell>
          <cell r="C743" t="str">
            <v>제어 케이블</v>
          </cell>
          <cell r="D743" t="str">
            <v>CVV-SB  5.5sq/5C</v>
          </cell>
          <cell r="E743" t="str">
            <v>m</v>
          </cell>
          <cell r="H743">
            <v>797</v>
          </cell>
          <cell r="I743">
            <v>2352</v>
          </cell>
          <cell r="J743">
            <v>845</v>
          </cell>
          <cell r="K743">
            <v>2293</v>
          </cell>
          <cell r="S743">
            <v>2293</v>
          </cell>
          <cell r="U743">
            <v>0.03</v>
          </cell>
          <cell r="V743" t="str">
            <v>저케</v>
          </cell>
          <cell r="W743">
            <v>4.6800000000000001E-2</v>
          </cell>
        </row>
        <row r="744">
          <cell r="A744">
            <v>744</v>
          </cell>
          <cell r="S744" t="str">
            <v/>
          </cell>
        </row>
        <row r="745">
          <cell r="A745">
            <v>745</v>
          </cell>
          <cell r="S745" t="str">
            <v/>
          </cell>
        </row>
        <row r="746">
          <cell r="A746">
            <v>746</v>
          </cell>
          <cell r="C746" t="str">
            <v>22.9KV 전력케이블</v>
          </cell>
          <cell r="D746" t="str">
            <v>CN/CV 38sq/1C</v>
          </cell>
          <cell r="E746" t="str">
            <v>m</v>
          </cell>
          <cell r="H746">
            <v>800</v>
          </cell>
          <cell r="I746">
            <v>7881</v>
          </cell>
          <cell r="J746">
            <v>852</v>
          </cell>
          <cell r="K746">
            <v>8513</v>
          </cell>
          <cell r="S746">
            <v>7881</v>
          </cell>
          <cell r="U746">
            <v>0.03</v>
          </cell>
          <cell r="V746" t="str">
            <v>특케</v>
          </cell>
          <cell r="W746">
            <v>5.9400000000000001E-2</v>
          </cell>
        </row>
        <row r="747">
          <cell r="A747">
            <v>747</v>
          </cell>
          <cell r="C747" t="str">
            <v>22.9KV 전력케이블</v>
          </cell>
          <cell r="D747" t="str">
            <v>CN/CV 60sq/1C</v>
          </cell>
          <cell r="E747" t="str">
            <v>m</v>
          </cell>
          <cell r="H747">
            <v>800</v>
          </cell>
          <cell r="I747">
            <v>8702</v>
          </cell>
          <cell r="J747">
            <v>852</v>
          </cell>
          <cell r="K747">
            <v>9400</v>
          </cell>
          <cell r="S747">
            <v>8702</v>
          </cell>
          <cell r="U747">
            <v>0.03</v>
          </cell>
          <cell r="V747" t="str">
            <v>특케</v>
          </cell>
          <cell r="W747">
            <v>8.09E-2</v>
          </cell>
        </row>
        <row r="748">
          <cell r="A748">
            <v>748</v>
          </cell>
          <cell r="C748" t="str">
            <v>22.9KV 전력케이블</v>
          </cell>
          <cell r="D748" t="str">
            <v>CN/CV 100sq/1C</v>
          </cell>
          <cell r="E748" t="str">
            <v>m</v>
          </cell>
          <cell r="H748">
            <v>800</v>
          </cell>
          <cell r="I748">
            <v>10241</v>
          </cell>
          <cell r="J748">
            <v>852</v>
          </cell>
          <cell r="K748">
            <v>11062</v>
          </cell>
          <cell r="S748">
            <v>10241</v>
          </cell>
          <cell r="U748">
            <v>0.03</v>
          </cell>
          <cell r="V748" t="str">
            <v>특케</v>
          </cell>
          <cell r="W748">
            <v>0.1172</v>
          </cell>
        </row>
        <row r="749">
          <cell r="A749">
            <v>749</v>
          </cell>
          <cell r="C749" t="str">
            <v>22.9KV 전력케이블</v>
          </cell>
          <cell r="D749" t="str">
            <v>CN/CV 150sq/1C</v>
          </cell>
          <cell r="E749" t="str">
            <v>m</v>
          </cell>
          <cell r="H749">
            <v>800</v>
          </cell>
          <cell r="I749">
            <v>15372</v>
          </cell>
          <cell r="J749">
            <v>852</v>
          </cell>
          <cell r="K749">
            <v>16603</v>
          </cell>
          <cell r="S749">
            <v>15372</v>
          </cell>
          <cell r="U749">
            <v>0.03</v>
          </cell>
          <cell r="V749" t="str">
            <v>특케</v>
          </cell>
          <cell r="W749">
            <v>0.16009999999999999</v>
          </cell>
        </row>
        <row r="750">
          <cell r="A750">
            <v>750</v>
          </cell>
          <cell r="C750" t="str">
            <v>22.9KV 전력케이블</v>
          </cell>
          <cell r="D750" t="str">
            <v>CN/CV 200sq/1C</v>
          </cell>
          <cell r="E750" t="str">
            <v>m</v>
          </cell>
          <cell r="H750">
            <v>800</v>
          </cell>
          <cell r="I750">
            <v>16873</v>
          </cell>
          <cell r="J750">
            <v>852</v>
          </cell>
          <cell r="K750">
            <v>18225</v>
          </cell>
          <cell r="S750">
            <v>16873</v>
          </cell>
          <cell r="U750">
            <v>0.03</v>
          </cell>
          <cell r="V750" t="str">
            <v>특케</v>
          </cell>
          <cell r="W750">
            <v>0.19309999999999999</v>
          </cell>
        </row>
        <row r="751">
          <cell r="A751">
            <v>751</v>
          </cell>
          <cell r="C751" t="str">
            <v>22.9KV 전력케이블</v>
          </cell>
          <cell r="D751" t="str">
            <v>CN/CV 325sq/1C</v>
          </cell>
          <cell r="E751" t="str">
            <v>m</v>
          </cell>
          <cell r="H751">
            <v>800</v>
          </cell>
          <cell r="I751">
            <v>25019</v>
          </cell>
          <cell r="J751">
            <v>852</v>
          </cell>
          <cell r="K751">
            <v>27021</v>
          </cell>
          <cell r="S751">
            <v>25019</v>
          </cell>
          <cell r="U751">
            <v>0.03</v>
          </cell>
          <cell r="V751" t="str">
            <v>특케</v>
          </cell>
          <cell r="W751">
            <v>0.2838</v>
          </cell>
        </row>
        <row r="752">
          <cell r="A752">
            <v>752</v>
          </cell>
          <cell r="S752" t="str">
            <v/>
          </cell>
        </row>
        <row r="753">
          <cell r="A753">
            <v>753</v>
          </cell>
          <cell r="S753" t="str">
            <v/>
          </cell>
        </row>
        <row r="754">
          <cell r="A754">
            <v>754</v>
          </cell>
          <cell r="S754" t="str">
            <v/>
          </cell>
        </row>
        <row r="755">
          <cell r="A755">
            <v>755</v>
          </cell>
          <cell r="B755" t="str">
            <v>옥내</v>
          </cell>
          <cell r="C755" t="str">
            <v>통신 케이블</v>
          </cell>
          <cell r="D755" t="str">
            <v>CPEV 0.65/20P×2</v>
          </cell>
          <cell r="E755" t="str">
            <v>m</v>
          </cell>
          <cell r="H755">
            <v>810</v>
          </cell>
          <cell r="I755">
            <v>2448</v>
          </cell>
          <cell r="J755">
            <v>853</v>
          </cell>
          <cell r="K755">
            <v>2666</v>
          </cell>
          <cell r="S755">
            <v>2448</v>
          </cell>
          <cell r="U755">
            <v>0.03</v>
          </cell>
          <cell r="V755" t="str">
            <v>통케</v>
          </cell>
          <cell r="W755">
            <v>3.9599999999999996E-2</v>
          </cell>
        </row>
        <row r="756">
          <cell r="A756">
            <v>756</v>
          </cell>
          <cell r="B756" t="str">
            <v>옥내</v>
          </cell>
          <cell r="C756" t="str">
            <v>통신 케이블</v>
          </cell>
          <cell r="D756" t="str">
            <v>CPEV 0.65/5P</v>
          </cell>
          <cell r="E756" t="str">
            <v>m</v>
          </cell>
          <cell r="H756">
            <v>810</v>
          </cell>
          <cell r="I756">
            <v>660</v>
          </cell>
          <cell r="J756">
            <v>853</v>
          </cell>
          <cell r="K756">
            <v>719</v>
          </cell>
          <cell r="S756">
            <v>660</v>
          </cell>
          <cell r="U756">
            <v>0.03</v>
          </cell>
          <cell r="V756" t="str">
            <v>통케</v>
          </cell>
          <cell r="W756">
            <v>1.7999999999999999E-2</v>
          </cell>
        </row>
        <row r="757">
          <cell r="A757">
            <v>757</v>
          </cell>
          <cell r="B757" t="str">
            <v>옥내</v>
          </cell>
          <cell r="C757" t="str">
            <v>통신 케이블</v>
          </cell>
          <cell r="D757" t="str">
            <v>CPEV 0.65/10P</v>
          </cell>
          <cell r="E757" t="str">
            <v>m</v>
          </cell>
          <cell r="H757">
            <v>810</v>
          </cell>
          <cell r="I757">
            <v>828</v>
          </cell>
          <cell r="J757">
            <v>853</v>
          </cell>
          <cell r="K757">
            <v>902</v>
          </cell>
          <cell r="S757">
            <v>828</v>
          </cell>
          <cell r="U757">
            <v>0.03</v>
          </cell>
          <cell r="V757" t="str">
            <v>통케</v>
          </cell>
          <cell r="W757">
            <v>1.7999999999999999E-2</v>
          </cell>
        </row>
        <row r="758">
          <cell r="A758">
            <v>758</v>
          </cell>
          <cell r="B758" t="str">
            <v>옥내</v>
          </cell>
          <cell r="C758" t="str">
            <v>통신 케이블</v>
          </cell>
          <cell r="D758" t="str">
            <v>CPEV 0.65/15P</v>
          </cell>
          <cell r="E758" t="str">
            <v>m</v>
          </cell>
          <cell r="H758">
            <v>810</v>
          </cell>
          <cell r="I758">
            <v>1033</v>
          </cell>
          <cell r="J758">
            <v>853</v>
          </cell>
          <cell r="K758">
            <v>1216</v>
          </cell>
          <cell r="S758">
            <v>1033</v>
          </cell>
          <cell r="U758">
            <v>0.03</v>
          </cell>
          <cell r="V758" t="str">
            <v>통케</v>
          </cell>
          <cell r="W758">
            <v>2.1999999999999999E-2</v>
          </cell>
        </row>
        <row r="759">
          <cell r="A759">
            <v>759</v>
          </cell>
          <cell r="B759" t="str">
            <v>옥내</v>
          </cell>
          <cell r="C759" t="str">
            <v>통신 케이블</v>
          </cell>
          <cell r="D759" t="str">
            <v>CPEV 0.65/20P</v>
          </cell>
          <cell r="E759" t="str">
            <v>m</v>
          </cell>
          <cell r="H759">
            <v>810</v>
          </cell>
          <cell r="I759">
            <v>1224</v>
          </cell>
          <cell r="J759">
            <v>853</v>
          </cell>
          <cell r="K759">
            <v>1333</v>
          </cell>
          <cell r="S759">
            <v>1224</v>
          </cell>
          <cell r="U759">
            <v>0.03</v>
          </cell>
          <cell r="V759" t="str">
            <v>통케</v>
          </cell>
          <cell r="W759">
            <v>2.1999999999999999E-2</v>
          </cell>
        </row>
        <row r="760">
          <cell r="A760">
            <v>760</v>
          </cell>
          <cell r="B760" t="str">
            <v>옥내</v>
          </cell>
          <cell r="C760" t="str">
            <v>통신 케이블</v>
          </cell>
          <cell r="D760" t="str">
            <v>CPEV 0.65/25P</v>
          </cell>
          <cell r="E760" t="str">
            <v>m</v>
          </cell>
          <cell r="H760">
            <v>810</v>
          </cell>
          <cell r="I760">
            <v>1451</v>
          </cell>
          <cell r="J760">
            <v>853</v>
          </cell>
          <cell r="K760">
            <v>1581</v>
          </cell>
          <cell r="S760">
            <v>1451</v>
          </cell>
          <cell r="U760">
            <v>0.03</v>
          </cell>
          <cell r="V760" t="str">
            <v>통케</v>
          </cell>
          <cell r="W760">
            <v>2.3E-2</v>
          </cell>
        </row>
        <row r="761">
          <cell r="A761">
            <v>761</v>
          </cell>
          <cell r="B761" t="str">
            <v>옥내</v>
          </cell>
          <cell r="C761" t="str">
            <v>통신 케이블</v>
          </cell>
          <cell r="D761" t="str">
            <v>CPEV 0.65/30P</v>
          </cell>
          <cell r="E761" t="str">
            <v>m</v>
          </cell>
          <cell r="H761">
            <v>810</v>
          </cell>
          <cell r="I761">
            <v>1665</v>
          </cell>
          <cell r="J761">
            <v>853</v>
          </cell>
          <cell r="K761">
            <v>1813</v>
          </cell>
          <cell r="S761">
            <v>1665</v>
          </cell>
          <cell r="U761">
            <v>0.03</v>
          </cell>
          <cell r="V761" t="str">
            <v>통케</v>
          </cell>
          <cell r="W761">
            <v>2.3E-2</v>
          </cell>
        </row>
        <row r="762">
          <cell r="A762">
            <v>762</v>
          </cell>
          <cell r="S762" t="str">
            <v/>
          </cell>
        </row>
        <row r="763">
          <cell r="A763">
            <v>763</v>
          </cell>
          <cell r="S763" t="str">
            <v/>
          </cell>
        </row>
        <row r="764">
          <cell r="A764">
            <v>764</v>
          </cell>
          <cell r="S764" t="str">
            <v/>
          </cell>
        </row>
        <row r="765">
          <cell r="A765">
            <v>765</v>
          </cell>
          <cell r="B765" t="str">
            <v>지중</v>
          </cell>
          <cell r="C765" t="str">
            <v>통신 케이블</v>
          </cell>
          <cell r="D765" t="str">
            <v>CPEV 0.65/20P×2</v>
          </cell>
          <cell r="E765" t="str">
            <v>m</v>
          </cell>
          <cell r="H765">
            <v>810</v>
          </cell>
          <cell r="I765">
            <v>2448</v>
          </cell>
          <cell r="J765">
            <v>853</v>
          </cell>
          <cell r="K765">
            <v>2666</v>
          </cell>
          <cell r="S765">
            <v>2448</v>
          </cell>
          <cell r="U765">
            <v>0.03</v>
          </cell>
          <cell r="V765" t="str">
            <v>통케</v>
          </cell>
          <cell r="W765">
            <v>1.6199999999999999E-2</v>
          </cell>
          <cell r="X765" t="str">
            <v>보인</v>
          </cell>
          <cell r="Y765">
            <v>2.3400000000000001E-2</v>
          </cell>
        </row>
        <row r="766">
          <cell r="A766">
            <v>766</v>
          </cell>
          <cell r="B766" t="str">
            <v>지중</v>
          </cell>
          <cell r="C766" t="str">
            <v>통신 케이블</v>
          </cell>
          <cell r="D766" t="str">
            <v>CPEV 0.65/5P</v>
          </cell>
          <cell r="E766" t="str">
            <v>m</v>
          </cell>
          <cell r="H766">
            <v>810</v>
          </cell>
          <cell r="I766">
            <v>660</v>
          </cell>
          <cell r="J766">
            <v>853</v>
          </cell>
          <cell r="K766">
            <v>719</v>
          </cell>
          <cell r="S766">
            <v>660</v>
          </cell>
          <cell r="U766">
            <v>0.03</v>
          </cell>
          <cell r="V766" t="str">
            <v>통케</v>
          </cell>
          <cell r="W766">
            <v>8.0000000000000002E-3</v>
          </cell>
          <cell r="X766" t="str">
            <v>보인</v>
          </cell>
          <cell r="Y766">
            <v>1.2E-2</v>
          </cell>
        </row>
        <row r="767">
          <cell r="A767">
            <v>767</v>
          </cell>
          <cell r="B767" t="str">
            <v>지중</v>
          </cell>
          <cell r="C767" t="str">
            <v>통신 케이블</v>
          </cell>
          <cell r="D767" t="str">
            <v>CPEV 0.65/10P</v>
          </cell>
          <cell r="E767" t="str">
            <v>m</v>
          </cell>
          <cell r="H767">
            <v>810</v>
          </cell>
          <cell r="I767">
            <v>828</v>
          </cell>
          <cell r="J767">
            <v>853</v>
          </cell>
          <cell r="K767">
            <v>902</v>
          </cell>
          <cell r="S767">
            <v>828</v>
          </cell>
          <cell r="U767">
            <v>0.03</v>
          </cell>
          <cell r="V767" t="str">
            <v>통케</v>
          </cell>
          <cell r="W767">
            <v>8.0000000000000002E-3</v>
          </cell>
          <cell r="X767" t="str">
            <v>보인</v>
          </cell>
          <cell r="Y767">
            <v>1.2E-2</v>
          </cell>
        </row>
        <row r="768">
          <cell r="A768">
            <v>768</v>
          </cell>
          <cell r="B768" t="str">
            <v>지중</v>
          </cell>
          <cell r="C768" t="str">
            <v>통신 케이블</v>
          </cell>
          <cell r="D768" t="str">
            <v>CPEV 0.65/15P</v>
          </cell>
          <cell r="E768" t="str">
            <v>m</v>
          </cell>
          <cell r="H768">
            <v>810</v>
          </cell>
          <cell r="I768">
            <v>1033</v>
          </cell>
          <cell r="J768">
            <v>853</v>
          </cell>
          <cell r="K768">
            <v>1216</v>
          </cell>
          <cell r="S768">
            <v>1033</v>
          </cell>
          <cell r="U768">
            <v>0.03</v>
          </cell>
          <cell r="V768" t="str">
            <v>통케</v>
          </cell>
          <cell r="W768">
            <v>8.9999999999999993E-3</v>
          </cell>
          <cell r="X768" t="str">
            <v>보인</v>
          </cell>
          <cell r="Y768">
            <v>1.2999999999999999E-2</v>
          </cell>
        </row>
        <row r="769">
          <cell r="A769">
            <v>769</v>
          </cell>
          <cell r="B769" t="str">
            <v>지중</v>
          </cell>
          <cell r="C769" t="str">
            <v>통신 케이블</v>
          </cell>
          <cell r="D769" t="str">
            <v>CPEV 0.65/20P</v>
          </cell>
          <cell r="E769" t="str">
            <v>m</v>
          </cell>
          <cell r="H769">
            <v>810</v>
          </cell>
          <cell r="I769">
            <v>1224</v>
          </cell>
          <cell r="J769">
            <v>853</v>
          </cell>
          <cell r="K769">
            <v>1333</v>
          </cell>
          <cell r="S769">
            <v>1224</v>
          </cell>
          <cell r="U769">
            <v>0.03</v>
          </cell>
          <cell r="V769" t="str">
            <v>통케</v>
          </cell>
          <cell r="W769">
            <v>8.9999999999999993E-3</v>
          </cell>
          <cell r="X769" t="str">
            <v>보인</v>
          </cell>
          <cell r="Y769">
            <v>1.2999999999999999E-2</v>
          </cell>
        </row>
        <row r="770">
          <cell r="A770">
            <v>770</v>
          </cell>
          <cell r="B770" t="str">
            <v>지중</v>
          </cell>
          <cell r="C770" t="str">
            <v>통신 케이블</v>
          </cell>
          <cell r="D770" t="str">
            <v>CPEV 0.65/25P</v>
          </cell>
          <cell r="E770" t="str">
            <v>m</v>
          </cell>
          <cell r="H770">
            <v>810</v>
          </cell>
          <cell r="I770">
            <v>1451</v>
          </cell>
          <cell r="J770">
            <v>853</v>
          </cell>
          <cell r="K770">
            <v>1581</v>
          </cell>
          <cell r="S770">
            <v>1451</v>
          </cell>
          <cell r="U770">
            <v>0.03</v>
          </cell>
          <cell r="V770" t="str">
            <v>통케</v>
          </cell>
          <cell r="W770">
            <v>1.0999999999999999E-2</v>
          </cell>
          <cell r="X770" t="str">
            <v>보인</v>
          </cell>
          <cell r="Y770">
            <v>1.4999999999999999E-2</v>
          </cell>
        </row>
        <row r="771">
          <cell r="A771">
            <v>771</v>
          </cell>
          <cell r="B771" t="str">
            <v>지중</v>
          </cell>
          <cell r="C771" t="str">
            <v>통신 케이블</v>
          </cell>
          <cell r="D771" t="str">
            <v>CPEV 0.65/30P</v>
          </cell>
          <cell r="E771" t="str">
            <v>m</v>
          </cell>
          <cell r="H771">
            <v>810</v>
          </cell>
          <cell r="I771">
            <v>1665</v>
          </cell>
          <cell r="J771">
            <v>853</v>
          </cell>
          <cell r="K771">
            <v>1813</v>
          </cell>
          <cell r="S771">
            <v>1665</v>
          </cell>
          <cell r="U771">
            <v>0.03</v>
          </cell>
          <cell r="V771" t="str">
            <v>통케</v>
          </cell>
          <cell r="W771">
            <v>1.0999999999999999E-2</v>
          </cell>
          <cell r="X771" t="str">
            <v>보인</v>
          </cell>
          <cell r="Y771">
            <v>1.4999999999999999E-2</v>
          </cell>
        </row>
        <row r="772">
          <cell r="A772">
            <v>772</v>
          </cell>
          <cell r="S772" t="str">
            <v/>
          </cell>
        </row>
        <row r="773">
          <cell r="A773">
            <v>773</v>
          </cell>
          <cell r="S773" t="str">
            <v/>
          </cell>
        </row>
        <row r="774">
          <cell r="A774">
            <v>774</v>
          </cell>
          <cell r="S774" t="str">
            <v/>
          </cell>
        </row>
        <row r="775">
          <cell r="A775">
            <v>775</v>
          </cell>
          <cell r="S775" t="str">
            <v/>
          </cell>
        </row>
        <row r="776">
          <cell r="A776">
            <v>776</v>
          </cell>
          <cell r="C776" t="str">
            <v>동축 케이블</v>
          </cell>
          <cell r="D776" t="str">
            <v>ECX  5C-2V</v>
          </cell>
          <cell r="E776" t="str">
            <v>m</v>
          </cell>
          <cell r="H776">
            <v>810</v>
          </cell>
          <cell r="I776">
            <v>450</v>
          </cell>
          <cell r="J776">
            <v>854</v>
          </cell>
          <cell r="K776">
            <v>488</v>
          </cell>
          <cell r="S776">
            <v>450</v>
          </cell>
          <cell r="U776">
            <v>0.03</v>
          </cell>
          <cell r="V776" t="str">
            <v>통설</v>
          </cell>
          <cell r="W776">
            <v>1.7999999999999999E-2</v>
          </cell>
        </row>
        <row r="777">
          <cell r="A777">
            <v>777</v>
          </cell>
          <cell r="C777" t="str">
            <v>동축 케이블</v>
          </cell>
          <cell r="D777" t="str">
            <v>ECX  7C-2V</v>
          </cell>
          <cell r="E777" t="str">
            <v>m</v>
          </cell>
          <cell r="H777">
            <v>778</v>
          </cell>
          <cell r="I777">
            <v>813</v>
          </cell>
          <cell r="J777">
            <v>854</v>
          </cell>
          <cell r="K777">
            <v>883</v>
          </cell>
          <cell r="S777">
            <v>813</v>
          </cell>
          <cell r="U777">
            <v>0.03</v>
          </cell>
          <cell r="V777" t="str">
            <v>통설</v>
          </cell>
          <cell r="W777">
            <v>2.1999999999999999E-2</v>
          </cell>
        </row>
        <row r="778">
          <cell r="A778">
            <v>778</v>
          </cell>
          <cell r="C778" t="str">
            <v>동축 케이블</v>
          </cell>
          <cell r="D778" t="str">
            <v>ECX 10C-2V</v>
          </cell>
          <cell r="E778" t="str">
            <v>m</v>
          </cell>
          <cell r="H778">
            <v>778</v>
          </cell>
          <cell r="I778">
            <v>1224</v>
          </cell>
          <cell r="J778">
            <v>854</v>
          </cell>
          <cell r="K778">
            <v>1329</v>
          </cell>
          <cell r="S778">
            <v>1224</v>
          </cell>
          <cell r="U778">
            <v>0.03</v>
          </cell>
          <cell r="V778" t="str">
            <v>통설</v>
          </cell>
          <cell r="W778">
            <v>3.2000000000000001E-2</v>
          </cell>
        </row>
        <row r="779">
          <cell r="A779">
            <v>779</v>
          </cell>
          <cell r="C779" t="str">
            <v>고발포 동축 케이블</v>
          </cell>
          <cell r="D779" t="str">
            <v>HFB 10C</v>
          </cell>
          <cell r="E779" t="str">
            <v>m</v>
          </cell>
          <cell r="H779">
            <v>811</v>
          </cell>
          <cell r="I779">
            <v>1348</v>
          </cell>
          <cell r="J779">
            <v>854</v>
          </cell>
          <cell r="K779">
            <v>1200</v>
          </cell>
          <cell r="S779">
            <v>1200</v>
          </cell>
          <cell r="U779">
            <v>0.03</v>
          </cell>
          <cell r="V779" t="str">
            <v>통설</v>
          </cell>
          <cell r="W779">
            <v>3.2000000000000001E-2</v>
          </cell>
        </row>
        <row r="780">
          <cell r="A780">
            <v>779</v>
          </cell>
          <cell r="C780" t="str">
            <v>고발포 동축 케이블</v>
          </cell>
          <cell r="D780" t="str">
            <v>HFB 5C</v>
          </cell>
          <cell r="E780" t="str">
            <v>m</v>
          </cell>
          <cell r="H780">
            <v>811</v>
          </cell>
          <cell r="I780">
            <v>480</v>
          </cell>
          <cell r="J780">
            <v>854</v>
          </cell>
          <cell r="K780">
            <v>430</v>
          </cell>
          <cell r="S780">
            <v>430</v>
          </cell>
          <cell r="U780">
            <v>0.03</v>
          </cell>
          <cell r="V780" t="str">
            <v>통설</v>
          </cell>
          <cell r="W780">
            <v>3.2000000000000001E-2</v>
          </cell>
        </row>
        <row r="781">
          <cell r="A781">
            <v>781</v>
          </cell>
          <cell r="C781" t="str">
            <v>DATA CABLE</v>
          </cell>
          <cell r="D781" t="str">
            <v>DUAL</v>
          </cell>
          <cell r="E781" t="str">
            <v>m</v>
          </cell>
          <cell r="L781" t="str">
            <v>일호기전</v>
          </cell>
          <cell r="M781">
            <v>1500</v>
          </cell>
          <cell r="S781">
            <v>1500</v>
          </cell>
          <cell r="U781">
            <v>0.05</v>
          </cell>
          <cell r="V781" t="str">
            <v>저케</v>
          </cell>
          <cell r="W781">
            <v>1.6E-2</v>
          </cell>
        </row>
        <row r="782">
          <cell r="A782">
            <v>782</v>
          </cell>
          <cell r="C782" t="str">
            <v>AUDIO CABLE</v>
          </cell>
          <cell r="D782" t="str">
            <v>MW-3100</v>
          </cell>
          <cell r="E782" t="str">
            <v>m</v>
          </cell>
          <cell r="L782" t="str">
            <v>(주)경일기업</v>
          </cell>
          <cell r="M782">
            <v>550</v>
          </cell>
          <cell r="S782">
            <v>550</v>
          </cell>
          <cell r="U782">
            <v>0.05</v>
          </cell>
          <cell r="V782" t="str">
            <v>저케</v>
          </cell>
          <cell r="W782">
            <v>1.6E-2</v>
          </cell>
        </row>
        <row r="783">
          <cell r="A783">
            <v>783</v>
          </cell>
          <cell r="S783" t="str">
            <v/>
          </cell>
        </row>
        <row r="784">
          <cell r="A784">
            <v>784</v>
          </cell>
          <cell r="S784" t="str">
            <v/>
          </cell>
        </row>
        <row r="785">
          <cell r="A785">
            <v>785</v>
          </cell>
          <cell r="C785" t="str">
            <v>잡자재및소모품비</v>
          </cell>
          <cell r="D785" t="str">
            <v>배관배선자재비의 2%</v>
          </cell>
          <cell r="E785" t="str">
            <v>식</v>
          </cell>
          <cell r="S785">
            <v>0</v>
          </cell>
        </row>
        <row r="786">
          <cell r="A786">
            <v>786</v>
          </cell>
          <cell r="S786" t="str">
            <v/>
          </cell>
        </row>
        <row r="787">
          <cell r="A787">
            <v>787</v>
          </cell>
          <cell r="C787" t="str">
            <v>노말 밴드</v>
          </cell>
          <cell r="D787" t="str">
            <v>ST  28C</v>
          </cell>
          <cell r="E787" t="str">
            <v>EA</v>
          </cell>
          <cell r="H787">
            <v>820</v>
          </cell>
          <cell r="I787">
            <v>1875</v>
          </cell>
          <cell r="J787">
            <v>871</v>
          </cell>
          <cell r="K787">
            <v>1969</v>
          </cell>
          <cell r="S787">
            <v>1875</v>
          </cell>
        </row>
        <row r="788">
          <cell r="A788">
            <v>788</v>
          </cell>
          <cell r="C788" t="str">
            <v>노말 밴드</v>
          </cell>
          <cell r="D788" t="str">
            <v>ST  36C</v>
          </cell>
          <cell r="E788" t="str">
            <v>EA</v>
          </cell>
          <cell r="H788">
            <v>820</v>
          </cell>
          <cell r="I788">
            <v>2500</v>
          </cell>
          <cell r="J788">
            <v>871</v>
          </cell>
          <cell r="K788">
            <v>2625</v>
          </cell>
          <cell r="S788">
            <v>2500</v>
          </cell>
        </row>
        <row r="789">
          <cell r="A789">
            <v>789</v>
          </cell>
          <cell r="C789" t="str">
            <v>노말 밴드</v>
          </cell>
          <cell r="D789" t="str">
            <v>ST  42C</v>
          </cell>
          <cell r="E789" t="str">
            <v>EA</v>
          </cell>
          <cell r="H789">
            <v>820</v>
          </cell>
          <cell r="I789">
            <v>3250</v>
          </cell>
          <cell r="J789">
            <v>871</v>
          </cell>
          <cell r="K789">
            <v>3413</v>
          </cell>
          <cell r="S789">
            <v>3250</v>
          </cell>
        </row>
        <row r="790">
          <cell r="A790">
            <v>790</v>
          </cell>
          <cell r="C790" t="str">
            <v>노말 밴드</v>
          </cell>
          <cell r="D790" t="str">
            <v>ST  54C</v>
          </cell>
          <cell r="E790" t="str">
            <v>EA</v>
          </cell>
          <cell r="H790">
            <v>820</v>
          </cell>
          <cell r="I790">
            <v>4625</v>
          </cell>
          <cell r="J790">
            <v>871</v>
          </cell>
          <cell r="K790">
            <v>4856</v>
          </cell>
          <cell r="S790">
            <v>4625</v>
          </cell>
        </row>
        <row r="791">
          <cell r="A791">
            <v>791</v>
          </cell>
          <cell r="C791" t="str">
            <v>노말 밴드</v>
          </cell>
          <cell r="D791" t="str">
            <v>ST  70C</v>
          </cell>
          <cell r="E791" t="str">
            <v>EA</v>
          </cell>
          <cell r="H791">
            <v>820</v>
          </cell>
          <cell r="I791">
            <v>7500</v>
          </cell>
          <cell r="J791">
            <v>871</v>
          </cell>
          <cell r="K791">
            <v>7875</v>
          </cell>
          <cell r="S791">
            <v>7500</v>
          </cell>
        </row>
        <row r="792">
          <cell r="A792">
            <v>792</v>
          </cell>
          <cell r="C792" t="str">
            <v>노말 밴드</v>
          </cell>
          <cell r="D792" t="str">
            <v>ST  82C</v>
          </cell>
          <cell r="E792" t="str">
            <v>EA</v>
          </cell>
          <cell r="H792">
            <v>820</v>
          </cell>
          <cell r="I792">
            <v>12150</v>
          </cell>
          <cell r="J792">
            <v>871</v>
          </cell>
          <cell r="K792">
            <v>11813</v>
          </cell>
          <cell r="S792">
            <v>11813</v>
          </cell>
        </row>
        <row r="793">
          <cell r="A793">
            <v>793</v>
          </cell>
          <cell r="C793" t="str">
            <v>노말 밴드</v>
          </cell>
          <cell r="D793" t="str">
            <v>ST  104C</v>
          </cell>
          <cell r="E793" t="str">
            <v>EA</v>
          </cell>
          <cell r="H793">
            <v>820</v>
          </cell>
          <cell r="I793">
            <v>21250</v>
          </cell>
          <cell r="J793">
            <v>871</v>
          </cell>
          <cell r="K793">
            <v>22313</v>
          </cell>
          <cell r="S793">
            <v>21250</v>
          </cell>
        </row>
        <row r="794">
          <cell r="A794">
            <v>794</v>
          </cell>
          <cell r="C794" t="str">
            <v>압착 단자</v>
          </cell>
          <cell r="D794" t="str">
            <v>38sq</v>
          </cell>
          <cell r="E794" t="str">
            <v>EA</v>
          </cell>
          <cell r="H794">
            <v>814</v>
          </cell>
          <cell r="I794">
            <v>200</v>
          </cell>
          <cell r="J794">
            <v>861</v>
          </cell>
          <cell r="K794">
            <v>143</v>
          </cell>
          <cell r="S794">
            <v>143</v>
          </cell>
          <cell r="V794" t="str">
            <v>내선</v>
          </cell>
          <cell r="W794">
            <v>0.11399999999999999</v>
          </cell>
        </row>
        <row r="795">
          <cell r="A795">
            <v>795</v>
          </cell>
          <cell r="C795" t="str">
            <v>압착 단자</v>
          </cell>
          <cell r="D795" t="str">
            <v>60sq</v>
          </cell>
          <cell r="E795" t="str">
            <v>EA</v>
          </cell>
          <cell r="H795">
            <v>814</v>
          </cell>
          <cell r="I795">
            <v>350</v>
          </cell>
          <cell r="J795">
            <v>861</v>
          </cell>
          <cell r="K795">
            <v>403</v>
          </cell>
          <cell r="S795">
            <v>350</v>
          </cell>
          <cell r="V795" t="str">
            <v>내선</v>
          </cell>
          <cell r="W795">
            <v>0.13800000000000001</v>
          </cell>
        </row>
        <row r="796">
          <cell r="A796">
            <v>796</v>
          </cell>
          <cell r="S796" t="str">
            <v/>
          </cell>
        </row>
        <row r="797">
          <cell r="A797">
            <v>797</v>
          </cell>
          <cell r="S797" t="str">
            <v/>
          </cell>
        </row>
        <row r="798">
          <cell r="A798">
            <v>798</v>
          </cell>
          <cell r="S798" t="str">
            <v/>
          </cell>
        </row>
        <row r="799">
          <cell r="A799">
            <v>799</v>
          </cell>
          <cell r="C799" t="str">
            <v>노말 밴드</v>
          </cell>
          <cell r="D799" t="str">
            <v>HI-PVC  28C</v>
          </cell>
          <cell r="E799" t="str">
            <v>EA</v>
          </cell>
          <cell r="H799">
            <v>824</v>
          </cell>
          <cell r="I799">
            <v>979</v>
          </cell>
          <cell r="J799">
            <v>874</v>
          </cell>
          <cell r="K799">
            <v>810</v>
          </cell>
          <cell r="S799">
            <v>810</v>
          </cell>
        </row>
        <row r="800">
          <cell r="A800">
            <v>800</v>
          </cell>
          <cell r="C800" t="str">
            <v>노말 밴드</v>
          </cell>
          <cell r="D800" t="str">
            <v>HI-PVC  36C</v>
          </cell>
          <cell r="E800" t="str">
            <v>EA</v>
          </cell>
          <cell r="H800">
            <v>824</v>
          </cell>
          <cell r="I800">
            <v>1101</v>
          </cell>
          <cell r="J800">
            <v>874</v>
          </cell>
          <cell r="K800">
            <v>1119</v>
          </cell>
          <cell r="S800">
            <v>1101</v>
          </cell>
        </row>
        <row r="801">
          <cell r="A801">
            <v>801</v>
          </cell>
          <cell r="C801" t="str">
            <v>노말 밴드</v>
          </cell>
          <cell r="D801" t="str">
            <v>HI-PVC  42C</v>
          </cell>
          <cell r="E801" t="str">
            <v>EA</v>
          </cell>
          <cell r="H801">
            <v>824</v>
          </cell>
          <cell r="I801">
            <v>1468</v>
          </cell>
          <cell r="J801">
            <v>874</v>
          </cell>
          <cell r="K801">
            <v>1463</v>
          </cell>
          <cell r="S801">
            <v>1463</v>
          </cell>
        </row>
        <row r="802">
          <cell r="A802">
            <v>802</v>
          </cell>
          <cell r="C802" t="str">
            <v>노말 밴드</v>
          </cell>
          <cell r="D802" t="str">
            <v>HI-PVC  54C</v>
          </cell>
          <cell r="E802" t="str">
            <v>EA</v>
          </cell>
          <cell r="H802">
            <v>824</v>
          </cell>
          <cell r="I802">
            <v>2478</v>
          </cell>
          <cell r="J802">
            <v>874</v>
          </cell>
          <cell r="K802">
            <v>2308</v>
          </cell>
          <cell r="S802">
            <v>2308</v>
          </cell>
        </row>
        <row r="803">
          <cell r="A803">
            <v>803</v>
          </cell>
          <cell r="C803" t="str">
            <v>노말 밴드</v>
          </cell>
          <cell r="D803" t="str">
            <v>HI-PVC  70C</v>
          </cell>
          <cell r="E803" t="str">
            <v>EA</v>
          </cell>
          <cell r="H803">
            <v>824</v>
          </cell>
          <cell r="I803">
            <v>4151</v>
          </cell>
          <cell r="J803">
            <v>874</v>
          </cell>
          <cell r="K803">
            <v>3341</v>
          </cell>
          <cell r="S803">
            <v>3341</v>
          </cell>
        </row>
        <row r="804">
          <cell r="A804">
            <v>804</v>
          </cell>
          <cell r="C804" t="str">
            <v>노말 밴드</v>
          </cell>
          <cell r="D804" t="str">
            <v>HI-PVC  82C</v>
          </cell>
          <cell r="E804" t="str">
            <v>EA</v>
          </cell>
          <cell r="H804">
            <v>824</v>
          </cell>
          <cell r="I804">
            <v>6200</v>
          </cell>
          <cell r="J804">
            <v>874</v>
          </cell>
          <cell r="K804">
            <v>4667</v>
          </cell>
          <cell r="S804">
            <v>4667</v>
          </cell>
        </row>
        <row r="805">
          <cell r="A805">
            <v>805</v>
          </cell>
          <cell r="C805" t="str">
            <v>노말 밴드</v>
          </cell>
          <cell r="D805" t="str">
            <v>HI-PVC 104C</v>
          </cell>
          <cell r="E805" t="str">
            <v>EA</v>
          </cell>
          <cell r="H805">
            <v>824</v>
          </cell>
          <cell r="I805">
            <v>8400</v>
          </cell>
          <cell r="J805">
            <v>874</v>
          </cell>
          <cell r="K805">
            <v>7030</v>
          </cell>
          <cell r="S805">
            <v>7030</v>
          </cell>
        </row>
        <row r="806">
          <cell r="A806">
            <v>806</v>
          </cell>
          <cell r="C806" t="str">
            <v>동관 단자</v>
          </cell>
          <cell r="D806" t="str">
            <v>100sq</v>
          </cell>
          <cell r="E806" t="str">
            <v>EA</v>
          </cell>
          <cell r="H806">
            <v>814</v>
          </cell>
          <cell r="I806">
            <v>2500</v>
          </cell>
          <cell r="J806">
            <v>861</v>
          </cell>
          <cell r="K806">
            <v>2080</v>
          </cell>
          <cell r="S806">
            <v>2080</v>
          </cell>
        </row>
        <row r="807">
          <cell r="A807">
            <v>807</v>
          </cell>
          <cell r="C807" t="str">
            <v>동관 단자</v>
          </cell>
          <cell r="D807" t="str">
            <v>150sq</v>
          </cell>
          <cell r="E807" t="str">
            <v>EA</v>
          </cell>
          <cell r="H807">
            <v>783</v>
          </cell>
          <cell r="I807">
            <v>4100</v>
          </cell>
          <cell r="J807">
            <v>861</v>
          </cell>
          <cell r="K807">
            <v>3380</v>
          </cell>
          <cell r="S807">
            <v>3380</v>
          </cell>
        </row>
        <row r="808">
          <cell r="A808">
            <v>808</v>
          </cell>
          <cell r="C808" t="str">
            <v>동관 단자</v>
          </cell>
          <cell r="D808" t="str">
            <v>200sq</v>
          </cell>
          <cell r="E808" t="str">
            <v>EA</v>
          </cell>
          <cell r="H808">
            <v>783</v>
          </cell>
          <cell r="I808">
            <v>5350</v>
          </cell>
          <cell r="J808">
            <v>861</v>
          </cell>
          <cell r="K808">
            <v>4550</v>
          </cell>
          <cell r="S808">
            <v>4550</v>
          </cell>
        </row>
        <row r="809">
          <cell r="A809">
            <v>809</v>
          </cell>
          <cell r="C809" t="str">
            <v>동관 단자</v>
          </cell>
          <cell r="D809" t="str">
            <v>250sq</v>
          </cell>
          <cell r="E809" t="str">
            <v>EA</v>
          </cell>
          <cell r="H809">
            <v>783</v>
          </cell>
          <cell r="I809">
            <v>7150</v>
          </cell>
          <cell r="J809">
            <v>861</v>
          </cell>
          <cell r="K809">
            <v>5200</v>
          </cell>
          <cell r="S809">
            <v>5200</v>
          </cell>
        </row>
        <row r="810">
          <cell r="A810">
            <v>810</v>
          </cell>
          <cell r="C810" t="str">
            <v>동관 단자</v>
          </cell>
          <cell r="D810" t="str">
            <v>325sq</v>
          </cell>
          <cell r="E810" t="str">
            <v>EA</v>
          </cell>
          <cell r="H810">
            <v>783</v>
          </cell>
          <cell r="I810">
            <v>11200</v>
          </cell>
          <cell r="J810">
            <v>861</v>
          </cell>
          <cell r="K810">
            <v>8450</v>
          </cell>
          <cell r="S810">
            <v>8450</v>
          </cell>
        </row>
        <row r="811">
          <cell r="A811">
            <v>811</v>
          </cell>
          <cell r="C811" t="str">
            <v>FLEXIBLE  CONNECTOR</v>
          </cell>
          <cell r="D811" t="str">
            <v>PVC 16C-CD</v>
          </cell>
          <cell r="E811" t="str">
            <v>EA</v>
          </cell>
          <cell r="H811">
            <v>821</v>
          </cell>
          <cell r="I811">
            <v>850</v>
          </cell>
          <cell r="J811">
            <v>870</v>
          </cell>
          <cell r="K811">
            <v>370</v>
          </cell>
          <cell r="S811">
            <v>370</v>
          </cell>
        </row>
        <row r="812">
          <cell r="A812">
            <v>812</v>
          </cell>
          <cell r="C812" t="str">
            <v>FLEXIBLE  CONNECTOR</v>
          </cell>
          <cell r="D812" t="str">
            <v>방수용콘넥타16C-황동</v>
          </cell>
          <cell r="E812" t="str">
            <v>EA</v>
          </cell>
          <cell r="H812">
            <v>821</v>
          </cell>
          <cell r="I812">
            <v>1370</v>
          </cell>
          <cell r="J812">
            <v>870</v>
          </cell>
          <cell r="K812">
            <v>1430</v>
          </cell>
          <cell r="S812">
            <v>1370</v>
          </cell>
        </row>
        <row r="813">
          <cell r="A813">
            <v>813</v>
          </cell>
          <cell r="C813" t="str">
            <v>FLEXIBLE  CONNECTOR</v>
          </cell>
          <cell r="D813" t="str">
            <v>방수용콘넥타22C-황동</v>
          </cell>
          <cell r="E813" t="str">
            <v>EA</v>
          </cell>
          <cell r="H813">
            <v>821</v>
          </cell>
          <cell r="I813">
            <v>1890</v>
          </cell>
          <cell r="J813">
            <v>871</v>
          </cell>
          <cell r="K813">
            <v>2100</v>
          </cell>
          <cell r="S813">
            <v>1890</v>
          </cell>
        </row>
        <row r="814">
          <cell r="A814">
            <v>814</v>
          </cell>
          <cell r="C814" t="str">
            <v>FLEXIBLE  CONNECTOR</v>
          </cell>
          <cell r="D814" t="str">
            <v>방수용콘넥타28C-황동</v>
          </cell>
          <cell r="E814" t="str">
            <v>EA</v>
          </cell>
          <cell r="H814">
            <v>821</v>
          </cell>
          <cell r="I814">
            <v>2300</v>
          </cell>
          <cell r="J814">
            <v>871</v>
          </cell>
          <cell r="K814">
            <v>2380</v>
          </cell>
          <cell r="S814">
            <v>2300</v>
          </cell>
        </row>
        <row r="815">
          <cell r="A815">
            <v>815</v>
          </cell>
          <cell r="C815" t="str">
            <v>FLEXIBLE  CONNECTOR</v>
          </cell>
          <cell r="D815" t="str">
            <v>방수용콘넥타36C-황동</v>
          </cell>
          <cell r="E815" t="str">
            <v>EA</v>
          </cell>
          <cell r="H815">
            <v>821</v>
          </cell>
          <cell r="I815">
            <v>3620</v>
          </cell>
          <cell r="J815">
            <v>871</v>
          </cell>
          <cell r="K815">
            <v>3710</v>
          </cell>
          <cell r="S815">
            <v>3620</v>
          </cell>
        </row>
        <row r="816">
          <cell r="A816">
            <v>816</v>
          </cell>
          <cell r="C816" t="str">
            <v>FLEXIBLE  CONNECTOR</v>
          </cell>
          <cell r="D816" t="str">
            <v>방수용콘넥타42C-황동</v>
          </cell>
          <cell r="E816" t="str">
            <v>EA</v>
          </cell>
          <cell r="H816">
            <v>821</v>
          </cell>
          <cell r="I816">
            <v>5450</v>
          </cell>
          <cell r="J816">
            <v>871</v>
          </cell>
          <cell r="K816">
            <v>4750</v>
          </cell>
          <cell r="S816">
            <v>4750</v>
          </cell>
        </row>
        <row r="817">
          <cell r="A817">
            <v>817</v>
          </cell>
          <cell r="C817" t="str">
            <v>FLEXIBLE  CONNECTOR</v>
          </cell>
          <cell r="D817" t="str">
            <v>방수용콘넥타54C-황동</v>
          </cell>
          <cell r="E817" t="str">
            <v>EA</v>
          </cell>
          <cell r="H817">
            <v>821</v>
          </cell>
          <cell r="I817">
            <v>7370</v>
          </cell>
          <cell r="J817">
            <v>871</v>
          </cell>
          <cell r="K817">
            <v>6460</v>
          </cell>
          <cell r="S817">
            <v>6460</v>
          </cell>
        </row>
        <row r="818">
          <cell r="A818">
            <v>818</v>
          </cell>
          <cell r="C818" t="str">
            <v>FLEXIBLE  CONNECTOR</v>
          </cell>
          <cell r="D818" t="str">
            <v>방수용콘넥타104C-황동</v>
          </cell>
          <cell r="E818" t="str">
            <v>EA</v>
          </cell>
          <cell r="H818">
            <v>821</v>
          </cell>
          <cell r="I818">
            <v>32000</v>
          </cell>
          <cell r="J818">
            <v>871</v>
          </cell>
          <cell r="K818">
            <v>26500</v>
          </cell>
          <cell r="S818">
            <v>26500</v>
          </cell>
        </row>
        <row r="819">
          <cell r="A819">
            <v>819</v>
          </cell>
          <cell r="C819" t="str">
            <v>FLEXIBLE  CONNECTOR</v>
          </cell>
          <cell r="D819" t="str">
            <v>방수용콘넥타70C-황동</v>
          </cell>
          <cell r="E819" t="str">
            <v>EA</v>
          </cell>
          <cell r="H819">
            <v>821</v>
          </cell>
          <cell r="I819">
            <v>11200</v>
          </cell>
          <cell r="J819">
            <v>871</v>
          </cell>
          <cell r="K819">
            <v>10450</v>
          </cell>
          <cell r="S819">
            <v>10450</v>
          </cell>
        </row>
        <row r="820">
          <cell r="A820">
            <v>820</v>
          </cell>
          <cell r="C820" t="str">
            <v>FLEXIBLE  CONNECTOR</v>
          </cell>
          <cell r="D820" t="str">
            <v>PLICA 방수 #15</v>
          </cell>
          <cell r="E820" t="str">
            <v>EA</v>
          </cell>
          <cell r="H820">
            <v>822</v>
          </cell>
          <cell r="I820">
            <v>950</v>
          </cell>
          <cell r="J820">
            <v>872</v>
          </cell>
          <cell r="K820">
            <v>950</v>
          </cell>
          <cell r="S820">
            <v>950</v>
          </cell>
        </row>
        <row r="821">
          <cell r="A821">
            <v>821</v>
          </cell>
          <cell r="C821" t="str">
            <v>FLEXIBLE  CONNECTOR</v>
          </cell>
          <cell r="D821" t="str">
            <v>PLICA 방수 #17</v>
          </cell>
          <cell r="E821" t="str">
            <v>EA</v>
          </cell>
          <cell r="H821">
            <v>822</v>
          </cell>
          <cell r="I821">
            <v>950</v>
          </cell>
          <cell r="J821">
            <v>872</v>
          </cell>
          <cell r="K821">
            <v>950</v>
          </cell>
          <cell r="S821">
            <v>950</v>
          </cell>
        </row>
        <row r="822">
          <cell r="A822">
            <v>822</v>
          </cell>
          <cell r="C822" t="str">
            <v>FLEXIBLE  CONNECTOR</v>
          </cell>
          <cell r="D822" t="str">
            <v>PLICA 방수 #24</v>
          </cell>
          <cell r="E822" t="str">
            <v>EA</v>
          </cell>
          <cell r="H822">
            <v>822</v>
          </cell>
          <cell r="I822">
            <v>1210</v>
          </cell>
          <cell r="J822">
            <v>872</v>
          </cell>
          <cell r="K822">
            <v>1210</v>
          </cell>
          <cell r="S822">
            <v>1210</v>
          </cell>
        </row>
        <row r="823">
          <cell r="A823">
            <v>823</v>
          </cell>
          <cell r="C823" t="str">
            <v>FLEXIBLE  CONNECTOR</v>
          </cell>
          <cell r="D823" t="str">
            <v>PLICA 방수 #30</v>
          </cell>
          <cell r="E823" t="str">
            <v>EA</v>
          </cell>
          <cell r="H823">
            <v>822</v>
          </cell>
          <cell r="I823">
            <v>1520</v>
          </cell>
          <cell r="J823">
            <v>872</v>
          </cell>
          <cell r="K823">
            <v>1520</v>
          </cell>
          <cell r="S823">
            <v>1520</v>
          </cell>
        </row>
        <row r="824">
          <cell r="A824">
            <v>824</v>
          </cell>
          <cell r="C824" t="str">
            <v>FLEXIBLE  CONNECTOR</v>
          </cell>
          <cell r="D824" t="str">
            <v>PLICA 방수 #38</v>
          </cell>
          <cell r="E824" t="str">
            <v>EA</v>
          </cell>
          <cell r="H824">
            <v>822</v>
          </cell>
          <cell r="I824">
            <v>2240</v>
          </cell>
          <cell r="J824">
            <v>872</v>
          </cell>
          <cell r="K824">
            <v>2240</v>
          </cell>
          <cell r="S824">
            <v>2240</v>
          </cell>
        </row>
        <row r="825">
          <cell r="A825">
            <v>825</v>
          </cell>
          <cell r="C825" t="str">
            <v>FLEXIBLE  CONNECTOR</v>
          </cell>
          <cell r="D825" t="str">
            <v>PLICA 방수 #50</v>
          </cell>
          <cell r="E825" t="str">
            <v>EA</v>
          </cell>
          <cell r="H825">
            <v>822</v>
          </cell>
          <cell r="I825">
            <v>3070</v>
          </cell>
          <cell r="J825">
            <v>872</v>
          </cell>
          <cell r="K825">
            <v>3070</v>
          </cell>
          <cell r="S825">
            <v>3070</v>
          </cell>
        </row>
        <row r="826">
          <cell r="A826">
            <v>826</v>
          </cell>
          <cell r="S826" t="str">
            <v/>
          </cell>
        </row>
        <row r="827">
          <cell r="A827">
            <v>827</v>
          </cell>
          <cell r="S827" t="str">
            <v/>
          </cell>
        </row>
        <row r="828">
          <cell r="A828">
            <v>828</v>
          </cell>
          <cell r="C828" t="str">
            <v>케이블 헤드 8sq</v>
          </cell>
          <cell r="D828" t="str">
            <v>3.3KV/3C  3단말/KIT</v>
          </cell>
          <cell r="E828" t="str">
            <v>set</v>
          </cell>
          <cell r="J828">
            <v>863</v>
          </cell>
          <cell r="S828">
            <v>0</v>
          </cell>
          <cell r="V828" t="str">
            <v>고케</v>
          </cell>
          <cell r="W828">
            <v>0.56999999999999995</v>
          </cell>
        </row>
        <row r="829">
          <cell r="A829">
            <v>829</v>
          </cell>
          <cell r="C829" t="str">
            <v>케이블 헤드 14sq</v>
          </cell>
          <cell r="D829" t="str">
            <v>3.3KV/3C  3단말/KIT</v>
          </cell>
          <cell r="E829" t="str">
            <v>set</v>
          </cell>
          <cell r="J829">
            <v>863</v>
          </cell>
          <cell r="S829">
            <v>0</v>
          </cell>
          <cell r="V829" t="str">
            <v>고케</v>
          </cell>
          <cell r="W829">
            <v>0.6</v>
          </cell>
        </row>
        <row r="830">
          <cell r="A830">
            <v>830</v>
          </cell>
          <cell r="C830" t="str">
            <v>케이블 헤드 22sq</v>
          </cell>
          <cell r="D830" t="str">
            <v>3.3KV/3C  3단말/KIT</v>
          </cell>
          <cell r="E830" t="str">
            <v>set</v>
          </cell>
          <cell r="J830">
            <v>863</v>
          </cell>
          <cell r="K830">
            <v>86800</v>
          </cell>
          <cell r="S830">
            <v>86800</v>
          </cell>
          <cell r="V830" t="str">
            <v>고케</v>
          </cell>
          <cell r="W830">
            <v>0.77</v>
          </cell>
        </row>
        <row r="831">
          <cell r="A831">
            <v>831</v>
          </cell>
          <cell r="C831" t="str">
            <v>케이블 헤드 30sq</v>
          </cell>
          <cell r="D831" t="str">
            <v>3.3KV/3C  3단말/KIT</v>
          </cell>
          <cell r="E831" t="str">
            <v>set</v>
          </cell>
          <cell r="J831">
            <v>863</v>
          </cell>
          <cell r="S831">
            <v>0</v>
          </cell>
          <cell r="V831" t="str">
            <v>고케</v>
          </cell>
          <cell r="W831">
            <v>0.84</v>
          </cell>
        </row>
        <row r="832">
          <cell r="A832">
            <v>832</v>
          </cell>
          <cell r="C832" t="str">
            <v>케이블 헤드 38sq</v>
          </cell>
          <cell r="D832" t="str">
            <v>3.3KV/3C  3단말/KIT</v>
          </cell>
          <cell r="E832" t="str">
            <v>set</v>
          </cell>
          <cell r="J832">
            <v>863</v>
          </cell>
          <cell r="K832">
            <v>89700</v>
          </cell>
          <cell r="S832">
            <v>89700</v>
          </cell>
          <cell r="V832" t="str">
            <v>고케</v>
          </cell>
          <cell r="W832">
            <v>0.92</v>
          </cell>
        </row>
        <row r="833">
          <cell r="A833">
            <v>833</v>
          </cell>
          <cell r="C833" t="str">
            <v>케이블 헤드 50sq</v>
          </cell>
          <cell r="D833" t="str">
            <v>3.3KV/3C  3단말/KIT</v>
          </cell>
          <cell r="E833" t="str">
            <v>set</v>
          </cell>
          <cell r="J833">
            <v>863</v>
          </cell>
          <cell r="S833">
            <v>0</v>
          </cell>
          <cell r="V833" t="str">
            <v>고케</v>
          </cell>
          <cell r="W833">
            <v>1.01</v>
          </cell>
        </row>
        <row r="834">
          <cell r="A834">
            <v>834</v>
          </cell>
          <cell r="C834" t="str">
            <v>케이블 헤드 60sq</v>
          </cell>
          <cell r="D834" t="str">
            <v>3.3KV/3C  3단말/KIT</v>
          </cell>
          <cell r="E834" t="str">
            <v>set</v>
          </cell>
          <cell r="J834">
            <v>863</v>
          </cell>
          <cell r="K834">
            <v>93700</v>
          </cell>
          <cell r="S834">
            <v>93700</v>
          </cell>
          <cell r="V834" t="str">
            <v>고케</v>
          </cell>
          <cell r="W834">
            <v>1.1000000000000001</v>
          </cell>
        </row>
        <row r="835">
          <cell r="A835">
            <v>835</v>
          </cell>
          <cell r="C835" t="str">
            <v>케이블 헤드 80sq</v>
          </cell>
          <cell r="D835" t="str">
            <v>3.3KV/3C  3단말/KIT</v>
          </cell>
          <cell r="E835" t="str">
            <v>set</v>
          </cell>
          <cell r="J835">
            <v>863</v>
          </cell>
          <cell r="S835">
            <v>0</v>
          </cell>
          <cell r="V835" t="str">
            <v>고케</v>
          </cell>
          <cell r="W835">
            <v>1.2</v>
          </cell>
        </row>
        <row r="836">
          <cell r="A836">
            <v>836</v>
          </cell>
          <cell r="C836" t="str">
            <v>케이블 헤드 100sq</v>
          </cell>
          <cell r="D836" t="str">
            <v>3.3KV/1C  1단말/KIT</v>
          </cell>
          <cell r="E836" t="str">
            <v>EA</v>
          </cell>
          <cell r="J836">
            <v>863</v>
          </cell>
          <cell r="K836">
            <v>21300</v>
          </cell>
          <cell r="S836">
            <v>21300</v>
          </cell>
          <cell r="V836" t="str">
            <v>고케</v>
          </cell>
          <cell r="W836">
            <v>0.76</v>
          </cell>
        </row>
        <row r="837">
          <cell r="A837">
            <v>837</v>
          </cell>
          <cell r="C837" t="str">
            <v>케이블 헤드 125sq</v>
          </cell>
          <cell r="D837" t="str">
            <v>3.3KV/1C  1단말/KIT</v>
          </cell>
          <cell r="E837" t="str">
            <v>EA</v>
          </cell>
          <cell r="J837">
            <v>863</v>
          </cell>
          <cell r="S837">
            <v>0</v>
          </cell>
          <cell r="V837" t="str">
            <v>고케</v>
          </cell>
          <cell r="W837">
            <v>0.85</v>
          </cell>
        </row>
        <row r="838">
          <cell r="A838">
            <v>838</v>
          </cell>
          <cell r="C838" t="str">
            <v>케이블 헤드 150sq</v>
          </cell>
          <cell r="D838" t="str">
            <v>3.3KV/1C  1단말/KIT</v>
          </cell>
          <cell r="E838" t="str">
            <v>EA</v>
          </cell>
          <cell r="J838">
            <v>863</v>
          </cell>
          <cell r="K838">
            <v>24200</v>
          </cell>
          <cell r="S838">
            <v>24200</v>
          </cell>
          <cell r="V838" t="str">
            <v>고케</v>
          </cell>
          <cell r="W838">
            <v>0.95</v>
          </cell>
        </row>
        <row r="839">
          <cell r="A839">
            <v>839</v>
          </cell>
          <cell r="C839" t="str">
            <v>케이블 헤드 200sq</v>
          </cell>
          <cell r="D839" t="str">
            <v>3.3KV/1C  1단말/KIT</v>
          </cell>
          <cell r="E839" t="str">
            <v>EA</v>
          </cell>
          <cell r="J839">
            <v>863</v>
          </cell>
          <cell r="K839">
            <v>27500</v>
          </cell>
          <cell r="S839">
            <v>27500</v>
          </cell>
          <cell r="V839" t="str">
            <v>고케</v>
          </cell>
          <cell r="W839">
            <v>1.03</v>
          </cell>
        </row>
        <row r="840">
          <cell r="A840">
            <v>840</v>
          </cell>
          <cell r="C840" t="str">
            <v>케이블 헤드 250sq</v>
          </cell>
          <cell r="D840" t="str">
            <v>3.3KV/1C  1단말/KIT</v>
          </cell>
          <cell r="E840" t="str">
            <v>EA</v>
          </cell>
          <cell r="J840">
            <v>863</v>
          </cell>
          <cell r="K840">
            <v>29300</v>
          </cell>
          <cell r="S840">
            <v>29300</v>
          </cell>
          <cell r="V840" t="str">
            <v>고케</v>
          </cell>
          <cell r="W840">
            <v>1.18</v>
          </cell>
        </row>
        <row r="841">
          <cell r="A841">
            <v>841</v>
          </cell>
          <cell r="C841" t="str">
            <v>케이블 헤드 325sq</v>
          </cell>
          <cell r="D841" t="str">
            <v>3.3KV/1C  1단말/KIT</v>
          </cell>
          <cell r="E841" t="str">
            <v>EA</v>
          </cell>
          <cell r="J841">
            <v>863</v>
          </cell>
          <cell r="K841">
            <v>33100</v>
          </cell>
          <cell r="S841">
            <v>33100</v>
          </cell>
          <cell r="V841" t="str">
            <v>고케</v>
          </cell>
          <cell r="W841">
            <v>1.32</v>
          </cell>
        </row>
        <row r="842">
          <cell r="A842">
            <v>842</v>
          </cell>
          <cell r="S842" t="str">
            <v/>
          </cell>
        </row>
        <row r="843">
          <cell r="A843">
            <v>843</v>
          </cell>
          <cell r="S843" t="str">
            <v/>
          </cell>
        </row>
        <row r="844">
          <cell r="A844">
            <v>844</v>
          </cell>
          <cell r="C844" t="str">
            <v>케이블 헤드 8sq</v>
          </cell>
          <cell r="D844" t="str">
            <v>6.6KV/3C  3상분/KIT</v>
          </cell>
          <cell r="E844" t="str">
            <v>set</v>
          </cell>
          <cell r="S844">
            <v>0</v>
          </cell>
          <cell r="V844" t="str">
            <v>고케</v>
          </cell>
          <cell r="W844">
            <v>0.67</v>
          </cell>
        </row>
        <row r="845">
          <cell r="A845">
            <v>845</v>
          </cell>
          <cell r="C845" t="str">
            <v>케이블 헤드 14sq</v>
          </cell>
          <cell r="D845" t="str">
            <v>6.6KV/3C  3상분/KIT</v>
          </cell>
          <cell r="E845" t="str">
            <v>set</v>
          </cell>
          <cell r="S845">
            <v>0</v>
          </cell>
          <cell r="V845" t="str">
            <v>고케</v>
          </cell>
          <cell r="W845">
            <v>0.71</v>
          </cell>
        </row>
        <row r="846">
          <cell r="A846">
            <v>846</v>
          </cell>
          <cell r="C846" t="str">
            <v>케이블 헤드 22sq 옥내외용</v>
          </cell>
          <cell r="D846" t="str">
            <v>6.6KV/3C  3상분/KIT</v>
          </cell>
          <cell r="E846" t="str">
            <v>set</v>
          </cell>
          <cell r="H846">
            <v>819</v>
          </cell>
          <cell r="I846">
            <v>86800</v>
          </cell>
          <cell r="J846">
            <v>863</v>
          </cell>
          <cell r="K846">
            <v>131300</v>
          </cell>
          <cell r="S846">
            <v>86800</v>
          </cell>
          <cell r="V846" t="str">
            <v>고케</v>
          </cell>
          <cell r="W846">
            <v>0.92</v>
          </cell>
        </row>
        <row r="847">
          <cell r="A847">
            <v>847</v>
          </cell>
          <cell r="C847" t="str">
            <v>케이블 헤드 22sq 옥내외용</v>
          </cell>
          <cell r="D847" t="str">
            <v>6.6KV/3C  3상분/KIT</v>
          </cell>
          <cell r="E847" t="str">
            <v>set</v>
          </cell>
          <cell r="H847">
            <v>819</v>
          </cell>
          <cell r="J847">
            <v>863</v>
          </cell>
          <cell r="S847">
            <v>0</v>
          </cell>
          <cell r="V847" t="str">
            <v>고케</v>
          </cell>
          <cell r="W847">
            <v>0.92</v>
          </cell>
        </row>
        <row r="848">
          <cell r="A848">
            <v>848</v>
          </cell>
          <cell r="C848" t="str">
            <v>케이블 헤드 30sq</v>
          </cell>
          <cell r="D848" t="str">
            <v>6.6KV/3C  3상분/KIT</v>
          </cell>
          <cell r="E848" t="str">
            <v>set</v>
          </cell>
          <cell r="H848">
            <v>819</v>
          </cell>
          <cell r="J848">
            <v>863</v>
          </cell>
          <cell r="S848">
            <v>0</v>
          </cell>
          <cell r="V848" t="str">
            <v>고케</v>
          </cell>
          <cell r="W848">
            <v>1.01</v>
          </cell>
        </row>
        <row r="849">
          <cell r="A849">
            <v>849</v>
          </cell>
          <cell r="C849" t="str">
            <v>케이블 헤드 38sq 옥내외용</v>
          </cell>
          <cell r="D849" t="str">
            <v>6.6KV/3C  3상분/KIT</v>
          </cell>
          <cell r="E849" t="str">
            <v>set</v>
          </cell>
          <cell r="H849">
            <v>819</v>
          </cell>
          <cell r="I849">
            <v>89700</v>
          </cell>
          <cell r="J849">
            <v>863</v>
          </cell>
          <cell r="K849">
            <v>133700</v>
          </cell>
          <cell r="S849">
            <v>89700</v>
          </cell>
          <cell r="V849" t="str">
            <v>고케</v>
          </cell>
          <cell r="W849">
            <v>1.1000000000000001</v>
          </cell>
        </row>
        <row r="850">
          <cell r="A850">
            <v>850</v>
          </cell>
          <cell r="B850" t="str">
            <v>옥외용</v>
          </cell>
          <cell r="C850" t="str">
            <v>케이블 헤드 38sq 옥외용</v>
          </cell>
          <cell r="D850" t="str">
            <v>6.6KV/3C  3상분/KIT</v>
          </cell>
          <cell r="E850" t="str">
            <v>set</v>
          </cell>
          <cell r="H850">
            <v>819</v>
          </cell>
          <cell r="J850">
            <v>863</v>
          </cell>
          <cell r="S850">
            <v>0</v>
          </cell>
          <cell r="V850" t="str">
            <v>고케</v>
          </cell>
          <cell r="W850">
            <v>1.1000000000000001</v>
          </cell>
        </row>
        <row r="851">
          <cell r="A851">
            <v>851</v>
          </cell>
          <cell r="C851" t="str">
            <v>케이블 헤드 50sq</v>
          </cell>
          <cell r="D851" t="str">
            <v>6.6KV/3C  3상분/KIT</v>
          </cell>
          <cell r="E851" t="str">
            <v>set</v>
          </cell>
          <cell r="H851">
            <v>819</v>
          </cell>
          <cell r="J851">
            <v>863</v>
          </cell>
          <cell r="S851">
            <v>0</v>
          </cell>
          <cell r="V851" t="str">
            <v>고케</v>
          </cell>
          <cell r="W851">
            <v>1.25</v>
          </cell>
        </row>
        <row r="852">
          <cell r="A852">
            <v>852</v>
          </cell>
          <cell r="C852" t="str">
            <v>케이블 헤드 60sq 옥내외용</v>
          </cell>
          <cell r="D852" t="str">
            <v>6.6KV/3C  3상분/KIT</v>
          </cell>
          <cell r="E852" t="str">
            <v>set</v>
          </cell>
          <cell r="H852">
            <v>819</v>
          </cell>
          <cell r="I852">
            <v>93700</v>
          </cell>
          <cell r="J852">
            <v>863</v>
          </cell>
          <cell r="K852">
            <v>139000</v>
          </cell>
          <cell r="S852">
            <v>93700</v>
          </cell>
          <cell r="V852" t="str">
            <v>고케</v>
          </cell>
          <cell r="W852">
            <v>1.4</v>
          </cell>
        </row>
        <row r="853">
          <cell r="A853">
            <v>853</v>
          </cell>
          <cell r="B853" t="str">
            <v>옥외용</v>
          </cell>
          <cell r="C853" t="str">
            <v>케이블 헤드 60sq 옥외용</v>
          </cell>
          <cell r="D853" t="str">
            <v>6.6KV/3C  3상분/KIT</v>
          </cell>
          <cell r="E853" t="str">
            <v>set</v>
          </cell>
          <cell r="H853">
            <v>819</v>
          </cell>
          <cell r="J853">
            <v>863</v>
          </cell>
          <cell r="S853">
            <v>0</v>
          </cell>
          <cell r="V853" t="str">
            <v>고케</v>
          </cell>
          <cell r="W853">
            <v>1.4</v>
          </cell>
        </row>
        <row r="854">
          <cell r="A854">
            <v>854</v>
          </cell>
          <cell r="C854" t="str">
            <v>케이블 헤드 80sq</v>
          </cell>
          <cell r="D854" t="str">
            <v>6.6KV/3C  3상분/KIT</v>
          </cell>
          <cell r="E854" t="str">
            <v>set</v>
          </cell>
          <cell r="H854">
            <v>819</v>
          </cell>
          <cell r="J854">
            <v>863</v>
          </cell>
          <cell r="S854">
            <v>0</v>
          </cell>
          <cell r="V854" t="str">
            <v>고케</v>
          </cell>
          <cell r="W854">
            <v>1.45</v>
          </cell>
        </row>
        <row r="855">
          <cell r="A855">
            <v>855</v>
          </cell>
          <cell r="C855" t="str">
            <v>케이블 헤드 100sq 옥내외용</v>
          </cell>
          <cell r="D855" t="str">
            <v>6.6KV/1C  1단말/KIT</v>
          </cell>
          <cell r="E855" t="str">
            <v>EA</v>
          </cell>
          <cell r="H855">
            <v>819</v>
          </cell>
          <cell r="I855">
            <v>21300</v>
          </cell>
          <cell r="J855">
            <v>863</v>
          </cell>
          <cell r="K855">
            <v>37266</v>
          </cell>
          <cell r="S855">
            <v>21300</v>
          </cell>
          <cell r="V855" t="str">
            <v>고케</v>
          </cell>
          <cell r="W855">
            <v>0.9</v>
          </cell>
        </row>
        <row r="856">
          <cell r="A856">
            <v>856</v>
          </cell>
          <cell r="B856" t="str">
            <v>옥외용</v>
          </cell>
          <cell r="C856" t="str">
            <v>케이블 헤드 100sq 옥외용</v>
          </cell>
          <cell r="D856" t="str">
            <v>6.6KV/1C  1단말/KIT</v>
          </cell>
          <cell r="E856" t="str">
            <v>EA</v>
          </cell>
          <cell r="H856">
            <v>819</v>
          </cell>
          <cell r="J856">
            <v>863</v>
          </cell>
          <cell r="S856">
            <v>0</v>
          </cell>
          <cell r="V856" t="str">
            <v>고케</v>
          </cell>
          <cell r="W856">
            <v>0.9</v>
          </cell>
        </row>
        <row r="857">
          <cell r="A857">
            <v>857</v>
          </cell>
          <cell r="C857" t="str">
            <v>케이블 헤드 125sq</v>
          </cell>
          <cell r="D857" t="str">
            <v>6.6KV/1C  1단말/KIT</v>
          </cell>
          <cell r="E857" t="str">
            <v>EA</v>
          </cell>
          <cell r="H857">
            <v>819</v>
          </cell>
          <cell r="J857">
            <v>863</v>
          </cell>
          <cell r="S857">
            <v>0</v>
          </cell>
          <cell r="V857" t="str">
            <v>고케</v>
          </cell>
          <cell r="W857">
            <v>1</v>
          </cell>
        </row>
        <row r="858">
          <cell r="A858">
            <v>858</v>
          </cell>
          <cell r="B858" t="str">
            <v>옥내용</v>
          </cell>
          <cell r="C858" t="str">
            <v>케이블 헤드 150sq 옥내외용</v>
          </cell>
          <cell r="D858" t="str">
            <v>6.6KV/1C  1단말/KIT</v>
          </cell>
          <cell r="E858" t="str">
            <v>EA</v>
          </cell>
          <cell r="H858">
            <v>819</v>
          </cell>
          <cell r="I858">
            <v>24200</v>
          </cell>
          <cell r="J858">
            <v>863</v>
          </cell>
          <cell r="K858">
            <v>42733</v>
          </cell>
          <cell r="S858">
            <v>24200</v>
          </cell>
          <cell r="V858" t="str">
            <v>고케</v>
          </cell>
          <cell r="W858">
            <v>1.1000000000000001</v>
          </cell>
        </row>
        <row r="859">
          <cell r="A859">
            <v>859</v>
          </cell>
          <cell r="B859" t="str">
            <v>옥외용</v>
          </cell>
          <cell r="C859" t="str">
            <v>케이블 헤드 150sq 옥외용</v>
          </cell>
          <cell r="D859" t="str">
            <v>6.6KV/1C  1단말/KIT</v>
          </cell>
          <cell r="E859" t="str">
            <v>EA</v>
          </cell>
          <cell r="H859">
            <v>819</v>
          </cell>
          <cell r="J859">
            <v>863</v>
          </cell>
          <cell r="S859">
            <v>0</v>
          </cell>
          <cell r="V859" t="str">
            <v>고케</v>
          </cell>
          <cell r="W859">
            <v>1.1000000000000001</v>
          </cell>
        </row>
        <row r="860">
          <cell r="A860">
            <v>860</v>
          </cell>
          <cell r="C860" t="str">
            <v>케이블 헤드 200sq 옥내외용</v>
          </cell>
          <cell r="D860" t="str">
            <v>6.6KV/1C  1단말/KIT</v>
          </cell>
          <cell r="E860" t="str">
            <v>EA</v>
          </cell>
          <cell r="H860">
            <v>819</v>
          </cell>
          <cell r="I860">
            <v>27500</v>
          </cell>
          <cell r="J860">
            <v>863</v>
          </cell>
          <cell r="K860">
            <v>44733</v>
          </cell>
          <cell r="S860">
            <v>27500</v>
          </cell>
          <cell r="V860" t="str">
            <v>고케</v>
          </cell>
          <cell r="W860">
            <v>1.3</v>
          </cell>
        </row>
        <row r="861">
          <cell r="A861">
            <v>861</v>
          </cell>
          <cell r="B861" t="str">
            <v>옥외용</v>
          </cell>
          <cell r="C861" t="str">
            <v>케이블 헤드 200sq 옥외용</v>
          </cell>
          <cell r="D861" t="str">
            <v>6.6KV/1C  1단말/KIT</v>
          </cell>
          <cell r="E861" t="str">
            <v>EA</v>
          </cell>
          <cell r="H861">
            <v>819</v>
          </cell>
          <cell r="J861">
            <v>863</v>
          </cell>
          <cell r="S861">
            <v>0</v>
          </cell>
          <cell r="V861" t="str">
            <v>고케</v>
          </cell>
          <cell r="W861">
            <v>1.3</v>
          </cell>
        </row>
        <row r="862">
          <cell r="A862">
            <v>862</v>
          </cell>
          <cell r="C862" t="str">
            <v>케이블 헤드 250sq 옥내외용</v>
          </cell>
          <cell r="D862" t="str">
            <v>6.6KV/1C  1단말/KIT</v>
          </cell>
          <cell r="E862" t="str">
            <v>EA</v>
          </cell>
          <cell r="H862">
            <v>819</v>
          </cell>
          <cell r="I862">
            <v>29300</v>
          </cell>
          <cell r="J862">
            <v>863</v>
          </cell>
          <cell r="K862">
            <v>47033</v>
          </cell>
          <cell r="S862">
            <v>29300</v>
          </cell>
          <cell r="V862" t="str">
            <v>고케</v>
          </cell>
          <cell r="W862">
            <v>1.4</v>
          </cell>
        </row>
        <row r="863">
          <cell r="A863">
            <v>863</v>
          </cell>
          <cell r="B863" t="str">
            <v>옥외용</v>
          </cell>
          <cell r="C863" t="str">
            <v>케이블 헤드 250sq 옥외용</v>
          </cell>
          <cell r="D863" t="str">
            <v>6.6KV/1C  1단말/KIT</v>
          </cell>
          <cell r="E863" t="str">
            <v>EA</v>
          </cell>
          <cell r="H863">
            <v>819</v>
          </cell>
          <cell r="J863">
            <v>863</v>
          </cell>
          <cell r="S863">
            <v>0</v>
          </cell>
          <cell r="V863" t="str">
            <v>고케</v>
          </cell>
          <cell r="W863">
            <v>1.4</v>
          </cell>
        </row>
        <row r="864">
          <cell r="A864">
            <v>864</v>
          </cell>
          <cell r="C864" t="str">
            <v>케이블 헤드 325sq 옥내외용</v>
          </cell>
          <cell r="D864" t="str">
            <v>6.6KV/1C  1단말/KIT</v>
          </cell>
          <cell r="E864" t="str">
            <v>EA</v>
          </cell>
          <cell r="H864">
            <v>819</v>
          </cell>
          <cell r="I864">
            <v>33100</v>
          </cell>
          <cell r="J864">
            <v>863</v>
          </cell>
          <cell r="K864">
            <v>57366</v>
          </cell>
          <cell r="S864">
            <v>33100</v>
          </cell>
          <cell r="V864" t="str">
            <v>고케</v>
          </cell>
          <cell r="W864">
            <v>1.56</v>
          </cell>
        </row>
        <row r="865">
          <cell r="A865">
            <v>865</v>
          </cell>
          <cell r="B865" t="str">
            <v>옥외용</v>
          </cell>
          <cell r="C865" t="str">
            <v>케이블 헤드 325sq 옥외용</v>
          </cell>
          <cell r="D865" t="str">
            <v>6.6KV/1C  1단말/KIT</v>
          </cell>
          <cell r="E865" t="str">
            <v>EA</v>
          </cell>
          <cell r="H865">
            <v>819</v>
          </cell>
          <cell r="J865">
            <v>863</v>
          </cell>
          <cell r="S865">
            <v>0</v>
          </cell>
          <cell r="V865" t="str">
            <v>고케</v>
          </cell>
          <cell r="W865">
            <v>1.56</v>
          </cell>
        </row>
        <row r="866">
          <cell r="A866">
            <v>866</v>
          </cell>
          <cell r="S866" t="str">
            <v/>
          </cell>
        </row>
        <row r="867">
          <cell r="A867">
            <v>867</v>
          </cell>
          <cell r="S867" t="str">
            <v/>
          </cell>
        </row>
        <row r="868">
          <cell r="A868">
            <v>868</v>
          </cell>
          <cell r="C868" t="str">
            <v>케이블 헤드 38sq</v>
          </cell>
          <cell r="D868" t="str">
            <v>23KV/1C  1단말/KIT</v>
          </cell>
          <cell r="E868" t="str">
            <v>EA</v>
          </cell>
          <cell r="H868">
            <v>819</v>
          </cell>
          <cell r="I868">
            <v>72500</v>
          </cell>
          <cell r="J868">
            <v>863</v>
          </cell>
          <cell r="K868">
            <v>85000</v>
          </cell>
          <cell r="S868">
            <v>72500</v>
          </cell>
          <cell r="V868" t="str">
            <v>특케</v>
          </cell>
          <cell r="W868">
            <v>0.88</v>
          </cell>
        </row>
        <row r="869">
          <cell r="A869">
            <v>869</v>
          </cell>
          <cell r="C869" t="str">
            <v>케이블 헤드 60sq</v>
          </cell>
          <cell r="D869" t="str">
            <v>23KV/1C  1단말/KIT</v>
          </cell>
          <cell r="E869" t="str">
            <v>EA</v>
          </cell>
          <cell r="H869">
            <v>819</v>
          </cell>
          <cell r="I869">
            <v>73000</v>
          </cell>
          <cell r="J869">
            <v>863</v>
          </cell>
          <cell r="K869">
            <v>85800</v>
          </cell>
          <cell r="S869">
            <v>73000</v>
          </cell>
          <cell r="V869" t="str">
            <v>특케</v>
          </cell>
          <cell r="W869">
            <v>1.05</v>
          </cell>
        </row>
        <row r="870">
          <cell r="A870">
            <v>870</v>
          </cell>
          <cell r="C870" t="str">
            <v>케이블 헤드 100sq</v>
          </cell>
          <cell r="D870" t="str">
            <v>23KV/1C  1단말/KIT</v>
          </cell>
          <cell r="E870" t="str">
            <v>EA</v>
          </cell>
          <cell r="H870">
            <v>819</v>
          </cell>
          <cell r="I870">
            <v>96800</v>
          </cell>
          <cell r="J870">
            <v>863</v>
          </cell>
          <cell r="K870">
            <v>113900</v>
          </cell>
          <cell r="S870">
            <v>96800</v>
          </cell>
          <cell r="V870" t="str">
            <v>특케</v>
          </cell>
          <cell r="W870">
            <v>1.2</v>
          </cell>
        </row>
        <row r="871">
          <cell r="A871">
            <v>871</v>
          </cell>
          <cell r="C871" t="str">
            <v>케이블 헤드 150sq</v>
          </cell>
          <cell r="D871" t="str">
            <v>23KV/1C  1단말/KIT</v>
          </cell>
          <cell r="E871" t="str">
            <v>EA</v>
          </cell>
          <cell r="H871">
            <v>819</v>
          </cell>
          <cell r="I871">
            <v>105700</v>
          </cell>
          <cell r="J871">
            <v>863</v>
          </cell>
          <cell r="K871">
            <v>116200</v>
          </cell>
          <cell r="S871">
            <v>105700</v>
          </cell>
          <cell r="V871" t="str">
            <v>특케</v>
          </cell>
          <cell r="W871">
            <v>1.39</v>
          </cell>
        </row>
        <row r="872">
          <cell r="A872">
            <v>872</v>
          </cell>
          <cell r="C872" t="str">
            <v>케이블 헤드 200sq</v>
          </cell>
          <cell r="D872" t="str">
            <v>23KV/1C  1단말/KIT</v>
          </cell>
          <cell r="E872" t="str">
            <v>EA</v>
          </cell>
          <cell r="H872">
            <v>819</v>
          </cell>
          <cell r="I872">
            <v>111100</v>
          </cell>
          <cell r="J872">
            <v>863</v>
          </cell>
          <cell r="K872">
            <v>118200</v>
          </cell>
          <cell r="S872">
            <v>111100</v>
          </cell>
          <cell r="V872" t="str">
            <v>특케</v>
          </cell>
          <cell r="W872">
            <v>1.6</v>
          </cell>
        </row>
        <row r="873">
          <cell r="A873">
            <v>873</v>
          </cell>
          <cell r="C873" t="str">
            <v>케이블 헤드 325sq</v>
          </cell>
          <cell r="D873" t="str">
            <v>23KV/1C  1단말/KIT</v>
          </cell>
          <cell r="E873" t="str">
            <v>EA</v>
          </cell>
          <cell r="H873">
            <v>819</v>
          </cell>
          <cell r="I873">
            <v>139000</v>
          </cell>
          <cell r="J873">
            <v>863</v>
          </cell>
          <cell r="K873">
            <v>163600</v>
          </cell>
          <cell r="S873">
            <v>139000</v>
          </cell>
          <cell r="V873" t="str">
            <v>특케</v>
          </cell>
          <cell r="W873">
            <v>2.1</v>
          </cell>
        </row>
        <row r="874">
          <cell r="A874">
            <v>874</v>
          </cell>
          <cell r="S874" t="str">
            <v/>
          </cell>
        </row>
        <row r="875">
          <cell r="A875">
            <v>875</v>
          </cell>
          <cell r="C875" t="str">
            <v>관로구 삽입형 방수장치</v>
          </cell>
          <cell r="D875" t="str">
            <v>Φ175 CN-CV 200</v>
          </cell>
          <cell r="E875" t="str">
            <v>조</v>
          </cell>
          <cell r="H875">
            <v>911</v>
          </cell>
          <cell r="I875">
            <v>58000</v>
          </cell>
          <cell r="S875">
            <v>58000</v>
          </cell>
        </row>
        <row r="876">
          <cell r="A876">
            <v>876</v>
          </cell>
          <cell r="C876" t="str">
            <v>케이블헤드 지지금구</v>
          </cell>
          <cell r="D876" t="str">
            <v>상,하부용</v>
          </cell>
          <cell r="E876" t="str">
            <v>조</v>
          </cell>
          <cell r="H876">
            <v>911</v>
          </cell>
          <cell r="I876">
            <v>42000</v>
          </cell>
          <cell r="J876">
            <v>957</v>
          </cell>
          <cell r="K876">
            <v>52000</v>
          </cell>
          <cell r="S876">
            <v>42000</v>
          </cell>
          <cell r="V876" t="str">
            <v>배전</v>
          </cell>
          <cell r="W876">
            <v>0.45</v>
          </cell>
          <cell r="X876" t="str">
            <v>보인</v>
          </cell>
          <cell r="Y876">
            <v>0.23</v>
          </cell>
        </row>
        <row r="877">
          <cell r="A877">
            <v>877</v>
          </cell>
          <cell r="C877" t="str">
            <v>전주용 입상관</v>
          </cell>
          <cell r="D877" t="str">
            <v>φ130×2m</v>
          </cell>
          <cell r="E877" t="str">
            <v>EA</v>
          </cell>
          <cell r="H877">
            <v>911</v>
          </cell>
          <cell r="I877">
            <v>20000</v>
          </cell>
          <cell r="J877">
            <v>957</v>
          </cell>
          <cell r="K877">
            <v>26000</v>
          </cell>
          <cell r="S877">
            <v>20000</v>
          </cell>
          <cell r="V877" t="str">
            <v>배전</v>
          </cell>
          <cell r="W877">
            <v>0.46</v>
          </cell>
          <cell r="X877" t="str">
            <v>보인</v>
          </cell>
          <cell r="Y877">
            <v>0.17</v>
          </cell>
        </row>
        <row r="878">
          <cell r="A878">
            <v>878</v>
          </cell>
          <cell r="C878" t="str">
            <v>반경철관</v>
          </cell>
          <cell r="D878" t="str">
            <v>80×2×2400</v>
          </cell>
          <cell r="E878" t="str">
            <v>EA</v>
          </cell>
          <cell r="H878">
            <v>909</v>
          </cell>
          <cell r="I878">
            <v>16000</v>
          </cell>
          <cell r="J878">
            <v>958</v>
          </cell>
          <cell r="K878">
            <v>16000</v>
          </cell>
          <cell r="S878">
            <v>16000</v>
          </cell>
          <cell r="V878" t="str">
            <v>배관</v>
          </cell>
          <cell r="W878">
            <v>0.122</v>
          </cell>
        </row>
        <row r="879">
          <cell r="A879">
            <v>879</v>
          </cell>
          <cell r="C879" t="str">
            <v>반경철관 취부밴드</v>
          </cell>
          <cell r="E879" t="str">
            <v>EA</v>
          </cell>
          <cell r="H879">
            <v>909</v>
          </cell>
          <cell r="I879">
            <v>1800</v>
          </cell>
          <cell r="J879">
            <v>958</v>
          </cell>
          <cell r="K879">
            <v>1800</v>
          </cell>
          <cell r="S879">
            <v>1800</v>
          </cell>
        </row>
        <row r="880">
          <cell r="A880">
            <v>880</v>
          </cell>
          <cell r="C880" t="str">
            <v>입상관취부밴드</v>
          </cell>
          <cell r="E880" t="str">
            <v>EA</v>
          </cell>
          <cell r="I880">
            <v>1800</v>
          </cell>
          <cell r="J880">
            <v>958</v>
          </cell>
          <cell r="K880">
            <v>1800</v>
          </cell>
          <cell r="S880">
            <v>1800</v>
          </cell>
        </row>
        <row r="881">
          <cell r="A881">
            <v>881</v>
          </cell>
          <cell r="C881" t="str">
            <v>경고용 테이프</v>
          </cell>
          <cell r="D881" t="str">
            <v>300 × 250</v>
          </cell>
          <cell r="E881" t="str">
            <v>m</v>
          </cell>
          <cell r="H881">
            <v>909</v>
          </cell>
          <cell r="I881">
            <v>250</v>
          </cell>
          <cell r="J881">
            <v>958</v>
          </cell>
          <cell r="K881">
            <v>250</v>
          </cell>
          <cell r="S881">
            <v>250</v>
          </cell>
          <cell r="V881" t="str">
            <v>보인</v>
          </cell>
          <cell r="W881">
            <v>2E-3</v>
          </cell>
        </row>
        <row r="882">
          <cell r="A882">
            <v>882</v>
          </cell>
          <cell r="C882" t="str">
            <v>위샤 캡</v>
          </cell>
          <cell r="D882" t="str">
            <v>ST 36C</v>
          </cell>
          <cell r="E882" t="str">
            <v>EA</v>
          </cell>
          <cell r="H882">
            <v>909</v>
          </cell>
          <cell r="I882">
            <v>3300</v>
          </cell>
          <cell r="J882">
            <v>871</v>
          </cell>
          <cell r="K882">
            <v>3600</v>
          </cell>
          <cell r="S882">
            <v>3300</v>
          </cell>
          <cell r="V882" t="str">
            <v>내선</v>
          </cell>
          <cell r="W882">
            <v>0.03</v>
          </cell>
        </row>
        <row r="883">
          <cell r="A883">
            <v>883</v>
          </cell>
          <cell r="C883" t="str">
            <v>위샤 캡</v>
          </cell>
          <cell r="D883" t="str">
            <v>ST 42C</v>
          </cell>
          <cell r="E883" t="str">
            <v>EA</v>
          </cell>
          <cell r="H883">
            <v>909</v>
          </cell>
          <cell r="I883">
            <v>3800</v>
          </cell>
          <cell r="J883">
            <v>871</v>
          </cell>
          <cell r="K883">
            <v>4200</v>
          </cell>
          <cell r="S883">
            <v>3800</v>
          </cell>
          <cell r="V883" t="str">
            <v>내선</v>
          </cell>
          <cell r="W883">
            <v>0.03</v>
          </cell>
        </row>
        <row r="884">
          <cell r="A884">
            <v>884</v>
          </cell>
          <cell r="C884" t="str">
            <v>위샤 캡</v>
          </cell>
          <cell r="D884" t="str">
            <v>ST 54C</v>
          </cell>
          <cell r="E884" t="str">
            <v>EA</v>
          </cell>
          <cell r="H884">
            <v>909</v>
          </cell>
          <cell r="I884">
            <v>4500</v>
          </cell>
          <cell r="J884">
            <v>871</v>
          </cell>
          <cell r="K884">
            <v>5040</v>
          </cell>
          <cell r="S884">
            <v>4500</v>
          </cell>
          <cell r="V884" t="str">
            <v>내선</v>
          </cell>
          <cell r="W884">
            <v>0.04</v>
          </cell>
        </row>
        <row r="885">
          <cell r="A885">
            <v>885</v>
          </cell>
          <cell r="C885" t="str">
            <v>위샤 캡</v>
          </cell>
          <cell r="D885" t="str">
            <v>ST 70C</v>
          </cell>
          <cell r="E885" t="str">
            <v>EA</v>
          </cell>
          <cell r="H885">
            <v>909</v>
          </cell>
          <cell r="I885">
            <v>12000</v>
          </cell>
          <cell r="J885">
            <v>871</v>
          </cell>
          <cell r="K885">
            <v>14440</v>
          </cell>
          <cell r="S885">
            <v>12000</v>
          </cell>
          <cell r="V885" t="str">
            <v>내선</v>
          </cell>
          <cell r="W885">
            <v>0.04</v>
          </cell>
        </row>
        <row r="886">
          <cell r="A886">
            <v>886</v>
          </cell>
          <cell r="C886" t="str">
            <v>위샤 캡</v>
          </cell>
          <cell r="D886" t="str">
            <v>ST 82C</v>
          </cell>
          <cell r="E886" t="str">
            <v>EA</v>
          </cell>
          <cell r="H886">
            <v>909</v>
          </cell>
          <cell r="I886">
            <v>16000</v>
          </cell>
          <cell r="J886">
            <v>871</v>
          </cell>
          <cell r="K886">
            <v>18000</v>
          </cell>
          <cell r="S886">
            <v>16000</v>
          </cell>
          <cell r="V886" t="str">
            <v>내선</v>
          </cell>
          <cell r="W886">
            <v>0.04</v>
          </cell>
        </row>
        <row r="887">
          <cell r="A887">
            <v>887</v>
          </cell>
          <cell r="C887" t="str">
            <v>위샤 캡</v>
          </cell>
          <cell r="D887" t="str">
            <v>ST 104C</v>
          </cell>
          <cell r="E887" t="str">
            <v>EA</v>
          </cell>
          <cell r="H887">
            <v>909</v>
          </cell>
          <cell r="I887">
            <v>32000</v>
          </cell>
          <cell r="J887">
            <v>871</v>
          </cell>
          <cell r="K887">
            <v>36000</v>
          </cell>
          <cell r="S887">
            <v>32000</v>
          </cell>
          <cell r="V887" t="str">
            <v>내선</v>
          </cell>
          <cell r="W887">
            <v>0.04</v>
          </cell>
        </row>
        <row r="888">
          <cell r="A888">
            <v>888</v>
          </cell>
          <cell r="B888" t="str">
            <v>H:7.5M이하</v>
          </cell>
          <cell r="C888" t="str">
            <v>피뢰침</v>
          </cell>
          <cell r="D888" t="str">
            <v>14φ×485L(애자형)</v>
          </cell>
          <cell r="E888" t="str">
            <v>EA</v>
          </cell>
          <cell r="H888">
            <v>887</v>
          </cell>
          <cell r="I888">
            <v>45000</v>
          </cell>
          <cell r="J888">
            <v>930</v>
          </cell>
          <cell r="K888">
            <v>13500</v>
          </cell>
          <cell r="S888">
            <v>13500</v>
          </cell>
          <cell r="V888" t="str">
            <v>내선</v>
          </cell>
          <cell r="W888">
            <v>1.5</v>
          </cell>
        </row>
        <row r="889">
          <cell r="A889">
            <v>889</v>
          </cell>
          <cell r="B889" t="str">
            <v>발판좋은곳</v>
          </cell>
          <cell r="C889" t="str">
            <v>피뢰침</v>
          </cell>
          <cell r="D889" t="str">
            <v>14φ×485L(애자형)</v>
          </cell>
          <cell r="E889" t="str">
            <v>EA</v>
          </cell>
          <cell r="H889">
            <v>887</v>
          </cell>
          <cell r="I889">
            <v>45000</v>
          </cell>
          <cell r="J889">
            <v>930</v>
          </cell>
          <cell r="K889">
            <v>13500</v>
          </cell>
          <cell r="S889">
            <v>13500</v>
          </cell>
          <cell r="V889" t="str">
            <v>내선</v>
          </cell>
          <cell r="W889">
            <v>0.9</v>
          </cell>
        </row>
        <row r="890">
          <cell r="A890">
            <v>890</v>
          </cell>
          <cell r="B890" t="str">
            <v>H:10M이하</v>
          </cell>
          <cell r="C890" t="str">
            <v>피뢰침</v>
          </cell>
          <cell r="D890" t="str">
            <v>14φ×485L(애자형)</v>
          </cell>
          <cell r="E890" t="str">
            <v>EA</v>
          </cell>
          <cell r="H890">
            <v>887</v>
          </cell>
          <cell r="I890">
            <v>45000</v>
          </cell>
          <cell r="J890">
            <v>930</v>
          </cell>
          <cell r="K890">
            <v>13500</v>
          </cell>
          <cell r="S890">
            <v>13500</v>
          </cell>
          <cell r="V890" t="str">
            <v>내선</v>
          </cell>
          <cell r="W890">
            <v>1.9</v>
          </cell>
        </row>
        <row r="891">
          <cell r="A891">
            <v>891</v>
          </cell>
          <cell r="B891" t="str">
            <v>발판좋은곳</v>
          </cell>
          <cell r="C891" t="str">
            <v>피뢰침</v>
          </cell>
          <cell r="D891" t="str">
            <v>14φ×485L(애자형)</v>
          </cell>
          <cell r="E891" t="str">
            <v>EA</v>
          </cell>
          <cell r="H891">
            <v>887</v>
          </cell>
          <cell r="I891">
            <v>45000</v>
          </cell>
          <cell r="J891">
            <v>930</v>
          </cell>
          <cell r="K891">
            <v>13500</v>
          </cell>
          <cell r="S891">
            <v>13500</v>
          </cell>
          <cell r="V891" t="str">
            <v>내선</v>
          </cell>
          <cell r="W891">
            <v>1.1399999999999999</v>
          </cell>
        </row>
        <row r="892">
          <cell r="A892">
            <v>892</v>
          </cell>
          <cell r="B892" t="str">
            <v>H:15M이하</v>
          </cell>
          <cell r="C892" t="str">
            <v>피뢰침</v>
          </cell>
          <cell r="D892" t="str">
            <v>14φ×485L(애자형)</v>
          </cell>
          <cell r="E892" t="str">
            <v>EA</v>
          </cell>
          <cell r="H892">
            <v>887</v>
          </cell>
          <cell r="I892">
            <v>45000</v>
          </cell>
          <cell r="J892">
            <v>930</v>
          </cell>
          <cell r="K892">
            <v>13500</v>
          </cell>
          <cell r="S892">
            <v>13500</v>
          </cell>
          <cell r="V892" t="str">
            <v>배전</v>
          </cell>
          <cell r="W892">
            <v>2.6</v>
          </cell>
        </row>
        <row r="893">
          <cell r="A893">
            <v>893</v>
          </cell>
          <cell r="B893" t="str">
            <v>발판좋은곳</v>
          </cell>
          <cell r="C893" t="str">
            <v>피뢰침</v>
          </cell>
          <cell r="D893" t="str">
            <v>14φ×485L(애자형)</v>
          </cell>
          <cell r="E893" t="str">
            <v>EA</v>
          </cell>
          <cell r="H893">
            <v>887</v>
          </cell>
          <cell r="I893">
            <v>45000</v>
          </cell>
          <cell r="J893">
            <v>930</v>
          </cell>
          <cell r="K893">
            <v>13500</v>
          </cell>
          <cell r="S893">
            <v>13500</v>
          </cell>
          <cell r="V893" t="str">
            <v>배전</v>
          </cell>
          <cell r="W893">
            <v>1.56</v>
          </cell>
        </row>
        <row r="894">
          <cell r="A894">
            <v>894</v>
          </cell>
          <cell r="B894" t="str">
            <v>H:20M이하</v>
          </cell>
          <cell r="C894" t="str">
            <v>피뢰침</v>
          </cell>
          <cell r="D894" t="str">
            <v>14φ×485L(애자형)</v>
          </cell>
          <cell r="E894" t="str">
            <v>EA</v>
          </cell>
          <cell r="H894">
            <v>887</v>
          </cell>
          <cell r="I894">
            <v>45000</v>
          </cell>
          <cell r="J894">
            <v>930</v>
          </cell>
          <cell r="K894">
            <v>13500</v>
          </cell>
          <cell r="S894">
            <v>13500</v>
          </cell>
          <cell r="V894" t="str">
            <v>배전</v>
          </cell>
          <cell r="W894">
            <v>3.4</v>
          </cell>
        </row>
        <row r="895">
          <cell r="A895">
            <v>895</v>
          </cell>
          <cell r="B895" t="str">
            <v>발판좋은곳</v>
          </cell>
          <cell r="C895" t="str">
            <v>피뢰침</v>
          </cell>
          <cell r="D895" t="str">
            <v>14φ×485L(애자형)</v>
          </cell>
          <cell r="E895" t="str">
            <v>EA</v>
          </cell>
          <cell r="H895">
            <v>887</v>
          </cell>
          <cell r="I895">
            <v>45000</v>
          </cell>
          <cell r="J895">
            <v>930</v>
          </cell>
          <cell r="K895">
            <v>13500</v>
          </cell>
          <cell r="S895">
            <v>13500</v>
          </cell>
          <cell r="V895" t="str">
            <v>배전</v>
          </cell>
          <cell r="W895">
            <v>2.04</v>
          </cell>
        </row>
        <row r="896">
          <cell r="A896">
            <v>896</v>
          </cell>
          <cell r="B896" t="str">
            <v>H:7.5M이하</v>
          </cell>
          <cell r="C896" t="str">
            <v>피뢰침</v>
          </cell>
          <cell r="D896" t="str">
            <v>14φ×665L</v>
          </cell>
          <cell r="E896" t="str">
            <v>EA</v>
          </cell>
          <cell r="S896">
            <v>0</v>
          </cell>
          <cell r="V896" t="str">
            <v>내선</v>
          </cell>
          <cell r="W896">
            <v>1.5</v>
          </cell>
        </row>
        <row r="897">
          <cell r="A897">
            <v>897</v>
          </cell>
          <cell r="B897" t="str">
            <v>발판좋은곳</v>
          </cell>
          <cell r="C897" t="str">
            <v>피뢰침</v>
          </cell>
          <cell r="D897" t="str">
            <v>14φ×665L</v>
          </cell>
          <cell r="E897" t="str">
            <v>EA</v>
          </cell>
          <cell r="S897">
            <v>0</v>
          </cell>
          <cell r="V897" t="str">
            <v>내선</v>
          </cell>
          <cell r="W897">
            <v>0.9</v>
          </cell>
        </row>
        <row r="898">
          <cell r="A898">
            <v>898</v>
          </cell>
          <cell r="B898" t="str">
            <v>H:10M이하</v>
          </cell>
          <cell r="C898" t="str">
            <v>피뢰침</v>
          </cell>
          <cell r="D898" t="str">
            <v>14φ×665L</v>
          </cell>
          <cell r="E898" t="str">
            <v>EA</v>
          </cell>
          <cell r="S898">
            <v>0</v>
          </cell>
          <cell r="V898" t="str">
            <v>내선</v>
          </cell>
          <cell r="W898">
            <v>1.9</v>
          </cell>
        </row>
        <row r="899">
          <cell r="A899">
            <v>899</v>
          </cell>
          <cell r="B899" t="str">
            <v>발판좋은곳</v>
          </cell>
          <cell r="C899" t="str">
            <v>피뢰침</v>
          </cell>
          <cell r="D899" t="str">
            <v>14φ×665L</v>
          </cell>
          <cell r="E899" t="str">
            <v>EA</v>
          </cell>
          <cell r="S899">
            <v>0</v>
          </cell>
          <cell r="V899" t="str">
            <v>내선</v>
          </cell>
          <cell r="W899">
            <v>1.1399999999999999</v>
          </cell>
        </row>
        <row r="900">
          <cell r="A900">
            <v>900</v>
          </cell>
          <cell r="B900" t="str">
            <v>H:15M이하</v>
          </cell>
          <cell r="C900" t="str">
            <v>피뢰침</v>
          </cell>
          <cell r="D900" t="str">
            <v>14φ×665L</v>
          </cell>
          <cell r="E900" t="str">
            <v>EA</v>
          </cell>
          <cell r="S900">
            <v>0</v>
          </cell>
          <cell r="V900" t="str">
            <v>배전</v>
          </cell>
          <cell r="W900">
            <v>2.6</v>
          </cell>
        </row>
        <row r="901">
          <cell r="A901">
            <v>901</v>
          </cell>
          <cell r="B901" t="str">
            <v>발판좋은곳</v>
          </cell>
          <cell r="C901" t="str">
            <v>피뢰침</v>
          </cell>
          <cell r="D901" t="str">
            <v>14φ×665L</v>
          </cell>
          <cell r="E901" t="str">
            <v>EA</v>
          </cell>
          <cell r="S901">
            <v>0</v>
          </cell>
          <cell r="V901" t="str">
            <v>배전</v>
          </cell>
          <cell r="W901">
            <v>1.56</v>
          </cell>
        </row>
        <row r="902">
          <cell r="A902">
            <v>902</v>
          </cell>
          <cell r="B902" t="str">
            <v>H:20M이하</v>
          </cell>
          <cell r="C902" t="str">
            <v>피뢰침</v>
          </cell>
          <cell r="D902" t="str">
            <v>14φ×665L</v>
          </cell>
          <cell r="E902" t="str">
            <v>EA</v>
          </cell>
          <cell r="S902">
            <v>0</v>
          </cell>
          <cell r="V902" t="str">
            <v>배전</v>
          </cell>
          <cell r="W902">
            <v>3.4</v>
          </cell>
        </row>
        <row r="903">
          <cell r="A903">
            <v>903</v>
          </cell>
          <cell r="B903" t="str">
            <v>발판좋은곳</v>
          </cell>
          <cell r="C903" t="str">
            <v>피뢰침</v>
          </cell>
          <cell r="D903" t="str">
            <v>14φ×665L</v>
          </cell>
          <cell r="E903" t="str">
            <v>EA</v>
          </cell>
          <cell r="S903">
            <v>0</v>
          </cell>
          <cell r="V903" t="str">
            <v>배전</v>
          </cell>
          <cell r="W903">
            <v>2.04</v>
          </cell>
        </row>
        <row r="904">
          <cell r="A904">
            <v>904</v>
          </cell>
          <cell r="S904" t="str">
            <v/>
          </cell>
        </row>
        <row r="905">
          <cell r="A905">
            <v>905</v>
          </cell>
          <cell r="S905" t="str">
            <v/>
          </cell>
        </row>
        <row r="906">
          <cell r="A906">
            <v>906</v>
          </cell>
          <cell r="C906" t="str">
            <v>접지봉</v>
          </cell>
          <cell r="D906" t="str">
            <v>φ14×1000㎜(동피복)</v>
          </cell>
          <cell r="E906" t="str">
            <v>EA</v>
          </cell>
          <cell r="H906">
            <v>887</v>
          </cell>
          <cell r="I906">
            <v>3000</v>
          </cell>
          <cell r="J906">
            <v>930</v>
          </cell>
          <cell r="K906">
            <v>2750</v>
          </cell>
          <cell r="S906">
            <v>2750</v>
          </cell>
          <cell r="V906" t="str">
            <v>내선</v>
          </cell>
          <cell r="W906">
            <v>0.2</v>
          </cell>
          <cell r="X906" t="str">
            <v>보인</v>
          </cell>
          <cell r="Y906">
            <v>0.1</v>
          </cell>
        </row>
        <row r="907">
          <cell r="A907">
            <v>907</v>
          </cell>
          <cell r="C907" t="str">
            <v>접지봉</v>
          </cell>
          <cell r="D907" t="str">
            <v>φ16×1800㎜(동피복)</v>
          </cell>
          <cell r="E907" t="str">
            <v>EA</v>
          </cell>
          <cell r="H907">
            <v>887</v>
          </cell>
          <cell r="I907">
            <v>4900</v>
          </cell>
          <cell r="J907">
            <v>930</v>
          </cell>
          <cell r="K907">
            <v>4500</v>
          </cell>
          <cell r="S907">
            <v>4500</v>
          </cell>
          <cell r="V907" t="str">
            <v>내선</v>
          </cell>
          <cell r="W907">
            <v>0.2</v>
          </cell>
          <cell r="X907" t="str">
            <v>보인</v>
          </cell>
          <cell r="Y907">
            <v>0.1</v>
          </cell>
        </row>
        <row r="908">
          <cell r="A908">
            <v>908</v>
          </cell>
          <cell r="C908" t="str">
            <v>접지봉</v>
          </cell>
          <cell r="D908" t="str">
            <v>φ18×2400㎜(동피복)</v>
          </cell>
          <cell r="E908" t="str">
            <v>EA</v>
          </cell>
          <cell r="H908">
            <v>887</v>
          </cell>
          <cell r="I908">
            <v>7300</v>
          </cell>
          <cell r="J908">
            <v>930</v>
          </cell>
          <cell r="K908">
            <v>6500</v>
          </cell>
          <cell r="S908">
            <v>6500</v>
          </cell>
          <cell r="V908" t="str">
            <v>내선</v>
          </cell>
          <cell r="W908">
            <v>0.2</v>
          </cell>
          <cell r="X908" t="str">
            <v>보인</v>
          </cell>
          <cell r="Y908">
            <v>0.1</v>
          </cell>
        </row>
        <row r="909">
          <cell r="A909">
            <v>909</v>
          </cell>
          <cell r="C909" t="str">
            <v>접지봉</v>
          </cell>
          <cell r="D909" t="str">
            <v>φ16×1800㎜-3EA</v>
          </cell>
          <cell r="E909" t="str">
            <v>조</v>
          </cell>
          <cell r="H909">
            <v>887</v>
          </cell>
          <cell r="I909">
            <v>14700</v>
          </cell>
          <cell r="J909">
            <v>930</v>
          </cell>
          <cell r="K909">
            <v>13500</v>
          </cell>
          <cell r="S909">
            <v>13500</v>
          </cell>
          <cell r="V909" t="str">
            <v>내선</v>
          </cell>
          <cell r="W909">
            <v>0.45</v>
          </cell>
          <cell r="X909" t="str">
            <v>보인</v>
          </cell>
          <cell r="Y909">
            <v>0.23</v>
          </cell>
        </row>
        <row r="910">
          <cell r="A910">
            <v>910</v>
          </cell>
          <cell r="C910" t="str">
            <v>접지봉</v>
          </cell>
          <cell r="D910" t="str">
            <v>φ18×2400㎜-3EA</v>
          </cell>
          <cell r="E910" t="str">
            <v>조</v>
          </cell>
          <cell r="H910">
            <v>887</v>
          </cell>
          <cell r="I910">
            <v>21900</v>
          </cell>
          <cell r="J910">
            <v>930</v>
          </cell>
          <cell r="K910">
            <v>19500</v>
          </cell>
          <cell r="S910">
            <v>19500</v>
          </cell>
          <cell r="V910" t="str">
            <v>내선</v>
          </cell>
          <cell r="W910">
            <v>0.45</v>
          </cell>
          <cell r="X910" t="str">
            <v>보인</v>
          </cell>
          <cell r="Y910">
            <v>0.23</v>
          </cell>
        </row>
        <row r="911">
          <cell r="A911">
            <v>911</v>
          </cell>
          <cell r="C911" t="str">
            <v>접지봉</v>
          </cell>
          <cell r="D911" t="str">
            <v>φ19×2400㎜-3EA</v>
          </cell>
          <cell r="E911" t="str">
            <v>조</v>
          </cell>
          <cell r="H911">
            <v>887</v>
          </cell>
          <cell r="I911">
            <v>31500</v>
          </cell>
          <cell r="J911">
            <v>930</v>
          </cell>
          <cell r="K911">
            <v>28500</v>
          </cell>
          <cell r="S911">
            <v>28500</v>
          </cell>
          <cell r="V911" t="str">
            <v>내선</v>
          </cell>
          <cell r="W911">
            <v>0.45</v>
          </cell>
          <cell r="X911" t="str">
            <v>보인</v>
          </cell>
          <cell r="Y911">
            <v>0.23</v>
          </cell>
        </row>
        <row r="912">
          <cell r="A912">
            <v>912</v>
          </cell>
          <cell r="C912" t="str">
            <v>접지봉</v>
          </cell>
          <cell r="D912" t="str">
            <v>φ19×3000㎜-3EA</v>
          </cell>
          <cell r="E912" t="str">
            <v>조</v>
          </cell>
          <cell r="H912">
            <v>887</v>
          </cell>
          <cell r="I912">
            <v>39000</v>
          </cell>
          <cell r="J912">
            <v>930</v>
          </cell>
          <cell r="K912">
            <v>33000</v>
          </cell>
          <cell r="S912">
            <v>33000</v>
          </cell>
          <cell r="V912" t="str">
            <v>내선</v>
          </cell>
          <cell r="W912">
            <v>0.45</v>
          </cell>
          <cell r="X912" t="str">
            <v>보인</v>
          </cell>
          <cell r="Y912">
            <v>0.23</v>
          </cell>
        </row>
        <row r="913">
          <cell r="A913">
            <v>913</v>
          </cell>
          <cell r="C913" t="str">
            <v>접지단자함 (뚜껑SUS)</v>
          </cell>
          <cell r="D913" t="str">
            <v>1 CCT</v>
          </cell>
          <cell r="E913" t="str">
            <v>EA</v>
          </cell>
          <cell r="H913">
            <v>887</v>
          </cell>
          <cell r="I913">
            <v>65000</v>
          </cell>
          <cell r="J913">
            <v>930</v>
          </cell>
          <cell r="K913">
            <v>67000</v>
          </cell>
          <cell r="S913">
            <v>65000</v>
          </cell>
          <cell r="V913" t="str">
            <v>내선</v>
          </cell>
          <cell r="W913">
            <v>0.66</v>
          </cell>
        </row>
        <row r="914">
          <cell r="A914">
            <v>914</v>
          </cell>
          <cell r="C914" t="str">
            <v>접지단자함 (뚜껑SUS)</v>
          </cell>
          <cell r="D914" t="str">
            <v>2 CCT</v>
          </cell>
          <cell r="E914" t="str">
            <v>EA</v>
          </cell>
          <cell r="H914">
            <v>887</v>
          </cell>
          <cell r="I914">
            <v>72000</v>
          </cell>
          <cell r="J914">
            <v>930</v>
          </cell>
          <cell r="K914">
            <v>78000</v>
          </cell>
          <cell r="S914">
            <v>72000</v>
          </cell>
          <cell r="V914" t="str">
            <v>내선</v>
          </cell>
          <cell r="W914">
            <v>0.66</v>
          </cell>
        </row>
        <row r="915">
          <cell r="A915">
            <v>915</v>
          </cell>
          <cell r="C915" t="str">
            <v>접지단자함 (뚜껑SUS)</v>
          </cell>
          <cell r="D915" t="str">
            <v>3 CCT</v>
          </cell>
          <cell r="E915" t="str">
            <v>EA</v>
          </cell>
          <cell r="H915">
            <v>887</v>
          </cell>
          <cell r="I915">
            <v>95000</v>
          </cell>
          <cell r="J915">
            <v>930</v>
          </cell>
          <cell r="K915">
            <v>90000</v>
          </cell>
          <cell r="S915">
            <v>90000</v>
          </cell>
          <cell r="V915" t="str">
            <v>내선</v>
          </cell>
          <cell r="W915">
            <v>0.66</v>
          </cell>
        </row>
        <row r="916">
          <cell r="A916">
            <v>916</v>
          </cell>
          <cell r="C916" t="str">
            <v>접지단자함 (뚜껑SUS)</v>
          </cell>
          <cell r="D916" t="str">
            <v>4 CCT</v>
          </cell>
          <cell r="E916" t="str">
            <v>EA</v>
          </cell>
          <cell r="H916">
            <v>887</v>
          </cell>
          <cell r="I916">
            <v>120000</v>
          </cell>
          <cell r="J916">
            <v>930</v>
          </cell>
          <cell r="K916">
            <v>120000</v>
          </cell>
          <cell r="S916">
            <v>120000</v>
          </cell>
          <cell r="V916" t="str">
            <v>내선</v>
          </cell>
          <cell r="W916">
            <v>0.66</v>
          </cell>
        </row>
        <row r="917">
          <cell r="A917">
            <v>917</v>
          </cell>
          <cell r="C917" t="str">
            <v>접지단자함 (뚜껑SUS)</v>
          </cell>
          <cell r="D917" t="str">
            <v>5 CCT</v>
          </cell>
          <cell r="E917" t="str">
            <v>EA</v>
          </cell>
          <cell r="H917">
            <v>887</v>
          </cell>
          <cell r="I917">
            <v>140000</v>
          </cell>
          <cell r="J917">
            <v>930</v>
          </cell>
          <cell r="K917">
            <v>130000</v>
          </cell>
          <cell r="S917">
            <v>130000</v>
          </cell>
          <cell r="V917" t="str">
            <v>내선</v>
          </cell>
          <cell r="W917">
            <v>0.66</v>
          </cell>
        </row>
        <row r="918">
          <cell r="A918">
            <v>918</v>
          </cell>
          <cell r="C918" t="str">
            <v>접지단자함 (뚜껑SUS)</v>
          </cell>
          <cell r="D918" t="str">
            <v>6 CCT</v>
          </cell>
          <cell r="E918" t="str">
            <v>EA</v>
          </cell>
          <cell r="I918">
            <v>160000</v>
          </cell>
          <cell r="J918">
            <v>930</v>
          </cell>
          <cell r="K918">
            <v>140000</v>
          </cell>
          <cell r="S918">
            <v>140000</v>
          </cell>
          <cell r="V918" t="str">
            <v>내선</v>
          </cell>
          <cell r="W918">
            <v>0.66</v>
          </cell>
        </row>
        <row r="919">
          <cell r="A919">
            <v>919</v>
          </cell>
          <cell r="C919" t="str">
            <v>접지단자함 (뚜껑SUS)</v>
          </cell>
          <cell r="D919" t="str">
            <v>7 CCT</v>
          </cell>
          <cell r="E919" t="str">
            <v>EA</v>
          </cell>
          <cell r="I919">
            <v>180000</v>
          </cell>
          <cell r="J919">
            <v>930</v>
          </cell>
          <cell r="K919">
            <v>150000</v>
          </cell>
          <cell r="S919">
            <v>150000</v>
          </cell>
          <cell r="V919" t="str">
            <v>내선</v>
          </cell>
          <cell r="W919">
            <v>0.66</v>
          </cell>
        </row>
        <row r="920">
          <cell r="A920">
            <v>920</v>
          </cell>
          <cell r="C920" t="str">
            <v>피뢰침지지관</v>
          </cell>
          <cell r="D920" t="str">
            <v>3 m</v>
          </cell>
          <cell r="E920" t="str">
            <v>SET</v>
          </cell>
          <cell r="H920">
            <v>887</v>
          </cell>
          <cell r="I920">
            <v>200000</v>
          </cell>
          <cell r="J920">
            <v>930</v>
          </cell>
          <cell r="K920">
            <v>180000</v>
          </cell>
          <cell r="S920">
            <v>180000</v>
          </cell>
        </row>
        <row r="921">
          <cell r="A921">
            <v>921</v>
          </cell>
          <cell r="C921" t="str">
            <v>피뢰침지지관</v>
          </cell>
          <cell r="D921" t="str">
            <v>5 m</v>
          </cell>
          <cell r="E921" t="str">
            <v>SET</v>
          </cell>
          <cell r="H921">
            <v>887</v>
          </cell>
          <cell r="I921">
            <v>250000</v>
          </cell>
          <cell r="J921">
            <v>930</v>
          </cell>
          <cell r="K921">
            <v>200000</v>
          </cell>
          <cell r="S921">
            <v>200000</v>
          </cell>
        </row>
        <row r="922">
          <cell r="A922">
            <v>922</v>
          </cell>
          <cell r="C922" t="str">
            <v>피뢰침지지관</v>
          </cell>
          <cell r="D922" t="str">
            <v>7 m</v>
          </cell>
          <cell r="E922" t="str">
            <v>SET</v>
          </cell>
          <cell r="H922">
            <v>887</v>
          </cell>
          <cell r="I922">
            <v>350000</v>
          </cell>
          <cell r="J922">
            <v>930</v>
          </cell>
          <cell r="K922">
            <v>280000</v>
          </cell>
          <cell r="S922">
            <v>280000</v>
          </cell>
        </row>
        <row r="923">
          <cell r="A923">
            <v>923</v>
          </cell>
          <cell r="S923" t="str">
            <v/>
          </cell>
        </row>
        <row r="924">
          <cell r="A924">
            <v>924</v>
          </cell>
          <cell r="C924" t="str">
            <v>PULL BOX 1,2t</v>
          </cell>
          <cell r="D924" t="str">
            <v>100×100×100</v>
          </cell>
          <cell r="E924" t="str">
            <v>EA</v>
          </cell>
          <cell r="H924">
            <v>825</v>
          </cell>
          <cell r="I924">
            <v>1882</v>
          </cell>
          <cell r="J924">
            <v>883</v>
          </cell>
          <cell r="K924">
            <v>1750</v>
          </cell>
          <cell r="S924">
            <v>1750</v>
          </cell>
          <cell r="V924" t="str">
            <v>내선</v>
          </cell>
          <cell r="W924">
            <v>0.66</v>
          </cell>
        </row>
        <row r="925">
          <cell r="A925">
            <v>925</v>
          </cell>
          <cell r="C925" t="str">
            <v>PULL BOX 1,2t</v>
          </cell>
          <cell r="D925" t="str">
            <v>150×150×100</v>
          </cell>
          <cell r="E925" t="str">
            <v>EA</v>
          </cell>
          <cell r="H925">
            <v>825</v>
          </cell>
          <cell r="I925">
            <v>2353</v>
          </cell>
          <cell r="J925">
            <v>883</v>
          </cell>
          <cell r="K925">
            <v>2470</v>
          </cell>
          <cell r="S925">
            <v>2353</v>
          </cell>
          <cell r="V925" t="str">
            <v>내선</v>
          </cell>
          <cell r="W925">
            <v>0.66</v>
          </cell>
        </row>
        <row r="926">
          <cell r="A926">
            <v>926</v>
          </cell>
          <cell r="C926" t="str">
            <v>PULL BOX 1,2t</v>
          </cell>
          <cell r="D926" t="str">
            <v>200×200×100</v>
          </cell>
          <cell r="E926" t="str">
            <v>EA</v>
          </cell>
          <cell r="H926">
            <v>825</v>
          </cell>
          <cell r="I926">
            <v>3647</v>
          </cell>
          <cell r="J926">
            <v>883</v>
          </cell>
          <cell r="K926">
            <v>3420</v>
          </cell>
          <cell r="S926">
            <v>3420</v>
          </cell>
          <cell r="V926" t="str">
            <v>내선</v>
          </cell>
          <cell r="W926">
            <v>0.66</v>
          </cell>
        </row>
        <row r="927">
          <cell r="A927">
            <v>927</v>
          </cell>
          <cell r="C927" t="str">
            <v>PULL BOX 1,2t</v>
          </cell>
          <cell r="D927" t="str">
            <v>250×250×100</v>
          </cell>
          <cell r="E927" t="str">
            <v>EA</v>
          </cell>
          <cell r="H927">
            <v>825</v>
          </cell>
          <cell r="I927">
            <v>5470</v>
          </cell>
          <cell r="J927">
            <v>883</v>
          </cell>
          <cell r="K927">
            <v>4630</v>
          </cell>
          <cell r="S927">
            <v>4630</v>
          </cell>
          <cell r="V927" t="str">
            <v>내선</v>
          </cell>
          <cell r="W927">
            <v>0.66</v>
          </cell>
        </row>
        <row r="928">
          <cell r="A928">
            <v>928</v>
          </cell>
          <cell r="C928" t="str">
            <v>PULL BOX 1,2t</v>
          </cell>
          <cell r="D928" t="str">
            <v>300×300×100</v>
          </cell>
          <cell r="E928" t="str">
            <v>EA</v>
          </cell>
          <cell r="H928">
            <v>825</v>
          </cell>
          <cell r="I928">
            <v>5882</v>
          </cell>
          <cell r="J928">
            <v>883</v>
          </cell>
          <cell r="K928">
            <v>5670</v>
          </cell>
          <cell r="S928">
            <v>5670</v>
          </cell>
          <cell r="V928" t="str">
            <v>내선</v>
          </cell>
          <cell r="W928">
            <v>0.66</v>
          </cell>
        </row>
        <row r="929">
          <cell r="A929">
            <v>929</v>
          </cell>
          <cell r="C929" t="str">
            <v>PULL BOX 1,2t</v>
          </cell>
          <cell r="D929" t="str">
            <v>150×150×150</v>
          </cell>
          <cell r="E929" t="str">
            <v>EA</v>
          </cell>
          <cell r="H929">
            <v>825</v>
          </cell>
          <cell r="I929">
            <v>2765</v>
          </cell>
          <cell r="J929">
            <v>883</v>
          </cell>
          <cell r="K929">
            <v>2740</v>
          </cell>
          <cell r="S929">
            <v>2740</v>
          </cell>
          <cell r="V929" t="str">
            <v>내선</v>
          </cell>
          <cell r="W929">
            <v>0.66</v>
          </cell>
        </row>
        <row r="930">
          <cell r="A930">
            <v>930</v>
          </cell>
          <cell r="C930" t="str">
            <v>PULL BOX 1,2t</v>
          </cell>
          <cell r="D930" t="str">
            <v>200×200×200</v>
          </cell>
          <cell r="E930" t="str">
            <v>EA</v>
          </cell>
          <cell r="H930">
            <v>825</v>
          </cell>
          <cell r="I930">
            <v>5176</v>
          </cell>
          <cell r="J930">
            <v>883</v>
          </cell>
          <cell r="K930">
            <v>4680</v>
          </cell>
          <cell r="S930">
            <v>4680</v>
          </cell>
          <cell r="V930" t="str">
            <v>내선</v>
          </cell>
          <cell r="W930">
            <v>0.66</v>
          </cell>
        </row>
        <row r="931">
          <cell r="A931">
            <v>931</v>
          </cell>
          <cell r="C931" t="str">
            <v>PULL BOX 1,2t</v>
          </cell>
          <cell r="D931" t="str">
            <v>250×250×150</v>
          </cell>
          <cell r="E931" t="str">
            <v>EA</v>
          </cell>
          <cell r="H931">
            <v>825</v>
          </cell>
          <cell r="I931">
            <v>5882</v>
          </cell>
          <cell r="J931">
            <v>883</v>
          </cell>
          <cell r="K931">
            <v>5080</v>
          </cell>
          <cell r="S931">
            <v>5080</v>
          </cell>
          <cell r="V931" t="str">
            <v>내선</v>
          </cell>
          <cell r="W931">
            <v>0.66</v>
          </cell>
        </row>
        <row r="932">
          <cell r="A932">
            <v>932</v>
          </cell>
          <cell r="C932" t="str">
            <v>PULL BOX 1,2t</v>
          </cell>
          <cell r="D932" t="str">
            <v>300×300×150</v>
          </cell>
          <cell r="E932" t="str">
            <v>EA</v>
          </cell>
          <cell r="H932">
            <v>825</v>
          </cell>
          <cell r="I932">
            <v>6765</v>
          </cell>
          <cell r="J932">
            <v>883</v>
          </cell>
          <cell r="K932">
            <v>6390</v>
          </cell>
          <cell r="S932">
            <v>6390</v>
          </cell>
          <cell r="V932" t="str">
            <v>내선</v>
          </cell>
          <cell r="W932">
            <v>0.66</v>
          </cell>
        </row>
        <row r="933">
          <cell r="A933">
            <v>933</v>
          </cell>
          <cell r="C933" t="str">
            <v>PULL BOX 1,2t</v>
          </cell>
          <cell r="D933" t="str">
            <v>400×400×150</v>
          </cell>
          <cell r="E933" t="str">
            <v>EA</v>
          </cell>
          <cell r="H933">
            <v>825</v>
          </cell>
          <cell r="I933">
            <v>11000</v>
          </cell>
          <cell r="J933">
            <v>883</v>
          </cell>
          <cell r="K933">
            <v>10170</v>
          </cell>
          <cell r="S933">
            <v>10170</v>
          </cell>
          <cell r="V933" t="str">
            <v>내선</v>
          </cell>
          <cell r="W933">
            <v>0.66</v>
          </cell>
        </row>
        <row r="934">
          <cell r="A934">
            <v>934</v>
          </cell>
          <cell r="C934" t="str">
            <v>PULL BOX 1,2t</v>
          </cell>
          <cell r="D934" t="str">
            <v>300×300×200</v>
          </cell>
          <cell r="E934" t="str">
            <v>EA</v>
          </cell>
          <cell r="H934">
            <v>825</v>
          </cell>
          <cell r="I934">
            <v>7647</v>
          </cell>
          <cell r="J934">
            <v>883</v>
          </cell>
          <cell r="K934">
            <v>7200</v>
          </cell>
          <cell r="S934">
            <v>7200</v>
          </cell>
          <cell r="V934" t="str">
            <v>내선</v>
          </cell>
          <cell r="W934">
            <v>0.66</v>
          </cell>
        </row>
        <row r="935">
          <cell r="A935">
            <v>935</v>
          </cell>
          <cell r="C935" t="str">
            <v>PULL BOX 1,2t</v>
          </cell>
          <cell r="D935" t="str">
            <v>400×400×200</v>
          </cell>
          <cell r="E935" t="str">
            <v>EA</v>
          </cell>
          <cell r="H935">
            <v>825</v>
          </cell>
          <cell r="I935">
            <v>12000</v>
          </cell>
          <cell r="J935">
            <v>883</v>
          </cell>
          <cell r="K935">
            <v>11160</v>
          </cell>
          <cell r="S935">
            <v>11160</v>
          </cell>
          <cell r="V935" t="str">
            <v>내선</v>
          </cell>
          <cell r="W935">
            <v>0.95</v>
          </cell>
        </row>
        <row r="936">
          <cell r="A936">
            <v>936</v>
          </cell>
          <cell r="C936" t="str">
            <v>PULL BOX 1,2t</v>
          </cell>
          <cell r="D936" t="str">
            <v>500×500×200</v>
          </cell>
          <cell r="E936" t="str">
            <v>EA</v>
          </cell>
          <cell r="H936">
            <v>825</v>
          </cell>
          <cell r="I936">
            <v>21412</v>
          </cell>
          <cell r="J936">
            <v>883</v>
          </cell>
          <cell r="K936">
            <v>18720</v>
          </cell>
          <cell r="S936">
            <v>18720</v>
          </cell>
          <cell r="V936" t="str">
            <v>내선</v>
          </cell>
          <cell r="W936">
            <v>0.95</v>
          </cell>
        </row>
        <row r="937">
          <cell r="A937">
            <v>937</v>
          </cell>
          <cell r="C937" t="str">
            <v>PULL BOX 1,2t</v>
          </cell>
          <cell r="D937" t="str">
            <v>300×300×300</v>
          </cell>
          <cell r="E937" t="str">
            <v>EA</v>
          </cell>
          <cell r="H937">
            <v>825</v>
          </cell>
          <cell r="I937">
            <v>9535</v>
          </cell>
          <cell r="J937">
            <v>883</v>
          </cell>
          <cell r="K937">
            <v>8910</v>
          </cell>
          <cell r="S937">
            <v>8910</v>
          </cell>
          <cell r="V937" t="str">
            <v>내선</v>
          </cell>
          <cell r="W937">
            <v>0.95</v>
          </cell>
        </row>
        <row r="938">
          <cell r="A938">
            <v>938</v>
          </cell>
          <cell r="C938" t="str">
            <v>PULL BOX 1,2t</v>
          </cell>
          <cell r="D938" t="str">
            <v>400×400×300</v>
          </cell>
          <cell r="E938" t="str">
            <v>EA</v>
          </cell>
          <cell r="H938">
            <v>825</v>
          </cell>
          <cell r="I938">
            <v>14235</v>
          </cell>
          <cell r="J938">
            <v>883</v>
          </cell>
          <cell r="K938">
            <v>13590</v>
          </cell>
          <cell r="S938">
            <v>13590</v>
          </cell>
          <cell r="V938" t="str">
            <v>내선</v>
          </cell>
          <cell r="W938">
            <v>0.95</v>
          </cell>
        </row>
        <row r="939">
          <cell r="A939">
            <v>939</v>
          </cell>
          <cell r="C939" t="str">
            <v>PULL BOX 1,2t</v>
          </cell>
          <cell r="D939" t="str">
            <v>500×500×300</v>
          </cell>
          <cell r="E939" t="str">
            <v>EA</v>
          </cell>
          <cell r="H939">
            <v>825</v>
          </cell>
          <cell r="I939">
            <v>25882</v>
          </cell>
          <cell r="J939">
            <v>883</v>
          </cell>
          <cell r="K939">
            <v>22500</v>
          </cell>
          <cell r="S939">
            <v>22500</v>
          </cell>
          <cell r="V939" t="str">
            <v>내선</v>
          </cell>
          <cell r="W939">
            <v>0.95</v>
          </cell>
        </row>
        <row r="940">
          <cell r="A940">
            <v>940</v>
          </cell>
          <cell r="C940" t="str">
            <v>PULL BOX 1,2t</v>
          </cell>
          <cell r="D940" t="str">
            <v>600×600×300</v>
          </cell>
          <cell r="E940" t="str">
            <v>EA</v>
          </cell>
          <cell r="H940">
            <v>825</v>
          </cell>
          <cell r="I940">
            <v>32353</v>
          </cell>
          <cell r="J940">
            <v>883</v>
          </cell>
          <cell r="K940">
            <v>27450</v>
          </cell>
          <cell r="S940">
            <v>27450</v>
          </cell>
          <cell r="V940" t="str">
            <v>내선</v>
          </cell>
          <cell r="W940">
            <v>0.95</v>
          </cell>
        </row>
        <row r="941">
          <cell r="A941">
            <v>941</v>
          </cell>
          <cell r="C941" t="str">
            <v>PULL BOX 1,2t</v>
          </cell>
          <cell r="D941" t="str">
            <v>600×600×400</v>
          </cell>
          <cell r="E941" t="str">
            <v>EA</v>
          </cell>
          <cell r="H941">
            <v>825</v>
          </cell>
          <cell r="I941">
            <v>38823</v>
          </cell>
          <cell r="S941">
            <v>38823</v>
          </cell>
          <cell r="V941" t="str">
            <v>내선</v>
          </cell>
          <cell r="W941">
            <v>0.95</v>
          </cell>
        </row>
        <row r="942">
          <cell r="A942">
            <v>942</v>
          </cell>
          <cell r="C942" t="str">
            <v>PULL BOX(벽면노출)</v>
          </cell>
          <cell r="D942" t="str">
            <v>1000×1000×700 (2.3t)</v>
          </cell>
          <cell r="E942" t="str">
            <v>EA</v>
          </cell>
          <cell r="L942" t="str">
            <v>봉산(유선견적)</v>
          </cell>
          <cell r="M942">
            <v>150000</v>
          </cell>
          <cell r="S942">
            <v>150000</v>
          </cell>
          <cell r="V942" t="str">
            <v>내선</v>
          </cell>
          <cell r="W942">
            <v>6.7679999999999998</v>
          </cell>
        </row>
        <row r="943">
          <cell r="A943">
            <v>943</v>
          </cell>
          <cell r="S943" t="str">
            <v/>
          </cell>
        </row>
        <row r="944">
          <cell r="A944">
            <v>944</v>
          </cell>
          <cell r="B944" t="str">
            <v>천정</v>
          </cell>
          <cell r="C944" t="str">
            <v>Outlet Box (천정)</v>
          </cell>
          <cell r="D944" t="str">
            <v>4각 54mm</v>
          </cell>
          <cell r="E944" t="str">
            <v>EA</v>
          </cell>
          <cell r="H944">
            <v>827</v>
          </cell>
          <cell r="I944">
            <v>832</v>
          </cell>
          <cell r="J944">
            <v>882</v>
          </cell>
          <cell r="K944">
            <v>630</v>
          </cell>
          <cell r="S944">
            <v>630</v>
          </cell>
          <cell r="V944" t="str">
            <v>내선</v>
          </cell>
          <cell r="W944">
            <v>0.12</v>
          </cell>
        </row>
        <row r="945">
          <cell r="A945">
            <v>945</v>
          </cell>
          <cell r="B945" t="str">
            <v>벽부</v>
          </cell>
          <cell r="C945" t="str">
            <v>Outlet Box (벽부)</v>
          </cell>
          <cell r="D945" t="str">
            <v>4각 54mm</v>
          </cell>
          <cell r="E945" t="str">
            <v>EA</v>
          </cell>
          <cell r="H945">
            <v>827</v>
          </cell>
          <cell r="I945">
            <v>832</v>
          </cell>
          <cell r="J945">
            <v>882</v>
          </cell>
          <cell r="K945">
            <v>630</v>
          </cell>
          <cell r="S945">
            <v>630</v>
          </cell>
          <cell r="V945" t="str">
            <v>내선</v>
          </cell>
          <cell r="W945">
            <v>0.2</v>
          </cell>
        </row>
        <row r="946">
          <cell r="A946">
            <v>946</v>
          </cell>
          <cell r="C946" t="str">
            <v>Outlet Box</v>
          </cell>
          <cell r="D946" t="str">
            <v xml:space="preserve">  8 각 54mm</v>
          </cell>
          <cell r="E946" t="str">
            <v>EA</v>
          </cell>
          <cell r="H946">
            <v>827</v>
          </cell>
          <cell r="I946">
            <v>714</v>
          </cell>
          <cell r="J946">
            <v>882</v>
          </cell>
          <cell r="K946">
            <v>540</v>
          </cell>
          <cell r="S946">
            <v>540</v>
          </cell>
          <cell r="V946" t="str">
            <v>내선</v>
          </cell>
          <cell r="W946">
            <v>0.12</v>
          </cell>
        </row>
        <row r="947">
          <cell r="A947">
            <v>947</v>
          </cell>
          <cell r="C947" t="str">
            <v>Outlet Box</v>
          </cell>
          <cell r="D947" t="str">
            <v>SW 54mm</v>
          </cell>
          <cell r="E947" t="str">
            <v>EA</v>
          </cell>
          <cell r="H947">
            <v>827</v>
          </cell>
          <cell r="I947">
            <v>654</v>
          </cell>
          <cell r="J947">
            <v>883</v>
          </cell>
          <cell r="K947">
            <v>490</v>
          </cell>
          <cell r="S947">
            <v>490</v>
          </cell>
          <cell r="V947" t="str">
            <v>내선</v>
          </cell>
          <cell r="W947">
            <v>0.2</v>
          </cell>
        </row>
        <row r="948">
          <cell r="A948">
            <v>948</v>
          </cell>
          <cell r="C948" t="str">
            <v>박스카바</v>
          </cell>
          <cell r="D948" t="str">
            <v>4각</v>
          </cell>
          <cell r="E948" t="str">
            <v>EA</v>
          </cell>
          <cell r="H948">
            <v>827</v>
          </cell>
          <cell r="I948">
            <v>238</v>
          </cell>
          <cell r="J948">
            <v>883</v>
          </cell>
          <cell r="K948">
            <v>190</v>
          </cell>
          <cell r="S948">
            <v>190</v>
          </cell>
          <cell r="V948" t="str">
            <v>내선</v>
          </cell>
          <cell r="W948">
            <v>0.03</v>
          </cell>
        </row>
        <row r="949">
          <cell r="A949">
            <v>949</v>
          </cell>
          <cell r="C949" t="str">
            <v>박스카바</v>
          </cell>
          <cell r="D949" t="str">
            <v>8각</v>
          </cell>
          <cell r="E949" t="str">
            <v>EA</v>
          </cell>
          <cell r="H949">
            <v>827</v>
          </cell>
          <cell r="I949">
            <v>238</v>
          </cell>
          <cell r="J949">
            <v>883</v>
          </cell>
          <cell r="K949">
            <v>230</v>
          </cell>
          <cell r="S949">
            <v>230</v>
          </cell>
          <cell r="V949" t="str">
            <v>내선</v>
          </cell>
          <cell r="W949">
            <v>0.03</v>
          </cell>
        </row>
        <row r="950">
          <cell r="A950">
            <v>950</v>
          </cell>
          <cell r="S950" t="str">
            <v/>
          </cell>
        </row>
        <row r="951">
          <cell r="A951">
            <v>951</v>
          </cell>
          <cell r="C951" t="str">
            <v>PVC  Outlet Box</v>
          </cell>
          <cell r="D951" t="str">
            <v xml:space="preserve">  8 각</v>
          </cell>
          <cell r="E951" t="str">
            <v>EA</v>
          </cell>
          <cell r="S951">
            <v>0</v>
          </cell>
          <cell r="V951" t="str">
            <v>내선</v>
          </cell>
          <cell r="W951">
            <v>0.12</v>
          </cell>
        </row>
        <row r="952">
          <cell r="A952">
            <v>952</v>
          </cell>
          <cell r="C952" t="str">
            <v>PVC  Outlet Box</v>
          </cell>
          <cell r="D952" t="str">
            <v xml:space="preserve">  4 각</v>
          </cell>
          <cell r="E952" t="str">
            <v>EA</v>
          </cell>
          <cell r="S952">
            <v>0</v>
          </cell>
          <cell r="V952" t="str">
            <v>내선</v>
          </cell>
          <cell r="W952">
            <v>0.12</v>
          </cell>
        </row>
        <row r="953">
          <cell r="A953">
            <v>953</v>
          </cell>
          <cell r="S953" t="str">
            <v/>
          </cell>
        </row>
        <row r="954">
          <cell r="A954">
            <v>954</v>
          </cell>
          <cell r="S954" t="str">
            <v/>
          </cell>
        </row>
        <row r="955">
          <cell r="A955">
            <v>955</v>
          </cell>
          <cell r="C955" t="str">
            <v>노출박스</v>
          </cell>
          <cell r="D955" t="str">
            <v>16C 1방출</v>
          </cell>
          <cell r="E955" t="str">
            <v>EA</v>
          </cell>
          <cell r="H955">
            <v>827</v>
          </cell>
          <cell r="I955">
            <v>2700</v>
          </cell>
          <cell r="J955">
            <v>883</v>
          </cell>
          <cell r="K955">
            <v>2625</v>
          </cell>
          <cell r="S955">
            <v>2625</v>
          </cell>
          <cell r="V955" t="str">
            <v>내선</v>
          </cell>
          <cell r="W955">
            <v>0.28999999999999998</v>
          </cell>
        </row>
        <row r="956">
          <cell r="A956">
            <v>956</v>
          </cell>
          <cell r="C956" t="str">
            <v>노출박스</v>
          </cell>
          <cell r="D956" t="str">
            <v>16C 2방출</v>
          </cell>
          <cell r="E956" t="str">
            <v>EA</v>
          </cell>
          <cell r="H956">
            <v>827</v>
          </cell>
          <cell r="I956">
            <v>2870</v>
          </cell>
          <cell r="J956">
            <v>883</v>
          </cell>
          <cell r="K956">
            <v>2750</v>
          </cell>
          <cell r="S956">
            <v>2750</v>
          </cell>
          <cell r="V956" t="str">
            <v>내선</v>
          </cell>
          <cell r="W956">
            <v>0.28999999999999998</v>
          </cell>
        </row>
        <row r="957">
          <cell r="A957">
            <v>957</v>
          </cell>
          <cell r="C957" t="str">
            <v>노출박스</v>
          </cell>
          <cell r="D957" t="str">
            <v>22C 1방출</v>
          </cell>
          <cell r="E957" t="str">
            <v>EA</v>
          </cell>
          <cell r="H957">
            <v>827</v>
          </cell>
          <cell r="I957">
            <v>2639</v>
          </cell>
          <cell r="J957">
            <v>883</v>
          </cell>
          <cell r="K957">
            <v>2875</v>
          </cell>
          <cell r="S957">
            <v>2639</v>
          </cell>
          <cell r="V957" t="str">
            <v>내선</v>
          </cell>
          <cell r="W957">
            <v>0.28999999999999998</v>
          </cell>
        </row>
        <row r="958">
          <cell r="A958">
            <v>958</v>
          </cell>
          <cell r="C958" t="str">
            <v>노출박스</v>
          </cell>
          <cell r="D958" t="str">
            <v>22C 2방출</v>
          </cell>
          <cell r="E958" t="str">
            <v>EA</v>
          </cell>
          <cell r="H958">
            <v>827</v>
          </cell>
          <cell r="I958">
            <v>2834</v>
          </cell>
          <cell r="J958">
            <v>883</v>
          </cell>
          <cell r="K958">
            <v>3000</v>
          </cell>
          <cell r="S958">
            <v>2834</v>
          </cell>
          <cell r="V958" t="str">
            <v>내선</v>
          </cell>
          <cell r="W958">
            <v>0.28999999999999998</v>
          </cell>
        </row>
        <row r="959">
          <cell r="A959">
            <v>959</v>
          </cell>
          <cell r="C959" t="str">
            <v>노출박스</v>
          </cell>
          <cell r="D959" t="str">
            <v>28C 1방출</v>
          </cell>
          <cell r="E959" t="str">
            <v>EA</v>
          </cell>
          <cell r="H959">
            <v>827</v>
          </cell>
          <cell r="I959">
            <v>4203</v>
          </cell>
          <cell r="J959">
            <v>883</v>
          </cell>
          <cell r="K959">
            <v>4375</v>
          </cell>
          <cell r="S959">
            <v>4203</v>
          </cell>
          <cell r="V959" t="str">
            <v>내선</v>
          </cell>
          <cell r="W959">
            <v>0.28999999999999998</v>
          </cell>
        </row>
        <row r="960">
          <cell r="A960">
            <v>960</v>
          </cell>
          <cell r="C960" t="str">
            <v>노출박스</v>
          </cell>
          <cell r="D960" t="str">
            <v>28C 2방출</v>
          </cell>
          <cell r="E960" t="str">
            <v>EA</v>
          </cell>
          <cell r="H960">
            <v>827</v>
          </cell>
          <cell r="I960">
            <v>4594</v>
          </cell>
          <cell r="J960">
            <v>883</v>
          </cell>
          <cell r="K960">
            <v>4625</v>
          </cell>
          <cell r="S960">
            <v>4594</v>
          </cell>
          <cell r="V960" t="str">
            <v>내선</v>
          </cell>
          <cell r="W960">
            <v>0.28999999999999998</v>
          </cell>
        </row>
        <row r="961">
          <cell r="A961">
            <v>961</v>
          </cell>
          <cell r="S961" t="str">
            <v/>
          </cell>
        </row>
        <row r="962">
          <cell r="A962">
            <v>962</v>
          </cell>
          <cell r="C962" t="str">
            <v>등기구 보강대 1m</v>
          </cell>
          <cell r="D962" t="str">
            <v>스프링형 M바표준</v>
          </cell>
          <cell r="E962" t="str">
            <v>SET</v>
          </cell>
          <cell r="H962">
            <v>898</v>
          </cell>
          <cell r="I962">
            <v>3900</v>
          </cell>
          <cell r="J962">
            <v>939</v>
          </cell>
          <cell r="K962">
            <v>3900</v>
          </cell>
          <cell r="S962">
            <v>3900</v>
          </cell>
        </row>
        <row r="963">
          <cell r="A963">
            <v>963</v>
          </cell>
          <cell r="C963" t="str">
            <v>등기구 보강대 1m</v>
          </cell>
          <cell r="D963" t="str">
            <v>스프링형 T바표준</v>
          </cell>
          <cell r="E963" t="str">
            <v>SET</v>
          </cell>
          <cell r="H963">
            <v>898</v>
          </cell>
          <cell r="I963">
            <v>4900</v>
          </cell>
          <cell r="J963">
            <v>939</v>
          </cell>
          <cell r="K963">
            <v>4900</v>
          </cell>
          <cell r="S963">
            <v>4900</v>
          </cell>
        </row>
        <row r="964">
          <cell r="A964">
            <v>964</v>
          </cell>
          <cell r="C964" t="str">
            <v>등기구 보강대 1m</v>
          </cell>
          <cell r="D964" t="str">
            <v>스프링형 다운라이트용</v>
          </cell>
          <cell r="E964" t="str">
            <v>SET</v>
          </cell>
          <cell r="H964">
            <v>898</v>
          </cell>
          <cell r="I964">
            <v>3600</v>
          </cell>
          <cell r="J964">
            <v>939</v>
          </cell>
          <cell r="K964">
            <v>3600</v>
          </cell>
          <cell r="S964">
            <v>3600</v>
          </cell>
        </row>
        <row r="965">
          <cell r="A965">
            <v>965</v>
          </cell>
          <cell r="C965" t="str">
            <v>등기구 보강대 2.5m</v>
          </cell>
          <cell r="D965" t="str">
            <v>스프링형 다운라이트용</v>
          </cell>
          <cell r="E965" t="str">
            <v>SET</v>
          </cell>
          <cell r="H965">
            <v>898</v>
          </cell>
          <cell r="I965">
            <v>5600</v>
          </cell>
          <cell r="J965">
            <v>939</v>
          </cell>
          <cell r="K965">
            <v>5600</v>
          </cell>
          <cell r="S965">
            <v>5600</v>
          </cell>
        </row>
        <row r="966">
          <cell r="A966">
            <v>966</v>
          </cell>
          <cell r="B966" t="str">
            <v>CL</v>
          </cell>
          <cell r="C966" t="str">
            <v>등 기 구(Type"CL")</v>
          </cell>
          <cell r="D966" t="str">
            <v>FCL 4/30W</v>
          </cell>
          <cell r="E966" t="str">
            <v>SET</v>
          </cell>
          <cell r="L966" t="str">
            <v>(주)나남전기</v>
          </cell>
          <cell r="M966">
            <v>17000</v>
          </cell>
          <cell r="N966" t="str">
            <v>(주)제일조명</v>
          </cell>
          <cell r="O966">
            <v>18000</v>
          </cell>
          <cell r="P966" t="str">
            <v>천일전기공업(주)</v>
          </cell>
          <cell r="Q966">
            <v>14000</v>
          </cell>
          <cell r="S966">
            <v>14000</v>
          </cell>
          <cell r="V966" t="str">
            <v>내선</v>
          </cell>
          <cell r="W966">
            <v>0.16500000000000001</v>
          </cell>
        </row>
        <row r="967">
          <cell r="A967">
            <v>967</v>
          </cell>
          <cell r="B967" t="str">
            <v>I</v>
          </cell>
          <cell r="C967" t="str">
            <v>등 기 구</v>
          </cell>
          <cell r="D967" t="str">
            <v>IL-60W 벽부(방수,방습)</v>
          </cell>
          <cell r="E967" t="str">
            <v>SET</v>
          </cell>
          <cell r="L967" t="str">
            <v>(주)나남전기</v>
          </cell>
          <cell r="M967">
            <v>17000</v>
          </cell>
          <cell r="N967" t="str">
            <v>(주)제일조명</v>
          </cell>
          <cell r="O967">
            <v>18000</v>
          </cell>
          <cell r="P967" t="str">
            <v>천일전기공업(주)</v>
          </cell>
          <cell r="Q967">
            <v>14000</v>
          </cell>
          <cell r="S967">
            <v>14000</v>
          </cell>
          <cell r="V967" t="str">
            <v>내선</v>
          </cell>
          <cell r="W967">
            <v>0.15</v>
          </cell>
        </row>
        <row r="968">
          <cell r="A968">
            <v>968</v>
          </cell>
          <cell r="B968" t="str">
            <v>D</v>
          </cell>
          <cell r="C968" t="str">
            <v>등 기 구</v>
          </cell>
          <cell r="D968" t="str">
            <v>IL-100W 벽부(방수,방습)</v>
          </cell>
          <cell r="E968" t="str">
            <v>SET</v>
          </cell>
          <cell r="L968" t="str">
            <v>(주)나남전기</v>
          </cell>
          <cell r="M968">
            <v>85000</v>
          </cell>
          <cell r="N968" t="str">
            <v>(주)제일조명</v>
          </cell>
          <cell r="O968">
            <v>85000</v>
          </cell>
          <cell r="P968" t="str">
            <v>천일전기공업(주)</v>
          </cell>
          <cell r="Q968">
            <v>85000</v>
          </cell>
          <cell r="S968">
            <v>85000</v>
          </cell>
          <cell r="V968" t="str">
            <v>내선</v>
          </cell>
          <cell r="W968">
            <v>0.158</v>
          </cell>
        </row>
        <row r="969">
          <cell r="A969">
            <v>969</v>
          </cell>
          <cell r="C969" t="str">
            <v>등 기 구</v>
          </cell>
          <cell r="D969" t="str">
            <v>IL-200W 벽부</v>
          </cell>
          <cell r="E969" t="str">
            <v>SET</v>
          </cell>
          <cell r="H969">
            <v>816</v>
          </cell>
          <cell r="I969">
            <v>25500</v>
          </cell>
          <cell r="S969">
            <v>25500</v>
          </cell>
          <cell r="V969" t="str">
            <v>내선</v>
          </cell>
          <cell r="W969">
            <v>0.158</v>
          </cell>
        </row>
        <row r="970">
          <cell r="A970">
            <v>970</v>
          </cell>
          <cell r="B970" t="str">
            <v>K</v>
          </cell>
          <cell r="C970" t="str">
            <v>등 기 구</v>
          </cell>
          <cell r="D970" t="str">
            <v>IL-100W 펜던트(방수,방습)</v>
          </cell>
          <cell r="E970" t="str">
            <v>SET</v>
          </cell>
          <cell r="L970" t="str">
            <v>(주)제일조명</v>
          </cell>
          <cell r="M970">
            <v>85000</v>
          </cell>
          <cell r="N970" t="str">
            <v>(주)제일조명</v>
          </cell>
          <cell r="O970">
            <v>85000</v>
          </cell>
          <cell r="P970" t="str">
            <v>천일전기공업(주)</v>
          </cell>
          <cell r="Q970">
            <v>85000</v>
          </cell>
          <cell r="S970">
            <v>85000</v>
          </cell>
          <cell r="V970" t="str">
            <v>내선</v>
          </cell>
          <cell r="W970">
            <v>0.29399999999999998</v>
          </cell>
        </row>
        <row r="971">
          <cell r="A971">
            <v>971</v>
          </cell>
          <cell r="B971" t="str">
            <v>D</v>
          </cell>
          <cell r="C971" t="str">
            <v>등 기 구(type"D")</v>
          </cell>
          <cell r="D971" t="str">
            <v>다운라이트 FUL 2/18W</v>
          </cell>
          <cell r="E971" t="str">
            <v>SET</v>
          </cell>
          <cell r="L971" t="str">
            <v>(주)나남전기</v>
          </cell>
          <cell r="M971">
            <v>18500</v>
          </cell>
          <cell r="N971" t="str">
            <v>(주)제일조명</v>
          </cell>
          <cell r="O971">
            <v>24000</v>
          </cell>
          <cell r="P971" t="str">
            <v>천일전기공업(주)</v>
          </cell>
          <cell r="Q971">
            <v>31500</v>
          </cell>
          <cell r="S971">
            <v>18500</v>
          </cell>
          <cell r="V971" t="str">
            <v>내선</v>
          </cell>
          <cell r="W971">
            <v>0.18</v>
          </cell>
        </row>
        <row r="972">
          <cell r="A972">
            <v>972</v>
          </cell>
          <cell r="B972" t="str">
            <v>J</v>
          </cell>
          <cell r="C972" t="str">
            <v>등 기 구</v>
          </cell>
          <cell r="D972" t="str">
            <v>IL-100W 직부 벤다</v>
          </cell>
          <cell r="E972" t="str">
            <v>SET</v>
          </cell>
          <cell r="L972" t="str">
            <v>(주)나남전기</v>
          </cell>
          <cell r="M972">
            <v>4800</v>
          </cell>
          <cell r="N972" t="str">
            <v>(주)제일조명</v>
          </cell>
          <cell r="O972">
            <v>6000</v>
          </cell>
          <cell r="P972" t="str">
            <v>천일전기공업(주)</v>
          </cell>
          <cell r="Q972">
            <v>5000</v>
          </cell>
          <cell r="S972">
            <v>4800</v>
          </cell>
          <cell r="V972" t="str">
            <v>내선</v>
          </cell>
          <cell r="W972">
            <v>0.19</v>
          </cell>
        </row>
        <row r="973">
          <cell r="A973">
            <v>973</v>
          </cell>
          <cell r="B973" t="str">
            <v>L-1</v>
          </cell>
          <cell r="C973" t="str">
            <v>등 기 구(Type"L-1")</v>
          </cell>
          <cell r="D973" t="str">
            <v>IL-60W 벽부</v>
          </cell>
          <cell r="E973" t="str">
            <v>SET</v>
          </cell>
          <cell r="L973" t="str">
            <v>(주)제일조명</v>
          </cell>
          <cell r="M973">
            <v>9000</v>
          </cell>
          <cell r="N973" t="str">
            <v>(주)제일조명</v>
          </cell>
          <cell r="O973">
            <v>12000</v>
          </cell>
          <cell r="P973" t="str">
            <v>천일전기공업(주)</v>
          </cell>
          <cell r="Q973">
            <v>8500</v>
          </cell>
          <cell r="S973">
            <v>8500</v>
          </cell>
          <cell r="V973" t="str">
            <v>내선</v>
          </cell>
          <cell r="W973">
            <v>0.158</v>
          </cell>
        </row>
        <row r="974">
          <cell r="A974">
            <v>974</v>
          </cell>
          <cell r="B974" t="str">
            <v>FS-1</v>
          </cell>
          <cell r="C974" t="str">
            <v>등 기 구 (Type"FS-1")</v>
          </cell>
          <cell r="D974" t="str">
            <v>FL 1/20삼각직부</v>
          </cell>
          <cell r="E974" t="str">
            <v>SET</v>
          </cell>
          <cell r="H974">
            <v>811</v>
          </cell>
          <cell r="I974">
            <v>11000</v>
          </cell>
          <cell r="S974">
            <v>11000</v>
          </cell>
          <cell r="V974" t="str">
            <v>내선</v>
          </cell>
          <cell r="W974">
            <v>0.155</v>
          </cell>
        </row>
        <row r="975">
          <cell r="A975">
            <v>975</v>
          </cell>
          <cell r="C975" t="str">
            <v>등 기 구 (전자식안정기)</v>
          </cell>
          <cell r="D975" t="str">
            <v>FL 2/40삼각벽부</v>
          </cell>
          <cell r="E975" t="str">
            <v>SET</v>
          </cell>
          <cell r="H975">
            <v>811</v>
          </cell>
          <cell r="I975">
            <v>27500</v>
          </cell>
          <cell r="S975">
            <v>27500</v>
          </cell>
          <cell r="V975" t="str">
            <v>내선</v>
          </cell>
          <cell r="W975">
            <v>0.36499999999999999</v>
          </cell>
        </row>
        <row r="976">
          <cell r="A976">
            <v>976</v>
          </cell>
          <cell r="B976" t="str">
            <v>FD-1</v>
          </cell>
          <cell r="C976" t="str">
            <v>등 기 구 (Type"FD-1")</v>
          </cell>
          <cell r="D976" t="str">
            <v>FL 2/20삼각직부</v>
          </cell>
          <cell r="E976" t="str">
            <v>SET</v>
          </cell>
          <cell r="H976">
            <v>811</v>
          </cell>
          <cell r="I976">
            <v>24000</v>
          </cell>
          <cell r="S976">
            <v>24000</v>
          </cell>
          <cell r="V976" t="str">
            <v>내선</v>
          </cell>
          <cell r="W976">
            <v>0.19500000000000001</v>
          </cell>
        </row>
        <row r="977">
          <cell r="A977">
            <v>977</v>
          </cell>
          <cell r="B977" t="str">
            <v>FD</v>
          </cell>
          <cell r="C977" t="str">
            <v>등 기 구 (Type"FD")</v>
          </cell>
          <cell r="D977" t="str">
            <v>FL 2/32삼각직부</v>
          </cell>
          <cell r="E977" t="str">
            <v>SET</v>
          </cell>
          <cell r="J977" t="str">
            <v>광명</v>
          </cell>
          <cell r="K977">
            <v>62000</v>
          </cell>
          <cell r="L977" t="str">
            <v>신일조명</v>
          </cell>
          <cell r="M977">
            <v>55000</v>
          </cell>
          <cell r="N977" t="str">
            <v>제일조명</v>
          </cell>
          <cell r="O977">
            <v>69000</v>
          </cell>
          <cell r="P977" t="str">
            <v>천일전기</v>
          </cell>
          <cell r="Q977">
            <v>51000</v>
          </cell>
          <cell r="S977">
            <v>51000</v>
          </cell>
          <cell r="V977" t="str">
            <v>내선</v>
          </cell>
          <cell r="W977">
            <v>0.30499999999999999</v>
          </cell>
        </row>
        <row r="978">
          <cell r="A978">
            <v>978</v>
          </cell>
          <cell r="B978" t="str">
            <v>C</v>
          </cell>
          <cell r="C978" t="str">
            <v>등 기 구 (전자식안정기)</v>
          </cell>
          <cell r="D978" t="str">
            <v>FL 2/32천정직부(방수,방습)</v>
          </cell>
          <cell r="E978" t="str">
            <v>SET</v>
          </cell>
          <cell r="L978" t="str">
            <v>(주)나남전기</v>
          </cell>
          <cell r="M978">
            <v>44000</v>
          </cell>
          <cell r="N978" t="str">
            <v>(주)제일조명</v>
          </cell>
          <cell r="O978">
            <v>57000</v>
          </cell>
          <cell r="P978" t="str">
            <v>천일전기공업(주)</v>
          </cell>
          <cell r="Q978">
            <v>45000</v>
          </cell>
          <cell r="S978">
            <v>44000</v>
          </cell>
          <cell r="V978" t="str">
            <v>내선</v>
          </cell>
          <cell r="W978">
            <v>0.245</v>
          </cell>
        </row>
        <row r="979">
          <cell r="A979">
            <v>979</v>
          </cell>
          <cell r="B979" t="str">
            <v>FS</v>
          </cell>
          <cell r="C979" t="str">
            <v>등 기 구 (Type"FS")</v>
          </cell>
          <cell r="D979" t="str">
            <v>FL 1/32삼각직부</v>
          </cell>
          <cell r="E979" t="str">
            <v>SET</v>
          </cell>
          <cell r="L979" t="str">
            <v>신일조명</v>
          </cell>
          <cell r="M979">
            <v>23500</v>
          </cell>
          <cell r="S979">
            <v>23500</v>
          </cell>
          <cell r="V979" t="str">
            <v>내선</v>
          </cell>
          <cell r="W979">
            <v>0.245</v>
          </cell>
        </row>
        <row r="980">
          <cell r="A980">
            <v>980</v>
          </cell>
          <cell r="B980" t="str">
            <v>FI-1</v>
          </cell>
          <cell r="C980" t="str">
            <v>등 기 구 (Type"FI-1")</v>
          </cell>
          <cell r="D980" t="str">
            <v>FL 2/20매입</v>
          </cell>
          <cell r="E980" t="str">
            <v>SET</v>
          </cell>
          <cell r="L980" t="str">
            <v>(주)광명</v>
          </cell>
          <cell r="M980">
            <v>46500</v>
          </cell>
          <cell r="N980" t="str">
            <v>금동조명(주)</v>
          </cell>
          <cell r="O980">
            <v>45000</v>
          </cell>
          <cell r="P980" t="str">
            <v>천일전기공업(주)</v>
          </cell>
          <cell r="Q980">
            <v>46000</v>
          </cell>
          <cell r="S980">
            <v>45000</v>
          </cell>
          <cell r="V980" t="str">
            <v>내선</v>
          </cell>
          <cell r="W980">
            <v>0.38400000000000001</v>
          </cell>
        </row>
        <row r="981">
          <cell r="A981">
            <v>981</v>
          </cell>
          <cell r="C981" t="str">
            <v>등 기 구 (전자식안정기)</v>
          </cell>
          <cell r="D981" t="str">
            <v>FL 4/20매입</v>
          </cell>
          <cell r="E981" t="str">
            <v>SET</v>
          </cell>
          <cell r="L981" t="str">
            <v>(주)광명</v>
          </cell>
          <cell r="M981">
            <v>43500</v>
          </cell>
          <cell r="N981" t="str">
            <v>금동조명(주)</v>
          </cell>
          <cell r="O981">
            <v>38000</v>
          </cell>
          <cell r="P981" t="str">
            <v>천일전기공업(주)</v>
          </cell>
          <cell r="Q981">
            <v>32000</v>
          </cell>
          <cell r="S981">
            <v>32000</v>
          </cell>
          <cell r="V981" t="str">
            <v>내선</v>
          </cell>
          <cell r="W981">
            <v>0.68399999999999994</v>
          </cell>
        </row>
        <row r="982">
          <cell r="A982">
            <v>982</v>
          </cell>
          <cell r="B982" t="str">
            <v>FI</v>
          </cell>
          <cell r="C982" t="str">
            <v>등 기 구 (Type"FI")</v>
          </cell>
          <cell r="D982" t="str">
            <v>FL 2/32매입루바</v>
          </cell>
          <cell r="E982" t="str">
            <v>SET</v>
          </cell>
          <cell r="L982" t="str">
            <v>(주)나남전기</v>
          </cell>
          <cell r="M982">
            <v>55000</v>
          </cell>
          <cell r="N982" t="str">
            <v>(주)제일조명</v>
          </cell>
          <cell r="O982">
            <v>62000</v>
          </cell>
          <cell r="P982" t="str">
            <v>천일전기공업(주)</v>
          </cell>
          <cell r="Q982">
            <v>52000</v>
          </cell>
          <cell r="S982">
            <v>52000</v>
          </cell>
          <cell r="V982" t="str">
            <v>내선</v>
          </cell>
          <cell r="W982">
            <v>0.58560000000000001</v>
          </cell>
        </row>
        <row r="983">
          <cell r="A983">
            <v>983</v>
          </cell>
          <cell r="B983" t="str">
            <v>FP-1</v>
          </cell>
          <cell r="C983" t="str">
            <v>등 기 구 (Type"FP-1")</v>
          </cell>
          <cell r="D983" t="str">
            <v>FL 2/20펜던트</v>
          </cell>
          <cell r="E983" t="str">
            <v>SET</v>
          </cell>
          <cell r="H983">
            <v>811</v>
          </cell>
          <cell r="I983">
            <v>24500</v>
          </cell>
          <cell r="S983">
            <v>24500</v>
          </cell>
          <cell r="V983" t="str">
            <v>내선</v>
          </cell>
          <cell r="W983">
            <v>0.23499999999999999</v>
          </cell>
        </row>
        <row r="984">
          <cell r="A984">
            <v>984</v>
          </cell>
          <cell r="B984" t="str">
            <v>FP</v>
          </cell>
          <cell r="C984" t="str">
            <v>등 기 구 (Type"FP")</v>
          </cell>
          <cell r="D984" t="str">
            <v>FL 2/32펜던트</v>
          </cell>
          <cell r="E984" t="str">
            <v>SET</v>
          </cell>
          <cell r="L984" t="str">
            <v>(주)나남전기</v>
          </cell>
          <cell r="M984">
            <v>46000</v>
          </cell>
          <cell r="N984" t="str">
            <v>(주)제일조명</v>
          </cell>
          <cell r="O984">
            <v>59000</v>
          </cell>
          <cell r="P984" t="str">
            <v>천일전기공업(주)</v>
          </cell>
          <cell r="Q984">
            <v>46500</v>
          </cell>
          <cell r="S984">
            <v>46000</v>
          </cell>
          <cell r="V984" t="str">
            <v>내선</v>
          </cell>
          <cell r="W984">
            <v>0.36499999999999999</v>
          </cell>
        </row>
        <row r="985">
          <cell r="A985">
            <v>985</v>
          </cell>
          <cell r="B985" t="str">
            <v>PP</v>
          </cell>
          <cell r="C985" t="str">
            <v>등 기 구 (Type"PP")</v>
          </cell>
          <cell r="D985" t="str">
            <v>FL 1/32펜던트</v>
          </cell>
          <cell r="E985" t="str">
            <v>SET</v>
          </cell>
          <cell r="H985">
            <v>811</v>
          </cell>
          <cell r="I985">
            <v>16500</v>
          </cell>
          <cell r="S985">
            <v>16500</v>
          </cell>
          <cell r="V985" t="str">
            <v>내선</v>
          </cell>
          <cell r="W985">
            <v>0.29499999999999998</v>
          </cell>
        </row>
        <row r="986">
          <cell r="A986">
            <v>986</v>
          </cell>
          <cell r="B986" t="str">
            <v>PP-1</v>
          </cell>
          <cell r="C986" t="str">
            <v>등 기 구 (Type"PP-1")</v>
          </cell>
          <cell r="D986" t="str">
            <v>FL 1/20펜던트</v>
          </cell>
          <cell r="E986" t="str">
            <v>SET</v>
          </cell>
          <cell r="L986" t="str">
            <v>(주)나남전기</v>
          </cell>
          <cell r="M986">
            <v>18000</v>
          </cell>
          <cell r="N986" t="str">
            <v>(주)제일조명</v>
          </cell>
          <cell r="O986">
            <v>17500</v>
          </cell>
          <cell r="P986" t="str">
            <v>천일전기공업(주)</v>
          </cell>
          <cell r="Q986">
            <v>22000</v>
          </cell>
          <cell r="S986">
            <v>17500</v>
          </cell>
          <cell r="V986" t="str">
            <v>내선</v>
          </cell>
          <cell r="W986">
            <v>0.16500000000000001</v>
          </cell>
        </row>
        <row r="987">
          <cell r="A987">
            <v>987</v>
          </cell>
          <cell r="C987" t="str">
            <v>등 기 구 (전자식안정기)</v>
          </cell>
          <cell r="D987" t="str">
            <v>FL 1/30W매입</v>
          </cell>
          <cell r="E987" t="str">
            <v>SET</v>
          </cell>
          <cell r="S987">
            <v>0</v>
          </cell>
          <cell r="V987" t="str">
            <v>내선</v>
          </cell>
          <cell r="W987">
            <v>0.31919999999999998</v>
          </cell>
        </row>
        <row r="988">
          <cell r="A988">
            <v>988</v>
          </cell>
          <cell r="B988" t="str">
            <v>A1</v>
          </cell>
          <cell r="C988" t="str">
            <v>등 기 구 (전자식안정기)</v>
          </cell>
          <cell r="D988" t="str">
            <v>FL 2/32W+IL 60W 매입</v>
          </cell>
          <cell r="E988" t="str">
            <v>SET</v>
          </cell>
          <cell r="L988" t="str">
            <v>(주)나남전기</v>
          </cell>
          <cell r="M988">
            <v>56000</v>
          </cell>
          <cell r="N988" t="str">
            <v>(주)제일조명</v>
          </cell>
          <cell r="O988">
            <v>64000</v>
          </cell>
          <cell r="P988" t="str">
            <v>천일전기공업(주)</v>
          </cell>
          <cell r="Q988">
            <v>55000</v>
          </cell>
          <cell r="S988">
            <v>55000</v>
          </cell>
          <cell r="V988" t="str">
            <v>내선</v>
          </cell>
          <cell r="W988">
            <v>0.432</v>
          </cell>
        </row>
        <row r="989">
          <cell r="A989">
            <v>989</v>
          </cell>
          <cell r="C989" t="str">
            <v>등 기 구 (전자식안정기)</v>
          </cell>
          <cell r="D989" t="str">
            <v>FL 1/40W매입</v>
          </cell>
          <cell r="E989" t="str">
            <v>SET</v>
          </cell>
          <cell r="H989">
            <v>811</v>
          </cell>
          <cell r="I989">
            <v>26000</v>
          </cell>
          <cell r="S989">
            <v>26000</v>
          </cell>
          <cell r="V989" t="str">
            <v>내선</v>
          </cell>
          <cell r="W989">
            <v>0.4788</v>
          </cell>
        </row>
        <row r="990">
          <cell r="A990">
            <v>990</v>
          </cell>
          <cell r="C990" t="str">
            <v>등 기 구 (전자식안정기)</v>
          </cell>
          <cell r="D990" t="str">
            <v>FL 2/40방폭형</v>
          </cell>
          <cell r="E990" t="str">
            <v>SET</v>
          </cell>
          <cell r="H990">
            <v>818</v>
          </cell>
          <cell r="I990">
            <v>244000</v>
          </cell>
          <cell r="S990">
            <v>244000</v>
          </cell>
          <cell r="V990" t="str">
            <v>내선</v>
          </cell>
          <cell r="W990">
            <v>0.80299999999999994</v>
          </cell>
        </row>
        <row r="991">
          <cell r="A991">
            <v>991</v>
          </cell>
          <cell r="C991" t="str">
            <v>등 기 구(SUS)</v>
          </cell>
          <cell r="D991" t="str">
            <v>FL 1/40W매입</v>
          </cell>
          <cell r="E991" t="str">
            <v>SET</v>
          </cell>
          <cell r="L991" t="str">
            <v>신일조명</v>
          </cell>
          <cell r="M991">
            <v>34000</v>
          </cell>
          <cell r="S991">
            <v>34000</v>
          </cell>
          <cell r="V991" t="str">
            <v>내선</v>
          </cell>
          <cell r="W991">
            <v>0.4788</v>
          </cell>
        </row>
        <row r="992">
          <cell r="A992">
            <v>992</v>
          </cell>
          <cell r="C992" t="str">
            <v>등 기 구(SUS)</v>
          </cell>
          <cell r="D992" t="str">
            <v>FL 1/40펜던트</v>
          </cell>
          <cell r="E992" t="str">
            <v>SET</v>
          </cell>
          <cell r="L992" t="str">
            <v>신일조명</v>
          </cell>
          <cell r="M992">
            <v>24500</v>
          </cell>
          <cell r="S992">
            <v>24500</v>
          </cell>
          <cell r="V992" t="str">
            <v>내선</v>
          </cell>
          <cell r="W992">
            <v>0.29499999999999998</v>
          </cell>
        </row>
        <row r="993">
          <cell r="A993">
            <v>993</v>
          </cell>
          <cell r="C993" t="str">
            <v>등 기 구 (전자식안정기)</v>
          </cell>
          <cell r="D993" t="str">
            <v>FL 1/20W 천정매입</v>
          </cell>
          <cell r="E993" t="str">
            <v>SET</v>
          </cell>
          <cell r="H993">
            <v>811</v>
          </cell>
          <cell r="I993">
            <v>12000</v>
          </cell>
          <cell r="S993">
            <v>12000</v>
          </cell>
          <cell r="V993" t="str">
            <v>내선</v>
          </cell>
          <cell r="W993">
            <v>0.25</v>
          </cell>
        </row>
        <row r="994">
          <cell r="A994">
            <v>994</v>
          </cell>
          <cell r="C994" t="str">
            <v>등 기 구(SUS)</v>
          </cell>
          <cell r="D994" t="str">
            <v>FL 2/40W매입</v>
          </cell>
          <cell r="E994" t="str">
            <v>SET</v>
          </cell>
          <cell r="L994" t="str">
            <v>신일조명</v>
          </cell>
          <cell r="M994">
            <v>43000</v>
          </cell>
          <cell r="S994">
            <v>43000</v>
          </cell>
          <cell r="V994" t="str">
            <v>내선</v>
          </cell>
          <cell r="W994">
            <v>0.58560000000000001</v>
          </cell>
        </row>
        <row r="995">
          <cell r="A995">
            <v>995</v>
          </cell>
          <cell r="C995" t="str">
            <v>등 기 구(SUS)</v>
          </cell>
          <cell r="D995" t="str">
            <v>FL 2/40펜던트</v>
          </cell>
          <cell r="E995" t="str">
            <v>SET</v>
          </cell>
          <cell r="L995" t="str">
            <v>신일조명</v>
          </cell>
          <cell r="M995">
            <v>38500</v>
          </cell>
          <cell r="S995">
            <v>38500</v>
          </cell>
          <cell r="V995" t="str">
            <v>내선</v>
          </cell>
          <cell r="W995">
            <v>0.36499999999999999</v>
          </cell>
        </row>
        <row r="996">
          <cell r="A996">
            <v>996</v>
          </cell>
          <cell r="B996" t="str">
            <v>F</v>
          </cell>
          <cell r="C996" t="str">
            <v>등 기 구</v>
          </cell>
          <cell r="D996" t="str">
            <v>IL-100W 식탁등</v>
          </cell>
          <cell r="E996" t="str">
            <v>SET</v>
          </cell>
          <cell r="L996" t="str">
            <v>(주)광명</v>
          </cell>
          <cell r="M996">
            <v>37500</v>
          </cell>
          <cell r="N996" t="str">
            <v>금동조명(주)</v>
          </cell>
          <cell r="O996">
            <v>30000</v>
          </cell>
          <cell r="P996" t="str">
            <v>천일전기공업(주)</v>
          </cell>
          <cell r="Q996">
            <v>35000</v>
          </cell>
          <cell r="S996">
            <v>30000</v>
          </cell>
        </row>
        <row r="997">
          <cell r="A997">
            <v>997</v>
          </cell>
          <cell r="B997" t="str">
            <v>S</v>
          </cell>
          <cell r="C997" t="str">
            <v>등 기 구 (Type"S")</v>
          </cell>
          <cell r="D997" t="str">
            <v>HA 100W다운스포트</v>
          </cell>
          <cell r="E997" t="str">
            <v>EA</v>
          </cell>
          <cell r="H997">
            <v>807</v>
          </cell>
          <cell r="I997">
            <v>580</v>
          </cell>
          <cell r="S997">
            <v>580</v>
          </cell>
        </row>
        <row r="998">
          <cell r="A998">
            <v>998</v>
          </cell>
          <cell r="C998" t="str">
            <v>램      프</v>
          </cell>
          <cell r="D998" t="str">
            <v>FL 20W  28㎜×590㎜</v>
          </cell>
          <cell r="E998" t="str">
            <v>EA</v>
          </cell>
          <cell r="H998">
            <v>807</v>
          </cell>
          <cell r="I998">
            <v>650</v>
          </cell>
          <cell r="S998">
            <v>650</v>
          </cell>
        </row>
        <row r="999">
          <cell r="A999">
            <v>999</v>
          </cell>
          <cell r="C999" t="str">
            <v>램      프</v>
          </cell>
          <cell r="D999" t="str">
            <v>FL 30W  26㎜×893㎜</v>
          </cell>
          <cell r="E999" t="str">
            <v>EA</v>
          </cell>
          <cell r="H999">
            <v>807</v>
          </cell>
          <cell r="I999">
            <v>1450</v>
          </cell>
          <cell r="S999">
            <v>1450</v>
          </cell>
        </row>
        <row r="1000">
          <cell r="A1000">
            <v>1000</v>
          </cell>
          <cell r="C1000" t="str">
            <v>램      프</v>
          </cell>
          <cell r="D1000" t="str">
            <v>FL 40W  28㎜×1198㎜</v>
          </cell>
          <cell r="E1000" t="str">
            <v>EA</v>
          </cell>
          <cell r="H1000">
            <v>807</v>
          </cell>
          <cell r="I1000">
            <v>980</v>
          </cell>
          <cell r="S1000">
            <v>980</v>
          </cell>
        </row>
        <row r="1001">
          <cell r="A1001">
            <v>1001</v>
          </cell>
          <cell r="C1001" t="str">
            <v>램      프</v>
          </cell>
          <cell r="D1001" t="str">
            <v>FCL22W28.5㎜×216㎜</v>
          </cell>
          <cell r="E1001" t="str">
            <v>EA</v>
          </cell>
          <cell r="H1001">
            <v>807</v>
          </cell>
          <cell r="I1001">
            <v>1300</v>
          </cell>
          <cell r="S1001">
            <v>1300</v>
          </cell>
        </row>
        <row r="1002">
          <cell r="A1002">
            <v>1002</v>
          </cell>
          <cell r="C1002" t="str">
            <v>램      프</v>
          </cell>
          <cell r="D1002" t="str">
            <v>FCL30W28.5㎜×236㎜</v>
          </cell>
          <cell r="E1002" t="str">
            <v>EA</v>
          </cell>
          <cell r="H1002">
            <v>807</v>
          </cell>
          <cell r="I1002">
            <v>1300</v>
          </cell>
          <cell r="S1002">
            <v>1300</v>
          </cell>
        </row>
        <row r="1003">
          <cell r="A1003">
            <v>1003</v>
          </cell>
          <cell r="C1003" t="str">
            <v>램      프</v>
          </cell>
          <cell r="D1003" t="str">
            <v>FCL32W28.5㎜×312㎜</v>
          </cell>
          <cell r="E1003" t="str">
            <v>EA</v>
          </cell>
          <cell r="H1003">
            <v>807</v>
          </cell>
          <cell r="I1003">
            <v>1800</v>
          </cell>
          <cell r="S1003">
            <v>1800</v>
          </cell>
        </row>
        <row r="1004">
          <cell r="A1004">
            <v>1004</v>
          </cell>
          <cell r="C1004" t="str">
            <v>램      프</v>
          </cell>
          <cell r="D1004" t="str">
            <v>FCL40W28.5㎜×386㎜</v>
          </cell>
          <cell r="E1004" t="str">
            <v>EA</v>
          </cell>
          <cell r="H1004">
            <v>807</v>
          </cell>
          <cell r="I1004">
            <v>2700</v>
          </cell>
          <cell r="S1004">
            <v>2700</v>
          </cell>
        </row>
        <row r="1005">
          <cell r="A1005">
            <v>1005</v>
          </cell>
          <cell r="B1005" t="str">
            <v>FC</v>
          </cell>
          <cell r="C1005" t="str">
            <v>등 기 구 (Type"FC")</v>
          </cell>
          <cell r="D1005" t="str">
            <v>FC2/32W천정직부</v>
          </cell>
          <cell r="E1005" t="str">
            <v>EA</v>
          </cell>
          <cell r="S1005">
            <v>0</v>
          </cell>
        </row>
        <row r="1006">
          <cell r="A1006">
            <v>1006</v>
          </cell>
          <cell r="B1006" t="str">
            <v>FC-1</v>
          </cell>
          <cell r="C1006" t="str">
            <v>등 기 구 (Type"FC-1")</v>
          </cell>
          <cell r="D1006" t="str">
            <v>FC2/20W천정직부</v>
          </cell>
          <cell r="E1006" t="str">
            <v>EA</v>
          </cell>
          <cell r="S1006">
            <v>0</v>
          </cell>
        </row>
        <row r="1007">
          <cell r="A1007">
            <v>1007</v>
          </cell>
          <cell r="B1007" t="str">
            <v>L</v>
          </cell>
          <cell r="C1007" t="str">
            <v>등 기 구 (Type"L")</v>
          </cell>
          <cell r="D1007" t="str">
            <v>IL100W 망벽부등</v>
          </cell>
          <cell r="E1007" t="str">
            <v>EA</v>
          </cell>
          <cell r="S1007">
            <v>0</v>
          </cell>
        </row>
        <row r="1008">
          <cell r="A1008">
            <v>1008</v>
          </cell>
          <cell r="B1008" t="str">
            <v>B</v>
          </cell>
          <cell r="C1008" t="str">
            <v>등 기 구 (Type"B")</v>
          </cell>
          <cell r="D1008" t="str">
            <v>IL100W 망직부등</v>
          </cell>
          <cell r="E1008" t="str">
            <v>EA</v>
          </cell>
          <cell r="H1008">
            <v>808</v>
          </cell>
          <cell r="I1008">
            <v>220</v>
          </cell>
          <cell r="S1008">
            <v>220</v>
          </cell>
        </row>
        <row r="1009">
          <cell r="A1009">
            <v>1009</v>
          </cell>
          <cell r="B1009" t="str">
            <v>B-1</v>
          </cell>
          <cell r="C1009" t="str">
            <v>등 기 구 (Type"B-1")</v>
          </cell>
          <cell r="D1009" t="str">
            <v>IL100W 펜던트</v>
          </cell>
          <cell r="E1009" t="str">
            <v>EA</v>
          </cell>
          <cell r="H1009">
            <v>808</v>
          </cell>
          <cell r="I1009">
            <v>230</v>
          </cell>
          <cell r="S1009">
            <v>230</v>
          </cell>
        </row>
        <row r="1010">
          <cell r="A1010">
            <v>1010</v>
          </cell>
          <cell r="C1010" t="str">
            <v>램      프</v>
          </cell>
          <cell r="D1010" t="str">
            <v>220V  IL 200W</v>
          </cell>
          <cell r="E1010" t="str">
            <v>EA</v>
          </cell>
          <cell r="H1010">
            <v>808</v>
          </cell>
          <cell r="I1010">
            <v>380</v>
          </cell>
          <cell r="S1010">
            <v>380</v>
          </cell>
        </row>
        <row r="1011">
          <cell r="A1011">
            <v>1011</v>
          </cell>
          <cell r="C1011" t="str">
            <v>등기구</v>
          </cell>
          <cell r="D1011" t="str">
            <v>FL 1/20W 천정매입</v>
          </cell>
          <cell r="E1011" t="str">
            <v>SET</v>
          </cell>
          <cell r="H1011">
            <v>811</v>
          </cell>
          <cell r="I1011">
            <v>12000</v>
          </cell>
          <cell r="S1011">
            <v>12000</v>
          </cell>
          <cell r="V1011" t="str">
            <v>내선</v>
          </cell>
          <cell r="W1011">
            <v>0.25</v>
          </cell>
        </row>
        <row r="1012">
          <cell r="A1012">
            <v>1012</v>
          </cell>
          <cell r="B1012" t="str">
            <v>C</v>
          </cell>
          <cell r="C1012" t="str">
            <v>등 기 구 (Type"C")</v>
          </cell>
          <cell r="D1012" t="str">
            <v>IL60W 직부등</v>
          </cell>
          <cell r="E1012" t="str">
            <v>EA</v>
          </cell>
          <cell r="L1012" t="str">
            <v>(주)광명</v>
          </cell>
          <cell r="M1012">
            <v>6500</v>
          </cell>
          <cell r="N1012" t="str">
            <v>금동조명(주)</v>
          </cell>
          <cell r="O1012">
            <v>4500</v>
          </cell>
          <cell r="P1012" t="str">
            <v>천일전기공업(주)</v>
          </cell>
          <cell r="Q1012">
            <v>6000</v>
          </cell>
          <cell r="S1012">
            <v>4500</v>
          </cell>
        </row>
        <row r="1013">
          <cell r="A1013">
            <v>1013</v>
          </cell>
          <cell r="C1013" t="str">
            <v>텀블러SW</v>
          </cell>
          <cell r="D1013" t="str">
            <v>1로 1구</v>
          </cell>
          <cell r="E1013" t="str">
            <v>EA</v>
          </cell>
          <cell r="H1013">
            <v>892</v>
          </cell>
          <cell r="I1013">
            <v>1400</v>
          </cell>
          <cell r="J1013">
            <v>934</v>
          </cell>
          <cell r="K1013">
            <v>1260</v>
          </cell>
          <cell r="S1013">
            <v>1260</v>
          </cell>
          <cell r="V1013" t="str">
            <v>내선</v>
          </cell>
          <cell r="W1013">
            <v>6.5000000000000002E-2</v>
          </cell>
        </row>
        <row r="1014">
          <cell r="A1014">
            <v>1014</v>
          </cell>
          <cell r="C1014" t="str">
            <v>텀블러SW</v>
          </cell>
          <cell r="D1014" t="str">
            <v>1로 2구</v>
          </cell>
          <cell r="E1014" t="str">
            <v>EA</v>
          </cell>
          <cell r="H1014">
            <v>892</v>
          </cell>
          <cell r="I1014">
            <v>2200</v>
          </cell>
          <cell r="J1014">
            <v>934</v>
          </cell>
          <cell r="K1014">
            <v>1980</v>
          </cell>
          <cell r="S1014">
            <v>1980</v>
          </cell>
          <cell r="V1014" t="str">
            <v>내선</v>
          </cell>
          <cell r="W1014">
            <v>7.8E-2</v>
          </cell>
        </row>
        <row r="1015">
          <cell r="A1015">
            <v>1015</v>
          </cell>
          <cell r="C1015" t="str">
            <v>텀블러SW</v>
          </cell>
          <cell r="D1015" t="str">
            <v>1로 3구</v>
          </cell>
          <cell r="E1015" t="str">
            <v>EA</v>
          </cell>
          <cell r="H1015">
            <v>892</v>
          </cell>
          <cell r="I1015">
            <v>3000</v>
          </cell>
          <cell r="J1015">
            <v>934</v>
          </cell>
          <cell r="K1015">
            <v>2700</v>
          </cell>
          <cell r="S1015">
            <v>2700</v>
          </cell>
          <cell r="V1015" t="str">
            <v>내선</v>
          </cell>
          <cell r="W1015">
            <v>9.0999999999999998E-2</v>
          </cell>
        </row>
        <row r="1016">
          <cell r="A1016">
            <v>1016</v>
          </cell>
          <cell r="C1016" t="str">
            <v>텀블러SW</v>
          </cell>
          <cell r="D1016" t="str">
            <v xml:space="preserve">3로 1구 </v>
          </cell>
          <cell r="E1016" t="str">
            <v>EA</v>
          </cell>
          <cell r="H1016">
            <v>892</v>
          </cell>
          <cell r="I1016">
            <v>1600</v>
          </cell>
          <cell r="J1016">
            <v>934</v>
          </cell>
          <cell r="K1016">
            <v>1440</v>
          </cell>
          <cell r="S1016">
            <v>1440</v>
          </cell>
          <cell r="V1016" t="str">
            <v>내선</v>
          </cell>
          <cell r="W1016">
            <v>8.5000000000000006E-2</v>
          </cell>
        </row>
        <row r="1017">
          <cell r="A1017">
            <v>1017</v>
          </cell>
          <cell r="C1017" t="str">
            <v>텀블러SW</v>
          </cell>
          <cell r="D1017" t="str">
            <v>3로  2구</v>
          </cell>
          <cell r="E1017" t="str">
            <v>EA</v>
          </cell>
          <cell r="H1017">
            <v>892</v>
          </cell>
          <cell r="I1017">
            <v>2600</v>
          </cell>
          <cell r="J1017">
            <v>934</v>
          </cell>
          <cell r="K1017">
            <v>2340</v>
          </cell>
          <cell r="S1017">
            <v>2340</v>
          </cell>
          <cell r="V1017" t="str">
            <v>내선</v>
          </cell>
          <cell r="W1017">
            <v>0.10200000000000001</v>
          </cell>
        </row>
        <row r="1018">
          <cell r="A1018">
            <v>1018</v>
          </cell>
          <cell r="C1018" t="str">
            <v>텀블러SW</v>
          </cell>
          <cell r="D1018" t="str">
            <v>4로 1구(램프)</v>
          </cell>
          <cell r="E1018" t="str">
            <v>EA</v>
          </cell>
          <cell r="J1018">
            <v>935</v>
          </cell>
          <cell r="K1018">
            <v>3187</v>
          </cell>
          <cell r="S1018">
            <v>3187</v>
          </cell>
          <cell r="V1018" t="str">
            <v>내선</v>
          </cell>
          <cell r="W1018">
            <v>0.1</v>
          </cell>
        </row>
        <row r="1019">
          <cell r="A1019">
            <v>1019</v>
          </cell>
          <cell r="C1019" t="str">
            <v>텀블러SW</v>
          </cell>
          <cell r="D1019" t="str">
            <v>4로 2구 (램프)</v>
          </cell>
          <cell r="E1019" t="str">
            <v>EA</v>
          </cell>
          <cell r="J1019">
            <v>934</v>
          </cell>
          <cell r="K1019">
            <v>5538</v>
          </cell>
          <cell r="S1019">
            <v>5538</v>
          </cell>
          <cell r="V1019" t="str">
            <v>내선</v>
          </cell>
          <cell r="W1019">
            <v>0.12</v>
          </cell>
        </row>
        <row r="1020">
          <cell r="A1020">
            <v>1020</v>
          </cell>
          <cell r="C1020" t="str">
            <v>텀블러SW</v>
          </cell>
          <cell r="D1020" t="str">
            <v>3로 1,1로 1구</v>
          </cell>
          <cell r="E1020" t="str">
            <v>EA</v>
          </cell>
          <cell r="S1020">
            <v>0</v>
          </cell>
          <cell r="V1020" t="str">
            <v>내선</v>
          </cell>
          <cell r="W1020">
            <v>0.10200000000000001</v>
          </cell>
        </row>
        <row r="1021">
          <cell r="A1021">
            <v>1021</v>
          </cell>
          <cell r="C1021" t="str">
            <v>텀블러SW</v>
          </cell>
          <cell r="D1021" t="str">
            <v>1로 1구  방폭2P 10A</v>
          </cell>
          <cell r="E1021" t="str">
            <v>EA</v>
          </cell>
          <cell r="S1021">
            <v>0</v>
          </cell>
          <cell r="V1021" t="str">
            <v>내선</v>
          </cell>
          <cell r="W1021">
            <v>0.13</v>
          </cell>
        </row>
        <row r="1022">
          <cell r="A1022">
            <v>1022</v>
          </cell>
          <cell r="S1022" t="str">
            <v/>
          </cell>
        </row>
        <row r="1023">
          <cell r="A1023">
            <v>1023</v>
          </cell>
          <cell r="S1023" t="str">
            <v/>
          </cell>
        </row>
        <row r="1024">
          <cell r="A1024">
            <v>1024</v>
          </cell>
          <cell r="S1024" t="str">
            <v/>
          </cell>
        </row>
        <row r="1025">
          <cell r="A1025">
            <v>1025</v>
          </cell>
          <cell r="C1025" t="str">
            <v>콘센트(접지극부 )</v>
          </cell>
          <cell r="D1025" t="str">
            <v>2구 2P 15A 125V</v>
          </cell>
          <cell r="E1025" t="str">
            <v>EA</v>
          </cell>
          <cell r="J1025">
            <v>934</v>
          </cell>
          <cell r="K1025">
            <v>1820</v>
          </cell>
          <cell r="S1025">
            <v>1820</v>
          </cell>
          <cell r="V1025" t="str">
            <v>내선</v>
          </cell>
          <cell r="W1025">
            <v>9.6000000000000002E-2</v>
          </cell>
        </row>
        <row r="1026">
          <cell r="A1026">
            <v>1026</v>
          </cell>
          <cell r="C1026" t="str">
            <v>콘센트(접지극부 )</v>
          </cell>
          <cell r="D1026" t="str">
            <v>1구 2P 15A 250V</v>
          </cell>
          <cell r="E1026" t="str">
            <v>EA</v>
          </cell>
          <cell r="H1026">
            <v>892</v>
          </cell>
          <cell r="I1026">
            <v>1600</v>
          </cell>
          <cell r="J1026">
            <v>934</v>
          </cell>
          <cell r="K1026">
            <v>1440</v>
          </cell>
          <cell r="S1026">
            <v>1440</v>
          </cell>
          <cell r="V1026" t="str">
            <v>내선</v>
          </cell>
          <cell r="W1026">
            <v>0.08</v>
          </cell>
        </row>
        <row r="1027">
          <cell r="A1027">
            <v>1027</v>
          </cell>
          <cell r="C1027" t="str">
            <v>콘센트(접지극부 )</v>
          </cell>
          <cell r="D1027" t="str">
            <v>2구 2P 15A 250V</v>
          </cell>
          <cell r="E1027" t="str">
            <v>EA</v>
          </cell>
          <cell r="H1027">
            <v>892</v>
          </cell>
          <cell r="I1027">
            <v>2030</v>
          </cell>
          <cell r="J1027">
            <v>934</v>
          </cell>
          <cell r="K1027">
            <v>1820</v>
          </cell>
          <cell r="S1027">
            <v>1820</v>
          </cell>
          <cell r="V1027" t="str">
            <v>내선</v>
          </cell>
          <cell r="W1027">
            <v>9.6000000000000002E-2</v>
          </cell>
        </row>
        <row r="1028">
          <cell r="A1028">
            <v>1028</v>
          </cell>
          <cell r="C1028" t="str">
            <v>콘센트(접지극부 )</v>
          </cell>
          <cell r="D1028" t="str">
            <v>2구 2P 30A 250V</v>
          </cell>
          <cell r="E1028" t="str">
            <v>EA</v>
          </cell>
          <cell r="S1028">
            <v>0</v>
          </cell>
          <cell r="V1028" t="str">
            <v>내선</v>
          </cell>
          <cell r="W1028">
            <v>0.13200000000000001</v>
          </cell>
        </row>
        <row r="1029">
          <cell r="A1029">
            <v>1029</v>
          </cell>
          <cell r="C1029" t="str">
            <v>콘센트(접지극부 )</v>
          </cell>
          <cell r="D1029" t="str">
            <v>3P 20A 250V</v>
          </cell>
          <cell r="E1029" t="str">
            <v>EA</v>
          </cell>
          <cell r="S1029">
            <v>0</v>
          </cell>
          <cell r="V1029" t="str">
            <v>내선</v>
          </cell>
          <cell r="W1029">
            <v>9.5000000000000001E-2</v>
          </cell>
        </row>
        <row r="1030">
          <cell r="A1030">
            <v>1030</v>
          </cell>
          <cell r="C1030" t="str">
            <v>콘센트(접지극부 )</v>
          </cell>
          <cell r="D1030" t="str">
            <v>3P 30A 250V</v>
          </cell>
          <cell r="E1030" t="str">
            <v>EA</v>
          </cell>
          <cell r="S1030">
            <v>0</v>
          </cell>
          <cell r="V1030" t="str">
            <v>내선</v>
          </cell>
          <cell r="W1030">
            <v>0.14499999999999999</v>
          </cell>
        </row>
        <row r="1031">
          <cell r="A1031">
            <v>1031</v>
          </cell>
          <cell r="C1031" t="str">
            <v>콘센트(접지극부 )</v>
          </cell>
          <cell r="D1031" t="str">
            <v>1구방폭 2P 15A 250V</v>
          </cell>
          <cell r="E1031" t="str">
            <v>EA</v>
          </cell>
          <cell r="S1031">
            <v>0</v>
          </cell>
          <cell r="V1031" t="str">
            <v>내선</v>
          </cell>
          <cell r="W1031">
            <v>0.16</v>
          </cell>
        </row>
        <row r="1032">
          <cell r="A1032">
            <v>1032</v>
          </cell>
          <cell r="C1032" t="str">
            <v>콘센트(접지극부 )</v>
          </cell>
          <cell r="D1032" t="str">
            <v>1구방우 2P 15A 250V</v>
          </cell>
          <cell r="E1032" t="str">
            <v>EA</v>
          </cell>
          <cell r="H1032">
            <v>892</v>
          </cell>
          <cell r="I1032">
            <v>2790</v>
          </cell>
          <cell r="J1032">
            <v>934</v>
          </cell>
          <cell r="K1032">
            <v>2510</v>
          </cell>
          <cell r="S1032">
            <v>2510</v>
          </cell>
          <cell r="V1032" t="str">
            <v>내선</v>
          </cell>
          <cell r="W1032">
            <v>0.08</v>
          </cell>
        </row>
        <row r="1033">
          <cell r="A1033">
            <v>1033</v>
          </cell>
          <cell r="S1033" t="str">
            <v/>
          </cell>
        </row>
        <row r="1034">
          <cell r="A1034">
            <v>1034</v>
          </cell>
          <cell r="S1034" t="str">
            <v/>
          </cell>
        </row>
        <row r="1035">
          <cell r="A1035">
            <v>1035</v>
          </cell>
          <cell r="S1035" t="str">
            <v/>
          </cell>
        </row>
        <row r="1036">
          <cell r="A1036">
            <v>1036</v>
          </cell>
          <cell r="C1036" t="str">
            <v>전극식레벨</v>
          </cell>
          <cell r="D1036" t="str">
            <v>3선 3극</v>
          </cell>
          <cell r="E1036" t="str">
            <v>set</v>
          </cell>
          <cell r="H1036">
            <v>880</v>
          </cell>
          <cell r="I1036">
            <v>40000</v>
          </cell>
          <cell r="S1036">
            <v>40000</v>
          </cell>
          <cell r="V1036" t="str">
            <v>내선</v>
          </cell>
          <cell r="W1036">
            <v>0.8</v>
          </cell>
        </row>
        <row r="1037">
          <cell r="A1037">
            <v>1037</v>
          </cell>
          <cell r="C1037" t="str">
            <v>전극식레벨</v>
          </cell>
          <cell r="D1037" t="str">
            <v>4선 4극</v>
          </cell>
          <cell r="E1037" t="str">
            <v>set</v>
          </cell>
          <cell r="H1037">
            <v>880</v>
          </cell>
          <cell r="I1037">
            <v>85000</v>
          </cell>
          <cell r="S1037">
            <v>85000</v>
          </cell>
          <cell r="V1037" t="str">
            <v>내선</v>
          </cell>
          <cell r="W1037">
            <v>0.85</v>
          </cell>
        </row>
        <row r="1038">
          <cell r="A1038">
            <v>1038</v>
          </cell>
          <cell r="C1038" t="str">
            <v>전극식레벨</v>
          </cell>
          <cell r="D1038" t="str">
            <v>5선 5극</v>
          </cell>
          <cell r="E1038" t="str">
            <v>set</v>
          </cell>
          <cell r="H1038">
            <v>880</v>
          </cell>
          <cell r="I1038">
            <v>100000</v>
          </cell>
          <cell r="S1038">
            <v>100000</v>
          </cell>
          <cell r="V1038" t="str">
            <v>내선</v>
          </cell>
          <cell r="W1038">
            <v>1.1000000000000001</v>
          </cell>
        </row>
        <row r="1039">
          <cell r="A1039">
            <v>1039</v>
          </cell>
          <cell r="S1039" t="str">
            <v/>
          </cell>
        </row>
        <row r="1040">
          <cell r="A1040">
            <v>1040</v>
          </cell>
          <cell r="C1040" t="str">
            <v>UPS</v>
          </cell>
          <cell r="D1040" t="str">
            <v>3상 15kw</v>
          </cell>
          <cell r="E1040" t="str">
            <v>대</v>
          </cell>
          <cell r="L1040" t="str">
            <v>삼덕전기</v>
          </cell>
          <cell r="M1040">
            <v>17465471</v>
          </cell>
          <cell r="S1040">
            <v>17465471</v>
          </cell>
        </row>
        <row r="1041">
          <cell r="A1041">
            <v>1041</v>
          </cell>
          <cell r="C1041" t="str">
            <v>저압큐비클</v>
          </cell>
          <cell r="E1041" t="str">
            <v>면</v>
          </cell>
          <cell r="L1041" t="str">
            <v>삼덕전기</v>
          </cell>
          <cell r="M1041">
            <v>1747199</v>
          </cell>
          <cell r="S1041">
            <v>1747199</v>
          </cell>
          <cell r="V1041" t="str">
            <v>프전</v>
          </cell>
          <cell r="W1041">
            <v>5.6</v>
          </cell>
          <cell r="X1041" t="str">
            <v>보인</v>
          </cell>
          <cell r="Y1041">
            <v>3.6</v>
          </cell>
          <cell r="Z1041" t="str">
            <v>비계</v>
          </cell>
          <cell r="AA1041">
            <v>2</v>
          </cell>
          <cell r="AB1041" t="str">
            <v>기계설치공</v>
          </cell>
          <cell r="AC1041">
            <v>1</v>
          </cell>
        </row>
        <row r="1042">
          <cell r="A1042">
            <v>1042</v>
          </cell>
          <cell r="C1042" t="str">
            <v>특고큐비클</v>
          </cell>
          <cell r="D1042" t="str">
            <v>1200W×2400H×2400D이하</v>
          </cell>
          <cell r="E1042" t="str">
            <v>면</v>
          </cell>
          <cell r="S1042">
            <v>0</v>
          </cell>
          <cell r="V1042" t="str">
            <v>프전</v>
          </cell>
          <cell r="W1042">
            <v>6.2</v>
          </cell>
          <cell r="X1042" t="str">
            <v>보인</v>
          </cell>
          <cell r="Y1042">
            <v>4.4000000000000004</v>
          </cell>
          <cell r="Z1042" t="str">
            <v>비계</v>
          </cell>
          <cell r="AA1042">
            <v>4.4000000000000004</v>
          </cell>
          <cell r="AB1042" t="str">
            <v>기계설치공</v>
          </cell>
          <cell r="AC1042">
            <v>1.1000000000000001</v>
          </cell>
        </row>
        <row r="1043">
          <cell r="A1043">
            <v>1043</v>
          </cell>
          <cell r="C1043" t="str">
            <v>변환기</v>
          </cell>
          <cell r="E1043" t="str">
            <v>대</v>
          </cell>
          <cell r="S1043">
            <v>0</v>
          </cell>
          <cell r="V1043" t="str">
            <v>계장</v>
          </cell>
          <cell r="W1043">
            <v>0.25</v>
          </cell>
          <cell r="AB1043" t="str">
            <v>기계설치공</v>
          </cell>
        </row>
        <row r="1044">
          <cell r="A1044">
            <v>1044</v>
          </cell>
          <cell r="S1044" t="str">
            <v/>
          </cell>
          <cell r="AB1044" t="str">
            <v>비계</v>
          </cell>
        </row>
        <row r="1045">
          <cell r="A1045">
            <v>1045</v>
          </cell>
          <cell r="S1045" t="str">
            <v/>
          </cell>
        </row>
        <row r="1046">
          <cell r="A1046">
            <v>1046</v>
          </cell>
          <cell r="C1046" t="str">
            <v>전화용 콘센트</v>
          </cell>
          <cell r="D1046" t="str">
            <v>체신부규격4P</v>
          </cell>
          <cell r="E1046" t="str">
            <v>EA</v>
          </cell>
          <cell r="H1046">
            <v>892</v>
          </cell>
          <cell r="I1046">
            <v>1200</v>
          </cell>
          <cell r="J1046">
            <v>934</v>
          </cell>
          <cell r="K1046">
            <v>1080</v>
          </cell>
          <cell r="S1046">
            <v>1080</v>
          </cell>
          <cell r="V1046" t="str">
            <v>통내</v>
          </cell>
          <cell r="W1046">
            <v>7.0000000000000007E-2</v>
          </cell>
        </row>
        <row r="1047">
          <cell r="A1047">
            <v>1047</v>
          </cell>
          <cell r="C1047" t="str">
            <v>국선단자함(국10P+사20P)</v>
          </cell>
          <cell r="D1047" t="str">
            <v>SUS (300×400×100)</v>
          </cell>
          <cell r="E1047" t="str">
            <v>대</v>
          </cell>
          <cell r="H1047">
            <v>959</v>
          </cell>
          <cell r="I1047">
            <v>75000</v>
          </cell>
          <cell r="J1047">
            <v>963</v>
          </cell>
          <cell r="K1047">
            <v>77000</v>
          </cell>
          <cell r="S1047">
            <v>75000</v>
          </cell>
          <cell r="V1047" t="str">
            <v>통내</v>
          </cell>
          <cell r="W1047">
            <v>0.65</v>
          </cell>
          <cell r="X1047" t="str">
            <v>보인</v>
          </cell>
          <cell r="Y1047">
            <v>0.45</v>
          </cell>
        </row>
        <row r="1048">
          <cell r="A1048">
            <v>1048</v>
          </cell>
          <cell r="C1048" t="str">
            <v>국선단자함(국20P+사40P)</v>
          </cell>
          <cell r="D1048" t="str">
            <v>SUS (500×450×100)</v>
          </cell>
          <cell r="E1048" t="str">
            <v>대</v>
          </cell>
          <cell r="H1048">
            <v>959</v>
          </cell>
          <cell r="I1048">
            <v>130000</v>
          </cell>
          <cell r="J1048">
            <v>963</v>
          </cell>
          <cell r="K1048">
            <v>142000</v>
          </cell>
          <cell r="S1048">
            <v>130000</v>
          </cell>
          <cell r="V1048" t="str">
            <v>통내</v>
          </cell>
          <cell r="W1048">
            <v>0.69</v>
          </cell>
          <cell r="X1048" t="str">
            <v>보인</v>
          </cell>
          <cell r="Y1048">
            <v>0.49</v>
          </cell>
        </row>
        <row r="1049">
          <cell r="A1049">
            <v>1049</v>
          </cell>
          <cell r="C1049" t="str">
            <v>중간단자함 (10P)</v>
          </cell>
          <cell r="D1049" t="str">
            <v>연강(200×320×80)</v>
          </cell>
          <cell r="E1049" t="str">
            <v>대</v>
          </cell>
          <cell r="H1049">
            <v>959</v>
          </cell>
          <cell r="I1049">
            <v>11000</v>
          </cell>
          <cell r="J1049">
            <v>963</v>
          </cell>
          <cell r="K1049">
            <v>11500</v>
          </cell>
          <cell r="S1049">
            <v>11000</v>
          </cell>
          <cell r="V1049" t="str">
            <v>통내</v>
          </cell>
          <cell r="W1049">
            <v>0.65</v>
          </cell>
          <cell r="X1049" t="str">
            <v>보인</v>
          </cell>
          <cell r="Y1049">
            <v>0.45</v>
          </cell>
        </row>
        <row r="1050">
          <cell r="A1050">
            <v>1050</v>
          </cell>
          <cell r="C1050" t="str">
            <v>방송단자함 (10P)</v>
          </cell>
          <cell r="D1050" t="str">
            <v>연강(240×400×80)</v>
          </cell>
          <cell r="E1050" t="str">
            <v>대</v>
          </cell>
          <cell r="H1050">
            <v>959</v>
          </cell>
          <cell r="I1050">
            <v>11000</v>
          </cell>
          <cell r="J1050">
            <v>963</v>
          </cell>
          <cell r="K1050">
            <v>11500</v>
          </cell>
          <cell r="S1050">
            <v>11000</v>
          </cell>
          <cell r="V1050" t="str">
            <v>통내</v>
          </cell>
          <cell r="W1050">
            <v>0.65</v>
          </cell>
          <cell r="X1050" t="str">
            <v>보인</v>
          </cell>
          <cell r="Y1050">
            <v>0.45</v>
          </cell>
        </row>
        <row r="1051">
          <cell r="A1051">
            <v>1051</v>
          </cell>
          <cell r="S1051" t="str">
            <v/>
          </cell>
        </row>
        <row r="1052">
          <cell r="A1052">
            <v>1052</v>
          </cell>
          <cell r="S1052" t="str">
            <v/>
          </cell>
        </row>
        <row r="1053">
          <cell r="A1053">
            <v>1053</v>
          </cell>
          <cell r="S1053" t="str">
            <v/>
          </cell>
        </row>
        <row r="1054">
          <cell r="A1054">
            <v>1054</v>
          </cell>
          <cell r="C1054" t="str">
            <v>TV유니트</v>
          </cell>
          <cell r="D1054" t="str">
            <v>단말 75Ω</v>
          </cell>
          <cell r="E1054" t="str">
            <v>EA</v>
          </cell>
          <cell r="H1054">
            <v>892</v>
          </cell>
          <cell r="I1054">
            <v>2600</v>
          </cell>
          <cell r="J1054">
            <v>934</v>
          </cell>
          <cell r="K1054">
            <v>2340</v>
          </cell>
          <cell r="S1054">
            <v>2340</v>
          </cell>
          <cell r="V1054" t="str">
            <v>통내</v>
          </cell>
          <cell r="W1054">
            <v>0.08</v>
          </cell>
        </row>
        <row r="1055">
          <cell r="A1055">
            <v>1055</v>
          </cell>
          <cell r="C1055" t="str">
            <v>TV유니트</v>
          </cell>
          <cell r="D1055" t="str">
            <v>직열용 75Ω</v>
          </cell>
          <cell r="E1055" t="str">
            <v>EA</v>
          </cell>
          <cell r="H1055">
            <v>892</v>
          </cell>
          <cell r="I1055">
            <v>2730</v>
          </cell>
          <cell r="J1055">
            <v>934</v>
          </cell>
          <cell r="K1055">
            <v>2450</v>
          </cell>
          <cell r="S1055">
            <v>2450</v>
          </cell>
          <cell r="V1055" t="str">
            <v>통내</v>
          </cell>
          <cell r="W1055">
            <v>0.08</v>
          </cell>
        </row>
        <row r="1056">
          <cell r="A1056">
            <v>1056</v>
          </cell>
          <cell r="C1056" t="str">
            <v>TV유니트</v>
          </cell>
          <cell r="D1056" t="str">
            <v>병렬용 75Ω</v>
          </cell>
          <cell r="E1056" t="str">
            <v>EA</v>
          </cell>
          <cell r="H1056">
            <v>892</v>
          </cell>
          <cell r="I1056">
            <v>2860</v>
          </cell>
          <cell r="J1056">
            <v>934</v>
          </cell>
          <cell r="K1056">
            <v>2570</v>
          </cell>
          <cell r="S1056">
            <v>2570</v>
          </cell>
          <cell r="V1056" t="str">
            <v>통내</v>
          </cell>
          <cell r="W1056">
            <v>0.08</v>
          </cell>
        </row>
        <row r="1057">
          <cell r="A1057">
            <v>1057</v>
          </cell>
          <cell r="S1057" t="str">
            <v/>
          </cell>
        </row>
        <row r="1058">
          <cell r="A1058">
            <v>1058</v>
          </cell>
          <cell r="S1058" t="str">
            <v/>
          </cell>
        </row>
        <row r="1059">
          <cell r="A1059">
            <v>1059</v>
          </cell>
          <cell r="S1059" t="str">
            <v/>
          </cell>
        </row>
        <row r="1060">
          <cell r="A1060">
            <v>1060</v>
          </cell>
          <cell r="C1060" t="str">
            <v>공청용안테나</v>
          </cell>
          <cell r="D1060" t="str">
            <v>SUS VHF LOW CH</v>
          </cell>
          <cell r="E1060" t="str">
            <v>SET</v>
          </cell>
          <cell r="H1060">
            <v>936</v>
          </cell>
          <cell r="I1060">
            <v>160000</v>
          </cell>
          <cell r="J1060">
            <v>976</v>
          </cell>
          <cell r="K1060">
            <v>170000</v>
          </cell>
          <cell r="S1060">
            <v>160000</v>
          </cell>
          <cell r="V1060" t="str">
            <v>무선안테나공</v>
          </cell>
          <cell r="W1060">
            <v>0.5</v>
          </cell>
          <cell r="X1060" t="str">
            <v>통설</v>
          </cell>
          <cell r="Y1060">
            <v>0.68</v>
          </cell>
        </row>
        <row r="1061">
          <cell r="A1061">
            <v>1061</v>
          </cell>
          <cell r="C1061" t="str">
            <v>공청용안테나</v>
          </cell>
          <cell r="D1061" t="str">
            <v>SUS VHF HIGH CH</v>
          </cell>
          <cell r="E1061" t="str">
            <v>SET</v>
          </cell>
          <cell r="H1061">
            <v>936</v>
          </cell>
          <cell r="I1061">
            <v>150000</v>
          </cell>
          <cell r="J1061">
            <v>976</v>
          </cell>
          <cell r="K1061">
            <v>160000</v>
          </cell>
          <cell r="S1061">
            <v>150000</v>
          </cell>
          <cell r="V1061" t="str">
            <v>무선안테나공</v>
          </cell>
          <cell r="W1061">
            <v>0.5</v>
          </cell>
          <cell r="X1061" t="str">
            <v>통설</v>
          </cell>
          <cell r="Y1061">
            <v>0.68</v>
          </cell>
        </row>
        <row r="1062">
          <cell r="A1062">
            <v>1062</v>
          </cell>
          <cell r="C1062" t="str">
            <v>공청용안테나</v>
          </cell>
          <cell r="D1062" t="str">
            <v>SUS UHF CH</v>
          </cell>
          <cell r="E1062" t="str">
            <v>SET</v>
          </cell>
          <cell r="H1062">
            <v>936</v>
          </cell>
          <cell r="I1062">
            <v>140000</v>
          </cell>
          <cell r="J1062">
            <v>976</v>
          </cell>
          <cell r="K1062">
            <v>150000</v>
          </cell>
          <cell r="S1062">
            <v>140000</v>
          </cell>
          <cell r="V1062" t="str">
            <v>무선안테나공</v>
          </cell>
          <cell r="W1062">
            <v>0.5</v>
          </cell>
          <cell r="X1062" t="str">
            <v>통설</v>
          </cell>
          <cell r="Y1062">
            <v>0.68</v>
          </cell>
        </row>
        <row r="1063">
          <cell r="A1063">
            <v>1063</v>
          </cell>
          <cell r="C1063" t="str">
            <v>공청용혼합기</v>
          </cell>
          <cell r="D1063" t="str">
            <v>VHF H/L</v>
          </cell>
          <cell r="E1063" t="str">
            <v>EA</v>
          </cell>
          <cell r="H1063">
            <v>936</v>
          </cell>
          <cell r="I1063">
            <v>6000</v>
          </cell>
          <cell r="J1063">
            <v>976</v>
          </cell>
          <cell r="K1063">
            <v>6000</v>
          </cell>
          <cell r="S1063">
            <v>6000</v>
          </cell>
        </row>
        <row r="1064">
          <cell r="A1064">
            <v>1064</v>
          </cell>
          <cell r="C1064" t="str">
            <v>공청용혼합기</v>
          </cell>
          <cell r="D1064" t="str">
            <v>VHF U/V</v>
          </cell>
          <cell r="E1064" t="str">
            <v>EA</v>
          </cell>
          <cell r="H1064">
            <v>936</v>
          </cell>
          <cell r="I1064">
            <v>6000</v>
          </cell>
          <cell r="J1064">
            <v>976</v>
          </cell>
          <cell r="K1064">
            <v>6000</v>
          </cell>
          <cell r="S1064">
            <v>6000</v>
          </cell>
        </row>
        <row r="1065">
          <cell r="A1065">
            <v>1065</v>
          </cell>
          <cell r="C1065" t="str">
            <v>공청용증폭기</v>
          </cell>
          <cell r="D1065" t="str">
            <v>U/V 겸용</v>
          </cell>
          <cell r="E1065" t="str">
            <v>EA</v>
          </cell>
          <cell r="H1065">
            <v>936</v>
          </cell>
          <cell r="I1065">
            <v>65000</v>
          </cell>
          <cell r="J1065">
            <v>976</v>
          </cell>
          <cell r="K1065">
            <v>65000</v>
          </cell>
          <cell r="S1065">
            <v>65000</v>
          </cell>
          <cell r="V1065" t="str">
            <v>무선안테나공</v>
          </cell>
          <cell r="W1065">
            <v>0.78</v>
          </cell>
          <cell r="X1065" t="str">
            <v>통내</v>
          </cell>
          <cell r="Y1065">
            <v>0.31</v>
          </cell>
        </row>
        <row r="1066">
          <cell r="A1066">
            <v>1066</v>
          </cell>
          <cell r="C1066" t="str">
            <v>분배기 쌍방향</v>
          </cell>
          <cell r="D1066" t="str">
            <v>2분배</v>
          </cell>
          <cell r="E1066" t="str">
            <v>EA</v>
          </cell>
          <cell r="H1066">
            <v>936</v>
          </cell>
          <cell r="I1066">
            <v>7000</v>
          </cell>
          <cell r="J1066">
            <v>976</v>
          </cell>
          <cell r="K1066">
            <v>7000</v>
          </cell>
          <cell r="S1066">
            <v>7000</v>
          </cell>
          <cell r="V1066" t="str">
            <v>무선안테나공</v>
          </cell>
          <cell r="W1066">
            <v>0.06</v>
          </cell>
          <cell r="X1066" t="str">
            <v>통내</v>
          </cell>
          <cell r="Y1066">
            <v>0.16</v>
          </cell>
        </row>
        <row r="1067">
          <cell r="A1067">
            <v>1067</v>
          </cell>
          <cell r="S1067" t="str">
            <v/>
          </cell>
        </row>
        <row r="1068">
          <cell r="A1068">
            <v>1068</v>
          </cell>
          <cell r="S1068" t="str">
            <v/>
          </cell>
        </row>
        <row r="1069">
          <cell r="A1069">
            <v>1069</v>
          </cell>
          <cell r="C1069" t="str">
            <v>TV증폭기함</v>
          </cell>
          <cell r="D1069" t="str">
            <v>SUS (200×300×150)</v>
          </cell>
          <cell r="E1069" t="str">
            <v>대</v>
          </cell>
          <cell r="I1069">
            <v>22000</v>
          </cell>
          <cell r="S1069">
            <v>22000</v>
          </cell>
          <cell r="V1069" t="str">
            <v>내선</v>
          </cell>
          <cell r="W1069">
            <v>0.66</v>
          </cell>
        </row>
        <row r="1070">
          <cell r="A1070">
            <v>1070</v>
          </cell>
          <cell r="S1070" t="str">
            <v/>
          </cell>
        </row>
        <row r="1071">
          <cell r="A1071">
            <v>1071</v>
          </cell>
          <cell r="C1071" t="str">
            <v>AMP</v>
          </cell>
          <cell r="D1071" t="str">
            <v/>
          </cell>
          <cell r="E1071" t="str">
            <v>면</v>
          </cell>
          <cell r="S1071">
            <v>0</v>
          </cell>
          <cell r="V1071" t="str">
            <v>통내</v>
          </cell>
          <cell r="W1071">
            <v>9</v>
          </cell>
        </row>
        <row r="1072">
          <cell r="A1072">
            <v>1072</v>
          </cell>
          <cell r="C1072" t="str">
            <v>스피커</v>
          </cell>
          <cell r="D1072" t="str">
            <v>3W  천정형</v>
          </cell>
          <cell r="E1072" t="str">
            <v>EA</v>
          </cell>
          <cell r="H1072">
            <v>935</v>
          </cell>
          <cell r="I1072">
            <v>22000</v>
          </cell>
          <cell r="J1072">
            <v>968</v>
          </cell>
          <cell r="K1072">
            <v>15000</v>
          </cell>
          <cell r="S1072">
            <v>15000</v>
          </cell>
          <cell r="V1072" t="str">
            <v>통내</v>
          </cell>
          <cell r="W1072">
            <v>0.45</v>
          </cell>
        </row>
        <row r="1073">
          <cell r="A1073">
            <v>1073</v>
          </cell>
          <cell r="C1073" t="str">
            <v>스피커</v>
          </cell>
          <cell r="D1073" t="str">
            <v>3W 벽부형</v>
          </cell>
          <cell r="E1073" t="str">
            <v>EA</v>
          </cell>
          <cell r="H1073">
            <v>935</v>
          </cell>
          <cell r="I1073">
            <v>15400</v>
          </cell>
          <cell r="J1073">
            <v>968</v>
          </cell>
          <cell r="K1073">
            <v>15000</v>
          </cell>
          <cell r="S1073">
            <v>15000</v>
          </cell>
          <cell r="V1073" t="str">
            <v>통내</v>
          </cell>
          <cell r="W1073">
            <v>0.45</v>
          </cell>
        </row>
        <row r="1074">
          <cell r="A1074">
            <v>1074</v>
          </cell>
          <cell r="C1074" t="str">
            <v>스피커</v>
          </cell>
          <cell r="D1074" t="str">
            <v>20W옥외칼럼형</v>
          </cell>
          <cell r="E1074" t="str">
            <v>EA</v>
          </cell>
          <cell r="H1074">
            <v>935</v>
          </cell>
          <cell r="I1074">
            <v>49500</v>
          </cell>
          <cell r="J1074">
            <v>968</v>
          </cell>
          <cell r="K1074">
            <v>50000</v>
          </cell>
          <cell r="S1074">
            <v>49500</v>
          </cell>
          <cell r="V1074" t="str">
            <v>통내</v>
          </cell>
          <cell r="W1074">
            <v>1</v>
          </cell>
        </row>
        <row r="1075">
          <cell r="A1075">
            <v>1075</v>
          </cell>
          <cell r="C1075" t="str">
            <v>스피커</v>
          </cell>
          <cell r="D1075" t="str">
            <v xml:space="preserve">HORN형 10W  </v>
          </cell>
          <cell r="E1075" t="str">
            <v>EA</v>
          </cell>
          <cell r="H1075">
            <v>935</v>
          </cell>
          <cell r="I1075">
            <v>44000</v>
          </cell>
          <cell r="J1075">
            <v>968</v>
          </cell>
          <cell r="K1075">
            <v>13000</v>
          </cell>
          <cell r="S1075">
            <v>13000</v>
          </cell>
          <cell r="V1075" t="str">
            <v>통내</v>
          </cell>
          <cell r="W1075">
            <v>0.6</v>
          </cell>
        </row>
        <row r="1076">
          <cell r="A1076">
            <v>1076</v>
          </cell>
          <cell r="C1076" t="str">
            <v>스피커</v>
          </cell>
          <cell r="D1076" t="str">
            <v xml:space="preserve">HORN형 30W  </v>
          </cell>
          <cell r="E1076" t="str">
            <v>EA</v>
          </cell>
          <cell r="H1076">
            <v>935</v>
          </cell>
          <cell r="I1076">
            <v>88000</v>
          </cell>
          <cell r="J1076">
            <v>968</v>
          </cell>
          <cell r="K1076">
            <v>50000</v>
          </cell>
          <cell r="S1076">
            <v>50000</v>
          </cell>
          <cell r="V1076" t="str">
            <v>통내</v>
          </cell>
          <cell r="W1076">
            <v>1</v>
          </cell>
        </row>
        <row r="1077">
          <cell r="A1077">
            <v>1077</v>
          </cell>
          <cell r="S1077" t="str">
            <v/>
          </cell>
        </row>
        <row r="1078">
          <cell r="A1078">
            <v>1078</v>
          </cell>
          <cell r="C1078" t="str">
            <v>상호식인터폰</v>
          </cell>
          <cell r="D1078" t="str">
            <v>10회로용 벽괘형</v>
          </cell>
          <cell r="E1078" t="str">
            <v>EA</v>
          </cell>
          <cell r="H1078">
            <v>954</v>
          </cell>
          <cell r="I1078">
            <v>22000</v>
          </cell>
          <cell r="J1078">
            <v>962</v>
          </cell>
          <cell r="K1078">
            <v>24000</v>
          </cell>
          <cell r="S1078">
            <v>22000</v>
          </cell>
        </row>
        <row r="1079">
          <cell r="A1079">
            <v>1079</v>
          </cell>
          <cell r="C1079" t="str">
            <v>전자연립식인터폰</v>
          </cell>
          <cell r="D1079" t="str">
            <v>30회로용</v>
          </cell>
          <cell r="E1079" t="str">
            <v>EA</v>
          </cell>
          <cell r="S1079">
            <v>0</v>
          </cell>
          <cell r="V1079" t="str">
            <v>통내</v>
          </cell>
          <cell r="W1079">
            <v>1</v>
          </cell>
          <cell r="X1079" t="str">
            <v>통설</v>
          </cell>
          <cell r="Y1079">
            <v>2</v>
          </cell>
        </row>
        <row r="1080">
          <cell r="A1080">
            <v>1080</v>
          </cell>
          <cell r="S1080" t="str">
            <v/>
          </cell>
        </row>
        <row r="1081">
          <cell r="A1081">
            <v>1081</v>
          </cell>
          <cell r="S1081" t="str">
            <v/>
          </cell>
        </row>
        <row r="1082">
          <cell r="A1082">
            <v>1082</v>
          </cell>
          <cell r="C1082" t="str">
            <v>차동식 스포트감지기</v>
          </cell>
          <cell r="D1082" t="str">
            <v>2종</v>
          </cell>
          <cell r="E1082" t="str">
            <v>EA</v>
          </cell>
          <cell r="H1082">
            <v>698</v>
          </cell>
          <cell r="I1082">
            <v>5000</v>
          </cell>
          <cell r="J1082">
            <v>989</v>
          </cell>
          <cell r="K1082">
            <v>5000</v>
          </cell>
          <cell r="S1082">
            <v>5000</v>
          </cell>
          <cell r="V1082" t="str">
            <v>내선</v>
          </cell>
          <cell r="W1082">
            <v>0.14300000000000002</v>
          </cell>
        </row>
        <row r="1083">
          <cell r="A1083">
            <v>1083</v>
          </cell>
          <cell r="C1083" t="str">
            <v>광전식 연감지기</v>
          </cell>
          <cell r="D1083" t="str">
            <v>비축적형</v>
          </cell>
          <cell r="E1083" t="str">
            <v>EA</v>
          </cell>
          <cell r="H1083">
            <v>698</v>
          </cell>
          <cell r="I1083">
            <v>20000</v>
          </cell>
          <cell r="J1083">
            <v>989</v>
          </cell>
          <cell r="K1083">
            <v>18000</v>
          </cell>
          <cell r="S1083">
            <v>18000</v>
          </cell>
          <cell r="V1083" t="str">
            <v>내선</v>
          </cell>
          <cell r="W1083">
            <v>0.14300000000000002</v>
          </cell>
        </row>
        <row r="1084">
          <cell r="A1084">
            <v>1084</v>
          </cell>
          <cell r="C1084" t="str">
            <v>정온식감지기</v>
          </cell>
          <cell r="D1084" t="str">
            <v>1종</v>
          </cell>
          <cell r="E1084" t="str">
            <v>EA</v>
          </cell>
          <cell r="H1084">
            <v>698</v>
          </cell>
          <cell r="I1084">
            <v>5000</v>
          </cell>
          <cell r="J1084">
            <v>989</v>
          </cell>
          <cell r="K1084">
            <v>5000</v>
          </cell>
          <cell r="S1084">
            <v>5000</v>
          </cell>
          <cell r="V1084" t="str">
            <v>내선</v>
          </cell>
          <cell r="W1084">
            <v>0.14300000000000002</v>
          </cell>
        </row>
        <row r="1085">
          <cell r="A1085">
            <v>1085</v>
          </cell>
          <cell r="C1085" t="str">
            <v>유도등</v>
          </cell>
          <cell r="D1085" t="str">
            <v>통로유도등</v>
          </cell>
          <cell r="E1085" t="str">
            <v>EA</v>
          </cell>
          <cell r="H1085">
            <v>698</v>
          </cell>
          <cell r="I1085">
            <v>35000</v>
          </cell>
          <cell r="J1085">
            <v>989</v>
          </cell>
          <cell r="K1085">
            <v>32000</v>
          </cell>
          <cell r="S1085">
            <v>32000</v>
          </cell>
          <cell r="V1085" t="str">
            <v>내선</v>
          </cell>
          <cell r="W1085">
            <v>0.79500000000000004</v>
          </cell>
        </row>
        <row r="1086">
          <cell r="A1086">
            <v>1086</v>
          </cell>
          <cell r="C1086" t="str">
            <v>유도등</v>
          </cell>
          <cell r="D1086" t="str">
            <v>피난구유도등(소형)</v>
          </cell>
          <cell r="E1086" t="str">
            <v>EA</v>
          </cell>
          <cell r="H1086">
            <v>698</v>
          </cell>
          <cell r="I1086">
            <v>35000</v>
          </cell>
          <cell r="J1086">
            <v>989</v>
          </cell>
          <cell r="K1086">
            <v>30000</v>
          </cell>
          <cell r="S1086">
            <v>30000</v>
          </cell>
          <cell r="V1086" t="str">
            <v>내선</v>
          </cell>
          <cell r="W1086">
            <v>0.13500000000000001</v>
          </cell>
        </row>
        <row r="1087">
          <cell r="A1087">
            <v>1087</v>
          </cell>
          <cell r="C1087" t="str">
            <v>수동발신기</v>
          </cell>
          <cell r="E1087" t="str">
            <v>EA</v>
          </cell>
          <cell r="H1087">
            <v>698</v>
          </cell>
          <cell r="I1087">
            <v>4500</v>
          </cell>
          <cell r="J1087">
            <v>989</v>
          </cell>
          <cell r="K1087">
            <v>5000</v>
          </cell>
          <cell r="S1087">
            <v>4500</v>
          </cell>
          <cell r="V1087" t="str">
            <v>내선</v>
          </cell>
          <cell r="W1087">
            <v>0.3</v>
          </cell>
        </row>
        <row r="1088">
          <cell r="A1088">
            <v>1088</v>
          </cell>
          <cell r="C1088" t="str">
            <v>경종</v>
          </cell>
          <cell r="E1088" t="str">
            <v>EA</v>
          </cell>
          <cell r="H1088">
            <v>698</v>
          </cell>
          <cell r="I1088">
            <v>7500</v>
          </cell>
          <cell r="J1088">
            <v>989</v>
          </cell>
          <cell r="K1088">
            <v>5000</v>
          </cell>
          <cell r="S1088">
            <v>5000</v>
          </cell>
          <cell r="V1088" t="str">
            <v>내선</v>
          </cell>
          <cell r="W1088">
            <v>0.15</v>
          </cell>
        </row>
        <row r="1089">
          <cell r="A1089">
            <v>1089</v>
          </cell>
          <cell r="C1089" t="str">
            <v>표시등</v>
          </cell>
          <cell r="E1089" t="str">
            <v>EA</v>
          </cell>
          <cell r="H1089">
            <v>698</v>
          </cell>
          <cell r="I1089">
            <v>2000</v>
          </cell>
          <cell r="J1089">
            <v>989</v>
          </cell>
          <cell r="K1089">
            <v>1000</v>
          </cell>
          <cell r="S1089">
            <v>1000</v>
          </cell>
          <cell r="V1089" t="str">
            <v>내선</v>
          </cell>
          <cell r="W1089">
            <v>0.2</v>
          </cell>
        </row>
        <row r="1090">
          <cell r="A1090">
            <v>1090</v>
          </cell>
          <cell r="C1090" t="str">
            <v>수동발신기 함</v>
          </cell>
          <cell r="D1090" t="str">
            <v xml:space="preserve">Steel 250 × 650 × </v>
          </cell>
          <cell r="E1090" t="str">
            <v>EA</v>
          </cell>
          <cell r="H1090">
            <v>698</v>
          </cell>
          <cell r="I1090">
            <v>13000</v>
          </cell>
          <cell r="J1090">
            <v>990</v>
          </cell>
          <cell r="K1090">
            <v>30000</v>
          </cell>
          <cell r="S1090">
            <v>13000</v>
          </cell>
          <cell r="V1090" t="str">
            <v>내선</v>
          </cell>
          <cell r="W1090">
            <v>0.66</v>
          </cell>
        </row>
        <row r="1091">
          <cell r="A1091">
            <v>1091</v>
          </cell>
          <cell r="S1091" t="str">
            <v/>
          </cell>
        </row>
        <row r="1092">
          <cell r="A1092">
            <v>1092</v>
          </cell>
          <cell r="S1092" t="str">
            <v/>
          </cell>
        </row>
        <row r="1093">
          <cell r="A1093">
            <v>1093</v>
          </cell>
          <cell r="C1093" t="str">
            <v>수신기</v>
          </cell>
          <cell r="D1093" t="str">
            <v>P형1급   10회로용</v>
          </cell>
          <cell r="E1093" t="str">
            <v>set</v>
          </cell>
          <cell r="H1093">
            <v>698</v>
          </cell>
          <cell r="I1093">
            <v>450000</v>
          </cell>
          <cell r="J1093">
            <v>990</v>
          </cell>
          <cell r="K1093">
            <v>350000</v>
          </cell>
          <cell r="S1093">
            <v>350000</v>
          </cell>
          <cell r="V1093" t="str">
            <v>내선</v>
          </cell>
          <cell r="W1093">
            <v>9</v>
          </cell>
        </row>
        <row r="1094">
          <cell r="A1094">
            <v>1094</v>
          </cell>
          <cell r="C1094" t="str">
            <v>부표시기BATT내장</v>
          </cell>
          <cell r="D1094" t="str">
            <v xml:space="preserve"> 10회로용</v>
          </cell>
          <cell r="E1094" t="str">
            <v>대</v>
          </cell>
          <cell r="H1094">
            <v>698</v>
          </cell>
          <cell r="I1094">
            <v>350000</v>
          </cell>
          <cell r="J1094">
            <v>990</v>
          </cell>
          <cell r="K1094">
            <v>350000</v>
          </cell>
          <cell r="S1094">
            <v>350000</v>
          </cell>
          <cell r="V1094" t="str">
            <v>내선</v>
          </cell>
          <cell r="W1094">
            <v>4</v>
          </cell>
        </row>
        <row r="1095">
          <cell r="A1095">
            <v>1095</v>
          </cell>
          <cell r="C1095" t="str">
            <v>스프링쿨러수동조작함</v>
          </cell>
          <cell r="E1095" t="str">
            <v>EA</v>
          </cell>
          <cell r="H1095">
            <v>698</v>
          </cell>
          <cell r="I1095">
            <v>60000</v>
          </cell>
          <cell r="J1095">
            <v>990</v>
          </cell>
          <cell r="K1095">
            <v>60000</v>
          </cell>
          <cell r="S1095">
            <v>60000</v>
          </cell>
          <cell r="V1095" t="str">
            <v>내선</v>
          </cell>
          <cell r="W1095">
            <v>0.66</v>
          </cell>
        </row>
        <row r="1096">
          <cell r="A1096">
            <v>1096</v>
          </cell>
          <cell r="C1096" t="str">
            <v>전자 싸이렌</v>
          </cell>
          <cell r="E1096" t="str">
            <v>EA</v>
          </cell>
          <cell r="H1096">
            <v>698</v>
          </cell>
          <cell r="I1096">
            <v>30000</v>
          </cell>
          <cell r="J1096">
            <v>990</v>
          </cell>
          <cell r="K1096">
            <v>30000</v>
          </cell>
          <cell r="S1096">
            <v>30000</v>
          </cell>
          <cell r="V1096" t="str">
            <v>통내</v>
          </cell>
          <cell r="W1096">
            <v>1.6</v>
          </cell>
        </row>
        <row r="1097">
          <cell r="A1097">
            <v>1097</v>
          </cell>
          <cell r="S1097" t="str">
            <v/>
          </cell>
        </row>
        <row r="1098">
          <cell r="A1098">
            <v>1098</v>
          </cell>
          <cell r="C1098" t="str">
            <v>수신기</v>
          </cell>
          <cell r="D1098" t="str">
            <v>P형1급   20회로용</v>
          </cell>
          <cell r="E1098" t="str">
            <v>set</v>
          </cell>
          <cell r="H1098">
            <v>698</v>
          </cell>
          <cell r="I1098">
            <v>500000</v>
          </cell>
          <cell r="J1098">
            <v>990</v>
          </cell>
          <cell r="K1098">
            <v>450000</v>
          </cell>
          <cell r="S1098">
            <v>450000</v>
          </cell>
          <cell r="V1098" t="str">
            <v>내선</v>
          </cell>
          <cell r="W1098">
            <v>9</v>
          </cell>
        </row>
        <row r="1099">
          <cell r="A1099">
            <v>1099</v>
          </cell>
          <cell r="S1099" t="str">
            <v/>
          </cell>
        </row>
        <row r="1100">
          <cell r="A1100">
            <v>1100</v>
          </cell>
          <cell r="S1100" t="str">
            <v/>
          </cell>
        </row>
        <row r="1101">
          <cell r="A1101">
            <v>1101</v>
          </cell>
          <cell r="S1101" t="str">
            <v/>
          </cell>
        </row>
        <row r="1102">
          <cell r="A1102">
            <v>1102</v>
          </cell>
          <cell r="S1102" t="str">
            <v/>
          </cell>
        </row>
        <row r="1103">
          <cell r="A1103">
            <v>1103</v>
          </cell>
          <cell r="S1103" t="str">
            <v/>
          </cell>
        </row>
        <row r="1104">
          <cell r="A1104">
            <v>1104</v>
          </cell>
          <cell r="S1104" t="str">
            <v/>
          </cell>
        </row>
        <row r="1105">
          <cell r="A1105">
            <v>1105</v>
          </cell>
          <cell r="C1105" t="str">
            <v>등 기 구</v>
          </cell>
          <cell r="D1105" t="str">
            <v>MH 100W천정형</v>
          </cell>
          <cell r="E1105" t="str">
            <v>SET</v>
          </cell>
          <cell r="L1105" t="str">
            <v>(주)광명</v>
          </cell>
          <cell r="M1105">
            <v>95000</v>
          </cell>
          <cell r="N1105" t="str">
            <v>금동조명(주)</v>
          </cell>
          <cell r="O1105">
            <v>85000</v>
          </cell>
          <cell r="P1105" t="str">
            <v>천일전기공업(주)</v>
          </cell>
          <cell r="Q1105">
            <v>85000</v>
          </cell>
          <cell r="S1105">
            <v>85000</v>
          </cell>
        </row>
        <row r="1106">
          <cell r="A1106">
            <v>1106</v>
          </cell>
          <cell r="B1106" t="str">
            <v>G</v>
          </cell>
          <cell r="C1106" t="str">
            <v>등 기 구</v>
          </cell>
          <cell r="D1106" t="str">
            <v>MH 175W천정형(방수,방습)</v>
          </cell>
          <cell r="E1106" t="str">
            <v>EA</v>
          </cell>
          <cell r="L1106" t="str">
            <v>(주)나남전기</v>
          </cell>
          <cell r="M1106">
            <v>240000</v>
          </cell>
          <cell r="N1106" t="str">
            <v>(주)제일조명</v>
          </cell>
          <cell r="O1106">
            <v>155000</v>
          </cell>
          <cell r="P1106" t="str">
            <v>천일전기공업(주)</v>
          </cell>
          <cell r="Q1106">
            <v>145000</v>
          </cell>
          <cell r="S1106">
            <v>145000</v>
          </cell>
          <cell r="V1106" t="str">
            <v>내선</v>
          </cell>
          <cell r="W1106">
            <v>0.44</v>
          </cell>
        </row>
        <row r="1107">
          <cell r="A1107">
            <v>1107</v>
          </cell>
          <cell r="C1107" t="str">
            <v>등 기 구</v>
          </cell>
          <cell r="D1107" t="str">
            <v>MH 250W천정형</v>
          </cell>
          <cell r="E1107" t="str">
            <v>EA</v>
          </cell>
          <cell r="S1107">
            <v>0</v>
          </cell>
          <cell r="V1107" t="str">
            <v>내선</v>
          </cell>
          <cell r="W1107">
            <v>0.495</v>
          </cell>
        </row>
        <row r="1108">
          <cell r="A1108">
            <v>1108</v>
          </cell>
          <cell r="B1108" t="str">
            <v>H</v>
          </cell>
          <cell r="C1108" t="str">
            <v>등 기 구</v>
          </cell>
          <cell r="D1108" t="str">
            <v>MH 175W벽부형(방수,방습)</v>
          </cell>
          <cell r="E1108" t="str">
            <v>EA</v>
          </cell>
          <cell r="L1108" t="str">
            <v>(주)나남전기</v>
          </cell>
          <cell r="M1108">
            <v>245000</v>
          </cell>
          <cell r="N1108" t="str">
            <v>(주)제일조명</v>
          </cell>
          <cell r="O1108">
            <v>158000</v>
          </cell>
          <cell r="P1108" t="str">
            <v>천일전기공업(주)</v>
          </cell>
          <cell r="Q1108">
            <v>145000</v>
          </cell>
          <cell r="S1108">
            <v>145000</v>
          </cell>
          <cell r="V1108" t="str">
            <v>내선</v>
          </cell>
          <cell r="W1108">
            <v>0.44</v>
          </cell>
        </row>
        <row r="1109">
          <cell r="A1109">
            <v>1109</v>
          </cell>
          <cell r="C1109" t="str">
            <v>등 기 구</v>
          </cell>
          <cell r="D1109" t="str">
            <v>MH 250W벽부형</v>
          </cell>
          <cell r="E1109" t="str">
            <v>EA</v>
          </cell>
          <cell r="S1109">
            <v>0</v>
          </cell>
          <cell r="V1109" t="str">
            <v>내선</v>
          </cell>
          <cell r="W1109">
            <v>0.495</v>
          </cell>
        </row>
        <row r="1110">
          <cell r="A1110">
            <v>1110</v>
          </cell>
          <cell r="C1110" t="str">
            <v>등 기 구</v>
          </cell>
          <cell r="D1110" t="str">
            <v>MH 400W벽부형</v>
          </cell>
          <cell r="E1110" t="str">
            <v>EA</v>
          </cell>
          <cell r="S1110">
            <v>0</v>
          </cell>
          <cell r="V1110" t="str">
            <v>내선</v>
          </cell>
          <cell r="W1110">
            <v>0.53</v>
          </cell>
        </row>
        <row r="1111">
          <cell r="A1111">
            <v>1111</v>
          </cell>
          <cell r="C1111" t="str">
            <v>메탈할라이드 램프</v>
          </cell>
          <cell r="D1111" t="str">
            <v>MH 100W</v>
          </cell>
          <cell r="E1111" t="str">
            <v>EA</v>
          </cell>
          <cell r="S1111">
            <v>0</v>
          </cell>
        </row>
        <row r="1112">
          <cell r="A1112">
            <v>1112</v>
          </cell>
          <cell r="C1112" t="str">
            <v>메탈할라이드 램프</v>
          </cell>
          <cell r="D1112" t="str">
            <v>MH 175W</v>
          </cell>
          <cell r="E1112" t="str">
            <v>EA</v>
          </cell>
          <cell r="H1112">
            <v>898</v>
          </cell>
          <cell r="I1112">
            <v>16500</v>
          </cell>
          <cell r="J1112">
            <v>947</v>
          </cell>
          <cell r="K1112">
            <v>29300</v>
          </cell>
          <cell r="S1112">
            <v>16500</v>
          </cell>
        </row>
        <row r="1113">
          <cell r="A1113">
            <v>1113</v>
          </cell>
          <cell r="C1113" t="str">
            <v>메탈할라이드 램프</v>
          </cell>
          <cell r="D1113" t="str">
            <v>MH 250W</v>
          </cell>
          <cell r="E1113" t="str">
            <v>EA</v>
          </cell>
          <cell r="H1113">
            <v>898</v>
          </cell>
          <cell r="I1113">
            <v>17000</v>
          </cell>
          <cell r="J1113">
            <v>947</v>
          </cell>
          <cell r="K1113">
            <v>35000</v>
          </cell>
          <cell r="S1113">
            <v>17000</v>
          </cell>
        </row>
        <row r="1114">
          <cell r="A1114">
            <v>1114</v>
          </cell>
          <cell r="C1114" t="str">
            <v>메탈할라이드 램프</v>
          </cell>
          <cell r="D1114" t="str">
            <v>MH 400W</v>
          </cell>
          <cell r="E1114" t="str">
            <v>EA</v>
          </cell>
          <cell r="H1114">
            <v>898</v>
          </cell>
          <cell r="I1114">
            <v>20000</v>
          </cell>
          <cell r="J1114">
            <v>947</v>
          </cell>
          <cell r="K1114">
            <v>36200</v>
          </cell>
          <cell r="S1114">
            <v>20000</v>
          </cell>
        </row>
        <row r="1115">
          <cell r="A1115">
            <v>1115</v>
          </cell>
          <cell r="S1115" t="str">
            <v/>
          </cell>
        </row>
        <row r="1116">
          <cell r="A1116">
            <v>1116</v>
          </cell>
          <cell r="C1116" t="str">
            <v>메탈할라이드 안정기</v>
          </cell>
          <cell r="D1116" t="str">
            <v>220V/100W</v>
          </cell>
          <cell r="E1116" t="str">
            <v>EA</v>
          </cell>
          <cell r="S1116">
            <v>0</v>
          </cell>
        </row>
        <row r="1117">
          <cell r="A1117">
            <v>1117</v>
          </cell>
          <cell r="C1117" t="str">
            <v>메탈할라이드 안정기</v>
          </cell>
          <cell r="D1117" t="str">
            <v>220V/175W</v>
          </cell>
          <cell r="E1117" t="str">
            <v>EA</v>
          </cell>
          <cell r="H1117">
            <v>898</v>
          </cell>
          <cell r="I1117">
            <v>16500</v>
          </cell>
          <cell r="J1117">
            <v>951</v>
          </cell>
          <cell r="K1117">
            <v>19500</v>
          </cell>
          <cell r="S1117">
            <v>16500</v>
          </cell>
        </row>
        <row r="1118">
          <cell r="A1118">
            <v>1118</v>
          </cell>
          <cell r="C1118" t="str">
            <v>메탈할라이드 안정기</v>
          </cell>
          <cell r="D1118" t="str">
            <v>220V/250W</v>
          </cell>
          <cell r="E1118" t="str">
            <v>EA</v>
          </cell>
          <cell r="H1118">
            <v>898</v>
          </cell>
          <cell r="I1118">
            <v>17500</v>
          </cell>
          <cell r="J1118">
            <v>951</v>
          </cell>
          <cell r="K1118">
            <v>21400</v>
          </cell>
          <cell r="S1118">
            <v>17500</v>
          </cell>
        </row>
        <row r="1119">
          <cell r="A1119">
            <v>1119</v>
          </cell>
          <cell r="C1119" t="str">
            <v>메탈할라이드 안정기</v>
          </cell>
          <cell r="D1119" t="str">
            <v>220V/400W</v>
          </cell>
          <cell r="E1119" t="str">
            <v>EA</v>
          </cell>
          <cell r="H1119">
            <v>898</v>
          </cell>
          <cell r="I1119">
            <v>20000</v>
          </cell>
          <cell r="J1119">
            <v>951</v>
          </cell>
          <cell r="K1119">
            <v>24700</v>
          </cell>
          <cell r="S1119">
            <v>20000</v>
          </cell>
        </row>
        <row r="1120">
          <cell r="A1120">
            <v>1120</v>
          </cell>
          <cell r="S1120" t="str">
            <v/>
          </cell>
        </row>
        <row r="1121">
          <cell r="A1121">
            <v>1121</v>
          </cell>
          <cell r="S1121" t="str">
            <v/>
          </cell>
        </row>
        <row r="1122">
          <cell r="A1122">
            <v>1122</v>
          </cell>
          <cell r="C1122" t="str">
            <v>터널등 제어반</v>
          </cell>
          <cell r="D1122" t="str">
            <v>ESS 제어 SET 포함</v>
          </cell>
          <cell r="E1122" t="str">
            <v>면</v>
          </cell>
          <cell r="S1122">
            <v>0</v>
          </cell>
        </row>
        <row r="1123">
          <cell r="A1123">
            <v>1123</v>
          </cell>
          <cell r="C1123" t="str">
            <v>가로등 제어반</v>
          </cell>
          <cell r="D1123" t="str">
            <v>중앙집중제어식</v>
          </cell>
          <cell r="E1123" t="str">
            <v>면</v>
          </cell>
          <cell r="J1123">
            <v>935</v>
          </cell>
          <cell r="K1123">
            <v>4000000</v>
          </cell>
          <cell r="S1123">
            <v>4000000</v>
          </cell>
          <cell r="V1123" t="str">
            <v>프전</v>
          </cell>
          <cell r="W1123">
            <v>5.8</v>
          </cell>
          <cell r="X1123" t="str">
            <v>보인</v>
          </cell>
          <cell r="Y1123">
            <v>1.9</v>
          </cell>
        </row>
        <row r="1124">
          <cell r="A1124">
            <v>1124</v>
          </cell>
          <cell r="C1124" t="str">
            <v>터널등 원격 자동 점멸기</v>
          </cell>
          <cell r="D1124" t="str">
            <v>조도 내부 감응,8회로</v>
          </cell>
          <cell r="E1124" t="str">
            <v>면</v>
          </cell>
          <cell r="H1124">
            <v>907</v>
          </cell>
          <cell r="I1124">
            <v>12500000</v>
          </cell>
          <cell r="J1124">
            <v>936</v>
          </cell>
          <cell r="K1124">
            <v>12500000</v>
          </cell>
          <cell r="S1124">
            <v>12500000</v>
          </cell>
          <cell r="V1124" t="str">
            <v>프전</v>
          </cell>
          <cell r="W1124">
            <v>5.8</v>
          </cell>
          <cell r="X1124" t="str">
            <v>보인</v>
          </cell>
          <cell r="Y1124">
            <v>1.9</v>
          </cell>
        </row>
        <row r="1125">
          <cell r="A1125">
            <v>1125</v>
          </cell>
          <cell r="C1125" t="str">
            <v>조명용제어장치</v>
          </cell>
          <cell r="D1125" t="str">
            <v>1φESS-A형8KVA</v>
          </cell>
          <cell r="E1125" t="str">
            <v>대</v>
          </cell>
          <cell r="S1125">
            <v>0</v>
          </cell>
        </row>
        <row r="1126">
          <cell r="A1126">
            <v>1126</v>
          </cell>
          <cell r="C1126" t="str">
            <v>가로등 집중제어기</v>
          </cell>
          <cell r="D1126" t="str">
            <v>CS-01MW EGJ철외함</v>
          </cell>
          <cell r="E1126" t="str">
            <v>대</v>
          </cell>
          <cell r="S1126">
            <v>0</v>
          </cell>
          <cell r="V1126" t="str">
            <v>프전</v>
          </cell>
          <cell r="W1126">
            <v>5.8</v>
          </cell>
          <cell r="X1126" t="str">
            <v>보인</v>
          </cell>
          <cell r="Y1126">
            <v>1.9</v>
          </cell>
        </row>
        <row r="1127">
          <cell r="A1127">
            <v>1127</v>
          </cell>
          <cell r="C1127" t="str">
            <v>차광막</v>
          </cell>
          <cell r="D1127" t="str">
            <v>FRP</v>
          </cell>
          <cell r="E1127" t="str">
            <v>대</v>
          </cell>
          <cell r="H1127">
            <v>906</v>
          </cell>
          <cell r="I1127">
            <v>170000</v>
          </cell>
          <cell r="J1127">
            <v>935</v>
          </cell>
          <cell r="K1127">
            <v>165000</v>
          </cell>
          <cell r="S1127">
            <v>165000</v>
          </cell>
        </row>
        <row r="1128">
          <cell r="A1128">
            <v>1128</v>
          </cell>
          <cell r="C1128" t="str">
            <v>가로등 번호표찰</v>
          </cell>
          <cell r="D1128" t="str">
            <v>고휘도</v>
          </cell>
          <cell r="E1128" t="str">
            <v>EA</v>
          </cell>
          <cell r="H1128">
            <v>914</v>
          </cell>
          <cell r="I1128">
            <v>5000</v>
          </cell>
          <cell r="S1128">
            <v>5000</v>
          </cell>
        </row>
        <row r="1129">
          <cell r="A1129">
            <v>1129</v>
          </cell>
          <cell r="C1129" t="str">
            <v>가로등주</v>
          </cell>
          <cell r="D1129" t="str">
            <v>원형 테파 폴 7m 1등용</v>
          </cell>
          <cell r="E1129" t="str">
            <v>본</v>
          </cell>
          <cell r="H1129">
            <v>913</v>
          </cell>
          <cell r="I1129">
            <v>150000</v>
          </cell>
          <cell r="J1129">
            <v>951</v>
          </cell>
          <cell r="K1129">
            <v>138000</v>
          </cell>
          <cell r="S1129">
            <v>138000</v>
          </cell>
        </row>
        <row r="1130">
          <cell r="A1130">
            <v>1130</v>
          </cell>
          <cell r="C1130" t="str">
            <v>가로등주</v>
          </cell>
          <cell r="D1130" t="str">
            <v>8각테퍼7m폴1등용</v>
          </cell>
          <cell r="E1130" t="str">
            <v>본</v>
          </cell>
          <cell r="H1130">
            <v>913</v>
          </cell>
          <cell r="I1130">
            <v>153000</v>
          </cell>
          <cell r="J1130">
            <v>951</v>
          </cell>
          <cell r="K1130">
            <v>154000</v>
          </cell>
          <cell r="S1130">
            <v>153000</v>
          </cell>
        </row>
        <row r="1131">
          <cell r="A1131">
            <v>1131</v>
          </cell>
          <cell r="C1131" t="str">
            <v>가로등주</v>
          </cell>
          <cell r="D1131" t="str">
            <v>8각테퍼7m폴2등용</v>
          </cell>
          <cell r="E1131" t="str">
            <v>본</v>
          </cell>
          <cell r="I1131">
            <v>173000</v>
          </cell>
          <cell r="J1131">
            <v>951</v>
          </cell>
          <cell r="K1131">
            <v>176000</v>
          </cell>
          <cell r="S1131">
            <v>173000</v>
          </cell>
        </row>
        <row r="1132">
          <cell r="A1132">
            <v>1132</v>
          </cell>
          <cell r="C1132" t="str">
            <v>가로등주</v>
          </cell>
          <cell r="D1132" t="str">
            <v>8각테퍼8m폴1등용</v>
          </cell>
          <cell r="E1132" t="str">
            <v>본</v>
          </cell>
          <cell r="H1132">
            <v>913</v>
          </cell>
          <cell r="I1132">
            <v>174000</v>
          </cell>
          <cell r="J1132">
            <v>951</v>
          </cell>
          <cell r="K1132">
            <v>176000</v>
          </cell>
          <cell r="S1132">
            <v>174000</v>
          </cell>
        </row>
        <row r="1133">
          <cell r="A1133">
            <v>1133</v>
          </cell>
          <cell r="C1133" t="str">
            <v>가로등주</v>
          </cell>
          <cell r="D1133" t="str">
            <v>8각테퍼8m폴2등용</v>
          </cell>
          <cell r="E1133" t="str">
            <v>본</v>
          </cell>
          <cell r="I1133">
            <v>194000</v>
          </cell>
          <cell r="J1133">
            <v>951</v>
          </cell>
          <cell r="K1133">
            <v>198000</v>
          </cell>
          <cell r="S1133">
            <v>194000</v>
          </cell>
        </row>
        <row r="1134">
          <cell r="A1134">
            <v>1134</v>
          </cell>
          <cell r="C1134" t="str">
            <v>가로등주</v>
          </cell>
          <cell r="D1134" t="str">
            <v>8각테퍼8.5m폴1등용</v>
          </cell>
          <cell r="E1134" t="str">
            <v>본</v>
          </cell>
          <cell r="H1134">
            <v>913</v>
          </cell>
          <cell r="I1134">
            <v>188000</v>
          </cell>
          <cell r="J1134">
            <v>951</v>
          </cell>
          <cell r="S1134">
            <v>188000</v>
          </cell>
        </row>
        <row r="1135">
          <cell r="A1135">
            <v>1135</v>
          </cell>
          <cell r="C1135" t="str">
            <v>가로등주</v>
          </cell>
          <cell r="D1135" t="str">
            <v>8각테퍼8.5m폴2등용</v>
          </cell>
          <cell r="E1135" t="str">
            <v>본</v>
          </cell>
          <cell r="I1135">
            <v>208000</v>
          </cell>
          <cell r="J1135">
            <v>951</v>
          </cell>
          <cell r="S1135">
            <v>208000</v>
          </cell>
        </row>
        <row r="1136">
          <cell r="A1136">
            <v>1136</v>
          </cell>
          <cell r="C1136" t="str">
            <v>가로등주</v>
          </cell>
          <cell r="D1136" t="str">
            <v>8각테퍼9m폴1등용</v>
          </cell>
          <cell r="E1136" t="str">
            <v>본</v>
          </cell>
          <cell r="H1136">
            <v>913</v>
          </cell>
          <cell r="I1136">
            <v>219000</v>
          </cell>
          <cell r="J1136">
            <v>951</v>
          </cell>
          <cell r="K1136">
            <v>225000</v>
          </cell>
          <cell r="S1136">
            <v>219000</v>
          </cell>
        </row>
        <row r="1137">
          <cell r="A1137">
            <v>1137</v>
          </cell>
          <cell r="C1137" t="str">
            <v>가로등주</v>
          </cell>
          <cell r="D1137" t="str">
            <v>8각테퍼9m폴2등용</v>
          </cell>
          <cell r="E1137" t="str">
            <v>본</v>
          </cell>
          <cell r="I1137">
            <v>239000</v>
          </cell>
          <cell r="J1137">
            <v>951</v>
          </cell>
          <cell r="K1137">
            <v>250000</v>
          </cell>
          <cell r="S1137">
            <v>239000</v>
          </cell>
        </row>
        <row r="1138">
          <cell r="A1138">
            <v>1138</v>
          </cell>
          <cell r="C1138" t="str">
            <v>가로등주</v>
          </cell>
          <cell r="D1138" t="str">
            <v>8각테퍼10m폴1등용</v>
          </cell>
          <cell r="E1138" t="str">
            <v>본</v>
          </cell>
          <cell r="H1138">
            <v>913</v>
          </cell>
          <cell r="I1138">
            <v>235000</v>
          </cell>
          <cell r="J1138">
            <v>951</v>
          </cell>
          <cell r="K1138">
            <v>250000</v>
          </cell>
          <cell r="S1138">
            <v>235000</v>
          </cell>
        </row>
        <row r="1139">
          <cell r="A1139">
            <v>1139</v>
          </cell>
          <cell r="C1139" t="str">
            <v>가로등주</v>
          </cell>
          <cell r="D1139" t="str">
            <v>8각테퍼10m폴2등용</v>
          </cell>
          <cell r="E1139" t="str">
            <v>본</v>
          </cell>
          <cell r="I1139">
            <v>255000</v>
          </cell>
          <cell r="J1139">
            <v>951</v>
          </cell>
          <cell r="K1139">
            <v>275000</v>
          </cell>
          <cell r="S1139">
            <v>255000</v>
          </cell>
        </row>
        <row r="1140">
          <cell r="A1140">
            <v>1140</v>
          </cell>
          <cell r="C1140" t="str">
            <v>가로등 NH등기구</v>
          </cell>
          <cell r="D1140" t="str">
            <v>세종로대형</v>
          </cell>
          <cell r="E1140" t="str">
            <v>EA</v>
          </cell>
          <cell r="H1140">
            <v>895</v>
          </cell>
          <cell r="I1140">
            <v>70000</v>
          </cell>
          <cell r="J1140">
            <v>937</v>
          </cell>
          <cell r="K1140">
            <v>72500</v>
          </cell>
          <cell r="S1140">
            <v>70000</v>
          </cell>
          <cell r="V1140" t="str">
            <v>내선</v>
          </cell>
          <cell r="W1140">
            <v>0.52800000000000002</v>
          </cell>
        </row>
        <row r="1141">
          <cell r="A1141">
            <v>1141</v>
          </cell>
          <cell r="C1141" t="str">
            <v>고압나트륨램프</v>
          </cell>
          <cell r="D1141" t="str">
            <v>NH  50W</v>
          </cell>
          <cell r="E1141" t="str">
            <v>EA</v>
          </cell>
          <cell r="H1141">
            <v>895</v>
          </cell>
          <cell r="I1141">
            <v>15500</v>
          </cell>
          <cell r="J1141">
            <v>947</v>
          </cell>
          <cell r="K1141">
            <v>18000</v>
          </cell>
          <cell r="S1141">
            <v>15500</v>
          </cell>
        </row>
        <row r="1142">
          <cell r="A1142">
            <v>1142</v>
          </cell>
          <cell r="C1142" t="str">
            <v>고압나트륨램프</v>
          </cell>
          <cell r="D1142" t="str">
            <v>NH  70W</v>
          </cell>
          <cell r="E1142" t="str">
            <v>EA</v>
          </cell>
          <cell r="H1142">
            <v>895</v>
          </cell>
          <cell r="I1142">
            <v>16000</v>
          </cell>
          <cell r="J1142">
            <v>947</v>
          </cell>
          <cell r="K1142">
            <v>20000</v>
          </cell>
          <cell r="S1142">
            <v>16000</v>
          </cell>
        </row>
        <row r="1143">
          <cell r="A1143">
            <v>1143</v>
          </cell>
          <cell r="C1143" t="str">
            <v>고압나트륨안정기</v>
          </cell>
          <cell r="D1143" t="str">
            <v>220V/50W</v>
          </cell>
          <cell r="E1143" t="str">
            <v>EA</v>
          </cell>
          <cell r="H1143">
            <v>895</v>
          </cell>
          <cell r="I1143">
            <v>13000</v>
          </cell>
          <cell r="J1143">
            <v>949</v>
          </cell>
          <cell r="K1143">
            <v>21200</v>
          </cell>
          <cell r="S1143">
            <v>13000</v>
          </cell>
        </row>
        <row r="1144">
          <cell r="A1144">
            <v>1144</v>
          </cell>
          <cell r="C1144" t="str">
            <v>고압나트륨안정기</v>
          </cell>
          <cell r="D1144" t="str">
            <v>220V/70W</v>
          </cell>
          <cell r="E1144" t="str">
            <v>EA</v>
          </cell>
          <cell r="H1144">
            <v>895</v>
          </cell>
          <cell r="I1144">
            <v>14000</v>
          </cell>
          <cell r="J1144">
            <v>949</v>
          </cell>
          <cell r="K1144">
            <v>23100</v>
          </cell>
          <cell r="S1144">
            <v>14000</v>
          </cell>
        </row>
        <row r="1145">
          <cell r="A1145">
            <v>1145</v>
          </cell>
          <cell r="S1145" t="str">
            <v/>
          </cell>
        </row>
        <row r="1146">
          <cell r="A1146">
            <v>1146</v>
          </cell>
          <cell r="C1146" t="str">
            <v>고압나트륨등기구</v>
          </cell>
          <cell r="D1146" t="str">
            <v xml:space="preserve">NH  100W  </v>
          </cell>
          <cell r="E1146" t="str">
            <v>EA</v>
          </cell>
          <cell r="H1146">
            <v>895</v>
          </cell>
          <cell r="I1146">
            <v>58000</v>
          </cell>
          <cell r="J1146">
            <v>937</v>
          </cell>
          <cell r="K1146">
            <v>51250</v>
          </cell>
          <cell r="S1146">
            <v>51250</v>
          </cell>
          <cell r="V1146" t="str">
            <v>내선</v>
          </cell>
          <cell r="W1146">
            <v>0.38500000000000001</v>
          </cell>
        </row>
        <row r="1147">
          <cell r="A1147">
            <v>1147</v>
          </cell>
          <cell r="C1147" t="str">
            <v>가로등 NH등기구</v>
          </cell>
          <cell r="D1147" t="str">
            <v>세종로대형</v>
          </cell>
          <cell r="E1147" t="str">
            <v>EA</v>
          </cell>
          <cell r="H1147">
            <v>895</v>
          </cell>
          <cell r="I1147">
            <v>70000</v>
          </cell>
          <cell r="J1147">
            <v>937</v>
          </cell>
          <cell r="K1147">
            <v>72500</v>
          </cell>
          <cell r="S1147">
            <v>70000</v>
          </cell>
          <cell r="V1147" t="str">
            <v>내선</v>
          </cell>
          <cell r="W1147">
            <v>0.52800000000000002</v>
          </cell>
        </row>
        <row r="1148">
          <cell r="A1148">
            <v>1148</v>
          </cell>
          <cell r="C1148" t="str">
            <v>가로등 NH등기구</v>
          </cell>
          <cell r="D1148" t="str">
            <v>세종로중형</v>
          </cell>
          <cell r="E1148" t="str">
            <v>EA</v>
          </cell>
          <cell r="H1148">
            <v>895</v>
          </cell>
          <cell r="I1148">
            <v>62500</v>
          </cell>
          <cell r="J1148">
            <v>937</v>
          </cell>
          <cell r="K1148">
            <v>70000</v>
          </cell>
          <cell r="S1148">
            <v>62500</v>
          </cell>
          <cell r="V1148" t="str">
            <v>내선</v>
          </cell>
          <cell r="W1148">
            <v>0.49500000000000005</v>
          </cell>
        </row>
        <row r="1149">
          <cell r="A1149">
            <v>1149</v>
          </cell>
          <cell r="C1149" t="str">
            <v>고압나트륨등기구</v>
          </cell>
          <cell r="D1149" t="str">
            <v xml:space="preserve">NH250W  </v>
          </cell>
          <cell r="E1149" t="str">
            <v>EA</v>
          </cell>
          <cell r="H1149">
            <v>895</v>
          </cell>
          <cell r="I1149">
            <v>72000</v>
          </cell>
          <cell r="J1149">
            <v>937</v>
          </cell>
          <cell r="K1149">
            <v>66250</v>
          </cell>
          <cell r="S1149">
            <v>66250</v>
          </cell>
          <cell r="V1149" t="str">
            <v>내선</v>
          </cell>
          <cell r="W1149">
            <v>0.495</v>
          </cell>
        </row>
        <row r="1150">
          <cell r="A1150">
            <v>1150</v>
          </cell>
          <cell r="C1150" t="str">
            <v>고압나트륨등기구</v>
          </cell>
          <cell r="D1150" t="str">
            <v>NH400W</v>
          </cell>
          <cell r="E1150" t="str">
            <v>EA</v>
          </cell>
          <cell r="H1150">
            <v>895</v>
          </cell>
          <cell r="I1150">
            <v>78000</v>
          </cell>
          <cell r="J1150">
            <v>937</v>
          </cell>
          <cell r="K1150">
            <v>80000</v>
          </cell>
          <cell r="S1150">
            <v>78000</v>
          </cell>
          <cell r="V1150" t="str">
            <v>내선</v>
          </cell>
          <cell r="W1150">
            <v>0.53</v>
          </cell>
        </row>
        <row r="1151">
          <cell r="A1151">
            <v>1151</v>
          </cell>
          <cell r="C1151" t="str">
            <v>터널등기구(AL판)</v>
          </cell>
          <cell r="D1151" t="str">
            <v>NXT 35W</v>
          </cell>
          <cell r="E1151" t="str">
            <v>EA</v>
          </cell>
          <cell r="S1151">
            <v>0</v>
          </cell>
          <cell r="V1151" t="str">
            <v>내선</v>
          </cell>
          <cell r="W1151">
            <v>0.38</v>
          </cell>
        </row>
        <row r="1152">
          <cell r="A1152">
            <v>1152</v>
          </cell>
          <cell r="C1152" t="str">
            <v>터널등기구(AL판)</v>
          </cell>
          <cell r="D1152" t="str">
            <v>NXT 90W</v>
          </cell>
          <cell r="E1152" t="str">
            <v>EA</v>
          </cell>
          <cell r="S1152">
            <v>0</v>
          </cell>
          <cell r="V1152" t="str">
            <v>내선</v>
          </cell>
          <cell r="W1152">
            <v>0.38</v>
          </cell>
        </row>
        <row r="1153">
          <cell r="A1153">
            <v>1153</v>
          </cell>
          <cell r="C1153" t="str">
            <v>터널등기구(AL판)</v>
          </cell>
          <cell r="D1153" t="str">
            <v>NXT 135W</v>
          </cell>
          <cell r="E1153" t="str">
            <v>EA</v>
          </cell>
          <cell r="S1153">
            <v>0</v>
          </cell>
          <cell r="V1153" t="str">
            <v>내선</v>
          </cell>
          <cell r="W1153">
            <v>0.44</v>
          </cell>
        </row>
        <row r="1154">
          <cell r="A1154">
            <v>1154</v>
          </cell>
          <cell r="C1154" t="str">
            <v>터널등기구(AL판)</v>
          </cell>
          <cell r="D1154" t="str">
            <v>NXT 180W</v>
          </cell>
          <cell r="E1154" t="str">
            <v>EA</v>
          </cell>
          <cell r="S1154">
            <v>0</v>
          </cell>
          <cell r="V1154" t="str">
            <v>내선</v>
          </cell>
          <cell r="W1154">
            <v>0.44</v>
          </cell>
        </row>
        <row r="1155">
          <cell r="A1155">
            <v>1155</v>
          </cell>
          <cell r="C1155" t="str">
            <v>내압방폭백열등</v>
          </cell>
          <cell r="D1155" t="str">
            <v>IL 220V/200W</v>
          </cell>
          <cell r="E1155" t="str">
            <v>EA</v>
          </cell>
          <cell r="S1155">
            <v>0</v>
          </cell>
          <cell r="V1155" t="str">
            <v>내선</v>
          </cell>
          <cell r="W1155">
            <v>0.38</v>
          </cell>
        </row>
        <row r="1156">
          <cell r="A1156">
            <v>1156</v>
          </cell>
          <cell r="S1156" t="str">
            <v/>
          </cell>
        </row>
        <row r="1157">
          <cell r="A1157">
            <v>1157</v>
          </cell>
          <cell r="C1157" t="str">
            <v>고압나트륨램프</v>
          </cell>
          <cell r="D1157" t="str">
            <v>NH  100W</v>
          </cell>
          <cell r="E1157" t="str">
            <v>EA</v>
          </cell>
          <cell r="H1157">
            <v>898</v>
          </cell>
          <cell r="I1157">
            <v>16000</v>
          </cell>
          <cell r="J1157">
            <v>947</v>
          </cell>
          <cell r="K1157">
            <v>20000</v>
          </cell>
          <cell r="S1157">
            <v>16000</v>
          </cell>
        </row>
        <row r="1158">
          <cell r="A1158">
            <v>1158</v>
          </cell>
          <cell r="C1158" t="str">
            <v>고압나트륨램프</v>
          </cell>
          <cell r="D1158" t="str">
            <v>NH  150W</v>
          </cell>
          <cell r="E1158" t="str">
            <v>EA</v>
          </cell>
          <cell r="H1158">
            <v>866</v>
          </cell>
          <cell r="I1158">
            <v>16500</v>
          </cell>
          <cell r="J1158">
            <v>947</v>
          </cell>
          <cell r="K1158">
            <v>21800</v>
          </cell>
          <cell r="S1158">
            <v>16500</v>
          </cell>
        </row>
        <row r="1159">
          <cell r="A1159">
            <v>1159</v>
          </cell>
          <cell r="C1159" t="str">
            <v>고압나트륨램프</v>
          </cell>
          <cell r="D1159" t="str">
            <v>NH  200W</v>
          </cell>
          <cell r="E1159" t="str">
            <v>EA</v>
          </cell>
          <cell r="H1159">
            <v>866</v>
          </cell>
          <cell r="I1159">
            <v>17500</v>
          </cell>
          <cell r="J1159">
            <v>947</v>
          </cell>
          <cell r="K1159">
            <v>23100</v>
          </cell>
          <cell r="S1159">
            <v>17500</v>
          </cell>
        </row>
        <row r="1160">
          <cell r="A1160">
            <v>1160</v>
          </cell>
          <cell r="C1160" t="str">
            <v>고압나트륨램프</v>
          </cell>
          <cell r="D1160" t="str">
            <v>NH  250W</v>
          </cell>
          <cell r="E1160" t="str">
            <v>EA</v>
          </cell>
          <cell r="H1160">
            <v>866</v>
          </cell>
          <cell r="I1160">
            <v>19500</v>
          </cell>
          <cell r="J1160">
            <v>947</v>
          </cell>
          <cell r="K1160">
            <v>25000</v>
          </cell>
          <cell r="S1160">
            <v>19500</v>
          </cell>
        </row>
        <row r="1161">
          <cell r="A1161">
            <v>1161</v>
          </cell>
          <cell r="C1161" t="str">
            <v>고압나트륨램프</v>
          </cell>
          <cell r="D1161" t="str">
            <v>NH  400W</v>
          </cell>
          <cell r="E1161" t="str">
            <v>EA</v>
          </cell>
          <cell r="H1161">
            <v>866</v>
          </cell>
          <cell r="I1161">
            <v>21000</v>
          </cell>
          <cell r="J1161">
            <v>947</v>
          </cell>
          <cell r="K1161">
            <v>26200</v>
          </cell>
          <cell r="S1161">
            <v>21000</v>
          </cell>
        </row>
        <row r="1162">
          <cell r="A1162">
            <v>1162</v>
          </cell>
          <cell r="C1162" t="str">
            <v>고압나트륨안정기</v>
          </cell>
          <cell r="D1162" t="str">
            <v>220V/100W</v>
          </cell>
          <cell r="E1162" t="str">
            <v>EA</v>
          </cell>
          <cell r="H1162">
            <v>866</v>
          </cell>
          <cell r="I1162">
            <v>15000</v>
          </cell>
          <cell r="J1162">
            <v>949</v>
          </cell>
          <cell r="K1162">
            <v>22500</v>
          </cell>
          <cell r="S1162">
            <v>15000</v>
          </cell>
        </row>
        <row r="1163">
          <cell r="A1163">
            <v>1163</v>
          </cell>
          <cell r="C1163" t="str">
            <v>고압나트륨안정기</v>
          </cell>
          <cell r="D1163" t="str">
            <v>220V/150W</v>
          </cell>
          <cell r="E1163" t="str">
            <v>EA</v>
          </cell>
          <cell r="H1163">
            <v>866</v>
          </cell>
          <cell r="I1163">
            <v>17000</v>
          </cell>
          <cell r="J1163">
            <v>949</v>
          </cell>
          <cell r="K1163">
            <v>23100</v>
          </cell>
          <cell r="S1163">
            <v>17000</v>
          </cell>
        </row>
        <row r="1164">
          <cell r="A1164">
            <v>1164</v>
          </cell>
          <cell r="C1164" t="str">
            <v>고압나트륨안정기</v>
          </cell>
          <cell r="D1164" t="str">
            <v>220V/200W</v>
          </cell>
          <cell r="E1164" t="str">
            <v>EA</v>
          </cell>
          <cell r="H1164">
            <v>866</v>
          </cell>
          <cell r="I1164">
            <v>18000</v>
          </cell>
          <cell r="J1164">
            <v>949</v>
          </cell>
          <cell r="K1164">
            <v>25000</v>
          </cell>
          <cell r="S1164">
            <v>18000</v>
          </cell>
        </row>
        <row r="1165">
          <cell r="A1165">
            <v>1165</v>
          </cell>
          <cell r="C1165" t="str">
            <v>고압나트륨안정기</v>
          </cell>
          <cell r="D1165" t="str">
            <v>옥외용 CC-220V/250W</v>
          </cell>
          <cell r="E1165" t="str">
            <v>EA</v>
          </cell>
          <cell r="H1165">
            <v>866</v>
          </cell>
          <cell r="I1165">
            <v>19500</v>
          </cell>
          <cell r="J1165">
            <v>949</v>
          </cell>
          <cell r="K1165">
            <v>27500</v>
          </cell>
          <cell r="S1165">
            <v>19500</v>
          </cell>
        </row>
        <row r="1166">
          <cell r="A1166">
            <v>1166</v>
          </cell>
          <cell r="C1166" t="str">
            <v>고압나트륨안정기</v>
          </cell>
          <cell r="D1166" t="str">
            <v>220V/400W</v>
          </cell>
          <cell r="E1166" t="str">
            <v>EA</v>
          </cell>
          <cell r="H1166">
            <v>866</v>
          </cell>
          <cell r="I1166">
            <v>26000</v>
          </cell>
          <cell r="J1166">
            <v>949</v>
          </cell>
          <cell r="K1166">
            <v>31200</v>
          </cell>
          <cell r="S1166">
            <v>26000</v>
          </cell>
        </row>
        <row r="1167">
          <cell r="A1167">
            <v>1167</v>
          </cell>
          <cell r="S1167" t="str">
            <v/>
          </cell>
        </row>
        <row r="1168">
          <cell r="A1168">
            <v>1168</v>
          </cell>
          <cell r="C1168" t="str">
            <v>저압나트륨램프</v>
          </cell>
          <cell r="D1168" t="str">
            <v>NXT 36W</v>
          </cell>
          <cell r="E1168" t="str">
            <v>EA</v>
          </cell>
          <cell r="S1168">
            <v>0</v>
          </cell>
        </row>
        <row r="1169">
          <cell r="A1169">
            <v>1169</v>
          </cell>
          <cell r="C1169" t="str">
            <v>저압나트륨램프</v>
          </cell>
          <cell r="D1169" t="str">
            <v>NXT 66W</v>
          </cell>
          <cell r="E1169" t="str">
            <v>EA</v>
          </cell>
          <cell r="S1169">
            <v>0</v>
          </cell>
        </row>
        <row r="1170">
          <cell r="A1170">
            <v>1170</v>
          </cell>
          <cell r="C1170" t="str">
            <v>저압나트륨램프</v>
          </cell>
          <cell r="D1170" t="str">
            <v>NXT 91W</v>
          </cell>
          <cell r="E1170" t="str">
            <v>EA</v>
          </cell>
          <cell r="S1170">
            <v>0</v>
          </cell>
        </row>
        <row r="1171">
          <cell r="A1171">
            <v>1171</v>
          </cell>
          <cell r="C1171" t="str">
            <v>저압나트륨램프</v>
          </cell>
          <cell r="D1171" t="str">
            <v>NXT 131W</v>
          </cell>
          <cell r="E1171" t="str">
            <v>EA</v>
          </cell>
          <cell r="S1171">
            <v>0</v>
          </cell>
        </row>
        <row r="1172">
          <cell r="A1172">
            <v>1172</v>
          </cell>
          <cell r="S1172" t="str">
            <v/>
          </cell>
        </row>
        <row r="1173">
          <cell r="A1173">
            <v>1173</v>
          </cell>
          <cell r="S1173" t="str">
            <v/>
          </cell>
        </row>
        <row r="1174">
          <cell r="A1174">
            <v>1174</v>
          </cell>
          <cell r="C1174" t="str">
            <v>저압나트륨안정기</v>
          </cell>
          <cell r="D1174" t="str">
            <v>NXT 36W</v>
          </cell>
          <cell r="E1174" t="str">
            <v>EA</v>
          </cell>
          <cell r="S1174">
            <v>0</v>
          </cell>
        </row>
        <row r="1175">
          <cell r="A1175">
            <v>1175</v>
          </cell>
          <cell r="C1175" t="str">
            <v>저압나트륨안정기</v>
          </cell>
          <cell r="D1175" t="str">
            <v>NXT 66W</v>
          </cell>
          <cell r="E1175" t="str">
            <v>EA</v>
          </cell>
          <cell r="S1175">
            <v>0</v>
          </cell>
        </row>
        <row r="1176">
          <cell r="A1176">
            <v>1176</v>
          </cell>
          <cell r="C1176" t="str">
            <v>저압나트륨안정기</v>
          </cell>
          <cell r="D1176" t="str">
            <v>NXT 91W</v>
          </cell>
          <cell r="E1176" t="str">
            <v>EA</v>
          </cell>
          <cell r="S1176">
            <v>0</v>
          </cell>
        </row>
        <row r="1177">
          <cell r="A1177">
            <v>1177</v>
          </cell>
          <cell r="C1177" t="str">
            <v>저압나트륨안정기</v>
          </cell>
          <cell r="D1177" t="str">
            <v>NXT 131W</v>
          </cell>
          <cell r="E1177" t="str">
            <v>EA</v>
          </cell>
          <cell r="S1177">
            <v>0</v>
          </cell>
        </row>
        <row r="1178">
          <cell r="A1178">
            <v>1178</v>
          </cell>
          <cell r="S1178" t="str">
            <v/>
          </cell>
        </row>
        <row r="1179">
          <cell r="A1179">
            <v>1179</v>
          </cell>
          <cell r="S1179" t="str">
            <v/>
          </cell>
        </row>
        <row r="1180">
          <cell r="A1180">
            <v>1180</v>
          </cell>
          <cell r="S1180" t="str">
            <v/>
          </cell>
        </row>
        <row r="1181">
          <cell r="A1181">
            <v>1181</v>
          </cell>
          <cell r="B1181" t="str">
            <v>기계화시공</v>
          </cell>
          <cell r="C1181" t="str">
            <v>스텐 원형테파 가로등주</v>
          </cell>
          <cell r="D1181" t="str">
            <v>10m Pole-2.5m 1Arm</v>
          </cell>
          <cell r="E1181" t="str">
            <v>본</v>
          </cell>
          <cell r="L1181" t="str">
            <v>길성조명</v>
          </cell>
          <cell r="M1181">
            <v>1200000</v>
          </cell>
          <cell r="S1181">
            <v>1200000</v>
          </cell>
        </row>
        <row r="1182">
          <cell r="A1182">
            <v>1182</v>
          </cell>
          <cell r="B1182" t="str">
            <v>기계화시공</v>
          </cell>
          <cell r="C1182" t="str">
            <v>스텐 원형테파 가로등주</v>
          </cell>
          <cell r="D1182" t="str">
            <v>10m Pole-2.5m 2Arm</v>
          </cell>
          <cell r="E1182" t="str">
            <v>본</v>
          </cell>
          <cell r="L1182" t="str">
            <v>길성조명</v>
          </cell>
          <cell r="M1182">
            <v>1400000</v>
          </cell>
          <cell r="S1182">
            <v>1400000</v>
          </cell>
        </row>
        <row r="1183">
          <cell r="A1183">
            <v>1183</v>
          </cell>
          <cell r="B1183" t="str">
            <v>기계화시공</v>
          </cell>
          <cell r="C1183" t="str">
            <v>스텐 원형테파 가로등주</v>
          </cell>
          <cell r="D1183" t="str">
            <v>5m Pole-1.5m 1Arm</v>
          </cell>
          <cell r="E1183" t="str">
            <v>본</v>
          </cell>
          <cell r="L1183" t="str">
            <v>길성조명</v>
          </cell>
          <cell r="M1183">
            <v>900000</v>
          </cell>
          <cell r="S1183">
            <v>900000</v>
          </cell>
        </row>
        <row r="1184">
          <cell r="A1184">
            <v>1184</v>
          </cell>
          <cell r="B1184" t="str">
            <v>기계화시공</v>
          </cell>
          <cell r="C1184" t="str">
            <v>스텐 원형테파 가로등주</v>
          </cell>
          <cell r="D1184" t="str">
            <v>10m Pole-2.5m+1.5m Arm</v>
          </cell>
          <cell r="E1184" t="str">
            <v>본</v>
          </cell>
          <cell r="L1184" t="str">
            <v>길성조명</v>
          </cell>
          <cell r="M1184">
            <v>1350000</v>
          </cell>
          <cell r="S1184">
            <v>1350000</v>
          </cell>
        </row>
        <row r="1185">
          <cell r="A1185">
            <v>1185</v>
          </cell>
          <cell r="B1185" t="str">
            <v>기계화시공</v>
          </cell>
          <cell r="C1185" t="str">
            <v>스텐 8각테파 원형3단 등주</v>
          </cell>
          <cell r="D1185" t="str">
            <v>10m Pole-2.5m 1Arm</v>
          </cell>
          <cell r="E1185" t="str">
            <v>본</v>
          </cell>
          <cell r="L1185" t="str">
            <v>길성조명</v>
          </cell>
          <cell r="M1185">
            <v>1050000</v>
          </cell>
          <cell r="S1185">
            <v>1050000</v>
          </cell>
        </row>
        <row r="1186">
          <cell r="A1186">
            <v>1186</v>
          </cell>
          <cell r="B1186" t="str">
            <v>기계화시공</v>
          </cell>
          <cell r="C1186" t="str">
            <v>스텐 8각테파 원형3단 등주</v>
          </cell>
          <cell r="D1186" t="str">
            <v>10m Pole-2.5m 2Arm</v>
          </cell>
          <cell r="E1186" t="str">
            <v>본</v>
          </cell>
          <cell r="L1186" t="str">
            <v>길성조명</v>
          </cell>
          <cell r="M1186">
            <v>1250000</v>
          </cell>
          <cell r="S1186">
            <v>1250000</v>
          </cell>
        </row>
        <row r="1187">
          <cell r="A1187">
            <v>1187</v>
          </cell>
          <cell r="B1187" t="str">
            <v>기계화시공</v>
          </cell>
          <cell r="C1187" t="str">
            <v>스텐 8각테파 원형3단 등주</v>
          </cell>
          <cell r="D1187" t="str">
            <v>5m Pole-1.5m 1Arm</v>
          </cell>
          <cell r="E1187" t="str">
            <v>본</v>
          </cell>
          <cell r="L1187" t="str">
            <v>길성조명</v>
          </cell>
          <cell r="M1187">
            <v>750000</v>
          </cell>
          <cell r="S1187">
            <v>750000</v>
          </cell>
        </row>
        <row r="1188">
          <cell r="A1188">
            <v>1188</v>
          </cell>
          <cell r="B1188" t="str">
            <v>기계화시공</v>
          </cell>
          <cell r="C1188" t="str">
            <v>스텐 8각테파 원형3단 등주</v>
          </cell>
          <cell r="D1188" t="str">
            <v>10m Pole-2.5m+1.5m Arm</v>
          </cell>
          <cell r="E1188" t="str">
            <v>본</v>
          </cell>
          <cell r="L1188" t="str">
            <v>길성조명</v>
          </cell>
          <cell r="M1188">
            <v>1200000</v>
          </cell>
          <cell r="S1188">
            <v>1200000</v>
          </cell>
        </row>
        <row r="1189">
          <cell r="A1189">
            <v>1189</v>
          </cell>
          <cell r="S1189" t="str">
            <v/>
          </cell>
        </row>
        <row r="1190">
          <cell r="A1190">
            <v>1190</v>
          </cell>
          <cell r="B1190" t="str">
            <v>기계화시공</v>
          </cell>
          <cell r="C1190" t="str">
            <v>가로등주 설치비</v>
          </cell>
          <cell r="D1190" t="str">
            <v xml:space="preserve"> 4~7m폴 </v>
          </cell>
          <cell r="E1190" t="str">
            <v>본</v>
          </cell>
          <cell r="R1190">
            <v>24855</v>
          </cell>
          <cell r="S1190">
            <v>1091</v>
          </cell>
          <cell r="T1190">
            <v>4627</v>
          </cell>
          <cell r="AD1190" t="str">
            <v>제23호표</v>
          </cell>
        </row>
        <row r="1191">
          <cell r="A1191">
            <v>1191</v>
          </cell>
          <cell r="B1191" t="str">
            <v>기계화시공</v>
          </cell>
          <cell r="C1191" t="str">
            <v>가로등주 설치비</v>
          </cell>
          <cell r="D1191" t="str">
            <v xml:space="preserve"> 8~9m폴 </v>
          </cell>
          <cell r="E1191" t="str">
            <v>본</v>
          </cell>
          <cell r="R1191">
            <v>28227</v>
          </cell>
          <cell r="S1191">
            <v>1190</v>
          </cell>
          <cell r="T1191">
            <v>5047</v>
          </cell>
          <cell r="AD1191" t="str">
            <v>제22호표</v>
          </cell>
        </row>
        <row r="1192">
          <cell r="A1192">
            <v>1192</v>
          </cell>
          <cell r="B1192" t="str">
            <v>기계화시공</v>
          </cell>
          <cell r="C1192" t="str">
            <v>가로등주 설치비</v>
          </cell>
          <cell r="D1192" t="str">
            <v xml:space="preserve"> 10~12m폴 </v>
          </cell>
          <cell r="E1192" t="str">
            <v>본</v>
          </cell>
          <cell r="R1192">
            <v>32110</v>
          </cell>
          <cell r="S1192">
            <v>1290</v>
          </cell>
          <cell r="T1192">
            <v>5468</v>
          </cell>
          <cell r="AD1192" t="str">
            <v>제21호표</v>
          </cell>
        </row>
        <row r="1193">
          <cell r="A1193">
            <v>1193</v>
          </cell>
          <cell r="C1193" t="str">
            <v>가로등 NH등기구</v>
          </cell>
          <cell r="D1193" t="str">
            <v>김포 대형(AL)</v>
          </cell>
          <cell r="E1193" t="str">
            <v>EA</v>
          </cell>
          <cell r="L1193" t="str">
            <v>길성조명</v>
          </cell>
          <cell r="M1193">
            <v>215000</v>
          </cell>
          <cell r="S1193">
            <v>215000</v>
          </cell>
          <cell r="V1193" t="str">
            <v>내선</v>
          </cell>
          <cell r="W1193">
            <v>0.52800000000000002</v>
          </cell>
        </row>
        <row r="1194">
          <cell r="A1194">
            <v>1194</v>
          </cell>
          <cell r="C1194" t="str">
            <v>가로등 NH등기구</v>
          </cell>
          <cell r="D1194" t="str">
            <v>김포 중형(SUS)</v>
          </cell>
          <cell r="E1194" t="str">
            <v>EA</v>
          </cell>
          <cell r="L1194" t="str">
            <v>길성조명</v>
          </cell>
          <cell r="M1194">
            <v>185000</v>
          </cell>
          <cell r="S1194">
            <v>185000</v>
          </cell>
          <cell r="V1194" t="str">
            <v>내선</v>
          </cell>
          <cell r="W1194">
            <v>0.49500000000000005</v>
          </cell>
        </row>
        <row r="1195">
          <cell r="A1195">
            <v>1195</v>
          </cell>
          <cell r="B1195" t="str">
            <v>기계화시공</v>
          </cell>
          <cell r="C1195" t="str">
            <v>가로등주 철거비</v>
          </cell>
          <cell r="D1195" t="str">
            <v xml:space="preserve">8각테퍼 8~9m폴 </v>
          </cell>
          <cell r="E1195" t="str">
            <v>본</v>
          </cell>
          <cell r="R1195">
            <v>28227</v>
          </cell>
          <cell r="S1195">
            <v>1190</v>
          </cell>
          <cell r="T1195">
            <v>5047</v>
          </cell>
          <cell r="AD1195" t="str">
            <v>제22호표</v>
          </cell>
        </row>
        <row r="1196">
          <cell r="A1196">
            <v>1196</v>
          </cell>
          <cell r="S1196" t="str">
            <v/>
          </cell>
        </row>
        <row r="1197">
          <cell r="A1197">
            <v>1197</v>
          </cell>
          <cell r="C1197" t="str">
            <v>STRAIGHT TRAY(H.D.G)</v>
          </cell>
          <cell r="D1197" t="str">
            <v>150W×100H</v>
          </cell>
          <cell r="E1197" t="str">
            <v>m</v>
          </cell>
          <cell r="H1197">
            <v>831</v>
          </cell>
          <cell r="I1197">
            <v>12000</v>
          </cell>
          <cell r="J1197">
            <v>880</v>
          </cell>
          <cell r="K1197">
            <v>10250</v>
          </cell>
          <cell r="S1197">
            <v>10250</v>
          </cell>
          <cell r="V1197" t="str">
            <v>내선</v>
          </cell>
          <cell r="W1197">
            <v>0.22500000000000001</v>
          </cell>
        </row>
        <row r="1198">
          <cell r="A1198">
            <v>1198</v>
          </cell>
          <cell r="C1198" t="str">
            <v>STRAIGHT TRAY(H.D.G)</v>
          </cell>
          <cell r="D1198" t="str">
            <v>150W×150H</v>
          </cell>
          <cell r="E1198" t="str">
            <v>m</v>
          </cell>
          <cell r="S1198">
            <v>0</v>
          </cell>
          <cell r="V1198" t="str">
            <v>내선</v>
          </cell>
          <cell r="W1198">
            <v>0.22500000000000001</v>
          </cell>
        </row>
        <row r="1199">
          <cell r="A1199">
            <v>1199</v>
          </cell>
          <cell r="C1199" t="str">
            <v>STRAIGHT TRAY(H.D.G)</v>
          </cell>
          <cell r="D1199" t="str">
            <v>200W×100H</v>
          </cell>
          <cell r="E1199" t="str">
            <v>m</v>
          </cell>
          <cell r="H1199">
            <v>831</v>
          </cell>
          <cell r="I1199">
            <v>13500</v>
          </cell>
          <cell r="J1199">
            <v>880</v>
          </cell>
          <cell r="K1199">
            <v>10600</v>
          </cell>
          <cell r="S1199">
            <v>10600</v>
          </cell>
          <cell r="V1199" t="str">
            <v>내선</v>
          </cell>
          <cell r="W1199">
            <v>0.22500000000000001</v>
          </cell>
        </row>
        <row r="1200">
          <cell r="A1200">
            <v>1200</v>
          </cell>
          <cell r="C1200" t="str">
            <v>STRAIGHT TRAY(H.D.G)</v>
          </cell>
          <cell r="D1200" t="str">
            <v>200W×150H</v>
          </cell>
          <cell r="E1200" t="str">
            <v>m</v>
          </cell>
          <cell r="S1200">
            <v>0</v>
          </cell>
          <cell r="V1200" t="str">
            <v>내선</v>
          </cell>
          <cell r="W1200">
            <v>0.22500000000000001</v>
          </cell>
        </row>
        <row r="1201">
          <cell r="A1201">
            <v>1201</v>
          </cell>
          <cell r="C1201" t="str">
            <v>STRAIGHT TRAY(H.D.G)</v>
          </cell>
          <cell r="D1201" t="str">
            <v>300W×100H</v>
          </cell>
          <cell r="E1201" t="str">
            <v>m</v>
          </cell>
          <cell r="H1201">
            <v>831</v>
          </cell>
          <cell r="I1201">
            <v>16700</v>
          </cell>
          <cell r="J1201">
            <v>880</v>
          </cell>
          <cell r="K1201">
            <v>11300</v>
          </cell>
          <cell r="S1201">
            <v>11300</v>
          </cell>
          <cell r="V1201" t="str">
            <v>내선</v>
          </cell>
          <cell r="W1201">
            <v>0.28499999999999998</v>
          </cell>
        </row>
        <row r="1202">
          <cell r="A1202">
            <v>1202</v>
          </cell>
          <cell r="C1202" t="str">
            <v>STRAIGHT TRAY(H.D.G)</v>
          </cell>
          <cell r="D1202" t="str">
            <v>300W×150H</v>
          </cell>
          <cell r="E1202" t="str">
            <v>m</v>
          </cell>
          <cell r="S1202">
            <v>0</v>
          </cell>
          <cell r="V1202" t="str">
            <v>내선</v>
          </cell>
          <cell r="W1202">
            <v>0.28499999999999998</v>
          </cell>
        </row>
        <row r="1203">
          <cell r="A1203">
            <v>1203</v>
          </cell>
          <cell r="C1203" t="str">
            <v>STRAIGHT TRAY(H.D.G)</v>
          </cell>
          <cell r="D1203" t="str">
            <v>400W×100H</v>
          </cell>
          <cell r="E1203" t="str">
            <v>m</v>
          </cell>
          <cell r="H1203">
            <v>833</v>
          </cell>
          <cell r="I1203">
            <v>11520</v>
          </cell>
          <cell r="J1203">
            <v>881</v>
          </cell>
          <cell r="K1203">
            <v>19230</v>
          </cell>
          <cell r="S1203">
            <v>11520</v>
          </cell>
          <cell r="V1203" t="str">
            <v>내선</v>
          </cell>
          <cell r="W1203">
            <v>0.33500000000000002</v>
          </cell>
        </row>
        <row r="1204">
          <cell r="A1204">
            <v>1204</v>
          </cell>
          <cell r="C1204" t="str">
            <v>STRAIGHT TRAY(H.D.G)</v>
          </cell>
          <cell r="D1204" t="str">
            <v>400W×150H</v>
          </cell>
          <cell r="E1204" t="str">
            <v>m</v>
          </cell>
          <cell r="S1204">
            <v>0</v>
          </cell>
          <cell r="V1204" t="str">
            <v>내선</v>
          </cell>
          <cell r="W1204">
            <v>0.33500000000000002</v>
          </cell>
        </row>
        <row r="1205">
          <cell r="A1205">
            <v>1205</v>
          </cell>
          <cell r="C1205" t="str">
            <v>STRAIGHT TRAY(H.D.G)</v>
          </cell>
          <cell r="D1205" t="str">
            <v>500W×100H</v>
          </cell>
          <cell r="E1205" t="str">
            <v>m</v>
          </cell>
          <cell r="J1205">
            <v>881</v>
          </cell>
          <cell r="S1205">
            <v>0</v>
          </cell>
          <cell r="V1205" t="str">
            <v>내선</v>
          </cell>
          <cell r="W1205">
            <v>0.44500000000000001</v>
          </cell>
        </row>
        <row r="1206">
          <cell r="A1206">
            <v>1206</v>
          </cell>
          <cell r="C1206" t="str">
            <v>STRAIGHT TRAY(H.D.G)</v>
          </cell>
          <cell r="D1206" t="str">
            <v>500W×150H</v>
          </cell>
          <cell r="E1206" t="str">
            <v>m</v>
          </cell>
          <cell r="S1206">
            <v>0</v>
          </cell>
          <cell r="V1206" t="str">
            <v>내선</v>
          </cell>
          <cell r="W1206">
            <v>0.44500000000000001</v>
          </cell>
        </row>
        <row r="1207">
          <cell r="A1207">
            <v>1207</v>
          </cell>
          <cell r="C1207" t="str">
            <v>STRAIGHT TRAY(H.D.G)</v>
          </cell>
          <cell r="D1207" t="str">
            <v>600W×100H</v>
          </cell>
          <cell r="E1207" t="str">
            <v>m</v>
          </cell>
          <cell r="H1207">
            <v>831</v>
          </cell>
          <cell r="I1207">
            <v>29500</v>
          </cell>
          <cell r="J1207">
            <v>880</v>
          </cell>
          <cell r="S1207">
            <v>29500</v>
          </cell>
          <cell r="V1207" t="str">
            <v>내선</v>
          </cell>
          <cell r="W1207">
            <v>0.52</v>
          </cell>
        </row>
        <row r="1208">
          <cell r="A1208">
            <v>1208</v>
          </cell>
          <cell r="C1208" t="str">
            <v>STRAIGHT TRAY(H.D.G)</v>
          </cell>
          <cell r="D1208" t="str">
            <v>600W×150H</v>
          </cell>
          <cell r="E1208" t="str">
            <v>m</v>
          </cell>
          <cell r="S1208">
            <v>0</v>
          </cell>
          <cell r="V1208" t="str">
            <v>내선</v>
          </cell>
          <cell r="W1208">
            <v>0.52</v>
          </cell>
        </row>
        <row r="1209">
          <cell r="A1209">
            <v>1209</v>
          </cell>
          <cell r="C1209" t="str">
            <v>STRAIGHT TRAY(H.D.G)</v>
          </cell>
          <cell r="D1209" t="str">
            <v>750W×150H</v>
          </cell>
          <cell r="E1209" t="str">
            <v>m</v>
          </cell>
          <cell r="H1209">
            <v>831</v>
          </cell>
          <cell r="I1209">
            <v>34500</v>
          </cell>
          <cell r="J1209">
            <v>880</v>
          </cell>
          <cell r="S1209">
            <v>34500</v>
          </cell>
          <cell r="V1209" t="str">
            <v>내선</v>
          </cell>
          <cell r="W1209">
            <v>0.52</v>
          </cell>
        </row>
        <row r="1210">
          <cell r="A1210">
            <v>1210</v>
          </cell>
          <cell r="C1210" t="str">
            <v>STRAIGHT TRAY(H.D.G)</v>
          </cell>
          <cell r="D1210" t="str">
            <v>450W×100H</v>
          </cell>
          <cell r="E1210" t="str">
            <v>m</v>
          </cell>
          <cell r="H1210">
            <v>831</v>
          </cell>
          <cell r="I1210">
            <v>21500</v>
          </cell>
          <cell r="J1210">
            <v>880</v>
          </cell>
          <cell r="K1210">
            <v>12400</v>
          </cell>
          <cell r="S1210">
            <v>12400</v>
          </cell>
          <cell r="V1210" t="str">
            <v>내선</v>
          </cell>
          <cell r="W1210">
            <v>0.44500000000000001</v>
          </cell>
        </row>
        <row r="1211">
          <cell r="A1211">
            <v>1211</v>
          </cell>
          <cell r="C1211" t="str">
            <v>STRAIGHT TRAY(H.D.G)</v>
          </cell>
          <cell r="D1211" t="str">
            <v>450W×150H</v>
          </cell>
          <cell r="E1211" t="str">
            <v>m</v>
          </cell>
          <cell r="S1211">
            <v>0</v>
          </cell>
          <cell r="V1211" t="str">
            <v>내선</v>
          </cell>
          <cell r="W1211">
            <v>0.44500000000000001</v>
          </cell>
        </row>
        <row r="1212">
          <cell r="A1212">
            <v>1212</v>
          </cell>
          <cell r="S1212" t="str">
            <v/>
          </cell>
        </row>
        <row r="1213">
          <cell r="A1213">
            <v>1213</v>
          </cell>
          <cell r="C1213" t="str">
            <v>HOR-ELBOW (H.D.G)</v>
          </cell>
          <cell r="D1213" t="str">
            <v>150W×100H</v>
          </cell>
          <cell r="E1213" t="str">
            <v>EA</v>
          </cell>
          <cell r="J1213">
            <v>880</v>
          </cell>
          <cell r="K1213">
            <v>14700</v>
          </cell>
          <cell r="S1213">
            <v>14700</v>
          </cell>
          <cell r="V1213" t="str">
            <v>내선</v>
          </cell>
          <cell r="W1213">
            <v>0.22500000000000001</v>
          </cell>
        </row>
        <row r="1214">
          <cell r="A1214">
            <v>1214</v>
          </cell>
          <cell r="C1214" t="str">
            <v>HOR-ELBOW (H.D.G)</v>
          </cell>
          <cell r="D1214" t="str">
            <v>150W×150H</v>
          </cell>
          <cell r="E1214" t="str">
            <v>EA</v>
          </cell>
          <cell r="S1214">
            <v>0</v>
          </cell>
          <cell r="V1214" t="str">
            <v>내선</v>
          </cell>
          <cell r="W1214">
            <v>0.22500000000000001</v>
          </cell>
        </row>
        <row r="1215">
          <cell r="A1215">
            <v>1215</v>
          </cell>
          <cell r="C1215" t="str">
            <v>HOR-ELBOW (H.D.G)</v>
          </cell>
          <cell r="D1215" t="str">
            <v>200W×100H</v>
          </cell>
          <cell r="E1215" t="str">
            <v>EA</v>
          </cell>
          <cell r="J1215">
            <v>880</v>
          </cell>
          <cell r="K1215">
            <v>17000</v>
          </cell>
          <cell r="S1215">
            <v>17000</v>
          </cell>
          <cell r="V1215" t="str">
            <v>내선</v>
          </cell>
          <cell r="W1215">
            <v>0.22500000000000001</v>
          </cell>
        </row>
        <row r="1216">
          <cell r="A1216">
            <v>1216</v>
          </cell>
          <cell r="C1216" t="str">
            <v>HOR-ELBOW (H.D.G)</v>
          </cell>
          <cell r="D1216" t="str">
            <v>200W×150H</v>
          </cell>
          <cell r="E1216" t="str">
            <v>EA</v>
          </cell>
          <cell r="S1216">
            <v>0</v>
          </cell>
          <cell r="V1216" t="str">
            <v>내선</v>
          </cell>
          <cell r="W1216">
            <v>0.22500000000000001</v>
          </cell>
        </row>
        <row r="1217">
          <cell r="A1217">
            <v>1217</v>
          </cell>
          <cell r="C1217" t="str">
            <v>HOR-ELBOW (H.D.G)</v>
          </cell>
          <cell r="D1217" t="str">
            <v>300W×100H</v>
          </cell>
          <cell r="E1217" t="str">
            <v>EA</v>
          </cell>
          <cell r="J1217">
            <v>880</v>
          </cell>
          <cell r="K1217">
            <v>18000</v>
          </cell>
          <cell r="S1217">
            <v>18000</v>
          </cell>
          <cell r="V1217" t="str">
            <v>내선</v>
          </cell>
          <cell r="W1217">
            <v>0.28499999999999998</v>
          </cell>
        </row>
        <row r="1218">
          <cell r="A1218">
            <v>1218</v>
          </cell>
          <cell r="C1218" t="str">
            <v>HOR-ELBOW (H.D.G)</v>
          </cell>
          <cell r="D1218" t="str">
            <v>300W×150H</v>
          </cell>
          <cell r="E1218" t="str">
            <v>EA</v>
          </cell>
          <cell r="S1218">
            <v>0</v>
          </cell>
          <cell r="V1218" t="str">
            <v>내선</v>
          </cell>
          <cell r="W1218">
            <v>0.28499999999999998</v>
          </cell>
        </row>
        <row r="1219">
          <cell r="A1219">
            <v>1219</v>
          </cell>
          <cell r="C1219" t="str">
            <v>HOR-ELBOW (H.D.G)</v>
          </cell>
          <cell r="D1219" t="str">
            <v>400W×100H</v>
          </cell>
          <cell r="E1219" t="str">
            <v>EA</v>
          </cell>
          <cell r="S1219">
            <v>0</v>
          </cell>
          <cell r="V1219" t="str">
            <v>내선</v>
          </cell>
          <cell r="W1219">
            <v>0.33500000000000002</v>
          </cell>
        </row>
        <row r="1220">
          <cell r="A1220">
            <v>1220</v>
          </cell>
          <cell r="C1220" t="str">
            <v>HOR-ELBOW (H.D.G)</v>
          </cell>
          <cell r="D1220" t="str">
            <v>400W×150H</v>
          </cell>
          <cell r="E1220" t="str">
            <v>EA</v>
          </cell>
          <cell r="S1220">
            <v>0</v>
          </cell>
          <cell r="V1220" t="str">
            <v>내선</v>
          </cell>
          <cell r="W1220">
            <v>0.33500000000000002</v>
          </cell>
        </row>
        <row r="1221">
          <cell r="A1221">
            <v>1221</v>
          </cell>
          <cell r="C1221" t="str">
            <v>HOR-ELBOW (H.D.G)</v>
          </cell>
          <cell r="D1221" t="str">
            <v>500W×100H</v>
          </cell>
          <cell r="E1221" t="str">
            <v>EA</v>
          </cell>
          <cell r="S1221">
            <v>0</v>
          </cell>
          <cell r="V1221" t="str">
            <v>내선</v>
          </cell>
          <cell r="W1221">
            <v>0.44500000000000001</v>
          </cell>
        </row>
        <row r="1222">
          <cell r="A1222">
            <v>1222</v>
          </cell>
          <cell r="C1222" t="str">
            <v>HOR-ELBOW (H.D.G)</v>
          </cell>
          <cell r="D1222" t="str">
            <v>500W×150H</v>
          </cell>
          <cell r="E1222" t="str">
            <v>EA</v>
          </cell>
          <cell r="S1222">
            <v>0</v>
          </cell>
          <cell r="V1222" t="str">
            <v>내선</v>
          </cell>
          <cell r="W1222">
            <v>0.44500000000000001</v>
          </cell>
        </row>
        <row r="1223">
          <cell r="A1223">
            <v>1223</v>
          </cell>
          <cell r="C1223" t="str">
            <v>HOR-ELBOW (H.D.G)</v>
          </cell>
          <cell r="D1223" t="str">
            <v>600W×100H</v>
          </cell>
          <cell r="E1223" t="str">
            <v>EA</v>
          </cell>
          <cell r="J1223">
            <v>880</v>
          </cell>
          <cell r="K1223">
            <v>26300</v>
          </cell>
          <cell r="S1223">
            <v>26300</v>
          </cell>
          <cell r="V1223" t="str">
            <v>내선</v>
          </cell>
          <cell r="W1223">
            <v>0.52</v>
          </cell>
        </row>
        <row r="1224">
          <cell r="A1224">
            <v>1224</v>
          </cell>
          <cell r="C1224" t="str">
            <v>HOR-ELBOW (H.D.G)</v>
          </cell>
          <cell r="D1224" t="str">
            <v>600W×150H</v>
          </cell>
          <cell r="E1224" t="str">
            <v>EA</v>
          </cell>
          <cell r="S1224">
            <v>0</v>
          </cell>
          <cell r="V1224" t="str">
            <v>내선</v>
          </cell>
          <cell r="W1224">
            <v>0.52</v>
          </cell>
        </row>
        <row r="1225">
          <cell r="A1225">
            <v>1225</v>
          </cell>
          <cell r="S1225" t="str">
            <v/>
          </cell>
        </row>
        <row r="1226">
          <cell r="A1226">
            <v>1226</v>
          </cell>
          <cell r="C1226" t="str">
            <v>HOR-ELBOW (H.D.G)</v>
          </cell>
          <cell r="D1226" t="str">
            <v>450W×100H</v>
          </cell>
          <cell r="E1226" t="str">
            <v>EA</v>
          </cell>
          <cell r="J1226">
            <v>880</v>
          </cell>
          <cell r="K1226">
            <v>25000</v>
          </cell>
          <cell r="S1226">
            <v>25000</v>
          </cell>
          <cell r="V1226" t="str">
            <v>내선</v>
          </cell>
          <cell r="W1226">
            <v>0.44500000000000001</v>
          </cell>
        </row>
        <row r="1227">
          <cell r="A1227">
            <v>1227</v>
          </cell>
          <cell r="C1227" t="str">
            <v>HOR-ELBOW (H.D.G)</v>
          </cell>
          <cell r="D1227" t="str">
            <v>450W×150H</v>
          </cell>
          <cell r="E1227" t="str">
            <v>EA</v>
          </cell>
          <cell r="S1227">
            <v>0</v>
          </cell>
          <cell r="V1227" t="str">
            <v>내선</v>
          </cell>
          <cell r="W1227">
            <v>0.44500000000000001</v>
          </cell>
        </row>
        <row r="1228">
          <cell r="A1228">
            <v>1228</v>
          </cell>
          <cell r="C1228" t="str">
            <v>VER-ELBOW (H.D.G)</v>
          </cell>
          <cell r="D1228" t="str">
            <v>150W×100H</v>
          </cell>
          <cell r="E1228" t="str">
            <v>EA</v>
          </cell>
          <cell r="J1228">
            <v>880</v>
          </cell>
          <cell r="K1228">
            <v>12400</v>
          </cell>
          <cell r="S1228">
            <v>12400</v>
          </cell>
          <cell r="V1228" t="str">
            <v>내선</v>
          </cell>
          <cell r="W1228">
            <v>0.22500000000000001</v>
          </cell>
        </row>
        <row r="1229">
          <cell r="A1229">
            <v>1229</v>
          </cell>
          <cell r="C1229" t="str">
            <v>VER-ELBOW (H.D.G)</v>
          </cell>
          <cell r="D1229" t="str">
            <v>150W×150H</v>
          </cell>
          <cell r="E1229" t="str">
            <v>EA</v>
          </cell>
          <cell r="S1229">
            <v>0</v>
          </cell>
          <cell r="V1229" t="str">
            <v>내선</v>
          </cell>
          <cell r="W1229">
            <v>0.22500000000000001</v>
          </cell>
        </row>
        <row r="1230">
          <cell r="A1230">
            <v>1230</v>
          </cell>
          <cell r="C1230" t="str">
            <v>VER-ELBOW (H.D.G)</v>
          </cell>
          <cell r="D1230" t="str">
            <v>200W×100H</v>
          </cell>
          <cell r="E1230" t="str">
            <v>EA</v>
          </cell>
          <cell r="J1230">
            <v>880</v>
          </cell>
          <cell r="K1230">
            <v>13000</v>
          </cell>
          <cell r="S1230">
            <v>13000</v>
          </cell>
          <cell r="V1230" t="str">
            <v>내선</v>
          </cell>
          <cell r="W1230">
            <v>0.22500000000000001</v>
          </cell>
        </row>
        <row r="1231">
          <cell r="A1231">
            <v>1231</v>
          </cell>
          <cell r="C1231" t="str">
            <v>VER-ELBOW (H.D.G)</v>
          </cell>
          <cell r="D1231" t="str">
            <v>200W×150H</v>
          </cell>
          <cell r="E1231" t="str">
            <v>EA</v>
          </cell>
          <cell r="S1231">
            <v>0</v>
          </cell>
          <cell r="V1231" t="str">
            <v>내선</v>
          </cell>
          <cell r="W1231">
            <v>0.22500000000000001</v>
          </cell>
        </row>
        <row r="1232">
          <cell r="A1232">
            <v>1232</v>
          </cell>
          <cell r="C1232" t="str">
            <v>VER-ELBOW (H.D.G)</v>
          </cell>
          <cell r="D1232" t="str">
            <v>300W×100H</v>
          </cell>
          <cell r="E1232" t="str">
            <v>EA</v>
          </cell>
          <cell r="J1232">
            <v>880</v>
          </cell>
          <cell r="K1232">
            <v>13500</v>
          </cell>
          <cell r="S1232">
            <v>13500</v>
          </cell>
          <cell r="V1232" t="str">
            <v>내선</v>
          </cell>
          <cell r="W1232">
            <v>0.28499999999999998</v>
          </cell>
        </row>
        <row r="1233">
          <cell r="A1233">
            <v>1233</v>
          </cell>
          <cell r="C1233" t="str">
            <v>VER-ELBOW (H.D.G)</v>
          </cell>
          <cell r="D1233" t="str">
            <v>300W×150H</v>
          </cell>
          <cell r="E1233" t="str">
            <v>EA</v>
          </cell>
          <cell r="S1233">
            <v>0</v>
          </cell>
          <cell r="V1233" t="str">
            <v>내선</v>
          </cell>
          <cell r="W1233">
            <v>0.28499999999999998</v>
          </cell>
        </row>
        <row r="1234">
          <cell r="A1234">
            <v>1234</v>
          </cell>
          <cell r="C1234" t="str">
            <v>VER-ELBOW (H.D.G)</v>
          </cell>
          <cell r="D1234" t="str">
            <v>450W×100H</v>
          </cell>
          <cell r="E1234" t="str">
            <v>EA</v>
          </cell>
          <cell r="J1234">
            <v>879</v>
          </cell>
          <cell r="K1234">
            <v>15200</v>
          </cell>
          <cell r="S1234">
            <v>15200</v>
          </cell>
          <cell r="V1234" t="str">
            <v>내선</v>
          </cell>
          <cell r="W1234">
            <v>0.33500000000000002</v>
          </cell>
        </row>
        <row r="1235">
          <cell r="A1235">
            <v>1235</v>
          </cell>
          <cell r="C1235" t="str">
            <v>VER-ELBOW (H.D.G)</v>
          </cell>
          <cell r="D1235" t="str">
            <v>450W×150H</v>
          </cell>
          <cell r="E1235" t="str">
            <v>EA</v>
          </cell>
          <cell r="S1235">
            <v>0</v>
          </cell>
          <cell r="V1235" t="str">
            <v>내선</v>
          </cell>
          <cell r="W1235">
            <v>0.33500000000000002</v>
          </cell>
        </row>
        <row r="1236">
          <cell r="A1236">
            <v>1236</v>
          </cell>
          <cell r="C1236" t="str">
            <v>VER-ELBOW (H.D.G)</v>
          </cell>
          <cell r="D1236" t="str">
            <v>500W×100H</v>
          </cell>
          <cell r="E1236" t="str">
            <v>EA</v>
          </cell>
          <cell r="S1236">
            <v>0</v>
          </cell>
          <cell r="V1236" t="str">
            <v>내선</v>
          </cell>
          <cell r="W1236">
            <v>0.44500000000000001</v>
          </cell>
        </row>
        <row r="1237">
          <cell r="A1237">
            <v>1237</v>
          </cell>
          <cell r="C1237" t="str">
            <v>VER-ELBOW (H.D.G)</v>
          </cell>
          <cell r="D1237" t="str">
            <v>500W×150H</v>
          </cell>
          <cell r="E1237" t="str">
            <v>EA</v>
          </cell>
          <cell r="S1237">
            <v>0</v>
          </cell>
          <cell r="V1237" t="str">
            <v>내선</v>
          </cell>
          <cell r="W1237">
            <v>0.44500000000000001</v>
          </cell>
        </row>
        <row r="1238">
          <cell r="A1238">
            <v>1238</v>
          </cell>
          <cell r="C1238" t="str">
            <v>VER-ELBOW (H.D.G)</v>
          </cell>
          <cell r="D1238" t="str">
            <v>600W×100H</v>
          </cell>
          <cell r="E1238" t="str">
            <v>EA</v>
          </cell>
          <cell r="J1238">
            <v>879</v>
          </cell>
          <cell r="K1238">
            <v>16200</v>
          </cell>
          <cell r="S1238">
            <v>16200</v>
          </cell>
          <cell r="V1238" t="str">
            <v>내선</v>
          </cell>
          <cell r="W1238">
            <v>0.52</v>
          </cell>
        </row>
        <row r="1239">
          <cell r="A1239">
            <v>1239</v>
          </cell>
          <cell r="C1239" t="str">
            <v>VER-ELBOW (H.D.G)</v>
          </cell>
          <cell r="D1239" t="str">
            <v>600W×150H</v>
          </cell>
          <cell r="E1239" t="str">
            <v>EA</v>
          </cell>
          <cell r="S1239">
            <v>0</v>
          </cell>
          <cell r="V1239" t="str">
            <v>내선</v>
          </cell>
          <cell r="W1239">
            <v>0.52</v>
          </cell>
        </row>
        <row r="1240">
          <cell r="A1240">
            <v>1238</v>
          </cell>
          <cell r="C1240" t="str">
            <v>VER-ELBOW (H.D.G)</v>
          </cell>
          <cell r="D1240" t="str">
            <v>600W×100H</v>
          </cell>
          <cell r="E1240" t="str">
            <v>EA</v>
          </cell>
          <cell r="J1240">
            <v>879</v>
          </cell>
          <cell r="K1240">
            <v>16200</v>
          </cell>
          <cell r="S1240">
            <v>16200</v>
          </cell>
          <cell r="V1240" t="str">
            <v>내선</v>
          </cell>
          <cell r="W1240">
            <v>0.52</v>
          </cell>
        </row>
        <row r="1241">
          <cell r="A1241">
            <v>1241</v>
          </cell>
          <cell r="C1241" t="str">
            <v>HOR-TEE (H.D.G)</v>
          </cell>
          <cell r="D1241" t="str">
            <v>150W×100H</v>
          </cell>
          <cell r="E1241" t="str">
            <v>EA</v>
          </cell>
          <cell r="S1241">
            <v>0</v>
          </cell>
          <cell r="V1241" t="str">
            <v>내선</v>
          </cell>
          <cell r="W1241">
            <v>0.22500000000000001</v>
          </cell>
        </row>
        <row r="1242">
          <cell r="A1242">
            <v>1242</v>
          </cell>
          <cell r="C1242" t="str">
            <v>HOR-TEE (H.D.G)</v>
          </cell>
          <cell r="D1242" t="str">
            <v>150W×150H</v>
          </cell>
          <cell r="E1242" t="str">
            <v>EA</v>
          </cell>
          <cell r="S1242">
            <v>0</v>
          </cell>
          <cell r="V1242" t="str">
            <v>내선</v>
          </cell>
          <cell r="W1242">
            <v>0.22500000000000001</v>
          </cell>
        </row>
        <row r="1243">
          <cell r="A1243">
            <v>1243</v>
          </cell>
          <cell r="C1243" t="str">
            <v>HOR-TEE (H.D.G)</v>
          </cell>
          <cell r="D1243" t="str">
            <v>200W×100H</v>
          </cell>
          <cell r="E1243" t="str">
            <v>EA</v>
          </cell>
          <cell r="J1243">
            <v>879</v>
          </cell>
          <cell r="K1243">
            <v>15500</v>
          </cell>
          <cell r="S1243">
            <v>15500</v>
          </cell>
          <cell r="V1243" t="str">
            <v>내선</v>
          </cell>
          <cell r="W1243">
            <v>0.22500000000000001</v>
          </cell>
        </row>
        <row r="1244">
          <cell r="A1244">
            <v>1244</v>
          </cell>
          <cell r="C1244" t="str">
            <v>HOR-TEE (H.D.G)</v>
          </cell>
          <cell r="D1244" t="str">
            <v>200W×150H</v>
          </cell>
          <cell r="E1244" t="str">
            <v>EA</v>
          </cell>
          <cell r="S1244">
            <v>0</v>
          </cell>
          <cell r="V1244" t="str">
            <v>내선</v>
          </cell>
          <cell r="W1244">
            <v>0.22500000000000001</v>
          </cell>
        </row>
        <row r="1245">
          <cell r="A1245">
            <v>1245</v>
          </cell>
          <cell r="C1245" t="str">
            <v>HOR-TEE (H.D.G)</v>
          </cell>
          <cell r="D1245" t="str">
            <v>300W×100H</v>
          </cell>
          <cell r="E1245" t="str">
            <v>EA</v>
          </cell>
          <cell r="J1245">
            <v>879</v>
          </cell>
          <cell r="K1245">
            <v>17600</v>
          </cell>
          <cell r="S1245">
            <v>17600</v>
          </cell>
          <cell r="V1245" t="str">
            <v>내선</v>
          </cell>
          <cell r="W1245">
            <v>0.28499999999999998</v>
          </cell>
        </row>
        <row r="1246">
          <cell r="A1246">
            <v>1246</v>
          </cell>
          <cell r="C1246" t="str">
            <v>HOR-TEE (H.D.G)</v>
          </cell>
          <cell r="D1246" t="str">
            <v>300W×150H</v>
          </cell>
          <cell r="E1246" t="str">
            <v>EA</v>
          </cell>
          <cell r="S1246">
            <v>0</v>
          </cell>
          <cell r="V1246" t="str">
            <v>내선</v>
          </cell>
          <cell r="W1246">
            <v>0.28499999999999998</v>
          </cell>
        </row>
        <row r="1247">
          <cell r="A1247">
            <v>1247</v>
          </cell>
          <cell r="C1247" t="str">
            <v>HOR-TEE (H.D.G)</v>
          </cell>
          <cell r="D1247" t="str">
            <v>450W×100H</v>
          </cell>
          <cell r="E1247" t="str">
            <v>EA</v>
          </cell>
          <cell r="J1247">
            <v>879</v>
          </cell>
          <cell r="K1247">
            <v>21100</v>
          </cell>
          <cell r="S1247">
            <v>21100</v>
          </cell>
          <cell r="V1247" t="str">
            <v>내선</v>
          </cell>
          <cell r="W1247">
            <v>0.33500000000000002</v>
          </cell>
        </row>
        <row r="1248">
          <cell r="A1248">
            <v>1248</v>
          </cell>
          <cell r="C1248" t="str">
            <v>HOR-TEE (H.D.G)</v>
          </cell>
          <cell r="D1248" t="str">
            <v>400W×150H</v>
          </cell>
          <cell r="E1248" t="str">
            <v>EA</v>
          </cell>
          <cell r="S1248">
            <v>0</v>
          </cell>
          <cell r="V1248" t="str">
            <v>내선</v>
          </cell>
          <cell r="W1248">
            <v>0.33500000000000002</v>
          </cell>
        </row>
        <row r="1249">
          <cell r="A1249">
            <v>1249</v>
          </cell>
          <cell r="C1249" t="str">
            <v>HOR-TEE (H.D.G)</v>
          </cell>
          <cell r="D1249" t="str">
            <v>500W×100H</v>
          </cell>
          <cell r="E1249" t="str">
            <v>EA</v>
          </cell>
          <cell r="S1249">
            <v>0</v>
          </cell>
          <cell r="V1249" t="str">
            <v>내선</v>
          </cell>
          <cell r="W1249">
            <v>0.44500000000000001</v>
          </cell>
        </row>
        <row r="1250">
          <cell r="A1250">
            <v>1250</v>
          </cell>
          <cell r="C1250" t="str">
            <v>HOR-TEE (H.D.G)</v>
          </cell>
          <cell r="D1250" t="str">
            <v>500W×150H</v>
          </cell>
          <cell r="E1250" t="str">
            <v>EA</v>
          </cell>
          <cell r="S1250">
            <v>0</v>
          </cell>
          <cell r="V1250" t="str">
            <v>내선</v>
          </cell>
          <cell r="W1250">
            <v>0.44500000000000001</v>
          </cell>
        </row>
        <row r="1251">
          <cell r="A1251">
            <v>1251</v>
          </cell>
          <cell r="C1251" t="str">
            <v>HOR-TEE (H.D.G)</v>
          </cell>
          <cell r="D1251" t="str">
            <v>600W×100H</v>
          </cell>
          <cell r="E1251" t="str">
            <v>EA</v>
          </cell>
          <cell r="J1251">
            <v>879</v>
          </cell>
          <cell r="K1251">
            <v>25000</v>
          </cell>
          <cell r="S1251">
            <v>25000</v>
          </cell>
          <cell r="V1251" t="str">
            <v>내선</v>
          </cell>
          <cell r="W1251">
            <v>0.52</v>
          </cell>
        </row>
        <row r="1252">
          <cell r="A1252">
            <v>1252</v>
          </cell>
          <cell r="C1252" t="str">
            <v>HOR-TEE (H.D.G)</v>
          </cell>
          <cell r="D1252" t="str">
            <v>600W×150H</v>
          </cell>
          <cell r="E1252" t="str">
            <v>EA</v>
          </cell>
          <cell r="S1252">
            <v>0</v>
          </cell>
          <cell r="V1252" t="str">
            <v>내선</v>
          </cell>
          <cell r="W1252">
            <v>0.52</v>
          </cell>
        </row>
        <row r="1253">
          <cell r="A1253">
            <v>1253</v>
          </cell>
          <cell r="C1253" t="str">
            <v>HOR-TEE (H.D.G)</v>
          </cell>
          <cell r="D1253" t="str">
            <v>750W×100H</v>
          </cell>
          <cell r="E1253" t="str">
            <v>EA</v>
          </cell>
          <cell r="S1253">
            <v>0</v>
          </cell>
          <cell r="V1253" t="str">
            <v>내선</v>
          </cell>
          <cell r="W1253">
            <v>0.5575</v>
          </cell>
        </row>
        <row r="1254">
          <cell r="A1254">
            <v>1254</v>
          </cell>
          <cell r="C1254" t="str">
            <v>VER-TEE (H.D.G)</v>
          </cell>
          <cell r="D1254" t="str">
            <v>300W×100H</v>
          </cell>
          <cell r="E1254" t="str">
            <v>EA</v>
          </cell>
          <cell r="S1254">
            <v>0</v>
          </cell>
          <cell r="V1254" t="str">
            <v>내선</v>
          </cell>
          <cell r="W1254">
            <v>0.58750000000000002</v>
          </cell>
        </row>
        <row r="1255">
          <cell r="A1255">
            <v>1255</v>
          </cell>
          <cell r="S1255" t="str">
            <v/>
          </cell>
        </row>
        <row r="1256">
          <cell r="A1256">
            <v>1256</v>
          </cell>
          <cell r="C1256" t="str">
            <v>HOR-CROSS (H.D.G)</v>
          </cell>
          <cell r="D1256" t="str">
            <v>150W×100H</v>
          </cell>
          <cell r="E1256" t="str">
            <v>EA</v>
          </cell>
          <cell r="S1256">
            <v>0</v>
          </cell>
          <cell r="V1256" t="str">
            <v>내선</v>
          </cell>
          <cell r="W1256">
            <v>0.22500000000000001</v>
          </cell>
        </row>
        <row r="1257">
          <cell r="A1257">
            <v>1257</v>
          </cell>
          <cell r="C1257" t="str">
            <v>HOR-CROSS (H.D.G)</v>
          </cell>
          <cell r="D1257" t="str">
            <v>150W×150H</v>
          </cell>
          <cell r="E1257" t="str">
            <v>EA</v>
          </cell>
          <cell r="S1257">
            <v>0</v>
          </cell>
          <cell r="V1257" t="str">
            <v>내선</v>
          </cell>
          <cell r="W1257">
            <v>0.22500000000000001</v>
          </cell>
        </row>
        <row r="1258">
          <cell r="A1258">
            <v>1258</v>
          </cell>
          <cell r="C1258" t="str">
            <v>HOR-CROSS (H.D.G)</v>
          </cell>
          <cell r="D1258" t="str">
            <v>200W×100H</v>
          </cell>
          <cell r="E1258" t="str">
            <v>EA</v>
          </cell>
          <cell r="J1258">
            <v>879</v>
          </cell>
          <cell r="K1258">
            <v>24900</v>
          </cell>
          <cell r="S1258">
            <v>24900</v>
          </cell>
          <cell r="V1258" t="str">
            <v>내선</v>
          </cell>
          <cell r="W1258">
            <v>0.22500000000000001</v>
          </cell>
        </row>
        <row r="1259">
          <cell r="A1259">
            <v>1259</v>
          </cell>
          <cell r="C1259" t="str">
            <v>HOR-CROSS (H.D.G)</v>
          </cell>
          <cell r="D1259" t="str">
            <v>200W×150H</v>
          </cell>
          <cell r="E1259" t="str">
            <v>EA</v>
          </cell>
          <cell r="S1259">
            <v>0</v>
          </cell>
          <cell r="V1259" t="str">
            <v>내선</v>
          </cell>
          <cell r="W1259">
            <v>0.22500000000000001</v>
          </cell>
        </row>
        <row r="1260">
          <cell r="A1260">
            <v>1260</v>
          </cell>
          <cell r="C1260" t="str">
            <v>HOR-CROSS (H.D.G)</v>
          </cell>
          <cell r="D1260" t="str">
            <v>300W×100H</v>
          </cell>
          <cell r="E1260" t="str">
            <v>EA</v>
          </cell>
          <cell r="J1260">
            <v>879</v>
          </cell>
          <cell r="K1260">
            <v>27200</v>
          </cell>
          <cell r="S1260">
            <v>27200</v>
          </cell>
          <cell r="V1260" t="str">
            <v>내선</v>
          </cell>
          <cell r="W1260">
            <v>0.28499999999999998</v>
          </cell>
        </row>
        <row r="1261">
          <cell r="A1261">
            <v>1261</v>
          </cell>
          <cell r="C1261" t="str">
            <v>HOR-CROSS (H.D.G)</v>
          </cell>
          <cell r="D1261" t="str">
            <v>300W×150H</v>
          </cell>
          <cell r="E1261" t="str">
            <v>EA</v>
          </cell>
          <cell r="S1261">
            <v>0</v>
          </cell>
          <cell r="V1261" t="str">
            <v>내선</v>
          </cell>
          <cell r="W1261">
            <v>0.28499999999999998</v>
          </cell>
        </row>
        <row r="1262">
          <cell r="A1262">
            <v>1262</v>
          </cell>
          <cell r="C1262" t="str">
            <v>HOR-CROSS (H.D.G)</v>
          </cell>
          <cell r="D1262" t="str">
            <v>450W×100H</v>
          </cell>
          <cell r="E1262" t="str">
            <v>EA</v>
          </cell>
          <cell r="J1262">
            <v>879</v>
          </cell>
          <cell r="K1262">
            <v>31300</v>
          </cell>
          <cell r="S1262">
            <v>31300</v>
          </cell>
          <cell r="V1262" t="str">
            <v>내선</v>
          </cell>
          <cell r="W1262">
            <v>0.33500000000000002</v>
          </cell>
        </row>
        <row r="1263">
          <cell r="A1263">
            <v>1263</v>
          </cell>
          <cell r="C1263" t="str">
            <v>HOR-CROSS (H.D.G)</v>
          </cell>
          <cell r="D1263" t="str">
            <v>400W×150H</v>
          </cell>
          <cell r="E1263" t="str">
            <v>EA</v>
          </cell>
          <cell r="S1263">
            <v>0</v>
          </cell>
          <cell r="V1263" t="str">
            <v>내선</v>
          </cell>
          <cell r="W1263">
            <v>0.33500000000000002</v>
          </cell>
        </row>
        <row r="1264">
          <cell r="A1264">
            <v>1264</v>
          </cell>
          <cell r="C1264" t="str">
            <v>HOR-CROSS (H.D.G)</v>
          </cell>
          <cell r="D1264" t="str">
            <v>500W×100H</v>
          </cell>
          <cell r="E1264" t="str">
            <v>EA</v>
          </cell>
          <cell r="S1264">
            <v>0</v>
          </cell>
          <cell r="V1264" t="str">
            <v>내선</v>
          </cell>
          <cell r="W1264">
            <v>0.44500000000000001</v>
          </cell>
        </row>
        <row r="1265">
          <cell r="A1265">
            <v>1265</v>
          </cell>
          <cell r="C1265" t="str">
            <v>HOR-CROSS (H.D.G)</v>
          </cell>
          <cell r="D1265" t="str">
            <v>500W×150H</v>
          </cell>
          <cell r="E1265" t="str">
            <v>EA</v>
          </cell>
          <cell r="S1265">
            <v>0</v>
          </cell>
          <cell r="V1265" t="str">
            <v>내선</v>
          </cell>
          <cell r="W1265">
            <v>0.44500000000000001</v>
          </cell>
        </row>
        <row r="1266">
          <cell r="A1266">
            <v>1266</v>
          </cell>
          <cell r="C1266" t="str">
            <v>HOR-CROSS (H.D.G)</v>
          </cell>
          <cell r="D1266" t="str">
            <v>600W×100H</v>
          </cell>
          <cell r="E1266" t="str">
            <v>EA</v>
          </cell>
          <cell r="J1266">
            <v>879</v>
          </cell>
          <cell r="K1266">
            <v>36100</v>
          </cell>
          <cell r="S1266">
            <v>36100</v>
          </cell>
          <cell r="V1266" t="str">
            <v>내선</v>
          </cell>
          <cell r="W1266">
            <v>0.52</v>
          </cell>
        </row>
        <row r="1267">
          <cell r="A1267">
            <v>1267</v>
          </cell>
          <cell r="C1267" t="str">
            <v>HOR-CROSS (H.D.G)</v>
          </cell>
          <cell r="D1267" t="str">
            <v>600W×150H</v>
          </cell>
          <cell r="E1267" t="str">
            <v>EA</v>
          </cell>
          <cell r="S1267">
            <v>0</v>
          </cell>
          <cell r="V1267" t="str">
            <v>내선</v>
          </cell>
          <cell r="W1267">
            <v>0.52</v>
          </cell>
        </row>
        <row r="1268">
          <cell r="A1268">
            <v>1268</v>
          </cell>
          <cell r="C1268" t="str">
            <v>REDUCER (H.D.G)</v>
          </cell>
          <cell r="D1268" t="str">
            <v>750×600W×100H</v>
          </cell>
          <cell r="E1268" t="str">
            <v>EA</v>
          </cell>
          <cell r="S1268">
            <v>0</v>
          </cell>
          <cell r="V1268" t="str">
            <v>내선</v>
          </cell>
          <cell r="W1268">
            <v>0.22500000000000001</v>
          </cell>
        </row>
        <row r="1269">
          <cell r="A1269">
            <v>1269</v>
          </cell>
          <cell r="C1269" t="str">
            <v>REDUCER (H.D.G)</v>
          </cell>
          <cell r="D1269" t="str">
            <v>600×500W×100H</v>
          </cell>
          <cell r="E1269" t="str">
            <v>EA</v>
          </cell>
          <cell r="S1269">
            <v>0</v>
          </cell>
          <cell r="V1269" t="str">
            <v>내선</v>
          </cell>
          <cell r="W1269">
            <v>0.22500000000000001</v>
          </cell>
        </row>
        <row r="1270">
          <cell r="A1270">
            <v>1270</v>
          </cell>
          <cell r="C1270" t="str">
            <v>REDUCER (H.D.G)</v>
          </cell>
          <cell r="D1270" t="str">
            <v>600×500W×150H</v>
          </cell>
          <cell r="E1270" t="str">
            <v>EA</v>
          </cell>
          <cell r="S1270">
            <v>0</v>
          </cell>
          <cell r="V1270" t="str">
            <v>내선</v>
          </cell>
          <cell r="W1270">
            <v>0.22500000000000001</v>
          </cell>
        </row>
        <row r="1271">
          <cell r="A1271">
            <v>1271</v>
          </cell>
          <cell r="C1271" t="str">
            <v>REDUCER (H.D.G)</v>
          </cell>
          <cell r="D1271" t="str">
            <v>600×400W×100H</v>
          </cell>
          <cell r="E1271" t="str">
            <v>EA</v>
          </cell>
          <cell r="S1271">
            <v>0</v>
          </cell>
          <cell r="V1271" t="str">
            <v>내선</v>
          </cell>
          <cell r="W1271">
            <v>0.22500000000000001</v>
          </cell>
        </row>
        <row r="1272">
          <cell r="A1272">
            <v>1272</v>
          </cell>
          <cell r="C1272" t="str">
            <v>REDUCER (H.D.G)</v>
          </cell>
          <cell r="D1272" t="str">
            <v>600×400W×150H</v>
          </cell>
          <cell r="E1272" t="str">
            <v>EA</v>
          </cell>
          <cell r="S1272">
            <v>0</v>
          </cell>
          <cell r="V1272" t="str">
            <v>내선</v>
          </cell>
          <cell r="W1272">
            <v>0.22500000000000001</v>
          </cell>
        </row>
        <row r="1273">
          <cell r="A1273">
            <v>1273</v>
          </cell>
          <cell r="C1273" t="str">
            <v>REDUCER (H.D.G)</v>
          </cell>
          <cell r="D1273" t="str">
            <v>600×300W×100H</v>
          </cell>
          <cell r="E1273" t="str">
            <v>EA</v>
          </cell>
          <cell r="S1273">
            <v>0</v>
          </cell>
          <cell r="V1273" t="str">
            <v>내선</v>
          </cell>
          <cell r="W1273">
            <v>0.28499999999999998</v>
          </cell>
        </row>
        <row r="1274">
          <cell r="A1274">
            <v>1274</v>
          </cell>
          <cell r="C1274" t="str">
            <v>REDUCER (H.D.G)</v>
          </cell>
          <cell r="D1274" t="str">
            <v>600×300W×150H</v>
          </cell>
          <cell r="E1274" t="str">
            <v>EA</v>
          </cell>
          <cell r="S1274">
            <v>0</v>
          </cell>
          <cell r="V1274" t="str">
            <v>내선</v>
          </cell>
          <cell r="W1274">
            <v>0.28499999999999998</v>
          </cell>
        </row>
        <row r="1275">
          <cell r="A1275">
            <v>1275</v>
          </cell>
          <cell r="C1275" t="str">
            <v>REDUCER (H.D.G)</v>
          </cell>
          <cell r="D1275" t="str">
            <v>600×200W×100H</v>
          </cell>
          <cell r="E1275" t="str">
            <v>EA</v>
          </cell>
          <cell r="S1275">
            <v>0</v>
          </cell>
          <cell r="V1275" t="str">
            <v>내선</v>
          </cell>
          <cell r="W1275">
            <v>0.33500000000000002</v>
          </cell>
        </row>
        <row r="1276">
          <cell r="A1276">
            <v>1276</v>
          </cell>
          <cell r="C1276" t="str">
            <v>REDUCER (H.D.G)</v>
          </cell>
          <cell r="D1276" t="str">
            <v>600×200W×150H</v>
          </cell>
          <cell r="E1276" t="str">
            <v>EA</v>
          </cell>
          <cell r="S1276">
            <v>0</v>
          </cell>
          <cell r="V1276" t="str">
            <v>내선</v>
          </cell>
          <cell r="W1276">
            <v>0.33500000000000002</v>
          </cell>
        </row>
        <row r="1277">
          <cell r="A1277">
            <v>1277</v>
          </cell>
          <cell r="C1277" t="str">
            <v>REDUCER (H.D.G)</v>
          </cell>
          <cell r="D1277" t="str">
            <v>600×150W×100H</v>
          </cell>
          <cell r="E1277" t="str">
            <v>EA</v>
          </cell>
          <cell r="S1277">
            <v>0</v>
          </cell>
          <cell r="V1277" t="str">
            <v>내선</v>
          </cell>
          <cell r="W1277">
            <v>0.44500000000000001</v>
          </cell>
        </row>
        <row r="1278">
          <cell r="A1278">
            <v>1278</v>
          </cell>
          <cell r="C1278" t="str">
            <v>REDUCER (H.D.G)</v>
          </cell>
          <cell r="D1278" t="str">
            <v>600×150W×150H</v>
          </cell>
          <cell r="E1278" t="str">
            <v>EA</v>
          </cell>
          <cell r="S1278">
            <v>0</v>
          </cell>
          <cell r="V1278" t="str">
            <v>내선</v>
          </cell>
          <cell r="W1278">
            <v>0.44500000000000001</v>
          </cell>
        </row>
        <row r="1279">
          <cell r="A1279">
            <v>1279</v>
          </cell>
          <cell r="C1279" t="str">
            <v>REDUCER (H.D.G)</v>
          </cell>
          <cell r="D1279" t="str">
            <v>300×150W×100H</v>
          </cell>
          <cell r="E1279" t="str">
            <v>EA</v>
          </cell>
          <cell r="S1279">
            <v>0</v>
          </cell>
          <cell r="V1279" t="str">
            <v>내선</v>
          </cell>
          <cell r="W1279">
            <v>0.52</v>
          </cell>
        </row>
        <row r="1280">
          <cell r="A1280">
            <v>1280</v>
          </cell>
          <cell r="C1280" t="str">
            <v>REDUCER (H.D.G)</v>
          </cell>
          <cell r="D1280" t="str">
            <v>300×150W×150H</v>
          </cell>
          <cell r="E1280" t="str">
            <v>EA</v>
          </cell>
          <cell r="S1280">
            <v>0</v>
          </cell>
          <cell r="V1280" t="str">
            <v>내선</v>
          </cell>
          <cell r="W1280">
            <v>0.52</v>
          </cell>
        </row>
        <row r="1281">
          <cell r="A1281">
            <v>1281</v>
          </cell>
          <cell r="C1281" t="str">
            <v>REDUCER (H.D.G)</v>
          </cell>
          <cell r="D1281" t="str">
            <v>400×200W×100H</v>
          </cell>
          <cell r="E1281" t="str">
            <v>EA</v>
          </cell>
          <cell r="S1281">
            <v>0</v>
          </cell>
          <cell r="V1281" t="str">
            <v>내선</v>
          </cell>
          <cell r="W1281">
            <v>0.44500000000000001</v>
          </cell>
        </row>
        <row r="1282">
          <cell r="A1282">
            <v>1282</v>
          </cell>
          <cell r="C1282" t="str">
            <v>STRAIGHT-COV.(H.D.G)</v>
          </cell>
          <cell r="D1282" t="str">
            <v>150W</v>
          </cell>
          <cell r="E1282" t="str">
            <v>EA</v>
          </cell>
          <cell r="J1282">
            <v>881</v>
          </cell>
          <cell r="K1282">
            <v>5170</v>
          </cell>
          <cell r="S1282">
            <v>5170</v>
          </cell>
        </row>
        <row r="1283">
          <cell r="A1283">
            <v>1283</v>
          </cell>
          <cell r="C1283" t="str">
            <v>STRAIGHT-COV.(H.D.G)</v>
          </cell>
          <cell r="D1283" t="str">
            <v>200W</v>
          </cell>
          <cell r="E1283" t="str">
            <v>EA</v>
          </cell>
          <cell r="J1283">
            <v>881</v>
          </cell>
          <cell r="K1283">
            <v>6990</v>
          </cell>
          <cell r="S1283">
            <v>6990</v>
          </cell>
        </row>
        <row r="1284">
          <cell r="A1284">
            <v>1284</v>
          </cell>
          <cell r="C1284" t="str">
            <v>STRAIGHT-COV.(H.D.G)</v>
          </cell>
          <cell r="D1284" t="str">
            <v>300W</v>
          </cell>
          <cell r="E1284" t="str">
            <v>EA</v>
          </cell>
          <cell r="J1284">
            <v>881</v>
          </cell>
          <cell r="K1284">
            <v>10340</v>
          </cell>
          <cell r="S1284">
            <v>10340</v>
          </cell>
        </row>
        <row r="1285">
          <cell r="A1285">
            <v>1285</v>
          </cell>
          <cell r="C1285" t="str">
            <v>STRAIGHT-COV.(H.D.G)</v>
          </cell>
          <cell r="D1285" t="str">
            <v>400W</v>
          </cell>
          <cell r="E1285" t="str">
            <v>EA</v>
          </cell>
          <cell r="J1285">
            <v>881</v>
          </cell>
          <cell r="K1285">
            <v>14840</v>
          </cell>
          <cell r="S1285">
            <v>14840</v>
          </cell>
        </row>
        <row r="1286">
          <cell r="A1286">
            <v>1286</v>
          </cell>
          <cell r="C1286" t="str">
            <v>STRAIGHT-COV.(H.D.G)</v>
          </cell>
          <cell r="D1286" t="str">
            <v>500W</v>
          </cell>
          <cell r="E1286" t="str">
            <v>EA</v>
          </cell>
          <cell r="J1286">
            <v>881</v>
          </cell>
          <cell r="K1286">
            <v>20300</v>
          </cell>
          <cell r="S1286">
            <v>20300</v>
          </cell>
        </row>
        <row r="1287">
          <cell r="A1287">
            <v>1287</v>
          </cell>
          <cell r="C1287" t="str">
            <v>STRAIGHT-COV.(H.D.G)</v>
          </cell>
          <cell r="D1287" t="str">
            <v>600W</v>
          </cell>
          <cell r="E1287" t="str">
            <v>EA</v>
          </cell>
          <cell r="J1287">
            <v>881</v>
          </cell>
          <cell r="K1287">
            <v>23990</v>
          </cell>
          <cell r="S1287">
            <v>23990</v>
          </cell>
        </row>
        <row r="1288">
          <cell r="A1288">
            <v>1288</v>
          </cell>
          <cell r="C1288" t="str">
            <v>U-CHANEL</v>
          </cell>
          <cell r="D1288" t="str">
            <v>41×41×2.6 t</v>
          </cell>
          <cell r="E1288" t="str">
            <v>m</v>
          </cell>
          <cell r="J1288">
            <v>878</v>
          </cell>
          <cell r="K1288">
            <v>3000</v>
          </cell>
          <cell r="S1288">
            <v>3000</v>
          </cell>
        </row>
        <row r="1289">
          <cell r="A1289">
            <v>1289</v>
          </cell>
          <cell r="C1289" t="str">
            <v>Bracket(Heavy Duty)</v>
          </cell>
          <cell r="D1289" t="str">
            <v>L 160</v>
          </cell>
          <cell r="E1289" t="str">
            <v>EA</v>
          </cell>
          <cell r="J1289">
            <v>881</v>
          </cell>
          <cell r="K1289">
            <v>6740</v>
          </cell>
          <cell r="S1289">
            <v>6740</v>
          </cell>
          <cell r="V1289" t="str">
            <v>내선</v>
          </cell>
          <cell r="W1289">
            <v>0.16</v>
          </cell>
          <cell r="X1289" t="str">
            <v>보인</v>
          </cell>
          <cell r="Y1289">
            <v>7.1999999999999995E-2</v>
          </cell>
        </row>
        <row r="1290">
          <cell r="A1290">
            <v>1290</v>
          </cell>
          <cell r="C1290" t="str">
            <v>Bracket(Heavy Duty)</v>
          </cell>
          <cell r="D1290" t="str">
            <v>L 210</v>
          </cell>
          <cell r="E1290" t="str">
            <v>EA</v>
          </cell>
          <cell r="J1290">
            <v>881</v>
          </cell>
          <cell r="K1290">
            <v>7220</v>
          </cell>
          <cell r="S1290">
            <v>7220</v>
          </cell>
          <cell r="V1290" t="str">
            <v>내선</v>
          </cell>
          <cell r="W1290">
            <v>0.16</v>
          </cell>
          <cell r="X1290" t="str">
            <v>보인</v>
          </cell>
          <cell r="Y1290">
            <v>7.1999999999999995E-2</v>
          </cell>
        </row>
        <row r="1291">
          <cell r="A1291">
            <v>1291</v>
          </cell>
          <cell r="C1291" t="str">
            <v>Bracket(Heavy Duty)</v>
          </cell>
          <cell r="D1291" t="str">
            <v>L 310</v>
          </cell>
          <cell r="E1291" t="str">
            <v>EA</v>
          </cell>
          <cell r="J1291">
            <v>881</v>
          </cell>
          <cell r="K1291">
            <v>8570</v>
          </cell>
          <cell r="S1291">
            <v>8570</v>
          </cell>
          <cell r="V1291" t="str">
            <v>내선</v>
          </cell>
          <cell r="W1291">
            <v>0.16</v>
          </cell>
          <cell r="X1291" t="str">
            <v>보인</v>
          </cell>
          <cell r="Y1291">
            <v>7.1999999999999995E-2</v>
          </cell>
        </row>
        <row r="1292">
          <cell r="A1292">
            <v>1292</v>
          </cell>
          <cell r="C1292" t="str">
            <v>Bracket(Heavy Duty)</v>
          </cell>
          <cell r="D1292" t="str">
            <v>L 410</v>
          </cell>
          <cell r="E1292" t="str">
            <v>EA</v>
          </cell>
          <cell r="J1292">
            <v>881</v>
          </cell>
          <cell r="K1292">
            <v>10030</v>
          </cell>
          <cell r="S1292">
            <v>10030</v>
          </cell>
          <cell r="V1292" t="str">
            <v>내선</v>
          </cell>
          <cell r="W1292">
            <v>0.16</v>
          </cell>
          <cell r="X1292" t="str">
            <v>보인</v>
          </cell>
          <cell r="Y1292">
            <v>7.1999999999999995E-2</v>
          </cell>
        </row>
        <row r="1293">
          <cell r="A1293">
            <v>1293</v>
          </cell>
          <cell r="C1293" t="str">
            <v>Bracket(Heavy Duty)</v>
          </cell>
          <cell r="D1293" t="str">
            <v>L 510</v>
          </cell>
          <cell r="E1293" t="str">
            <v>EA</v>
          </cell>
          <cell r="J1293">
            <v>881</v>
          </cell>
          <cell r="K1293">
            <v>11850</v>
          </cell>
          <cell r="S1293">
            <v>11850</v>
          </cell>
          <cell r="V1293" t="str">
            <v>내선</v>
          </cell>
          <cell r="W1293">
            <v>0.16</v>
          </cell>
          <cell r="X1293" t="str">
            <v>보인</v>
          </cell>
          <cell r="Y1293">
            <v>7.1999999999999995E-2</v>
          </cell>
        </row>
        <row r="1294">
          <cell r="A1294">
            <v>1294</v>
          </cell>
          <cell r="C1294" t="str">
            <v>Bracket(Heavy Duty)</v>
          </cell>
          <cell r="D1294" t="str">
            <v>L 610</v>
          </cell>
          <cell r="E1294" t="str">
            <v>EA</v>
          </cell>
          <cell r="J1294">
            <v>881</v>
          </cell>
          <cell r="K1294">
            <v>13870</v>
          </cell>
          <cell r="S1294">
            <v>13870</v>
          </cell>
          <cell r="V1294" t="str">
            <v>내선</v>
          </cell>
          <cell r="W1294">
            <v>0.16</v>
          </cell>
          <cell r="X1294" t="str">
            <v>보인</v>
          </cell>
          <cell r="Y1294">
            <v>7.1999999999999995E-2</v>
          </cell>
        </row>
        <row r="1295">
          <cell r="A1295">
            <v>1295</v>
          </cell>
          <cell r="C1295" t="str">
            <v>홀드다운 크램프</v>
          </cell>
          <cell r="E1295" t="str">
            <v>EA</v>
          </cell>
          <cell r="S1295">
            <v>0</v>
          </cell>
        </row>
        <row r="1296">
          <cell r="A1296">
            <v>1296</v>
          </cell>
          <cell r="C1296" t="str">
            <v>SPRING NUT</v>
          </cell>
          <cell r="D1296" t="str">
            <v>3/8inch 1/2inch</v>
          </cell>
          <cell r="E1296" t="str">
            <v>EA</v>
          </cell>
          <cell r="S1296">
            <v>0</v>
          </cell>
        </row>
        <row r="1297">
          <cell r="A1297">
            <v>1297</v>
          </cell>
          <cell r="C1297" t="str">
            <v>SHANK BOLT &amp; NUT</v>
          </cell>
          <cell r="D1297" t="str">
            <v>3/8"×19L</v>
          </cell>
          <cell r="E1297" t="str">
            <v>EA</v>
          </cell>
          <cell r="L1297" t="str">
            <v>(주)동명 ENG.</v>
          </cell>
          <cell r="M1297">
            <v>100</v>
          </cell>
          <cell r="S1297">
            <v>100</v>
          </cell>
        </row>
        <row r="1298">
          <cell r="A1298">
            <v>1298</v>
          </cell>
          <cell r="C1298" t="str">
            <v>SPRING NUT</v>
          </cell>
          <cell r="D1298" t="str">
            <v>W/BOLT,WASHER 3/8"</v>
          </cell>
          <cell r="E1298" t="str">
            <v>EA</v>
          </cell>
          <cell r="L1298" t="str">
            <v>(주)동명 ENG.</v>
          </cell>
          <cell r="M1298">
            <v>450</v>
          </cell>
          <cell r="S1298">
            <v>450</v>
          </cell>
        </row>
        <row r="1299">
          <cell r="A1299">
            <v>1299</v>
          </cell>
          <cell r="C1299" t="str">
            <v>SPRING NUT</v>
          </cell>
          <cell r="D1299" t="str">
            <v>W/BOLT,WASHER 1/2"</v>
          </cell>
          <cell r="E1299" t="str">
            <v>EA</v>
          </cell>
          <cell r="L1299" t="str">
            <v>(주)동명 ENG.</v>
          </cell>
          <cell r="M1299">
            <v>500</v>
          </cell>
          <cell r="S1299">
            <v>500</v>
          </cell>
        </row>
        <row r="1300">
          <cell r="A1300">
            <v>1300</v>
          </cell>
          <cell r="C1300" t="str">
            <v>SET ANCHOR</v>
          </cell>
          <cell r="D1300" t="str">
            <v>3/8"</v>
          </cell>
          <cell r="E1300" t="str">
            <v>EA</v>
          </cell>
          <cell r="L1300" t="str">
            <v>(주)동명 ENG.</v>
          </cell>
          <cell r="M1300">
            <v>170</v>
          </cell>
          <cell r="S1300">
            <v>170</v>
          </cell>
        </row>
        <row r="1301">
          <cell r="A1301">
            <v>1301</v>
          </cell>
          <cell r="C1301" t="str">
            <v>STRONG ANCHOR</v>
          </cell>
          <cell r="D1301" t="str">
            <v>3/8"</v>
          </cell>
          <cell r="E1301" t="str">
            <v>EA</v>
          </cell>
          <cell r="L1301" t="str">
            <v>(주)동명 ENG.</v>
          </cell>
          <cell r="M1301">
            <v>120</v>
          </cell>
          <cell r="S1301">
            <v>120</v>
          </cell>
        </row>
        <row r="1302">
          <cell r="A1302">
            <v>1302</v>
          </cell>
          <cell r="C1302" t="str">
            <v>THREAD ROD</v>
          </cell>
          <cell r="D1302" t="str">
            <v>3/8"</v>
          </cell>
          <cell r="E1302" t="str">
            <v>m</v>
          </cell>
          <cell r="L1302" t="str">
            <v>(주)동명 ENG.</v>
          </cell>
          <cell r="M1302">
            <v>500</v>
          </cell>
          <cell r="S1302">
            <v>500</v>
          </cell>
        </row>
        <row r="1303">
          <cell r="A1303">
            <v>1303</v>
          </cell>
          <cell r="C1303" t="str">
            <v>SQUARE WASHER</v>
          </cell>
          <cell r="D1303" t="str">
            <v>φ 11</v>
          </cell>
          <cell r="E1303" t="str">
            <v>EA</v>
          </cell>
          <cell r="L1303" t="str">
            <v>(주)동명 ENG.</v>
          </cell>
          <cell r="M1303">
            <v>200</v>
          </cell>
          <cell r="S1303">
            <v>200</v>
          </cell>
        </row>
        <row r="1304">
          <cell r="A1304">
            <v>1304</v>
          </cell>
          <cell r="C1304" t="str">
            <v>HEX H.B/NUT</v>
          </cell>
          <cell r="D1304" t="str">
            <v>W/WASHER 3/8"</v>
          </cell>
          <cell r="E1304" t="str">
            <v>SET</v>
          </cell>
          <cell r="L1304" t="str">
            <v>(주)동명 ENG.</v>
          </cell>
          <cell r="M1304">
            <v>60</v>
          </cell>
          <cell r="S1304">
            <v>60</v>
          </cell>
        </row>
        <row r="1305">
          <cell r="A1305">
            <v>1305</v>
          </cell>
          <cell r="C1305" t="str">
            <v>VARIABLE BRACKET</v>
          </cell>
          <cell r="D1305" t="str">
            <v>L 200</v>
          </cell>
          <cell r="E1305" t="str">
            <v>SET</v>
          </cell>
          <cell r="J1305">
            <v>881</v>
          </cell>
          <cell r="K1305">
            <v>16840</v>
          </cell>
          <cell r="S1305">
            <v>16840</v>
          </cell>
          <cell r="V1305" t="str">
            <v>내선</v>
          </cell>
          <cell r="W1305">
            <v>0.16</v>
          </cell>
          <cell r="X1305" t="str">
            <v>보인</v>
          </cell>
          <cell r="Y1305">
            <v>7.1999999999999995E-2</v>
          </cell>
        </row>
        <row r="1306">
          <cell r="A1306">
            <v>1306</v>
          </cell>
          <cell r="C1306" t="str">
            <v>VARIABLE BRACKET</v>
          </cell>
          <cell r="D1306" t="str">
            <v>L 250</v>
          </cell>
          <cell r="E1306" t="str">
            <v>SET</v>
          </cell>
          <cell r="J1306">
            <v>881</v>
          </cell>
          <cell r="K1306">
            <v>17740</v>
          </cell>
          <cell r="S1306">
            <v>17740</v>
          </cell>
          <cell r="V1306" t="str">
            <v>내선</v>
          </cell>
          <cell r="W1306">
            <v>0.16</v>
          </cell>
          <cell r="X1306" t="str">
            <v>보인</v>
          </cell>
          <cell r="Y1306">
            <v>7.1999999999999995E-2</v>
          </cell>
        </row>
        <row r="1307">
          <cell r="A1307">
            <v>1307</v>
          </cell>
          <cell r="C1307" t="str">
            <v>VARIABLE BRACKET</v>
          </cell>
          <cell r="D1307" t="str">
            <v>L 350</v>
          </cell>
          <cell r="E1307" t="str">
            <v>SET</v>
          </cell>
          <cell r="J1307">
            <v>881</v>
          </cell>
          <cell r="K1307">
            <v>18950</v>
          </cell>
          <cell r="S1307">
            <v>18950</v>
          </cell>
          <cell r="V1307" t="str">
            <v>내선</v>
          </cell>
          <cell r="W1307">
            <v>0.16</v>
          </cell>
          <cell r="X1307" t="str">
            <v>보인</v>
          </cell>
          <cell r="Y1307">
            <v>7.1999999999999995E-2</v>
          </cell>
        </row>
        <row r="1308">
          <cell r="A1308">
            <v>1308</v>
          </cell>
          <cell r="C1308" t="str">
            <v>VARIABLE BRACKET</v>
          </cell>
          <cell r="D1308" t="str">
            <v>L 450</v>
          </cell>
          <cell r="E1308" t="str">
            <v>SET</v>
          </cell>
          <cell r="J1308">
            <v>881</v>
          </cell>
          <cell r="K1308">
            <v>20480</v>
          </cell>
          <cell r="S1308">
            <v>20480</v>
          </cell>
          <cell r="V1308" t="str">
            <v>내선</v>
          </cell>
          <cell r="W1308">
            <v>0.16</v>
          </cell>
          <cell r="X1308" t="str">
            <v>보인</v>
          </cell>
          <cell r="Y1308">
            <v>7.1999999999999995E-2</v>
          </cell>
        </row>
        <row r="1309">
          <cell r="A1309">
            <v>1309</v>
          </cell>
          <cell r="C1309" t="str">
            <v>VARIABLE BRACKET</v>
          </cell>
          <cell r="D1309" t="str">
            <v>L 550</v>
          </cell>
          <cell r="E1309" t="str">
            <v>SET</v>
          </cell>
          <cell r="J1309">
            <v>881</v>
          </cell>
          <cell r="K1309">
            <v>23060</v>
          </cell>
          <cell r="S1309">
            <v>23060</v>
          </cell>
          <cell r="V1309" t="str">
            <v>내선</v>
          </cell>
          <cell r="W1309">
            <v>0.16</v>
          </cell>
          <cell r="X1309" t="str">
            <v>보인</v>
          </cell>
          <cell r="Y1309">
            <v>7.1999999999999995E-2</v>
          </cell>
        </row>
        <row r="1310">
          <cell r="A1310">
            <v>1310</v>
          </cell>
          <cell r="C1310" t="str">
            <v>VARIABLE BRACKET</v>
          </cell>
          <cell r="D1310" t="str">
            <v>L 650</v>
          </cell>
          <cell r="E1310" t="str">
            <v>SET</v>
          </cell>
          <cell r="J1310">
            <v>881</v>
          </cell>
          <cell r="K1310">
            <v>25920</v>
          </cell>
          <cell r="S1310">
            <v>25920</v>
          </cell>
          <cell r="V1310" t="str">
            <v>내선</v>
          </cell>
          <cell r="W1310">
            <v>0.16</v>
          </cell>
          <cell r="X1310" t="str">
            <v>보인</v>
          </cell>
          <cell r="Y1310">
            <v>7.1999999999999995E-2</v>
          </cell>
        </row>
        <row r="1311">
          <cell r="A1311">
            <v>1311</v>
          </cell>
          <cell r="C1311" t="str">
            <v>RACE WAY BODY</v>
          </cell>
          <cell r="D1311" t="str">
            <v>40×40</v>
          </cell>
          <cell r="E1311" t="str">
            <v>m</v>
          </cell>
          <cell r="J1311">
            <v>881</v>
          </cell>
          <cell r="K1311">
            <v>2450</v>
          </cell>
          <cell r="S1311">
            <v>2450</v>
          </cell>
          <cell r="V1311" t="str">
            <v>내선</v>
          </cell>
          <cell r="W1311">
            <v>0.15</v>
          </cell>
        </row>
        <row r="1312">
          <cell r="A1312">
            <v>1312</v>
          </cell>
          <cell r="C1312" t="str">
            <v>RACE WAY BODY</v>
          </cell>
          <cell r="D1312" t="str">
            <v>70×40</v>
          </cell>
          <cell r="E1312" t="str">
            <v>m</v>
          </cell>
          <cell r="J1312">
            <v>881</v>
          </cell>
          <cell r="K1312">
            <v>2940</v>
          </cell>
          <cell r="S1312">
            <v>2940</v>
          </cell>
          <cell r="V1312" t="str">
            <v>내선</v>
          </cell>
          <cell r="W1312">
            <v>0.2</v>
          </cell>
        </row>
        <row r="1313">
          <cell r="A1313">
            <v>1313</v>
          </cell>
          <cell r="C1313" t="str">
            <v>RACE WAY COVER</v>
          </cell>
          <cell r="D1313" t="str">
            <v>40×40</v>
          </cell>
          <cell r="E1313" t="str">
            <v>m</v>
          </cell>
          <cell r="J1313">
            <v>881</v>
          </cell>
          <cell r="K1313">
            <v>890</v>
          </cell>
          <cell r="S1313">
            <v>890</v>
          </cell>
        </row>
        <row r="1314">
          <cell r="A1314">
            <v>1314</v>
          </cell>
          <cell r="C1314" t="str">
            <v>RACE WAY COVER</v>
          </cell>
          <cell r="D1314" t="str">
            <v>70×40</v>
          </cell>
          <cell r="E1314" t="str">
            <v>m</v>
          </cell>
          <cell r="J1314">
            <v>881</v>
          </cell>
          <cell r="K1314">
            <v>1350</v>
          </cell>
          <cell r="S1314">
            <v>1350</v>
          </cell>
        </row>
        <row r="1315">
          <cell r="A1315">
            <v>1315</v>
          </cell>
          <cell r="S1315" t="str">
            <v/>
          </cell>
        </row>
        <row r="1316">
          <cell r="A1316">
            <v>1316</v>
          </cell>
          <cell r="C1316" t="str">
            <v>RACE WAY JOIVER</v>
          </cell>
          <cell r="D1316" t="str">
            <v>40×40</v>
          </cell>
          <cell r="E1316" t="str">
            <v>EA</v>
          </cell>
          <cell r="H1316">
            <v>750</v>
          </cell>
          <cell r="I1316">
            <v>850</v>
          </cell>
          <cell r="S1316">
            <v>850</v>
          </cell>
        </row>
        <row r="1317">
          <cell r="A1317">
            <v>1317</v>
          </cell>
          <cell r="C1317" t="str">
            <v>RACE WAY JOIVER</v>
          </cell>
          <cell r="D1317" t="str">
            <v>70×40</v>
          </cell>
          <cell r="E1317" t="str">
            <v>EA</v>
          </cell>
          <cell r="H1317">
            <v>750</v>
          </cell>
          <cell r="I1317">
            <v>1300</v>
          </cell>
          <cell r="S1317">
            <v>1300</v>
          </cell>
        </row>
        <row r="1318">
          <cell r="A1318">
            <v>1318</v>
          </cell>
          <cell r="S1318" t="str">
            <v/>
          </cell>
        </row>
        <row r="1319">
          <cell r="A1319">
            <v>1319</v>
          </cell>
          <cell r="C1319" t="str">
            <v>RACE WAY HANGER</v>
          </cell>
          <cell r="D1319" t="str">
            <v>40×40</v>
          </cell>
          <cell r="E1319" t="str">
            <v>EA</v>
          </cell>
          <cell r="H1319">
            <v>750</v>
          </cell>
          <cell r="I1319">
            <v>850</v>
          </cell>
          <cell r="S1319">
            <v>850</v>
          </cell>
        </row>
        <row r="1320">
          <cell r="A1320">
            <v>1320</v>
          </cell>
          <cell r="C1320" t="str">
            <v>RACE WAY HANGER</v>
          </cell>
          <cell r="D1320" t="str">
            <v>70×40</v>
          </cell>
          <cell r="E1320" t="str">
            <v>EA</v>
          </cell>
          <cell r="H1320">
            <v>750</v>
          </cell>
          <cell r="I1320">
            <v>1300</v>
          </cell>
          <cell r="S1320">
            <v>1300</v>
          </cell>
        </row>
        <row r="1321">
          <cell r="A1321">
            <v>1321</v>
          </cell>
          <cell r="S1321" t="str">
            <v/>
          </cell>
        </row>
        <row r="1322">
          <cell r="A1322">
            <v>1322</v>
          </cell>
          <cell r="C1322" t="str">
            <v>RACE WAY END CAP</v>
          </cell>
          <cell r="D1322" t="str">
            <v>40×40</v>
          </cell>
          <cell r="E1322" t="str">
            <v>EA</v>
          </cell>
          <cell r="H1322">
            <v>750</v>
          </cell>
          <cell r="I1322">
            <v>650</v>
          </cell>
          <cell r="S1322">
            <v>650</v>
          </cell>
        </row>
        <row r="1323">
          <cell r="A1323">
            <v>1323</v>
          </cell>
          <cell r="C1323" t="str">
            <v>RACE WAY END CAP</v>
          </cell>
          <cell r="D1323" t="str">
            <v>70×40</v>
          </cell>
          <cell r="E1323" t="str">
            <v>EA</v>
          </cell>
          <cell r="H1323">
            <v>750</v>
          </cell>
          <cell r="I1323">
            <v>1050</v>
          </cell>
          <cell r="S1323">
            <v>1050</v>
          </cell>
        </row>
        <row r="1324">
          <cell r="A1324">
            <v>1324</v>
          </cell>
          <cell r="S1324" t="str">
            <v/>
          </cell>
        </row>
        <row r="1325">
          <cell r="A1325">
            <v>1325</v>
          </cell>
          <cell r="C1325" t="str">
            <v>RACE WAY H,V/ELBOW</v>
          </cell>
          <cell r="D1325" t="str">
            <v>40×40</v>
          </cell>
          <cell r="E1325" t="str">
            <v>EA</v>
          </cell>
          <cell r="H1325">
            <v>750</v>
          </cell>
          <cell r="I1325">
            <v>1850</v>
          </cell>
          <cell r="S1325">
            <v>1850</v>
          </cell>
        </row>
        <row r="1326">
          <cell r="A1326">
            <v>1326</v>
          </cell>
          <cell r="C1326" t="str">
            <v>RACE WAY H,V/ELBOW</v>
          </cell>
          <cell r="D1326" t="str">
            <v>70×40</v>
          </cell>
          <cell r="E1326" t="str">
            <v>EA</v>
          </cell>
          <cell r="H1326">
            <v>750</v>
          </cell>
          <cell r="I1326">
            <v>2450</v>
          </cell>
          <cell r="S1326">
            <v>2450</v>
          </cell>
        </row>
        <row r="1327">
          <cell r="A1327">
            <v>1327</v>
          </cell>
          <cell r="S1327" t="str">
            <v/>
          </cell>
        </row>
        <row r="1328">
          <cell r="A1328">
            <v>1328</v>
          </cell>
          <cell r="C1328" t="str">
            <v>RACE WAY BOX CONN.</v>
          </cell>
          <cell r="D1328" t="str">
            <v>40×40</v>
          </cell>
          <cell r="E1328" t="str">
            <v>EA</v>
          </cell>
          <cell r="H1328">
            <v>750</v>
          </cell>
          <cell r="I1328">
            <v>1050</v>
          </cell>
          <cell r="S1328">
            <v>1050</v>
          </cell>
        </row>
        <row r="1329">
          <cell r="A1329">
            <v>1329</v>
          </cell>
          <cell r="S1329" t="str">
            <v/>
          </cell>
        </row>
        <row r="1330">
          <cell r="A1330">
            <v>1330</v>
          </cell>
          <cell r="S1330" t="str">
            <v/>
          </cell>
        </row>
        <row r="1331">
          <cell r="A1331">
            <v>1331</v>
          </cell>
          <cell r="C1331" t="str">
            <v>CABLE DUCT</v>
          </cell>
          <cell r="D1331" t="str">
            <v>150W×100H</v>
          </cell>
          <cell r="E1331" t="str">
            <v>m</v>
          </cell>
          <cell r="H1331" t="str">
            <v>753(95,01)</v>
          </cell>
          <cell r="I1331">
            <v>13500</v>
          </cell>
          <cell r="S1331">
            <v>13500</v>
          </cell>
          <cell r="V1331" t="str">
            <v>내선</v>
          </cell>
          <cell r="W1331">
            <v>0.4</v>
          </cell>
        </row>
        <row r="1332">
          <cell r="A1332">
            <v>1332</v>
          </cell>
          <cell r="C1332" t="str">
            <v>CABLE DUCT</v>
          </cell>
          <cell r="D1332" t="str">
            <v>200W×100H</v>
          </cell>
          <cell r="E1332" t="str">
            <v>m</v>
          </cell>
          <cell r="H1332" t="str">
            <v>753(95,01)</v>
          </cell>
          <cell r="I1332">
            <v>15850</v>
          </cell>
          <cell r="S1332">
            <v>15850</v>
          </cell>
          <cell r="V1332" t="str">
            <v>내선</v>
          </cell>
          <cell r="W1332">
            <v>0.5</v>
          </cell>
        </row>
        <row r="1333">
          <cell r="A1333">
            <v>1333</v>
          </cell>
          <cell r="C1333" t="str">
            <v>CABLE DUCT</v>
          </cell>
          <cell r="D1333" t="str">
            <v>300W×100H</v>
          </cell>
          <cell r="E1333" t="str">
            <v>m</v>
          </cell>
          <cell r="H1333" t="str">
            <v>753(95,01)</v>
          </cell>
          <cell r="I1333">
            <v>20550</v>
          </cell>
          <cell r="S1333">
            <v>20550</v>
          </cell>
          <cell r="V1333" t="str">
            <v>내선</v>
          </cell>
          <cell r="W1333">
            <v>0.5</v>
          </cell>
        </row>
        <row r="1334">
          <cell r="A1334">
            <v>1334</v>
          </cell>
          <cell r="S1334" t="str">
            <v/>
          </cell>
        </row>
        <row r="1335">
          <cell r="A1335">
            <v>1335</v>
          </cell>
          <cell r="C1335" t="str">
            <v>CABLE DUCT</v>
          </cell>
          <cell r="D1335" t="str">
            <v>600W×100H</v>
          </cell>
          <cell r="E1335" t="str">
            <v>m</v>
          </cell>
          <cell r="H1335" t="str">
            <v>753(95,01)</v>
          </cell>
          <cell r="I1335">
            <v>34650</v>
          </cell>
          <cell r="S1335">
            <v>34650</v>
          </cell>
          <cell r="V1335" t="str">
            <v>내선</v>
          </cell>
          <cell r="W1335">
            <v>0.6</v>
          </cell>
        </row>
        <row r="1336">
          <cell r="A1336">
            <v>1336</v>
          </cell>
          <cell r="S1336" t="str">
            <v/>
          </cell>
        </row>
        <row r="1337">
          <cell r="A1337">
            <v>1337</v>
          </cell>
          <cell r="C1337" t="str">
            <v>CABLE DUCT</v>
          </cell>
          <cell r="D1337" t="str">
            <v>150W×150H</v>
          </cell>
          <cell r="E1337" t="str">
            <v>m</v>
          </cell>
          <cell r="H1337" t="str">
            <v>753(95,01)</v>
          </cell>
          <cell r="I1337">
            <v>15850</v>
          </cell>
          <cell r="S1337">
            <v>15850</v>
          </cell>
          <cell r="V1337" t="str">
            <v>내선</v>
          </cell>
          <cell r="W1337">
            <v>0.5</v>
          </cell>
        </row>
        <row r="1338">
          <cell r="A1338">
            <v>1338</v>
          </cell>
          <cell r="C1338" t="str">
            <v>CABLE DUCT</v>
          </cell>
          <cell r="D1338" t="str">
            <v>200W×150H</v>
          </cell>
          <cell r="E1338" t="str">
            <v>m</v>
          </cell>
          <cell r="H1338" t="str">
            <v>753(95,01)</v>
          </cell>
          <cell r="I1338">
            <v>18200</v>
          </cell>
          <cell r="S1338">
            <v>18200</v>
          </cell>
          <cell r="V1338" t="str">
            <v>내선</v>
          </cell>
          <cell r="W1338">
            <v>0.5</v>
          </cell>
        </row>
        <row r="1339">
          <cell r="A1339">
            <v>1339</v>
          </cell>
          <cell r="C1339" t="str">
            <v>CABLE DUCT</v>
          </cell>
          <cell r="D1339" t="str">
            <v>300W×150H</v>
          </cell>
          <cell r="E1339" t="str">
            <v>m</v>
          </cell>
          <cell r="L1339" t="str">
            <v>성실엔지니어링</v>
          </cell>
          <cell r="M1339">
            <v>28300</v>
          </cell>
          <cell r="N1339" t="str">
            <v>파이오니아메탈</v>
          </cell>
          <cell r="O1339">
            <v>30690</v>
          </cell>
          <cell r="P1339" t="str">
            <v>대한엔지니어링</v>
          </cell>
          <cell r="Q1339">
            <v>23140</v>
          </cell>
          <cell r="S1339">
            <v>23140</v>
          </cell>
          <cell r="V1339" t="str">
            <v>내선</v>
          </cell>
          <cell r="W1339">
            <v>0.6</v>
          </cell>
        </row>
        <row r="1340">
          <cell r="A1340">
            <v>1340</v>
          </cell>
          <cell r="C1340" t="str">
            <v>CABLE DUCT</v>
          </cell>
          <cell r="D1340" t="str">
            <v>400W×150H</v>
          </cell>
          <cell r="E1340" t="str">
            <v>m</v>
          </cell>
          <cell r="I1340">
            <v>30000</v>
          </cell>
          <cell r="S1340">
            <v>30000</v>
          </cell>
          <cell r="V1340" t="str">
            <v>내선</v>
          </cell>
          <cell r="W1340">
            <v>0.6</v>
          </cell>
        </row>
        <row r="1341">
          <cell r="A1341">
            <v>1341</v>
          </cell>
          <cell r="C1341" t="str">
            <v>CABLE DUCT</v>
          </cell>
          <cell r="D1341" t="str">
            <v>600W×150H</v>
          </cell>
          <cell r="E1341" t="str">
            <v>m</v>
          </cell>
          <cell r="H1341" t="str">
            <v>753(95,01)</v>
          </cell>
          <cell r="I1341">
            <v>37000</v>
          </cell>
          <cell r="S1341">
            <v>37000</v>
          </cell>
          <cell r="V1341" t="str">
            <v>내선</v>
          </cell>
          <cell r="W1341">
            <v>1.4</v>
          </cell>
        </row>
        <row r="1342">
          <cell r="A1342">
            <v>1342</v>
          </cell>
          <cell r="S1342" t="str">
            <v/>
          </cell>
        </row>
        <row r="1343">
          <cell r="A1343">
            <v>1343</v>
          </cell>
          <cell r="C1343" t="str">
            <v>HOR. ELBOW</v>
          </cell>
          <cell r="D1343" t="str">
            <v>150W×100H</v>
          </cell>
          <cell r="E1343" t="str">
            <v>EA</v>
          </cell>
          <cell r="H1343" t="str">
            <v>753(95,01)</v>
          </cell>
          <cell r="I1343">
            <v>23300</v>
          </cell>
          <cell r="S1343">
            <v>23300</v>
          </cell>
          <cell r="V1343" t="str">
            <v>내선</v>
          </cell>
          <cell r="W1343">
            <v>0.4</v>
          </cell>
        </row>
        <row r="1344">
          <cell r="A1344">
            <v>1344</v>
          </cell>
          <cell r="C1344" t="str">
            <v>HOR. ELBOW</v>
          </cell>
          <cell r="D1344" t="str">
            <v>200W×100H</v>
          </cell>
          <cell r="E1344" t="str">
            <v>EA</v>
          </cell>
          <cell r="H1344" t="str">
            <v>753(95,01)</v>
          </cell>
          <cell r="I1344">
            <v>27150</v>
          </cell>
          <cell r="S1344">
            <v>27150</v>
          </cell>
          <cell r="V1344" t="str">
            <v>내선</v>
          </cell>
          <cell r="W1344">
            <v>0.5</v>
          </cell>
        </row>
        <row r="1345">
          <cell r="A1345">
            <v>1345</v>
          </cell>
          <cell r="C1345" t="str">
            <v>HOR. ELBOW</v>
          </cell>
          <cell r="D1345" t="str">
            <v>300W×100H</v>
          </cell>
          <cell r="E1345" t="str">
            <v>EA</v>
          </cell>
          <cell r="H1345" t="str">
            <v>753(95,01)</v>
          </cell>
          <cell r="I1345">
            <v>35850</v>
          </cell>
          <cell r="S1345">
            <v>35850</v>
          </cell>
          <cell r="V1345" t="str">
            <v>내선</v>
          </cell>
          <cell r="W1345">
            <v>0.5</v>
          </cell>
        </row>
        <row r="1346">
          <cell r="A1346">
            <v>1346</v>
          </cell>
          <cell r="S1346" t="str">
            <v/>
          </cell>
        </row>
        <row r="1347">
          <cell r="A1347">
            <v>1347</v>
          </cell>
          <cell r="C1347" t="str">
            <v>HOR. ELBOW</v>
          </cell>
          <cell r="D1347" t="str">
            <v>600W×100H</v>
          </cell>
          <cell r="E1347" t="str">
            <v>EA</v>
          </cell>
          <cell r="H1347" t="str">
            <v>753(95,01)</v>
          </cell>
          <cell r="I1347">
            <v>69900</v>
          </cell>
          <cell r="S1347">
            <v>69900</v>
          </cell>
          <cell r="V1347" t="str">
            <v>내선</v>
          </cell>
          <cell r="W1347">
            <v>0.6</v>
          </cell>
        </row>
        <row r="1348">
          <cell r="A1348">
            <v>1348</v>
          </cell>
          <cell r="S1348" t="str">
            <v/>
          </cell>
        </row>
        <row r="1349">
          <cell r="A1349">
            <v>1349</v>
          </cell>
          <cell r="C1349" t="str">
            <v>HOR. ELBOW</v>
          </cell>
          <cell r="D1349" t="str">
            <v>150W×150H</v>
          </cell>
          <cell r="E1349" t="str">
            <v>EA</v>
          </cell>
          <cell r="H1349" t="str">
            <v>753(95,01)</v>
          </cell>
          <cell r="I1349">
            <v>25550</v>
          </cell>
          <cell r="S1349">
            <v>25550</v>
          </cell>
          <cell r="V1349" t="str">
            <v>내선</v>
          </cell>
          <cell r="W1349">
            <v>0.5</v>
          </cell>
        </row>
        <row r="1350">
          <cell r="A1350">
            <v>1350</v>
          </cell>
          <cell r="C1350" t="str">
            <v>HOR. ELBOW</v>
          </cell>
          <cell r="D1350" t="str">
            <v>200W×150H</v>
          </cell>
          <cell r="E1350" t="str">
            <v>EA</v>
          </cell>
          <cell r="H1350" t="str">
            <v>753(95,01)</v>
          </cell>
          <cell r="I1350">
            <v>29550</v>
          </cell>
          <cell r="S1350">
            <v>29550</v>
          </cell>
          <cell r="V1350" t="str">
            <v>내선</v>
          </cell>
          <cell r="W1350">
            <v>0.5</v>
          </cell>
        </row>
        <row r="1351">
          <cell r="A1351">
            <v>1351</v>
          </cell>
          <cell r="C1351" t="str">
            <v>HOR. ELBOW</v>
          </cell>
          <cell r="D1351" t="str">
            <v>300W×150H</v>
          </cell>
          <cell r="E1351" t="str">
            <v>EA</v>
          </cell>
          <cell r="L1351" t="str">
            <v>성실엔지니어링</v>
          </cell>
          <cell r="M1351">
            <v>14700</v>
          </cell>
          <cell r="N1351" t="str">
            <v>파이오니아메탈</v>
          </cell>
          <cell r="O1351">
            <v>55240</v>
          </cell>
          <cell r="P1351" t="str">
            <v>대한엔지니어링</v>
          </cell>
          <cell r="Q1351">
            <v>34710</v>
          </cell>
          <cell r="S1351">
            <v>14700</v>
          </cell>
          <cell r="V1351" t="str">
            <v>내선</v>
          </cell>
          <cell r="W1351">
            <v>0.6</v>
          </cell>
        </row>
        <row r="1352">
          <cell r="A1352">
            <v>1352</v>
          </cell>
          <cell r="S1352" t="str">
            <v/>
          </cell>
        </row>
        <row r="1353">
          <cell r="A1353">
            <v>1353</v>
          </cell>
          <cell r="C1353" t="str">
            <v>HOR. ELBOW</v>
          </cell>
          <cell r="D1353" t="str">
            <v>600W×150H</v>
          </cell>
          <cell r="E1353" t="str">
            <v>EA</v>
          </cell>
          <cell r="H1353" t="str">
            <v>753(95,01)</v>
          </cell>
          <cell r="I1353">
            <v>73300</v>
          </cell>
          <cell r="S1353">
            <v>73300</v>
          </cell>
          <cell r="V1353" t="str">
            <v>내선</v>
          </cell>
          <cell r="W1353">
            <v>1.4</v>
          </cell>
        </row>
        <row r="1354">
          <cell r="A1354">
            <v>1354</v>
          </cell>
          <cell r="S1354" t="str">
            <v/>
          </cell>
        </row>
        <row r="1355">
          <cell r="A1355">
            <v>1355</v>
          </cell>
          <cell r="C1355" t="str">
            <v>HOR. TEE</v>
          </cell>
          <cell r="D1355" t="str">
            <v>150W×100H</v>
          </cell>
          <cell r="E1355" t="str">
            <v>EA</v>
          </cell>
          <cell r="H1355" t="str">
            <v>753(95,01)</v>
          </cell>
          <cell r="I1355">
            <v>37550</v>
          </cell>
          <cell r="S1355">
            <v>37550</v>
          </cell>
          <cell r="V1355" t="str">
            <v>내선</v>
          </cell>
          <cell r="W1355">
            <v>0.4</v>
          </cell>
        </row>
        <row r="1356">
          <cell r="A1356">
            <v>1356</v>
          </cell>
          <cell r="C1356" t="str">
            <v>HOR. TEE</v>
          </cell>
          <cell r="D1356" t="str">
            <v>200W×100H</v>
          </cell>
          <cell r="E1356" t="str">
            <v>EA</v>
          </cell>
          <cell r="H1356" t="str">
            <v>753(95,01)</v>
          </cell>
          <cell r="I1356">
            <v>42400</v>
          </cell>
          <cell r="S1356">
            <v>42400</v>
          </cell>
          <cell r="V1356" t="str">
            <v>내선</v>
          </cell>
          <cell r="W1356">
            <v>0.5</v>
          </cell>
        </row>
        <row r="1357">
          <cell r="A1357">
            <v>1357</v>
          </cell>
          <cell r="C1357" t="str">
            <v>HOR. TEE</v>
          </cell>
          <cell r="D1357" t="str">
            <v>300W×100H</v>
          </cell>
          <cell r="E1357" t="str">
            <v>EA</v>
          </cell>
          <cell r="H1357" t="str">
            <v>753(95,01)</v>
          </cell>
          <cell r="I1357">
            <v>53100</v>
          </cell>
          <cell r="S1357">
            <v>53100</v>
          </cell>
          <cell r="V1357" t="str">
            <v>내선</v>
          </cell>
          <cell r="W1357">
            <v>0.5</v>
          </cell>
        </row>
        <row r="1358">
          <cell r="A1358">
            <v>1358</v>
          </cell>
          <cell r="S1358" t="str">
            <v/>
          </cell>
        </row>
        <row r="1359">
          <cell r="A1359">
            <v>1359</v>
          </cell>
          <cell r="C1359" t="str">
            <v>HOR. TEE</v>
          </cell>
          <cell r="D1359" t="str">
            <v>600W×100H</v>
          </cell>
          <cell r="E1359" t="str">
            <v>EA</v>
          </cell>
          <cell r="H1359" t="str">
            <v>753(95,01)</v>
          </cell>
          <cell r="I1359">
            <v>93100</v>
          </cell>
          <cell r="S1359">
            <v>93100</v>
          </cell>
          <cell r="V1359" t="str">
            <v>내선</v>
          </cell>
          <cell r="W1359">
            <v>0.6</v>
          </cell>
        </row>
        <row r="1360">
          <cell r="A1360">
            <v>1360</v>
          </cell>
          <cell r="S1360" t="str">
            <v/>
          </cell>
        </row>
        <row r="1361">
          <cell r="A1361">
            <v>1361</v>
          </cell>
          <cell r="C1361" t="str">
            <v>HOR. TEE</v>
          </cell>
          <cell r="D1361" t="str">
            <v>150W×150H</v>
          </cell>
          <cell r="E1361" t="str">
            <v>EA</v>
          </cell>
          <cell r="H1361" t="str">
            <v>753(95,01)</v>
          </cell>
          <cell r="I1361">
            <v>40800</v>
          </cell>
          <cell r="S1361">
            <v>40800</v>
          </cell>
          <cell r="V1361" t="str">
            <v>내선</v>
          </cell>
          <cell r="W1361">
            <v>0.5</v>
          </cell>
        </row>
        <row r="1362">
          <cell r="A1362">
            <v>1362</v>
          </cell>
          <cell r="C1362" t="str">
            <v>HOR. TEE</v>
          </cell>
          <cell r="D1362" t="str">
            <v>200W×150H</v>
          </cell>
          <cell r="E1362" t="str">
            <v>EA</v>
          </cell>
          <cell r="H1362" t="str">
            <v>753(95,01)</v>
          </cell>
          <cell r="I1362">
            <v>47600</v>
          </cell>
          <cell r="S1362">
            <v>47600</v>
          </cell>
          <cell r="V1362" t="str">
            <v>내선</v>
          </cell>
          <cell r="W1362">
            <v>0.5</v>
          </cell>
        </row>
        <row r="1363">
          <cell r="A1363">
            <v>1363</v>
          </cell>
          <cell r="C1363" t="str">
            <v>HOR. TEE</v>
          </cell>
          <cell r="D1363" t="str">
            <v>300W×150H</v>
          </cell>
          <cell r="E1363" t="str">
            <v>EA</v>
          </cell>
          <cell r="H1363" t="str">
            <v>753(95,01)</v>
          </cell>
          <cell r="I1363">
            <v>56600</v>
          </cell>
          <cell r="S1363">
            <v>56600</v>
          </cell>
          <cell r="V1363" t="str">
            <v>내선</v>
          </cell>
          <cell r="W1363">
            <v>0.6</v>
          </cell>
        </row>
        <row r="1364">
          <cell r="A1364">
            <v>1364</v>
          </cell>
          <cell r="S1364" t="str">
            <v/>
          </cell>
        </row>
        <row r="1365">
          <cell r="A1365">
            <v>1365</v>
          </cell>
          <cell r="C1365" t="str">
            <v>HOR. TEE</v>
          </cell>
          <cell r="D1365" t="str">
            <v>600W×150H</v>
          </cell>
          <cell r="E1365" t="str">
            <v>EA</v>
          </cell>
          <cell r="H1365" t="str">
            <v>753(95,01)</v>
          </cell>
          <cell r="I1365">
            <v>97100</v>
          </cell>
          <cell r="S1365">
            <v>97100</v>
          </cell>
          <cell r="V1365" t="str">
            <v>내선</v>
          </cell>
          <cell r="W1365">
            <v>1.4</v>
          </cell>
        </row>
        <row r="1366">
          <cell r="A1366">
            <v>1366</v>
          </cell>
          <cell r="S1366" t="str">
            <v/>
          </cell>
        </row>
        <row r="1367">
          <cell r="A1367">
            <v>1367</v>
          </cell>
          <cell r="C1367" t="str">
            <v>HOR. CROSS</v>
          </cell>
          <cell r="D1367" t="str">
            <v>150W×100H</v>
          </cell>
          <cell r="E1367" t="str">
            <v>EA</v>
          </cell>
          <cell r="H1367" t="str">
            <v>753(95,01)</v>
          </cell>
          <cell r="I1367">
            <v>58000</v>
          </cell>
          <cell r="S1367">
            <v>58000</v>
          </cell>
          <cell r="V1367" t="str">
            <v>내선</v>
          </cell>
          <cell r="W1367">
            <v>0.4</v>
          </cell>
        </row>
        <row r="1368">
          <cell r="A1368">
            <v>1368</v>
          </cell>
          <cell r="C1368" t="str">
            <v>HOR. CROSS</v>
          </cell>
          <cell r="D1368" t="str">
            <v>200W×100H</v>
          </cell>
          <cell r="E1368" t="str">
            <v>EA</v>
          </cell>
          <cell r="H1368" t="str">
            <v>753(95,01)</v>
          </cell>
          <cell r="I1368">
            <v>63750</v>
          </cell>
          <cell r="S1368">
            <v>63750</v>
          </cell>
          <cell r="V1368" t="str">
            <v>내선</v>
          </cell>
          <cell r="W1368">
            <v>0.5</v>
          </cell>
        </row>
        <row r="1369">
          <cell r="A1369">
            <v>1369</v>
          </cell>
          <cell r="C1369" t="str">
            <v>HOR. CROSS</v>
          </cell>
          <cell r="D1369" t="str">
            <v>300W×100H</v>
          </cell>
          <cell r="E1369" t="str">
            <v>EA</v>
          </cell>
          <cell r="H1369" t="str">
            <v>753(95,01)</v>
          </cell>
          <cell r="I1369">
            <v>76250</v>
          </cell>
          <cell r="S1369">
            <v>76250</v>
          </cell>
          <cell r="V1369" t="str">
            <v>내선</v>
          </cell>
          <cell r="W1369">
            <v>0.5</v>
          </cell>
        </row>
        <row r="1370">
          <cell r="A1370">
            <v>1370</v>
          </cell>
          <cell r="S1370" t="str">
            <v/>
          </cell>
        </row>
        <row r="1371">
          <cell r="A1371">
            <v>1371</v>
          </cell>
          <cell r="C1371" t="str">
            <v>HOR. CROSS</v>
          </cell>
          <cell r="D1371" t="str">
            <v>600W×100H</v>
          </cell>
          <cell r="E1371" t="str">
            <v>EA</v>
          </cell>
          <cell r="H1371" t="str">
            <v>753(95,01)</v>
          </cell>
          <cell r="I1371">
            <v>121600</v>
          </cell>
          <cell r="S1371">
            <v>121600</v>
          </cell>
          <cell r="V1371" t="str">
            <v>내선</v>
          </cell>
          <cell r="W1371">
            <v>0.6</v>
          </cell>
        </row>
        <row r="1372">
          <cell r="A1372">
            <v>1372</v>
          </cell>
          <cell r="S1372" t="str">
            <v/>
          </cell>
        </row>
        <row r="1373">
          <cell r="A1373">
            <v>1373</v>
          </cell>
          <cell r="C1373" t="str">
            <v>HOR. CROSS</v>
          </cell>
          <cell r="D1373" t="str">
            <v>150W×150H</v>
          </cell>
          <cell r="E1373" t="str">
            <v>EA</v>
          </cell>
          <cell r="H1373" t="str">
            <v>753(95,01)</v>
          </cell>
          <cell r="I1373">
            <v>61750</v>
          </cell>
          <cell r="S1373">
            <v>61750</v>
          </cell>
          <cell r="V1373" t="str">
            <v>내선</v>
          </cell>
          <cell r="W1373">
            <v>0.5</v>
          </cell>
        </row>
        <row r="1374">
          <cell r="A1374">
            <v>1374</v>
          </cell>
          <cell r="C1374" t="str">
            <v>HOR. CROSS</v>
          </cell>
          <cell r="D1374" t="str">
            <v>200W×150H</v>
          </cell>
          <cell r="E1374" t="str">
            <v>EA</v>
          </cell>
          <cell r="H1374" t="str">
            <v>753(95,01)</v>
          </cell>
          <cell r="I1374">
            <v>67500</v>
          </cell>
          <cell r="S1374">
            <v>67500</v>
          </cell>
          <cell r="V1374" t="str">
            <v>내선</v>
          </cell>
          <cell r="W1374">
            <v>0.5</v>
          </cell>
        </row>
        <row r="1375">
          <cell r="A1375">
            <v>1375</v>
          </cell>
          <cell r="C1375" t="str">
            <v>HOR. CROSS</v>
          </cell>
          <cell r="D1375" t="str">
            <v>300W×150H</v>
          </cell>
          <cell r="E1375" t="str">
            <v>EA</v>
          </cell>
          <cell r="H1375" t="str">
            <v>753(95,01)</v>
          </cell>
          <cell r="I1375">
            <v>80000</v>
          </cell>
          <cell r="S1375">
            <v>80000</v>
          </cell>
          <cell r="V1375" t="str">
            <v>내선</v>
          </cell>
          <cell r="W1375">
            <v>0.6</v>
          </cell>
        </row>
        <row r="1376">
          <cell r="A1376">
            <v>1376</v>
          </cell>
          <cell r="S1376" t="str">
            <v/>
          </cell>
        </row>
        <row r="1377">
          <cell r="A1377">
            <v>1377</v>
          </cell>
          <cell r="C1377" t="str">
            <v>HOR. CROSS</v>
          </cell>
          <cell r="D1377" t="str">
            <v>600W×150H</v>
          </cell>
          <cell r="E1377" t="str">
            <v>EA</v>
          </cell>
          <cell r="H1377" t="str">
            <v>753(95,01)</v>
          </cell>
          <cell r="I1377">
            <v>125300</v>
          </cell>
          <cell r="S1377">
            <v>125300</v>
          </cell>
          <cell r="V1377" t="str">
            <v>내선</v>
          </cell>
          <cell r="W1377">
            <v>1.4</v>
          </cell>
        </row>
        <row r="1378">
          <cell r="A1378">
            <v>1378</v>
          </cell>
          <cell r="S1378" t="str">
            <v/>
          </cell>
        </row>
        <row r="1379">
          <cell r="A1379">
            <v>1379</v>
          </cell>
          <cell r="C1379" t="str">
            <v>VER. ELBOW</v>
          </cell>
          <cell r="D1379" t="str">
            <v>150W×100H</v>
          </cell>
          <cell r="E1379" t="str">
            <v>EA</v>
          </cell>
          <cell r="H1379" t="str">
            <v>753(95,01)</v>
          </cell>
          <cell r="I1379">
            <v>19300</v>
          </cell>
          <cell r="S1379">
            <v>19300</v>
          </cell>
          <cell r="V1379" t="str">
            <v>내선</v>
          </cell>
          <cell r="W1379">
            <v>0.4</v>
          </cell>
        </row>
        <row r="1380">
          <cell r="A1380">
            <v>1380</v>
          </cell>
          <cell r="C1380" t="str">
            <v>VER. ELBOW</v>
          </cell>
          <cell r="D1380" t="str">
            <v>200W×100H</v>
          </cell>
          <cell r="E1380" t="str">
            <v>EA</v>
          </cell>
          <cell r="H1380" t="str">
            <v>753(95,01)</v>
          </cell>
          <cell r="I1380">
            <v>21750</v>
          </cell>
          <cell r="S1380">
            <v>21750</v>
          </cell>
          <cell r="V1380" t="str">
            <v>내선</v>
          </cell>
          <cell r="W1380">
            <v>0.5</v>
          </cell>
        </row>
        <row r="1381">
          <cell r="A1381">
            <v>1381</v>
          </cell>
          <cell r="C1381" t="str">
            <v>VER. ELBOW</v>
          </cell>
          <cell r="D1381" t="str">
            <v>300W×100H</v>
          </cell>
          <cell r="E1381" t="str">
            <v>EA</v>
          </cell>
          <cell r="H1381" t="str">
            <v>753(95,01)</v>
          </cell>
          <cell r="I1381">
            <v>26600</v>
          </cell>
          <cell r="S1381">
            <v>26600</v>
          </cell>
          <cell r="V1381" t="str">
            <v>내선</v>
          </cell>
          <cell r="W1381">
            <v>0.5</v>
          </cell>
        </row>
        <row r="1382">
          <cell r="A1382">
            <v>1382</v>
          </cell>
          <cell r="S1382" t="str">
            <v/>
          </cell>
        </row>
        <row r="1383">
          <cell r="A1383">
            <v>1383</v>
          </cell>
          <cell r="C1383" t="str">
            <v>VER. ELBOW</v>
          </cell>
          <cell r="D1383" t="str">
            <v>600W×100H</v>
          </cell>
          <cell r="E1383" t="str">
            <v>EA</v>
          </cell>
          <cell r="H1383" t="str">
            <v>753(95,01)</v>
          </cell>
          <cell r="I1383">
            <v>41250</v>
          </cell>
          <cell r="S1383">
            <v>41250</v>
          </cell>
          <cell r="V1383" t="str">
            <v>내선</v>
          </cell>
          <cell r="W1383">
            <v>0.6</v>
          </cell>
        </row>
        <row r="1384">
          <cell r="A1384">
            <v>1384</v>
          </cell>
          <cell r="S1384" t="str">
            <v/>
          </cell>
        </row>
        <row r="1385">
          <cell r="A1385">
            <v>1385</v>
          </cell>
          <cell r="C1385" t="str">
            <v>VER. ELBOW</v>
          </cell>
          <cell r="D1385" t="str">
            <v>150W×150H</v>
          </cell>
          <cell r="E1385" t="str">
            <v>EA</v>
          </cell>
          <cell r="H1385" t="str">
            <v>753(95,01)</v>
          </cell>
          <cell r="I1385">
            <v>24550</v>
          </cell>
          <cell r="S1385">
            <v>24550</v>
          </cell>
          <cell r="V1385" t="str">
            <v>내선</v>
          </cell>
          <cell r="W1385">
            <v>0.5</v>
          </cell>
        </row>
        <row r="1386">
          <cell r="A1386">
            <v>1386</v>
          </cell>
          <cell r="C1386" t="str">
            <v>VER. ELBOW</v>
          </cell>
          <cell r="D1386" t="str">
            <v>200W×150H</v>
          </cell>
          <cell r="E1386" t="str">
            <v>EA</v>
          </cell>
          <cell r="H1386" t="str">
            <v>753(95,01)</v>
          </cell>
          <cell r="I1386">
            <v>27050</v>
          </cell>
          <cell r="S1386">
            <v>27050</v>
          </cell>
          <cell r="V1386" t="str">
            <v>내선</v>
          </cell>
          <cell r="W1386">
            <v>0.5</v>
          </cell>
        </row>
        <row r="1387">
          <cell r="A1387">
            <v>1387</v>
          </cell>
          <cell r="C1387" t="str">
            <v>VER. ELBOW</v>
          </cell>
          <cell r="D1387" t="str">
            <v>300W×150H</v>
          </cell>
          <cell r="E1387" t="str">
            <v>EA</v>
          </cell>
          <cell r="L1387" t="str">
            <v>성실엔지니어링</v>
          </cell>
          <cell r="M1387">
            <v>14700</v>
          </cell>
          <cell r="N1387" t="str">
            <v>파이오니아메탈</v>
          </cell>
          <cell r="O1387">
            <v>56780</v>
          </cell>
          <cell r="P1387" t="str">
            <v>대한엔지니어링</v>
          </cell>
          <cell r="Q1387">
            <v>37050</v>
          </cell>
          <cell r="S1387">
            <v>14700</v>
          </cell>
          <cell r="V1387" t="str">
            <v>내선</v>
          </cell>
          <cell r="W1387">
            <v>0.6</v>
          </cell>
        </row>
        <row r="1388">
          <cell r="A1388">
            <v>1388</v>
          </cell>
          <cell r="S1388" t="str">
            <v/>
          </cell>
        </row>
        <row r="1389">
          <cell r="A1389">
            <v>1389</v>
          </cell>
          <cell r="C1389" t="str">
            <v>VER. ELBOW</v>
          </cell>
          <cell r="D1389" t="str">
            <v>600W×150H</v>
          </cell>
          <cell r="E1389" t="str">
            <v>EA</v>
          </cell>
          <cell r="H1389" t="str">
            <v>753(95,01)</v>
          </cell>
          <cell r="I1389">
            <v>47750</v>
          </cell>
          <cell r="S1389">
            <v>47750</v>
          </cell>
          <cell r="V1389" t="str">
            <v>내선</v>
          </cell>
          <cell r="W1389">
            <v>1.4</v>
          </cell>
        </row>
        <row r="1390">
          <cell r="A1390">
            <v>1390</v>
          </cell>
          <cell r="S1390" t="str">
            <v/>
          </cell>
        </row>
        <row r="1391">
          <cell r="A1391">
            <v>1391</v>
          </cell>
          <cell r="C1391" t="str">
            <v>REDUCER</v>
          </cell>
          <cell r="D1391" t="str">
            <v>300W-150W (100 H)</v>
          </cell>
          <cell r="E1391" t="str">
            <v>EA</v>
          </cell>
          <cell r="H1391" t="str">
            <v>753(95,01)</v>
          </cell>
          <cell r="I1391">
            <v>18250</v>
          </cell>
          <cell r="S1391">
            <v>18250</v>
          </cell>
          <cell r="V1391" t="str">
            <v>내선</v>
          </cell>
          <cell r="W1391">
            <v>0.5</v>
          </cell>
        </row>
        <row r="1392">
          <cell r="A1392">
            <v>1392</v>
          </cell>
          <cell r="S1392" t="str">
            <v/>
          </cell>
        </row>
        <row r="1393">
          <cell r="A1393">
            <v>1393</v>
          </cell>
          <cell r="C1393" t="str">
            <v>REDUCER</v>
          </cell>
          <cell r="D1393" t="str">
            <v>600W-300W (100 H)</v>
          </cell>
          <cell r="E1393" t="str">
            <v>EA</v>
          </cell>
          <cell r="H1393" t="str">
            <v>753(95,01)</v>
          </cell>
          <cell r="I1393">
            <v>30450</v>
          </cell>
          <cell r="S1393">
            <v>30450</v>
          </cell>
          <cell r="V1393" t="str">
            <v>내선</v>
          </cell>
          <cell r="W1393">
            <v>0.6</v>
          </cell>
        </row>
        <row r="1394">
          <cell r="A1394">
            <v>1394</v>
          </cell>
          <cell r="S1394" t="str">
            <v/>
          </cell>
        </row>
        <row r="1395">
          <cell r="A1395">
            <v>1395</v>
          </cell>
          <cell r="C1395" t="str">
            <v>REDUCER</v>
          </cell>
          <cell r="D1395" t="str">
            <v>300W-150W (150 H)</v>
          </cell>
          <cell r="E1395" t="str">
            <v>EA</v>
          </cell>
          <cell r="H1395" t="str">
            <v>753(95,01)</v>
          </cell>
          <cell r="I1395">
            <v>20250</v>
          </cell>
          <cell r="S1395">
            <v>20250</v>
          </cell>
          <cell r="V1395" t="str">
            <v>내선</v>
          </cell>
          <cell r="W1395">
            <v>0.5</v>
          </cell>
        </row>
        <row r="1396">
          <cell r="A1396">
            <v>1396</v>
          </cell>
          <cell r="S1396" t="str">
            <v/>
          </cell>
        </row>
        <row r="1397">
          <cell r="A1397">
            <v>1397</v>
          </cell>
          <cell r="C1397" t="str">
            <v>REDUCER</v>
          </cell>
          <cell r="D1397" t="str">
            <v>600W-300W (150 H)</v>
          </cell>
          <cell r="E1397" t="str">
            <v>EA</v>
          </cell>
          <cell r="H1397" t="str">
            <v>753(95,01)</v>
          </cell>
          <cell r="I1397">
            <v>32650</v>
          </cell>
          <cell r="S1397">
            <v>32650</v>
          </cell>
          <cell r="V1397" t="str">
            <v>내선</v>
          </cell>
          <cell r="W1397">
            <v>0.6</v>
          </cell>
        </row>
        <row r="1398">
          <cell r="A1398">
            <v>1398</v>
          </cell>
          <cell r="C1398" t="str">
            <v>분전반</v>
          </cell>
          <cell r="D1398" t="str">
            <v>LP-1</v>
          </cell>
          <cell r="E1398" t="str">
            <v>면</v>
          </cell>
          <cell r="S1398">
            <v>0</v>
          </cell>
          <cell r="V1398" t="str">
            <v>내선</v>
          </cell>
          <cell r="W1398">
            <v>3.0030000000000001</v>
          </cell>
        </row>
        <row r="1399">
          <cell r="A1399">
            <v>1399</v>
          </cell>
          <cell r="C1399" t="str">
            <v>분전반</v>
          </cell>
          <cell r="D1399" t="str">
            <v>LP-2</v>
          </cell>
          <cell r="E1399" t="str">
            <v>면</v>
          </cell>
          <cell r="I1399" t="str">
            <v xml:space="preserve"> </v>
          </cell>
          <cell r="S1399">
            <v>0</v>
          </cell>
          <cell r="V1399" t="str">
            <v>내선</v>
          </cell>
          <cell r="W1399">
            <v>1.4690000000000001</v>
          </cell>
        </row>
        <row r="1400">
          <cell r="A1400">
            <v>1400</v>
          </cell>
          <cell r="C1400" t="str">
            <v>LOP-205,206(A,B)기초</v>
          </cell>
          <cell r="E1400" t="str">
            <v>면</v>
          </cell>
          <cell r="R1400">
            <v>96898</v>
          </cell>
          <cell r="S1400">
            <v>45581</v>
          </cell>
          <cell r="T1400">
            <v>1208</v>
          </cell>
          <cell r="AD1400" t="str">
            <v>제9호표</v>
          </cell>
        </row>
        <row r="1401">
          <cell r="A1401">
            <v>1401</v>
          </cell>
          <cell r="C1401" t="str">
            <v>LOP-303기초</v>
          </cell>
          <cell r="E1401" t="str">
            <v>면</v>
          </cell>
          <cell r="R1401">
            <v>96898</v>
          </cell>
          <cell r="S1401">
            <v>45581</v>
          </cell>
          <cell r="T1401">
            <v>1208</v>
          </cell>
          <cell r="AD1401" t="str">
            <v>제9호표</v>
          </cell>
        </row>
        <row r="1402">
          <cell r="A1402">
            <v>1402</v>
          </cell>
          <cell r="C1402" t="str">
            <v>LOP-200A~D기초</v>
          </cell>
          <cell r="E1402" t="str">
            <v>면</v>
          </cell>
          <cell r="R1402">
            <v>96898</v>
          </cell>
          <cell r="S1402">
            <v>45581</v>
          </cell>
          <cell r="T1402">
            <v>1208</v>
          </cell>
          <cell r="AD1402" t="str">
            <v>제9호표</v>
          </cell>
        </row>
        <row r="1403">
          <cell r="A1403">
            <v>1403</v>
          </cell>
          <cell r="C1403" t="str">
            <v>LOP-201(응집기)기초</v>
          </cell>
          <cell r="E1403" t="str">
            <v>면</v>
          </cell>
          <cell r="R1403">
            <v>96898</v>
          </cell>
          <cell r="S1403">
            <v>45581</v>
          </cell>
          <cell r="T1403">
            <v>1208</v>
          </cell>
          <cell r="AD1403" t="str">
            <v>제9호표</v>
          </cell>
        </row>
        <row r="1404">
          <cell r="A1404">
            <v>1404</v>
          </cell>
          <cell r="C1404" t="str">
            <v>관로굴착</v>
          </cell>
          <cell r="D1404" t="str">
            <v>(850W×750H)/m당</v>
          </cell>
          <cell r="E1404" t="str">
            <v>m</v>
          </cell>
          <cell r="R1404">
            <v>1674</v>
          </cell>
          <cell r="S1404">
            <v>28</v>
          </cell>
          <cell r="T1404">
            <v>149</v>
          </cell>
          <cell r="AD1404" t="str">
            <v>제16호표</v>
          </cell>
        </row>
        <row r="1405">
          <cell r="A1405">
            <v>1405</v>
          </cell>
          <cell r="C1405" t="str">
            <v>관로굴착</v>
          </cell>
          <cell r="D1405" t="str">
            <v>(1180W×1300H)/m당</v>
          </cell>
          <cell r="E1405" t="str">
            <v>m</v>
          </cell>
          <cell r="R1405">
            <v>3561</v>
          </cell>
          <cell r="S1405">
            <v>61</v>
          </cell>
          <cell r="T1405">
            <v>317</v>
          </cell>
          <cell r="AD1405" t="str">
            <v>제17호표</v>
          </cell>
        </row>
        <row r="1406">
          <cell r="A1406">
            <v>1406</v>
          </cell>
          <cell r="C1406" t="str">
            <v>LOP-502,504기초</v>
          </cell>
          <cell r="E1406" t="str">
            <v>면</v>
          </cell>
          <cell r="R1406">
            <v>96898</v>
          </cell>
          <cell r="S1406">
            <v>45581</v>
          </cell>
          <cell r="T1406">
            <v>1208</v>
          </cell>
          <cell r="AD1406" t="str">
            <v>제9호표</v>
          </cell>
        </row>
        <row r="1407">
          <cell r="A1407">
            <v>1407</v>
          </cell>
          <cell r="C1407" t="str">
            <v>LOP-701,702(A~D)기초</v>
          </cell>
          <cell r="E1407" t="str">
            <v>면</v>
          </cell>
          <cell r="R1407">
            <v>96898</v>
          </cell>
          <cell r="S1407">
            <v>45581</v>
          </cell>
          <cell r="T1407">
            <v>1208</v>
          </cell>
          <cell r="AD1407" t="str">
            <v>제9호표</v>
          </cell>
        </row>
        <row r="1408">
          <cell r="A1408">
            <v>1408</v>
          </cell>
          <cell r="C1408" t="str">
            <v>핸드홀</v>
          </cell>
          <cell r="D1408" t="str">
            <v>700×700×700</v>
          </cell>
          <cell r="E1408" t="str">
            <v>개소</v>
          </cell>
          <cell r="R1408">
            <v>199865</v>
          </cell>
          <cell r="S1408">
            <v>81472</v>
          </cell>
          <cell r="T1408">
            <v>3904</v>
          </cell>
          <cell r="AD1408" t="str">
            <v>제20호표</v>
          </cell>
        </row>
        <row r="1409">
          <cell r="A1409">
            <v>1409</v>
          </cell>
          <cell r="C1409" t="str">
            <v>맨-홀</v>
          </cell>
          <cell r="D1409" t="str">
            <v>1000×1000×1000</v>
          </cell>
          <cell r="E1409" t="str">
            <v>개소</v>
          </cell>
          <cell r="R1409">
            <v>502558</v>
          </cell>
          <cell r="S1409">
            <v>393656</v>
          </cell>
          <cell r="T1409">
            <v>12990</v>
          </cell>
          <cell r="AD1409" t="str">
            <v>제19호표</v>
          </cell>
        </row>
        <row r="1410">
          <cell r="A1410">
            <v>1410</v>
          </cell>
          <cell r="C1410" t="str">
            <v>맨-홀</v>
          </cell>
          <cell r="D1410" t="str">
            <v>1500×1500×1500</v>
          </cell>
          <cell r="E1410" t="str">
            <v>개소</v>
          </cell>
          <cell r="R1410">
            <v>763174</v>
          </cell>
          <cell r="S1410">
            <v>522478</v>
          </cell>
          <cell r="T1410">
            <v>16475</v>
          </cell>
          <cell r="AD1410" t="str">
            <v>제18호표</v>
          </cell>
        </row>
        <row r="1411">
          <cell r="A1411">
            <v>1411</v>
          </cell>
          <cell r="S1411" t="str">
            <v/>
          </cell>
        </row>
        <row r="1412">
          <cell r="A1412">
            <v>1412</v>
          </cell>
          <cell r="C1412" t="str">
            <v>제어반기초</v>
          </cell>
          <cell r="D1412" t="str">
            <v>650×850×1,000H</v>
          </cell>
          <cell r="E1412" t="str">
            <v>개소</v>
          </cell>
          <cell r="R1412">
            <v>81119</v>
          </cell>
          <cell r="S1412">
            <v>46493</v>
          </cell>
          <cell r="T1412">
            <v>879</v>
          </cell>
          <cell r="AD1412" t="str">
            <v>제15호표</v>
          </cell>
        </row>
        <row r="1413">
          <cell r="A1413">
            <v>1413</v>
          </cell>
          <cell r="C1413" t="str">
            <v>외등기초</v>
          </cell>
          <cell r="D1413" t="str">
            <v>일위대가</v>
          </cell>
          <cell r="E1413" t="str">
            <v>개소</v>
          </cell>
          <cell r="R1413">
            <v>96898</v>
          </cell>
          <cell r="S1413">
            <v>45581</v>
          </cell>
          <cell r="T1413">
            <v>1208</v>
          </cell>
          <cell r="AD1413" t="str">
            <v>제9호표</v>
          </cell>
        </row>
        <row r="1414">
          <cell r="A1414">
            <v>1414</v>
          </cell>
          <cell r="C1414" t="str">
            <v>가로등기초</v>
          </cell>
          <cell r="D1414" t="str">
            <v>5~9M POLE</v>
          </cell>
          <cell r="E1414" t="str">
            <v>개소</v>
          </cell>
          <cell r="R1414">
            <v>96898</v>
          </cell>
          <cell r="S1414">
            <v>45581</v>
          </cell>
          <cell r="T1414">
            <v>1208</v>
          </cell>
          <cell r="AD1414" t="str">
            <v>제9호표</v>
          </cell>
        </row>
        <row r="1415">
          <cell r="A1415">
            <v>1415</v>
          </cell>
          <cell r="C1415" t="str">
            <v>가로등기초</v>
          </cell>
          <cell r="D1415" t="str">
            <v>10~12M POLE</v>
          </cell>
          <cell r="E1415" t="str">
            <v>개소</v>
          </cell>
          <cell r="R1415">
            <v>163494</v>
          </cell>
          <cell r="S1415">
            <v>77450</v>
          </cell>
          <cell r="T1415">
            <v>1570</v>
          </cell>
          <cell r="AD1415" t="str">
            <v>제24호표</v>
          </cell>
        </row>
        <row r="1416">
          <cell r="A1416">
            <v>1416</v>
          </cell>
          <cell r="C1416" t="str">
            <v>제어반기초</v>
          </cell>
          <cell r="E1416" t="str">
            <v>개소</v>
          </cell>
          <cell r="R1416">
            <v>96898</v>
          </cell>
          <cell r="S1416">
            <v>45581</v>
          </cell>
          <cell r="T1416">
            <v>1208</v>
          </cell>
          <cell r="AD1416" t="str">
            <v>제9호표</v>
          </cell>
        </row>
        <row r="1417">
          <cell r="A1417">
            <v>1417</v>
          </cell>
          <cell r="B1417" t="str">
            <v>중앙부경계</v>
          </cell>
          <cell r="C1417" t="str">
            <v>가로등기초</v>
          </cell>
          <cell r="D1417" t="str">
            <v>10M POLE 중앙배열</v>
          </cell>
          <cell r="E1417" t="str">
            <v>개소</v>
          </cell>
          <cell r="R1417">
            <v>92055</v>
          </cell>
          <cell r="S1417">
            <v>45499</v>
          </cell>
          <cell r="T1417">
            <v>778</v>
          </cell>
          <cell r="AD1417" t="str">
            <v>제25호표</v>
          </cell>
        </row>
        <row r="1418">
          <cell r="A1418">
            <v>1418</v>
          </cell>
          <cell r="C1418" t="str">
            <v>가로등기초이설</v>
          </cell>
          <cell r="D1418" t="str">
            <v>8~9M POLE(설치의30%)</v>
          </cell>
          <cell r="E1418" t="str">
            <v>개소</v>
          </cell>
          <cell r="R1418">
            <v>29069</v>
          </cell>
          <cell r="S1418">
            <v>13674</v>
          </cell>
          <cell r="T1418">
            <v>362</v>
          </cell>
        </row>
        <row r="1419">
          <cell r="A1419">
            <v>1419</v>
          </cell>
          <cell r="C1419" t="str">
            <v>가로등기초</v>
          </cell>
          <cell r="D1419" t="str">
            <v>ANCHOR BOLT 제작 설치</v>
          </cell>
          <cell r="E1419" t="str">
            <v>개소</v>
          </cell>
          <cell r="R1419">
            <v>22915</v>
          </cell>
          <cell r="S1419">
            <v>8505</v>
          </cell>
          <cell r="T1419">
            <v>778</v>
          </cell>
          <cell r="AD1419" t="str">
            <v>제8호표</v>
          </cell>
        </row>
        <row r="1420">
          <cell r="A1420">
            <v>1420</v>
          </cell>
          <cell r="S1420" t="str">
            <v/>
          </cell>
        </row>
        <row r="1421">
          <cell r="A1421">
            <v>1421</v>
          </cell>
          <cell r="S1421" t="str">
            <v/>
          </cell>
        </row>
        <row r="1422">
          <cell r="A1422">
            <v>1422</v>
          </cell>
          <cell r="C1422" t="str">
            <v>소화기BOX</v>
          </cell>
          <cell r="D1422" t="str">
            <v>SUS 600×250</v>
          </cell>
          <cell r="E1422" t="str">
            <v>EA</v>
          </cell>
          <cell r="L1422" t="str">
            <v>금성소방</v>
          </cell>
          <cell r="M1422">
            <v>85000</v>
          </cell>
          <cell r="S1422">
            <v>85000</v>
          </cell>
          <cell r="V1422" t="str">
            <v>내선</v>
          </cell>
          <cell r="W1422">
            <v>0.95</v>
          </cell>
        </row>
        <row r="1423">
          <cell r="A1423">
            <v>1423</v>
          </cell>
          <cell r="C1423" t="str">
            <v>소화기BOX</v>
          </cell>
          <cell r="D1423" t="str">
            <v>Steel 600×250</v>
          </cell>
          <cell r="E1423" t="str">
            <v>EA</v>
          </cell>
          <cell r="L1423" t="str">
            <v>금성소방</v>
          </cell>
          <cell r="M1423">
            <v>54000</v>
          </cell>
          <cell r="S1423">
            <v>54000</v>
          </cell>
          <cell r="V1423" t="str">
            <v>내선</v>
          </cell>
          <cell r="W1423">
            <v>0.95</v>
          </cell>
        </row>
        <row r="1424">
          <cell r="A1424">
            <v>1424</v>
          </cell>
          <cell r="C1424" t="str">
            <v>ABC 소화기</v>
          </cell>
          <cell r="D1424" t="str">
            <v>6.5㎏</v>
          </cell>
          <cell r="E1424" t="str">
            <v>대</v>
          </cell>
          <cell r="J1424">
            <v>985</v>
          </cell>
          <cell r="K1424">
            <v>28000</v>
          </cell>
          <cell r="S1424">
            <v>28000</v>
          </cell>
        </row>
        <row r="1425">
          <cell r="A1425">
            <v>1425</v>
          </cell>
          <cell r="C1425" t="str">
            <v>소화기표시램프</v>
          </cell>
          <cell r="E1425" t="str">
            <v>EA</v>
          </cell>
          <cell r="H1425">
            <v>666</v>
          </cell>
          <cell r="I1425">
            <v>35000</v>
          </cell>
          <cell r="S1425">
            <v>35000</v>
          </cell>
        </row>
        <row r="1426">
          <cell r="A1426">
            <v>1426</v>
          </cell>
          <cell r="C1426" t="str">
            <v>가로등주</v>
          </cell>
          <cell r="D1426" t="str">
            <v>SUS 2.5t 12M POLE  1등용</v>
          </cell>
          <cell r="E1426" t="str">
            <v>주</v>
          </cell>
          <cell r="H1426">
            <v>763</v>
          </cell>
          <cell r="I1426">
            <v>827327</v>
          </cell>
          <cell r="S1426">
            <v>827327</v>
          </cell>
        </row>
        <row r="1427">
          <cell r="A1427">
            <v>1427</v>
          </cell>
          <cell r="C1427" t="str">
            <v>가로등주</v>
          </cell>
          <cell r="D1427" t="str">
            <v>SUS 2.5t 12M POLE  2등용</v>
          </cell>
          <cell r="E1427" t="str">
            <v>주</v>
          </cell>
          <cell r="H1427">
            <v>763</v>
          </cell>
          <cell r="I1427">
            <v>941418</v>
          </cell>
          <cell r="S1427">
            <v>941418</v>
          </cell>
        </row>
        <row r="1428">
          <cell r="A1428">
            <v>1428</v>
          </cell>
          <cell r="S1428" t="str">
            <v/>
          </cell>
        </row>
        <row r="1429">
          <cell r="A1429">
            <v>1429</v>
          </cell>
          <cell r="S1429" t="str">
            <v/>
          </cell>
        </row>
        <row r="1430">
          <cell r="A1430">
            <v>1430</v>
          </cell>
          <cell r="C1430" t="str">
            <v>CCD COLOR CAMERA</v>
          </cell>
          <cell r="D1430" t="str">
            <v>0.57LUX</v>
          </cell>
          <cell r="E1430" t="str">
            <v>EA</v>
          </cell>
          <cell r="J1430">
            <v>985</v>
          </cell>
          <cell r="K1430">
            <v>1500000</v>
          </cell>
          <cell r="L1430" t="str">
            <v>한국전자미디어</v>
          </cell>
          <cell r="M1430">
            <v>1500000</v>
          </cell>
          <cell r="N1430" t="str">
            <v>다성테크닉스</v>
          </cell>
          <cell r="O1430">
            <v>1650000</v>
          </cell>
          <cell r="P1430" t="str">
            <v>한미통신</v>
          </cell>
          <cell r="Q1430">
            <v>1800000</v>
          </cell>
          <cell r="S1430">
            <v>1500000</v>
          </cell>
          <cell r="V1430" t="str">
            <v>통설</v>
          </cell>
          <cell r="W1430">
            <v>0.3</v>
          </cell>
          <cell r="Z1430" t="str">
            <v>통신기사2급</v>
          </cell>
          <cell r="AA1430">
            <v>0.5</v>
          </cell>
        </row>
        <row r="1431">
          <cell r="A1431">
            <v>1431</v>
          </cell>
          <cell r="C1431" t="str">
            <v>AUTO-ZOOM LENZ</v>
          </cell>
          <cell r="D1431" t="str">
            <v>8-80mm</v>
          </cell>
          <cell r="E1431" t="str">
            <v>EA</v>
          </cell>
          <cell r="J1431">
            <v>985</v>
          </cell>
          <cell r="K1431">
            <v>1220000</v>
          </cell>
          <cell r="L1431" t="str">
            <v>한국전자미디어</v>
          </cell>
          <cell r="M1431">
            <v>1220000</v>
          </cell>
          <cell r="N1431" t="str">
            <v>다성테크닉스</v>
          </cell>
          <cell r="O1431">
            <v>1300000</v>
          </cell>
          <cell r="P1431" t="str">
            <v>한미통신</v>
          </cell>
          <cell r="Q1431">
            <v>1350000</v>
          </cell>
          <cell r="S1431">
            <v>1220000</v>
          </cell>
        </row>
        <row r="1432">
          <cell r="A1432">
            <v>1432</v>
          </cell>
          <cell r="C1432" t="str">
            <v>PAN/TILT</v>
          </cell>
          <cell r="D1432" t="str">
            <v>IN DOOR</v>
          </cell>
          <cell r="E1432" t="str">
            <v>EA</v>
          </cell>
          <cell r="J1432">
            <v>985</v>
          </cell>
          <cell r="K1432">
            <v>600000</v>
          </cell>
          <cell r="L1432" t="str">
            <v>한국전자미디어</v>
          </cell>
          <cell r="M1432">
            <v>700000</v>
          </cell>
          <cell r="N1432" t="str">
            <v>다성테크닉스</v>
          </cell>
          <cell r="O1432">
            <v>700000</v>
          </cell>
          <cell r="P1432" t="str">
            <v>한미통신</v>
          </cell>
          <cell r="Q1432">
            <v>600000</v>
          </cell>
          <cell r="S1432">
            <v>600000</v>
          </cell>
        </row>
        <row r="1433">
          <cell r="A1433">
            <v>1433</v>
          </cell>
          <cell r="C1433" t="str">
            <v>P/T ZOOM CONTROLER</v>
          </cell>
          <cell r="D1433" t="str">
            <v>4CH</v>
          </cell>
          <cell r="E1433" t="str">
            <v>EA</v>
          </cell>
          <cell r="J1433">
            <v>985</v>
          </cell>
          <cell r="K1433">
            <v>650000</v>
          </cell>
          <cell r="L1433" t="str">
            <v>한국전자미디어</v>
          </cell>
          <cell r="M1433">
            <v>680000</v>
          </cell>
          <cell r="N1433" t="str">
            <v>다성테크닉스</v>
          </cell>
          <cell r="O1433">
            <v>650000</v>
          </cell>
          <cell r="P1433" t="str">
            <v>한미통신</v>
          </cell>
          <cell r="Q1433">
            <v>670000</v>
          </cell>
          <cell r="S1433">
            <v>650000</v>
          </cell>
          <cell r="V1433" t="str">
            <v>통설</v>
          </cell>
          <cell r="W1433">
            <v>0.36</v>
          </cell>
          <cell r="X1433" t="str">
            <v>보인</v>
          </cell>
          <cell r="Y1433">
            <v>0.2</v>
          </cell>
          <cell r="Z1433" t="str">
            <v>통신기사2급</v>
          </cell>
          <cell r="AA1433">
            <v>0.21</v>
          </cell>
        </row>
        <row r="1434">
          <cell r="A1434">
            <v>1434</v>
          </cell>
          <cell r="C1434" t="str">
            <v>CAMERA HOUSING</v>
          </cell>
          <cell r="D1434" t="str">
            <v>실내형</v>
          </cell>
          <cell r="E1434" t="str">
            <v>EA</v>
          </cell>
          <cell r="J1434">
            <v>985</v>
          </cell>
          <cell r="K1434">
            <v>250000</v>
          </cell>
          <cell r="L1434" t="str">
            <v>한국전자미디어</v>
          </cell>
          <cell r="M1434">
            <v>250000</v>
          </cell>
          <cell r="N1434" t="str">
            <v>다성테크닉스</v>
          </cell>
          <cell r="O1434">
            <v>280000</v>
          </cell>
          <cell r="P1434" t="str">
            <v>한미통신</v>
          </cell>
          <cell r="Q1434">
            <v>250000</v>
          </cell>
          <cell r="S1434">
            <v>250000</v>
          </cell>
          <cell r="V1434" t="str">
            <v>통설</v>
          </cell>
          <cell r="W1434">
            <v>0.72</v>
          </cell>
          <cell r="X1434" t="str">
            <v>보인</v>
          </cell>
          <cell r="Y1434">
            <v>0.72</v>
          </cell>
        </row>
        <row r="1435">
          <cell r="A1435">
            <v>1435</v>
          </cell>
          <cell r="C1435" t="str">
            <v>CAMERA BRACKET</v>
          </cell>
          <cell r="D1435" t="str">
            <v>벽부형</v>
          </cell>
          <cell r="E1435" t="str">
            <v>EA</v>
          </cell>
          <cell r="J1435">
            <v>985</v>
          </cell>
          <cell r="K1435">
            <v>160000</v>
          </cell>
          <cell r="L1435" t="str">
            <v>한국전자미디어</v>
          </cell>
          <cell r="M1435">
            <v>170000</v>
          </cell>
          <cell r="N1435" t="str">
            <v>다성테크닉스</v>
          </cell>
          <cell r="O1435">
            <v>160000</v>
          </cell>
          <cell r="P1435" t="str">
            <v>한미통신</v>
          </cell>
          <cell r="Q1435">
            <v>160000</v>
          </cell>
          <cell r="S1435">
            <v>160000</v>
          </cell>
        </row>
        <row r="1436">
          <cell r="A1436">
            <v>1436</v>
          </cell>
          <cell r="C1436" t="str">
            <v>AUTO SELECTOR</v>
          </cell>
          <cell r="D1436" t="str">
            <v>6CH</v>
          </cell>
          <cell r="E1436" t="str">
            <v>EA</v>
          </cell>
          <cell r="H1436">
            <v>858</v>
          </cell>
          <cell r="I1436">
            <v>280000</v>
          </cell>
          <cell r="L1436" t="str">
            <v>한국전자미디어</v>
          </cell>
          <cell r="M1436">
            <v>280000</v>
          </cell>
          <cell r="N1436" t="str">
            <v>다성테크닉스</v>
          </cell>
          <cell r="O1436">
            <v>320000</v>
          </cell>
          <cell r="P1436" t="str">
            <v>한미통신</v>
          </cell>
          <cell r="Q1436">
            <v>300000</v>
          </cell>
          <cell r="S1436">
            <v>280000</v>
          </cell>
          <cell r="V1436" t="str">
            <v>통설</v>
          </cell>
          <cell r="W1436">
            <v>0.36</v>
          </cell>
          <cell r="X1436" t="str">
            <v>보인</v>
          </cell>
          <cell r="Y1436">
            <v>0.2</v>
          </cell>
          <cell r="Z1436" t="str">
            <v>통신기사2급</v>
          </cell>
          <cell r="AA1436">
            <v>0.21</v>
          </cell>
        </row>
        <row r="1437">
          <cell r="A1437">
            <v>1437</v>
          </cell>
          <cell r="C1437" t="str">
            <v>I/D GENERATOR</v>
          </cell>
          <cell r="D1437" t="str">
            <v>년,월,일,시,분,초</v>
          </cell>
          <cell r="E1437" t="str">
            <v>EA</v>
          </cell>
          <cell r="H1437">
            <v>858</v>
          </cell>
          <cell r="I1437">
            <v>380000</v>
          </cell>
          <cell r="J1437">
            <v>982</v>
          </cell>
          <cell r="K1437">
            <v>380000</v>
          </cell>
          <cell r="L1437" t="str">
            <v>한국전자미디어</v>
          </cell>
          <cell r="M1437">
            <v>380000</v>
          </cell>
          <cell r="N1437" t="str">
            <v>다성테크닉스</v>
          </cell>
          <cell r="O1437">
            <v>450000</v>
          </cell>
          <cell r="P1437" t="str">
            <v>한미통신</v>
          </cell>
          <cell r="Q1437">
            <v>400000</v>
          </cell>
          <cell r="S1437">
            <v>380000</v>
          </cell>
          <cell r="V1437" t="str">
            <v>통설</v>
          </cell>
          <cell r="W1437">
            <v>0.36</v>
          </cell>
          <cell r="X1437" t="str">
            <v>보인</v>
          </cell>
          <cell r="Y1437">
            <v>0.2</v>
          </cell>
          <cell r="Z1437" t="str">
            <v>통신기사2급</v>
          </cell>
          <cell r="AA1437">
            <v>0.21</v>
          </cell>
        </row>
        <row r="1438">
          <cell r="A1438">
            <v>1438</v>
          </cell>
          <cell r="C1438" t="str">
            <v>POWER CONTROLLER</v>
          </cell>
          <cell r="E1438" t="str">
            <v>EA</v>
          </cell>
          <cell r="J1438">
            <v>985</v>
          </cell>
          <cell r="K1438">
            <v>200000</v>
          </cell>
          <cell r="L1438" t="str">
            <v>한국전자미디어</v>
          </cell>
          <cell r="M1438">
            <v>250000</v>
          </cell>
          <cell r="N1438" t="str">
            <v>다성테크닉스</v>
          </cell>
          <cell r="O1438">
            <v>200000</v>
          </cell>
          <cell r="P1438" t="str">
            <v>한미통신</v>
          </cell>
          <cell r="Q1438">
            <v>230000</v>
          </cell>
          <cell r="S1438">
            <v>200000</v>
          </cell>
          <cell r="V1438" t="str">
            <v>통설</v>
          </cell>
          <cell r="W1438">
            <v>0.36</v>
          </cell>
          <cell r="Z1438" t="str">
            <v>통신기사2급</v>
          </cell>
          <cell r="AA1438">
            <v>0.21</v>
          </cell>
        </row>
        <row r="1439">
          <cell r="A1439">
            <v>1439</v>
          </cell>
          <cell r="C1439" t="str">
            <v>VTR</v>
          </cell>
          <cell r="D1439" t="str">
            <v>7 HEAD</v>
          </cell>
          <cell r="E1439" t="str">
            <v>EA</v>
          </cell>
          <cell r="J1439">
            <v>1097</v>
          </cell>
          <cell r="K1439">
            <v>753000</v>
          </cell>
          <cell r="L1439" t="str">
            <v>한국전자미디어</v>
          </cell>
          <cell r="M1439">
            <v>753000</v>
          </cell>
          <cell r="N1439" t="str">
            <v>다성테크닉스</v>
          </cell>
          <cell r="O1439">
            <v>753000</v>
          </cell>
          <cell r="P1439" t="str">
            <v>한미통신</v>
          </cell>
          <cell r="Q1439">
            <v>780000</v>
          </cell>
          <cell r="S1439">
            <v>753000</v>
          </cell>
          <cell r="V1439" t="str">
            <v>통설</v>
          </cell>
          <cell r="W1439">
            <v>0.38</v>
          </cell>
        </row>
        <row r="1440">
          <cell r="A1440">
            <v>1440</v>
          </cell>
          <cell r="C1440" t="str">
            <v>COLOR MONITOR</v>
          </cell>
          <cell r="D1440" t="str">
            <v>14"</v>
          </cell>
          <cell r="E1440" t="str">
            <v>EA</v>
          </cell>
          <cell r="J1440">
            <v>987</v>
          </cell>
          <cell r="K1440">
            <v>330000</v>
          </cell>
          <cell r="L1440" t="str">
            <v>한국전자미디어</v>
          </cell>
          <cell r="M1440">
            <v>330000</v>
          </cell>
          <cell r="N1440" t="str">
            <v>다성테크닉스</v>
          </cell>
          <cell r="O1440">
            <v>330000</v>
          </cell>
          <cell r="P1440" t="str">
            <v>한미통신</v>
          </cell>
          <cell r="Q1440">
            <v>350000</v>
          </cell>
          <cell r="S1440">
            <v>330000</v>
          </cell>
          <cell r="V1440" t="str">
            <v>통설</v>
          </cell>
          <cell r="W1440">
            <v>0.2</v>
          </cell>
          <cell r="Z1440" t="str">
            <v>통신기사2급</v>
          </cell>
          <cell r="AA1440">
            <v>0.2</v>
          </cell>
        </row>
        <row r="1441">
          <cell r="A1441">
            <v>1441</v>
          </cell>
          <cell r="C1441" t="str">
            <v>RACK CABINET</v>
          </cell>
          <cell r="D1441" t="str">
            <v>제작</v>
          </cell>
          <cell r="E1441" t="str">
            <v>EA</v>
          </cell>
          <cell r="L1441" t="str">
            <v>한국전자미디어</v>
          </cell>
          <cell r="M1441">
            <v>800000</v>
          </cell>
          <cell r="N1441" t="str">
            <v>다성테크닉스</v>
          </cell>
          <cell r="O1441">
            <v>800000</v>
          </cell>
          <cell r="P1441" t="str">
            <v>한미통신</v>
          </cell>
          <cell r="Q1441">
            <v>750000</v>
          </cell>
          <cell r="S1441">
            <v>750000</v>
          </cell>
        </row>
        <row r="1442">
          <cell r="A1442">
            <v>1442</v>
          </cell>
          <cell r="C1442" t="str">
            <v>송수신제어및영상레벨조정</v>
          </cell>
          <cell r="E1442" t="str">
            <v>CH</v>
          </cell>
          <cell r="S1442">
            <v>0</v>
          </cell>
          <cell r="V1442" t="str">
            <v>통설</v>
          </cell>
          <cell r="W1442">
            <v>0.65</v>
          </cell>
          <cell r="Z1442" t="str">
            <v>통신기사2급</v>
          </cell>
          <cell r="AA1442">
            <v>0.52</v>
          </cell>
        </row>
        <row r="1443">
          <cell r="A1443">
            <v>1443</v>
          </cell>
          <cell r="S1443" t="str">
            <v/>
          </cell>
        </row>
        <row r="1444">
          <cell r="A1444">
            <v>1444</v>
          </cell>
          <cell r="S1444" t="str">
            <v/>
          </cell>
        </row>
        <row r="1445">
          <cell r="A1445">
            <v>1445</v>
          </cell>
          <cell r="C1445" t="str">
            <v>중앙감시제어 시스템</v>
          </cell>
          <cell r="D1445" t="str">
            <v>TM/TC 포함</v>
          </cell>
          <cell r="E1445" t="str">
            <v>식</v>
          </cell>
          <cell r="L1445" t="str">
            <v>성화종합전기</v>
          </cell>
          <cell r="M1445">
            <v>364025032</v>
          </cell>
          <cell r="N1445" t="str">
            <v>광명제어</v>
          </cell>
          <cell r="O1445">
            <v>233422251</v>
          </cell>
          <cell r="P1445" t="str">
            <v>현대전원개발</v>
          </cell>
          <cell r="Q1445">
            <v>380320098</v>
          </cell>
          <cell r="S1445">
            <v>233422251</v>
          </cell>
        </row>
        <row r="1446">
          <cell r="A1446">
            <v>1446</v>
          </cell>
          <cell r="C1446" t="str">
            <v>현장 계기</v>
          </cell>
          <cell r="E1446" t="str">
            <v>식</v>
          </cell>
          <cell r="L1446" t="str">
            <v>성화종합전기</v>
          </cell>
          <cell r="M1446">
            <v>67624740</v>
          </cell>
          <cell r="N1446" t="str">
            <v>광명제어</v>
          </cell>
          <cell r="O1446">
            <v>156316572</v>
          </cell>
          <cell r="P1446" t="str">
            <v>현대전원개발</v>
          </cell>
          <cell r="Q1446">
            <v>167112000</v>
          </cell>
          <cell r="S1446">
            <v>67624740</v>
          </cell>
        </row>
        <row r="1447">
          <cell r="A1447">
            <v>1447</v>
          </cell>
          <cell r="C1447" t="str">
            <v>무정전전원장치(UPS)</v>
          </cell>
          <cell r="D1447" t="str">
            <v>10 KVA</v>
          </cell>
          <cell r="E1447" t="str">
            <v>식</v>
          </cell>
          <cell r="L1447" t="str">
            <v>성화종합전기</v>
          </cell>
          <cell r="M1447">
            <v>23302494</v>
          </cell>
          <cell r="N1447" t="str">
            <v>광명제어</v>
          </cell>
          <cell r="O1447">
            <v>21984279</v>
          </cell>
          <cell r="P1447" t="str">
            <v>현대전원개발</v>
          </cell>
          <cell r="Q1447">
            <v>24750000</v>
          </cell>
          <cell r="S1447">
            <v>21984279</v>
          </cell>
        </row>
        <row r="1448">
          <cell r="A1448">
            <v>1448</v>
          </cell>
          <cell r="C1448" t="str">
            <v>예비품및유지관리공구</v>
          </cell>
          <cell r="E1448" t="str">
            <v>식</v>
          </cell>
          <cell r="L1448" t="str">
            <v>성화종합전기</v>
          </cell>
          <cell r="M1448">
            <v>48351443</v>
          </cell>
          <cell r="N1448" t="str">
            <v>광명제어</v>
          </cell>
          <cell r="O1448">
            <v>11036000</v>
          </cell>
          <cell r="P1448" t="str">
            <v>현대전원개발</v>
          </cell>
          <cell r="Q1448">
            <v>26884000</v>
          </cell>
          <cell r="S1448">
            <v>11036000</v>
          </cell>
        </row>
        <row r="1449">
          <cell r="A1449">
            <v>1449</v>
          </cell>
          <cell r="C1449" t="str">
            <v>시운전비및교육비</v>
          </cell>
          <cell r="E1449" t="str">
            <v>식</v>
          </cell>
          <cell r="L1449" t="str">
            <v>성화종합전기</v>
          </cell>
          <cell r="M1449">
            <v>33903125</v>
          </cell>
          <cell r="N1449" t="str">
            <v>광명제어</v>
          </cell>
          <cell r="O1449">
            <v>14100000</v>
          </cell>
          <cell r="P1449" t="str">
            <v>현대전원개발</v>
          </cell>
          <cell r="Q1449">
            <v>13837164</v>
          </cell>
          <cell r="S1449">
            <v>13837164</v>
          </cell>
        </row>
        <row r="1450">
          <cell r="A1450">
            <v>1450</v>
          </cell>
          <cell r="S1450" t="str">
            <v/>
          </cell>
        </row>
        <row r="1451">
          <cell r="A1451">
            <v>1451</v>
          </cell>
          <cell r="S1451" t="str">
            <v/>
          </cell>
        </row>
        <row r="1452">
          <cell r="A1452">
            <v>1452</v>
          </cell>
          <cell r="C1452" t="str">
            <v>동 파이프</v>
          </cell>
          <cell r="D1452" t="str">
            <v>L-TYPE 1/2"</v>
          </cell>
          <cell r="E1452" t="str">
            <v>m</v>
          </cell>
          <cell r="H1452">
            <v>488</v>
          </cell>
          <cell r="I1452">
            <v>1580</v>
          </cell>
          <cell r="S1452">
            <v>1580</v>
          </cell>
          <cell r="V1452" t="str">
            <v>배관</v>
          </cell>
          <cell r="W1452">
            <v>3.1E-2</v>
          </cell>
          <cell r="X1452" t="str">
            <v>보인</v>
          </cell>
          <cell r="Y1452">
            <v>3.1E-2</v>
          </cell>
        </row>
        <row r="1453">
          <cell r="A1453">
            <v>1453</v>
          </cell>
          <cell r="C1453" t="str">
            <v>엘보</v>
          </cell>
          <cell r="D1453" t="str">
            <v>1/2"</v>
          </cell>
          <cell r="E1453" t="str">
            <v>EA</v>
          </cell>
          <cell r="H1453">
            <v>489</v>
          </cell>
          <cell r="I1453">
            <v>245</v>
          </cell>
          <cell r="S1453">
            <v>245</v>
          </cell>
        </row>
        <row r="1454">
          <cell r="A1454">
            <v>1454</v>
          </cell>
          <cell r="C1454" t="str">
            <v>TEE</v>
          </cell>
          <cell r="D1454" t="str">
            <v>1/2"</v>
          </cell>
          <cell r="E1454" t="str">
            <v>EA</v>
          </cell>
          <cell r="H1454">
            <v>489</v>
          </cell>
          <cell r="I1454">
            <v>534</v>
          </cell>
          <cell r="S1454">
            <v>534</v>
          </cell>
        </row>
        <row r="1455">
          <cell r="A1455">
            <v>1455</v>
          </cell>
          <cell r="C1455" t="str">
            <v>SAMP. PUMP</v>
          </cell>
          <cell r="D1455" t="str">
            <v>0.75kw</v>
          </cell>
          <cell r="E1455" t="str">
            <v>대</v>
          </cell>
          <cell r="S1455">
            <v>0</v>
          </cell>
        </row>
        <row r="1456">
          <cell r="A1456">
            <v>1456</v>
          </cell>
          <cell r="S1456" t="str">
            <v/>
          </cell>
        </row>
        <row r="1457">
          <cell r="A1457">
            <v>1457</v>
          </cell>
          <cell r="S1457" t="str">
            <v/>
          </cell>
        </row>
        <row r="1458">
          <cell r="A1458">
            <v>1458</v>
          </cell>
          <cell r="S1458" t="str">
            <v/>
          </cell>
        </row>
        <row r="1459">
          <cell r="A1459">
            <v>1459</v>
          </cell>
          <cell r="C1459" t="str">
            <v>위샤캡</v>
          </cell>
          <cell r="D1459" t="str">
            <v>ST 82C</v>
          </cell>
          <cell r="E1459" t="str">
            <v>EA</v>
          </cell>
          <cell r="S1459">
            <v>0</v>
          </cell>
          <cell r="V1459" t="str">
            <v>내선</v>
          </cell>
          <cell r="W1459">
            <v>0.04</v>
          </cell>
        </row>
        <row r="1460">
          <cell r="A1460">
            <v>1460</v>
          </cell>
          <cell r="C1460" t="str">
            <v>PNL</v>
          </cell>
          <cell r="D1460" t="str">
            <v>분전반</v>
          </cell>
          <cell r="E1460" t="str">
            <v>EA</v>
          </cell>
          <cell r="R1460">
            <v>528136</v>
          </cell>
          <cell r="S1460">
            <v>0</v>
          </cell>
        </row>
        <row r="1461">
          <cell r="A1461">
            <v>1461</v>
          </cell>
          <cell r="C1461" t="str">
            <v>PNL-1</v>
          </cell>
          <cell r="D1461" t="str">
            <v>적산전력계반</v>
          </cell>
          <cell r="E1461" t="str">
            <v>EA</v>
          </cell>
          <cell r="R1461">
            <v>102115</v>
          </cell>
          <cell r="S1461">
            <v>0</v>
          </cell>
        </row>
        <row r="1462">
          <cell r="A1462">
            <v>1462</v>
          </cell>
          <cell r="S1462" t="str">
            <v/>
          </cell>
        </row>
        <row r="1463">
          <cell r="A1463">
            <v>1463</v>
          </cell>
          <cell r="S1463" t="str">
            <v/>
          </cell>
        </row>
        <row r="1464">
          <cell r="A1464">
            <v>1464</v>
          </cell>
          <cell r="S1464" t="str">
            <v/>
          </cell>
        </row>
        <row r="1465">
          <cell r="A1465">
            <v>1465</v>
          </cell>
          <cell r="C1465" t="str">
            <v>VCB &amp; DTS PNL.</v>
          </cell>
          <cell r="D1465" t="str">
            <v>MV-4</v>
          </cell>
          <cell r="E1465" t="str">
            <v>면</v>
          </cell>
          <cell r="L1465" t="str">
            <v>세광기전㈜</v>
          </cell>
          <cell r="M1465">
            <v>11890386</v>
          </cell>
          <cell r="N1465" t="str">
            <v>동성계전㈜</v>
          </cell>
          <cell r="O1465">
            <v>12041734</v>
          </cell>
          <cell r="P1465" t="str">
            <v>하나기전㈜</v>
          </cell>
          <cell r="Q1465">
            <v>12116496</v>
          </cell>
          <cell r="S1465">
            <v>11890386</v>
          </cell>
        </row>
        <row r="1466">
          <cell r="A1466">
            <v>1466</v>
          </cell>
          <cell r="C1466" t="str">
            <v>VCB &amp; DTS PNL.</v>
          </cell>
          <cell r="D1466" t="str">
            <v>MV-5</v>
          </cell>
          <cell r="E1466" t="str">
            <v>면</v>
          </cell>
          <cell r="L1466" t="str">
            <v>세광기전㈜</v>
          </cell>
          <cell r="M1466">
            <v>12990490</v>
          </cell>
          <cell r="N1466" t="str">
            <v>동성계전㈜</v>
          </cell>
          <cell r="O1466">
            <v>13156465</v>
          </cell>
          <cell r="P1466" t="str">
            <v>하나기전㈜</v>
          </cell>
          <cell r="Q1466">
            <v>13238535</v>
          </cell>
          <cell r="S1466">
            <v>12990490</v>
          </cell>
        </row>
        <row r="1467">
          <cell r="A1467">
            <v>1467</v>
          </cell>
          <cell r="C1467" t="str">
            <v>VCB &amp; DTS PNL.</v>
          </cell>
          <cell r="D1467" t="str">
            <v>MV-6</v>
          </cell>
          <cell r="E1467" t="str">
            <v>면</v>
          </cell>
          <cell r="L1467" t="str">
            <v>세광기전㈜</v>
          </cell>
          <cell r="M1467">
            <v>11890386</v>
          </cell>
          <cell r="N1467" t="str">
            <v>동성계전㈜</v>
          </cell>
          <cell r="O1467">
            <v>12041734</v>
          </cell>
          <cell r="P1467" t="str">
            <v>하나기전㈜</v>
          </cell>
          <cell r="Q1467">
            <v>12116496</v>
          </cell>
          <cell r="S1467">
            <v>11890386</v>
          </cell>
        </row>
        <row r="1468">
          <cell r="A1468">
            <v>1468</v>
          </cell>
          <cell r="C1468" t="str">
            <v>VCB &amp; DTS &amp; SA PNL.</v>
          </cell>
          <cell r="D1468" t="str">
            <v>MV-E</v>
          </cell>
          <cell r="E1468" t="str">
            <v>면</v>
          </cell>
          <cell r="L1468" t="str">
            <v>세광기전㈜</v>
          </cell>
          <cell r="M1468">
            <v>12343046</v>
          </cell>
          <cell r="N1468" t="str">
            <v>동성계전㈜</v>
          </cell>
          <cell r="O1468">
            <v>12501605</v>
          </cell>
          <cell r="P1468" t="str">
            <v>하나기전㈜</v>
          </cell>
          <cell r="Q1468">
            <v>12576980</v>
          </cell>
          <cell r="S1468">
            <v>12343046</v>
          </cell>
        </row>
        <row r="1469">
          <cell r="A1469">
            <v>1469</v>
          </cell>
          <cell r="C1469" t="str">
            <v>PF &amp; TR. PNL</v>
          </cell>
          <cell r="D1469" t="str">
            <v>TR-1 (200KVA)</v>
          </cell>
          <cell r="E1469" t="str">
            <v>면</v>
          </cell>
          <cell r="L1469" t="str">
            <v>세광기전㈜</v>
          </cell>
          <cell r="M1469">
            <v>14506477</v>
          </cell>
          <cell r="N1469" t="str">
            <v>동성계전㈜</v>
          </cell>
          <cell r="O1469">
            <v>14748180</v>
          </cell>
          <cell r="P1469" t="str">
            <v>하나기전㈜</v>
          </cell>
          <cell r="Q1469">
            <v>14868483</v>
          </cell>
          <cell r="S1469">
            <v>14506477</v>
          </cell>
        </row>
        <row r="1470">
          <cell r="A1470">
            <v>1470</v>
          </cell>
          <cell r="C1470" t="str">
            <v>PF &amp; TR. PNL</v>
          </cell>
          <cell r="D1470" t="str">
            <v>TR-2 (200KVA)</v>
          </cell>
          <cell r="E1470" t="str">
            <v>면</v>
          </cell>
          <cell r="L1470" t="str">
            <v>세광기전㈜</v>
          </cell>
          <cell r="M1470">
            <v>14506477</v>
          </cell>
          <cell r="N1470" t="str">
            <v>동성계전㈜</v>
          </cell>
          <cell r="O1470">
            <v>14748180</v>
          </cell>
          <cell r="P1470" t="str">
            <v>하나기전㈜</v>
          </cell>
          <cell r="Q1470">
            <v>14868483</v>
          </cell>
          <cell r="S1470">
            <v>14506477</v>
          </cell>
        </row>
        <row r="1471">
          <cell r="A1471">
            <v>1471</v>
          </cell>
          <cell r="C1471" t="str">
            <v>MCCB PNL.</v>
          </cell>
          <cell r="D1471" t="str">
            <v>LV-E1</v>
          </cell>
          <cell r="E1471" t="str">
            <v>면</v>
          </cell>
          <cell r="L1471" t="str">
            <v>세광기전㈜</v>
          </cell>
          <cell r="M1471">
            <v>9540448</v>
          </cell>
          <cell r="N1471" t="str">
            <v>동성계전㈜</v>
          </cell>
          <cell r="O1471">
            <v>9639590</v>
          </cell>
          <cell r="P1471" t="str">
            <v>하나기전㈜</v>
          </cell>
          <cell r="Q1471">
            <v>9687635</v>
          </cell>
          <cell r="S1471">
            <v>9540448</v>
          </cell>
        </row>
        <row r="1472">
          <cell r="A1472">
            <v>1472</v>
          </cell>
          <cell r="C1472" t="str">
            <v>MCCB PNL.</v>
          </cell>
          <cell r="D1472" t="str">
            <v>LV-E2</v>
          </cell>
          <cell r="E1472" t="str">
            <v>면</v>
          </cell>
          <cell r="L1472" t="str">
            <v>세광기전㈜</v>
          </cell>
          <cell r="M1472">
            <v>8006366</v>
          </cell>
          <cell r="N1472" t="str">
            <v>동성계전㈜</v>
          </cell>
          <cell r="O1472">
            <v>8091244</v>
          </cell>
          <cell r="P1472" t="str">
            <v>하나기전㈜</v>
          </cell>
          <cell r="Q1472">
            <v>8132145</v>
          </cell>
          <cell r="S1472">
            <v>8006366</v>
          </cell>
        </row>
        <row r="1473">
          <cell r="A1473">
            <v>1473</v>
          </cell>
          <cell r="C1473" t="str">
            <v>RECTIFIER PNL.</v>
          </cell>
          <cell r="D1473" t="str">
            <v>DC 반(식당 및 창고)</v>
          </cell>
          <cell r="E1473" t="str">
            <v>면</v>
          </cell>
          <cell r="L1473" t="str">
            <v>세광기전㈜</v>
          </cell>
          <cell r="M1473">
            <v>7609540</v>
          </cell>
          <cell r="N1473" t="str">
            <v>동성계전㈜</v>
          </cell>
          <cell r="O1473">
            <v>7700429</v>
          </cell>
          <cell r="P1473" t="str">
            <v>하나기전㈜</v>
          </cell>
          <cell r="Q1473">
            <v>7745475</v>
          </cell>
          <cell r="S1473">
            <v>7609540</v>
          </cell>
        </row>
        <row r="1474">
          <cell r="A1474">
            <v>1474</v>
          </cell>
          <cell r="C1474" t="str">
            <v>BATTERY PNL.</v>
          </cell>
          <cell r="D1474" t="str">
            <v>BATT.(식당 및 창고)</v>
          </cell>
          <cell r="E1474" t="str">
            <v>면</v>
          </cell>
          <cell r="L1474" t="str">
            <v>세광기전㈜</v>
          </cell>
          <cell r="M1474">
            <v>5857771</v>
          </cell>
          <cell r="N1474" t="str">
            <v>동성계전㈜</v>
          </cell>
          <cell r="O1474">
            <v>5956341</v>
          </cell>
          <cell r="P1474" t="str">
            <v>하나기전㈜</v>
          </cell>
          <cell r="Q1474">
            <v>6005515</v>
          </cell>
          <cell r="S1474">
            <v>5857771</v>
          </cell>
        </row>
        <row r="1475">
          <cell r="A1475">
            <v>1475</v>
          </cell>
          <cell r="C1475" t="str">
            <v>VCB,DTS &amp; GPT PNL.</v>
          </cell>
          <cell r="D1475" t="str">
            <v>MV-A</v>
          </cell>
          <cell r="E1475" t="str">
            <v>면</v>
          </cell>
          <cell r="L1475" t="str">
            <v>세광기전㈜</v>
          </cell>
          <cell r="M1475">
            <v>13519886</v>
          </cell>
          <cell r="N1475" t="str">
            <v>동성계전㈜</v>
          </cell>
          <cell r="O1475">
            <v>13699379</v>
          </cell>
          <cell r="P1475" t="str">
            <v>하나기전㈜</v>
          </cell>
          <cell r="Q1475">
            <v>13788225</v>
          </cell>
          <cell r="S1475">
            <v>13519886</v>
          </cell>
        </row>
        <row r="1476">
          <cell r="A1476">
            <v>1476</v>
          </cell>
          <cell r="C1476" t="str">
            <v>REACTOR ST. PNL</v>
          </cell>
          <cell r="D1476" t="str">
            <v>MV-A1</v>
          </cell>
          <cell r="E1476" t="str">
            <v>면</v>
          </cell>
          <cell r="L1476" t="str">
            <v>세광기전㈜</v>
          </cell>
          <cell r="M1476">
            <v>15640494</v>
          </cell>
          <cell r="N1476" t="str">
            <v>동성계전㈜</v>
          </cell>
          <cell r="O1476">
            <v>15839976</v>
          </cell>
          <cell r="P1476" t="str">
            <v>하나기전㈜</v>
          </cell>
          <cell r="Q1476">
            <v>15937435</v>
          </cell>
          <cell r="S1476">
            <v>15640494</v>
          </cell>
        </row>
        <row r="1477">
          <cell r="A1477">
            <v>1477</v>
          </cell>
          <cell r="C1477" t="str">
            <v>REACTOR ST. PNL</v>
          </cell>
          <cell r="D1477" t="str">
            <v>MV-A2</v>
          </cell>
          <cell r="E1477" t="str">
            <v>면</v>
          </cell>
          <cell r="L1477" t="str">
            <v>세광기전㈜</v>
          </cell>
          <cell r="M1477">
            <v>15640494</v>
          </cell>
          <cell r="N1477" t="str">
            <v>동성계전㈜</v>
          </cell>
          <cell r="O1477">
            <v>15839976</v>
          </cell>
          <cell r="P1477" t="str">
            <v>하나기전㈜</v>
          </cell>
          <cell r="Q1477">
            <v>15937435</v>
          </cell>
          <cell r="S1477">
            <v>15640494</v>
          </cell>
        </row>
        <row r="1478">
          <cell r="A1478">
            <v>1478</v>
          </cell>
          <cell r="C1478" t="str">
            <v>REACTOR ST. PNL</v>
          </cell>
          <cell r="D1478" t="str">
            <v>MV-A3</v>
          </cell>
          <cell r="E1478" t="str">
            <v>면</v>
          </cell>
          <cell r="L1478" t="str">
            <v>세광기전㈜</v>
          </cell>
          <cell r="M1478">
            <v>15640494</v>
          </cell>
          <cell r="N1478" t="str">
            <v>동성계전㈜</v>
          </cell>
          <cell r="O1478">
            <v>15839976</v>
          </cell>
          <cell r="P1478" t="str">
            <v>하나기전㈜</v>
          </cell>
          <cell r="Q1478">
            <v>15937435</v>
          </cell>
          <cell r="S1478">
            <v>15640494</v>
          </cell>
        </row>
        <row r="1479">
          <cell r="A1479">
            <v>1479</v>
          </cell>
          <cell r="C1479" t="str">
            <v>REACTOR ST. PNL</v>
          </cell>
          <cell r="D1479" t="str">
            <v>MV-A4</v>
          </cell>
          <cell r="E1479" t="str">
            <v>면</v>
          </cell>
          <cell r="L1479" t="str">
            <v>세광기전㈜</v>
          </cell>
          <cell r="M1479">
            <v>15377693</v>
          </cell>
          <cell r="N1479" t="str">
            <v>동성계전㈜</v>
          </cell>
          <cell r="O1479">
            <v>15572826</v>
          </cell>
          <cell r="P1479" t="str">
            <v>하나기전㈜</v>
          </cell>
          <cell r="Q1479">
            <v>15668111</v>
          </cell>
          <cell r="S1479">
            <v>15377693</v>
          </cell>
        </row>
        <row r="1480">
          <cell r="A1480">
            <v>1480</v>
          </cell>
          <cell r="C1480" t="str">
            <v>REACTOR ST. PNL</v>
          </cell>
          <cell r="D1480" t="str">
            <v>MV-A5</v>
          </cell>
          <cell r="E1480" t="str">
            <v>면</v>
          </cell>
          <cell r="L1480" t="str">
            <v>세광기전㈜</v>
          </cell>
          <cell r="M1480">
            <v>15377693</v>
          </cell>
          <cell r="N1480" t="str">
            <v>동성계전㈜</v>
          </cell>
          <cell r="O1480">
            <v>15572826</v>
          </cell>
          <cell r="P1480" t="str">
            <v>하나기전㈜</v>
          </cell>
          <cell r="Q1480">
            <v>15668111</v>
          </cell>
          <cell r="S1480">
            <v>15377693</v>
          </cell>
        </row>
        <row r="1481">
          <cell r="A1481">
            <v>1481</v>
          </cell>
          <cell r="C1481" t="str">
            <v>PF &amp; TR. PNL</v>
          </cell>
          <cell r="D1481" t="str">
            <v>TR-1 (100KVA)</v>
          </cell>
          <cell r="E1481" t="str">
            <v>면</v>
          </cell>
          <cell r="L1481" t="str">
            <v>세광기전㈜</v>
          </cell>
          <cell r="M1481">
            <v>12820188</v>
          </cell>
          <cell r="N1481" t="str">
            <v>동성계전㈜</v>
          </cell>
          <cell r="O1481">
            <v>11022950</v>
          </cell>
          <cell r="P1481" t="str">
            <v>하나기전㈜</v>
          </cell>
          <cell r="Q1481">
            <v>11107598</v>
          </cell>
          <cell r="S1481">
            <v>11022950</v>
          </cell>
        </row>
        <row r="1482">
          <cell r="A1482">
            <v>1482</v>
          </cell>
          <cell r="C1482" t="str">
            <v>PF &amp; TR. PNL</v>
          </cell>
          <cell r="D1482" t="str">
            <v>TR-2 (100KVA)</v>
          </cell>
          <cell r="E1482" t="str">
            <v>면</v>
          </cell>
          <cell r="L1482" t="str">
            <v>세광기전㈜</v>
          </cell>
          <cell r="M1482">
            <v>12820188</v>
          </cell>
          <cell r="N1482" t="str">
            <v>동성계전㈜</v>
          </cell>
          <cell r="O1482">
            <v>11022950</v>
          </cell>
          <cell r="P1482" t="str">
            <v>하나기전㈜</v>
          </cell>
          <cell r="Q1482">
            <v>11107598</v>
          </cell>
          <cell r="S1482">
            <v>11022950</v>
          </cell>
        </row>
        <row r="1483">
          <cell r="A1483">
            <v>1483</v>
          </cell>
          <cell r="C1483" t="str">
            <v>MCCB PNL.</v>
          </cell>
          <cell r="D1483" t="str">
            <v>LV-1</v>
          </cell>
          <cell r="E1483" t="str">
            <v>면</v>
          </cell>
          <cell r="L1483" t="str">
            <v>세광기전㈜</v>
          </cell>
          <cell r="M1483">
            <v>8821195</v>
          </cell>
          <cell r="N1483" t="str">
            <v>동성계전㈜</v>
          </cell>
          <cell r="O1483">
            <v>8919424</v>
          </cell>
          <cell r="P1483" t="str">
            <v>하나기전㈜</v>
          </cell>
          <cell r="Q1483">
            <v>8966991</v>
          </cell>
          <cell r="S1483">
            <v>8821195</v>
          </cell>
        </row>
        <row r="1484">
          <cell r="A1484">
            <v>1484</v>
          </cell>
          <cell r="C1484" t="str">
            <v>RECTIFIER PNL.</v>
          </cell>
          <cell r="D1484" t="str">
            <v>DC 반(가압장)</v>
          </cell>
          <cell r="E1484" t="str">
            <v>면</v>
          </cell>
          <cell r="L1484" t="str">
            <v>세광기전㈜</v>
          </cell>
          <cell r="M1484">
            <v>7609540</v>
          </cell>
          <cell r="N1484" t="str">
            <v>동성계전㈜</v>
          </cell>
          <cell r="O1484">
            <v>7700429</v>
          </cell>
          <cell r="P1484" t="str">
            <v>하나기전㈜</v>
          </cell>
          <cell r="Q1484">
            <v>7745475</v>
          </cell>
          <cell r="S1484">
            <v>7609540</v>
          </cell>
        </row>
        <row r="1485">
          <cell r="A1485">
            <v>1485</v>
          </cell>
          <cell r="C1485" t="str">
            <v>BATTERY PNL.</v>
          </cell>
          <cell r="D1485" t="str">
            <v>BATT.(가압장)</v>
          </cell>
          <cell r="E1485" t="str">
            <v>면</v>
          </cell>
          <cell r="L1485" t="str">
            <v>세광기전㈜</v>
          </cell>
          <cell r="M1485">
            <v>5857771</v>
          </cell>
          <cell r="N1485" t="str">
            <v>동성계전㈜</v>
          </cell>
          <cell r="O1485">
            <v>5956341</v>
          </cell>
          <cell r="P1485" t="str">
            <v>하나기전㈜</v>
          </cell>
          <cell r="Q1485">
            <v>6005515</v>
          </cell>
          <cell r="S1485">
            <v>5857771</v>
          </cell>
        </row>
        <row r="1486">
          <cell r="A1486">
            <v>1486</v>
          </cell>
          <cell r="C1486" t="str">
            <v>MCCB PNL. 개조작업</v>
          </cell>
          <cell r="D1486" t="str">
            <v>LV-FM</v>
          </cell>
          <cell r="E1486" t="str">
            <v>식</v>
          </cell>
          <cell r="L1486" t="str">
            <v>세광기전㈜</v>
          </cell>
          <cell r="M1486">
            <v>1854200</v>
          </cell>
          <cell r="N1486" t="str">
            <v>동성계전㈜</v>
          </cell>
          <cell r="O1486">
            <v>1884762</v>
          </cell>
          <cell r="P1486" t="str">
            <v>하나기전㈜</v>
          </cell>
          <cell r="Q1486">
            <v>1899932</v>
          </cell>
          <cell r="S1486">
            <v>1854200</v>
          </cell>
        </row>
        <row r="1487">
          <cell r="A1487">
            <v>1487</v>
          </cell>
          <cell r="C1487" t="str">
            <v>전동기 제어반</v>
          </cell>
          <cell r="D1487" t="str">
            <v>MCC-2000</v>
          </cell>
          <cell r="E1487" t="str">
            <v>set</v>
          </cell>
          <cell r="L1487" t="str">
            <v>세광기전㈜</v>
          </cell>
          <cell r="M1487">
            <v>8105760</v>
          </cell>
          <cell r="N1487" t="str">
            <v>동성계전㈜</v>
          </cell>
          <cell r="O1487">
            <v>8206884</v>
          </cell>
          <cell r="P1487" t="str">
            <v>하나기전㈜</v>
          </cell>
          <cell r="Q1487">
            <v>8255368</v>
          </cell>
          <cell r="S1487">
            <v>8105760</v>
          </cell>
        </row>
        <row r="1488">
          <cell r="A1488">
            <v>1488</v>
          </cell>
          <cell r="C1488" t="str">
            <v>전동기 제어반</v>
          </cell>
          <cell r="D1488" t="str">
            <v>MCC-2011</v>
          </cell>
          <cell r="E1488" t="str">
            <v>set</v>
          </cell>
          <cell r="L1488" t="str">
            <v>세광기전㈜</v>
          </cell>
          <cell r="M1488">
            <v>6723167</v>
          </cell>
          <cell r="N1488" t="str">
            <v>동성계전㈜</v>
          </cell>
          <cell r="O1488">
            <v>6799623</v>
          </cell>
          <cell r="P1488" t="str">
            <v>하나기전㈜</v>
          </cell>
          <cell r="Q1488">
            <v>6836230</v>
          </cell>
          <cell r="S1488">
            <v>6723167</v>
          </cell>
        </row>
        <row r="1489">
          <cell r="A1489">
            <v>1489</v>
          </cell>
          <cell r="C1489" t="str">
            <v>전동기 제어반</v>
          </cell>
          <cell r="D1489" t="str">
            <v>MCC-2012</v>
          </cell>
          <cell r="E1489" t="str">
            <v>set</v>
          </cell>
          <cell r="L1489" t="str">
            <v>세광기전㈜</v>
          </cell>
          <cell r="M1489">
            <v>11749935</v>
          </cell>
          <cell r="N1489" t="str">
            <v>동성계전㈜</v>
          </cell>
          <cell r="O1489">
            <v>11871884</v>
          </cell>
          <cell r="P1489" t="str">
            <v>하나기전㈜</v>
          </cell>
          <cell r="Q1489">
            <v>11929366</v>
          </cell>
          <cell r="S1489">
            <v>11749935</v>
          </cell>
        </row>
        <row r="1490">
          <cell r="A1490">
            <v>1490</v>
          </cell>
          <cell r="C1490" t="str">
            <v>전동기 제어반</v>
          </cell>
          <cell r="D1490" t="str">
            <v>MCC-2002</v>
          </cell>
          <cell r="E1490" t="str">
            <v>set</v>
          </cell>
          <cell r="L1490" t="str">
            <v>세광기전㈜</v>
          </cell>
          <cell r="M1490">
            <v>10971512</v>
          </cell>
          <cell r="N1490" t="str">
            <v>동성계전㈜</v>
          </cell>
          <cell r="O1490">
            <v>11110631</v>
          </cell>
          <cell r="P1490" t="str">
            <v>하나기전㈜</v>
          </cell>
          <cell r="Q1490">
            <v>11177009</v>
          </cell>
          <cell r="S1490">
            <v>10971512</v>
          </cell>
        </row>
        <row r="1491">
          <cell r="A1491">
            <v>1491</v>
          </cell>
          <cell r="C1491" t="str">
            <v>전동기 제어반</v>
          </cell>
          <cell r="D1491" t="str">
            <v>MCC-2003</v>
          </cell>
          <cell r="E1491" t="str">
            <v>set</v>
          </cell>
          <cell r="L1491" t="str">
            <v>세광기전㈜</v>
          </cell>
          <cell r="M1491">
            <v>15085065</v>
          </cell>
          <cell r="N1491" t="str">
            <v>동성계전㈜</v>
          </cell>
          <cell r="O1491">
            <v>15281083</v>
          </cell>
          <cell r="P1491" t="str">
            <v>하나기전㈜</v>
          </cell>
          <cell r="Q1491">
            <v>15375003</v>
          </cell>
          <cell r="S1491">
            <v>15085065</v>
          </cell>
        </row>
        <row r="1492">
          <cell r="A1492">
            <v>1492</v>
          </cell>
          <cell r="C1492" t="str">
            <v>전동기 제어반</v>
          </cell>
          <cell r="D1492" t="str">
            <v>MCC-2001</v>
          </cell>
          <cell r="E1492" t="str">
            <v>set</v>
          </cell>
          <cell r="L1492" t="str">
            <v>세광기전㈜</v>
          </cell>
          <cell r="M1492">
            <v>4622190</v>
          </cell>
          <cell r="N1492" t="str">
            <v>동성계전㈜</v>
          </cell>
          <cell r="O1492">
            <v>4673558</v>
          </cell>
          <cell r="P1492" t="str">
            <v>하나기전㈜</v>
          </cell>
          <cell r="Q1492">
            <v>4698015</v>
          </cell>
          <cell r="S1492">
            <v>4622190</v>
          </cell>
        </row>
        <row r="1493">
          <cell r="A1493">
            <v>1493</v>
          </cell>
          <cell r="C1493" t="str">
            <v>전동기 제어반</v>
          </cell>
          <cell r="D1493" t="str">
            <v>MCC-6</v>
          </cell>
          <cell r="E1493" t="str">
            <v>set</v>
          </cell>
          <cell r="L1493" t="str">
            <v>세광기전㈜</v>
          </cell>
          <cell r="M1493">
            <v>20840112</v>
          </cell>
          <cell r="N1493" t="str">
            <v>동성계전㈜</v>
          </cell>
          <cell r="O1493">
            <v>21092618</v>
          </cell>
          <cell r="P1493" t="str">
            <v>하나기전㈜</v>
          </cell>
          <cell r="Q1493">
            <v>21214559</v>
          </cell>
          <cell r="S1493">
            <v>20840112</v>
          </cell>
        </row>
        <row r="1494">
          <cell r="A1494">
            <v>1494</v>
          </cell>
          <cell r="C1494" t="str">
            <v>전동기 제어반</v>
          </cell>
          <cell r="D1494" t="str">
            <v>MCC-2010</v>
          </cell>
          <cell r="E1494" t="str">
            <v>set</v>
          </cell>
          <cell r="L1494" t="str">
            <v>세광기전㈜</v>
          </cell>
          <cell r="M1494">
            <v>7334853</v>
          </cell>
          <cell r="N1494" t="str">
            <v>동성계전㈜</v>
          </cell>
          <cell r="O1494">
            <v>7410813</v>
          </cell>
          <cell r="P1494" t="str">
            <v>하나기전㈜</v>
          </cell>
          <cell r="Q1494">
            <v>7446430</v>
          </cell>
          <cell r="S1494">
            <v>7334853</v>
          </cell>
        </row>
        <row r="1495">
          <cell r="A1495">
            <v>1495</v>
          </cell>
          <cell r="C1495" t="str">
            <v>분전반</v>
          </cell>
          <cell r="D1495" t="str">
            <v>LP-YK</v>
          </cell>
          <cell r="E1495" t="str">
            <v>면</v>
          </cell>
          <cell r="L1495" t="str">
            <v>세광기전㈜</v>
          </cell>
          <cell r="M1495">
            <v>1196405</v>
          </cell>
          <cell r="N1495" t="str">
            <v>동성계전㈜</v>
          </cell>
          <cell r="O1495">
            <v>1213726</v>
          </cell>
          <cell r="P1495" t="str">
            <v>하나기전㈜</v>
          </cell>
          <cell r="Q1495">
            <v>1222317</v>
          </cell>
          <cell r="R1495">
            <v>373473</v>
          </cell>
          <cell r="S1495">
            <v>1196405</v>
          </cell>
        </row>
        <row r="1496">
          <cell r="A1496">
            <v>1496</v>
          </cell>
          <cell r="C1496" t="str">
            <v>분전반</v>
          </cell>
          <cell r="D1496" t="str">
            <v>LP-GA</v>
          </cell>
          <cell r="E1496" t="str">
            <v>면</v>
          </cell>
          <cell r="L1496" t="str">
            <v>세광기전㈜</v>
          </cell>
          <cell r="M1496">
            <v>1885340</v>
          </cell>
          <cell r="N1496" t="str">
            <v>동성계전㈜</v>
          </cell>
          <cell r="O1496">
            <v>1905518</v>
          </cell>
          <cell r="P1496" t="str">
            <v>하나기전㈜</v>
          </cell>
          <cell r="Q1496">
            <v>1915123</v>
          </cell>
          <cell r="R1496">
            <v>458678</v>
          </cell>
          <cell r="S1496">
            <v>1885340</v>
          </cell>
        </row>
        <row r="1497">
          <cell r="A1497">
            <v>1497</v>
          </cell>
          <cell r="C1497" t="str">
            <v>분전반</v>
          </cell>
          <cell r="D1497" t="str">
            <v>LP-S1</v>
          </cell>
          <cell r="E1497" t="str">
            <v>면</v>
          </cell>
          <cell r="L1497" t="str">
            <v>세광기전㈜</v>
          </cell>
          <cell r="M1497">
            <v>1522140</v>
          </cell>
          <cell r="N1497" t="str">
            <v>동성계전㈜</v>
          </cell>
          <cell r="O1497">
            <v>1545114</v>
          </cell>
          <cell r="P1497" t="str">
            <v>하나기전㈜</v>
          </cell>
          <cell r="Q1497">
            <v>1556603</v>
          </cell>
          <cell r="R1497">
            <v>409188</v>
          </cell>
          <cell r="S1497">
            <v>1522140</v>
          </cell>
        </row>
        <row r="1498">
          <cell r="A1498">
            <v>1498</v>
          </cell>
          <cell r="C1498" t="str">
            <v>분전반</v>
          </cell>
          <cell r="D1498" t="str">
            <v>LP-S2</v>
          </cell>
          <cell r="E1498" t="str">
            <v>면</v>
          </cell>
          <cell r="L1498" t="str">
            <v>세광기전㈜</v>
          </cell>
          <cell r="M1498">
            <v>1247690</v>
          </cell>
          <cell r="N1498" t="str">
            <v>동성계전㈜</v>
          </cell>
          <cell r="O1498">
            <v>1266266</v>
          </cell>
          <cell r="P1498" t="str">
            <v>하나기전㈜</v>
          </cell>
          <cell r="Q1498">
            <v>1275535</v>
          </cell>
          <cell r="R1498">
            <v>332657</v>
          </cell>
          <cell r="S1498">
            <v>1247690</v>
          </cell>
        </row>
        <row r="1499">
          <cell r="A1499">
            <v>1499</v>
          </cell>
          <cell r="C1499" t="str">
            <v>분전반</v>
          </cell>
          <cell r="D1499" t="str">
            <v>LP-NB</v>
          </cell>
          <cell r="E1499" t="str">
            <v>면</v>
          </cell>
          <cell r="L1499" t="str">
            <v>세광기전㈜</v>
          </cell>
          <cell r="M1499">
            <v>267548</v>
          </cell>
          <cell r="N1499" t="str">
            <v>동성계전㈜</v>
          </cell>
          <cell r="O1499">
            <v>271018</v>
          </cell>
          <cell r="P1499" t="str">
            <v>하나기전㈜</v>
          </cell>
          <cell r="Q1499">
            <v>272735</v>
          </cell>
          <cell r="R1499">
            <v>71430</v>
          </cell>
          <cell r="S1499">
            <v>267548</v>
          </cell>
        </row>
        <row r="1500">
          <cell r="A1500">
            <v>1500</v>
          </cell>
          <cell r="C1500" t="str">
            <v>분전반</v>
          </cell>
          <cell r="D1500" t="str">
            <v>LP-JB</v>
          </cell>
          <cell r="E1500" t="str">
            <v>면</v>
          </cell>
          <cell r="L1500" t="str">
            <v>세광기전㈜</v>
          </cell>
          <cell r="M1500">
            <v>267548</v>
          </cell>
          <cell r="N1500" t="str">
            <v>동성계전㈜</v>
          </cell>
          <cell r="O1500">
            <v>271018</v>
          </cell>
          <cell r="P1500" t="str">
            <v>하나기전㈜</v>
          </cell>
          <cell r="Q1500">
            <v>272735</v>
          </cell>
          <cell r="R1500">
            <v>71430</v>
          </cell>
          <cell r="S1500">
            <v>267548</v>
          </cell>
        </row>
        <row r="1501">
          <cell r="A1501">
            <v>1501</v>
          </cell>
          <cell r="C1501" t="str">
            <v>분전반</v>
          </cell>
          <cell r="D1501" t="str">
            <v>LP-TB</v>
          </cell>
          <cell r="E1501" t="str">
            <v>면</v>
          </cell>
          <cell r="L1501" t="str">
            <v>세광기전㈜</v>
          </cell>
          <cell r="M1501">
            <v>267548</v>
          </cell>
          <cell r="N1501" t="str">
            <v>동성계전㈜</v>
          </cell>
          <cell r="O1501">
            <v>271018</v>
          </cell>
          <cell r="P1501" t="str">
            <v>하나기전㈜</v>
          </cell>
          <cell r="Q1501">
            <v>272735</v>
          </cell>
          <cell r="R1501">
            <v>71430</v>
          </cell>
          <cell r="S1501">
            <v>267548</v>
          </cell>
        </row>
        <row r="1502">
          <cell r="A1502">
            <v>1502</v>
          </cell>
          <cell r="C1502" t="str">
            <v>분전반</v>
          </cell>
          <cell r="D1502" t="str">
            <v>온풍기용MCCB박스</v>
          </cell>
          <cell r="E1502" t="str">
            <v>면</v>
          </cell>
          <cell r="L1502" t="str">
            <v>세광기전㈜</v>
          </cell>
          <cell r="M1502">
            <v>324642</v>
          </cell>
          <cell r="N1502" t="str">
            <v>동성계전㈜</v>
          </cell>
          <cell r="O1502">
            <v>330198</v>
          </cell>
          <cell r="P1502" t="str">
            <v>하나기전㈜</v>
          </cell>
          <cell r="Q1502">
            <v>332976</v>
          </cell>
          <cell r="R1502">
            <v>70919</v>
          </cell>
          <cell r="S1502">
            <v>324642</v>
          </cell>
        </row>
        <row r="1503">
          <cell r="A1503">
            <v>1503</v>
          </cell>
          <cell r="C1503" t="str">
            <v>LOP</v>
          </cell>
          <cell r="D1503" t="str">
            <v>LOP-103 A</v>
          </cell>
          <cell r="E1503" t="str">
            <v>면</v>
          </cell>
          <cell r="L1503" t="str">
            <v>세광기전㈜</v>
          </cell>
          <cell r="M1503">
            <v>900420</v>
          </cell>
          <cell r="N1503" t="str">
            <v>동성계전㈜</v>
          </cell>
          <cell r="O1503">
            <v>914211</v>
          </cell>
          <cell r="P1503" t="str">
            <v>하나기전㈜</v>
          </cell>
          <cell r="Q1503">
            <v>921009</v>
          </cell>
          <cell r="R1503">
            <v>42924</v>
          </cell>
          <cell r="S1503">
            <v>900420</v>
          </cell>
        </row>
        <row r="1504">
          <cell r="A1504">
            <v>1504</v>
          </cell>
          <cell r="C1504" t="str">
            <v>LOP</v>
          </cell>
          <cell r="D1504" t="str">
            <v>LOP-103 B</v>
          </cell>
          <cell r="E1504" t="str">
            <v>면</v>
          </cell>
          <cell r="L1504" t="str">
            <v>세광기전㈜</v>
          </cell>
          <cell r="M1504">
            <v>900420</v>
          </cell>
          <cell r="N1504" t="str">
            <v>동성계전㈜</v>
          </cell>
          <cell r="O1504">
            <v>914211</v>
          </cell>
          <cell r="P1504" t="str">
            <v>하나기전㈜</v>
          </cell>
          <cell r="Q1504">
            <v>921009</v>
          </cell>
          <cell r="R1504">
            <v>42924</v>
          </cell>
          <cell r="S1504">
            <v>900420</v>
          </cell>
        </row>
        <row r="1505">
          <cell r="A1505">
            <v>1505</v>
          </cell>
          <cell r="C1505" t="str">
            <v>LOP</v>
          </cell>
          <cell r="D1505" t="str">
            <v>LOP-103 C</v>
          </cell>
          <cell r="E1505" t="str">
            <v>면</v>
          </cell>
          <cell r="L1505" t="str">
            <v>세광기전㈜</v>
          </cell>
          <cell r="M1505">
            <v>900420</v>
          </cell>
          <cell r="N1505" t="str">
            <v>동성계전㈜</v>
          </cell>
          <cell r="O1505">
            <v>914211</v>
          </cell>
          <cell r="P1505" t="str">
            <v>하나기전㈜</v>
          </cell>
          <cell r="Q1505">
            <v>921009</v>
          </cell>
          <cell r="R1505">
            <v>42924</v>
          </cell>
          <cell r="S1505">
            <v>900420</v>
          </cell>
        </row>
        <row r="1506">
          <cell r="A1506">
            <v>1506</v>
          </cell>
          <cell r="C1506" t="str">
            <v>LOP</v>
          </cell>
          <cell r="D1506" t="str">
            <v>LOP-104 A</v>
          </cell>
          <cell r="E1506" t="str">
            <v>면</v>
          </cell>
          <cell r="L1506" t="str">
            <v>세광기전㈜</v>
          </cell>
          <cell r="M1506">
            <v>900420</v>
          </cell>
          <cell r="N1506" t="str">
            <v>동성계전㈜</v>
          </cell>
          <cell r="O1506">
            <v>914211</v>
          </cell>
          <cell r="P1506" t="str">
            <v>하나기전㈜</v>
          </cell>
          <cell r="Q1506">
            <v>921009</v>
          </cell>
          <cell r="R1506">
            <v>42924</v>
          </cell>
          <cell r="S1506">
            <v>900420</v>
          </cell>
        </row>
        <row r="1507">
          <cell r="A1507">
            <v>1507</v>
          </cell>
          <cell r="C1507" t="str">
            <v>LOP</v>
          </cell>
          <cell r="D1507" t="str">
            <v>LOP-104 B</v>
          </cell>
          <cell r="E1507" t="str">
            <v>면</v>
          </cell>
          <cell r="L1507" t="str">
            <v>세광기전㈜</v>
          </cell>
          <cell r="M1507">
            <v>900420</v>
          </cell>
          <cell r="N1507" t="str">
            <v>동성계전㈜</v>
          </cell>
          <cell r="O1507">
            <v>914211</v>
          </cell>
          <cell r="P1507" t="str">
            <v>하나기전㈜</v>
          </cell>
          <cell r="Q1507">
            <v>921009</v>
          </cell>
          <cell r="R1507">
            <v>42924</v>
          </cell>
          <cell r="S1507">
            <v>900420</v>
          </cell>
        </row>
        <row r="1508">
          <cell r="A1508">
            <v>1508</v>
          </cell>
          <cell r="C1508" t="str">
            <v>LOP</v>
          </cell>
          <cell r="D1508" t="str">
            <v>LOP-1007</v>
          </cell>
          <cell r="E1508" t="str">
            <v>면</v>
          </cell>
          <cell r="L1508" t="str">
            <v>세광기전㈜</v>
          </cell>
          <cell r="M1508">
            <v>817682</v>
          </cell>
          <cell r="N1508" t="str">
            <v>동성계전㈜</v>
          </cell>
          <cell r="O1508">
            <v>829854</v>
          </cell>
          <cell r="P1508" t="str">
            <v>하나기전㈜</v>
          </cell>
          <cell r="Q1508">
            <v>835818</v>
          </cell>
          <cell r="R1508">
            <v>70420</v>
          </cell>
          <cell r="S1508">
            <v>817682</v>
          </cell>
        </row>
        <row r="1509">
          <cell r="A1509">
            <v>1509</v>
          </cell>
          <cell r="C1509" t="str">
            <v>LOP</v>
          </cell>
          <cell r="D1509" t="str">
            <v>LOP-1112</v>
          </cell>
          <cell r="E1509" t="str">
            <v>면</v>
          </cell>
          <cell r="L1509" t="str">
            <v>세광기전㈜</v>
          </cell>
          <cell r="M1509">
            <v>817682</v>
          </cell>
          <cell r="N1509" t="str">
            <v>동성계전㈜</v>
          </cell>
          <cell r="O1509">
            <v>829854</v>
          </cell>
          <cell r="P1509" t="str">
            <v>하나기전㈜</v>
          </cell>
          <cell r="Q1509">
            <v>835818</v>
          </cell>
          <cell r="R1509">
            <v>70420</v>
          </cell>
          <cell r="S1509">
            <v>817682</v>
          </cell>
        </row>
        <row r="1510">
          <cell r="A1510">
            <v>1510</v>
          </cell>
          <cell r="C1510" t="str">
            <v>LOP</v>
          </cell>
          <cell r="D1510" t="str">
            <v>LOP-808</v>
          </cell>
          <cell r="E1510" t="str">
            <v>면</v>
          </cell>
          <cell r="L1510" t="str">
            <v>세광기전㈜</v>
          </cell>
          <cell r="M1510">
            <v>817682</v>
          </cell>
          <cell r="N1510" t="str">
            <v>동성계전㈜</v>
          </cell>
          <cell r="O1510">
            <v>829854</v>
          </cell>
          <cell r="P1510" t="str">
            <v>하나기전㈜</v>
          </cell>
          <cell r="Q1510">
            <v>835818</v>
          </cell>
          <cell r="R1510">
            <v>70420</v>
          </cell>
          <cell r="S1510">
            <v>817682</v>
          </cell>
        </row>
        <row r="1511">
          <cell r="A1511">
            <v>1511</v>
          </cell>
          <cell r="C1511" t="str">
            <v>LOP</v>
          </cell>
          <cell r="D1511" t="str">
            <v>LOP-1220</v>
          </cell>
          <cell r="E1511" t="str">
            <v>면</v>
          </cell>
          <cell r="L1511" t="str">
            <v>세광기전㈜</v>
          </cell>
          <cell r="M1511">
            <v>817682</v>
          </cell>
          <cell r="N1511" t="str">
            <v>동성계전㈜</v>
          </cell>
          <cell r="O1511">
            <v>829854</v>
          </cell>
          <cell r="P1511" t="str">
            <v>하나기전㈜</v>
          </cell>
          <cell r="Q1511">
            <v>835818</v>
          </cell>
          <cell r="R1511">
            <v>70420</v>
          </cell>
          <cell r="S1511">
            <v>817682</v>
          </cell>
        </row>
        <row r="1512">
          <cell r="A1512">
            <v>1512</v>
          </cell>
          <cell r="C1512" t="str">
            <v>LOP</v>
          </cell>
          <cell r="D1512" t="str">
            <v>LOP-1211 C</v>
          </cell>
          <cell r="E1512" t="str">
            <v>면</v>
          </cell>
          <cell r="L1512" t="str">
            <v>세광기전㈜</v>
          </cell>
          <cell r="M1512">
            <v>690622</v>
          </cell>
          <cell r="N1512" t="str">
            <v>동성계전㈜</v>
          </cell>
          <cell r="O1512">
            <v>702322</v>
          </cell>
          <cell r="P1512" t="str">
            <v>하나기전㈜</v>
          </cell>
          <cell r="Q1512">
            <v>708118</v>
          </cell>
          <cell r="R1512">
            <v>42924</v>
          </cell>
          <cell r="S1512">
            <v>690622</v>
          </cell>
        </row>
        <row r="1513">
          <cell r="A1513">
            <v>1513</v>
          </cell>
          <cell r="C1513" t="str">
            <v>예비품 및 공구</v>
          </cell>
          <cell r="E1513" t="str">
            <v>식</v>
          </cell>
          <cell r="L1513" t="str">
            <v>세광기전㈜</v>
          </cell>
          <cell r="M1513">
            <v>3316000</v>
          </cell>
          <cell r="N1513" t="str">
            <v>동성계전㈜</v>
          </cell>
          <cell r="O1513">
            <v>3382500</v>
          </cell>
          <cell r="P1513" t="str">
            <v>하나기전㈜</v>
          </cell>
          <cell r="Q1513">
            <v>3415450</v>
          </cell>
          <cell r="S1513">
            <v>3316000</v>
          </cell>
        </row>
        <row r="1514">
          <cell r="A1514">
            <v>1514</v>
          </cell>
          <cell r="S1514" t="str">
            <v/>
          </cell>
        </row>
        <row r="1515">
          <cell r="A1515">
            <v>1515</v>
          </cell>
          <cell r="S1515" t="str">
            <v/>
          </cell>
        </row>
        <row r="1516">
          <cell r="A1516">
            <v>1516</v>
          </cell>
          <cell r="S1516" t="str">
            <v/>
          </cell>
        </row>
        <row r="1517">
          <cell r="A1517">
            <v>1517</v>
          </cell>
          <cell r="S1517" t="str">
            <v/>
          </cell>
        </row>
        <row r="1518">
          <cell r="A1518">
            <v>1518</v>
          </cell>
          <cell r="S1518" t="str">
            <v/>
          </cell>
        </row>
        <row r="1519">
          <cell r="A1519">
            <v>1519</v>
          </cell>
          <cell r="S1519" t="str">
            <v/>
          </cell>
        </row>
        <row r="1520">
          <cell r="A1520">
            <v>1520</v>
          </cell>
          <cell r="S1520" t="str">
            <v/>
          </cell>
        </row>
        <row r="1521">
          <cell r="A1521">
            <v>1521</v>
          </cell>
          <cell r="S1521" t="str">
            <v/>
          </cell>
        </row>
        <row r="1522">
          <cell r="A1522">
            <v>1522</v>
          </cell>
          <cell r="S1522" t="str">
            <v/>
          </cell>
        </row>
        <row r="1523">
          <cell r="A1523">
            <v>1523</v>
          </cell>
          <cell r="S1523" t="str">
            <v/>
          </cell>
        </row>
        <row r="1524">
          <cell r="A1524">
            <v>1524</v>
          </cell>
          <cell r="S1524" t="str">
            <v/>
          </cell>
        </row>
        <row r="1525">
          <cell r="A1525">
            <v>1525</v>
          </cell>
          <cell r="S1525" t="str">
            <v/>
          </cell>
        </row>
        <row r="1526">
          <cell r="A1526">
            <v>1526</v>
          </cell>
          <cell r="S1526" t="str">
            <v/>
          </cell>
        </row>
        <row r="1527">
          <cell r="A1527">
            <v>1527</v>
          </cell>
          <cell r="S1527" t="str">
            <v/>
          </cell>
        </row>
        <row r="1528">
          <cell r="A1528">
            <v>1528</v>
          </cell>
          <cell r="S1528" t="str">
            <v/>
          </cell>
        </row>
        <row r="1529">
          <cell r="A1529">
            <v>1529</v>
          </cell>
          <cell r="S1529" t="str">
            <v/>
          </cell>
        </row>
        <row r="1530">
          <cell r="A1530">
            <v>1530</v>
          </cell>
          <cell r="S1530"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heet1"/>
      <sheetName val="표지"/>
      <sheetName val="공사계획서"/>
      <sheetName val="공사설명서"/>
      <sheetName val="일반시방서"/>
      <sheetName val="특기시방서"/>
      <sheetName val="공사비 예산서"/>
      <sheetName val="설계명세서"/>
      <sheetName val="도면목록"/>
      <sheetName val="예정공정표"/>
      <sheetName val="단가조사서"/>
      <sheetName val="품셈총괄표"/>
      <sheetName val="품셈표"/>
      <sheetName val="수량집계표"/>
      <sheetName val="PANEL물량산출근거"/>
      <sheetName val="SW물량산출근거"/>
      <sheetName val="BULK 물량산출근거"/>
      <sheetName val="수량산출근거"/>
      <sheetName val="자재중량집계표"/>
      <sheetName val="목차"/>
      <sheetName val="2공구산출내역"/>
      <sheetName val="실행(1)"/>
      <sheetName val="내역서"/>
      <sheetName val="장비종합부표"/>
      <sheetName val="집계표_식재"/>
      <sheetName val="부표"/>
      <sheetName val="자재단가조사표-수목"/>
      <sheetName val="Prfgd1"/>
      <sheetName val="단가산출"/>
      <sheetName val="70%"/>
      <sheetName val="단가표"/>
      <sheetName val="JOIN(2span)"/>
      <sheetName val="주빔의 설계"/>
      <sheetName val="바닥판"/>
      <sheetName val="철근량산정및사용성검토"/>
      <sheetName val="입력DATA"/>
      <sheetName val="수량산출"/>
      <sheetName val="노임단가"/>
      <sheetName val="견적"/>
      <sheetName val="데이타"/>
      <sheetName val="식재인부"/>
      <sheetName val="냉천부속동"/>
      <sheetName val="공사비내역서"/>
      <sheetName val="9811"/>
      <sheetName val="명세서"/>
      <sheetName val="적격점수&lt;300억미만&gt;"/>
      <sheetName val="기준표"/>
      <sheetName val="설계예산서"/>
      <sheetName val="총괄내역서"/>
      <sheetName val="약품공급2"/>
      <sheetName val="철거현황"/>
      <sheetName val="포장"/>
      <sheetName val="뜃맟뭁돽띿맟?-BLDG"/>
      <sheetName val="관로공사"/>
      <sheetName val="절단표"/>
      <sheetName val="식재일위대가"/>
      <sheetName val="직접비내역서"/>
      <sheetName val="기계-배관 (2)"/>
      <sheetName val="DATA"/>
      <sheetName val="PIPE"/>
      <sheetName val="FLANGE"/>
      <sheetName val="VALVE"/>
      <sheetName val="중기사용료산출근거"/>
      <sheetName val="9509"/>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기성"/>
      <sheetName val="VXXXX"/>
      <sheetName val="내역"/>
      <sheetName val="집계"/>
      <sheetName val="토공집계"/>
      <sheetName val="토공확인"/>
      <sheetName val="단가조사"/>
      <sheetName val="PIPE(인수본)"/>
      <sheetName val="철거산출근거"/>
      <sheetName val="토공정보"/>
      <sheetName val="내역서"/>
      <sheetName val="갑지(추정)"/>
      <sheetName val="공사예산하조서(O.K)"/>
      <sheetName val="예산"/>
      <sheetName val="#REF"/>
      <sheetName val="기준표"/>
      <sheetName val="변경내역"/>
      <sheetName val="Sheet6"/>
      <sheetName val="단중표"/>
      <sheetName val="도급양식"/>
      <sheetName val="공사금액 내역 (1)"/>
      <sheetName val="3BL공동구 수량"/>
      <sheetName val="MOTOR"/>
      <sheetName val="9509"/>
      <sheetName val="A LINE"/>
      <sheetName val="접도구역경계표주현황"/>
      <sheetName val="기자재비"/>
      <sheetName val="BQ"/>
      <sheetName val="설계명세서"/>
      <sheetName val="품셈표"/>
      <sheetName val="철거현황"/>
      <sheetName val="단가표"/>
      <sheetName val="설계예산서"/>
      <sheetName val="가로등내역서"/>
      <sheetName val="배관내역"/>
      <sheetName val="Sheet1"/>
      <sheetName val="일반공사"/>
      <sheetName val="Sheet5"/>
      <sheetName val="9811"/>
      <sheetName val="보활"/>
      <sheetName val="기계터파기"/>
      <sheetName val="Y-WORK"/>
      <sheetName val="안전장치"/>
      <sheetName val="터파기및재료"/>
      <sheetName val="Sheet3"/>
      <sheetName val="10월장비가동월보"/>
      <sheetName val="매출현황"/>
      <sheetName val="토목검측서"/>
      <sheetName val="노임"/>
      <sheetName val="2공구산출내역"/>
      <sheetName val="일위대가표"/>
      <sheetName val="N賃率-職"/>
      <sheetName val="금액내역서"/>
      <sheetName val="설계"/>
      <sheetName val="잡설비내역"/>
      <sheetName val="총괄내역서"/>
      <sheetName val="총차분(토목)"/>
      <sheetName val="두앙"/>
      <sheetName val="2"/>
      <sheetName val="data"/>
      <sheetName val="LTG_DATA"/>
      <sheetName val="산근"/>
      <sheetName val="설계조건"/>
      <sheetName val="검측서"/>
      <sheetName val="수량집계"/>
      <sheetName val="잡비계산"/>
      <sheetName val="가도공"/>
      <sheetName val="자료입력"/>
      <sheetName val="설계내역서"/>
      <sheetName val="70%"/>
      <sheetName val="구리토평1전기"/>
      <sheetName val="총괄표"/>
      <sheetName val="부표"/>
      <sheetName val="장비종합부표"/>
      <sheetName val="기계-배관 (2)"/>
      <sheetName val="코드표"/>
      <sheetName val="VST재료산출"/>
      <sheetName val="SS"/>
      <sheetName val="차액보증"/>
      <sheetName val="부표(010427)"/>
      <sheetName val="고양시"/>
      <sheetName val="C1ㅇ"/>
      <sheetName val="수량산출"/>
      <sheetName val="노임단가"/>
      <sheetName val="수량산출서"/>
      <sheetName val="집계표"/>
      <sheetName val="패널"/>
      <sheetName val="명세서"/>
      <sheetName val="부대내역"/>
      <sheetName val="부표총괄"/>
      <sheetName val="건물"/>
      <sheetName val="BM"/>
      <sheetName val="일일총괄"/>
      <sheetName val="자재단가"/>
      <sheetName val="실행예산SHEET도장재검토"/>
      <sheetName val="99총공사내역서"/>
      <sheetName val="배서어음명세서"/>
      <sheetName val="단면"/>
      <sheetName val="산출내역서"/>
      <sheetName val="cp-e1"/>
      <sheetName val="노무비지급명세"/>
      <sheetName val="냉천부속동"/>
      <sheetName val="ETC"/>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공사"/>
      <sheetName val="건축기성"/>
      <sheetName val="SS"/>
    </sheetNames>
    <sheetDataSet>
      <sheetData sheetId="0"/>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내역서"/>
      <sheetName val="토공정보"/>
      <sheetName val="VENDOR LIST"/>
      <sheetName val="공통비"/>
      <sheetName val="설계조건"/>
      <sheetName val="노임"/>
      <sheetName val="기준표"/>
      <sheetName val="Macro1"/>
      <sheetName val="2"/>
      <sheetName val="두앙"/>
      <sheetName val="예산M12A"/>
      <sheetName val="수량집계"/>
      <sheetName val="총괄집계표"/>
      <sheetName val="SAN96"/>
      <sheetName val="일위목차"/>
      <sheetName val="일반공사"/>
      <sheetName val="건축기성"/>
      <sheetName val="철거산출근거"/>
    </sheetNames>
    <sheetDataSet>
      <sheetData sheetId="0" refreshError="1">
        <row r="1">
          <cell r="A1" t="str">
            <v>공사명 : '96 분당지점 추가사용자 열배관  공사.</v>
          </cell>
        </row>
        <row r="2">
          <cell r="A2" t="str">
            <v>명          칭</v>
          </cell>
          <cell r="B2" t="str">
            <v>규  격</v>
          </cell>
          <cell r="C2" t="str">
            <v>단위</v>
          </cell>
          <cell r="D2" t="str">
            <v>수 량</v>
          </cell>
          <cell r="E2" t="str">
            <v xml:space="preserve">   재    료    비</v>
          </cell>
          <cell r="G2" t="str">
            <v xml:space="preserve">    노    무    비</v>
          </cell>
          <cell r="I2" t="str">
            <v xml:space="preserve">    경        비</v>
          </cell>
          <cell r="L2" t="str">
            <v xml:space="preserve">합       계     </v>
          </cell>
          <cell r="M2" t="str">
            <v>비고</v>
          </cell>
          <cell r="N2" t="str">
            <v xml:space="preserve"> </v>
          </cell>
        </row>
        <row r="3">
          <cell r="D3" t="str">
            <v xml:space="preserve"> </v>
          </cell>
          <cell r="E3" t="str">
            <v>단 가</v>
          </cell>
          <cell r="F3" t="str">
            <v>금   액</v>
          </cell>
          <cell r="G3" t="str">
            <v>단 가</v>
          </cell>
          <cell r="H3" t="str">
            <v>금   액</v>
          </cell>
          <cell r="I3" t="str">
            <v>단 가</v>
          </cell>
          <cell r="J3" t="str">
            <v>금   액</v>
          </cell>
          <cell r="K3" t="str">
            <v>단 가</v>
          </cell>
          <cell r="L3" t="str">
            <v>금    액</v>
          </cell>
          <cell r="M3"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식총괄"/>
      <sheetName val="총괄표"/>
      <sheetName val="공사비예산서"/>
      <sheetName val="전기총괄"/>
      <sheetName val="전기내역"/>
      <sheetName val="전기상세"/>
      <sheetName val="방식예산"/>
      <sheetName val="방식계산"/>
      <sheetName val="방식상세"/>
      <sheetName val="변경내역서"/>
    </sheetNames>
    <sheetDataSet>
      <sheetData sheetId="0" refreshError="1"/>
      <sheetData sheetId="1"/>
      <sheetData sheetId="2"/>
      <sheetData sheetId="3"/>
      <sheetData sheetId="4"/>
      <sheetData sheetId="5"/>
      <sheetData sheetId="6"/>
      <sheetData sheetId="7"/>
      <sheetData sheetId="8"/>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신규항목"/>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특정폐기물"/>
      <sheetName val="안전관리비"/>
      <sheetName val="VXXXX"/>
      <sheetName val="내역"/>
      <sheetName val="집계"/>
      <sheetName val="토공집계"/>
      <sheetName val="토공확인"/>
      <sheetName val="방식총괄"/>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안전관리비"/>
      <sheetName val="VXXXX"/>
      <sheetName val="내역"/>
      <sheetName val="집계"/>
      <sheetName val="토공집계"/>
      <sheetName val="토공확인"/>
      <sheetName val="Sheet6"/>
      <sheetName val="변경내역서"/>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N+1"/>
      <sheetName val="지장물"/>
      <sheetName val="토공정보"/>
      <sheetName val="산출내역서집계표"/>
      <sheetName val="도급양식"/>
      <sheetName val="8.PILE  (돌출)"/>
      <sheetName val="맨홀수량산출"/>
      <sheetName val="기성내역서"/>
      <sheetName val="토공량"/>
      <sheetName val="방식총괄"/>
      <sheetName val="말뚝물량"/>
      <sheetName val="토류판설치(t=60)"/>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7">
          <cell r="B7">
            <v>20</v>
          </cell>
          <cell r="C7" t="str">
            <v>│</v>
          </cell>
          <cell r="D7">
            <v>0.09</v>
          </cell>
          <cell r="E7" t="str">
            <v>│</v>
          </cell>
          <cell r="F7">
            <v>0.2</v>
          </cell>
          <cell r="G7" t="str">
            <v>│</v>
          </cell>
          <cell r="H7">
            <v>0.1</v>
          </cell>
          <cell r="I7" t="str">
            <v>│</v>
          </cell>
          <cell r="J7">
            <v>0.1</v>
          </cell>
          <cell r="K7" t="str">
            <v>│</v>
          </cell>
          <cell r="L7">
            <v>0.2</v>
          </cell>
        </row>
        <row r="8">
          <cell r="B8">
            <v>25</v>
          </cell>
          <cell r="C8" t="str">
            <v>│</v>
          </cell>
          <cell r="D8">
            <v>0.09</v>
          </cell>
          <cell r="E8" t="str">
            <v>│</v>
          </cell>
          <cell r="F8">
            <v>0.2</v>
          </cell>
          <cell r="G8" t="str">
            <v>│</v>
          </cell>
          <cell r="H8">
            <v>0.1</v>
          </cell>
          <cell r="I8" t="str">
            <v>│</v>
          </cell>
          <cell r="J8">
            <v>0.1</v>
          </cell>
          <cell r="K8" t="str">
            <v>│</v>
          </cell>
          <cell r="L8">
            <v>0.2</v>
          </cell>
        </row>
        <row r="9">
          <cell r="B9">
            <v>32</v>
          </cell>
          <cell r="C9" t="str">
            <v>│</v>
          </cell>
          <cell r="D9">
            <v>0.11</v>
          </cell>
          <cell r="E9" t="str">
            <v>│</v>
          </cell>
          <cell r="F9">
            <v>0.2</v>
          </cell>
          <cell r="G9" t="str">
            <v>│</v>
          </cell>
          <cell r="H9">
            <v>0.1</v>
          </cell>
          <cell r="I9" t="str">
            <v>│</v>
          </cell>
          <cell r="J9">
            <v>0.1</v>
          </cell>
          <cell r="K9" t="str">
            <v>│</v>
          </cell>
          <cell r="L9">
            <v>0.2</v>
          </cell>
        </row>
        <row r="10">
          <cell r="B10">
            <v>40</v>
          </cell>
          <cell r="C10" t="str">
            <v>│</v>
          </cell>
          <cell r="D10">
            <v>0.11</v>
          </cell>
          <cell r="E10" t="str">
            <v>│</v>
          </cell>
          <cell r="F10">
            <v>0.2</v>
          </cell>
          <cell r="G10" t="str">
            <v>│</v>
          </cell>
          <cell r="H10">
            <v>0.1</v>
          </cell>
          <cell r="I10" t="str">
            <v>│</v>
          </cell>
          <cell r="J10">
            <v>0.1</v>
          </cell>
          <cell r="K10" t="str">
            <v>│</v>
          </cell>
          <cell r="L10">
            <v>0.2</v>
          </cell>
        </row>
        <row r="11">
          <cell r="B11">
            <v>50</v>
          </cell>
          <cell r="C11" t="str">
            <v>│</v>
          </cell>
          <cell r="D11">
            <v>0.125</v>
          </cell>
          <cell r="E11" t="str">
            <v>│</v>
          </cell>
          <cell r="F11">
            <v>0.2</v>
          </cell>
          <cell r="G11" t="str">
            <v>│</v>
          </cell>
          <cell r="H11">
            <v>0.1</v>
          </cell>
          <cell r="I11" t="str">
            <v>│</v>
          </cell>
          <cell r="J11">
            <v>0.15</v>
          </cell>
          <cell r="K11" t="str">
            <v>│</v>
          </cell>
          <cell r="L11">
            <v>0.2</v>
          </cell>
        </row>
        <row r="12">
          <cell r="B12">
            <v>65</v>
          </cell>
          <cell r="C12" t="str">
            <v>│</v>
          </cell>
          <cell r="D12">
            <v>0.14000000000000001</v>
          </cell>
          <cell r="E12" t="str">
            <v>│</v>
          </cell>
          <cell r="F12">
            <v>0.2</v>
          </cell>
          <cell r="G12" t="str">
            <v>│</v>
          </cell>
          <cell r="H12">
            <v>0.1</v>
          </cell>
          <cell r="I12" t="str">
            <v>│</v>
          </cell>
          <cell r="J12">
            <v>0.15</v>
          </cell>
          <cell r="K12" t="str">
            <v>│</v>
          </cell>
          <cell r="L12">
            <v>0.2</v>
          </cell>
        </row>
        <row r="13">
          <cell r="B13">
            <v>80</v>
          </cell>
          <cell r="C13" t="str">
            <v>│</v>
          </cell>
          <cell r="D13">
            <v>0.16</v>
          </cell>
          <cell r="E13" t="str">
            <v>│</v>
          </cell>
          <cell r="F13">
            <v>0.2</v>
          </cell>
          <cell r="G13" t="str">
            <v>│</v>
          </cell>
          <cell r="H13">
            <v>0.1</v>
          </cell>
          <cell r="I13" t="str">
            <v>│</v>
          </cell>
          <cell r="J13">
            <v>0.15</v>
          </cell>
          <cell r="K13" t="str">
            <v>│</v>
          </cell>
          <cell r="L13">
            <v>0.2</v>
          </cell>
        </row>
        <row r="14">
          <cell r="B14">
            <v>100</v>
          </cell>
          <cell r="C14" t="str">
            <v>│</v>
          </cell>
          <cell r="D14">
            <v>0.2</v>
          </cell>
          <cell r="E14" t="str">
            <v>│</v>
          </cell>
          <cell r="F14">
            <v>0.2</v>
          </cell>
          <cell r="G14" t="str">
            <v>│</v>
          </cell>
          <cell r="H14">
            <v>0.1</v>
          </cell>
          <cell r="I14" t="str">
            <v>│</v>
          </cell>
          <cell r="J14">
            <v>0.2</v>
          </cell>
          <cell r="K14" t="str">
            <v>│</v>
          </cell>
          <cell r="L14">
            <v>0.2</v>
          </cell>
        </row>
        <row r="15">
          <cell r="B15">
            <v>125</v>
          </cell>
          <cell r="C15" t="str">
            <v>│</v>
          </cell>
          <cell r="D15">
            <v>0.22500000000000001</v>
          </cell>
          <cell r="E15" t="str">
            <v>│</v>
          </cell>
          <cell r="F15">
            <v>0.2</v>
          </cell>
          <cell r="G15" t="str">
            <v>│</v>
          </cell>
          <cell r="H15">
            <v>0.1</v>
          </cell>
          <cell r="I15" t="str">
            <v>│</v>
          </cell>
          <cell r="J15">
            <v>0.2</v>
          </cell>
          <cell r="K15" t="str">
            <v>│</v>
          </cell>
          <cell r="L15">
            <v>0.2</v>
          </cell>
        </row>
        <row r="16">
          <cell r="B16">
            <v>150</v>
          </cell>
          <cell r="C16" t="str">
            <v>│</v>
          </cell>
          <cell r="D16">
            <v>0.25</v>
          </cell>
          <cell r="E16" t="str">
            <v>│</v>
          </cell>
          <cell r="F16">
            <v>0.2</v>
          </cell>
          <cell r="G16" t="str">
            <v>│</v>
          </cell>
          <cell r="H16">
            <v>0.1</v>
          </cell>
          <cell r="I16" t="str">
            <v>│</v>
          </cell>
          <cell r="J16">
            <v>0.25</v>
          </cell>
          <cell r="K16" t="str">
            <v>│</v>
          </cell>
          <cell r="L16">
            <v>0.2</v>
          </cell>
        </row>
        <row r="17">
          <cell r="B17">
            <v>200</v>
          </cell>
          <cell r="C17" t="str">
            <v>│</v>
          </cell>
          <cell r="D17">
            <v>0.315</v>
          </cell>
          <cell r="E17" t="str">
            <v>│</v>
          </cell>
          <cell r="F17">
            <v>0.2</v>
          </cell>
          <cell r="G17" t="str">
            <v>│</v>
          </cell>
          <cell r="H17">
            <v>0.1</v>
          </cell>
          <cell r="I17" t="str">
            <v>│</v>
          </cell>
          <cell r="J17">
            <v>0.25</v>
          </cell>
          <cell r="K17" t="str">
            <v>│</v>
          </cell>
          <cell r="L17">
            <v>0.2</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설계변경갑지"/>
      <sheetName val="변경원가"/>
      <sheetName val="변경내역서"/>
      <sheetName val="물량증감표"/>
      <sheetName val="토공집계"/>
      <sheetName val="토적표"/>
      <sheetName val="구조물"/>
      <sheetName val="배관FOAM"/>
      <sheetName val="용접개소"/>
      <sheetName val="ANCHOR"/>
      <sheetName val="사급자재"/>
      <sheetName val="표지명"/>
      <sheetName val="인력터파기"/>
      <sheetName val="계전수량산출"/>
      <sheetName val="계전산출근거"/>
      <sheetName val="반장사급"/>
      <sheetName val="신규수량산출"/>
      <sheetName val="품질맨홀"/>
      <sheetName val="이동운반비"/>
      <sheetName val="기시공토적"/>
      <sheetName val="기시공토적 (2)"/>
      <sheetName val="기시공인력"/>
      <sheetName val="기시공보도"/>
      <sheetName val="기시공포장"/>
      <sheetName val="기시공배관"/>
      <sheetName val="기시공계전"/>
      <sheetName val="가설비산출"/>
      <sheetName val="기시공품질"/>
      <sheetName val="기시공반장"/>
      <sheetName val="기시공부대공사"/>
      <sheetName val="간지"/>
      <sheetName val="신규물량"/>
      <sheetName val="보온재"/>
      <sheetName val="신규대가"/>
      <sheetName val="Sheet11"/>
      <sheetName val="Sheet12"/>
      <sheetName val="Sheet13"/>
      <sheetName val="Sheet14"/>
      <sheetName val="Sheet15"/>
      <sheetName val="Sheet16"/>
      <sheetName val="단가"/>
      <sheetName val="토공정보"/>
      <sheetName val="집계표"/>
      <sheetName val="맨홀수량"/>
      <sheetName val="건축공사"/>
      <sheetName val="일위대가표"/>
      <sheetName val="DATE"/>
      <sheetName val="단가산출"/>
      <sheetName val="산출근거#2-3"/>
      <sheetName val="공사내역(2003년)"/>
      <sheetName val="공사기본내용입력"/>
      <sheetName val="코드표"/>
      <sheetName val="수량집계표"/>
      <sheetName val="기성내역서"/>
      <sheetName val="구간별"/>
      <sheetName val="도급양식"/>
      <sheetName val="새공통(96임금인상기준)"/>
      <sheetName val="C-노임단가"/>
      <sheetName val="단가산출서"/>
      <sheetName val="총집계표"/>
      <sheetName val="5.배관공사수량집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
      <sheetName val="여과지동"/>
      <sheetName val="실행(1)"/>
      <sheetName val="수량산출서(취수장)"/>
      <sheetName val="취수장"/>
      <sheetName val="수량산출서(여과지)"/>
      <sheetName val="자재단가"/>
      <sheetName val="9811"/>
      <sheetName val="내역표지"/>
      <sheetName val="근거서"/>
      <sheetName val="설계내역서 "/>
      <sheetName val="토목검측서"/>
      <sheetName val="bm-marine"/>
      <sheetName val="산출내역서집계표"/>
      <sheetName val="Y-WORK"/>
      <sheetName val="강관외경"/>
      <sheetName val="지급자재"/>
      <sheetName val="#REF"/>
      <sheetName val="대비"/>
      <sheetName val="연습"/>
      <sheetName val="내역"/>
      <sheetName val="조명시설"/>
      <sheetName val="AS포장복구 "/>
      <sheetName val="문학간접"/>
      <sheetName val="경영상태"/>
      <sheetName val="내역서"/>
      <sheetName val="파이프류"/>
      <sheetName val="일위대가(1)"/>
      <sheetName val="투찰금액"/>
      <sheetName val="남양내역"/>
      <sheetName val="신우"/>
      <sheetName val="샘플표지"/>
      <sheetName val="내역서적용"/>
      <sheetName val="집계표"/>
      <sheetName val="데이타"/>
      <sheetName val="식재인부"/>
      <sheetName val="설비"/>
      <sheetName val="사다리"/>
      <sheetName val="5.배관공사수량집계"/>
      <sheetName val="단가"/>
      <sheetName val="코드표"/>
      <sheetName val="간지"/>
      <sheetName val="총집계표"/>
      <sheetName val="노임단가"/>
      <sheetName val="기성내역서"/>
      <sheetName val="단가비교"/>
      <sheetName val="철근량"/>
      <sheetName val="9509"/>
      <sheetName val="을지"/>
      <sheetName val="9GNG운반"/>
      <sheetName val="산5-7"/>
      <sheetName val="용접자료"/>
      <sheetName val="기시공토적"/>
      <sheetName val="토공정보"/>
      <sheetName val="건축기성"/>
      <sheetName val="견적서1"/>
      <sheetName val="2.어플리케이션보정계수"/>
      <sheetName val="위치"/>
      <sheetName val="I一般比"/>
      <sheetName val="물가대비표"/>
      <sheetName val="요율"/>
      <sheetName val="일위대가"/>
      <sheetName val="기초입력 DATA"/>
      <sheetName val="48단가"/>
      <sheetName val="일위대가(가설)"/>
      <sheetName val="수량산출"/>
      <sheetName val="원가서"/>
      <sheetName val="날개벽수량표"/>
      <sheetName val="암거"/>
      <sheetName val="XL4Poppy"/>
      <sheetName val="포장공"/>
      <sheetName val="배수공"/>
      <sheetName val="Sheet2"/>
      <sheetName val="기계경비및산출근거서"/>
      <sheetName val="직재"/>
      <sheetName val="일위"/>
      <sheetName val="대외공문"/>
      <sheetName val="공문"/>
      <sheetName val="용수간선"/>
      <sheetName val="가격조사서"/>
      <sheetName val="빙장비사양"/>
      <sheetName val="대림산업"/>
      <sheetName val="TYPE-A"/>
      <sheetName val="공사개요"/>
      <sheetName val="입찰"/>
      <sheetName val="현경"/>
      <sheetName val="차액보증"/>
      <sheetName val="내역서(ebs)"/>
      <sheetName val="변경집계표"/>
      <sheetName val="실행철강하도"/>
      <sheetName val="북제주원가"/>
      <sheetName val="노임"/>
      <sheetName val="DATA99"/>
      <sheetName val="내역(중앙)"/>
      <sheetName val="내역(창신)"/>
      <sheetName val="대림경상68억"/>
      <sheetName val="96보완계획7.12"/>
      <sheetName val="매매"/>
      <sheetName val="수량총괄"/>
      <sheetName val="한강운반비"/>
      <sheetName val="부대"/>
      <sheetName val="산출내역서"/>
      <sheetName val="설계기준"/>
      <sheetName val="내역1"/>
      <sheetName val="설계예산서"/>
      <sheetName val="전기단가조사서"/>
      <sheetName val="단가산출"/>
      <sheetName val="토목"/>
      <sheetName val="DATE"/>
      <sheetName val="맨홀수량"/>
      <sheetName val="순공사비"/>
      <sheetName val="주안3차A-A"/>
      <sheetName val="b_balju"/>
      <sheetName val="금액"/>
      <sheetName val="현관"/>
      <sheetName val="원가"/>
      <sheetName val="입찰안"/>
      <sheetName val="전기일위대가"/>
      <sheetName val="N賃率-職"/>
      <sheetName val="단가산출서"/>
      <sheetName val="대치판정"/>
      <sheetName val="CON'C"/>
      <sheetName val="집계"/>
      <sheetName val="수량집계"/>
      <sheetName val="자재"/>
      <sheetName val="배관배선 단가조사"/>
      <sheetName val="일위대가집계"/>
      <sheetName val="북방3터널"/>
      <sheetName val="말뚝지지력산정"/>
      <sheetName val="건축공사"/>
      <sheetName val="상수구조화편집부표"/>
      <sheetName val="4안전율"/>
      <sheetName val="수원공사비"/>
      <sheetName val="자재대"/>
      <sheetName val="변경내역서"/>
      <sheetName val="단가표"/>
      <sheetName val="건설성적"/>
      <sheetName val="SAN"/>
      <sheetName val="견적대비"/>
      <sheetName val="wall"/>
      <sheetName val="차도부연장현황"/>
      <sheetName val="관로공표지"/>
      <sheetName val="bid"/>
      <sheetName val="설계명세서"/>
      <sheetName val="품셈표"/>
      <sheetName val="배수관공"/>
      <sheetName val="보안등"/>
      <sheetName val="제-노임"/>
      <sheetName val="제직재"/>
      <sheetName val="설계서"/>
      <sheetName val="총괄내역서"/>
      <sheetName val="BJJIN"/>
      <sheetName val="주상도"/>
      <sheetName val="MOTOR"/>
      <sheetName val="단"/>
      <sheetName val="PIT"/>
      <sheetName val="단가 "/>
      <sheetName val="Sheet1"/>
      <sheetName val="data"/>
      <sheetName val="역T형교대(말뚝기초)"/>
      <sheetName val="1-1"/>
      <sheetName val="금액내역서"/>
      <sheetName val="일위_파일"/>
      <sheetName val="손익분석"/>
      <sheetName val="NEYOK"/>
      <sheetName val="실행내역"/>
      <sheetName val="기계경비(시간당)"/>
      <sheetName val="램머"/>
      <sheetName val="산출0"/>
      <sheetName val="합천내역"/>
      <sheetName val="원가계산서"/>
      <sheetName val="s"/>
      <sheetName val="옥외외등집계표"/>
      <sheetName val="단가목록"/>
      <sheetName val="공사비총괄표"/>
      <sheetName val="3.전열"/>
      <sheetName val="효성CB 1P기초"/>
      <sheetName val="도급예산내역서봉투"/>
      <sheetName val="공사원가계산서"/>
      <sheetName val="설계산출표지"/>
      <sheetName val="도급예산내역서총괄표"/>
      <sheetName val="을부담운반비"/>
      <sheetName val="운반비산출"/>
      <sheetName val="덕전리"/>
      <sheetName val="노무비"/>
      <sheetName val="총괄표"/>
      <sheetName val="인공산출"/>
      <sheetName val="DHEQSUPT"/>
      <sheetName val="내역서 (2)"/>
      <sheetName val="식재가격"/>
      <sheetName val="식재총괄"/>
      <sheetName val="일위목록"/>
      <sheetName val="내부수지예산"/>
      <sheetName val="인사자료총집계"/>
      <sheetName val="터파기및재료"/>
      <sheetName val="TANK견적대지"/>
      <sheetName val="각형맨홀"/>
      <sheetName val="Total"/>
      <sheetName val="개소별수량산출"/>
      <sheetName val="그림"/>
      <sheetName val="구분자"/>
      <sheetName val="일위대가목록"/>
      <sheetName val="실행간접비용"/>
      <sheetName val="9-1차이내역"/>
      <sheetName val="단면치수"/>
      <sheetName val="EQT-ESTN"/>
      <sheetName val="출장내역"/>
      <sheetName val="원본(갑지)"/>
      <sheetName val="소요자재명세서"/>
      <sheetName val="기안"/>
      <sheetName val="견적대비 "/>
      <sheetName val="공사기본내용입력"/>
      <sheetName val="노임단가명세서"/>
      <sheetName val="LIST"/>
      <sheetName val="설계서을"/>
      <sheetName val="CAL"/>
      <sheetName val=""/>
      <sheetName val="공통비(전체)"/>
      <sheetName val="단위단가"/>
    </sheetNames>
    <sheetDataSet>
      <sheetData sheetId="0" refreshError="1">
        <row r="3">
          <cell r="A3">
            <v>1</v>
          </cell>
          <cell r="B3" t="str">
            <v>전선관</v>
          </cell>
          <cell r="C3" t="str">
            <v>ST  28C</v>
          </cell>
          <cell r="D3" t="str">
            <v>m</v>
          </cell>
          <cell r="S3" t="str">
            <v>내선</v>
          </cell>
          <cell r="T3">
            <v>0.14000000000000001</v>
          </cell>
        </row>
        <row r="4">
          <cell r="A4">
            <v>2</v>
          </cell>
          <cell r="B4" t="str">
            <v>전선관</v>
          </cell>
          <cell r="C4" t="str">
            <v>HI-PVC  16C</v>
          </cell>
          <cell r="D4" t="str">
            <v>m</v>
          </cell>
          <cell r="S4" t="str">
            <v>내선</v>
          </cell>
          <cell r="T4">
            <v>0.05</v>
          </cell>
        </row>
        <row r="5">
          <cell r="A5">
            <v>3</v>
          </cell>
          <cell r="B5" t="str">
            <v>전선관</v>
          </cell>
          <cell r="C5" t="str">
            <v>HI-PVC  22C</v>
          </cell>
          <cell r="D5" t="str">
            <v>m</v>
          </cell>
          <cell r="S5" t="str">
            <v>내선</v>
          </cell>
          <cell r="T5">
            <v>0.06</v>
          </cell>
        </row>
        <row r="6">
          <cell r="A6">
            <v>4</v>
          </cell>
          <cell r="B6" t="str">
            <v>전선관</v>
          </cell>
          <cell r="C6" t="str">
            <v>HI-PVC  28C</v>
          </cell>
          <cell r="D6" t="str">
            <v>m</v>
          </cell>
          <cell r="S6" t="str">
            <v>내선</v>
          </cell>
          <cell r="T6">
            <v>0.08</v>
          </cell>
        </row>
        <row r="7">
          <cell r="A7">
            <v>5</v>
          </cell>
          <cell r="B7" t="str">
            <v>전선관</v>
          </cell>
          <cell r="C7" t="str">
            <v>HI-PVC  36C</v>
          </cell>
          <cell r="D7" t="str">
            <v>m</v>
          </cell>
          <cell r="S7" t="str">
            <v>내선</v>
          </cell>
          <cell r="T7">
            <v>0.1</v>
          </cell>
        </row>
        <row r="8">
          <cell r="A8">
            <v>6</v>
          </cell>
          <cell r="B8" t="str">
            <v>전선관</v>
          </cell>
          <cell r="C8" t="str">
            <v xml:space="preserve">ELPφ40  </v>
          </cell>
          <cell r="D8" t="str">
            <v>m</v>
          </cell>
          <cell r="U8" t="str">
            <v>배전</v>
          </cell>
          <cell r="V8">
            <v>1.2E-2</v>
          </cell>
          <cell r="W8" t="str">
            <v>보인</v>
          </cell>
          <cell r="X8">
            <v>2.9000000000000001E-2</v>
          </cell>
        </row>
        <row r="9">
          <cell r="A9">
            <v>7</v>
          </cell>
          <cell r="B9" t="str">
            <v>전선관</v>
          </cell>
          <cell r="C9" t="str">
            <v xml:space="preserve">ELPφ50  </v>
          </cell>
          <cell r="D9" t="str">
            <v>m</v>
          </cell>
          <cell r="U9" t="str">
            <v>배전</v>
          </cell>
          <cell r="V9">
            <v>1.2E-2</v>
          </cell>
          <cell r="W9" t="str">
            <v>보인</v>
          </cell>
          <cell r="X9">
            <v>2.9000000000000001E-2</v>
          </cell>
        </row>
        <row r="10">
          <cell r="A10">
            <v>8</v>
          </cell>
          <cell r="B10" t="str">
            <v>노말 밴드</v>
          </cell>
          <cell r="C10" t="str">
            <v>HI-PVC  28C</v>
          </cell>
          <cell r="D10" t="str">
            <v>EA</v>
          </cell>
        </row>
        <row r="11">
          <cell r="A11">
            <v>9</v>
          </cell>
          <cell r="B11" t="str">
            <v>노말 밴드</v>
          </cell>
          <cell r="C11" t="str">
            <v>HI-PVC  36C</v>
          </cell>
          <cell r="D11" t="str">
            <v>EA</v>
          </cell>
        </row>
        <row r="12">
          <cell r="A12">
            <v>10</v>
          </cell>
          <cell r="B12" t="str">
            <v>노말 밴드</v>
          </cell>
          <cell r="C12" t="str">
            <v>ST  28C</v>
          </cell>
          <cell r="D12" t="str">
            <v>EA</v>
          </cell>
        </row>
        <row r="13">
          <cell r="A13">
            <v>11</v>
          </cell>
          <cell r="B13" t="str">
            <v xml:space="preserve">전선 </v>
          </cell>
          <cell r="C13" t="str">
            <v>IV   2.0</v>
          </cell>
          <cell r="D13" t="str">
            <v>m</v>
          </cell>
          <cell r="S13" t="str">
            <v>내선</v>
          </cell>
          <cell r="T13">
            <v>0.01</v>
          </cell>
        </row>
        <row r="14">
          <cell r="A14">
            <v>12</v>
          </cell>
          <cell r="B14" t="str">
            <v xml:space="preserve">전선 </v>
          </cell>
          <cell r="C14" t="str">
            <v>IV   5.5sq</v>
          </cell>
          <cell r="D14" t="str">
            <v>m</v>
          </cell>
          <cell r="S14" t="str">
            <v>내선</v>
          </cell>
          <cell r="T14">
            <v>0.01</v>
          </cell>
        </row>
        <row r="15">
          <cell r="A15">
            <v>13</v>
          </cell>
          <cell r="B15" t="str">
            <v xml:space="preserve">전선 </v>
          </cell>
          <cell r="C15" t="str">
            <v>GV   2.0sq</v>
          </cell>
          <cell r="D15" t="str">
            <v>m</v>
          </cell>
          <cell r="S15" t="str">
            <v>내선</v>
          </cell>
          <cell r="T15">
            <v>0.01</v>
          </cell>
        </row>
        <row r="16">
          <cell r="A16">
            <v>14</v>
          </cell>
          <cell r="B16" t="str">
            <v xml:space="preserve">전선 </v>
          </cell>
          <cell r="C16" t="str">
            <v>GV   3.5sq</v>
          </cell>
          <cell r="D16" t="str">
            <v>m</v>
          </cell>
          <cell r="S16" t="str">
            <v>내선</v>
          </cell>
          <cell r="T16">
            <v>0.01</v>
          </cell>
        </row>
        <row r="17">
          <cell r="A17">
            <v>15</v>
          </cell>
          <cell r="B17" t="str">
            <v xml:space="preserve">전선 </v>
          </cell>
          <cell r="C17" t="str">
            <v>HIV   1.2</v>
          </cell>
          <cell r="D17" t="str">
            <v>m</v>
          </cell>
          <cell r="S17" t="str">
            <v>내선</v>
          </cell>
          <cell r="T17">
            <v>0.01</v>
          </cell>
        </row>
        <row r="18">
          <cell r="A18">
            <v>16</v>
          </cell>
          <cell r="B18" t="str">
            <v xml:space="preserve">전선 </v>
          </cell>
          <cell r="C18" t="str">
            <v>HIV1.6</v>
          </cell>
          <cell r="D18" t="str">
            <v>m</v>
          </cell>
          <cell r="S18" t="str">
            <v>내선</v>
          </cell>
          <cell r="T18">
            <v>0.01</v>
          </cell>
        </row>
        <row r="19">
          <cell r="A19">
            <v>17</v>
          </cell>
          <cell r="B19" t="str">
            <v xml:space="preserve">전선 </v>
          </cell>
          <cell r="C19" t="str">
            <v>HIV   2.0</v>
          </cell>
          <cell r="D19" t="str">
            <v>m</v>
          </cell>
          <cell r="S19" t="str">
            <v>내선</v>
          </cell>
          <cell r="T19">
            <v>0.01</v>
          </cell>
        </row>
        <row r="20">
          <cell r="A20">
            <v>18</v>
          </cell>
          <cell r="B20" t="str">
            <v xml:space="preserve"> 케이블</v>
          </cell>
          <cell r="C20" t="str">
            <v>600V CV 5.5 sq/2C</v>
          </cell>
          <cell r="D20" t="str">
            <v>m</v>
          </cell>
          <cell r="S20" t="str">
            <v>저케</v>
          </cell>
          <cell r="T20">
            <v>1.7999999999999999E-2</v>
          </cell>
        </row>
        <row r="21">
          <cell r="A21">
            <v>19</v>
          </cell>
          <cell r="B21" t="str">
            <v xml:space="preserve"> 케이블</v>
          </cell>
          <cell r="C21" t="str">
            <v>600V CV 5.5 sq/4C</v>
          </cell>
          <cell r="D21" t="str">
            <v>m</v>
          </cell>
          <cell r="S21" t="str">
            <v>저케</v>
          </cell>
          <cell r="T21">
            <v>3.4000000000000002E-2</v>
          </cell>
        </row>
        <row r="22">
          <cell r="A22">
            <v>20</v>
          </cell>
          <cell r="B22" t="str">
            <v xml:space="preserve"> 케이블</v>
          </cell>
          <cell r="C22" t="str">
            <v>600V  CV8sq/2C</v>
          </cell>
          <cell r="D22" t="str">
            <v>m</v>
          </cell>
          <cell r="S22" t="str">
            <v>저케</v>
          </cell>
          <cell r="T22">
            <v>0.02</v>
          </cell>
        </row>
        <row r="23">
          <cell r="A23">
            <v>21</v>
          </cell>
          <cell r="B23" t="str">
            <v xml:space="preserve"> 케이블</v>
          </cell>
          <cell r="C23" t="str">
            <v>600V  CV8sq/4C</v>
          </cell>
          <cell r="D23" t="str">
            <v>m</v>
          </cell>
          <cell r="S23" t="str">
            <v>저케</v>
          </cell>
          <cell r="T23">
            <v>3.9E-2</v>
          </cell>
        </row>
        <row r="24">
          <cell r="A24">
            <v>22</v>
          </cell>
          <cell r="B24" t="str">
            <v xml:space="preserve"> 케이블</v>
          </cell>
          <cell r="C24" t="str">
            <v>CPEV 0.65/10P</v>
          </cell>
          <cell r="D24" t="str">
            <v>m</v>
          </cell>
          <cell r="S24" t="str">
            <v>통케</v>
          </cell>
          <cell r="T24">
            <v>1.7999999999999999E-2</v>
          </cell>
        </row>
        <row r="25">
          <cell r="A25">
            <v>23</v>
          </cell>
          <cell r="B25" t="str">
            <v xml:space="preserve"> 케이블</v>
          </cell>
          <cell r="C25" t="str">
            <v>CPEV 0.65/20P</v>
          </cell>
          <cell r="D25" t="str">
            <v>m</v>
          </cell>
          <cell r="S25" t="str">
            <v>통케</v>
          </cell>
          <cell r="T25">
            <v>2.1999999999999999E-2</v>
          </cell>
        </row>
        <row r="26">
          <cell r="A26">
            <v>24</v>
          </cell>
          <cell r="B26" t="str">
            <v xml:space="preserve"> 케이블</v>
          </cell>
          <cell r="C26" t="str">
            <v>CVV          2.0sq/3C</v>
          </cell>
          <cell r="D26" t="str">
            <v>m</v>
          </cell>
          <cell r="S26" t="str">
            <v>저케</v>
          </cell>
          <cell r="T26">
            <v>1.9E-2</v>
          </cell>
        </row>
        <row r="27">
          <cell r="A27">
            <v>25</v>
          </cell>
          <cell r="B27" t="str">
            <v xml:space="preserve"> 케이블</v>
          </cell>
          <cell r="C27" t="str">
            <v>CVV        2.0sq/15C</v>
          </cell>
          <cell r="D27" t="str">
            <v>m</v>
          </cell>
          <cell r="S27" t="str">
            <v>저케</v>
          </cell>
          <cell r="T27">
            <v>7.1999999999999995E-2</v>
          </cell>
        </row>
        <row r="28">
          <cell r="A28">
            <v>26</v>
          </cell>
          <cell r="B28" t="str">
            <v>Outlet Box</v>
          </cell>
          <cell r="C28" t="str">
            <v>4각 천정</v>
          </cell>
          <cell r="D28" t="str">
            <v>EA</v>
          </cell>
          <cell r="S28" t="str">
            <v>내선</v>
          </cell>
          <cell r="T28">
            <v>0.12</v>
          </cell>
        </row>
        <row r="29">
          <cell r="A29">
            <v>27</v>
          </cell>
          <cell r="B29" t="str">
            <v>Outlet Box</v>
          </cell>
          <cell r="C29" t="str">
            <v>4각벽부</v>
          </cell>
          <cell r="D29" t="str">
            <v>EA</v>
          </cell>
          <cell r="S29" t="str">
            <v>내선</v>
          </cell>
          <cell r="T29">
            <v>0.2</v>
          </cell>
        </row>
        <row r="30">
          <cell r="A30">
            <v>28</v>
          </cell>
          <cell r="B30" t="str">
            <v>Outlet Box</v>
          </cell>
          <cell r="C30" t="str">
            <v xml:space="preserve">  8 각</v>
          </cell>
          <cell r="D30" t="str">
            <v>EA</v>
          </cell>
          <cell r="S30" t="str">
            <v>내선</v>
          </cell>
          <cell r="T30">
            <v>0.12</v>
          </cell>
        </row>
        <row r="31">
          <cell r="A31">
            <v>29</v>
          </cell>
          <cell r="B31" t="str">
            <v>Outlet Box</v>
          </cell>
          <cell r="C31" t="str">
            <v>SW</v>
          </cell>
          <cell r="D31" t="str">
            <v>EA</v>
          </cell>
          <cell r="S31" t="str">
            <v>내선</v>
          </cell>
          <cell r="T31">
            <v>0.2</v>
          </cell>
        </row>
        <row r="32">
          <cell r="A32">
            <v>30</v>
          </cell>
          <cell r="B32" t="str">
            <v xml:space="preserve"> 콘  센  트   접지극부 </v>
          </cell>
          <cell r="C32" t="str">
            <v>1구용</v>
          </cell>
          <cell r="D32" t="str">
            <v>EA</v>
          </cell>
          <cell r="S32" t="str">
            <v>내선</v>
          </cell>
          <cell r="T32">
            <v>0.08</v>
          </cell>
        </row>
        <row r="33">
          <cell r="A33">
            <v>31</v>
          </cell>
          <cell r="B33" t="str">
            <v xml:space="preserve"> 콘  센  트   접지극부 </v>
          </cell>
          <cell r="C33" t="str">
            <v>1구방폭</v>
          </cell>
          <cell r="D33" t="str">
            <v>EA</v>
          </cell>
          <cell r="S33" t="str">
            <v>내선</v>
          </cell>
          <cell r="T33">
            <v>0.16</v>
          </cell>
        </row>
        <row r="34">
          <cell r="A34">
            <v>32</v>
          </cell>
          <cell r="B34" t="str">
            <v xml:space="preserve"> 콘  센  트   접지극부 </v>
          </cell>
          <cell r="C34" t="str">
            <v>1구방수</v>
          </cell>
          <cell r="D34" t="str">
            <v>EA</v>
          </cell>
          <cell r="S34" t="str">
            <v>내선</v>
          </cell>
          <cell r="T34">
            <v>0.08</v>
          </cell>
        </row>
        <row r="35">
          <cell r="A35">
            <v>33</v>
          </cell>
          <cell r="B35" t="str">
            <v xml:space="preserve"> 콘  센  트   접지극부 </v>
          </cell>
          <cell r="C35" t="str">
            <v>2구용</v>
          </cell>
          <cell r="D35" t="str">
            <v>EA</v>
          </cell>
          <cell r="S35" t="str">
            <v>내선</v>
          </cell>
          <cell r="T35">
            <v>0.08</v>
          </cell>
        </row>
        <row r="36">
          <cell r="A36">
            <v>34</v>
          </cell>
          <cell r="B36" t="str">
            <v xml:space="preserve"> 콘  센  트   접지극부 </v>
          </cell>
          <cell r="C36" t="str">
            <v>2구방폭</v>
          </cell>
          <cell r="D36" t="str">
            <v>EA</v>
          </cell>
          <cell r="S36" t="str">
            <v>내선</v>
          </cell>
          <cell r="T36">
            <v>0.16</v>
          </cell>
        </row>
        <row r="37">
          <cell r="A37">
            <v>35</v>
          </cell>
          <cell r="B37" t="str">
            <v xml:space="preserve"> 콘  센  트   접지극부 </v>
          </cell>
          <cell r="C37" t="str">
            <v>에어컨용</v>
          </cell>
          <cell r="D37" t="str">
            <v>EA</v>
          </cell>
          <cell r="S37" t="str">
            <v>내선</v>
          </cell>
          <cell r="T37">
            <v>0.08</v>
          </cell>
        </row>
        <row r="38">
          <cell r="A38">
            <v>36</v>
          </cell>
          <cell r="B38" t="str">
            <v xml:space="preserve"> 콘  센  트   접지극부 </v>
          </cell>
          <cell r="C38" t="str">
            <v>FAN용</v>
          </cell>
          <cell r="D38" t="str">
            <v>EA</v>
          </cell>
          <cell r="S38" t="str">
            <v>내선</v>
          </cell>
          <cell r="T38">
            <v>0.08</v>
          </cell>
        </row>
        <row r="39">
          <cell r="A39">
            <v>37</v>
          </cell>
          <cell r="B39" t="str">
            <v xml:space="preserve"> 콘  센  트   접지극부 </v>
          </cell>
          <cell r="C39" t="str">
            <v>3P 30A</v>
          </cell>
          <cell r="D39" t="str">
            <v>EA</v>
          </cell>
          <cell r="S39" t="str">
            <v>내선</v>
          </cell>
          <cell r="T39">
            <v>0.14499999999999999</v>
          </cell>
        </row>
        <row r="40">
          <cell r="A40">
            <v>38</v>
          </cell>
          <cell r="B40" t="str">
            <v>전화용 콘센트</v>
          </cell>
          <cell r="C40" t="str">
            <v>체신부규격4P</v>
          </cell>
          <cell r="D40" t="str">
            <v>EA</v>
          </cell>
          <cell r="S40" t="str">
            <v>통내</v>
          </cell>
          <cell r="T40">
            <v>7.0000000000000007E-2</v>
          </cell>
        </row>
        <row r="41">
          <cell r="A41">
            <v>39</v>
          </cell>
          <cell r="B41" t="str">
            <v>텀블러SW</v>
          </cell>
          <cell r="C41" t="str">
            <v>1로  1구</v>
          </cell>
          <cell r="D41" t="str">
            <v>EA</v>
          </cell>
          <cell r="S41" t="str">
            <v>내선</v>
          </cell>
          <cell r="T41">
            <v>6.5000000000000002E-2</v>
          </cell>
        </row>
        <row r="42">
          <cell r="A42">
            <v>40</v>
          </cell>
          <cell r="B42" t="str">
            <v>텀블러SW</v>
          </cell>
          <cell r="C42" t="str">
            <v>1로 1구방폭</v>
          </cell>
          <cell r="D42" t="str">
            <v>EA</v>
          </cell>
          <cell r="S42" t="str">
            <v>내선</v>
          </cell>
          <cell r="T42">
            <v>0.13</v>
          </cell>
        </row>
        <row r="43">
          <cell r="A43">
            <v>41</v>
          </cell>
          <cell r="B43" t="str">
            <v>텀블러SW</v>
          </cell>
          <cell r="C43" t="str">
            <v>1로  2구</v>
          </cell>
          <cell r="D43" t="str">
            <v>EA</v>
          </cell>
          <cell r="S43" t="str">
            <v>내선</v>
          </cell>
          <cell r="T43">
            <v>8.5000000000000006E-2</v>
          </cell>
        </row>
        <row r="44">
          <cell r="A44">
            <v>42</v>
          </cell>
          <cell r="B44" t="str">
            <v>텀블러SW</v>
          </cell>
          <cell r="C44" t="str">
            <v>1로 2구방폭</v>
          </cell>
          <cell r="D44" t="str">
            <v>EA</v>
          </cell>
          <cell r="S44" t="str">
            <v>내선</v>
          </cell>
          <cell r="T44">
            <v>0.17</v>
          </cell>
        </row>
        <row r="45">
          <cell r="A45">
            <v>43</v>
          </cell>
          <cell r="B45" t="str">
            <v>텀블러SW</v>
          </cell>
          <cell r="C45" t="str">
            <v>1로  3구</v>
          </cell>
          <cell r="D45" t="str">
            <v>EA</v>
          </cell>
          <cell r="S45" t="str">
            <v>내선</v>
          </cell>
          <cell r="T45">
            <v>8.5000000000000006E-2</v>
          </cell>
        </row>
        <row r="46">
          <cell r="A46">
            <v>44</v>
          </cell>
          <cell r="B46" t="str">
            <v>텀블러SW</v>
          </cell>
          <cell r="C46" t="str">
            <v>3로  1구</v>
          </cell>
          <cell r="D46" t="str">
            <v>EA</v>
          </cell>
          <cell r="S46" t="str">
            <v>내선</v>
          </cell>
          <cell r="T46">
            <v>8.5000000000000006E-2</v>
          </cell>
        </row>
        <row r="47">
          <cell r="A47">
            <v>45</v>
          </cell>
          <cell r="B47" t="str">
            <v>등 기 구</v>
          </cell>
          <cell r="C47" t="str">
            <v>IL-200W벽부</v>
          </cell>
          <cell r="D47" t="str">
            <v>EA</v>
          </cell>
          <cell r="S47" t="str">
            <v>내선</v>
          </cell>
          <cell r="T47">
            <v>0.158</v>
          </cell>
        </row>
        <row r="48">
          <cell r="A48">
            <v>46</v>
          </cell>
          <cell r="B48" t="str">
            <v>등 기 구</v>
          </cell>
          <cell r="C48" t="str">
            <v>IL-60W 천정매입</v>
          </cell>
          <cell r="D48" t="str">
            <v>EA</v>
          </cell>
          <cell r="S48" t="str">
            <v>내선</v>
          </cell>
          <cell r="T48">
            <v>0.245</v>
          </cell>
        </row>
        <row r="49">
          <cell r="A49">
            <v>47</v>
          </cell>
          <cell r="B49" t="str">
            <v>등 기 구</v>
          </cell>
          <cell r="C49" t="str">
            <v>IL-60W 천정직부</v>
          </cell>
          <cell r="D49" t="str">
            <v>EA</v>
          </cell>
          <cell r="S49" t="str">
            <v>내선</v>
          </cell>
          <cell r="T49">
            <v>0.18</v>
          </cell>
        </row>
        <row r="50">
          <cell r="A50">
            <v>48</v>
          </cell>
          <cell r="B50" t="str">
            <v>등 기 구</v>
          </cell>
          <cell r="C50" t="str">
            <v>비상등</v>
          </cell>
          <cell r="D50" t="str">
            <v>EA</v>
          </cell>
          <cell r="S50" t="str">
            <v>내선</v>
          </cell>
          <cell r="T50">
            <v>0.158</v>
          </cell>
        </row>
        <row r="51">
          <cell r="A51">
            <v>49</v>
          </cell>
          <cell r="B51" t="str">
            <v>등 기 구</v>
          </cell>
          <cell r="C51" t="str">
            <v>FL 2/20삼각직부</v>
          </cell>
          <cell r="D51" t="str">
            <v>EA</v>
          </cell>
          <cell r="S51" t="str">
            <v>내선</v>
          </cell>
          <cell r="T51">
            <v>0.19500000000000001</v>
          </cell>
        </row>
        <row r="52">
          <cell r="A52">
            <v>50</v>
          </cell>
          <cell r="B52" t="str">
            <v>등 기 구</v>
          </cell>
          <cell r="C52" t="str">
            <v>FL 2/20매입</v>
          </cell>
          <cell r="D52" t="str">
            <v>EA</v>
          </cell>
          <cell r="S52" t="str">
            <v>내선</v>
          </cell>
          <cell r="T52">
            <v>0.32</v>
          </cell>
        </row>
        <row r="53">
          <cell r="A53">
            <v>51</v>
          </cell>
          <cell r="B53" t="str">
            <v>등 기 구</v>
          </cell>
          <cell r="C53" t="str">
            <v>FL 2/40매입</v>
          </cell>
          <cell r="D53" t="str">
            <v>EA</v>
          </cell>
          <cell r="S53" t="str">
            <v>내선</v>
          </cell>
          <cell r="T53">
            <v>0.48799999999999999</v>
          </cell>
        </row>
        <row r="54">
          <cell r="A54">
            <v>52</v>
          </cell>
          <cell r="B54" t="str">
            <v>등 기 구</v>
          </cell>
          <cell r="C54" t="str">
            <v>FL 2/20펜던트</v>
          </cell>
          <cell r="D54" t="str">
            <v>EA</v>
          </cell>
          <cell r="S54" t="str">
            <v>내선</v>
          </cell>
          <cell r="T54">
            <v>0.23499999999999999</v>
          </cell>
        </row>
        <row r="55">
          <cell r="A55">
            <v>53</v>
          </cell>
          <cell r="B55" t="str">
            <v>등 기 구</v>
          </cell>
          <cell r="C55" t="str">
            <v>FL 2/40펜던트</v>
          </cell>
          <cell r="D55" t="str">
            <v>EA</v>
          </cell>
          <cell r="S55" t="str">
            <v>내선</v>
          </cell>
          <cell r="T55">
            <v>0.36499999999999999</v>
          </cell>
        </row>
        <row r="56">
          <cell r="A56">
            <v>54</v>
          </cell>
          <cell r="B56" t="str">
            <v>등 기 구</v>
          </cell>
          <cell r="C56" t="str">
            <v>FL 2/40방폭형</v>
          </cell>
          <cell r="S56" t="str">
            <v>내선</v>
          </cell>
          <cell r="T56">
            <v>0.73</v>
          </cell>
        </row>
        <row r="57">
          <cell r="A57">
            <v>55</v>
          </cell>
          <cell r="B57" t="str">
            <v>등 기 구</v>
          </cell>
          <cell r="C57" t="str">
            <v>MH 250W천정형</v>
          </cell>
          <cell r="D57" t="str">
            <v>EA</v>
          </cell>
          <cell r="S57" t="str">
            <v>내선</v>
          </cell>
          <cell r="T57">
            <v>0.495</v>
          </cell>
        </row>
        <row r="58">
          <cell r="A58">
            <v>56</v>
          </cell>
          <cell r="B58" t="str">
            <v>등 기 구</v>
          </cell>
          <cell r="C58" t="str">
            <v>MH 175W천정형</v>
          </cell>
          <cell r="D58" t="str">
            <v>EA</v>
          </cell>
          <cell r="S58" t="str">
            <v>내선</v>
          </cell>
          <cell r="T58">
            <v>0.44</v>
          </cell>
        </row>
        <row r="59">
          <cell r="A59">
            <v>57</v>
          </cell>
          <cell r="B59" t="str">
            <v>등 기 구</v>
          </cell>
          <cell r="C59" t="str">
            <v>MH 175W벽부형</v>
          </cell>
          <cell r="D59" t="str">
            <v>EA</v>
          </cell>
          <cell r="S59" t="str">
            <v>내선</v>
          </cell>
          <cell r="T59">
            <v>0.44</v>
          </cell>
        </row>
        <row r="60">
          <cell r="A60">
            <v>58</v>
          </cell>
          <cell r="B60" t="str">
            <v>판넬</v>
          </cell>
          <cell r="C60" t="str">
            <v>LP-A</v>
          </cell>
          <cell r="D60" t="str">
            <v>면</v>
          </cell>
          <cell r="S60" t="str">
            <v>프전</v>
          </cell>
          <cell r="T60">
            <v>5.8</v>
          </cell>
          <cell r="U60" t="str">
            <v>보인</v>
          </cell>
          <cell r="V60">
            <v>1.9</v>
          </cell>
        </row>
        <row r="61">
          <cell r="A61">
            <v>59</v>
          </cell>
          <cell r="B61" t="str">
            <v>전극봉</v>
          </cell>
          <cell r="C61" t="str">
            <v>3극</v>
          </cell>
          <cell r="D61" t="str">
            <v>EA</v>
          </cell>
          <cell r="S61" t="str">
            <v>내선</v>
          </cell>
          <cell r="T61">
            <v>0.8</v>
          </cell>
        </row>
        <row r="62">
          <cell r="A62">
            <v>60</v>
          </cell>
          <cell r="B62" t="str">
            <v>FLEXIBLE</v>
          </cell>
          <cell r="C62" t="str">
            <v>제1종 16C</v>
          </cell>
          <cell r="D62" t="str">
            <v>m</v>
          </cell>
          <cell r="S62" t="str">
            <v>내선</v>
          </cell>
          <cell r="T62">
            <v>3.9E-2</v>
          </cell>
        </row>
        <row r="63">
          <cell r="A63">
            <v>61</v>
          </cell>
          <cell r="B63" t="str">
            <v>FLEXIBLE</v>
          </cell>
          <cell r="C63" t="str">
            <v>고장력방수22C</v>
          </cell>
          <cell r="D63" t="str">
            <v>m</v>
          </cell>
          <cell r="S63" t="str">
            <v>내선</v>
          </cell>
          <cell r="T63">
            <v>4.9000000000000002E-2</v>
          </cell>
        </row>
        <row r="64">
          <cell r="A64">
            <v>62</v>
          </cell>
          <cell r="B64" t="str">
            <v>FLEXIBLE  CONNECTOR</v>
          </cell>
          <cell r="C64" t="str">
            <v>제1종 16C</v>
          </cell>
          <cell r="D64" t="str">
            <v>EA</v>
          </cell>
        </row>
        <row r="65">
          <cell r="A65">
            <v>63</v>
          </cell>
          <cell r="B65" t="str">
            <v>FLEXIBLE  CONNECTOR</v>
          </cell>
          <cell r="C65" t="str">
            <v>고장력방수22C</v>
          </cell>
          <cell r="D65" t="str">
            <v>EA</v>
          </cell>
        </row>
        <row r="66">
          <cell r="A66">
            <v>64</v>
          </cell>
          <cell r="B66" t="str">
            <v>AMP</v>
          </cell>
          <cell r="D66" t="str">
            <v>면</v>
          </cell>
          <cell r="S66" t="str">
            <v>통내</v>
          </cell>
          <cell r="T66">
            <v>9</v>
          </cell>
        </row>
        <row r="67">
          <cell r="A67">
            <v>65</v>
          </cell>
          <cell r="B67" t="str">
            <v>스피커</v>
          </cell>
          <cell r="C67" t="str">
            <v>3W    천정형</v>
          </cell>
          <cell r="D67" t="str">
            <v>EA</v>
          </cell>
          <cell r="S67" t="str">
            <v>통내</v>
          </cell>
          <cell r="T67">
            <v>0.45</v>
          </cell>
        </row>
        <row r="68">
          <cell r="A68">
            <v>66</v>
          </cell>
          <cell r="B68" t="str">
            <v>스피커</v>
          </cell>
          <cell r="C68" t="str">
            <v>3W    벽부형</v>
          </cell>
          <cell r="D68" t="str">
            <v>EA</v>
          </cell>
          <cell r="S68" t="str">
            <v>통내</v>
          </cell>
          <cell r="T68">
            <v>0.45</v>
          </cell>
        </row>
        <row r="69">
          <cell r="A69">
            <v>67</v>
          </cell>
          <cell r="B69" t="str">
            <v>스피커</v>
          </cell>
          <cell r="C69" t="str">
            <v>20W옥외칼럼형</v>
          </cell>
          <cell r="D69" t="str">
            <v>EA</v>
          </cell>
          <cell r="S69" t="str">
            <v>통내</v>
          </cell>
          <cell r="T69">
            <v>1</v>
          </cell>
        </row>
        <row r="70">
          <cell r="A70">
            <v>68</v>
          </cell>
          <cell r="B70" t="str">
            <v>인터폰</v>
          </cell>
          <cell r="C70" t="str">
            <v>전자연립식20회로</v>
          </cell>
          <cell r="D70" t="str">
            <v>EA</v>
          </cell>
          <cell r="S70" t="str">
            <v>통내</v>
          </cell>
          <cell r="T70">
            <v>1</v>
          </cell>
          <cell r="U70" t="str">
            <v>통설</v>
          </cell>
          <cell r="V70">
            <v>2</v>
          </cell>
        </row>
        <row r="71">
          <cell r="A71">
            <v>69</v>
          </cell>
          <cell r="B71" t="str">
            <v>감지기</v>
          </cell>
          <cell r="C71" t="str">
            <v>차동식 스포트감지기2종</v>
          </cell>
          <cell r="D71" t="str">
            <v>EA</v>
          </cell>
          <cell r="S71" t="str">
            <v>내선</v>
          </cell>
          <cell r="T71">
            <v>0.14300000000000002</v>
          </cell>
        </row>
        <row r="72">
          <cell r="A72">
            <v>70</v>
          </cell>
          <cell r="B72" t="str">
            <v>감지기</v>
          </cell>
          <cell r="C72" t="str">
            <v>광전식 연감지기2종</v>
          </cell>
          <cell r="D72" t="str">
            <v>EA</v>
          </cell>
          <cell r="S72" t="str">
            <v>내선</v>
          </cell>
          <cell r="T72">
            <v>0.14300000000000002</v>
          </cell>
        </row>
        <row r="73">
          <cell r="A73">
            <v>71</v>
          </cell>
          <cell r="B73" t="str">
            <v>감지기</v>
          </cell>
          <cell r="C73" t="str">
            <v>정온식감지기</v>
          </cell>
          <cell r="D73" t="str">
            <v>EA</v>
          </cell>
          <cell r="S73" t="str">
            <v>내선</v>
          </cell>
          <cell r="T73">
            <v>0.14300000000000002</v>
          </cell>
        </row>
        <row r="74">
          <cell r="A74">
            <v>72</v>
          </cell>
          <cell r="B74" t="str">
            <v>유도등</v>
          </cell>
          <cell r="C74" t="str">
            <v>통로유도등</v>
          </cell>
          <cell r="D74" t="str">
            <v>EA</v>
          </cell>
          <cell r="S74" t="str">
            <v>내선</v>
          </cell>
          <cell r="T74">
            <v>0.79500000000000004</v>
          </cell>
        </row>
        <row r="75">
          <cell r="A75">
            <v>73</v>
          </cell>
          <cell r="B75" t="str">
            <v>유도등</v>
          </cell>
          <cell r="C75" t="str">
            <v>피난구유도등</v>
          </cell>
          <cell r="D75" t="str">
            <v>EA</v>
          </cell>
          <cell r="S75" t="str">
            <v>내선</v>
          </cell>
          <cell r="T75">
            <v>0.13500000000000001</v>
          </cell>
        </row>
        <row r="76">
          <cell r="A76">
            <v>74</v>
          </cell>
          <cell r="B76" t="str">
            <v>수동발신기</v>
          </cell>
          <cell r="D76" t="str">
            <v>set</v>
          </cell>
          <cell r="S76" t="str">
            <v>내선</v>
          </cell>
          <cell r="T76">
            <v>0.3</v>
          </cell>
        </row>
        <row r="77">
          <cell r="A77">
            <v>75</v>
          </cell>
          <cell r="B77" t="str">
            <v>수신반</v>
          </cell>
          <cell r="C77" t="str">
            <v>P형1급   10회로용</v>
          </cell>
          <cell r="D77" t="str">
            <v>set</v>
          </cell>
          <cell r="S77" t="str">
            <v>내선</v>
          </cell>
          <cell r="T77">
            <v>9</v>
          </cell>
        </row>
        <row r="78">
          <cell r="A78">
            <v>101</v>
          </cell>
          <cell r="B78" t="str">
            <v>전선관</v>
          </cell>
          <cell r="C78" t="str">
            <v>ELPφ30</v>
          </cell>
          <cell r="D78" t="str">
            <v>m</v>
          </cell>
          <cell r="U78" t="str">
            <v>배전</v>
          </cell>
          <cell r="V78">
            <v>1.2E-2</v>
          </cell>
          <cell r="W78" t="str">
            <v>보인</v>
          </cell>
          <cell r="X78">
            <v>2.9000000000000001E-2</v>
          </cell>
        </row>
        <row r="79">
          <cell r="A79">
            <v>102</v>
          </cell>
          <cell r="B79" t="str">
            <v xml:space="preserve"> 케이블</v>
          </cell>
          <cell r="C79" t="str">
            <v>CV   2.0sq/2C</v>
          </cell>
          <cell r="D79" t="str">
            <v>m</v>
          </cell>
          <cell r="S79" t="str">
            <v>저케</v>
          </cell>
          <cell r="T79">
            <v>1.4E-2</v>
          </cell>
        </row>
        <row r="80">
          <cell r="A80">
            <v>103</v>
          </cell>
          <cell r="B80" t="str">
            <v xml:space="preserve"> 케이블</v>
          </cell>
          <cell r="C80" t="str">
            <v>CV     3.5sq/3C</v>
          </cell>
          <cell r="D80" t="str">
            <v>m</v>
          </cell>
          <cell r="S80" t="str">
            <v>저케</v>
          </cell>
          <cell r="T80">
            <v>2.1999999999999999E-2</v>
          </cell>
        </row>
      </sheetData>
      <sheetData sheetId="1" refreshError="1">
        <row r="3">
          <cell r="F3">
            <v>2</v>
          </cell>
          <cell r="G3">
            <v>3</v>
          </cell>
          <cell r="H3">
            <v>4</v>
          </cell>
          <cell r="I3">
            <v>5</v>
          </cell>
          <cell r="J3">
            <v>8</v>
          </cell>
          <cell r="K3">
            <v>9</v>
          </cell>
          <cell r="L3">
            <v>11</v>
          </cell>
          <cell r="M3">
            <v>12</v>
          </cell>
          <cell r="N3">
            <v>13</v>
          </cell>
          <cell r="O3">
            <v>22</v>
          </cell>
          <cell r="P3">
            <v>23</v>
          </cell>
          <cell r="Q3">
            <v>24</v>
          </cell>
          <cell r="R3">
            <v>16</v>
          </cell>
          <cell r="S3">
            <v>26</v>
          </cell>
          <cell r="T3">
            <v>27</v>
          </cell>
          <cell r="U3">
            <v>28</v>
          </cell>
          <cell r="V3">
            <v>29</v>
          </cell>
          <cell r="W3">
            <v>30</v>
          </cell>
          <cell r="X3">
            <v>32</v>
          </cell>
          <cell r="Y3">
            <v>33</v>
          </cell>
          <cell r="Z3">
            <v>35</v>
          </cell>
          <cell r="AA3">
            <v>36</v>
          </cell>
          <cell r="AB3">
            <v>37</v>
          </cell>
          <cell r="AC3">
            <v>38</v>
          </cell>
          <cell r="AD3">
            <v>39</v>
          </cell>
          <cell r="AE3">
            <v>41</v>
          </cell>
          <cell r="AF3">
            <v>43</v>
          </cell>
          <cell r="AG3">
            <v>46</v>
          </cell>
          <cell r="AH3">
            <v>48</v>
          </cell>
          <cell r="AI3">
            <v>50</v>
          </cell>
          <cell r="AJ3">
            <v>51</v>
          </cell>
          <cell r="AK3">
            <v>53</v>
          </cell>
          <cell r="AL3">
            <v>55</v>
          </cell>
          <cell r="AM3">
            <v>57</v>
          </cell>
          <cell r="AN3">
            <v>60</v>
          </cell>
          <cell r="AO3">
            <v>62</v>
          </cell>
          <cell r="AP3">
            <v>65</v>
          </cell>
          <cell r="AQ3">
            <v>66</v>
          </cell>
          <cell r="AR3">
            <v>67</v>
          </cell>
          <cell r="AS3">
            <v>68</v>
          </cell>
        </row>
        <row r="4">
          <cell r="F4" t="str">
            <v>전선관</v>
          </cell>
          <cell r="J4" t="str">
            <v>노말 밴드</v>
          </cell>
          <cell r="L4" t="str">
            <v>전선 및 케이블</v>
          </cell>
          <cell r="S4" t="str">
            <v>Outlet Box</v>
          </cell>
          <cell r="W4" t="str">
            <v xml:space="preserve"> 콘  센  트 </v>
          </cell>
          <cell r="AD4" t="str">
            <v>텀블러SW</v>
          </cell>
          <cell r="AI4" t="str">
            <v xml:space="preserve">            전        등</v>
          </cell>
          <cell r="AN4" t="str">
            <v>Flex.</v>
          </cell>
          <cell r="AO4" t="str">
            <v>Flex.Con.</v>
          </cell>
          <cell r="AP4" t="str">
            <v>스피커</v>
          </cell>
          <cell r="AS4" t="str">
            <v>인터폰</v>
          </cell>
        </row>
        <row r="5">
          <cell r="F5" t="str">
            <v>HI-PVC  16C</v>
          </cell>
          <cell r="G5" t="str">
            <v>HI-PVC  22C</v>
          </cell>
          <cell r="H5" t="str">
            <v>HI-PVC  28C</v>
          </cell>
          <cell r="I5" t="str">
            <v>HI-PVC  36C</v>
          </cell>
          <cell r="J5" t="str">
            <v>HI-PVC  28C</v>
          </cell>
          <cell r="K5" t="str">
            <v>HI-PVC  36C</v>
          </cell>
          <cell r="L5" t="str">
            <v>IV   2.0</v>
          </cell>
          <cell r="M5" t="str">
            <v>IV   5.5sq</v>
          </cell>
          <cell r="N5" t="str">
            <v>GV   2.0sq</v>
          </cell>
          <cell r="O5" t="str">
            <v>CPEV 0.65/10P</v>
          </cell>
          <cell r="P5" t="str">
            <v>CPEV 0.65/20P</v>
          </cell>
          <cell r="Q5" t="str">
            <v>CVV2.0sq/3C</v>
          </cell>
          <cell r="R5" t="str">
            <v>HIV1.6</v>
          </cell>
          <cell r="S5" t="str">
            <v>4각 천정</v>
          </cell>
          <cell r="T5" t="str">
            <v>4각벽부</v>
          </cell>
          <cell r="U5" t="str">
            <v xml:space="preserve">  8 각</v>
          </cell>
          <cell r="V5" t="str">
            <v>SW</v>
          </cell>
          <cell r="W5" t="str">
            <v>1구용</v>
          </cell>
          <cell r="X5" t="str">
            <v>1구방수</v>
          </cell>
          <cell r="Y5" t="str">
            <v>2구용</v>
          </cell>
          <cell r="Z5" t="str">
            <v>에어컨용</v>
          </cell>
          <cell r="AA5" t="str">
            <v>FAN용</v>
          </cell>
          <cell r="AB5" t="str">
            <v>3P320A</v>
          </cell>
          <cell r="AC5" t="str">
            <v>전화용</v>
          </cell>
          <cell r="AD5" t="str">
            <v>1로  1구</v>
          </cell>
          <cell r="AE5" t="str">
            <v>1로  2구</v>
          </cell>
          <cell r="AF5" t="str">
            <v>1로  3구</v>
          </cell>
          <cell r="AG5" t="str">
            <v>IL-60W</v>
          </cell>
          <cell r="AH5" t="str">
            <v>비상등</v>
          </cell>
          <cell r="AI5" t="str">
            <v>FL 2/20매입</v>
          </cell>
          <cell r="AJ5" t="str">
            <v>FL 2/40매입</v>
          </cell>
          <cell r="AK5" t="str">
            <v>FL 2/40펜던트</v>
          </cell>
          <cell r="AL5" t="str">
            <v>MH 250W천정형</v>
          </cell>
          <cell r="AM5" t="str">
            <v>MH 175W벽부형</v>
          </cell>
          <cell r="AN5" t="str">
            <v>제1종 16C</v>
          </cell>
          <cell r="AO5" t="str">
            <v>제1종 16C</v>
          </cell>
          <cell r="AP5" t="str">
            <v>3W    천정형</v>
          </cell>
          <cell r="AQ5" t="str">
            <v>3W    벽부형</v>
          </cell>
          <cell r="AR5" t="str">
            <v>20W옥외칼럼형</v>
          </cell>
          <cell r="AS5" t="str">
            <v>상호식20회로</v>
          </cell>
        </row>
        <row r="6">
          <cell r="F6">
            <v>56</v>
          </cell>
          <cell r="S6">
            <v>2</v>
          </cell>
          <cell r="U6">
            <v>14</v>
          </cell>
          <cell r="V6">
            <v>2</v>
          </cell>
          <cell r="AD6">
            <v>1</v>
          </cell>
          <cell r="AF6">
            <v>1</v>
          </cell>
          <cell r="AG6">
            <v>2</v>
          </cell>
          <cell r="AK6">
            <v>14</v>
          </cell>
        </row>
        <row r="7">
          <cell r="G7">
            <v>18.5</v>
          </cell>
        </row>
        <row r="8">
          <cell r="L8">
            <v>226.2</v>
          </cell>
        </row>
        <row r="9">
          <cell r="F9">
            <v>43</v>
          </cell>
          <cell r="T9">
            <v>2</v>
          </cell>
          <cell r="Y9">
            <v>2</v>
          </cell>
        </row>
        <row r="10">
          <cell r="M10">
            <v>92.4</v>
          </cell>
          <cell r="N10">
            <v>46.2</v>
          </cell>
        </row>
        <row r="11">
          <cell r="F11">
            <v>25.6</v>
          </cell>
          <cell r="S11">
            <v>1</v>
          </cell>
          <cell r="U11">
            <v>7</v>
          </cell>
          <cell r="V11">
            <v>1</v>
          </cell>
          <cell r="AE11">
            <v>1</v>
          </cell>
          <cell r="AL11">
            <v>8</v>
          </cell>
        </row>
        <row r="12">
          <cell r="F12">
            <v>48.2</v>
          </cell>
        </row>
        <row r="13">
          <cell r="L13">
            <v>58.800000000000004</v>
          </cell>
        </row>
        <row r="14">
          <cell r="L14">
            <v>153.60000000000002</v>
          </cell>
        </row>
        <row r="15">
          <cell r="F15">
            <v>66</v>
          </cell>
          <cell r="U15">
            <v>14</v>
          </cell>
          <cell r="V15">
            <v>6</v>
          </cell>
          <cell r="AA15">
            <v>4</v>
          </cell>
          <cell r="AE15">
            <v>2</v>
          </cell>
          <cell r="AK15">
            <v>14</v>
          </cell>
        </row>
        <row r="16">
          <cell r="F16">
            <v>29</v>
          </cell>
        </row>
        <row r="17">
          <cell r="G17">
            <v>4.5</v>
          </cell>
        </row>
        <row r="18">
          <cell r="G18">
            <v>6</v>
          </cell>
        </row>
        <row r="19">
          <cell r="G19">
            <v>9</v>
          </cell>
        </row>
        <row r="20">
          <cell r="L20">
            <v>145.6</v>
          </cell>
        </row>
        <row r="21">
          <cell r="L21">
            <v>90.6</v>
          </cell>
        </row>
        <row r="22">
          <cell r="L22">
            <v>20.399999999999999</v>
          </cell>
        </row>
        <row r="23">
          <cell r="L23">
            <v>30.5</v>
          </cell>
        </row>
        <row r="24">
          <cell r="L24">
            <v>61.199999999999996</v>
          </cell>
        </row>
        <row r="25">
          <cell r="F25">
            <v>81.3</v>
          </cell>
          <cell r="T25">
            <v>4</v>
          </cell>
          <cell r="Y25">
            <v>4</v>
          </cell>
        </row>
        <row r="26">
          <cell r="M26">
            <v>171.4</v>
          </cell>
          <cell r="N26">
            <v>85.7</v>
          </cell>
        </row>
        <row r="27">
          <cell r="F27">
            <v>24.6</v>
          </cell>
          <cell r="S27">
            <v>2</v>
          </cell>
          <cell r="U27">
            <v>4</v>
          </cell>
          <cell r="V27">
            <v>7</v>
          </cell>
          <cell r="AA27">
            <v>3</v>
          </cell>
          <cell r="AD27">
            <v>1</v>
          </cell>
          <cell r="AE27">
            <v>3</v>
          </cell>
          <cell r="AI27">
            <v>2</v>
          </cell>
          <cell r="AJ27">
            <v>4</v>
          </cell>
          <cell r="AN27">
            <v>12</v>
          </cell>
          <cell r="AO27">
            <v>12</v>
          </cell>
        </row>
        <row r="28">
          <cell r="F28">
            <v>28.799999999999997</v>
          </cell>
        </row>
        <row r="29">
          <cell r="L29">
            <v>84.4</v>
          </cell>
        </row>
        <row r="30">
          <cell r="L30">
            <v>97.199999999999989</v>
          </cell>
        </row>
        <row r="31">
          <cell r="F31">
            <v>70.099999999999994</v>
          </cell>
          <cell r="S31">
            <v>2</v>
          </cell>
          <cell r="U31">
            <v>34</v>
          </cell>
          <cell r="V31">
            <v>2</v>
          </cell>
          <cell r="AF31">
            <v>2</v>
          </cell>
          <cell r="AJ31">
            <v>36</v>
          </cell>
          <cell r="AN31">
            <v>72</v>
          </cell>
          <cell r="AO31">
            <v>72</v>
          </cell>
        </row>
        <row r="32">
          <cell r="F32">
            <v>7.9</v>
          </cell>
        </row>
        <row r="33">
          <cell r="G33">
            <v>9.6999999999999993</v>
          </cell>
        </row>
        <row r="34">
          <cell r="L34">
            <v>325.39999999999998</v>
          </cell>
        </row>
        <row r="35">
          <cell r="L35">
            <v>30.900000000000002</v>
          </cell>
        </row>
        <row r="36">
          <cell r="L36">
            <v>46</v>
          </cell>
        </row>
        <row r="37">
          <cell r="F37">
            <v>150.6</v>
          </cell>
          <cell r="S37">
            <v>5</v>
          </cell>
          <cell r="T37">
            <v>4</v>
          </cell>
          <cell r="U37">
            <v>53</v>
          </cell>
          <cell r="V37">
            <v>3</v>
          </cell>
          <cell r="AD37">
            <v>1</v>
          </cell>
          <cell r="AF37">
            <v>2</v>
          </cell>
          <cell r="AH37">
            <v>4</v>
          </cell>
          <cell r="AJ37">
            <v>58</v>
          </cell>
          <cell r="AN37">
            <v>116</v>
          </cell>
          <cell r="AO37">
            <v>116</v>
          </cell>
        </row>
        <row r="38">
          <cell r="F38">
            <v>6</v>
          </cell>
        </row>
        <row r="39">
          <cell r="G39">
            <v>5.5</v>
          </cell>
        </row>
        <row r="40">
          <cell r="G40">
            <v>3</v>
          </cell>
        </row>
        <row r="41">
          <cell r="H41">
            <v>10.199999999999999</v>
          </cell>
          <cell r="J41">
            <v>1</v>
          </cell>
        </row>
        <row r="42">
          <cell r="L42">
            <v>602.79999999999995</v>
          </cell>
        </row>
        <row r="43">
          <cell r="L43">
            <v>21.6</v>
          </cell>
        </row>
        <row r="44">
          <cell r="L44">
            <v>26.8</v>
          </cell>
        </row>
        <row r="45">
          <cell r="L45">
            <v>18</v>
          </cell>
        </row>
        <row r="46">
          <cell r="L46">
            <v>96</v>
          </cell>
        </row>
        <row r="47">
          <cell r="F47">
            <v>62.5</v>
          </cell>
          <cell r="T47">
            <v>7</v>
          </cell>
          <cell r="Y47">
            <v>5</v>
          </cell>
          <cell r="Z47">
            <v>2</v>
          </cell>
        </row>
        <row r="48">
          <cell r="M48">
            <v>136.80000000000001</v>
          </cell>
          <cell r="N48">
            <v>68.400000000000006</v>
          </cell>
        </row>
        <row r="49">
          <cell r="F49">
            <v>77</v>
          </cell>
          <cell r="T49">
            <v>6</v>
          </cell>
          <cell r="Y49">
            <v>6</v>
          </cell>
        </row>
        <row r="50">
          <cell r="M50">
            <v>164.6</v>
          </cell>
          <cell r="N50">
            <v>82.3</v>
          </cell>
        </row>
        <row r="51">
          <cell r="F51">
            <v>22</v>
          </cell>
          <cell r="T51">
            <v>2</v>
          </cell>
          <cell r="W51">
            <v>2</v>
          </cell>
        </row>
        <row r="52">
          <cell r="M52">
            <v>49.8</v>
          </cell>
          <cell r="N52">
            <v>24.9</v>
          </cell>
        </row>
        <row r="53">
          <cell r="F53">
            <v>19</v>
          </cell>
          <cell r="T53">
            <v>3</v>
          </cell>
          <cell r="W53">
            <v>1</v>
          </cell>
          <cell r="X53">
            <v>2</v>
          </cell>
        </row>
        <row r="54">
          <cell r="M54">
            <v>45</v>
          </cell>
          <cell r="N54">
            <v>22.5</v>
          </cell>
        </row>
        <row r="55">
          <cell r="G55">
            <v>16.5</v>
          </cell>
          <cell r="T55">
            <v>1</v>
          </cell>
          <cell r="AB55">
            <v>1</v>
          </cell>
        </row>
        <row r="56">
          <cell r="M56">
            <v>56.400000000000006</v>
          </cell>
          <cell r="N56">
            <v>18.8</v>
          </cell>
        </row>
        <row r="57">
          <cell r="H57">
            <v>22</v>
          </cell>
        </row>
        <row r="58">
          <cell r="M58">
            <v>104</v>
          </cell>
          <cell r="N58">
            <v>26</v>
          </cell>
        </row>
        <row r="59">
          <cell r="F59">
            <v>5</v>
          </cell>
          <cell r="T59">
            <v>1</v>
          </cell>
          <cell r="AQ59">
            <v>1</v>
          </cell>
        </row>
        <row r="60">
          <cell r="R60">
            <v>16.799999999999997</v>
          </cell>
        </row>
        <row r="61">
          <cell r="F61">
            <v>34.4</v>
          </cell>
          <cell r="T61">
            <v>2</v>
          </cell>
          <cell r="AQ61">
            <v>2</v>
          </cell>
        </row>
        <row r="62">
          <cell r="R62">
            <v>106.80000000000001</v>
          </cell>
        </row>
        <row r="63">
          <cell r="F63">
            <v>52</v>
          </cell>
          <cell r="T63">
            <v>1</v>
          </cell>
          <cell r="U63">
            <v>5</v>
          </cell>
          <cell r="AP63">
            <v>5</v>
          </cell>
          <cell r="AQ63">
            <v>1</v>
          </cell>
        </row>
        <row r="64">
          <cell r="R64">
            <v>171.89999999999998</v>
          </cell>
        </row>
        <row r="65">
          <cell r="F65">
            <v>24.5</v>
          </cell>
        </row>
        <row r="66">
          <cell r="Q66">
            <v>26.5</v>
          </cell>
        </row>
        <row r="67">
          <cell r="G67">
            <v>24.5</v>
          </cell>
        </row>
        <row r="68">
          <cell r="Q68">
            <v>26.5</v>
          </cell>
        </row>
        <row r="69">
          <cell r="O69">
            <v>26.5</v>
          </cell>
        </row>
        <row r="71">
          <cell r="G71">
            <v>31.5</v>
          </cell>
          <cell r="T71">
            <v>2</v>
          </cell>
          <cell r="V71">
            <v>1</v>
          </cell>
          <cell r="AC71">
            <v>3</v>
          </cell>
        </row>
        <row r="72">
          <cell r="O72">
            <v>32.700000000000003</v>
          </cell>
        </row>
        <row r="73">
          <cell r="G73">
            <v>9.5</v>
          </cell>
        </row>
        <row r="74">
          <cell r="O74">
            <v>11.5</v>
          </cell>
        </row>
        <row r="76">
          <cell r="G76">
            <v>31.5</v>
          </cell>
          <cell r="T76">
            <v>2</v>
          </cell>
          <cell r="V76">
            <v>1</v>
          </cell>
          <cell r="AS76">
            <v>1</v>
          </cell>
        </row>
        <row r="77">
          <cell r="P77">
            <v>32.700000000000003</v>
          </cell>
        </row>
        <row r="78">
          <cell r="I78">
            <v>9.5</v>
          </cell>
          <cell r="K78">
            <v>3</v>
          </cell>
        </row>
        <row r="79">
          <cell r="P79">
            <v>23</v>
          </cell>
        </row>
        <row r="80">
          <cell r="F80">
            <v>389</v>
          </cell>
          <cell r="G80">
            <v>70</v>
          </cell>
          <cell r="H80">
            <v>0</v>
          </cell>
          <cell r="I80">
            <v>0</v>
          </cell>
          <cell r="J80">
            <v>0</v>
          </cell>
          <cell r="K80">
            <v>0</v>
          </cell>
          <cell r="L80">
            <v>787</v>
          </cell>
          <cell r="M80">
            <v>264</v>
          </cell>
          <cell r="N80">
            <v>132</v>
          </cell>
          <cell r="O80">
            <v>0</v>
          </cell>
          <cell r="P80">
            <v>33</v>
          </cell>
          <cell r="Q80">
            <v>0</v>
          </cell>
          <cell r="R80">
            <v>124</v>
          </cell>
          <cell r="S80">
            <v>3</v>
          </cell>
          <cell r="T80">
            <v>11</v>
          </cell>
          <cell r="U80">
            <v>35</v>
          </cell>
          <cell r="V80">
            <v>10</v>
          </cell>
          <cell r="W80">
            <v>0</v>
          </cell>
          <cell r="X80">
            <v>0</v>
          </cell>
          <cell r="Y80">
            <v>6</v>
          </cell>
          <cell r="Z80">
            <v>0</v>
          </cell>
          <cell r="AA80">
            <v>4</v>
          </cell>
          <cell r="AB80">
            <v>0</v>
          </cell>
          <cell r="AC80">
            <v>0</v>
          </cell>
          <cell r="AD80">
            <v>1</v>
          </cell>
          <cell r="AE80">
            <v>3</v>
          </cell>
          <cell r="AF80">
            <v>1</v>
          </cell>
          <cell r="AG80">
            <v>2</v>
          </cell>
          <cell r="AH80">
            <v>0</v>
          </cell>
          <cell r="AI80">
            <v>0</v>
          </cell>
          <cell r="AJ80">
            <v>0</v>
          </cell>
          <cell r="AK80">
            <v>28</v>
          </cell>
          <cell r="AL80">
            <v>8</v>
          </cell>
          <cell r="AM80">
            <v>0</v>
          </cell>
          <cell r="AN80">
            <v>0</v>
          </cell>
          <cell r="AO80">
            <v>0</v>
          </cell>
          <cell r="AP80">
            <v>0</v>
          </cell>
          <cell r="AQ80">
            <v>3</v>
          </cell>
          <cell r="AR80">
            <v>0</v>
          </cell>
          <cell r="AS8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
      <sheetName val="을"/>
      <sheetName val="을 (2)"/>
      <sheetName val="을 (3)"/>
      <sheetName val="을 (4)"/>
      <sheetName val="을 (5)"/>
      <sheetName val="칸막"/>
      <sheetName val="신규"/>
      <sheetName val="공조"/>
      <sheetName val="시험"/>
      <sheetName val="CAT"/>
      <sheetName val="바닥"/>
      <sheetName val="유압실"/>
      <sheetName val="갑 (10)"/>
      <sheetName val="여과지동"/>
      <sheetName val="기초자료"/>
      <sheetName val="금리계산"/>
      <sheetName val="원가계산서"/>
      <sheetName val="도시5-5"/>
      <sheetName val="용접자료"/>
      <sheetName val="자재단가"/>
      <sheetName val="설계명세서"/>
      <sheetName val="품셈표"/>
      <sheetName val=" 갑지"/>
      <sheetName val="공량산출서"/>
      <sheetName val="상부반력계산(활하중-DB)"/>
      <sheetName val="집계표"/>
      <sheetName val="맨홀수량산출"/>
      <sheetName val="원가data"/>
      <sheetName val="sheet1"/>
      <sheetName val="일위대가"/>
      <sheetName val="1,2공구원가계산서"/>
      <sheetName val="2공구산출내역"/>
      <sheetName val="1공구산출내역서"/>
      <sheetName val="토목검측서"/>
      <sheetName val="실행(1)"/>
      <sheetName val="실행철강하도"/>
      <sheetName val="내역서-설비"/>
      <sheetName val="목차"/>
      <sheetName val="기시공토적"/>
      <sheetName val="Sheet5"/>
      <sheetName val="투찰내역"/>
      <sheetName val="내역서 "/>
      <sheetName val="원하대비"/>
      <sheetName val="원도급"/>
      <sheetName val="하도급"/>
      <sheetName val="기성내역서"/>
      <sheetName val="토공정보"/>
      <sheetName val="시행예산"/>
      <sheetName val="단중표"/>
      <sheetName val="DATE"/>
      <sheetName val="공정집계_국별"/>
      <sheetName val="도급양식"/>
      <sheetName val="화재 탐지 설비"/>
      <sheetName val="이형관중량"/>
      <sheetName val="일위대가(목록)"/>
      <sheetName val="산근(목록)"/>
      <sheetName val="재료비"/>
      <sheetName val="경비"/>
      <sheetName val="토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L"/>
      <sheetName val="CCL"/>
      <sheetName val="RCL"/>
      <sheetName val="SHL"/>
      <sheetName val="을"/>
      <sheetName val="산출내역서"/>
      <sheetName val="맨홀수량산출"/>
      <sheetName val="토공정보"/>
    </sheetNames>
    <sheetDataSet>
      <sheetData sheetId="0" refreshError="1"/>
      <sheetData sheetId="1" refreshError="1"/>
      <sheetData sheetId="2" refreshError="1"/>
      <sheetData sheetId="3" refreshError="1">
        <row r="62">
          <cell r="D62">
            <v>1</v>
          </cell>
          <cell r="E62" t="str">
            <v>일반기기설치</v>
          </cell>
        </row>
        <row r="63">
          <cell r="E63" t="str">
            <v>COIL SKID</v>
          </cell>
          <cell r="F63">
            <v>2</v>
          </cell>
          <cell r="G63">
            <v>4</v>
          </cell>
          <cell r="H63" t="str">
            <v>TON</v>
          </cell>
          <cell r="I63">
            <v>618401</v>
          </cell>
          <cell r="J63">
            <v>4947208</v>
          </cell>
          <cell r="N63">
            <v>4947208</v>
          </cell>
          <cell r="O63">
            <v>1</v>
          </cell>
        </row>
        <row r="64">
          <cell r="E64" t="str">
            <v>UNCOILER WITH CPC</v>
          </cell>
          <cell r="F64">
            <v>2</v>
          </cell>
          <cell r="G64">
            <v>29</v>
          </cell>
          <cell r="H64" t="str">
            <v>TON</v>
          </cell>
          <cell r="I64">
            <v>618401</v>
          </cell>
          <cell r="J64">
            <v>35867258</v>
          </cell>
          <cell r="N64">
            <v>35867258</v>
          </cell>
          <cell r="O64">
            <v>3</v>
          </cell>
        </row>
        <row r="65">
          <cell r="E65" t="str">
            <v>DRUM SUPPORT</v>
          </cell>
          <cell r="F65">
            <v>2</v>
          </cell>
          <cell r="G65">
            <v>2.4</v>
          </cell>
          <cell r="H65" t="str">
            <v>TON</v>
          </cell>
          <cell r="I65">
            <v>618401</v>
          </cell>
          <cell r="J65">
            <v>2968324</v>
          </cell>
          <cell r="N65">
            <v>2968324</v>
          </cell>
          <cell r="O65">
            <v>5</v>
          </cell>
        </row>
        <row r="66">
          <cell r="E66" t="str">
            <v>COIL OPENER</v>
          </cell>
          <cell r="F66">
            <v>2</v>
          </cell>
          <cell r="G66">
            <v>2.4</v>
          </cell>
          <cell r="H66" t="str">
            <v>TON</v>
          </cell>
          <cell r="I66">
            <v>618401</v>
          </cell>
          <cell r="J66">
            <v>2968324</v>
          </cell>
          <cell r="N66">
            <v>2968324</v>
          </cell>
          <cell r="O66">
            <v>6</v>
          </cell>
        </row>
        <row r="67">
          <cell r="E67" t="str">
            <v>SIDE GUIDE</v>
          </cell>
          <cell r="F67">
            <v>2</v>
          </cell>
          <cell r="G67">
            <v>5</v>
          </cell>
          <cell r="H67" t="str">
            <v>TON</v>
          </cell>
          <cell r="I67">
            <v>618401</v>
          </cell>
          <cell r="J67">
            <v>6184010</v>
          </cell>
          <cell r="N67">
            <v>6184010</v>
          </cell>
          <cell r="O67">
            <v>10</v>
          </cell>
        </row>
        <row r="68">
          <cell r="E68" t="str">
            <v>SIDE TRIMMER</v>
          </cell>
          <cell r="F68">
            <v>2</v>
          </cell>
          <cell r="G68">
            <v>24</v>
          </cell>
          <cell r="H68" t="str">
            <v>TON</v>
          </cell>
          <cell r="I68">
            <v>618401</v>
          </cell>
          <cell r="J68">
            <v>29683248</v>
          </cell>
          <cell r="N68">
            <v>29683248</v>
          </cell>
          <cell r="O68">
            <v>12</v>
          </cell>
        </row>
        <row r="69">
          <cell r="E69" t="str">
            <v>SCRAP BALLER</v>
          </cell>
          <cell r="F69">
            <v>2</v>
          </cell>
          <cell r="G69">
            <v>5</v>
          </cell>
          <cell r="H69" t="str">
            <v>TON</v>
          </cell>
          <cell r="I69">
            <v>618401</v>
          </cell>
          <cell r="J69">
            <v>6184010</v>
          </cell>
          <cell r="N69">
            <v>6184010</v>
          </cell>
          <cell r="O69">
            <v>13</v>
          </cell>
        </row>
        <row r="70">
          <cell r="E70" t="str">
            <v>NO.1 LOOP TABLE WITH SIDE GUIDE</v>
          </cell>
          <cell r="F70">
            <v>2</v>
          </cell>
          <cell r="G70">
            <v>7</v>
          </cell>
          <cell r="H70" t="str">
            <v>TON</v>
          </cell>
          <cell r="I70">
            <v>618401</v>
          </cell>
          <cell r="J70">
            <v>8657614</v>
          </cell>
          <cell r="N70">
            <v>8657614</v>
          </cell>
          <cell r="O70">
            <v>15</v>
          </cell>
        </row>
        <row r="71">
          <cell r="E71" t="str">
            <v>6 - HIGH LEVELLER</v>
          </cell>
          <cell r="F71">
            <v>2</v>
          </cell>
          <cell r="G71">
            <v>36</v>
          </cell>
          <cell r="H71" t="str">
            <v>TON</v>
          </cell>
          <cell r="I71">
            <v>618401</v>
          </cell>
          <cell r="J71">
            <v>44524872</v>
          </cell>
          <cell r="N71">
            <v>44524872</v>
          </cell>
          <cell r="O71">
            <v>16</v>
          </cell>
        </row>
        <row r="72">
          <cell r="E72" t="str">
            <v>MEASURE UNITS</v>
          </cell>
          <cell r="F72">
            <v>2</v>
          </cell>
          <cell r="G72">
            <v>6</v>
          </cell>
          <cell r="H72" t="str">
            <v>TON</v>
          </cell>
          <cell r="I72">
            <v>618401</v>
          </cell>
          <cell r="J72">
            <v>7420812</v>
          </cell>
          <cell r="N72">
            <v>7420812</v>
          </cell>
          <cell r="O72">
            <v>17</v>
          </cell>
        </row>
        <row r="73">
          <cell r="E73" t="str">
            <v>NO.1 RUN OUT CONVEYOR</v>
          </cell>
          <cell r="F73">
            <v>2</v>
          </cell>
          <cell r="G73">
            <v>8</v>
          </cell>
          <cell r="H73" t="str">
            <v>TON</v>
          </cell>
          <cell r="I73">
            <v>618401</v>
          </cell>
          <cell r="J73">
            <v>9894416</v>
          </cell>
          <cell r="N73">
            <v>9894416</v>
          </cell>
          <cell r="O73">
            <v>19</v>
          </cell>
        </row>
        <row r="74">
          <cell r="E74" t="str">
            <v>OILER</v>
          </cell>
          <cell r="F74">
            <v>2</v>
          </cell>
          <cell r="G74">
            <v>20</v>
          </cell>
          <cell r="H74" t="str">
            <v>TON</v>
          </cell>
          <cell r="I74">
            <v>618401</v>
          </cell>
          <cell r="J74">
            <v>24736040</v>
          </cell>
          <cell r="N74">
            <v>24736040</v>
          </cell>
          <cell r="O74">
            <v>20</v>
          </cell>
        </row>
        <row r="75">
          <cell r="E75" t="str">
            <v>INSPECTION CONVEYOR</v>
          </cell>
          <cell r="F75">
            <v>2</v>
          </cell>
          <cell r="G75">
            <v>4.5</v>
          </cell>
          <cell r="H75" t="str">
            <v>TON</v>
          </cell>
          <cell r="I75">
            <v>618401</v>
          </cell>
          <cell r="J75">
            <v>5565609</v>
          </cell>
          <cell r="N75">
            <v>5565609</v>
          </cell>
          <cell r="O75">
            <v>21</v>
          </cell>
        </row>
        <row r="76">
          <cell r="E76" t="str">
            <v>NO.1 TILTING CONVEYOR</v>
          </cell>
          <cell r="F76">
            <v>2</v>
          </cell>
          <cell r="G76">
            <v>3</v>
          </cell>
          <cell r="H76" t="str">
            <v>TON</v>
          </cell>
          <cell r="I76">
            <v>618401</v>
          </cell>
          <cell r="J76">
            <v>3710406</v>
          </cell>
          <cell r="N76">
            <v>3710406</v>
          </cell>
          <cell r="O76">
            <v>22</v>
          </cell>
        </row>
        <row r="77">
          <cell r="E77" t="str">
            <v>NO.1 OVER PASS CONVEYOR</v>
          </cell>
          <cell r="F77">
            <v>2</v>
          </cell>
          <cell r="G77">
            <v>5</v>
          </cell>
          <cell r="H77" t="str">
            <v>TON</v>
          </cell>
          <cell r="I77">
            <v>618401</v>
          </cell>
          <cell r="J77">
            <v>6184010</v>
          </cell>
          <cell r="N77">
            <v>6184010</v>
          </cell>
          <cell r="O77">
            <v>23</v>
          </cell>
        </row>
        <row r="78">
          <cell r="E78" t="str">
            <v>NO.2 TILTING CONVEYOR</v>
          </cell>
          <cell r="F78">
            <v>2</v>
          </cell>
          <cell r="G78">
            <v>3</v>
          </cell>
          <cell r="H78" t="str">
            <v>TON</v>
          </cell>
          <cell r="I78">
            <v>618401</v>
          </cell>
          <cell r="J78">
            <v>3710406</v>
          </cell>
          <cell r="N78">
            <v>3710406</v>
          </cell>
          <cell r="O78">
            <v>24</v>
          </cell>
        </row>
        <row r="79">
          <cell r="E79" t="str">
            <v>NO.2 OVER PASS CONVEYOR</v>
          </cell>
          <cell r="F79">
            <v>2</v>
          </cell>
          <cell r="G79">
            <v>5</v>
          </cell>
          <cell r="H79" t="str">
            <v>TON</v>
          </cell>
          <cell r="I79">
            <v>618401</v>
          </cell>
          <cell r="J79">
            <v>6184010</v>
          </cell>
          <cell r="N79">
            <v>6184010</v>
          </cell>
          <cell r="O79">
            <v>25</v>
          </cell>
        </row>
        <row r="80">
          <cell r="E80" t="str">
            <v>REJECT PILER</v>
          </cell>
          <cell r="F80">
            <v>2</v>
          </cell>
          <cell r="G80">
            <v>25</v>
          </cell>
          <cell r="H80" t="str">
            <v>TON</v>
          </cell>
          <cell r="I80">
            <v>618401</v>
          </cell>
          <cell r="J80">
            <v>30920050</v>
          </cell>
          <cell r="N80">
            <v>30920050</v>
          </cell>
          <cell r="O80">
            <v>26</v>
          </cell>
        </row>
        <row r="81">
          <cell r="E81" t="str">
            <v>NO.1 PILER W/ TABLE LIFT &amp; ROLL CONVEYOR</v>
          </cell>
          <cell r="F81">
            <v>2</v>
          </cell>
          <cell r="G81">
            <v>26</v>
          </cell>
          <cell r="H81" t="str">
            <v>TON</v>
          </cell>
          <cell r="I81">
            <v>618401</v>
          </cell>
          <cell r="J81">
            <v>32156852</v>
          </cell>
          <cell r="N81">
            <v>32156852</v>
          </cell>
          <cell r="O81">
            <v>27</v>
          </cell>
        </row>
        <row r="82">
          <cell r="E82" t="str">
            <v>NO.2 PILER W/ TABLE LIFT &amp; ROLL CONVEYOR</v>
          </cell>
          <cell r="F82">
            <v>2</v>
          </cell>
          <cell r="G82">
            <v>27</v>
          </cell>
          <cell r="H82" t="str">
            <v>TON</v>
          </cell>
          <cell r="I82">
            <v>618401</v>
          </cell>
          <cell r="J82">
            <v>33393654</v>
          </cell>
          <cell r="N82">
            <v>33393654</v>
          </cell>
          <cell r="O82">
            <v>28</v>
          </cell>
        </row>
        <row r="83">
          <cell r="I83">
            <v>0</v>
          </cell>
          <cell r="N83">
            <v>0</v>
          </cell>
        </row>
        <row r="84">
          <cell r="E84" t="str">
            <v>내   계</v>
          </cell>
          <cell r="G84">
            <v>494.6</v>
          </cell>
          <cell r="H84" t="str">
            <v>TON</v>
          </cell>
          <cell r="I84">
            <v>0</v>
          </cell>
          <cell r="J84">
            <v>305861133</v>
          </cell>
          <cell r="N84">
            <v>305861133</v>
          </cell>
        </row>
        <row r="85">
          <cell r="I85">
            <v>0</v>
          </cell>
          <cell r="N85">
            <v>0</v>
          </cell>
        </row>
      </sheetData>
      <sheetData sheetId="4" refreshError="1"/>
      <sheetData sheetId="5" refreshError="1"/>
      <sheetData sheetId="6" refreshError="1"/>
      <sheetData sheetId="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1)"/>
      <sheetName val="SHL"/>
      <sheetName val="자동제어"/>
      <sheetName val="양식_자재단가조사표"/>
      <sheetName val="퍼스트"/>
      <sheetName val="실행_1_"/>
      <sheetName val="수량산출서"/>
      <sheetName val="단가비교"/>
      <sheetName val="A1.스케쥴"/>
      <sheetName val="PIPE"/>
      <sheetName val="FLANGE"/>
      <sheetName val="VALVE"/>
      <sheetName val="일위목록"/>
      <sheetName val="여과지동"/>
      <sheetName val="기초자료"/>
      <sheetName val="TDI ISBL"/>
      <sheetName val="내역(한신APT)"/>
      <sheetName val="토공정보"/>
      <sheetName val="SG"/>
      <sheetName val="98지급계획"/>
      <sheetName val="일일출력"/>
      <sheetName val="구분"/>
      <sheetName val="투입내역"/>
      <sheetName val="직종별"/>
      <sheetName val="약품공급2"/>
      <sheetName val="주민번호"/>
      <sheetName val="본사"/>
      <sheetName val="현장설명"/>
      <sheetName val="WING3"/>
      <sheetName val="내역작성용 가금액"/>
      <sheetName val="제경비"/>
      <sheetName val="총괄표"/>
      <sheetName val="5.배관공사수량집계"/>
      <sheetName val="을"/>
      <sheetName val="수량산출서 (2)"/>
      <sheetName val="하두원"/>
      <sheetName val="자료"/>
      <sheetName val="플랜트 설치"/>
      <sheetName val="2"/>
      <sheetName val="두앙"/>
      <sheetName val="내역(원안-대안)"/>
      <sheetName val="2.1  노무비 평균단가산출"/>
      <sheetName val="원가계산서구조조정"/>
      <sheetName val="LP산출"/>
      <sheetName val="교통대책내역"/>
      <sheetName val="지질조사"/>
      <sheetName val="자재일람"/>
      <sheetName val="Salary(해외)"/>
      <sheetName val="I一般比"/>
      <sheetName val="sheeet2"/>
      <sheetName val="산#8 (2)"/>
      <sheetName val="기성목차(본사)"/>
      <sheetName val=""/>
      <sheetName val="기본단가"/>
      <sheetName val="견적"/>
      <sheetName val="공종단가"/>
      <sheetName val="원가계산서"/>
      <sheetName val="현장경비"/>
      <sheetName val="학생내역"/>
      <sheetName val="일위대가"/>
      <sheetName val="품셈적용"/>
      <sheetName val="PIPE(UG)내역"/>
      <sheetName val="산#8"/>
      <sheetName val="JIG"/>
      <sheetName val="Sheet6"/>
      <sheetName val="TIE-IN"/>
      <sheetName val="노임"/>
      <sheetName val="6호기"/>
      <sheetName val="연돌일위집계"/>
      <sheetName val="부표총괄"/>
      <sheetName val="노임단가"/>
      <sheetName val="#REF"/>
      <sheetName val="자재단가"/>
      <sheetName val="인건비단가"/>
      <sheetName val="내역서"/>
      <sheetName val="장비종합부표"/>
      <sheetName val="집계표_식재"/>
      <sheetName val="부표"/>
      <sheetName val="자재단가조사표-수목"/>
      <sheetName val="건축"/>
      <sheetName val="별총"/>
      <sheetName val="#2_일위대가목록"/>
      <sheetName val="6. 안전관리비"/>
      <sheetName val="5. 현장관리비(new) "/>
      <sheetName val="개요"/>
      <sheetName val="명세서"/>
      <sheetName val="견적서"/>
      <sheetName val="날개벽수량표"/>
      <sheetName val="SOS_PLC &amp; Panel"/>
      <sheetName val="공사"/>
      <sheetName val="Sheet1"/>
      <sheetName val="M-EQPT-Z"/>
      <sheetName val="테이블"/>
      <sheetName val="cal"/>
      <sheetName val="_2_일위대가목록"/>
      <sheetName val="설계"/>
      <sheetName val="터파기및재료"/>
      <sheetName val="옥외배관기본공량"/>
      <sheetName val="내역(가지)"/>
      <sheetName val="토목내역"/>
      <sheetName val="C1.공사개요"/>
      <sheetName val="갑지"/>
      <sheetName val="XXXXXX"/>
      <sheetName val="시운전연료"/>
      <sheetName val="조건"/>
      <sheetName val="2공구내역"/>
      <sheetName val="개산견적비교"/>
      <sheetName val="실행철강하도"/>
      <sheetName val="기초자료입력"/>
      <sheetName val="자재테이블"/>
      <sheetName val="집계표"/>
      <sheetName val="입찰안"/>
      <sheetName val="BID"/>
      <sheetName val="품셈총괄표"/>
      <sheetName val="SLAB"/>
      <sheetName val="건축공사"/>
      <sheetName val="내역서-설비"/>
      <sheetName val="목차"/>
      <sheetName val="File_관급"/>
      <sheetName val="할증 "/>
      <sheetName val="기성내역서"/>
      <sheetName val="DANGA"/>
      <sheetName val="현금예금"/>
      <sheetName val="산근"/>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총괄표2"/>
      <sheetName val="총괄표2 (2)"/>
      <sheetName val="하수처리장"/>
      <sheetName val="차집관로"/>
      <sheetName val="전체공사"/>
      <sheetName val="총괄"/>
      <sheetName val="총괄(토목)"/>
      <sheetName val="총괄(건축)"/>
      <sheetName val="총괄(기계)"/>
      <sheetName val="설계예산서"/>
      <sheetName val="예산M11A"/>
      <sheetName val="200"/>
      <sheetName val="내역"/>
      <sheetName val="노임정리_직영"/>
      <sheetName val="당초"/>
      <sheetName val="본사업"/>
      <sheetName val="단중표"/>
      <sheetName val="재료"/>
      <sheetName val="보온자재단가표"/>
      <sheetName val="실행(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별표 "/>
      <sheetName val="하수처리장"/>
      <sheetName val="품셈TABLE"/>
      <sheetName val="하중계산"/>
      <sheetName val="설계예산서"/>
      <sheetName val="총괄-1"/>
      <sheetName val="필렛용접표"/>
      <sheetName val="품조정율(97-99)"/>
      <sheetName val="품셈목록"/>
      <sheetName val="내역서"/>
      <sheetName val="보강판"/>
      <sheetName val="경비_원본"/>
      <sheetName val="노임단가"/>
      <sheetName val="인사자료총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row>
        <row r="10">
          <cell r="O10">
            <v>4</v>
          </cell>
          <cell r="P10" t="str">
            <v>│</v>
          </cell>
          <cell r="Q10" t="str">
            <v>사리도</v>
          </cell>
          <cell r="R10" t="str">
            <v>│</v>
          </cell>
          <cell r="T10" t="str">
            <v>│</v>
          </cell>
          <cell r="V10" t="str">
            <v>│</v>
          </cell>
          <cell r="W10">
            <v>0</v>
          </cell>
          <cell r="X10" t="str">
            <v>│</v>
          </cell>
          <cell r="Z10" t="str">
            <v>│</v>
          </cell>
          <cell r="AB10" t="str">
            <v>│</v>
          </cell>
        </row>
        <row r="11">
          <cell r="O11">
            <v>5</v>
          </cell>
          <cell r="P11" t="str">
            <v>│</v>
          </cell>
          <cell r="Q11" t="str">
            <v>잔디</v>
          </cell>
          <cell r="R11" t="str">
            <v>│</v>
          </cell>
          <cell r="T11" t="str">
            <v>│</v>
          </cell>
          <cell r="V11" t="str">
            <v>│</v>
          </cell>
          <cell r="W11">
            <v>0</v>
          </cell>
          <cell r="X11" t="str">
            <v>│</v>
          </cell>
          <cell r="Z11" t="str">
            <v>│</v>
          </cell>
          <cell r="AB11" t="str">
            <v>│</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row>
        <row r="16">
          <cell r="O16">
            <v>10</v>
          </cell>
          <cell r="P16" t="str">
            <v>│</v>
          </cell>
          <cell r="Q16" t="str">
            <v>콘크리트</v>
          </cell>
          <cell r="R16" t="str">
            <v>│</v>
          </cell>
          <cell r="T16" t="str">
            <v>│</v>
          </cell>
          <cell r="V16" t="str">
            <v>│</v>
          </cell>
          <cell r="W16">
            <v>0.2</v>
          </cell>
          <cell r="X16" t="str">
            <v>│</v>
          </cell>
          <cell r="Z16" t="str">
            <v>│</v>
          </cell>
          <cell r="AB16" t="str">
            <v>│</v>
          </cell>
          <cell r="AC16">
            <v>0</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C"/>
      <sheetName val="피벗"/>
      <sheetName val="OHC실행승인갑지"/>
      <sheetName val="집계표"/>
      <sheetName val="실행(1)"/>
      <sheetName val="토공정보"/>
      <sheetName val="기성내역서"/>
      <sheetName val="기계경비"/>
      <sheetName val="하조서"/>
      <sheetName val="대치판정"/>
      <sheetName val="기시공토적"/>
      <sheetName val="단위수량"/>
      <sheetName val="내역서"/>
      <sheetName val="N賃率-職"/>
      <sheetName val="단가산출서(기계)"/>
      <sheetName val="5.배관공사수량집계"/>
      <sheetName val="Sheet6"/>
      <sheetName val="설계예산서"/>
      <sheetName val="인사자료총집계"/>
      <sheetName val="실행철강하도"/>
      <sheetName val="BREAKDOWN(철거설치)"/>
      <sheetName val="공통비"/>
      <sheetName val="VENDOR LIST"/>
      <sheetName val="연습"/>
      <sheetName val="원총괄(대성)"/>
      <sheetName val="토목주소"/>
      <sheetName val="프랜트면허"/>
      <sheetName val="하수처리장"/>
      <sheetName val="노임단가"/>
      <sheetName val="필렛용접표"/>
      <sheetName val="목차"/>
      <sheetName val="기성(총괄)"/>
      <sheetName val="총괄표(인입배관)"/>
      <sheetName val="을"/>
      <sheetName val="예산M11A"/>
      <sheetName val="bid"/>
      <sheetName val="입찰안"/>
      <sheetName val="SAN"/>
      <sheetName val="총괄표"/>
      <sheetName val="직접비내역서"/>
      <sheetName val="참조자료"/>
      <sheetName val="노임"/>
      <sheetName val="보활"/>
      <sheetName val="견적서갑지연속"/>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persons/person.xml><?xml version="1.0" encoding="utf-8"?>
<personList xmlns="http://schemas.microsoft.com/office/spreadsheetml/2018/threadedcomments" xmlns:x="http://schemas.openxmlformats.org/spreadsheetml/2006/main">
  <person displayName="승리 백" id="{23A02A31-0B44-426D-9F54-76F739F45D03}" userId="e69f068ac5601a2d"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61" dT="2026-02-02T08:30:03.92" personId="{23A02A31-0B44-426D-9F54-76F739F45D03}" id="{D4D936F6-60FE-44D8-99AE-4496E3B5C4A9}">
    <text xml:space="preserve">고용보험공제 후 입금액:184,807,500원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AA&#51648;&#50669;&#48324;%20&#44204;&#51201;&#54788;&#54889;\2021&#45380;\&#44221;&#44592;&#45224;&#49436;&#48512;\&#44608;&#54252;(1800x450,%20&#51452;&#52384;800x450)-&#49436;&#48512;&#48156;&#51204;&#49548;,%20&#50640;&#49828;&#50752;&#51060;&#51060;&#50532;&#50472;" TargetMode="External"/><Relationship Id="rId67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69" Type="http://schemas.openxmlformats.org/officeDocument/2006/relationships/comments" Target="../comments1.xml"/><Relationship Id="rId21" Type="http://schemas.openxmlformats.org/officeDocument/2006/relationships/hyperlink" Target="../AA&#51648;&#50669;&#48324;%20&#44204;&#51201;&#54788;&#54889;/2021&#45380;/&#51648;&#50669;&#45212;&#48169;/GS&#54028;&#50892;/2021&#45380;%20&#47924;&#52264;&#45800;&#44277;&#49324;%20&#51077;&#52272;" TargetMode="External"/><Relationship Id="rId324" Type="http://schemas.openxmlformats.org/officeDocument/2006/relationships/hyperlink" Target="..\AA&#51648;&#50669;&#48324;%20&#44204;&#51201;&#54788;&#54889;\2023&#45380;\&#44221;&#49345;&#48513;&#46020;\&#44221;&#49328;(&#44053;&#44288;%201500&#22806;%20&#52264;&#45800;,%20&#52380;&#44277;%20&#54252;&#54632;)%20&#44221;&#49328;&#51221;&#49688;&#51109;,%20&#44221;&#49328;&#49884;,%20&#54635;&#46972;&#51064;" TargetMode="External"/><Relationship Id="rId531" Type="http://schemas.openxmlformats.org/officeDocument/2006/relationships/hyperlink" Target="..\AA&#51648;&#50669;&#48324;%20&#44204;&#51201;&#54788;&#54889;\2023&#45380;\&#51648;&#50669;&#45212;&#48169;\GS&#54028;&#50892;\2023&#45380;%20&#48512;&#52380;&#51648;&#50669;%20&#49888;&#44508;&#44256;&#44061;" TargetMode="External"/><Relationship Id="rId629" Type="http://schemas.openxmlformats.org/officeDocument/2006/relationships/hyperlink" Target="..\AA&#51648;&#50669;&#48324;%20&#44204;&#51201;&#54788;&#54889;\2024&#45380;\&#51204;&#46972;&#45224;&#46020;\&#44305;&#50577;1&#45800;&#44228;(&#44305;&#50577;&#44396;&#44036;%202000,%201650%20&#52264;&#45800;%20&#22806;)-&#49688;&#44277;,%20&#50752;&#53581;" TargetMode="External"/><Relationship Id="rId17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68" Type="http://schemas.openxmlformats.org/officeDocument/2006/relationships/hyperlink" Target="../AA&#51648;&#50669;&#48324;%20&#44204;&#51201;&#54788;&#54889;/2022&#45380;/&#44221;&#44592;&#45224;&#49436;&#48512;/&#50504;&#50577;(1200A,%20&#44053;&#44288;)-&#50504;&#50577;&#49884;,&#50928;&#49884;&#54000;" TargetMode="External"/><Relationship Id="rId475" Type="http://schemas.openxmlformats.org/officeDocument/2006/relationships/hyperlink" Target="..\AA&#51648;&#50669;&#48324;%20&#44204;&#51201;&#54788;&#54889;\2023&#45380;\&#44221;&#44592;&#45224;&#46041;&#48512;\&#44305;&#51452;-&#50857;&#51064;%20&#44277;&#46041;&#52712;&#49688;&#51109;(1650x500,%201800x1500)" TargetMode="External"/><Relationship Id="rId682" Type="http://schemas.openxmlformats.org/officeDocument/2006/relationships/hyperlink" Target="..\AA&#51648;&#50669;&#48324;%20&#44204;&#51201;&#54788;&#54889;\2025&#45380;\&#51648;&#50669;&#45212;&#48169;\&#45824;&#47452;&#48156;&#51204;\&#48324;&#45236;&#50640;&#45320;&#51648;" TargetMode="External"/><Relationship Id="rId32" Type="http://schemas.openxmlformats.org/officeDocument/2006/relationships/hyperlink" Target="..\AA&#51648;&#50669;&#48324;%20&#44204;&#51201;&#54788;&#54889;\2020&#45380;\&#52649;&#52397;&#45224;&#46020;\&#45824;&#52397;III5&#44277;&#44396;-&#49688;&#44277;,&#46041;&#48512;&#44148;&#49444;\&#44592;&#49457;-2020.10" TargetMode="External"/><Relationship Id="rId128" Type="http://schemas.openxmlformats.org/officeDocument/2006/relationships/hyperlink" Target="..\AA&#51648;&#50669;&#48324;%20&#44204;&#51201;&#54788;&#54889;\2022&#45380;\&#44221;&#49345;&#48513;&#46020;\&#54252;&#54637;&#44277;&#50629;&#50857;&#49688;&#46020;2&#52264;(1350A%20PC&#44288;%20&#50808;)-&#49688;&#44277;,&#54868;&#51064;&#51333;&#54633;&#44148;&#49444;\" TargetMode="External"/><Relationship Id="rId335" Type="http://schemas.openxmlformats.org/officeDocument/2006/relationships/hyperlink" Target="../AA&#51648;&#50669;&#48324;%20&#44204;&#51201;&#54788;&#54889;/2023&#45380;/&#44221;&#49345;&#48513;&#46020;/&#44221;&#49328;(&#44053;&#44288;%201500&#22806;%20&#52264;&#45800;,%20&#52380;&#44277;%20&#54252;&#54632;)%20&#44221;&#49328;&#51221;&#49688;&#51109;,%20&#44221;&#49328;&#49884;,%20&#54635;&#46972;&#51064;" TargetMode="External"/><Relationship Id="rId542" Type="http://schemas.openxmlformats.org/officeDocument/2006/relationships/hyperlink" Target="..\AA&#51648;&#50669;&#48324;%20&#44204;&#51201;&#54788;&#54889;\2023&#45380;\&#44221;&#49345;&#45224;&#46020;\&#52285;&#50896;%20&#48393;&#44053;~&#47924;&#50504;(1350A)-&#49688;&#44277;,&#44221;&#45224;,BK%20eng" TargetMode="External"/><Relationship Id="rId181" Type="http://schemas.openxmlformats.org/officeDocument/2006/relationships/hyperlink" Target="..\AA&#51648;&#50669;&#48324;%20&#44204;&#51201;&#54788;&#54889;\2022&#45380;\&#52649;&#52397;&#48513;&#46020;\&#52649;&#51452;&#45840;&#44228;&#53685;-&#49688;&#51088;&#50896;&#44277;&#49324;,&#44228;&#47329;,&#46041;&#48512;,&#54620;&#49888;\4&#44277;&#44396;(1000A,1100A)-&#54620;&#49888;&#44277;&#50689;" TargetMode="External"/><Relationship Id="rId402" Type="http://schemas.openxmlformats.org/officeDocument/2006/relationships/hyperlink" Target="..\AA&#51648;&#50669;&#48324;%20&#44204;&#51201;&#54788;&#54889;\2022&#45380;\&#44221;&#44592;&#45224;&#49436;&#48512;\&#50724;&#49328;(900A,%20&#44053;&#44288;)-&#49688;&#44277;,%20&#47749;&#48372;P&amp;C,%20&#50724;&#49328;&#49464;&#44368;" TargetMode="External"/><Relationship Id="rId279"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86" Type="http://schemas.openxmlformats.org/officeDocument/2006/relationships/hyperlink" Target="../AA&#51648;&#50669;&#48324;%20&#44204;&#51201;&#54788;&#54889;/2024&#45380;/&#51648;&#50669;&#45212;&#48169;/&#49340;&#52380;&#47532;&#51060;&#50644;&#51648;" TargetMode="External"/><Relationship Id="rId693"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07" Type="http://schemas.openxmlformats.org/officeDocument/2006/relationships/hyperlink" Target="../AA&#51648;&#50669;&#48324;%20&#44204;&#51201;&#54788;&#54889;/2024&#45380;/&#44221;&#44592;&#48513;&#48512;/&#54028;&#51452;(350A~900A)-&#54028;&#51452;&#49884;,&#45824;&#48169;&#44148;&#49444;/&#52628;&#44032;&#44204;&#51201;(900,%20800,%20200)-240611" TargetMode="External"/><Relationship Id="rId43" Type="http://schemas.openxmlformats.org/officeDocument/2006/relationships/hyperlink" Target="../AA&#51648;&#50669;&#48324;%20&#44204;&#51201;&#54788;&#54889;/2021&#45380;/&#51648;&#50669;&#45212;&#48169;/GS&#54028;&#50892;/2021&#45380;%20&#47924;&#52264;&#45800;&#44277;&#49324;%20&#51077;&#52272;" TargetMode="External"/><Relationship Id="rId139" Type="http://schemas.openxmlformats.org/officeDocument/2006/relationships/hyperlink" Target="..\AA&#51648;&#50669;&#48324;%20&#44204;&#51201;&#54788;&#54889;\2022&#45380;\&#49569;&#50976;&#44288;\&#50872;&#49328;%20S-Oil\&#50872;&#49328;%20S-Oil%20&#53356;&#47336;&#46300;&#50724;&#51068;(1050Ax2P)-2021.03" TargetMode="External"/><Relationship Id="rId346" Type="http://schemas.openxmlformats.org/officeDocument/2006/relationships/hyperlink" Target="../AA&#51648;&#50669;&#48324;%20&#44204;&#51201;&#54788;&#54889;/2023&#45380;/&#44592;&#53440;/&#51068;&#49328;&#46041;&#44396;%20sk&#48652;&#47196;&#46300;&#48180;&#46300;%20&#45936;&#51060;&#53552;&#49468;&#53552;D300mm%20SUS&#44288;" TargetMode="External"/><Relationship Id="rId553"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60"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192"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AA&#51648;&#50669;&#48324;%20&#44204;&#51201;&#54788;&#54889;/2022&#45380;/&#51648;&#50669;&#45212;&#48169;/GS&#54028;&#50892;/2021&#45380;%20&#48512;&#52380;&#51648;&#50669;%20&#49888;&#44508;&#44256;&#44061;%20&#50676;&#49688;&#49569;&#44288;&#44277;&#49324;/&#49849;&#51116;&#44277;&#50689;" TargetMode="External"/><Relationship Id="rId413" Type="http://schemas.openxmlformats.org/officeDocument/2006/relationships/hyperlink" Target="..\AA&#51648;&#50669;&#48324;%20&#44204;&#51201;&#54788;&#54889;\2023&#45380;\&#51648;&#50669;&#45212;&#48169;\GS&#54028;&#50892;\&#9733;2023.6.8~15%20&#51077;&#52272;%204&#44148;" TargetMode="External"/><Relationship Id="rId497" Type="http://schemas.openxmlformats.org/officeDocument/2006/relationships/hyperlink" Target="..\AA&#51648;&#50669;&#48324;%20&#44204;&#51201;&#54788;&#54889;\2024&#45380;\&#52649;&#52397;&#48513;&#46020;\&#52649;&#51452;&#45840;%20&#51613;&#54217;(&#51452;&#52384;%20700,%204P)-&#49688;&#44277;,%20&#54000;&#50640;&#49828;&#52992;&#51060;" TargetMode="External"/><Relationship Id="rId620" Type="http://schemas.openxmlformats.org/officeDocument/2006/relationships/hyperlink" Target="..\AA&#51648;&#50669;&#48324;%20&#44204;&#51201;&#54788;&#54889;\2024&#45380;\&#44221;&#49345;&#45224;&#46020;\&#45224;&#54644;%20&#51648;&#48169;&#46020;%201024&#54840;(&#51452;&#52384;%20350%204P)-&#49688;&#44277;,%20&#52992;&#51060;&#50640;&#49828;&#50656;&#44592;&#49696;" TargetMode="External"/><Relationship Id="rId718" Type="http://schemas.openxmlformats.org/officeDocument/2006/relationships/hyperlink" Target="..\AA&#51648;&#50669;&#48324;%20&#44204;&#51201;&#54788;&#54889;\2025&#45380;\&#51648;&#50669;&#45212;&#48169;\&#45208;&#47000;&#50640;&#45320;&#51648;&#49436;&#48708;&#49828;\2025&#45380;%20&#49888;&#44508;%20&#50676;&#49688;&#49569;&#44288;&#44277;&#49324;\&#51012;&#47896;&#51333;&#44148;" TargetMode="External"/><Relationship Id="rId357"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54" Type="http://schemas.openxmlformats.org/officeDocument/2006/relationships/hyperlink" Target="../AA&#51648;&#50669;&#48324;%20&#44204;&#51201;&#54788;&#54889;/2021&#45380;/&#51648;&#50669;&#45212;&#48169;/GS&#54028;&#50892;/500Ax8P,%20150Ax12P-GS&#45348;&#50724;&#53581;(21.06.02)" TargetMode="External"/><Relationship Id="rId217"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564" Type="http://schemas.openxmlformats.org/officeDocument/2006/relationships/hyperlink" Target="..\AA&#51648;&#50669;&#48324;%20&#44204;&#51201;&#54788;&#54889;\2024&#45380;\&#51648;&#50669;&#45212;&#48169;\GS&#54028;&#50892;\4.2024&#45380;%20&#48512;&#52380;&#51648;&#50669;%20&#49888;&#44508;&#44256;&#44061;%20&#50676;&#49688;&#49569;&#44288;&#44277;&#49324;\&#49892;&#54665;" TargetMode="External"/><Relationship Id="rId424" Type="http://schemas.openxmlformats.org/officeDocument/2006/relationships/hyperlink" Target="..\AA&#51648;&#50669;&#48324;%20&#44204;&#51201;&#54788;&#54889;\2023&#45380;\&#44221;&#49345;&#48513;&#46020;\&#54252;&#54637;&#44277;&#50629;&#50857;&#49688;&#46020;2&#52264;(1350A%20PC&#44288;%20&#50808;)-&#49688;&#44277;,&#54868;&#51064;&#51333;&#54633;&#44148;&#49444;" TargetMode="External"/><Relationship Id="rId63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29"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70"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65"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30" Type="http://schemas.openxmlformats.org/officeDocument/2006/relationships/hyperlink" Target="../AA&#51648;&#50669;&#48324;%20&#44204;&#51201;&#54788;&#54889;/2022&#45380;/&#51204;&#46972;&#45224;&#46020;/&#44256;&#55141;(&#51452;&#52384;%20450A,%20&#44596;&#44553;)-&#49688;&#51088;&#50896;,%20&#49688;&#44592;&#51452;" TargetMode="External"/><Relationship Id="rId368" Type="http://schemas.openxmlformats.org/officeDocument/2006/relationships/hyperlink" Target="..\AA&#51648;&#50669;&#48324;%20&#44204;&#51201;&#54788;&#54889;\2023&#45380;\&#44221;&#49345;&#45224;&#46020;\&#48512;&#49328;&#49352;&#48317;&#44148;&#49444;(D2200)-&#44537;&#46041;&#44148;&#49444;" TargetMode="External"/><Relationship Id="rId575" Type="http://schemas.openxmlformats.org/officeDocument/2006/relationships/hyperlink" Target="..\AA&#51648;&#50669;&#48324;%20&#44204;&#51201;&#54788;&#54889;\2024&#45380;\&#51648;&#50669;&#45212;&#48169;\&#45824;&#51204;&#52649;&#45224;&#51648;&#50669;&#48376;&#48512;%20&#50500;&#49328;&#50640;&#45320;&#51648;&#49324;&#50629;&#45800;\&#50500;&#51060;&#50956;&#44148;&#49444;" TargetMode="External"/><Relationship Id="rId228" Type="http://schemas.openxmlformats.org/officeDocument/2006/relationships/hyperlink" Target="..\AA&#51648;&#50669;&#48324;%20&#44204;&#51201;&#54788;&#54889;\2022&#45380;\&#44221;&#49345;&#48513;&#46020;\&#54252;&#54637;&#44277;&#50629;&#50857;&#49688;&#46020;2&#52264;(1350A%20PC&#44288;%20&#50808;)-&#49688;&#44277;,&#54868;&#51064;&#51333;&#54633;&#44148;&#49444;\" TargetMode="External"/><Relationship Id="rId435" Type="http://schemas.openxmlformats.org/officeDocument/2006/relationships/hyperlink" Target="../AA&#51648;&#50669;&#48324;%20&#44204;&#51201;&#54788;&#54889;/2022&#45380;/&#51648;&#50669;&#45212;&#48169;/&#51064;&#52380;&#44277;&#54637;&#50640;&#45320;&#51648;/&#50676;&#49688;&#49569;&#44288;%20&#47924;&#45800;&#49688;&#44277;&#49324;%20&#45800;&#44032;&#44228;&#50557;%20(&#51077;&#52272;)%20-%2022.07.11" TargetMode="External"/><Relationship Id="rId64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81" Type="http://schemas.openxmlformats.org/officeDocument/2006/relationships/hyperlink" Target="../AA&#51648;&#50669;&#48324;%20&#44204;&#51201;&#54788;&#54889;/2023&#45380;/&#51648;&#50669;&#45212;&#48169;/GS&#45348;&#50724;&#53581;/&#51064;&#52380;%20&#48143;%20&#44608;&#54252;%20&#49688;&#50857;&#44032;%20&#51064;&#51077;%20&#50676;&#49688;&#49569;&#44288;&#44277;&#49324;%20&#51473;%20&#48516;&#44592;TEE&#52380;&#44277;%20&#44277;&#49324;-220922" TargetMode="External"/><Relationship Id="rId502" Type="http://schemas.openxmlformats.org/officeDocument/2006/relationships/hyperlink" Target="..\AA&#51648;&#50669;&#48324;%20&#44204;&#51201;&#54788;&#54889;\2023&#45380;\&#51648;&#50669;&#45212;&#48169;\GS&#54028;&#50892;\&#48512;&#52380;%20GS&#54028;&#50892;%20&#48156;&#51204;&#49548;&#45236;%20&#48176;&#44288;&#51060;&#49444;&#44277;&#49324;%2023.09" TargetMode="External"/><Relationship Id="rId76" Type="http://schemas.openxmlformats.org/officeDocument/2006/relationships/hyperlink" Target="../AA&#51648;&#50669;&#48324;%20&#44204;&#51201;&#54788;&#54889;/2021&#45380;/&#51648;&#50669;&#45212;&#48169;/GS&#54028;&#50892;/2021&#45380;%20&#47924;&#52264;&#45800;&#44277;&#49324;%20&#51077;&#52272;" TargetMode="External"/><Relationship Id="rId141" Type="http://schemas.openxmlformats.org/officeDocument/2006/relationships/hyperlink" Target="..\AA&#51648;&#50669;&#48324;%20&#44204;&#51201;&#54788;&#54889;\2021&#45380;\&#51648;&#50669;&#45212;&#48169;\GS&#54028;&#50892;\2021&#45380;%20&#47924;&#52264;&#45800;&#44277;&#49324;%20&#51077;&#52272;" TargetMode="External"/><Relationship Id="rId379"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586" Type="http://schemas.openxmlformats.org/officeDocument/2006/relationships/hyperlink" Target="..\AA&#51648;&#50669;&#48324;%20&#44204;&#51201;&#54788;&#54889;\2023&#45380;\&#51204;&#46972;&#45224;&#46020;\&#44305;&#50577;1&#45800;&#44228;(&#44305;&#50577;&#44396;&#44036;%202000,%201650%20&#52264;&#45800;%20&#22806;)-&#49688;&#44277;,%20&#50752;&#53581;\KCC&#44148;&#49444;" TargetMode="External"/><Relationship Id="rId7" Type="http://schemas.openxmlformats.org/officeDocument/2006/relationships/hyperlink" Target="..\AA&#51648;&#50669;&#48324;%20&#44204;&#51201;&#54788;&#54889;\2021&#45380;\&#44221;&#44592;&#48513;&#48512;\&#54028;&#51452;(350A~900A)-&#54028;&#51452;&#49884;,&#45824;&#48169;&#44148;&#49444;" TargetMode="External"/><Relationship Id="rId239"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46" Type="http://schemas.openxmlformats.org/officeDocument/2006/relationships/hyperlink" Target="..\AA&#51648;&#50669;&#48324;%20&#44204;&#51201;&#54788;&#54889;\2023&#45380;\&#51204;&#46972;&#45224;&#46020;\&#44305;&#50577;1&#45800;&#44228;(&#44305;&#50577;&#44396;&#44036;%202000,%201650%20&#52264;&#45800;%20&#22806;)-&#49688;&#44277;,%20&#50752;&#53581;\KCC&#44148;&#49444;" TargetMode="External"/><Relationship Id="rId653"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92" Type="http://schemas.openxmlformats.org/officeDocument/2006/relationships/hyperlink" Target="..\AA&#51648;&#50669;&#48324;%20&#44204;&#51201;&#54788;&#54889;\2022&#45380;\&#44221;&#44592;&#45224;&#46041;&#48512;\&#51060;&#52380;%20&#45824;&#54252;&#48176;&#49688;&#51648;(900A4P&#51452;&#52384;)&#44592;&#50672;&#44148;&#49444;" TargetMode="External"/><Relationship Id="rId306" Type="http://schemas.openxmlformats.org/officeDocument/2006/relationships/hyperlink" Target="..\AA&#51648;&#50669;&#48324;%20&#44204;&#51201;&#54788;&#54889;\2022&#45380;\&#51204;&#46972;&#48513;&#46020;\&#51109;&#49688;&#44400;(&#51452;&#52384;%20350A%20&#22806;,%20&#53945;&#54728;&#54801;&#50557;)-&#49688;&#44277;%20&#46041;&#54868;&#44428;&#51648;&#49324;" TargetMode="External"/><Relationship Id="rId87" Type="http://schemas.openxmlformats.org/officeDocument/2006/relationships/hyperlink" Target="..\AA&#51648;&#50669;&#48324;%20&#44204;&#51201;&#54788;&#54889;\2021&#45380;\&#51648;&#50669;&#45212;&#48169;\GS&#54028;&#50892;\&#49849;&#51116;&#44277;&#50689;\300Ax150Ax2P%20&#48516;&#44592;&#54000;&#52380;&#44277;-211112" TargetMode="External"/><Relationship Id="rId513" Type="http://schemas.openxmlformats.org/officeDocument/2006/relationships/hyperlink" Target="../AA&#51648;&#50669;&#48324;%20&#44204;&#51201;&#54788;&#54889;/2024&#45380;/&#44221;&#49345;&#48513;&#46020;/&#44396;&#48120;%20&#47592;&#54532;&#47004;&#51648;%20&#52380;&#44277;&#44277;&#49324;%20300x250" TargetMode="External"/><Relationship Id="rId597" Type="http://schemas.openxmlformats.org/officeDocument/2006/relationships/hyperlink" Target="..\AA&#51648;&#50669;&#48324;%20&#44204;&#51201;&#54788;&#54889;\2024&#45380;\&#52649;&#52397;&#48513;&#46020;\&#52397;&#51452;%20&#51221;&#49688;&#51109;(900A%201p)" TargetMode="External"/><Relationship Id="rId720" Type="http://schemas.openxmlformats.org/officeDocument/2006/relationships/hyperlink" Target="..\AA&#51648;&#50669;&#48324;%20&#44204;&#51201;&#54788;&#54889;\2025&#45380;\&#49569;&#50976;&#44288;\&#44277;&#44400;%2000&#48512;&#45824;%20&#49569;&#50976;&#44288;(300,%20250)-&#54616;&#51060;&#54260;" TargetMode="External"/><Relationship Id="rId152" Type="http://schemas.openxmlformats.org/officeDocument/2006/relationships/hyperlink" Target="..\AA&#51648;&#50669;&#48324;%20&#44204;&#51201;&#54788;&#54889;\2021&#45380;\&#51648;&#50669;&#45212;&#48169;\GS&#54028;&#50892;\500Ax8P,%20150Ax12P-GS&#45348;&#50724;&#53581;(21.06.02)" TargetMode="External"/><Relationship Id="rId457"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664"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14" Type="http://schemas.openxmlformats.org/officeDocument/2006/relationships/hyperlink" Target="../AA&#51648;&#50669;&#48324;%20&#44204;&#51201;&#54788;&#54889;/2021&#45380;/&#51648;&#50669;&#45212;&#48169;/GS&#54028;&#50892;/2021&#45380;%20&#47924;&#52264;&#45800;&#44277;&#49324;%20&#51077;&#52272;" TargetMode="External"/><Relationship Id="rId317" Type="http://schemas.openxmlformats.org/officeDocument/2006/relationships/hyperlink" Target="..\AA&#51648;&#50669;&#48324;%20&#44204;&#51201;&#54788;&#54889;\2021&#45380;\&#44221;&#44592;&#48513;&#48512;\&#54028;&#51452;(350A~900A)-&#54028;&#51452;&#49884;,&#45824;&#48169;&#44148;&#49444;" TargetMode="External"/><Relationship Id="rId524" Type="http://schemas.openxmlformats.org/officeDocument/2006/relationships/hyperlink" Target="..\AA&#51648;&#50669;&#48324;%20&#44204;&#51201;&#54788;&#54889;\2024&#45380;\&#44221;&#49345;&#45224;&#46020;\&#52285;&#50896;%20&#44277;&#50629;&#50857;&#49688;&#46020;(900Ax1P)-&#49688;&#44277;,%20&#47749;&#48372;" TargetMode="External"/><Relationship Id="rId73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98" Type="http://schemas.openxmlformats.org/officeDocument/2006/relationships/hyperlink" Target="../AA&#51648;&#50669;&#48324;%20&#44204;&#51201;&#54788;&#54889;/2021&#45380;/&#51648;&#50669;&#45212;&#48169;/GS&#54028;&#50892;/2021&#45380;%20&#47924;&#52264;&#45800;&#44277;&#49324;%20&#51077;&#52272;" TargetMode="External"/><Relationship Id="rId163" Type="http://schemas.openxmlformats.org/officeDocument/2006/relationships/hyperlink" Target="..\AA&#51648;&#50669;&#48324;%20&#44204;&#51201;&#54788;&#54889;\2022&#45380;\&#44221;&#44592;&#45224;&#46041;&#48512;\&#50504;&#49457;~&#44396;&#47532;%20&#44256;&#49549;&#46020;&#47196;%2012&#44277;&#44396;(2000A,2200A)-&#46020;&#47196;&#44277;&#49324;,&#44256;&#47140;&#44060;&#48156;" TargetMode="External"/><Relationship Id="rId370" Type="http://schemas.openxmlformats.org/officeDocument/2006/relationships/hyperlink" Target="..\AA&#51648;&#50669;&#48324;%20&#44204;&#51201;&#54788;&#54889;\2023&#45380;\&#49569;&#50976;&#44288;\&#47928;&#54868;&#51648;&#50644;&#53076;" TargetMode="External"/><Relationship Id="rId23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68" Type="http://schemas.openxmlformats.org/officeDocument/2006/relationships/hyperlink" Target="..\AA&#51648;&#50669;&#48324;%20&#44204;&#51201;&#54788;&#54889;\2024&#45380;\&#49436;&#50872;&#49884;\&#47785;&#46041;&#44368;~&#46020;&#47548;&#52380;&#44036;%20&#51109;&#44592;&#49324;&#50857;%20&#49569;&#48176;&#49688;&#44288;~(1500A)-&#49436;&#50872;&#49884;%20&#49345;&#49688;&#46020;&#49324;&#50629;&#48376;&#48512;" TargetMode="External"/><Relationship Id="rId675" Type="http://schemas.openxmlformats.org/officeDocument/2006/relationships/hyperlink" Target="..\AA&#51648;&#50669;&#48324;%20&#44204;&#51201;&#54788;&#54889;\2024&#45380;\&#44221;&#44592;&#48513;&#48512;\&#54028;&#51452;(350A~900A)-&#54028;&#51452;&#49884;,&#45824;&#48169;&#44148;&#49444;\&#52628;&#44032;&#44204;&#51201;(900,%20800,%20200)-240611" TargetMode="External"/><Relationship Id="rId25" Type="http://schemas.openxmlformats.org/officeDocument/2006/relationships/hyperlink" Target="../AA&#51648;&#50669;&#48324;%20&#44204;&#51201;&#54788;&#54889;/2021&#45380;/&#44221;&#49345;&#48513;&#46020;/&#54252;&#54637;(1350Ax700A,%20700Ax1P)-&#49688;&#44277;,%20&#44536;&#47536;&#44060;&#48156;" TargetMode="External"/><Relationship Id="rId328" Type="http://schemas.openxmlformats.org/officeDocument/2006/relationships/hyperlink" Target="..\AA&#51648;&#50669;&#48324;%20&#44204;&#51201;&#54788;&#54889;\2023&#45380;\&#51648;&#50669;&#45212;&#48169;\&#49436;&#50872;&#50640;&#45320;&#51648;&#44277;&#49324;\&#44396;&#49345;&#50640;&#45320;&#51648;%20&#45800;&#44032;" TargetMode="External"/><Relationship Id="rId535" Type="http://schemas.openxmlformats.org/officeDocument/2006/relationships/hyperlink" Target="..\AA&#51648;&#50669;&#48324;%20&#44204;&#51201;&#54788;&#54889;\2024&#45380;\&#51648;&#50669;&#45212;&#48169;\GS&#54028;&#50892;\4.2024&#45380;%20&#48512;&#52380;&#51648;&#50669;%20&#49888;&#44508;&#44256;&#44061;%20&#50676;&#49688;&#49569;&#44288;&#44277;&#49324;\&#49892;&#54665;" TargetMode="External"/><Relationship Id="rId742" Type="http://schemas.openxmlformats.org/officeDocument/2006/relationships/hyperlink" Target="..\AA&#51648;&#50669;&#48324;%20&#44204;&#51201;&#54788;&#54889;\2025&#45380;\&#44592;&#53440;\&#51064;&#52380;&#44277;&#54637;(&#47928;&#54868;&#51648;&#50644;&#53076;)" TargetMode="External"/><Relationship Id="rId174" Type="http://schemas.openxmlformats.org/officeDocument/2006/relationships/hyperlink" Target="..\AA&#51648;&#50669;&#48324;%20&#44204;&#51201;&#54788;&#54889;\2022&#45380;\&#44221;&#49345;&#45224;&#46020;\&#52285;&#50896;%20&#46041;&#51021;~&#48393;&#44053;(1200A,1500A)-&#49688;&#44277;,&#44221;&#45224;,&#46041;&#48512;,BK%20eng,&#44537;&#46041;eng" TargetMode="External"/><Relationship Id="rId381"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602" Type="http://schemas.openxmlformats.org/officeDocument/2006/relationships/hyperlink" Target="../AA&#51648;&#50669;&#48324;%20&#44204;&#51201;&#54788;&#54889;/2024&#45380;/&#51648;&#50669;&#45212;&#48169;/&#52397;&#46972;&#50640;&#45320;&#51648;/1100A,%20800A(&#52628;&#44032;)%20&#51060;&#49444;" TargetMode="External"/><Relationship Id="rId241" Type="http://schemas.openxmlformats.org/officeDocument/2006/relationships/hyperlink" Target="../AA&#51648;&#50669;&#48324;%20&#44204;&#51201;&#54788;&#54889;/2022&#45380;/&#44221;&#49345;&#45224;&#46020;/&#44221;&#51452;(&#44053;&#44288;%20900x200%20&#52380;&#44277;)-&#44221;&#51452;&#49884;,%20&#50976;&#50532;&#46300;&#47548;" TargetMode="External"/><Relationship Id="rId479" Type="http://schemas.openxmlformats.org/officeDocument/2006/relationships/hyperlink" Target="..\AA&#51648;&#50669;&#48324;%20&#44204;&#51201;&#54788;&#54889;\2024&#45380;\&#51204;&#46972;&#45224;&#46020;\&#50668;&#49688;%20pc&#44288;%20&#52380;&#44277;(900x600A%20&#50808;)" TargetMode="External"/><Relationship Id="rId686" Type="http://schemas.openxmlformats.org/officeDocument/2006/relationships/hyperlink" Target="..\AA&#51648;&#50669;&#48324;%20&#44204;&#51201;&#54788;&#54889;\2025&#45380;\&#51648;&#50669;&#45212;&#48169;\&#49340;&#52380;&#47532;&#51060;&#50644;&#51648;\&#50504;&#49328;&#46020;&#49884;&#44060;&#48156;(800,%20300)" TargetMode="External"/><Relationship Id="rId36" Type="http://schemas.openxmlformats.org/officeDocument/2006/relationships/hyperlink" Target="..\AA&#51648;&#50669;&#48324;%20&#44204;&#51201;&#54788;&#54889;\2021&#45380;\&#49569;&#50976;&#44288;\&#51064;&#52380;&#44397;&#51228;&#44277;&#54637;-&#47928;&#54868;&#51648;&#50644;&#53076;,&#49464;&#48372;&#50656;&#51060;&#50472;\&#47928;&#54868;&#51648;&#50644;&#53076;" TargetMode="External"/><Relationship Id="rId339" Type="http://schemas.openxmlformats.org/officeDocument/2006/relationships/hyperlink" Target="../AA&#51648;&#50669;&#48324;%20&#44204;&#51201;&#54788;&#54889;/2023&#45380;/&#44221;&#49345;&#48513;&#46020;/&#44221;&#49328;(&#44053;&#44288;%201500&#22806;%20&#52264;&#45800;,%20&#52380;&#44277;%20&#54252;&#54632;)%20&#44221;&#49328;&#51221;&#49688;&#51109;,%20&#44221;&#49328;&#49884;,%20&#54635;&#46972;&#51064;" TargetMode="External"/><Relationship Id="rId546" Type="http://schemas.openxmlformats.org/officeDocument/2006/relationships/hyperlink" Target="..\AA&#51648;&#50669;&#48324;%20&#44204;&#51201;&#54788;&#54889;\2023&#45380;\&#51204;&#46972;&#45224;&#46020;\&#44305;&#50577;1&#45800;&#44228;(&#44305;&#50577;&#44396;&#44036;%202000,%201650%20&#52264;&#45800;%20&#22806;)-&#49688;&#44277;,%20&#50752;&#53581;\KCC&#44148;&#49444;" TargetMode="External"/><Relationship Id="rId753"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101"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85" Type="http://schemas.openxmlformats.org/officeDocument/2006/relationships/hyperlink" Target="..\AA&#51648;&#50669;&#48324;%20&#44204;&#51201;&#54788;&#54889;\2022&#45380;\&#52649;&#52397;&#48513;&#46020;\&#52649;&#51452;&#45840;&#44228;&#53685;-&#49688;&#51088;&#50896;&#44277;&#49324;,&#44228;&#47329;,&#46041;&#48512;,&#54620;&#49888;\4&#44277;&#44396;(1000A,1100A)-&#54620;&#49888;&#44277;&#50689;" TargetMode="External"/><Relationship Id="rId406" Type="http://schemas.openxmlformats.org/officeDocument/2006/relationships/hyperlink" Target="..\AA&#51648;&#50669;&#48324;%20&#44204;&#51201;&#54788;&#54889;\2023&#45380;\&#44221;&#44592;&#48513;&#48512;\&#54028;&#51452;(350A~900A)-&#54028;&#51452;&#49884;,&#45824;&#48169;&#44148;&#49444;" TargetMode="External"/><Relationship Id="rId392"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613"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97" Type="http://schemas.openxmlformats.org/officeDocument/2006/relationships/hyperlink" Target="..\AA&#51648;&#50669;&#48324;%20&#44204;&#51201;&#54788;&#54889;\2024&#45380;\&#44221;&#44592;&#48513;&#48512;\&#44256;&#50577;,&#54028;&#51452;(&#54620;&#44053;&#54616;&#47448;&#44428;4&#52264;~%201&#44277;&#44396;,%20700A~1350A)-&#49688;&#44277;,&#49340;&#50504;" TargetMode="External"/><Relationship Id="rId252" Type="http://schemas.openxmlformats.org/officeDocument/2006/relationships/hyperlink" Target="../AA&#51648;&#50669;&#48324;%20&#44204;&#51201;&#54788;&#54889;/2022&#45380;/&#52649;&#52397;&#45224;&#46020;/&#49436;&#49328;(&#44053;&#44288;%20800x600,%201100x800)-%20&#44508;&#44305;,&#50752;&#53581;" TargetMode="External"/><Relationship Id="rId47"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AA&#51648;&#50669;&#48324;%20&#44204;&#51201;&#54788;&#54889;/2021&#45380;/&#52649;&#52397;&#48513;&#46020;/&#52649;&#51452;(&#51060;&#52380;~&#47928;&#44221;,%20200A~1350A)-&#54620;&#44397;&#52384;&#46020;&#49884;&#49444;&#44277;&#45800;,&#54788;&#45824;&#44148;&#49444;,&#45824;&#49457;&#44592;&#44277;" TargetMode="External"/><Relationship Id="rId557"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64" Type="http://schemas.openxmlformats.org/officeDocument/2006/relationships/hyperlink" Target="../AA&#51648;&#50669;&#48324;%20&#44204;&#51201;&#54788;&#54889;/2026&#45380;/&#52649;&#52397;&#45224;&#46020;/&#48372;&#47161;%20&#44397;&#46020;21&#54840;&#49440;(1500x4P)-&#49688;&#44277;%20&#48372;&#47161;&#44428;/&#51452;&#49885;&#54924;&#49324;%20&#52397;&#54788;" TargetMode="External"/><Relationship Id="rId196"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17" Type="http://schemas.openxmlformats.org/officeDocument/2006/relationships/hyperlink" Target="..\AA&#51648;&#50669;&#48324;%20&#44204;&#51201;&#54788;&#54889;\2023&#45380;\&#49569;&#50976;&#44288;\&#47928;&#54868;&#51648;&#50644;&#53076;" TargetMode="External"/><Relationship Id="rId624"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63" Type="http://schemas.openxmlformats.org/officeDocument/2006/relationships/hyperlink" Target="..\AA&#51648;&#50669;&#48324;%20&#44204;&#51201;&#54788;&#54889;\2022&#45380;\&#51648;&#50669;&#45212;&#48169;\GS&#54028;&#50892;\&#44404;&#54252;&#52380;&#54616;&#52380;%20&#51221;&#48708;&#49324;&#50629;&#51473;%20&#50676;&#48176;&#44288;%20&#48512;&#45800;&#49688;&#52264;&#45800;%20600A%204&#44277;(&#51648;&#49457;&#50644;&#51648;&#45768;&#50612;&#47553;)" TargetMode="External"/><Relationship Id="rId470" Type="http://schemas.openxmlformats.org/officeDocument/2006/relationships/hyperlink" Target="..\AA&#51648;&#50669;&#48324;%20&#44204;&#51201;&#54788;&#54889;\2024&#45380;\&#51648;&#50669;&#45212;&#48169;\GS&#54028;&#50892;\&#50500;&#51204;&#51060;&#50644;&#50472;" TargetMode="External"/><Relationship Id="rId58"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AA&#51648;&#50669;&#48324;%20&#44204;&#51201;&#54788;&#54889;/2021&#45380;/&#44221;&#49345;&#45224;&#46020;/&#52285;&#50896;&#44277;&#50629;&#50857;&#49688;&#46020;-&#49688;&#44277;,&#49340;&#48512;&#53664;&#44148;/&#44592;&#49457;" TargetMode="External"/><Relationship Id="rId330"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568"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428" Type="http://schemas.openxmlformats.org/officeDocument/2006/relationships/hyperlink" Target="..\AA&#51648;&#50669;&#48324;%20&#44204;&#51201;&#54788;&#54889;\2023&#45380;\&#44221;&#44592;&#48513;&#48512;\&#44256;&#50577;(1650A)-&#49688;&#44277;,&#54620;&#44397;&#51333;&#54633;&#44592;&#49696;,&#51648;&#49468;&#50644;&#51648;&#45768;&#50612;&#47553;" TargetMode="External"/><Relationship Id="rId635" Type="http://schemas.openxmlformats.org/officeDocument/2006/relationships/hyperlink" Target="../AA&#51648;&#50669;&#48324;%20&#44204;&#51201;&#54788;&#54889;/2025&#45380;/&#44221;&#44592;&#45224;&#49436;&#48512;/&#49884;&#55141;%20&#49688;&#46020;&#44428;%204&#45800;&#44228;%20&#44305;&#50669;&#49345;&#49688;&#46020;%20&#48373;&#49440;&#54868;&#49324;&#50629;(1800,%201500,%201000)" TargetMode="External"/><Relationship Id="rId274" Type="http://schemas.openxmlformats.org/officeDocument/2006/relationships/hyperlink" Target="../AA&#51648;&#50669;&#48324;%20&#44204;&#51201;&#54788;&#54889;/2022&#45380;/&#51204;&#46972;&#45224;&#46020;/&#50668;&#49688;(1200x250)-&#49688;&#44277;" TargetMode="External"/><Relationship Id="rId481" Type="http://schemas.openxmlformats.org/officeDocument/2006/relationships/hyperlink" Target="..\AA&#51648;&#50669;&#48324;%20&#44204;&#51201;&#54788;&#54889;\2024&#45380;\&#51204;&#46972;&#45224;&#46020;\&#50668;&#49688;%20pc&#44288;%20&#52380;&#44277;(900x600A%20&#50808;)" TargetMode="External"/><Relationship Id="rId70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9" Type="http://schemas.openxmlformats.org/officeDocument/2006/relationships/hyperlink" Target="../AA&#51648;&#50669;&#48324;%20&#44204;&#51201;&#54788;&#54889;/2021&#45380;/&#52649;&#52397;&#48513;&#46020;/&#52649;&#51452;&#45840;&#44228;&#53685;-&#49688;&#51088;&#50896;&#44277;&#49324;,&#44228;&#47329;,&#46041;&#48512;,&#54620;&#49888;/4&#44277;&#44396;(1000A,1100A)-&#54620;&#49888;&#44277;&#50689;" TargetMode="External"/><Relationship Id="rId134" Type="http://schemas.openxmlformats.org/officeDocument/2006/relationships/hyperlink" Target="..\AA&#51648;&#50669;&#48324;%20&#44204;&#51201;&#54788;&#54889;\2022&#45380;\&#51204;&#46972;&#45224;&#46020;\&#44305;&#51452;(1800A,1200A%20&#50808;)-&#44305;&#51452;&#49884;,&#47448;&#50689;&#50865;,&#46160;&#50896;&#51221;&#44277;,&#45796;&#48708;&#51204;&#49328;&#50629;&#44060;&#48156;" TargetMode="External"/><Relationship Id="rId579" Type="http://schemas.openxmlformats.org/officeDocument/2006/relationships/hyperlink" Target="..\AA&#51648;&#50669;&#48324;%20&#44204;&#51201;&#54788;&#54889;\2025&#45380;\&#44221;&#44592;&#45224;&#46041;&#48512;\&#45224;&#50577;&#51452;%20&#44596;&#44553;(1200Ax2P)-&#49688;&#44277;" TargetMode="External"/><Relationship Id="rId341" Type="http://schemas.openxmlformats.org/officeDocument/2006/relationships/hyperlink" Target="..\AA&#51648;&#50669;&#48324;%20&#44204;&#51201;&#54788;&#54889;\2023&#45380;\&#44221;&#44592;&#45224;&#46041;&#48512;\&#49688;&#51648;&#51221;&#49688;&#51109;(1800Ax1650A%20&#52380;&#44277;%20&#50808;)-&#49688;&#44277;,&#45824;&#51200;&#44148;&#49444;" TargetMode="External"/><Relationship Id="rId439" Type="http://schemas.openxmlformats.org/officeDocument/2006/relationships/hyperlink" Target="..\AA&#51648;&#50669;&#48324;%20&#44204;&#51201;&#54788;&#54889;\2023&#45380;\&#44221;&#44592;&#45224;&#46041;&#48512;\&#54217;&#53469;~&#50724;&#49328;%20&#44397;&#46020;&#54869;&#51109;&#44277;&#49324;(1350A%20&#51060;&#49444;)-&#49688;&#44277;,&#49436;&#50872;&#51648;&#48169;&#44397;&#53664;&#44288;&#47532;&#52397;,&#54952;&#44305;eng\&#49345;&#49328;&#44148;&#49444;-23.04.05" TargetMode="External"/><Relationship Id="rId646" Type="http://schemas.openxmlformats.org/officeDocument/2006/relationships/hyperlink" Target="..\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AA&#51648;&#50669;&#48324;%20&#44204;&#51201;&#54788;&#54889;\2022&#45380;\&#52649;&#52397;&#48513;&#46020;\&#52649;&#51452;(600A,&#51452;&#52384;)-&#49688;&#44277;,&#46041;&#50896;&#44148;&#49444;&#49328;&#50629;" TargetMode="External"/><Relationship Id="rId285" Type="http://schemas.openxmlformats.org/officeDocument/2006/relationships/hyperlink" Target="../AA&#51648;&#50669;&#48324;%20&#44204;&#51201;&#54788;&#54889;/2022&#45380;/&#51648;&#50669;&#45212;&#48169;/&#54620;&#44397;&#51648;&#50669;&#45212;&#48169;&#44277;&#49324;/&#48516;&#45817;&#49324;&#50629;&#49548;/2022.10.24-&#50676;&#48176;&#44288;%201000x500,%20800x500" TargetMode="External"/><Relationship Id="rId506" Type="http://schemas.openxmlformats.org/officeDocument/2006/relationships/hyperlink" Target="..\AA&#51648;&#50669;&#48324;%20&#44204;&#51201;&#54788;&#54889;\2024&#45380;\&#51648;&#50669;&#45212;&#48169;\GS&#54028;&#50892;\&#50500;&#51204;&#51060;&#50644;&#50472;" TargetMode="External"/><Relationship Id="rId49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3" Type="http://schemas.openxmlformats.org/officeDocument/2006/relationships/hyperlink" Target="..\AA&#51648;&#50669;&#48324;%20&#44204;&#51201;&#54788;&#54889;\2025&#45380;\&#49436;&#50872;&#49884;\&#51104;&#49892;(2400,%201800)-&#54788;&#45824;&#52264;,%20&#54788;&#45824;&#44148;&#49444;,%20&#54788;&#45824;&#50644;&#51648;&#45768;&#50612;&#47553;" TargetMode="External"/><Relationship Id="rId145" Type="http://schemas.openxmlformats.org/officeDocument/2006/relationships/hyperlink" Target="../AA&#51648;&#50669;&#48324;%20&#44204;&#51201;&#54788;&#54889;/2022&#45380;/&#44221;&#44592;&#45224;&#46041;&#48512;/&#50504;&#49457;~&#44396;&#47532;%20&#44256;&#49549;&#46020;&#47196;%2012&#44277;&#44396;(2000A,2200A)-&#46020;&#47196;&#44277;&#49324;,&#44256;&#47140;&#44060;&#48156;" TargetMode="External"/><Relationship Id="rId352" Type="http://schemas.openxmlformats.org/officeDocument/2006/relationships/hyperlink" Target="..\AA&#51648;&#50669;&#48324;%20&#44204;&#51201;&#54788;&#54889;\2023&#45380;\&#44221;&#49345;&#48513;&#46020;\&#54252;&#54637;&#44277;&#50629;&#50857;&#49688;&#46020;2&#52264;(1350A%20PC&#44288;%20&#50808;)-&#49688;&#44277;,&#54868;&#51064;&#51333;&#54633;&#44148;&#49444;" TargetMode="External"/><Relationship Id="rId212" Type="http://schemas.openxmlformats.org/officeDocument/2006/relationships/hyperlink" Target="..\AA&#51648;&#50669;&#48324;%20&#44204;&#51201;&#54788;&#54889;\2021&#45380;\&#51648;&#50669;&#45212;&#48169;\GS&#54028;&#50892;\2021&#45380;%20&#47924;&#52264;&#45800;&#44277;&#49324;%20&#51077;&#52272;" TargetMode="External"/><Relationship Id="rId657" Type="http://schemas.openxmlformats.org/officeDocument/2006/relationships/hyperlink" Target="../AA&#51648;&#50669;&#48324;%20&#44204;&#51201;&#54788;&#54889;/2025&#45380;/&#44221;&#44592;&#48513;&#48512;/&#44221;&#51064;&#49688;&#46020;&#44148;&#49444;(D600mm)" TargetMode="External"/><Relationship Id="rId296" Type="http://schemas.openxmlformats.org/officeDocument/2006/relationships/hyperlink" Target="..\AA&#51648;&#50669;&#48324;%20&#44204;&#51201;&#54788;&#54889;\2022&#45380;\&#52649;&#52397;&#45224;&#46020;\&#49436;&#49328;(1350,%20700)-&#49688;&#44277;,%20&#49688;&#44592;&#51452;" TargetMode="External"/><Relationship Id="rId517" Type="http://schemas.openxmlformats.org/officeDocument/2006/relationships/hyperlink" Target="..\AA&#51648;&#50669;&#48324;%20&#44204;&#51201;&#54788;&#54889;\2024&#45380;\&#51648;&#50669;&#45212;&#48169;\GS&#54028;&#50892;\3.2024&#45380;%20&#50504;&#50577;&#51648;&#50669;%20&#49888;&#44508;&#44256;&#44061;%20&#50676;&#49688;&#49569;&#44288;&#44277;&#49324;" TargetMode="External"/><Relationship Id="rId724" Type="http://schemas.openxmlformats.org/officeDocument/2006/relationships/hyperlink" Target="..\AA&#51648;&#50669;&#48324;%20&#44204;&#51201;&#54788;&#54889;\2025&#45380;\&#44221;&#44592;&#45224;&#46041;&#48512;\&#49457;&#45224;&#48373;&#51221;&#51648;&#44396;(1350A)-LH,&#45824;&#47548;&#44148;&#49444;,&#45824;&#54868;&#51060;&#50532;&#50472;" TargetMode="External"/><Relationship Id="rId60" Type="http://schemas.openxmlformats.org/officeDocument/2006/relationships/hyperlink" Target="../AA&#51648;&#50669;&#48324;%20&#44204;&#51201;&#54788;&#54889;/2021&#45380;/&#49569;&#50976;&#44288;/&#51064;&#52380;&#44397;&#51228;&#44277;&#54637;-&#47928;&#54868;&#51648;&#50644;&#53076;,&#49464;&#48372;&#50656;&#51060;&#50472;/&#47928;&#54868;&#51648;&#50644;&#53076;" TargetMode="External"/><Relationship Id="rId156" Type="http://schemas.openxmlformats.org/officeDocument/2006/relationships/hyperlink" Target="..\AA&#51648;&#50669;&#48324;%20&#44204;&#51201;&#54788;&#54889;\2022&#45380;\&#44221;&#49345;&#48513;&#46020;\&#54252;&#54637;&#44277;&#50629;&#50857;&#49688;&#46020;2&#52264;(1350A%20PC&#44288;%20&#50808;)-&#49688;&#44277;,&#54868;&#51064;&#51333;&#54633;&#44148;&#49444;\" TargetMode="External"/><Relationship Id="rId363" Type="http://schemas.openxmlformats.org/officeDocument/2006/relationships/hyperlink" Target="../AA&#51648;&#50669;&#48324;%20&#44204;&#51201;&#54788;&#54889;/2023&#45380;/&#52649;&#52397;&#48513;&#46020;/&#52649;&#51452;(&#51060;&#52380;~&#47928;&#44221;,%20200A~1350A)-&#54620;&#44397;&#52384;&#46020;&#49884;&#49444;&#44277;&#45800;,&#54788;&#45824;&#44148;&#49444;,&#45824;&#49457;&#44592;&#44277;" TargetMode="External"/><Relationship Id="rId57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23"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30" Type="http://schemas.openxmlformats.org/officeDocument/2006/relationships/hyperlink" Target="..\AA&#51648;&#50669;&#48324;%20&#44204;&#51201;&#54788;&#54889;\2023&#45380;\&#44221;&#44592;&#48513;&#48512;\&#45224;&#50577;&#51452;%20&#54616;&#45224;&#49884;%20&#45800;&#44032;&#44204;&#51201;(&#49444;&#44228;&#44032;%2050%25)-&#44288;&#49688;&#49328;&#50629;" TargetMode="External"/><Relationship Id="rId668"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18" Type="http://schemas.openxmlformats.org/officeDocument/2006/relationships/hyperlink" Target="../AA&#51648;&#50669;&#48324;%20&#44204;&#51201;&#54788;&#54889;/2021&#45380;/&#51648;&#50669;&#45212;&#48169;/GS&#54028;&#50892;/2021&#45380;%20&#47924;&#52264;&#45800;&#44277;&#49324;%20&#51077;&#52272;" TargetMode="External"/><Relationship Id="rId528" Type="http://schemas.openxmlformats.org/officeDocument/2006/relationships/hyperlink" Target="..\AA&#51648;&#50669;&#48324;%20&#44204;&#51201;&#54788;&#54889;\2024&#45380;\&#51204;&#46972;&#45224;&#46020;\&#44305;&#50577;%20&#51060;&#49324;&#52380;%20&#49828;&#53472;&#46300;&#54028;&#51060;&#54532;(2000x1100,%201650x1100)-&#49688;&#44277;,%20&#51452;&#54805;&#44060;&#48156;" TargetMode="External"/><Relationship Id="rId735" Type="http://schemas.openxmlformats.org/officeDocument/2006/relationships/hyperlink" Target="..\AA&#51648;&#50669;&#48324;%20&#44204;&#51201;&#54788;&#54889;\2025&#45380;\&#51648;&#50669;&#45212;&#48169;\GS&#54028;&#50892;\1.&#50504;&#50577;\7.&#50900;&#44278;%20&#54032;&#44368;%20&#51228;2&#44277;&#44396;%20&#51109;&#44257;&#50669;(150x8P)-250610\&#51648;&#49457;&#50644;&#51648;&#45768;&#50612;&#47553;" TargetMode="External"/><Relationship Id="rId167"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74" Type="http://schemas.openxmlformats.org/officeDocument/2006/relationships/hyperlink" Target="..\AA&#51648;&#50669;&#48324;%20&#44204;&#51201;&#54788;&#54889;\2023&#45380;\&#49569;&#50976;&#44288;\GS&#52860;&#53581;&#49828;(&#50668;&#49688;,%20750,%20900)-&#45824;&#50577;&#51060;&#50644;&#51648;" TargetMode="External"/><Relationship Id="rId581" Type="http://schemas.openxmlformats.org/officeDocument/2006/relationships/hyperlink" Target="../AA&#51648;&#50669;&#48324;%20&#44204;&#51201;&#54788;&#54889;/2023&#45380;/&#52649;&#52397;&#45224;&#46020;/&#45824;&#51204;%20&#50900;&#54217;&#51221;&#49688;&#51109;(D2400,2000,%201650%20&#46321;)-&#45824;&#51204;&#49884;,%20KCC&#44148;&#49444;" TargetMode="External"/><Relationship Id="rId71" Type="http://schemas.openxmlformats.org/officeDocument/2006/relationships/hyperlink" Target="..\AA&#51648;&#50669;&#48324;%20&#44204;&#51201;&#54788;&#54889;\2020&#45380;\&#44221;&#49345;&#45224;&#46020;\&#50872;&#49328;(2200Ax1500A)-&#49688;&#44277;,&#54616;&#45208;&#44592;&#49696;&#45800;,&#54644;&#44305;&#44148;&#49444;" TargetMode="External"/><Relationship Id="rId234" Type="http://schemas.openxmlformats.org/officeDocument/2006/relationships/hyperlink" Target="..\AA&#51648;&#50669;&#48324;%20&#44204;&#51201;&#54788;&#54889;\2022&#45380;\&#52649;&#52397;&#48513;&#46020;\&#52649;&#51452;&#45840;&#44228;&#53685;-&#49688;&#51088;&#50896;&#44277;&#49324;,&#44228;&#47329;,&#46041;&#48512;,&#54620;&#49888;\3&#44277;&#44396;(1350A,1500A)-&#46041;&#48512;&#44148;&#49444;" TargetMode="External"/><Relationship Id="rId679"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 Type="http://schemas.openxmlformats.org/officeDocument/2006/relationships/hyperlink" Target="../AA&#51648;&#50669;&#48324;%20&#44204;&#51201;&#54788;&#54889;/2021&#45380;/&#44221;&#44592;&#48513;&#48512;/&#44256;&#50577;(450A,%20900A%20&#52380;&#44277;,%20&#44053;&#44288;)-&#44256;&#50577;&#49884;,%20(&#51452;)&#46041;&#47749;&#44148;&#49444;" TargetMode="External"/><Relationship Id="rId29" Type="http://schemas.openxmlformats.org/officeDocument/2006/relationships/hyperlink" Target="../AA&#51648;&#50669;&#48324;%20&#44204;&#51201;&#54788;&#54889;/2021&#45380;/&#51648;&#50669;&#45212;&#48169;/GS&#54028;&#50892;/2021&#45380;%20&#47924;&#52264;&#45800;&#44277;&#49324;%20&#51077;&#52272;" TargetMode="External"/><Relationship Id="rId441" Type="http://schemas.openxmlformats.org/officeDocument/2006/relationships/hyperlink" Target="..\AA&#51648;&#50669;&#48324;%20&#44204;&#51201;&#54788;&#54889;\2023&#45380;\&#51648;&#50669;&#45212;&#48169;\GS&#54028;&#50892;\2023&#45380;%20&#48512;&#52380;&#51648;&#50669;%20&#49888;&#44508;&#44256;&#44061;\&#49892;&#54665;-&#45796;&#47548;&#44148;&#49444;" TargetMode="External"/><Relationship Id="rId539" Type="http://schemas.openxmlformats.org/officeDocument/2006/relationships/hyperlink" Target="..\AA&#51648;&#50669;&#48324;%20&#44204;&#51201;&#54788;&#54889;\2024&#45380;\&#51648;&#50669;&#45212;&#48169;\&#51064;&#52380;&#44277;&#54637;&#50640;&#45320;&#51648;\24&#45380;%20&#50676;&#49688;&#49569;&#44288;%20&#47924;&#45800;&#49688;&#44277;&#49324;%20&#45800;&#44032;&#44228;&#50557;%20&#51077;&#52272;&#44277;&#44256;" TargetMode="External"/><Relationship Id="rId746"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178" Type="http://schemas.openxmlformats.org/officeDocument/2006/relationships/hyperlink" Target="..\AA&#51648;&#50669;&#48324;%20&#44204;&#51201;&#54788;&#54889;\2021&#45380;\&#51648;&#50669;&#45212;&#48169;\GS&#54028;&#50892;\2021&#45380;%20&#47924;&#52264;&#45800;&#44277;&#49324;%20&#51077;&#52272;" TargetMode="External"/><Relationship Id="rId301"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82" Type="http://schemas.openxmlformats.org/officeDocument/2006/relationships/hyperlink" Target="../AA&#51648;&#50669;&#48324;%20&#44204;&#51201;&#54788;&#54889;/2021&#45380;/&#51648;&#50669;&#45212;&#48169;/GS&#54028;&#50892;/2021&#45380;%20&#47924;&#52264;&#45800;&#44277;&#49324;%20&#51077;&#52272;" TargetMode="External"/><Relationship Id="rId385" Type="http://schemas.openxmlformats.org/officeDocument/2006/relationships/hyperlink" Target="../AA&#51648;&#50669;&#48324;%20&#44204;&#51201;&#54788;&#54889;/2023&#45380;/&#44221;&#49345;&#45224;&#46020;/&#48512;&#49328;&#49352;&#48317;&#44148;&#49444;(D2200)-&#44537;&#46041;&#44148;&#49444;" TargetMode="External"/><Relationship Id="rId59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06"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45"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52" Type="http://schemas.openxmlformats.org/officeDocument/2006/relationships/hyperlink" Target="..\AA&#51648;&#50669;&#48324;%20&#44204;&#51201;&#54788;&#54889;\2023&#45380;\&#44221;&#44592;&#48513;&#48512;\&#44256;&#50577;(1650A)-&#49688;&#44277;,&#54620;&#44397;&#51333;&#54633;&#44592;&#49696;,&#51648;&#49468;&#50644;&#51648;&#45768;&#50612;&#47553;" TargetMode="External"/><Relationship Id="rId105" Type="http://schemas.openxmlformats.org/officeDocument/2006/relationships/hyperlink" Target="..\AA&#51648;&#50669;&#48324;%20&#44204;&#51201;&#54788;&#54889;\2020&#45380;\&#44221;&#49345;&#45224;&#46020;\&#50872;&#49328;(2200Ax1500A)-&#49688;&#44277;,&#54616;&#45208;&#44592;&#49696;&#45800;,&#54644;&#44305;&#44148;&#49444;" TargetMode="External"/><Relationship Id="rId312" Type="http://schemas.openxmlformats.org/officeDocument/2006/relationships/hyperlink" Target="..\AA&#51648;&#50669;&#48324;%20&#44204;&#51201;&#54788;&#54889;\2022&#45380;\&#51204;&#46972;&#48513;&#46020;\&#51109;&#49688;&#44400;(&#51452;&#52384;%20350A%20&#22806;,%20&#53945;&#54728;&#54801;&#50557;)-&#49688;&#44277;%20&#46041;&#54868;&#44428;&#51648;&#49324;" TargetMode="External"/><Relationship Id="rId757"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93" Type="http://schemas.openxmlformats.org/officeDocument/2006/relationships/hyperlink" Target="../AA&#51648;&#50669;&#48324;%20&#44204;&#51201;&#54788;&#54889;/2021&#45380;/&#51648;&#50669;&#45212;&#48169;/GS&#54028;&#50892;/2021&#45380;%20&#47924;&#52264;&#45800;&#44277;&#49324;%20&#51077;&#52272;" TargetMode="External"/><Relationship Id="rId189"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AA&#51648;&#50669;&#48324;%20&#44204;&#51201;&#54788;&#54889;\2023&#45380;\&#44221;&#49345;&#48513;&#46020;\&#54252;&#54637;&#44277;&#50629;&#50857;&#49688;&#46020;2&#52264;(1350A%20PC&#44288;%20&#50808;)-&#49688;&#44277;,&#54868;&#51064;&#51333;&#54633;&#44148;&#49444;" TargetMode="External"/><Relationship Id="rId617" Type="http://schemas.openxmlformats.org/officeDocument/2006/relationships/hyperlink" Target="../AA&#51648;&#50669;&#48324;%20&#44204;&#51201;&#54788;&#54889;/2025&#45380;/&#51648;&#50669;&#45212;&#48169;/&#45824;&#51204;&#50676;&#48337;&#54633;/&#51012;&#47896;&#51333;&#54633;&#44148;&#49444;&#12828;" TargetMode="External"/><Relationship Id="rId256"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63"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670" Type="http://schemas.openxmlformats.org/officeDocument/2006/relationships/hyperlink" Target="../AA&#51648;&#50669;&#48324;%20&#44204;&#51201;&#54788;&#54889;/2024&#45380;/&#51648;&#50669;&#45212;&#48169;/GS&#54028;&#50892;/3.2024&#45380;%20&#50504;&#50577;&#51648;&#50669;%20&#49888;&#44508;&#44256;&#44061;%20&#50676;&#49688;&#49569;&#44288;&#44277;&#49324;" TargetMode="External"/><Relationship Id="rId116" Type="http://schemas.openxmlformats.org/officeDocument/2006/relationships/hyperlink" Target="..\AA&#51648;&#50669;&#48324;%20&#44204;&#51201;&#54788;&#54889;\2021&#45380;\&#51648;&#50669;&#45212;&#48169;\GS&#54028;&#50892;\2021&#45380;%20&#47924;&#52264;&#45800;&#44277;&#49324;%20&#51077;&#52272;" TargetMode="External"/><Relationship Id="rId323" Type="http://schemas.openxmlformats.org/officeDocument/2006/relationships/hyperlink" Target="..\AA&#51648;&#50669;&#48324;%20&#44204;&#51201;&#54788;&#54889;\2023&#45380;\&#51204;&#46972;&#45224;&#46020;\&#44305;&#50577;1&#45800;&#44228;(&#44305;&#50577;&#44396;&#44036;%202000,%201650%20&#52264;&#45800;%20&#22806;)-&#49688;&#44277;,%20&#50752;&#53581;" TargetMode="External"/><Relationship Id="rId530" Type="http://schemas.openxmlformats.org/officeDocument/2006/relationships/hyperlink" Target="..\AA&#51648;&#50669;&#48324;%20&#44204;&#51201;&#54788;&#54889;\2024&#45380;\&#51204;&#46972;&#45224;&#46020;\&#44305;&#50577;%20&#51060;&#49324;&#52380;%20&#49828;&#53472;&#46300;&#54028;&#51060;&#54532;(2000x1100,%201650x1100)-&#49688;&#44277;,%20&#51452;&#54805;&#44060;&#48156;" TargetMode="External"/><Relationship Id="rId768" Type="http://schemas.openxmlformats.org/officeDocument/2006/relationships/vmlDrawing" Target="../drawings/vmlDrawing1.vml"/><Relationship Id="rId2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628"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67" Type="http://schemas.openxmlformats.org/officeDocument/2006/relationships/hyperlink" Target="..\AA&#51648;&#50669;&#48324;%20&#44204;&#51201;&#54788;&#54889;\2022&#45380;\&#51648;&#50669;&#45212;&#48169;\GS&#54028;&#50892;\2021&#45380;%20&#48512;&#52380;&#51648;&#50669;%20&#49888;&#44508;&#44256;&#44061;%20&#50676;&#49688;&#49569;&#44288;&#44277;&#49324;\&#49849;&#51116;&#44277;&#50689;" TargetMode="External"/><Relationship Id="rId474" Type="http://schemas.openxmlformats.org/officeDocument/2006/relationships/hyperlink" Target="..\AA&#51648;&#50669;&#48324;%20&#44204;&#51201;&#54788;&#54889;\2024&#45380;\&#44221;&#49345;&#48513;&#46020;\&#44396;&#48120;&#44305;&#50669;(2&#45800;&#44228;)&#44608;&#52380;&#44228;&#53685;(1&#44396;&#44036;)%20&#52628;&#44032;&#44148;(D700)-&#49688;&#44277;" TargetMode="External"/><Relationship Id="rId127" Type="http://schemas.openxmlformats.org/officeDocument/2006/relationships/hyperlink" Target="..\AA&#51648;&#50669;&#48324;%20&#44204;&#51201;&#54788;&#54889;\2022&#45380;\&#44221;&#44592;&#45224;&#46041;&#48512;\&#54217;&#53469;(&#44053;&#44288;%20900A%201P%20&#44596;&#44553;)-&#49688;&#44592;&#51452;" TargetMode="External"/><Relationship Id="rId68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31" Type="http://schemas.openxmlformats.org/officeDocument/2006/relationships/hyperlink" Target="..\AA&#51648;&#50669;&#48324;%20&#44204;&#51201;&#54788;&#54889;\2021&#45380;\&#51648;&#50669;&#45212;&#48169;\GS&#54028;&#50892;\&#49849;&#51116;&#44277;&#50689;\125Ax65A%20&#48516;&#44592;&#54000;&#52380;&#44277;-210915" TargetMode="External"/><Relationship Id="rId334" Type="http://schemas.openxmlformats.org/officeDocument/2006/relationships/hyperlink" Target="../AA&#51648;&#50669;&#48324;%20&#44204;&#51201;&#54788;&#54889;/2023&#45380;/&#44221;&#49345;&#48513;&#46020;/&#44221;&#49328;(&#44053;&#44288;%201500&#22806;%20&#52264;&#45800;,%20&#52380;&#44277;%20&#54252;&#54632;)%20&#44221;&#49328;&#51221;&#49688;&#51109;,%20&#44221;&#49328;&#49884;,%20&#54635;&#46972;&#51064;" TargetMode="External"/><Relationship Id="rId54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39"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180" Type="http://schemas.openxmlformats.org/officeDocument/2006/relationships/hyperlink" Target="../AA&#51648;&#50669;&#48324;%20&#44204;&#51201;&#54788;&#54889;/2022&#45380;/&#52649;&#52397;&#48513;&#46020;/&#52649;&#51452;&#45840;&#44228;&#53685;-&#49688;&#51088;&#50896;&#44277;&#49324;,&#44228;&#47329;,&#46041;&#48512;,&#54620;&#49888;/4&#44277;&#44396;(1000A,1100A)-&#54620;&#49888;&#44277;&#50689;" TargetMode="External"/><Relationship Id="rId278"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01" Type="http://schemas.openxmlformats.org/officeDocument/2006/relationships/hyperlink" Target="..\AA&#51648;&#50669;&#48324;%20&#44204;&#51201;&#54788;&#54889;\2023&#45380;\&#44221;&#49345;&#48513;&#46020;\&#44221;&#49328;(&#44053;&#44288;%201500&#22806;%20&#52264;&#45800;,%20&#52380;&#44277;%20&#54252;&#54632;)%20&#44221;&#49328;&#51221;&#49688;&#51109;,%20&#44221;&#49328;&#49884;,%20&#54635;&#46972;&#51064;" TargetMode="External"/><Relationship Id="rId485" Type="http://schemas.openxmlformats.org/officeDocument/2006/relationships/hyperlink" Target="..\AA&#51648;&#50669;&#48324;%20&#44204;&#51201;&#54788;&#54889;\2023&#45380;\&#44592;&#53440;\&#45824;&#51204;&#50676;&#48337;&#54633;(&#49828;&#54016;%20600A)" TargetMode="External"/><Relationship Id="rId69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06" Type="http://schemas.openxmlformats.org/officeDocument/2006/relationships/hyperlink" Target="..\AA&#51648;&#50669;&#48324;%20&#44204;&#51201;&#54788;&#54889;\2025&#45380;\&#52649;&#52397;&#48513;&#46020;\&#52649;&#51452;%20&#44060;&#49440;&#44277;&#49324;(&#51452;&#52384;%20300x4P,%20150x4P)-&#51060;&#54620;&#54364;" TargetMode="External"/><Relationship Id="rId42" Type="http://schemas.openxmlformats.org/officeDocument/2006/relationships/hyperlink" Target="../AA&#51648;&#50669;&#48324;%20&#44204;&#51201;&#54788;&#54889;/2021&#45380;/&#51648;&#50669;&#45212;&#48169;/GS&#54028;&#50892;/2021&#45380;%20&#47924;&#52264;&#45800;&#44277;&#49324;%20&#51077;&#52272;" TargetMode="External"/><Relationship Id="rId84"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38"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45" Type="http://schemas.openxmlformats.org/officeDocument/2006/relationships/hyperlink" Target="../AA&#51648;&#50669;&#48324;%20&#44204;&#51201;&#54788;&#54889;/2023&#45380;/&#44221;&#44592;&#48513;&#48512;/&#54028;&#51452;(350A~900A)-&#54028;&#51452;&#49884;,&#45824;&#48169;&#44148;&#49444;" TargetMode="External"/><Relationship Id="rId387" Type="http://schemas.openxmlformats.org/officeDocument/2006/relationships/hyperlink" Target="../AA&#51648;&#50669;&#48324;%20&#44204;&#51201;&#54788;&#54889;/2023&#45380;/&#44221;&#49345;&#45224;&#46020;/&#48512;&#49328;&#49352;&#48317;&#44148;&#49444;(D2200)-&#44537;&#46041;&#44148;&#49444;" TargetMode="External"/><Relationship Id="rId510" Type="http://schemas.openxmlformats.org/officeDocument/2006/relationships/hyperlink" Target="..\AA&#51648;&#50669;&#48324;%20&#44204;&#51201;&#54788;&#54889;\2024&#45380;\&#51648;&#50669;&#45212;&#48169;\&#49340;&#52380;&#47532;&#51060;&#50644;&#51648;" TargetMode="External"/><Relationship Id="rId55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594"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08" Type="http://schemas.openxmlformats.org/officeDocument/2006/relationships/hyperlink" Target="..\AA&#51648;&#50669;&#48324;%20&#44204;&#51201;&#54788;&#54889;\2024&#45380;\&#51648;&#50669;&#45212;&#48169;\&#52397;&#46972;&#50640;&#45320;&#51648;\1100A,%20800A(&#52628;&#44032;)%20&#51060;&#49444;" TargetMode="External"/><Relationship Id="rId191"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AA&#51648;&#50669;&#48324;%20&#44204;&#51201;&#54788;&#54889;/2022&#45380;/&#51648;&#50669;&#45212;&#48169;/GS&#54028;&#50892;/2021&#45380;%20&#48512;&#52380;&#51648;&#50669;%20&#49888;&#44508;&#44256;&#44061;%20&#50676;&#49688;&#49569;&#44288;&#44277;&#49324;/&#49849;&#51116;&#44277;&#50689;" TargetMode="External"/><Relationship Id="rId247" Type="http://schemas.openxmlformats.org/officeDocument/2006/relationships/hyperlink" Target="..\AA&#51648;&#50669;&#48324;%20&#44204;&#51201;&#54788;&#54889;\2022&#45380;\&#52649;&#52397;&#45224;&#46020;\&#49436;&#49328;(&#44053;&#44288;%20800x600,%201100x800)-%20&#44508;&#44305;,&#50752;&#53581;" TargetMode="External"/><Relationship Id="rId412"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107" Type="http://schemas.openxmlformats.org/officeDocument/2006/relationships/hyperlink" Target="..\AA&#51648;&#50669;&#48324;%20&#44204;&#51201;&#54788;&#54889;\2021&#45380;\&#49569;&#50976;&#44288;\&#51032;&#50773;(200x50%20TOR&#52380;&#44277;)-&#45224;&#50577;&#51652;&#55141;&#44592;&#50629;" TargetMode="External"/><Relationship Id="rId289"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54" Type="http://schemas.openxmlformats.org/officeDocument/2006/relationships/hyperlink" Target="..\AA&#51648;&#50669;&#48324;%20&#44204;&#51201;&#54788;&#54889;\2024&#45380;\&#49436;&#50872;&#49884;\&#47785;&#46041;&#44368;~&#46020;&#47548;&#52380;&#44036;%20&#51109;&#44592;&#49324;&#50857;%20&#49569;&#48176;&#49688;&#44288;~(1500A)-&#49436;&#50872;&#49884;%20&#49345;&#49688;&#46020;&#49324;&#50629;&#48376;&#48512;" TargetMode="External"/><Relationship Id="rId496" Type="http://schemas.openxmlformats.org/officeDocument/2006/relationships/hyperlink" Target="..\AA&#51648;&#50669;&#48324;%20&#44204;&#51201;&#54788;&#54889;\2023&#45380;\&#44221;&#44592;&#45224;&#49436;&#48512;\&#49884;&#55141;&#51221;&#49688;&#51109;(700A)-&#49436;&#45224;&#44428;&#44288;&#47532;&#45800;" TargetMode="External"/><Relationship Id="rId66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17"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59"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11"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53" Type="http://schemas.openxmlformats.org/officeDocument/2006/relationships/hyperlink" Target="..\AA&#51648;&#50669;&#48324;%20&#44204;&#51201;&#54788;&#54889;\2021&#45380;\&#52649;&#52397;&#48513;&#46020;\&#52649;&#51452;(&#51060;&#52380;~&#47928;&#44221;,%20200A~1350A)-&#54620;&#44397;&#52384;&#46020;&#49884;&#49444;&#44277;&#45800;,&#54788;&#45824;&#44148;&#49444;,&#45824;&#49457;&#44592;&#44277;" TargetMode="External"/><Relationship Id="rId149" Type="http://schemas.openxmlformats.org/officeDocument/2006/relationships/hyperlink" Target="..\AA&#51648;&#50669;&#48324;%20&#44204;&#51201;&#54788;&#54889;\2022&#45380;\&#51204;&#46972;&#45224;&#46020;\&#51109;&#55141;(250A,300A.&#51452;&#52384;)-&#49688;&#44277;,&#49436;&#50689;&#50644;&#51648;&#45768;&#50612;&#47553;,&#53360;&#48731;&#51333;&#54633;&#44148;&#49444;" TargetMode="External"/><Relationship Id="rId314"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356" Type="http://schemas.openxmlformats.org/officeDocument/2006/relationships/hyperlink" Target="..\AA&#51648;&#50669;&#48324;%20&#44204;&#51201;&#54788;&#54889;\2023&#45380;\&#51648;&#50669;&#45212;&#48169;\&#49436;&#50872;&#50640;&#45320;&#51648;&#44277;&#49324;\2022.12.13-450,%20300%20&#50500;&#51060;&#50956;&#44148;&#49444;" TargetMode="External"/><Relationship Id="rId398" Type="http://schemas.openxmlformats.org/officeDocument/2006/relationships/hyperlink" Target="../AA&#51648;&#50669;&#48324;%20&#44204;&#51201;&#54788;&#54889;/2023&#45380;/&#44221;&#44592;&#48513;&#48512;/&#54028;&#51452;(350A~900A)-&#54028;&#51452;&#49884;,&#45824;&#48169;&#44148;&#49444;" TargetMode="External"/><Relationship Id="rId521" Type="http://schemas.openxmlformats.org/officeDocument/2006/relationships/hyperlink" Target="..\AA&#51648;&#50669;&#48324;%20&#44204;&#51201;&#54788;&#54889;\2024&#45380;\&#51648;&#50669;&#45212;&#48169;\GS&#54028;&#50892;\3.2024&#45380;%20&#50504;&#50577;&#51648;&#50669;%20&#49888;&#44508;&#44256;&#44061;%20&#50676;&#49688;&#49569;&#44288;&#44277;&#49324;" TargetMode="External"/><Relationship Id="rId563"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19"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95" Type="http://schemas.openxmlformats.org/officeDocument/2006/relationships/hyperlink" Target="..\AA&#51648;&#50669;&#48324;%20&#44204;&#51201;&#54788;&#54889;\2021&#45380;\&#44221;&#44592;&#45224;&#46041;&#48512;\&#49688;&#51648;&#51221;&#49688;&#51109;(1800Ax1650A%20&#52380;&#44277;%20&#50808;)-&#49688;&#44277;,&#45824;&#51200;&#44148;&#49444;" TargetMode="External"/><Relationship Id="rId16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16" Type="http://schemas.openxmlformats.org/officeDocument/2006/relationships/hyperlink" Target="../AA&#51648;&#50669;&#48324;%20&#44204;&#51201;&#54788;&#54889;/2021&#45380;/&#51648;&#50669;&#45212;&#48169;/GS&#54028;&#50892;/2021&#45380;%20&#47924;&#52264;&#45800;&#44277;&#49324;%20&#51077;&#52272;" TargetMode="External"/><Relationship Id="rId423" Type="http://schemas.openxmlformats.org/officeDocument/2006/relationships/hyperlink" Target="../AA&#51648;&#50669;&#48324;%20&#44204;&#51201;&#54788;&#54889;/2023&#45380;/&#51648;&#50669;&#45212;&#48169;/GS&#54028;&#50892;/2023&#45380;%20&#48512;&#52380;&#51648;&#50669;%20&#49888;&#44508;&#44256;&#44061;/&#49892;&#54665;-&#45796;&#47548;&#44148;&#49444;" TargetMode="External"/><Relationship Id="rId258" Type="http://schemas.openxmlformats.org/officeDocument/2006/relationships/hyperlink" Target="..\AA&#51648;&#50669;&#48324;%20&#44204;&#51201;&#54788;&#54889;\2022&#45380;\&#51648;&#50669;&#45212;&#48169;\GS&#54028;&#50892;\2021&#45380;%20&#48512;&#52380;&#51648;&#50669;%20&#49888;&#44508;&#44256;&#44061;%20&#50676;&#49688;&#49569;&#44288;&#44277;&#49324;\&#49849;&#51116;&#44277;&#50689;" TargetMode="External"/><Relationship Id="rId465" Type="http://schemas.openxmlformats.org/officeDocument/2006/relationships/hyperlink" Target="..\AA&#51648;&#50669;&#48324;%20&#44204;&#51201;&#54788;&#54889;\2024&#45380;\&#51204;&#46972;&#48513;&#46020;\&#44400;&#49328;%20&#44277;&#50629;&#50857;&#49688;&#46020;(1000A%20&#51116;&#52264;&#45800;)-&#49688;&#44277;,%20&#49340;&#48512;&#53664;&#44148;" TargetMode="External"/><Relationship Id="rId63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7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28" Type="http://schemas.openxmlformats.org/officeDocument/2006/relationships/hyperlink" Target="..\AA&#51648;&#50669;&#48324;%20&#44204;&#51201;&#54788;&#54889;\2024&#45380;\&#51648;&#50669;&#45212;&#48169;\&#49688;&#50756;&#50640;&#45320;&#51648;\&#52392;&#45800;3&#51648;&#44396;(450,%20&#48516;&#44592;%20300x100,%20150x125)-&#49688;&#50756;&#50640;&#45320;&#51648;,%20&#50976;&#54588;&#51060;&#50644;&#51648;" TargetMode="External"/><Relationship Id="rId22" Type="http://schemas.openxmlformats.org/officeDocument/2006/relationships/hyperlink" Target="../AA&#51648;&#50669;&#48324;%20&#44204;&#51201;&#54788;&#54889;/2021&#45380;/&#51648;&#50669;&#45212;&#48169;/GS&#54028;&#50892;/2021&#45380;%20&#47924;&#52264;&#45800;&#44277;&#49324;%20&#51077;&#52272;" TargetMode="External"/><Relationship Id="rId64"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18" Type="http://schemas.openxmlformats.org/officeDocument/2006/relationships/hyperlink" Target="..\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25" Type="http://schemas.openxmlformats.org/officeDocument/2006/relationships/hyperlink" Target="..\AA&#51648;&#50669;&#48324;%20&#44204;&#51201;&#54788;&#54889;\2023&#45380;\&#44221;&#49345;&#48513;&#46020;\&#44221;&#49328;(&#44053;&#44288;%201500&#22806;%20&#52264;&#45800;,%20&#52380;&#44277;%20&#54252;&#54632;)%20&#44221;&#49328;&#51221;&#49688;&#51109;,%20&#44221;&#49328;&#49884;,%20&#54635;&#46972;&#51064;" TargetMode="External"/><Relationship Id="rId367" Type="http://schemas.openxmlformats.org/officeDocument/2006/relationships/hyperlink" Target="..\AA&#51648;&#50669;&#48324;%20&#44204;&#51201;&#54788;&#54889;\2023&#45380;\&#52649;&#52397;&#48513;&#46020;\&#52397;&#51452;(2200x600%20&#22806;%20&#52380;&#44277;)-&#47749;&#51648;&#44592;&#49696;&#45800;" TargetMode="External"/><Relationship Id="rId532" Type="http://schemas.openxmlformats.org/officeDocument/2006/relationships/hyperlink" Target="..\AA&#51648;&#50669;&#48324;%20&#44204;&#51201;&#54788;&#54889;\2024&#45380;\&#51648;&#50669;&#45212;&#48169;\GS&#54028;&#50892;\3.2024&#45380;%20&#50504;&#50577;&#51648;&#50669;%20&#49888;&#44508;&#44256;&#44061;%20&#50676;&#49688;&#49569;&#44288;&#44277;&#49324;" TargetMode="External"/><Relationship Id="rId574" Type="http://schemas.openxmlformats.org/officeDocument/2006/relationships/hyperlink" Target="../AA&#51648;&#50669;&#48324;%20&#44204;&#51201;&#54788;&#54889;/2024&#45380;/&#51648;&#50669;&#45212;&#48169;/&#45824;&#51204;&#52649;&#45224;&#51648;&#50669;&#48376;&#48512;%20&#50500;&#49328;&#50640;&#45320;&#51648;&#49324;&#50629;&#45800;/&#50500;&#51060;&#50956;&#44148;&#49444;" TargetMode="External"/><Relationship Id="rId171" Type="http://schemas.openxmlformats.org/officeDocument/2006/relationships/hyperlink" Target="..\AA&#51648;&#50669;&#48324;%20&#44204;&#51201;&#54788;&#54889;\2022&#45380;\&#51204;&#46972;&#45224;&#46020;\&#51109;&#55141;(250A,300A.&#51452;&#52384;)-&#49688;&#44277;,&#49436;&#50689;&#50644;&#51648;&#45768;&#50612;&#47553;,&#53360;&#48731;&#51333;&#54633;&#44148;&#49444;" TargetMode="External"/><Relationship Id="rId227" Type="http://schemas.openxmlformats.org/officeDocument/2006/relationships/hyperlink" Target="..\AA&#51648;&#50669;&#48324;%20&#44204;&#51201;&#54788;&#54889;\2021&#45380;\&#51648;&#50669;&#45212;&#48169;\GS&#54028;&#50892;\2021&#45380;%20&#47924;&#52264;&#45800;&#44277;&#49324;%20&#51077;&#52272;" TargetMode="External"/><Relationship Id="rId269"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34" Type="http://schemas.openxmlformats.org/officeDocument/2006/relationships/hyperlink" Target="..\AA&#51648;&#50669;&#48324;%20&#44204;&#51201;&#54788;&#54889;\2023&#45380;\&#51648;&#50669;&#45212;&#48169;\GS&#54028;&#50892;" TargetMode="External"/><Relationship Id="rId476" Type="http://schemas.openxmlformats.org/officeDocument/2006/relationships/hyperlink" Target="..\AA&#51648;&#50669;&#48324;%20&#44204;&#51201;&#54788;&#54889;\2023&#45380;\&#51648;&#50669;&#45212;&#48169;\GS&#54028;&#50892;\&#44228;&#50577;&#51648;&#44396;(700Ax4P)-&#49849;&#51116;" TargetMode="External"/><Relationship Id="rId64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83" Type="http://schemas.openxmlformats.org/officeDocument/2006/relationships/hyperlink" Target="..\AA&#51648;&#50669;&#48324;%20&#44204;&#51201;&#54788;&#54889;\2025&#45380;\&#52649;&#52397;&#48513;&#46020;\&#49340;&#51221;&#48176;&#49688;&#51648;(1000x250)-&#51020;&#49457;&#44400;,%20&#45824;&#50896;&#51333;&#54633;&#44148;&#49444;" TargetMode="External"/><Relationship Id="rId739" Type="http://schemas.openxmlformats.org/officeDocument/2006/relationships/hyperlink" Target="..\AA&#51648;&#50669;&#48324;%20&#44204;&#51201;&#54788;&#54889;\2024&#45380;\&#51204;&#46972;&#48513;&#46020;\&#51061;&#49328;%20&#49437;&#53444;%20&#51088;&#50672;&#51116;&#54644;(1500A%20D-D)-&#51061;&#49328;&#49884;,%20&#54620;&#44032;&#46988;" TargetMode="External"/><Relationship Id="rId33" Type="http://schemas.openxmlformats.org/officeDocument/2006/relationships/hyperlink" Target="../AA&#51648;&#50669;&#48324;%20&#44204;&#51201;&#54788;&#54889;/2021&#45380;/&#52649;&#52397;&#48513;&#46020;/&#52649;&#51452;&#45840;&#44228;&#53685;-&#49688;&#51088;&#50896;&#44277;&#49324;,&#44228;&#47329;,&#46041;&#48512;,&#54620;&#49888;/2&#44277;&#44396;(1500A)-&#44228;&#47329;&#44148;&#49444;" TargetMode="External"/><Relationship Id="rId129" Type="http://schemas.openxmlformats.org/officeDocument/2006/relationships/hyperlink" Target="../AA&#51648;&#50669;&#48324;%20&#44204;&#51201;&#54788;&#54889;/2021&#45380;/&#44221;&#44592;&#45224;&#49436;&#48512;/&#51064;&#52380;%20&#44160;&#45800;%20&#48152;&#49437;&#44148;&#49444;%20&#44053;&#44288;700" TargetMode="External"/><Relationship Id="rId280"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501" Type="http://schemas.openxmlformats.org/officeDocument/2006/relationships/hyperlink" Target="../AA&#51648;&#50669;&#48324;%20&#44204;&#51201;&#54788;&#54889;/2024&#45380;/&#52649;&#52397;&#45224;&#46020;/&#50500;&#49328;(2000A,1200A)-&#49688;&#44277;,&#50472;&#54000;&#44148;&#49444;,%20(&#51452;)&#44053;&#47932;" TargetMode="External"/><Relationship Id="rId543" Type="http://schemas.openxmlformats.org/officeDocument/2006/relationships/hyperlink" Target="../AA&#51648;&#50669;&#48324;%20&#44204;&#51201;&#54788;&#54889;/2023&#45380;/&#44221;&#49345;&#45224;&#46020;/&#52285;&#50896;%20&#48393;&#44053;~&#47924;&#50504;(1350A)-&#49688;&#44277;,&#44221;&#45224;,BK%20eng" TargetMode="External"/><Relationship Id="rId75"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40" Type="http://schemas.openxmlformats.org/officeDocument/2006/relationships/hyperlink" Target="..\AA&#51648;&#50669;&#48324;%20&#44204;&#51201;&#54788;&#54889;\2022&#45380;\&#51204;&#46972;&#45224;&#46020;\&#51109;&#55141;(250A,300A.&#51452;&#52384;)-&#49688;&#44277;,&#49436;&#50689;&#50644;&#51648;&#45768;&#50612;&#47553;,&#53360;&#48731;&#51333;&#54633;&#44148;&#49444;" TargetMode="External"/><Relationship Id="rId182" Type="http://schemas.openxmlformats.org/officeDocument/2006/relationships/hyperlink" Target="../AA&#51648;&#50669;&#48324;%20&#44204;&#51201;&#54788;&#54889;/2022&#45380;/&#52649;&#52397;&#48513;&#46020;/&#52649;&#51452;&#45840;&#44228;&#53685;-&#49688;&#51088;&#50896;&#44277;&#49324;,&#44228;&#47329;,&#46041;&#48512;,&#54620;&#49888;/4&#44277;&#44396;(1000A,1100A)-&#54620;&#49888;&#44277;&#50689;" TargetMode="External"/><Relationship Id="rId378"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03" Type="http://schemas.openxmlformats.org/officeDocument/2006/relationships/hyperlink" Target="../AA&#51648;&#50669;&#48324;%20&#44204;&#51201;&#54788;&#54889;/2022&#45380;/&#44221;&#44592;&#45224;&#49436;&#48512;/&#50724;&#49328;(900A,%20&#44053;&#44288;)-&#49688;&#44277;,%20&#47749;&#48372;P&amp;C,%20&#50724;&#49328;&#49464;&#44368;" TargetMode="External"/><Relationship Id="rId585"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50"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6" Type="http://schemas.openxmlformats.org/officeDocument/2006/relationships/hyperlink" Target="../AA&#51648;&#50669;&#48324;%20&#44204;&#51201;&#54788;&#54889;/2021&#45380;/&#51648;&#50669;&#45212;&#48169;/GS&#54028;&#50892;/500Ax8P,%20150Ax12P-GS&#45348;&#50724;&#53581;(21.06.02)" TargetMode="External"/><Relationship Id="rId238"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45" Type="http://schemas.openxmlformats.org/officeDocument/2006/relationships/hyperlink" Target="..\AA&#51648;&#50669;&#48324;%20&#44204;&#51201;&#54788;&#54889;\2023&#45380;\&#44221;&#44592;&#45224;&#49436;&#48512;\&#54868;&#49457;&#46041;&#53444;(1350A)-&#49688;&#44277;,&#45824;&#51652;&#51333;&#54633;&#44148;&#49444;,&#44148;&#50577;&#44148;&#49444;" TargetMode="External"/><Relationship Id="rId487" Type="http://schemas.openxmlformats.org/officeDocument/2006/relationships/hyperlink" Target="..\AA&#51648;&#50669;&#48324;%20&#44204;&#51201;&#54788;&#54889;\2024&#45380;\&#51648;&#50669;&#45212;&#48169;\&#49340;&#52380;&#47532;&#51060;&#50644;&#51648;" TargetMode="External"/><Relationship Id="rId610" Type="http://schemas.openxmlformats.org/officeDocument/2006/relationships/hyperlink" Target="../AA&#51648;&#50669;&#48324;%20&#44204;&#51201;&#54788;&#54889;/2025&#45380;/&#44592;&#53440;/&#44305;&#50577;&#51228;&#52384;&#49548;(700Ax2P)-&#45824;&#50577;&#51060;&#50644;&#51648;" TargetMode="External"/><Relationship Id="rId65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94" Type="http://schemas.openxmlformats.org/officeDocument/2006/relationships/hyperlink" Target="..\AA&#51648;&#50669;&#48324;%20&#44204;&#51201;&#54788;&#54889;\2025&#45380;\&#44221;&#49345;&#45224;&#46020;\&#50872;&#49328;(&#50872;&#49328;&#44277;&#50629;&#50857;&#49688;&#46020;%20&#45432;&#54980;&#44288;%20&#44060;&#47049;&#44277;&#49324;(3&#52264;))-&#49688;&#51088;&#50896;&#44277;&#49324;\&#44552;&#54840;&#44148;&#49444;" TargetMode="External"/><Relationship Id="rId708"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91"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305" Type="http://schemas.openxmlformats.org/officeDocument/2006/relationships/hyperlink" Target="..\AA&#51648;&#50669;&#48324;%20&#44204;&#51201;&#54788;&#54889;\2022&#45380;\&#44221;&#44592;&#45224;&#46041;&#48512;\&#51060;&#52380;%20&#45824;&#54252;&#48176;&#49688;&#51648;(900A4P&#51452;&#52384;)&#44592;&#50672;&#44148;&#49444;" TargetMode="External"/><Relationship Id="rId347" Type="http://schemas.openxmlformats.org/officeDocument/2006/relationships/hyperlink" Target="../AA&#51648;&#50669;&#48324;%20&#44204;&#51201;&#54788;&#54889;/2023&#45380;/&#44221;&#44592;&#48513;&#48512;/&#54028;&#51452;(350A~900A)-&#54028;&#51452;&#49884;,&#45824;&#48169;&#44148;&#49444;" TargetMode="External"/><Relationship Id="rId512" Type="http://schemas.openxmlformats.org/officeDocument/2006/relationships/hyperlink" Target="../AA&#51648;&#50669;&#48324;%20&#44204;&#51201;&#54788;&#54889;/2024&#45380;/&#44221;&#49345;&#48513;&#46020;/&#44396;&#48120;%20&#47592;&#54532;&#47004;&#51648;%20&#52380;&#44277;&#44277;&#49324;%20300x250" TargetMode="External"/><Relationship Id="rId44" Type="http://schemas.openxmlformats.org/officeDocument/2006/relationships/hyperlink" Target="../AA&#51648;&#50669;&#48324;%20&#44204;&#51201;&#54788;&#54889;/2022&#45380;/&#44221;&#49345;&#48513;&#46020;/&#54252;&#54637;&#44277;&#50629;&#50857;&#49688;&#46020;2&#52264;(1350A%20PC&#44288;%20&#50808;)-&#49688;&#44277;,&#54868;&#51064;&#51333;&#54633;&#44148;&#49444;/" TargetMode="External"/><Relationship Id="rId86" Type="http://schemas.openxmlformats.org/officeDocument/2006/relationships/hyperlink" Target="../AA&#51648;&#50669;&#48324;%20&#44204;&#51201;&#54788;&#54889;/2021&#45380;/&#51648;&#50669;&#45212;&#48169;/GS&#54028;&#50892;/2021&#45380;%20&#47924;&#52264;&#45800;&#44277;&#49324;%20&#51077;&#52272;" TargetMode="External"/><Relationship Id="rId151" Type="http://schemas.openxmlformats.org/officeDocument/2006/relationships/hyperlink" Target="../AA&#51648;&#50669;&#48324;%20&#44204;&#51201;&#54788;&#54889;/2022&#45380;/&#44221;&#49345;&#45224;&#46020;/&#50872;&#49328;%20&#48276;&#49436;IC(2000A,%20PC&#44288;,%20&#44053;&#44288;)-&#54620;&#44397;&#46020;&#47196;&#44277;&#49324;,&#46020;&#50896;,&#49464;&#50689;&#51333;&#54633;&#44148;&#49444;" TargetMode="External"/><Relationship Id="rId389" Type="http://schemas.openxmlformats.org/officeDocument/2006/relationships/hyperlink" Target="..\AA&#51648;&#50669;&#48324;%20&#44204;&#51201;&#54788;&#54889;\2023&#45380;\&#52649;&#52397;&#48513;&#46020;\&#52649;&#51452;(2200x300,%202200x350)-&#49688;&#44277;,%20&#49340;&#50689;&#44592;&#49696;" TargetMode="External"/><Relationship Id="rId554"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596"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61" Type="http://schemas.openxmlformats.org/officeDocument/2006/relationships/hyperlink" Target="..\AA&#51648;&#50669;&#48324;%20&#44204;&#51201;&#54788;&#54889;\2023&#45380;\&#52649;&#52397;&#45224;&#46020;\&#45824;&#51204;%20&#50900;&#54217;&#51221;&#49688;&#51109;(D2400,2000,%201650%20&#46321;)-&#45824;&#51204;&#49884;,%20KCC&#44148;&#49444;" TargetMode="External"/><Relationship Id="rId193" Type="http://schemas.openxmlformats.org/officeDocument/2006/relationships/hyperlink" Target="..\AA&#51648;&#50669;&#48324;%20&#44204;&#51201;&#54788;&#54889;\2021&#45380;\&#51648;&#50669;&#45212;&#48169;\GS&#54028;&#50892;\2021&#45380;%20&#47924;&#52264;&#45800;&#44277;&#49324;%20&#51077;&#52272;" TargetMode="External"/><Relationship Id="rId207" Type="http://schemas.openxmlformats.org/officeDocument/2006/relationships/hyperlink" Target="../AA&#51648;&#50669;&#48324;%20&#44204;&#51201;&#54788;&#54889;/2022&#45380;/&#51648;&#50669;&#45212;&#48169;/GS&#54028;&#50892;/2021&#45380;%20&#48512;&#52380;&#51648;&#50669;%20&#49888;&#44508;&#44256;&#44061;%20&#50676;&#49688;&#49569;&#44288;&#44277;&#49324;/&#49849;&#51116;&#44277;&#50689;" TargetMode="External"/><Relationship Id="rId249" Type="http://schemas.openxmlformats.org/officeDocument/2006/relationships/hyperlink" Target="..\AA&#51648;&#50669;&#48324;%20&#44204;&#51201;&#54788;&#54889;\2022&#45380;\&#51204;&#46972;&#48513;&#46020;\&#51109;&#49688;&#44400;(&#51452;&#52384;%20350A%20&#22806;,%20&#53945;&#54728;&#54801;&#50557;)-&#49688;&#44277;%20&#46041;&#54868;&#44428;&#51648;&#49324;" TargetMode="External"/><Relationship Id="rId414" Type="http://schemas.openxmlformats.org/officeDocument/2006/relationships/hyperlink" Target="..\AA&#51648;&#50669;&#48324;%20&#44204;&#51201;&#54788;&#54889;\2023&#45380;\&#51648;&#50669;&#45212;&#48169;\&#48512;&#49328;&#46020;&#49884;&#44032;&#49828;\&#46300;&#47548;&#45208;&#51064;(&#51648;&#49457;&#50644;&#51648;&#45768;&#50612;&#47553;)" TargetMode="External"/><Relationship Id="rId456" Type="http://schemas.openxmlformats.org/officeDocument/2006/relationships/hyperlink" Target="../AA&#51648;&#50669;&#48324;%20&#44204;&#51201;&#54788;&#54889;/2023&#45380;/&#52649;&#52397;&#45224;&#46020;/&#50500;&#49328;(&#44053;%20900,%20&#51452;&#52384;%20600)-&#49688;&#44277;,%20&#51228;&#51060;&#50656;" TargetMode="External"/><Relationship Id="rId498" Type="http://schemas.openxmlformats.org/officeDocument/2006/relationships/hyperlink" Target="../AA&#51648;&#50669;&#48324;%20&#44204;&#51201;&#54788;&#54889;/2024&#45380;/&#51648;&#50669;&#45212;&#48169;/&#52397;&#46972;&#50640;&#45320;&#51648;/&#52285;&#44256;&#49884;&#49444;%20&#49888;&#52629;&#44277;&#49324;%20&#51060;&#49444;&#44277;&#49324;(350x4P)" TargetMode="External"/><Relationship Id="rId62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63" Type="http://schemas.openxmlformats.org/officeDocument/2006/relationships/hyperlink" Target="..\AA&#51648;&#50669;&#48324;%20&#44204;&#51201;&#54788;&#54889;\2024&#45380;\&#51204;&#46972;&#45224;&#46020;\&#44305;&#50577;1&#45800;&#44228;(&#44305;&#50577;&#44396;&#44036;%202000,%201650%20&#52264;&#45800;%20&#22806;)-&#49688;&#44277;,%20&#50752;&#53581;" TargetMode="External"/><Relationship Id="rId13"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09" Type="http://schemas.openxmlformats.org/officeDocument/2006/relationships/hyperlink" Target="..\AA&#51648;&#50669;&#48324;%20&#44204;&#51201;&#54788;&#54889;\2021&#45380;\&#51648;&#50669;&#45212;&#48169;\GS&#54028;&#50892;\2021&#45380;%20&#47924;&#52264;&#45800;&#44277;&#49324;%20&#51077;&#52272;" TargetMode="External"/><Relationship Id="rId260"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316" Type="http://schemas.openxmlformats.org/officeDocument/2006/relationships/hyperlink" Target="../AA&#51648;&#50669;&#48324;%20&#44204;&#51201;&#54788;&#54889;/2022&#45380;/&#44221;&#49345;&#45224;&#46020;/&#52285;&#50896;(&#51452;&#52384;%20600A,%20&#50577;&#45800;)-&#49688;&#44277;,%20&#54861;&#49688;&#44148;&#49444;" TargetMode="External"/><Relationship Id="rId523" Type="http://schemas.openxmlformats.org/officeDocument/2006/relationships/hyperlink" Target="..\AA&#51648;&#50669;&#48324;%20&#44204;&#51201;&#54788;&#54889;\2024&#45380;\&#44221;&#49345;&#48513;&#46020;\&#44256;&#47161;(&#51452;&#52384;%20800%201P%20&#44596;&#44553;)-&#49688;&#44277;,%20&#49688;&#44592;&#51452;" TargetMode="External"/><Relationship Id="rId719" Type="http://schemas.openxmlformats.org/officeDocument/2006/relationships/hyperlink" Target="..\AA&#51648;&#50669;&#48324;%20&#44204;&#51201;&#54788;&#54889;\2024&#45380;\&#51648;&#50669;&#45212;&#48169;\GS&#54028;&#50892;\4.2024&#45380;%20&#48512;&#52380;&#51648;&#50669;%20&#49888;&#44508;&#44256;&#44061;%20&#50676;&#49688;&#49569;&#44288;&#44277;&#49324;\&#49892;&#54665;" TargetMode="External"/><Relationship Id="rId55"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AA&#51648;&#50669;&#48324;%20&#44204;&#51201;&#54788;&#54889;/2021&#45380;/&#51648;&#50669;&#45212;&#48169;/GS&#54028;&#50892;/2021&#45380;%20&#47924;&#52264;&#45800;&#44277;&#49324;%20&#51077;&#52272;" TargetMode="External"/><Relationship Id="rId12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58" Type="http://schemas.openxmlformats.org/officeDocument/2006/relationships/hyperlink" Target="..\AA&#51648;&#50669;&#48324;%20&#44204;&#51201;&#54788;&#54889;\2022&#45380;\&#51204;&#46972;&#48513;&#46020;\&#51109;&#49688;&#44400;(&#51452;&#52384;%20350A%20&#22806;,%20&#53945;&#54728;&#54801;&#50557;)-&#49688;&#44277;%20&#46041;&#54868;&#44428;&#51648;&#49324;" TargetMode="External"/><Relationship Id="rId565"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3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162"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25" Type="http://schemas.openxmlformats.org/officeDocument/2006/relationships/hyperlink" Target="..\AA&#51648;&#50669;&#48324;%20&#44204;&#51201;&#54788;&#54889;\2023&#45380;\&#51204;&#46972;&#45224;&#46020;\&#44053;&#51652;~&#44305;&#51452;6&#44277;&#44396;(&#51452;&#52384;%20600)-&#54620;&#44397;&#46020;&#47196;&#44277;&#49324;,%20&#44537;&#46041;&#44148;&#49444;" TargetMode="External"/><Relationship Id="rId467" Type="http://schemas.openxmlformats.org/officeDocument/2006/relationships/hyperlink" Target="..\AA&#51648;&#50669;&#48324;%20&#44204;&#51201;&#54788;&#54889;\2024&#45380;\&#49436;&#50872;&#49884;\&#47785;&#46041;&#44368;~&#46020;&#47548;&#52380;&#44036;%20&#51109;&#44592;&#49324;&#50857;%20&#49569;&#48176;&#49688;&#44288;~(1500A)-&#49436;&#50872;&#49884;%20&#49345;&#49688;&#46020;&#49324;&#50629;&#48376;&#48512;" TargetMode="External"/><Relationship Id="rId63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71" Type="http://schemas.openxmlformats.org/officeDocument/2006/relationships/hyperlink" Target="..\AA&#51648;&#50669;&#48324;%20&#44204;&#51201;&#54788;&#54889;\2022&#45380;\&#51204;&#46972;&#45224;&#46020;\&#44305;&#50577;1&#45800;&#44228;(&#44305;&#50577;&#44396;&#44036;%202000,%201650%20&#52264;&#45800;%20&#22806;)-&#49688;&#44277;,%20&#50752;&#53581;" TargetMode="External"/><Relationship Id="rId674"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4" Type="http://schemas.openxmlformats.org/officeDocument/2006/relationships/hyperlink" Target="../AA&#51648;&#50669;&#48324;%20&#44204;&#51201;&#54788;&#54889;/2021&#45380;/&#52649;&#52397;&#45224;&#46020;/&#48372;&#47161;&#54788;&#45824;&#54868;(1200A,%20300A)-&#49688;&#44277;,%20&#44148;&#54868;" TargetMode="External"/><Relationship Id="rId66"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31" Type="http://schemas.openxmlformats.org/officeDocument/2006/relationships/hyperlink" Target="..\AA&#51648;&#50669;&#48324;%20&#44204;&#51201;&#54788;&#54889;\2021&#45380;\&#51648;&#50669;&#45212;&#48169;\GS&#54028;&#50892;\2021&#45380;%20&#47924;&#52264;&#45800;&#44277;&#49324;%20&#51077;&#52272;" TargetMode="External"/><Relationship Id="rId327"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369" Type="http://schemas.openxmlformats.org/officeDocument/2006/relationships/hyperlink" Target="..\AA&#51648;&#50669;&#48324;%20&#44204;&#51201;&#54788;&#54889;\2023&#45380;\&#44221;&#44592;&#48513;&#48512;\&#54028;&#51452;%20&#50900;&#47217;&#47732;%20&#50948;&#51204;&#47532;(800%204P)-&#49688;&#44277;%20&#54028;&#51452;&#49688;&#46020;&#51648;&#49324;" TargetMode="External"/><Relationship Id="rId534"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576" Type="http://schemas.openxmlformats.org/officeDocument/2006/relationships/hyperlink" Target="..\AA&#51648;&#50669;&#48324;%20&#44204;&#51201;&#54788;&#54889;\2024&#45380;\&#51648;&#50669;&#45212;&#48169;\&#45824;&#51204;&#52649;&#45224;&#51648;&#50669;&#48376;&#48512;%20&#50500;&#49328;&#50640;&#45320;&#51648;&#49324;&#50629;&#45800;\&#50500;&#51060;&#50956;&#44148;&#49444;" TargetMode="External"/><Relationship Id="rId741" Type="http://schemas.openxmlformats.org/officeDocument/2006/relationships/hyperlink" Target="..\AA&#51648;&#50669;&#48324;%20&#44204;&#51201;&#54788;&#54889;\2025&#45380;\&#51648;&#50669;&#45212;&#48169;\GS&#54028;&#50892;\1.&#50504;&#50577;\14.&#50504;&#50577;%20750A(&#54620;&#51008;)" TargetMode="External"/><Relationship Id="rId173"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29"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80" Type="http://schemas.openxmlformats.org/officeDocument/2006/relationships/hyperlink" Target="..\AA&#51648;&#50669;&#48324;%20&#44204;&#51201;&#54788;&#54889;\2023&#45380;\&#49569;&#50976;&#44288;\&#47928;&#54868;&#51648;&#50644;&#53076;" TargetMode="External"/><Relationship Id="rId436" Type="http://schemas.openxmlformats.org/officeDocument/2006/relationships/hyperlink" Target="..\AA&#51648;&#50669;&#48324;%20&#44204;&#51201;&#54788;&#54889;\2023&#45380;\&#44221;&#49345;&#48513;&#46020;\&#54252;&#54637;%20&#50504;&#44228;&#45840;(1350A)-&#49688;&#44277;,&#50976;&#49888;,&#44537;&#46041;&#44148;&#49444;\23&#45380;%20&#52380;&#44277;&#44204;&#51201;" TargetMode="External"/><Relationship Id="rId60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43" Type="http://schemas.openxmlformats.org/officeDocument/2006/relationships/hyperlink" Target="..\AA&#51648;&#50669;&#48324;%20&#44204;&#51201;&#54788;&#54889;\2024&#45380;\&#51648;&#50669;&#45212;&#48169;\GS&#54028;&#50892;\4.2024&#45380;%20&#48512;&#52380;&#51648;&#50669;%20&#49888;&#44508;&#44256;&#44061;%20&#50676;&#49688;&#49569;&#44288;&#44277;&#49324;\&#49892;&#54665;" TargetMode="External"/><Relationship Id="rId240" Type="http://schemas.openxmlformats.org/officeDocument/2006/relationships/hyperlink" Target="..\AA&#51648;&#50669;&#48324;%20&#44204;&#51201;&#54788;&#54889;\2022&#45380;\&#44592;&#53440;\&#45824;&#49328;%20LG&#54868;&#54617;" TargetMode="External"/><Relationship Id="rId478" Type="http://schemas.openxmlformats.org/officeDocument/2006/relationships/hyperlink" Target="../AA&#51648;&#50669;&#48324;%20&#44204;&#51201;&#54788;&#54889;/2024&#45380;/&#44592;&#53440;/&#54788;&#45824;&#51228;&#52384;/&#54868;&#49457;%201,2&#44592;%20&#45453;&#50504;&#49688;%20&#50676;&#44368;&#54872;&#44592;%20&#48184;&#48652;&#44368;&#52404;%20&#44277;&#49324;(250A)%2024.03.21" TargetMode="External"/><Relationship Id="rId685" Type="http://schemas.openxmlformats.org/officeDocument/2006/relationships/hyperlink" Target="..\AA&#51648;&#50669;&#48324;%20&#44204;&#51201;&#54788;&#54889;\2025&#45380;\&#52649;&#52397;&#48513;&#46020;\&#51613;&#54217;&#44228;&#53685;(&#51452;&#52384;&#44288;%20600A)-&#46020;&#54868;&#50644;&#51648;&#45768;&#50612;&#47553;,%20&#49688;&#44277;" TargetMode="External"/><Relationship Id="rId35" Type="http://schemas.openxmlformats.org/officeDocument/2006/relationships/hyperlink" Target="../AA&#51648;&#50669;&#48324;%20&#44204;&#51201;&#54788;&#54889;/2021&#45380;/&#44221;&#49345;&#45224;&#46020;/&#52285;&#50896;&#44277;&#50629;&#50857;&#49688;&#46020;-&#49688;&#44277;,&#49340;&#48512;&#53664;&#44148;/600Ax1P(&#51452;&#52384;)-21.03.08(&#51060;&#48337;&#46020;)" TargetMode="External"/><Relationship Id="rId77"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0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82" Type="http://schemas.openxmlformats.org/officeDocument/2006/relationships/hyperlink" Target="../AA&#51648;&#50669;&#48324;%20&#44204;&#51201;&#54788;&#54889;/2022&#45380;/&#52649;&#52397;&#48513;&#46020;/&#52649;&#51452;(&#51060;&#52380;~&#47928;&#44221;,%20200A~1350A)-&#54620;&#44397;&#52384;&#46020;&#49884;&#49444;&#44277;&#45800;,&#54788;&#45824;&#44148;&#49444;,&#45824;&#49457;&#44592;&#44277;" TargetMode="External"/><Relationship Id="rId338"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503" Type="http://schemas.openxmlformats.org/officeDocument/2006/relationships/hyperlink" Target="..\AA&#51648;&#50669;&#48324;%20&#44204;&#51201;&#54788;&#54889;\2024&#45380;\&#51648;&#50669;&#45212;&#48169;\&#49340;&#52380;&#47532;&#51060;&#50644;&#51648;" TargetMode="External"/><Relationship Id="rId545" Type="http://schemas.openxmlformats.org/officeDocument/2006/relationships/hyperlink" Target="../AA&#51648;&#50669;&#48324;%20&#44204;&#51201;&#54788;&#54889;/2023&#45380;/&#44221;&#49345;&#45224;&#46020;/&#52285;&#50896;%20&#48393;&#44053;~&#47924;&#50504;(1350A)-&#49688;&#44277;,&#44221;&#45224;,BK%20eng" TargetMode="External"/><Relationship Id="rId587" Type="http://schemas.openxmlformats.org/officeDocument/2006/relationships/hyperlink" Target="../AA&#51648;&#50669;&#48324;%20&#44204;&#51201;&#54788;&#54889;/2023&#45380;/&#44221;&#49345;&#45224;&#46020;/&#52285;&#50896;%20&#48393;&#44053;~&#47924;&#50504;(1350A)-&#49688;&#44277;,&#44221;&#45224;,BK%20eng" TargetMode="External"/><Relationship Id="rId71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52"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8" Type="http://schemas.openxmlformats.org/officeDocument/2006/relationships/hyperlink" Target="../AA&#51648;&#50669;&#48324;%20&#44204;&#51201;&#54788;&#54889;/2021&#45380;/&#51648;&#50669;&#45212;&#48169;/GS&#54028;&#50892;/2021&#45380;%20&#47924;&#52264;&#45800;&#44277;&#49324;%20&#51077;&#52272;" TargetMode="External"/><Relationship Id="rId142" Type="http://schemas.openxmlformats.org/officeDocument/2006/relationships/hyperlink" Target="..\AA&#51648;&#50669;&#48324;%20&#44204;&#51201;&#54788;&#54889;\2021&#45380;\&#51648;&#50669;&#45212;&#48169;\GS&#54028;&#50892;\2021&#45380;%20&#47924;&#52264;&#45800;&#44277;&#49324;%20&#51077;&#52272;" TargetMode="External"/><Relationship Id="rId184"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05" Type="http://schemas.openxmlformats.org/officeDocument/2006/relationships/hyperlink" Target="..\AA&#51648;&#50669;&#48324;%20&#44204;&#51201;&#54788;&#54889;\2023&#45380;\&#44221;&#44592;&#45224;&#49436;&#48512;\&#49884;&#55141;%20&#51008;&#44228;%20&#44277;&#44277;&#51452;&#53469;(1650x250)-LH,%20&#44228;&#47329;&#44148;&#49444;,%20&#50864;&#47161;&#44148;&#49444;" TargetMode="External"/><Relationship Id="rId447" Type="http://schemas.openxmlformats.org/officeDocument/2006/relationships/hyperlink" Target="../AA&#51648;&#50669;&#48324;%20&#44204;&#51201;&#54788;&#54889;/2023&#45380;/&#44221;&#49345;&#45224;&#46020;/&#44144;&#51228;&#46020;(900x900)-&#49688;&#44277;,&#50724;&#46301;&#44540;" TargetMode="External"/><Relationship Id="rId61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51"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89" Type="http://schemas.openxmlformats.org/officeDocument/2006/relationships/hyperlink" Target="../AA&#51648;&#50669;&#48324;%20&#44204;&#51201;&#54788;&#54889;/2023&#45380;/&#44592;&#53440;/&#54788;&#45824;&#51228;&#52384;(Steam%20350A%204P%20&#22806;)%20-%20&#46160;&#54805;&#50644;&#51648;&#45768;&#50612;&#47553;" TargetMode="External"/><Relationship Id="rId654" Type="http://schemas.openxmlformats.org/officeDocument/2006/relationships/hyperlink" Target="../AA&#51648;&#50669;&#48324;%20&#44204;&#51201;&#54788;&#54889;/2024&#45380;/&#51648;&#50669;&#45212;&#48169;/&#49436;&#50872;&#50640;&#45320;&#51648;&#44277;&#49324;/&#44277;&#44396;A-&#46041;&#48513;&#49440;%20&#46020;&#49884;&#52384;&#46020;(300x12,%20150x4,%2065x4)" TargetMode="External"/><Relationship Id="rId696" Type="http://schemas.openxmlformats.org/officeDocument/2006/relationships/hyperlink" Target="..\AA&#51648;&#50669;&#48324;%20&#44204;&#51201;&#54788;&#54889;\2025&#45380;\&#51648;&#50669;&#45212;&#48169;\GS&#54028;&#50892;\1.&#50504;&#50577;\12.2025&#45380;%20&#50504;&#50577;&#51648;&#50669;%20&#50676;&#49688;&#49569;&#44288;%20&#49457;&#45733;&#52712;&#50557;%20&#44060;&#49440;&#44277;&#49324;(700,%20550%20&#50808;)" TargetMode="External"/><Relationship Id="rId46" Type="http://schemas.openxmlformats.org/officeDocument/2006/relationships/hyperlink" Target="../AA&#51648;&#50669;&#48324;%20&#44204;&#51201;&#54788;&#54889;/2021&#45380;/&#51648;&#50669;&#45212;&#48169;/GS&#54028;&#50892;/2021&#45380;%20&#47924;&#52264;&#45800;&#44277;&#49324;%20&#51077;&#52272;" TargetMode="External"/><Relationship Id="rId293" Type="http://schemas.openxmlformats.org/officeDocument/2006/relationships/hyperlink" Target="..\AA&#51648;&#50669;&#48324;%20&#44204;&#51201;&#54788;&#54889;\2022&#45380;\&#44221;&#44592;&#45224;&#49436;&#48512;\&#49884;&#55141;(1200A%20&#50808;)-&#49688;&#44277;,&#44537;&#46041;&#44148;&#49444;,%20&#52397;&#49688;(&#54840;&#50672;&#53664;&#44148;)" TargetMode="External"/><Relationship Id="rId307" Type="http://schemas.openxmlformats.org/officeDocument/2006/relationships/hyperlink" Target="..\AA&#51648;&#50669;&#48324;%20&#44204;&#51201;&#54788;&#54889;\2022&#45380;\&#51204;&#46972;&#48513;&#46020;\&#51109;&#49688;&#44400;(&#51452;&#52384;%20350A%20&#22806;,%20&#53945;&#54728;&#54801;&#50557;)-&#49688;&#44277;%20&#46041;&#54868;&#44428;&#51648;&#49324;" TargetMode="External"/><Relationship Id="rId349" Type="http://schemas.openxmlformats.org/officeDocument/2006/relationships/hyperlink" Target="..\AA&#51648;&#50669;&#48324;%20&#44204;&#51201;&#54788;&#54889;\2023&#45380;\&#51204;&#46972;&#48513;&#46020;\&#44400;&#49328;,&#51204;&#51452;(1100,%20900%20&#44033;1P%20&#44053;&#44288;)-&#49688;&#44277;,%20&#49340;&#48512;&#53664;&#44148;" TargetMode="External"/><Relationship Id="rId514" Type="http://schemas.openxmlformats.org/officeDocument/2006/relationships/hyperlink" Target="../AA&#51648;&#50669;&#48324;%20&#44204;&#51201;&#54788;&#54889;/2024&#45380;/&#49569;&#50976;&#44288;/&#51064;&#52380;&#44397;&#51228;&#44277;&#54637;/&#51064;&#52380;%20&#44277;&#54637;%20600A%20&#52264;&#45800;&#44277;&#49324;(&#45224;&#44396;&#55148;)/&#44228;&#50557;&#49436;(600Ax2P)-2408" TargetMode="External"/><Relationship Id="rId556" Type="http://schemas.openxmlformats.org/officeDocument/2006/relationships/hyperlink" Target="..\AA&#51648;&#50669;&#48324;%20&#44204;&#51201;&#54788;&#54889;\2022&#45380;\&#52649;&#52397;&#48513;&#46020;\&#52649;&#51452;%20&#44277;&#44400;17&#48708;&#54665;&#45800;(&#44053;&#44288;-&#49569;&#50976;&#44288;%20200A,150A)%20-%20&#44397;&#48169;&#49884;&#49444;&#48376;&#48512;,&#54616;&#51060;&#54260;\17&#48708;&#54665;&#45800;%20&#50976;&#50689;&#50865;" TargetMode="External"/><Relationship Id="rId721" Type="http://schemas.openxmlformats.org/officeDocument/2006/relationships/hyperlink" Target="../AA&#51648;&#50669;&#48324;%20&#44204;&#51201;&#54788;&#54889;/2025&#45380;/&#49569;&#50976;&#44288;/&#44277;&#44400;%2000&#48512;&#45824;%20&#49569;&#50976;&#44288;(300,%20250)-&#54616;&#51060;&#54260;" TargetMode="External"/><Relationship Id="rId763" Type="http://schemas.openxmlformats.org/officeDocument/2006/relationships/hyperlink" Target="../AA&#51648;&#50669;&#48324;%20&#44204;&#51201;&#54788;&#54889;/2024&#45380;/&#51204;&#46972;&#45224;&#46020;/&#44305;&#50577;(1)%20&#44305;&#50577;&#49888;&#44396;&#44228;&#53685;(D2000)-&#46041;&#47749;&#44592;&#49696;&#44277;&#45800;,%20&#49688;&#44277;/&#44537;&#46041;&#44148;&#49444;" TargetMode="External"/><Relationship Id="rId88" Type="http://schemas.openxmlformats.org/officeDocument/2006/relationships/hyperlink" Target="../AA&#51648;&#50669;&#48324;%20&#44204;&#51201;&#54788;&#54889;/2021&#45380;/&#44221;&#44592;&#45224;&#49436;&#48512;/&#50504;&#49328;(500A,%20600A,%20&#51452;&#52384;)-&#50504;&#49328;&#49884;,&#49888;&#44305;&#44592;&#50629;&#49324;,%20&#54620;&#46160;&#44148;&#49444;" TargetMode="External"/><Relationship Id="rId111" Type="http://schemas.openxmlformats.org/officeDocument/2006/relationships/hyperlink" Target="..\AA&#51648;&#50669;&#48324;%20&#44204;&#51201;&#54788;&#54889;\2021&#45380;\&#51204;&#46972;&#48513;&#46020;\&#51204;&#51452;%20&#49352;&#47564;&#44552;~(350A,700A.&#51452;&#52384;)-&#49688;&#44277;&#51204;&#51452;&#44428;,&#50500;&#53468;&#44148;&#49444;" TargetMode="External"/><Relationship Id="rId153" Type="http://schemas.openxmlformats.org/officeDocument/2006/relationships/hyperlink" Target="..\AA&#51648;&#50669;&#48324;%20&#44204;&#51201;&#54788;&#54889;\2022&#45380;\&#52649;&#52397;&#48513;&#46020;\&#52649;&#51452;&#45840;&#44228;&#53685;-&#49688;&#51088;&#50896;&#44277;&#49324;,&#44228;&#47329;,&#46041;&#48512;,&#54620;&#49888;\3&#44277;&#44396;(1350A,1500A)-&#46041;&#48512;&#44148;&#49444;" TargetMode="External"/><Relationship Id="rId195"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09" Type="http://schemas.openxmlformats.org/officeDocument/2006/relationships/hyperlink" Target="..\AA&#51648;&#50669;&#48324;%20&#44204;&#51201;&#54788;&#54889;\2022&#45380;\&#51648;&#50669;&#45212;&#48169;\GS&#54028;&#50892;\&#49884;&#55141;&#47785;&#44048;(450Ax8P)-&#50640;&#51060;&#52824;&#54540;&#47084;&#49828;&#50640;&#53076;" TargetMode="External"/><Relationship Id="rId360" Type="http://schemas.openxmlformats.org/officeDocument/2006/relationships/hyperlink" Target="..\AA&#51648;&#50669;&#48324;%20&#44204;&#51201;&#54788;&#54889;\2023&#45380;\&#51648;&#50669;&#45212;&#48169;\GS&#45348;&#50724;&#53581;\&#51064;&#52380;%20&#48143;%20&#44608;&#54252;%20&#49688;&#50857;&#44032;%20&#51064;&#51077;%20&#50676;&#49688;&#49569;&#44288;&#44277;&#49324;%20&#51473;%20&#48516;&#44592;TEE&#52380;&#44277;%20&#44277;&#49324;-220922" TargetMode="External"/><Relationship Id="rId416" Type="http://schemas.openxmlformats.org/officeDocument/2006/relationships/hyperlink" Target="..\AA&#51648;&#50669;&#48324;%20&#44204;&#51201;&#54788;&#54889;\2023&#45380;\&#49569;&#50976;&#44288;\&#47928;&#54868;&#51648;&#50644;&#53076;" TargetMode="External"/><Relationship Id="rId598" Type="http://schemas.openxmlformats.org/officeDocument/2006/relationships/hyperlink" Target="..\AA&#51648;&#50669;&#48324;%20&#44204;&#51201;&#54788;&#54889;\2024&#45380;\&#44221;&#49345;&#45224;&#46020;\&#44608;&#54644;(&#47588;&#47532;~&#50577;&#49328;%202400A)-&#44221;&#49345;&#45224;&#46020;,%20KR&#44148;&#49444;,%20&#46020;&#50896;" TargetMode="External"/><Relationship Id="rId220" Type="http://schemas.openxmlformats.org/officeDocument/2006/relationships/hyperlink" Target="..\AA&#51648;&#50669;&#48324;%20&#44204;&#51201;&#54788;&#54889;\2022&#45380;\&#51648;&#50669;&#45212;&#48169;\&#49340;&#52380;&#47532;&#51060;&#50644;&#51648;" TargetMode="External"/><Relationship Id="rId458" Type="http://schemas.openxmlformats.org/officeDocument/2006/relationships/hyperlink" Target="..\AA&#51648;&#50669;&#48324;%20&#44204;&#51201;&#54788;&#54889;\2024&#45380;\&#51648;&#50669;&#45212;&#48169;\GS&#54028;&#50892;\&#50500;&#51204;&#51060;&#50644;&#50472;" TargetMode="External"/><Relationship Id="rId623" Type="http://schemas.openxmlformats.org/officeDocument/2006/relationships/hyperlink" Target="../AA&#51648;&#50669;&#48324;%20&#44204;&#51201;&#54788;&#54889;/2023&#45380;/&#44221;&#44592;&#45224;&#46041;&#48512;/&#54217;&#53469;(1200x500,%20900x500)-&#50689;&#44148;&#49444;,%20&#54217;&#53469;&#49884;" TargetMode="External"/><Relationship Id="rId665" Type="http://schemas.openxmlformats.org/officeDocument/2006/relationships/hyperlink" Target="../AA&#51648;&#50669;&#48324;%20&#44204;&#51201;&#54788;&#54889;/2025&#45380;/&#51648;&#50669;&#45212;&#48169;/&#49340;&#52380;&#47532;&#51060;&#50644;&#51648;" TargetMode="External"/><Relationship Id="rId15"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57" Type="http://schemas.openxmlformats.org/officeDocument/2006/relationships/hyperlink" Target="..\AA&#51648;&#50669;&#48324;%20&#44204;&#51201;&#54788;&#54889;\2021&#45380;\&#44221;&#49345;&#48513;&#46020;\&#50689;&#52380;&#45840;%20&#50504;&#51204;&#49457;&#44053;&#54868;&#49324;&#50629;(900A,%20&#44053;&#44288;)-&#49340;&#48512;&#53664;&#44148;" TargetMode="External"/><Relationship Id="rId262" Type="http://schemas.openxmlformats.org/officeDocument/2006/relationships/hyperlink" Target="../AA&#51648;&#50669;&#48324;%20&#44204;&#51201;&#54788;&#54889;/2022&#45380;/&#44221;&#44592;&#48513;&#48512;/&#54252;&#52380;(700A,600A)&#49457;&#51652;&#51333;&#54633;&#44148;&#49444;" TargetMode="External"/><Relationship Id="rId318" Type="http://schemas.openxmlformats.org/officeDocument/2006/relationships/hyperlink" Target="..\AA&#51648;&#50669;&#48324;%20&#44204;&#51201;&#54788;&#54889;\2021&#45380;\&#44221;&#44592;&#48513;&#48512;\&#54028;&#51452;(350A~900A)-&#54028;&#51452;&#49884;,&#45824;&#48169;&#44148;&#49444;" TargetMode="External"/><Relationship Id="rId525"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567"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3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99" Type="http://schemas.openxmlformats.org/officeDocument/2006/relationships/hyperlink" Target="../AA&#51648;&#50669;&#48324;%20&#44204;&#51201;&#54788;&#54889;/2021&#45380;/&#51648;&#50669;&#45212;&#48169;/GS&#54028;&#50892;/2021&#45380;%20&#47924;&#52264;&#45800;&#44277;&#49324;%20&#51077;&#52272;" TargetMode="External"/><Relationship Id="rId122" Type="http://schemas.openxmlformats.org/officeDocument/2006/relationships/hyperlink" Target="..\AA&#51648;&#50669;&#48324;%20&#44204;&#51201;&#54788;&#54889;\2022&#45380;\&#52649;&#52397;&#48513;&#46020;\&#52649;&#51452;&#45840;&#44228;&#53685;-&#49688;&#51088;&#50896;&#44277;&#49324;,&#44228;&#47329;,&#46041;&#48512;,&#54620;&#49888;\4&#44277;&#44396;(1000A,1100A)-&#54620;&#49888;&#44277;&#50689;" TargetMode="External"/><Relationship Id="rId164" Type="http://schemas.openxmlformats.org/officeDocument/2006/relationships/hyperlink" Target="..\AA&#51648;&#50669;&#48324;%20&#44204;&#51201;&#54788;&#54889;\2022&#45380;\&#44221;&#44592;&#45224;&#46041;&#48512;\&#50504;&#49457;~&#44396;&#47532;%20&#44256;&#49549;&#46020;&#47196;%2012&#44277;&#44396;(2000A,2200A)-&#46020;&#47196;&#44277;&#49324;,&#44256;&#47140;&#44060;&#48156;" TargetMode="External"/><Relationship Id="rId371" Type="http://schemas.openxmlformats.org/officeDocument/2006/relationships/hyperlink" Target="..\AA&#51648;&#50669;&#48324;%20&#44204;&#51201;&#54788;&#54889;\2023&#45380;\&#44221;&#49345;&#45224;&#46020;\&#50872;&#49328;(&#50872;&#49328;&#44277;&#50629;&#50857;&#49688;&#46020;%20&#45432;&#54980;&#44288;%20&#44060;&#47049;&#44277;&#49324;(3&#52264;))-&#49688;&#51088;&#50896;&#44277;&#49324;" TargetMode="External"/><Relationship Id="rId427" Type="http://schemas.openxmlformats.org/officeDocument/2006/relationships/hyperlink" Target="..\AA&#51648;&#50669;&#48324;%20&#44204;&#51201;&#54788;&#54889;\2023&#45380;\&#51648;&#50669;&#45212;&#48169;\GS&#54028;&#50892;" TargetMode="External"/><Relationship Id="rId469" Type="http://schemas.openxmlformats.org/officeDocument/2006/relationships/hyperlink" Target="..\AA&#51648;&#50669;&#48324;%20&#44204;&#51201;&#54788;&#54889;\2024&#45380;\&#49436;&#50872;&#49884;\&#47785;&#46041;&#44368;~&#46020;&#47548;&#52380;&#44036;%20&#51109;&#44592;&#49324;&#50857;%20&#49569;&#48176;&#49688;&#44288;~(1500A)-&#49436;&#50872;&#49884;%20&#49345;&#49688;&#46020;&#49324;&#50629;&#48376;&#48512;" TargetMode="External"/><Relationship Id="rId634" Type="http://schemas.openxmlformats.org/officeDocument/2006/relationships/hyperlink" Target="..\AA&#51648;&#50669;&#48324;%20&#44204;&#51201;&#54788;&#54889;\2025&#45380;\&#44221;&#44592;&#45224;&#49436;&#48512;\&#49884;&#55141;%20&#49688;&#46020;&#44428;%204&#45800;&#44228;%20&#44305;&#50669;&#49345;&#49688;&#46020;%20&#48373;&#49440;&#54868;&#49324;&#50629;(1800,%201500,%201000)" TargetMode="External"/><Relationship Id="rId676" Type="http://schemas.openxmlformats.org/officeDocument/2006/relationships/hyperlink" Target="../AA&#51648;&#50669;&#48324;%20&#44204;&#51201;&#54788;&#54889;/2025&#45380;/&#51648;&#50669;&#45212;&#48169;/&#45208;&#47000;&#50640;&#45320;&#51648;&#49436;&#48708;&#49828;/2025&#45380;%20&#49888;&#44508;%20&#50676;&#49688;&#49569;&#44288;&#44277;&#49324;" TargetMode="External"/><Relationship Id="rId26" Type="http://schemas.openxmlformats.org/officeDocument/2006/relationships/hyperlink" Target="../AA&#51648;&#50669;&#48324;%20&#44204;&#51201;&#54788;&#54889;/2021&#45380;/&#51648;&#50669;&#45212;&#48169;/GS&#54028;&#50892;/2021&#45380;%20&#47924;&#52264;&#45800;&#44277;&#49324;%20&#51077;&#52272;" TargetMode="External"/><Relationship Id="rId231" Type="http://schemas.openxmlformats.org/officeDocument/2006/relationships/hyperlink" Target="../AA&#51648;&#50669;&#48324;%20&#44204;&#51201;&#54788;&#54889;/2022&#45380;/&#51648;&#50669;&#45212;&#48169;/LH/&#49892;&#54665;/&#44228;&#50557;%2022.07.12%20(&#50500;&#51204;&#51060;&#50644;&#50472;)" TargetMode="External"/><Relationship Id="rId273" Type="http://schemas.openxmlformats.org/officeDocument/2006/relationships/hyperlink" Target="..\AA&#51648;&#50669;&#48324;%20&#44204;&#51201;&#54788;&#54889;\2022&#45380;\&#49569;&#50976;&#44288;\&#51064;&#52380;(600A)-SK&#51064;&#52380;&#49437;&#50976;&#54868;&#54617;" TargetMode="External"/><Relationship Id="rId329" Type="http://schemas.openxmlformats.org/officeDocument/2006/relationships/hyperlink" Target="..\AA&#51648;&#50669;&#48324;%20&#44204;&#51201;&#54788;&#54889;\2023&#45380;\&#51648;&#50669;&#45212;&#48169;\&#49436;&#50872;&#50640;&#45320;&#51648;&#44277;&#49324;\&#44396;&#49345;&#50640;&#45320;&#51648;%20&#45800;&#44032;" TargetMode="External"/><Relationship Id="rId480" Type="http://schemas.openxmlformats.org/officeDocument/2006/relationships/hyperlink" Target="..\AA&#51648;&#50669;&#48324;%20&#44204;&#51201;&#54788;&#54889;\2024&#45380;\&#51204;&#46972;&#45224;&#46020;\&#50668;&#49688;%20pc&#44288;%20&#52380;&#44277;(900x600A%20&#50808;)" TargetMode="External"/><Relationship Id="rId536"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0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8"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33" Type="http://schemas.openxmlformats.org/officeDocument/2006/relationships/hyperlink" Target="..\AA&#51648;&#50669;&#48324;%20&#44204;&#51201;&#54788;&#54889;\2022&#45380;\&#51204;&#46972;&#45224;&#46020;\&#51109;&#55141;(250A,300A.&#51452;&#52384;)-&#49688;&#44277;,&#49436;&#50689;&#50644;&#51648;&#45768;&#50612;&#47553;,&#53360;&#48731;&#51333;&#54633;&#44148;&#49444;" TargetMode="External"/><Relationship Id="rId175" Type="http://schemas.openxmlformats.org/officeDocument/2006/relationships/hyperlink" Target="..\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AA&#51648;&#50669;&#48324;%20&#44204;&#51201;&#54788;&#54889;\2023&#45380;\&#44221;&#49345;&#48513;&#46020;\&#44221;&#49328;(&#44053;&#44288;%201500&#22806;%20&#52264;&#45800;,%20&#52380;&#44277;%20&#54252;&#54632;)%20&#44221;&#49328;&#51221;&#49688;&#51109;,%20&#44221;&#49328;&#49884;,%20&#54635;&#46972;&#51064;" TargetMode="External"/><Relationship Id="rId578" Type="http://schemas.openxmlformats.org/officeDocument/2006/relationships/hyperlink" Target="..\AA&#51648;&#50669;&#48324;%20&#44204;&#51201;&#54788;&#54889;\2025&#45380;\&#44221;&#44592;&#45224;&#49436;&#48512;\&#51064;&#52380;(500A%20&#44596;&#44553;%20&#53804;&#51077;%20&#44148;)-&#51064;&#52380;&#49884;&#49345;&#49688;&#46020;&#49324;&#50629;&#48376;&#48512;" TargetMode="External"/><Relationship Id="rId743"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20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38" Type="http://schemas.openxmlformats.org/officeDocument/2006/relationships/hyperlink" Target="..\AA&#51648;&#50669;&#48324;%20&#44204;&#51201;&#54788;&#54889;\2023&#45380;\&#44221;&#44592;&#45224;&#46041;&#48512;\&#54217;&#53469;~&#50724;&#49328;%20&#44397;&#46020;&#54869;&#51109;&#44277;&#49324;(1350A%20&#51060;&#49444;)-&#49688;&#44277;,&#49436;&#50872;&#51648;&#48169;&#44397;&#53664;&#44288;&#47532;&#52397;,&#54952;&#44305;eng\&#49345;&#49328;&#44148;&#49444;-23.04.05" TargetMode="External"/><Relationship Id="rId603" Type="http://schemas.openxmlformats.org/officeDocument/2006/relationships/hyperlink" Target="../AA&#51648;&#50669;&#48324;%20&#44204;&#51201;&#54788;&#54889;/2024&#45380;/&#44221;&#44592;&#48513;&#48512;/&#54028;&#51452;(350A~900A)-&#54028;&#51452;&#49884;,&#45824;&#48169;&#44148;&#49444;/&#52628;&#44032;&#44204;&#51201;(900,%20800,%20200)-240611" TargetMode="External"/><Relationship Id="rId645" Type="http://schemas.openxmlformats.org/officeDocument/2006/relationships/hyperlink" Target="..\AA&#51648;&#50669;&#48324;%20&#44204;&#51201;&#54788;&#54889;\2025&#45380;\&#44221;&#44592;&#45224;&#49436;&#48512;\&#49884;&#55141;%20&#49688;&#46020;&#44428;%204&#45800;&#44228;%20&#44305;&#50669;&#49345;&#49688;&#46020;%20&#48373;&#49440;&#54868;&#49324;&#50629;(1800,%201500,%201000)" TargetMode="External"/><Relationship Id="rId687" Type="http://schemas.openxmlformats.org/officeDocument/2006/relationships/hyperlink" Target="..\AA&#51648;&#50669;&#48324;%20&#44204;&#51201;&#54788;&#54889;\2025&#45380;\&#51648;&#50669;&#45212;&#48169;\GS&#54028;&#50892;\2.&#48512;&#52380;\2.&#48512;&#52380;&#54788;&#45824;&#54868;&#49324;&#50629;%20&#49548;&#45236;%20&#50676;&#48176;&#44288;3&#52264;&#44277;&#49324;(900x4P)-&#54620;&#51008;" TargetMode="External"/><Relationship Id="rId242"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84" Type="http://schemas.openxmlformats.org/officeDocument/2006/relationships/hyperlink" Target="..\AA&#51648;&#50669;&#48324;%20&#44204;&#51201;&#54788;&#54889;\2022&#45380;\&#44221;&#49345;&#45224;&#46020;\&#50872;&#49328;%20&#48276;&#49436;IC(2000A,%20PC&#44288;,%20&#44053;&#44288;)-&#54620;&#44397;&#46020;&#47196;&#44277;&#49324;,&#46020;&#50896;,&#49464;&#50689;&#51333;&#54633;&#44148;&#49444;" TargetMode="External"/><Relationship Id="rId49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5" Type="http://schemas.openxmlformats.org/officeDocument/2006/relationships/hyperlink" Target="..\AA&#51648;&#50669;&#48324;%20&#44204;&#51201;&#54788;&#54889;\2024&#45380;\&#44592;&#53440;\&#54788;&#45824;&#51228;&#52384;\&#45824;&#50577;&#51060;&#50644;&#51648;" TargetMode="External"/><Relationship Id="rId712" Type="http://schemas.openxmlformats.org/officeDocument/2006/relationships/hyperlink" Target="..\AA&#51648;&#50669;&#48324;%20&#44204;&#51201;&#54788;&#54889;\2024&#45380;\&#51648;&#50669;&#45212;&#48169;\GS&#54028;&#50892;\4.2024&#45380;%20&#48512;&#52380;&#51648;&#50669;%20&#49888;&#44508;&#44256;&#44061;%20&#50676;&#49688;&#49569;&#44288;&#44277;&#49324;\&#49892;&#54665;" TargetMode="External"/><Relationship Id="rId37"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79" Type="http://schemas.openxmlformats.org/officeDocument/2006/relationships/hyperlink" Target="..\AA&#51648;&#50669;&#48324;%20&#44204;&#51201;&#54788;&#54889;\2021&#45380;\&#52649;&#52397;&#45224;&#46020;\&#45824;&#52397;III5&#44277;&#44396;-&#49688;&#44277;,&#46041;&#48512;&#44148;&#49444;" TargetMode="External"/><Relationship Id="rId102"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AA&#51648;&#50669;&#48324;%20&#44204;&#51201;&#54788;&#54889;\2022&#45380;\&#44221;&#44592;&#45224;&#46041;&#48512;\&#50504;&#49457;~&#44396;&#47532;%20&#44256;&#49549;&#46020;&#47196;%2012&#44277;&#44396;(2000A,2200A)-&#46020;&#47196;&#44277;&#49324;,&#44256;&#47140;&#44060;&#48156;" TargetMode="External"/><Relationship Id="rId547" Type="http://schemas.openxmlformats.org/officeDocument/2006/relationships/hyperlink" Target="..\AA&#51648;&#50669;&#48324;%20&#44204;&#51201;&#54788;&#54889;\2023&#45380;\&#51204;&#46972;&#45224;&#46020;\&#44305;&#50577;1&#45800;&#44228;(&#44305;&#50577;&#44396;&#44036;%202000,%201650%20&#52264;&#45800;%20&#22806;)-&#49688;&#44277;,%20&#50752;&#53581;\KCC&#44148;&#49444;" TargetMode="External"/><Relationship Id="rId589" Type="http://schemas.openxmlformats.org/officeDocument/2006/relationships/hyperlink" Target="..\AA&#51648;&#50669;&#48324;%20&#44204;&#51201;&#54788;&#54889;\2024&#45380;\&#52649;&#52397;&#45224;&#46020;\&#52380;&#50504;&#48513;&#48512;%20BIT(&#51452;&#52384;%20200,%20400)-&#52380;&#50504;&#49884;,%20&#49888;&#47749;&#51333;&#54633;&#44148;&#49444;" TargetMode="External"/><Relationship Id="rId754"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9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86" Type="http://schemas.openxmlformats.org/officeDocument/2006/relationships/hyperlink" Target="../AA&#51648;&#50669;&#48324;%20&#44204;&#51201;&#54788;&#54889;/2022&#45380;/&#51648;&#50669;&#45212;&#48169;/GS&#54028;&#50892;/&#49884;&#55141;&#47785;&#44048;(450Ax8P)-&#50640;&#51060;&#52824;&#54540;&#47084;&#49828;&#50640;&#53076;" TargetMode="External"/><Relationship Id="rId351"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393"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07" Type="http://schemas.openxmlformats.org/officeDocument/2006/relationships/hyperlink" Target="..\AA&#51648;&#50669;&#48324;%20&#44204;&#51201;&#54788;&#54889;\2023&#45380;\&#44221;&#44592;&#45224;&#46041;&#48512;\&#54217;&#53469;%20&#51648;&#51228;&#49464;&#44368;&#51648;&#44396;(1200A,450A)-&#49688;&#44277;" TargetMode="External"/><Relationship Id="rId449" Type="http://schemas.openxmlformats.org/officeDocument/2006/relationships/hyperlink" Target="..\AA&#51648;&#50669;&#48324;%20&#44204;&#51201;&#54788;&#54889;\2023&#45380;\&#52649;&#52397;&#45224;&#46020;\&#52649;&#45224;&#49436;&#48512;&#44428;%20&#51228;2&#44277;&#44396;%20&#53468;&#50504;-&#49688;&#44277;,%20&#55141;&#54868;" TargetMode="External"/><Relationship Id="rId614" Type="http://schemas.openxmlformats.org/officeDocument/2006/relationships/hyperlink" Target="..\AA&#51648;&#50669;&#48324;%20&#44204;&#51201;&#54788;&#54889;\2025&#45380;\&#51648;&#50669;&#45212;&#48169;\&#49340;&#52380;&#47532;&#51060;&#50644;&#51648;\&#50577;&#51452;%20600A%20&#44596;&#44553;" TargetMode="External"/><Relationship Id="rId656" Type="http://schemas.openxmlformats.org/officeDocument/2006/relationships/hyperlink" Target="../AA&#51648;&#50669;&#48324;%20&#44204;&#51201;&#54788;&#54889;/2025&#45380;/&#44221;&#44592;&#48513;&#48512;/&#44221;&#51064;&#49688;&#46020;&#44148;&#49444;(D600mm)" TargetMode="External"/><Relationship Id="rId211"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AA&#51648;&#50669;&#48324;%20&#44204;&#51201;&#54788;&#54889;\2022&#45380;\&#52649;&#52397;&#48513;&#46020;\&#52649;&#51452;&#45840;&#44228;&#53685;-&#49688;&#51088;&#50896;&#44277;&#49324;,&#44228;&#47329;,&#46041;&#48512;,&#54620;&#49888;\3&#44277;&#44396;(1350A,1500A)-&#46041;&#48512;&#44148;&#49444;" TargetMode="External"/><Relationship Id="rId295" Type="http://schemas.openxmlformats.org/officeDocument/2006/relationships/hyperlink" Target="..\AA&#51648;&#50669;&#48324;%20&#44204;&#51201;&#54788;&#54889;\2022&#45380;\&#44221;&#49345;&#45224;&#46020;\&#52285;&#50896;(&#51452;&#52384;%20500A,%20500x300)-&#45824;&#46301;&#44148;&#49444;" TargetMode="External"/><Relationship Id="rId309"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60" Type="http://schemas.openxmlformats.org/officeDocument/2006/relationships/hyperlink" Target="..\AA&#51648;&#50669;&#48324;%20&#44204;&#51201;&#54788;&#54889;\2023&#45380;\&#52649;&#52397;&#45224;&#46020;\&#50500;&#49328;(2000A,1200A)-&#49688;&#44277;,&#50472;&#54000;&#44148;&#49444;,%20(&#51452;)&#44053;&#47932;" TargetMode="External"/><Relationship Id="rId516" Type="http://schemas.openxmlformats.org/officeDocument/2006/relationships/hyperlink" Target="..\AA&#51648;&#50669;&#48324;%20&#44204;&#51201;&#54788;&#54889;\2024&#45380;\&#51648;&#50669;&#45212;&#48169;\&#49340;&#52380;&#47532;&#51060;&#50644;&#51648;" TargetMode="External"/><Relationship Id="rId698"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AA&#51648;&#50669;&#48324;%20&#44204;&#51201;&#54788;&#54889;/2021&#45380;/&#51648;&#50669;&#45212;&#48169;/GS&#54028;&#50892;/2021&#45380;%20&#47924;&#52264;&#45800;&#44277;&#49324;%20&#51077;&#52272;" TargetMode="External"/><Relationship Id="rId113" Type="http://schemas.openxmlformats.org/officeDocument/2006/relationships/hyperlink" Target="../AA&#51648;&#50669;&#48324;%20&#44204;&#51201;&#54788;&#54889;/2022&#45380;/&#51648;&#50669;&#45212;&#48169;/&#49436;&#50872;&#50640;&#45320;&#51648;&#44277;&#49324;/&#49436;&#50872;&#50640;&#45320;&#51648;&#44277;&#49324;%20&#46041;&#48512;&#51648;&#49324;/&#49436;&#50872;&#50640;&#45320;&#51648;&#44277;&#49324;%20&#46041;&#48512;&#51648;&#49324;%20&#44396;&#49345;&#50640;&#45320;&#51648;" TargetMode="External"/><Relationship Id="rId320" Type="http://schemas.openxmlformats.org/officeDocument/2006/relationships/hyperlink" Target="../AA&#51648;&#50669;&#48324;%20&#44204;&#51201;&#54788;&#54889;/2022&#45380;/&#44592;&#53440;/&#45817;&#51652;%20&#54788;&#45824;&#51228;&#52384;(&#52380;&#44277;)-&#52992;&#51060;&#51228;&#51060;&#50656;&#50500;&#51060;,%20&#48177;&#49328;&#53580;&#53356;/&#48177;&#49328;&#53580;&#53356;" TargetMode="External"/><Relationship Id="rId558" Type="http://schemas.openxmlformats.org/officeDocument/2006/relationships/hyperlink" Target="..\AA&#51648;&#50669;&#48324;%20&#44204;&#51201;&#54788;&#54889;\2024&#45380;\&#51648;&#50669;&#45212;&#48169;\GS&#54028;&#50892;\3.2024&#45380;%20&#50504;&#50577;&#51648;&#50669;%20&#49888;&#44508;&#44256;&#44061;%20&#50676;&#49688;&#49569;&#44288;&#44277;&#49324;" TargetMode="External"/><Relationship Id="rId723"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65"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155" Type="http://schemas.openxmlformats.org/officeDocument/2006/relationships/hyperlink" Target="../AA&#51648;&#50669;&#48324;%20&#44204;&#51201;&#54788;&#54889;/2021&#45380;/&#51648;&#50669;&#45212;&#48169;/GS&#54028;&#50892;/500Ax8P,%20150Ax12P-GS&#45348;&#50724;&#53581;(21.06.02)" TargetMode="External"/><Relationship Id="rId197"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62"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18" Type="http://schemas.openxmlformats.org/officeDocument/2006/relationships/hyperlink" Target="..\AA&#51648;&#50669;&#48324;%20&#44204;&#51201;&#54788;&#54889;\2023&#45380;\&#49569;&#50976;&#44288;\&#47928;&#54868;&#51648;&#50644;&#53076;" TargetMode="External"/><Relationship Id="rId625"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22" Type="http://schemas.openxmlformats.org/officeDocument/2006/relationships/hyperlink" Target="..\AA&#51648;&#50669;&#48324;%20&#44204;&#51201;&#54788;&#54889;\2021&#45380;\&#49569;&#50976;&#44288;\&#51064;&#52380;&#44397;&#51228;&#44277;&#54637;-&#47928;&#54868;&#51648;&#50644;&#53076;,&#49464;&#48372;&#50656;&#51060;&#50472;\&#47928;&#54868;&#51648;&#50644;&#53076;" TargetMode="External"/><Relationship Id="rId264" Type="http://schemas.openxmlformats.org/officeDocument/2006/relationships/hyperlink" Target="..\AA&#51648;&#50669;&#48324;%20&#44204;&#51201;&#54788;&#54889;\2022&#45380;\&#51204;&#46972;&#48513;&#46020;\&#51109;&#49688;&#44400;(&#51452;&#52384;%20350A%20&#22806;,%20&#53945;&#54728;&#54801;&#50557;)-&#49688;&#44277;%20&#46041;&#54868;&#44428;&#51648;&#49324;" TargetMode="External"/><Relationship Id="rId471" Type="http://schemas.openxmlformats.org/officeDocument/2006/relationships/hyperlink" Target="..\AA&#51648;&#50669;&#48324;%20&#44204;&#51201;&#54788;&#54889;\2024&#45380;\&#49436;&#50872;&#49884;\&#47785;&#46041;&#44368;~&#46020;&#47548;&#52380;&#44036;%20&#51109;&#44592;&#49324;&#50857;%20&#49569;&#48176;&#49688;&#44288;~(1500A)-&#49436;&#50872;&#49884;%20&#49345;&#49688;&#46020;&#49324;&#50629;&#48376;&#48512;" TargetMode="External"/><Relationship Id="rId667" Type="http://schemas.openxmlformats.org/officeDocument/2006/relationships/hyperlink" Target="..\AA&#51648;&#50669;&#48324;%20&#44204;&#51201;&#54788;&#54889;\2025&#45380;\&#51648;&#50669;&#45212;&#48169;\&#49340;&#52380;&#47532;&#51060;&#50644;&#51648;" TargetMode="External"/><Relationship Id="rId17" Type="http://schemas.openxmlformats.org/officeDocument/2006/relationships/hyperlink" Target="..\AA&#51648;&#50669;&#48324;%20&#44204;&#51201;&#54788;&#54889;\2021&#45380;\&#44221;&#49345;&#48513;&#46020;\&#54252;&#54637;(1350Ax700A,%20700Ax1P)-&#49688;&#44277;,%20&#44536;&#47536;&#44060;&#48156;" TargetMode="External"/><Relationship Id="rId59" Type="http://schemas.openxmlformats.org/officeDocument/2006/relationships/hyperlink" Target="..\AA&#51648;&#50669;&#48324;%20&#44204;&#51201;&#54788;&#54889;\2021&#45380;\&#49569;&#50976;&#44288;\&#51064;&#52380;&#44397;&#51228;&#44277;&#54637;-&#47928;&#54868;&#51648;&#50644;&#53076;,&#49464;&#48372;&#50656;&#51060;&#50472;\&#47928;&#54868;&#51648;&#50644;&#53076;" TargetMode="External"/><Relationship Id="rId124" Type="http://schemas.openxmlformats.org/officeDocument/2006/relationships/hyperlink" Target="../AA&#51648;&#50669;&#48324;%20&#44204;&#51201;&#54788;&#54889;/2021&#45380;/&#51648;&#50669;&#45212;&#48169;/GS&#54028;&#50892;/2021&#45380;%20&#47924;&#52264;&#45800;&#44277;&#49324;%20&#51077;&#52272;" TargetMode="External"/><Relationship Id="rId527" Type="http://schemas.openxmlformats.org/officeDocument/2006/relationships/hyperlink" Target="..\AA&#51648;&#50669;&#48324;%20&#44204;&#51201;&#54788;&#54889;\2024&#45380;\&#49569;&#50976;&#44288;\&#51064;&#52380;&#44397;&#51228;&#44277;&#54637;\&#51064;&#52380;%20&#44277;&#54637;%20600A%20&#52264;&#45800;&#44277;&#49324;(&#45224;&#44396;&#55148;)\&#44228;&#50557;&#49436;(600Ax2P)-2408" TargetMode="External"/><Relationship Id="rId569"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34"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0" Type="http://schemas.openxmlformats.org/officeDocument/2006/relationships/hyperlink" Target="../AA&#51648;&#50669;&#48324;%20&#44204;&#51201;&#54788;&#54889;/2021&#45380;/&#51648;&#50669;&#45212;&#48169;/GS&#54028;&#50892;/2021&#45380;%20&#47924;&#52264;&#45800;&#44277;&#49324;%20&#51077;&#52272;" TargetMode="External"/><Relationship Id="rId166" Type="http://schemas.openxmlformats.org/officeDocument/2006/relationships/hyperlink" Target="../AA&#51648;&#50669;&#48324;%20&#44204;&#51201;&#54788;&#54889;/2022&#45380;/&#49569;&#50976;&#44288;/&#50872;&#49328;%20S-Oil/&#50872;&#49328;%20S-Oil%20&#53356;&#47336;&#46300;&#50724;&#51068;(1050Ax2P)-2021.03" TargetMode="External"/><Relationship Id="rId331" Type="http://schemas.openxmlformats.org/officeDocument/2006/relationships/hyperlink" Target="..\AA&#51648;&#50669;&#48324;%20&#44204;&#51201;&#54788;&#54889;\2023&#45380;\&#44221;&#44592;&#45224;&#49436;&#48512;\&#50504;&#49328;%20&#54620;&#46160;&#44148;&#49444;\23.01.27-&#51452;&#52384;%20350A%20&#44596;&#44553;&#44148;" TargetMode="External"/><Relationship Id="rId373" Type="http://schemas.openxmlformats.org/officeDocument/2006/relationships/hyperlink" Target="..\AA&#51648;&#50669;&#48324;%20&#44204;&#51201;&#54788;&#54889;\2023&#45380;\&#49569;&#50976;&#44288;\GS&#52860;&#53581;&#49828;(&#50668;&#49688;,%20750,%20900)-&#45824;&#50577;&#51060;&#50644;&#51648;" TargetMode="External"/><Relationship Id="rId429" Type="http://schemas.openxmlformats.org/officeDocument/2006/relationships/hyperlink" Target="../AA&#51648;&#50669;&#48324;%20&#44204;&#51201;&#54788;&#54889;/2023&#45380;/&#44221;&#44592;&#48513;&#48512;/&#45224;&#50577;&#51452;(700A%20Neck%20&#44596;&#44553;&#44277;&#49324;)-&#50136;&#51068;&#53580;&#53356;&#50644;&#51648;&#45768;&#50612;&#47553;" TargetMode="External"/><Relationship Id="rId580" Type="http://schemas.openxmlformats.org/officeDocument/2006/relationships/hyperlink" Target="..\AA&#51648;&#50669;&#48324;%20&#44204;&#51201;&#54788;&#54889;\2023&#45380;\&#52649;&#52397;&#45224;&#46020;\&#45824;&#51204;%20&#50900;&#54217;&#51221;&#49688;&#51109;(D2400,2000,%201650%20&#46321;)-&#45824;&#51204;&#49884;,%20KCC&#44148;&#49444;" TargetMode="External"/><Relationship Id="rId636"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1" Type="http://schemas.openxmlformats.org/officeDocument/2006/relationships/hyperlink" Target="..\AA&#51648;&#50669;&#48324;%20&#44204;&#51201;&#54788;&#54889;\2021&#45380;\&#44221;&#49345;&#45224;&#46020;\&#52285;&#50896;(800Ax1P,%20&#44053;&#44288;)-&#49688;&#51088;&#50896;&#44592;&#49696;" TargetMode="External"/><Relationship Id="rId233" Type="http://schemas.openxmlformats.org/officeDocument/2006/relationships/hyperlink" Target="..\AA&#51648;&#50669;&#48324;%20&#44204;&#51201;&#54788;&#54889;\2021&#45380;\&#51648;&#50669;&#45212;&#48169;\GS&#54028;&#50892;\2021&#45380;%20&#47924;&#52264;&#45800;&#44277;&#49324;%20&#51077;&#52272;" TargetMode="External"/><Relationship Id="rId440" Type="http://schemas.openxmlformats.org/officeDocument/2006/relationships/hyperlink" Target="..\AA&#51648;&#50669;&#48324;%20&#44204;&#51201;&#54788;&#54889;\2023&#45380;\&#51204;&#46972;&#45224;&#46020;\&#44305;&#50577;1&#45800;&#44228;(&#44305;&#50577;&#44396;&#44036;%202000,%201650%20&#52264;&#45800;%20&#22806;)-&#49688;&#44277;,%20&#50752;&#53581;\KCC&#44148;&#49444;\&#52628;&#44032;&#44148;(1650x1P)-231116" TargetMode="External"/><Relationship Id="rId678"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8" Type="http://schemas.openxmlformats.org/officeDocument/2006/relationships/hyperlink" Target="..\AA&#51648;&#50669;&#48324;%20&#44204;&#51201;&#54788;&#54889;\2021&#45380;\&#49569;&#50976;&#44288;\&#51064;&#52380;&#44397;&#51228;&#44277;&#54637;-&#47928;&#54868;&#51648;&#50644;&#53076;,&#49464;&#48372;&#50656;&#51060;&#50472;\&#47928;&#54868;&#51648;&#50644;&#53076;" TargetMode="External"/><Relationship Id="rId275"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300"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82" Type="http://schemas.openxmlformats.org/officeDocument/2006/relationships/hyperlink" Target="..\AA&#51648;&#50669;&#48324;%20&#44204;&#51201;&#54788;&#54889;\2024&#45380;\&#51648;&#50669;&#45212;&#48169;\&#48512;&#49328;&#46020;&#49884;&#44032;&#49828;\&#48516;&#44592;&#54000;%20&#52380;&#44277;(700x125,%20250x200)-&#51012;&#47896;&#51333;&#44148;" TargetMode="External"/><Relationship Id="rId538" Type="http://schemas.openxmlformats.org/officeDocument/2006/relationships/hyperlink" Target="..\AA&#51648;&#50669;&#48324;%20&#44204;&#51201;&#54788;&#54889;\2024&#45380;\&#44592;&#53440;\&#45824;&#49328;%20&#54620;&#54868;&#53664;&#53448;%20-&#45824;&#50577;&#51060;&#50644;&#51648;(1100A)" TargetMode="External"/><Relationship Id="rId703" Type="http://schemas.openxmlformats.org/officeDocument/2006/relationships/hyperlink" Target="..\AA&#51648;&#50669;&#48324;%20&#44204;&#51201;&#54788;&#54889;\2024&#45380;\&#44221;&#49345;&#45224;&#46020;\&#50872;&#49328;%20&#45224;&#44396;%20B-14&#44396;&#50669;(PC&#44288;%201200,%20900)-&#51312;&#54633;,%20&#54616;&#46988;&#50644;&#51648;&#45768;&#50612;&#47553;" TargetMode="External"/><Relationship Id="rId745" Type="http://schemas.openxmlformats.org/officeDocument/2006/relationships/hyperlink" Target="../AA&#51648;&#50669;&#48324;%20&#44204;&#51201;&#54788;&#54889;/2025&#45380;/&#44221;&#49345;&#45224;&#46020;/&#50577;&#49328;&#49884;(1500%20&#22806;)%20&#49888;&#46020;&#49884;%20&#51221;&#49688;&#51109;%20&#51613;&#49444;&#44277;&#49324;%20&#44148;&#49444;&#49324;&#50629;/&#44204;&#51201;" TargetMode="External"/><Relationship Id="rId81" Type="http://schemas.openxmlformats.org/officeDocument/2006/relationships/hyperlink" Target="..\AA&#51648;&#50669;&#48324;%20&#44204;&#51201;&#54788;&#54889;\2021&#45380;\&#52649;&#52397;&#45224;&#46020;\&#52380;&#50504;~&#50500;&#49328;(1500A&#44277;&#50629;&#50857;&#49688;)-&#49688;&#44277;,&#45824;&#50864;&#44148;&#49444;" TargetMode="External"/><Relationship Id="rId135" Type="http://schemas.openxmlformats.org/officeDocument/2006/relationships/hyperlink" Target="..\AA&#51648;&#50669;&#48324;%20&#44204;&#51201;&#54788;&#54889;\2021&#45380;\&#51648;&#50669;&#45212;&#48169;\GS&#54028;&#50892;\2021&#45380;%20&#47924;&#52264;&#45800;&#44277;&#49324;%20&#51077;&#52272;" TargetMode="External"/><Relationship Id="rId177" Type="http://schemas.openxmlformats.org/officeDocument/2006/relationships/hyperlink" Target="..\AA&#51648;&#50669;&#48324;%20&#44204;&#51201;&#54788;&#54889;\2022&#45380;\&#44221;&#44592;&#45224;&#46041;&#48512;\&#50857;&#51064;&#49688;&#51648;&#51221;&#49688;&#51109;(900A,%20&#44053;&#44288;)-&#45824;&#51200;&#44148;&#49444;" TargetMode="External"/><Relationship Id="rId342" Type="http://schemas.openxmlformats.org/officeDocument/2006/relationships/hyperlink" Target="..\AA&#51648;&#50669;&#48324;%20&#44204;&#51201;&#54788;&#54889;\2022&#45380;\&#51228;&#51452;&#46020;\&#51228;&#51452;&#49688;&#51088;&#50896;(700,600)" TargetMode="External"/><Relationship Id="rId384"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59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05"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02" Type="http://schemas.openxmlformats.org/officeDocument/2006/relationships/hyperlink" Target="../AA&#51648;&#50669;&#48324;%20&#44204;&#51201;&#54788;&#54889;/2022&#45380;/&#51648;&#50669;&#45212;&#48169;/GS&#54028;&#50892;/2021&#45380;%20&#48512;&#52380;&#51648;&#50669;%20&#49888;&#44508;&#44256;&#44061;%20&#50676;&#49688;&#49569;&#44288;&#44277;&#49324;/&#49849;&#51116;&#44277;&#50689;" TargetMode="External"/><Relationship Id="rId244" Type="http://schemas.openxmlformats.org/officeDocument/2006/relationships/hyperlink" Target="../AA&#51648;&#50669;&#48324;%20&#44204;&#51201;&#54788;&#54889;/2022&#45380;/&#44221;&#49345;&#48513;&#46020;/&#44256;&#47161;(&#44053;&#44288;%20800A)-&#49688;&#51088;&#50896;&#44277;&#49324;,%20&#46041;&#50864;&#44148;&#49444;" TargetMode="External"/><Relationship Id="rId647" Type="http://schemas.openxmlformats.org/officeDocument/2006/relationships/hyperlink" Target="..\AA&#51648;&#50669;&#48324;%20&#44204;&#51201;&#54788;&#54889;\2024&#45380;\&#52649;&#52397;&#45224;&#46020;\&#53468;&#50504;%20&#49325;&#49440;~&#50896;&#48513;%20&#51648;&#48169;&#46020;(&#51452;&#52384;%20700x20P)-&#53468;&#50504;&#48513;&#48512;&#48156;&#51204;,%20&#51068;&#49457;&#44148;&#49444;" TargetMode="External"/><Relationship Id="rId689"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39"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86" Type="http://schemas.openxmlformats.org/officeDocument/2006/relationships/hyperlink" Target="..\AA&#51648;&#50669;&#48324;%20&#44204;&#51201;&#54788;&#54889;\2022&#45380;\&#51648;&#50669;&#45212;&#48169;\&#54620;&#44397;&#51648;&#50669;&#45212;&#48169;&#44277;&#49324;\&#48516;&#45817;&#49324;&#50629;&#49548;\2022.10.24-&#50676;&#48176;&#44288;%201000x500,%20800x500" TargetMode="External"/><Relationship Id="rId451" Type="http://schemas.openxmlformats.org/officeDocument/2006/relationships/hyperlink" Target="..\AA&#51648;&#50669;&#48324;%20&#44204;&#51201;&#54788;&#54889;\2023&#45380;\&#51204;&#46972;&#45224;&#46020;\&#44305;&#50577;1&#45800;&#44228;(&#44305;&#50577;&#44396;&#44036;%202000,%201650%20&#52264;&#45800;%20&#22806;)-&#49688;&#44277;,%20&#50752;&#53581;\KCC&#44148;&#49444;" TargetMode="External"/><Relationship Id="rId493"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7" Type="http://schemas.openxmlformats.org/officeDocument/2006/relationships/hyperlink" Target="..\AA&#51648;&#50669;&#48324;%20&#44204;&#51201;&#54788;&#54889;\2024&#45380;\&#51648;&#50669;&#45212;&#48169;\&#49688;&#50756;&#50640;&#45320;&#51648;\&#52392;&#45800;3&#51648;&#44396;(450,%20&#48516;&#44592;%20300x100,%20150x125)-&#49688;&#50756;&#50640;&#45320;&#51648;,%20&#50976;&#54588;&#51060;&#50644;&#51648;" TargetMode="External"/><Relationship Id="rId549"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14" Type="http://schemas.openxmlformats.org/officeDocument/2006/relationships/hyperlink" Target="../AA&#51648;&#50669;&#48324;%20&#44204;&#51201;&#54788;&#54889;/2025&#45380;/&#49436;&#50872;&#49884;/&#51104;&#49892;(2400,%201800)-&#54788;&#45824;&#52264;,%20&#54788;&#45824;&#44148;&#49444;,%20&#54788;&#45824;&#50644;&#51648;&#45768;&#50612;&#47553;" TargetMode="External"/><Relationship Id="rId756"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5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04" Type="http://schemas.openxmlformats.org/officeDocument/2006/relationships/hyperlink" Target="..\AA&#51648;&#50669;&#48324;%20&#44204;&#51201;&#54788;&#54889;\2021&#45380;\&#51648;&#50669;&#45212;&#48169;\&#50577;&#51452;(750Ax16P)-&#45824;&#47452;&#48156;&#51204;,&#50976;&#54588;&#51060;&#50644;&#51648;,&#49849;&#51116;&#44277;&#50689;,&#44305;&#51109;&#51060;&#50656;&#50472;\&#50500;&#51204;&#51060;&#50644;&#50472;" TargetMode="External"/><Relationship Id="rId146" Type="http://schemas.openxmlformats.org/officeDocument/2006/relationships/hyperlink" Target="../AA&#51648;&#50669;&#48324;%20&#44204;&#51201;&#54788;&#54889;/2022&#45380;/&#51648;&#50669;&#45212;&#48169;/GS&#54028;&#50892;/2021&#45380;%20&#47924;&#52264;&#45800;&#44277;&#49324;%20&#51077;&#52272;" TargetMode="External"/><Relationship Id="rId188" Type="http://schemas.openxmlformats.org/officeDocument/2006/relationships/hyperlink" Target="../AA&#51648;&#50669;&#48324;%20&#44204;&#51201;&#54788;&#54889;/2022&#45380;/&#51204;&#46972;&#48513;&#46020;/&#48512;&#50504;%20&#51649;&#49548;&#52380;~(400A,900A)-&#49688;&#44277;,%20&#49464;&#50896;&#51060;&#50644;,%20&#51648;&#44053;" TargetMode="External"/><Relationship Id="rId311" Type="http://schemas.openxmlformats.org/officeDocument/2006/relationships/hyperlink" Target="..\AA&#51648;&#50669;&#48324;%20&#44204;&#51201;&#54788;&#54889;\2022&#45380;\&#52649;&#52397;&#48513;&#46020;\&#52649;&#51452;(600A,&#51452;&#52384;)-&#49688;&#44277;,&#46041;&#50896;&#44148;&#49444;&#49328;&#50629;" TargetMode="External"/><Relationship Id="rId353" Type="http://schemas.openxmlformats.org/officeDocument/2006/relationships/hyperlink" Target="..\AA&#51648;&#50669;&#48324;%20&#44204;&#51201;&#54788;&#54889;\2023&#45380;\&#51648;&#50669;&#45212;&#48169;\&#45824;&#51204;%20&#50472;&#50644;&#50472;&#54000;&#50640;&#45320;&#51648;" TargetMode="External"/><Relationship Id="rId395"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09" Type="http://schemas.openxmlformats.org/officeDocument/2006/relationships/hyperlink" Target="..\AA&#51648;&#50669;&#48324;%20&#44204;&#51201;&#54788;&#54889;\2023&#45380;\&#44592;&#53440;\&#54788;&#45824;&#51228;&#52384;%202000A%20&#52264;&#45800;%20%20-%2023.03.10\&#48177;&#49328;&#53580;&#53356;" TargetMode="External"/><Relationship Id="rId56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92" Type="http://schemas.openxmlformats.org/officeDocument/2006/relationships/hyperlink" Target="..\AA&#51648;&#50669;&#48324;%20&#44204;&#51201;&#54788;&#54889;\2021&#45380;\&#52649;&#52397;&#45224;&#46020;\&#48512;&#50668;(&#44053;%20400x400,%20&#51452;300x300)-&#49688;&#44277;%20&#52649;&#45224;&#51473;&#48512;&#44428;,%20&#44221;&#46020;" TargetMode="External"/><Relationship Id="rId213"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20" Type="http://schemas.openxmlformats.org/officeDocument/2006/relationships/hyperlink" Target="..\AA&#51648;&#50669;&#48324;%20&#44204;&#51201;&#54788;&#54889;\2023&#45380;\&#49569;&#50976;&#44288;\&#47928;&#54868;&#51648;&#50644;&#53076;" TargetMode="External"/><Relationship Id="rId616"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58"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55" Type="http://schemas.openxmlformats.org/officeDocument/2006/relationships/hyperlink" Target="..\AA&#51648;&#50669;&#48324;%20&#44204;&#51201;&#54788;&#54889;\2022&#45380;\&#52649;&#52397;&#48513;&#46020;\&#52649;&#51452;&#45840;&#44228;&#53685;-&#49688;&#51088;&#50896;&#44277;&#49324;,&#44228;&#47329;,&#46041;&#48512;,&#54620;&#49888;\3&#44277;&#44396;(1350A,1500A)-&#46041;&#48512;&#44148;&#49444;" TargetMode="External"/><Relationship Id="rId297" Type="http://schemas.openxmlformats.org/officeDocument/2006/relationships/hyperlink" Target="..\AA&#51648;&#50669;&#48324;%20&#44204;&#51201;&#54788;&#54889;\2021&#45380;\&#44221;&#44592;&#45224;&#49436;&#48512;\&#50504;&#49328;(500A,%20600A,%20&#51452;&#52384;)-&#50504;&#49328;&#49884;,&#49888;&#44305;&#44592;&#50629;&#49324;,%20&#54620;&#46160;&#44148;&#49444;" TargetMode="External"/><Relationship Id="rId462" Type="http://schemas.openxmlformats.org/officeDocument/2006/relationships/hyperlink" Target="..\AA&#51648;&#50669;&#48324;%20&#44204;&#51201;&#54788;&#54889;\2024&#45380;\&#51648;&#50669;&#45212;&#48169;\GS&#54028;&#50892;\&#50500;&#51204;&#51060;&#50644;&#50472;" TargetMode="External"/><Relationship Id="rId518" Type="http://schemas.openxmlformats.org/officeDocument/2006/relationships/hyperlink" Target="..\AA&#51648;&#50669;&#48324;%20&#44204;&#51201;&#54788;&#54889;\2024&#45380;\&#51648;&#50669;&#45212;&#48169;\&#52397;&#46972;&#50640;&#45320;&#51648;\&#44608;&#54252;DH%20&#48176;&#44288;&#44060;&#49440;&#44277;&#49324;\&#49464;&#51652;&#51060;&#50644;&#51060;" TargetMode="External"/><Relationship Id="rId725" Type="http://schemas.openxmlformats.org/officeDocument/2006/relationships/hyperlink" Target="..\AA&#51648;&#50669;&#48324;%20&#44204;&#51201;&#54788;&#54889;\2025&#45380;\&#51648;&#50669;&#45212;&#48169;\GS&#54028;&#50892;\1.&#50504;&#50577;\7.&#50900;&#44278;%20&#54032;&#44368;%20&#51228;2&#44277;&#44396;%20&#51109;&#44257;&#50669;(150x8P)-250610\&#51648;&#49457;&#50644;&#51648;&#45768;&#50612;&#47553;" TargetMode="External"/><Relationship Id="rId115" Type="http://schemas.openxmlformats.org/officeDocument/2006/relationships/hyperlink" Target="../AA&#51648;&#50669;&#48324;%20&#44204;&#51201;&#54788;&#54889;/2021&#45380;/&#51648;&#50669;&#45212;&#48169;/GS&#54028;&#50892;/2021&#45380;%20&#47924;&#52264;&#45800;&#44277;&#49324;%20&#51077;&#52272;" TargetMode="External"/><Relationship Id="rId157" Type="http://schemas.openxmlformats.org/officeDocument/2006/relationships/hyperlink" Target="..\AA&#51648;&#50669;&#48324;%20&#44204;&#51201;&#54788;&#54889;\2021&#45380;\&#51648;&#50669;&#45212;&#48169;\GS&#54028;&#50892;\2021&#45380;%20&#47924;&#52264;&#45800;&#44277;&#49324;%20&#51077;&#52272;" TargetMode="External"/><Relationship Id="rId322" Type="http://schemas.openxmlformats.org/officeDocument/2006/relationships/hyperlink" Target="..\AA&#51648;&#50669;&#48324;%20&#44204;&#51201;&#54788;&#54889;\2022&#45380;\&#44221;&#44592;&#45224;&#46041;&#48512;\&#51060;&#52380;%20&#45824;&#54252;&#48176;&#49688;&#51648;(900A4P&#51452;&#52384;)&#44592;&#50672;&#44148;&#49444;" TargetMode="External"/><Relationship Id="rId364" Type="http://schemas.openxmlformats.org/officeDocument/2006/relationships/hyperlink" Target="..\AA&#51648;&#50669;&#48324;%20&#44204;&#51201;&#54788;&#54889;\2023&#45380;\&#44592;&#53440;\&#45824;&#49328;&#51076;&#54644;(&#44053;&#44288;%201350x600)-&#51648;&#50640;&#49828;&#44148;&#49444;" TargetMode="External"/><Relationship Id="rId767" Type="http://schemas.openxmlformats.org/officeDocument/2006/relationships/printerSettings" Target="../printerSettings/printerSettings1.bin"/><Relationship Id="rId61" Type="http://schemas.openxmlformats.org/officeDocument/2006/relationships/hyperlink" Target="../AA&#51648;&#50669;&#48324;%20&#44204;&#51201;&#54788;&#54889;/2021&#45380;/&#51648;&#50669;&#45212;&#48169;/GS&#54028;&#50892;/2021&#45380;%20&#47924;&#52264;&#45800;&#44277;&#49324;%20&#51077;&#52272;" TargetMode="External"/><Relationship Id="rId199" Type="http://schemas.openxmlformats.org/officeDocument/2006/relationships/hyperlink" Target="../AA&#51648;&#50669;&#48324;%20&#44204;&#51201;&#54788;&#54889;/2022&#45380;/&#44221;&#49345;&#48513;&#46020;/&#44256;&#47161;(&#51452;&#52384;%20800,%20400)-&#44256;&#47161;&#44428;&#51648;&#49324;,%20&#54620;&#51452;&#50644;&#51648;&#45768;&#50612;&#47553;" TargetMode="External"/><Relationship Id="rId57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27"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69" Type="http://schemas.openxmlformats.org/officeDocument/2006/relationships/hyperlink" Target="..\AA&#51648;&#50669;&#48324;%20&#44204;&#51201;&#54788;&#54889;\2025&#45380;\&#44221;&#44592;&#45224;&#46041;&#48512;\&#50857;&#51064;%20350A%20&#44596;&#44553;-&#50857;&#51064;&#49884;,%20&#51204;&#51652;&#50472;&#50644;&#46356;" TargetMode="External"/><Relationship Id="rId19" Type="http://schemas.openxmlformats.org/officeDocument/2006/relationships/hyperlink" Target="../AA&#51648;&#50669;&#48324;%20&#44204;&#51201;&#54788;&#54889;/2021&#45380;/&#44221;&#44592;&#45224;&#49436;&#48512;/&#50504;&#49328;(500A,%20600A,%20&#51452;&#52384;)-&#50504;&#49328;&#49884;,&#49888;&#44305;&#44592;&#50629;&#49324;,%20&#54620;&#46160;&#44148;&#49444;" TargetMode="External"/><Relationship Id="rId224" Type="http://schemas.openxmlformats.org/officeDocument/2006/relationships/hyperlink" Target="..\AA&#51648;&#50669;&#48324;%20&#44204;&#51201;&#54788;&#54889;\2022&#45380;\&#44221;&#44592;&#45224;&#46041;&#48512;\&#50504;&#49457;~&#44396;&#47532;%20&#44256;&#49549;&#46020;&#47196;%2012&#44277;&#44396;(2000A,2200A)-&#46020;&#47196;&#44277;&#49324;,&#44256;&#47140;&#44060;&#48156;" TargetMode="External"/><Relationship Id="rId266"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31" Type="http://schemas.openxmlformats.org/officeDocument/2006/relationships/hyperlink" Target="..\AA&#51648;&#50669;&#48324;%20&#44204;&#51201;&#54788;&#54889;\2023&#45380;\&#44221;&#49345;&#48513;&#46020;\&#44396;&#48120;(&#44053;&#44288;%20D800)-&#49688;&#44277;,%20&#50864;&#49688;&#51060;&#50532;&#50472;" TargetMode="External"/><Relationship Id="rId473" Type="http://schemas.openxmlformats.org/officeDocument/2006/relationships/hyperlink" Target="..\AA&#51648;&#50669;&#48324;%20&#44204;&#51201;&#54788;&#54889;\2024&#45380;\&#51648;&#50669;&#45212;&#48169;\&#48512;&#49328;&#46020;&#49884;&#44032;&#49828;\&#48516;&#44592;&#54000;%20&#52380;&#44277;(700x125,%20250x200)-&#51012;&#47896;&#51333;&#44148;" TargetMode="External"/><Relationship Id="rId529" Type="http://schemas.openxmlformats.org/officeDocument/2006/relationships/hyperlink" Target="..\AA&#51648;&#50669;&#48324;%20&#44204;&#51201;&#54788;&#54889;\2024&#45380;\&#51648;&#50669;&#45212;&#48169;\GS&#54028;&#50892;\3.2024&#45380;%20&#50504;&#50577;&#51648;&#50669;%20&#49888;&#44508;&#44256;&#44061;%20&#50676;&#49688;&#49569;&#44288;&#44277;&#49324;" TargetMode="External"/><Relationship Id="rId68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36"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30" Type="http://schemas.openxmlformats.org/officeDocument/2006/relationships/hyperlink" Target="..\AA&#51648;&#50669;&#48324;%20&#44204;&#51201;&#54788;&#54889;\2021&#45380;\&#46020;&#49884;&#44032;&#49828;\&#54252;&#54637;(600Ax1P)-&#53468;&#44305;-21.07.13" TargetMode="External"/><Relationship Id="rId126" Type="http://schemas.openxmlformats.org/officeDocument/2006/relationships/hyperlink" Target="..\AA&#51648;&#50669;&#48324;%20&#44204;&#51201;&#54788;&#54889;\2021&#45380;\&#51648;&#50669;&#45212;&#48169;\GS&#54028;&#50892;\&#49849;&#51116;&#44277;&#50689;\300Ax150Ax2P%20&#48516;&#44592;&#54000;&#52380;&#44277;-211112" TargetMode="External"/><Relationship Id="rId168"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AA&#51648;&#50669;&#48324;%20&#44204;&#51201;&#54788;&#54889;/2023&#45380;/&#44221;&#49345;&#48513;&#46020;/&#44221;&#49328;(&#44053;&#44288;%201500&#22806;%20&#52264;&#45800;,%20&#52380;&#44277;%20&#54252;&#54632;)%20&#44221;&#49328;&#51221;&#49688;&#51109;,%20&#44221;&#49328;&#49884;,%20&#54635;&#46972;&#51064;" TargetMode="External"/><Relationship Id="rId54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2" Type="http://schemas.openxmlformats.org/officeDocument/2006/relationships/hyperlink" Target="..\AA&#51648;&#50669;&#48324;%20&#44204;&#51201;&#54788;&#54889;\2021&#45380;\&#44221;&#44592;&#48513;&#48512;\&#54028;&#51452;(350A~900A)-&#54028;&#51452;&#49884;,&#45824;&#48169;&#44148;&#49444;" TargetMode="External"/><Relationship Id="rId375" Type="http://schemas.openxmlformats.org/officeDocument/2006/relationships/hyperlink" Target="../AA&#51648;&#50669;&#48324;%20&#44204;&#51201;&#54788;&#54889;/2023&#45380;/&#49569;&#50976;&#44288;/&#47928;&#54868;&#51648;&#50644;&#53076;" TargetMode="External"/><Relationship Id="rId58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38"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3" Type="http://schemas.openxmlformats.org/officeDocument/2006/relationships/hyperlink" Target="..\AA&#51648;&#50669;&#48324;%20&#44204;&#51201;&#54788;&#54889;\2021&#45380;\&#52649;&#52397;&#48513;&#46020;\&#52397;&#51452;(1650Ax1200A&#52380;&#44277;)-&#49688;&#44277;,SK&#54616;&#51060;&#45769;&#49828;,&#49888;&#50577;&#44148;&#49444;" TargetMode="External"/><Relationship Id="rId235" Type="http://schemas.openxmlformats.org/officeDocument/2006/relationships/hyperlink" Target="..\AA&#51648;&#50669;&#48324;%20&#44204;&#51201;&#54788;&#54889;\2021&#45380;\&#51648;&#50669;&#45212;&#48169;\GS&#54028;&#50892;\2021&#45380;%20&#47924;&#52264;&#45800;&#44277;&#49324;%20&#51077;&#52272;" TargetMode="External"/><Relationship Id="rId277" Type="http://schemas.openxmlformats.org/officeDocument/2006/relationships/hyperlink" Target="..\AA&#51648;&#50669;&#48324;%20&#44204;&#51201;&#54788;&#54889;\2022&#45380;\&#51204;&#46972;&#45224;&#46020;\&#44305;&#50577;1&#45800;&#44228;(&#44305;&#50577;&#44396;&#44036;%202000,%201650%20&#52264;&#45800;%20&#22806;)-&#49688;&#44277;,%20&#50752;&#53581;" TargetMode="External"/><Relationship Id="rId400"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42" Type="http://schemas.openxmlformats.org/officeDocument/2006/relationships/hyperlink" Target="..\AA&#51648;&#50669;&#48324;%20&#44204;&#51201;&#54788;&#54889;\2023&#45380;\&#44221;&#44592;&#45224;&#46041;&#48512;\&#54217;&#53469;&#54840;(900)-&#44288;&#48372;&#53664;&#44148;" TargetMode="External"/><Relationship Id="rId484" Type="http://schemas.openxmlformats.org/officeDocument/2006/relationships/hyperlink" Target="..\AA&#51648;&#50669;&#48324;%20&#44204;&#51201;&#54788;&#54889;\2024&#45380;\&#51648;&#50669;&#45212;&#48169;\GS&#54028;&#50892;\&#50504;&#50577;%20gs&#54028;&#50892;%20&#45236;%20900A%20&#52264;&#45800;%20&#54980;%20&#51116;&#52264;&#45800;%20&#44277;&#49324;\&#54620;&#51008;&#51060;&#50644;&#50472;" TargetMode="External"/><Relationship Id="rId705" Type="http://schemas.openxmlformats.org/officeDocument/2006/relationships/hyperlink" Target="../AA&#51648;&#50669;&#48324;%20&#44204;&#51201;&#54788;&#54889;/2025&#45380;/&#52649;&#52397;&#48513;&#46020;/&#52649;&#51452;%20&#44060;&#49440;&#44277;&#49324;(&#51452;&#52384;%20300x4P,%20150x4P)-&#51060;&#54620;&#54364;" TargetMode="External"/><Relationship Id="rId137" Type="http://schemas.openxmlformats.org/officeDocument/2006/relationships/hyperlink" Target="..\AA&#51648;&#50669;&#48324;%20&#44204;&#51201;&#54788;&#54889;\2022&#45380;\&#44221;&#44592;&#45224;&#46041;&#48512;\&#50504;&#49457;~&#44396;&#47532;%20&#44256;&#49549;&#46020;&#47196;%2012&#44277;&#44396;(2000A,2200A)-&#46020;&#47196;&#44277;&#49324;,&#44256;&#47140;&#44060;&#48156;" TargetMode="External"/><Relationship Id="rId302" Type="http://schemas.openxmlformats.org/officeDocument/2006/relationships/hyperlink" Target="..\AA&#51648;&#50669;&#48324;%20&#44204;&#51201;&#54788;&#54889;\2022&#45380;\&#51204;&#46972;&#48513;&#46020;\&#51061;&#49328;(&#51452;&#52384;%20600A)-&#49688;&#44277;" TargetMode="External"/><Relationship Id="rId344" Type="http://schemas.openxmlformats.org/officeDocument/2006/relationships/hyperlink" Target="..\AA&#51648;&#50669;&#48324;%20&#44204;&#51201;&#54788;&#54889;\2023&#45380;\&#44221;&#44592;&#48513;&#48512;\&#54028;&#51452;(350A~900A)-&#54028;&#51452;&#49884;,&#45824;&#48169;&#44148;&#49444;" TargetMode="External"/><Relationship Id="rId691" Type="http://schemas.openxmlformats.org/officeDocument/2006/relationships/hyperlink" Target="..\AA&#51648;&#50669;&#48324;%20&#44204;&#51201;&#54788;&#54889;\2024&#45380;\&#44221;&#44592;&#48513;&#48512;\&#54028;&#51452;(350A~900A)-&#54028;&#51452;&#49884;,&#45824;&#48169;&#44148;&#49444;\&#52628;&#44032;&#44204;&#51201;(900,%20800,%20200)-240611" TargetMode="External"/><Relationship Id="rId747" Type="http://schemas.openxmlformats.org/officeDocument/2006/relationships/hyperlink" Target="..\AA&#51648;&#50669;&#48324;%20&#44204;&#51201;&#54788;&#54889;\2025&#45380;\&#44221;&#49345;&#45224;&#46020;\&#50577;&#49328;&#49884;(1500%20&#22806;)%20&#49888;&#46020;&#49884;%20&#51221;&#49688;&#51109;%20&#51613;&#49444;&#44277;&#49324;%20&#44148;&#49444;&#49324;&#50629;\&#44204;&#51201;" TargetMode="External"/><Relationship Id="rId41"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55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593"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07" Type="http://schemas.openxmlformats.org/officeDocument/2006/relationships/hyperlink" Target="../AA&#51648;&#50669;&#48324;%20&#44204;&#51201;&#54788;&#54889;/2024&#45380;/&#51648;&#50669;&#45212;&#48169;/&#52397;&#46972;&#50640;&#45320;&#51648;/1100A,%20800A(&#52628;&#44032;)%20&#51060;&#49444;" TargetMode="External"/><Relationship Id="rId649" Type="http://schemas.openxmlformats.org/officeDocument/2006/relationships/hyperlink" Target="..\AA&#51648;&#50669;&#48324;%20&#44204;&#51201;&#54788;&#54889;\2025&#45380;\&#44221;&#44592;&#45224;&#49436;&#48512;\&#49884;&#55141;%20&#49688;&#46020;&#44428;%204&#45800;&#44228;%20&#44305;&#50669;&#49345;&#49688;&#46020;%20&#48373;&#49440;&#54868;&#49324;&#50629;(1800,%201500,%201000)" TargetMode="External"/><Relationship Id="rId190" Type="http://schemas.openxmlformats.org/officeDocument/2006/relationships/hyperlink" Target="..\AA&#51648;&#50669;&#48324;%20&#44204;&#51201;&#54788;&#54889;\2022&#45380;\&#44221;&#44592;&#45224;&#46041;&#48512;\&#49457;&#45224;&#48373;&#51221;&#51648;&#44396;(1350A)-LH,&#45824;&#47548;&#44148;&#49444;,&#45824;&#54868;&#51060;&#50532;&#50472;" TargetMode="External"/><Relationship Id="rId204" Type="http://schemas.openxmlformats.org/officeDocument/2006/relationships/hyperlink" Target="../AA&#51648;&#50669;&#48324;%20&#44204;&#51201;&#54788;&#54889;/2022&#45380;/&#51648;&#50669;&#45212;&#48169;/GS&#54028;&#50892;/2021&#45380;%20&#48512;&#52380;&#51648;&#50669;%20&#49888;&#44508;&#44256;&#44061;%20&#50676;&#49688;&#49569;&#44288;&#44277;&#49324;/&#49849;&#51116;&#44277;&#50689;" TargetMode="External"/><Relationship Id="rId246" Type="http://schemas.openxmlformats.org/officeDocument/2006/relationships/hyperlink" Target="..\AA&#51648;&#50669;&#48324;%20&#44204;&#51201;&#54788;&#54889;\2022&#45380;\&#51204;&#46972;&#45224;&#46020;\&#44305;&#50577;1&#45800;&#44228;(&#44305;&#50577;&#44396;&#44036;%202000,%201650%20&#52264;&#45800;%20&#22806;)-&#49688;&#44277;,%20&#50752;&#53581;" TargetMode="External"/><Relationship Id="rId288" Type="http://schemas.openxmlformats.org/officeDocument/2006/relationships/hyperlink" Target="..\AA&#51648;&#50669;&#48324;%20&#44204;&#51201;&#54788;&#54889;\2022&#45380;\&#51648;&#50669;&#45212;&#48169;\&#49436;&#50872;&#50640;&#45320;&#51648;&#44277;&#49324;\650Ax2P(22.11)-&#46041;&#48512;&#51648;&#49324;" TargetMode="External"/><Relationship Id="rId411" Type="http://schemas.openxmlformats.org/officeDocument/2006/relationships/hyperlink" Target="../AA&#51648;&#50669;&#48324;%20&#44204;&#51201;&#54788;&#54889;/2023&#45380;/&#52649;&#52397;&#48513;&#46020;/&#52649;&#51452;&#45840;%20&#50521;&#49457;&#44228;&#53685;(&#51452;&#52384;%20500Ax8P)-&#49688;&#44277;,%20&#49464;&#51333;&#51060;&#50644;&#50472;" TargetMode="External"/><Relationship Id="rId453" Type="http://schemas.openxmlformats.org/officeDocument/2006/relationships/hyperlink" Target="..\AA&#51648;&#50669;&#48324;%20&#44204;&#51201;&#54788;&#54889;\2024&#45380;\&#44221;&#44592;&#48513;&#48512;\&#54028;&#51452;%20&#44596;&#44553;(&#44053;&#44288;%20600A)-&#49688;&#44277;,%20&#44221;&#51064;&#49688;&#46020;&#44148;&#49444;" TargetMode="External"/><Relationship Id="rId509" Type="http://schemas.openxmlformats.org/officeDocument/2006/relationships/hyperlink" Target="..\AA&#51648;&#50669;&#48324;%20&#44204;&#51201;&#54788;&#54889;\2023&#45380;\&#51648;&#50669;&#45212;&#48169;\&#51064;&#52380;&#51333;&#54633;&#50640;&#45320;&#51648;\23&#45380;%203&#52264;%20&#50676;&#49688;&#49569;&#44288;&#44277;&#49324;(&#46021;&#48176;&#47196;)" TargetMode="External"/><Relationship Id="rId66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106"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13" Type="http://schemas.openxmlformats.org/officeDocument/2006/relationships/hyperlink" Target="..\AA&#51648;&#50669;&#48324;%20&#44204;&#51201;&#54788;&#54889;\2022&#45380;\&#44221;&#49345;&#48513;&#46020;\&#45824;&#44396;(1650x1P%20&#44596;&#44553;%20&#50556;&#44036;)-&#45824;&#44396;&#49884;&#49345;&#49688;&#46020;&#49324;&#50629;&#48376;&#48512;" TargetMode="External"/><Relationship Id="rId495" Type="http://schemas.openxmlformats.org/officeDocument/2006/relationships/hyperlink" Target="../AA&#51648;&#50669;&#48324;%20&#44204;&#51201;&#54788;&#54889;/2022&#45380;/&#52649;&#52397;&#48513;&#46020;/&#52649;&#51452;(&#51060;&#52380;~&#47928;&#44221;,%20200A~1350A)-&#54620;&#44397;&#52384;&#46020;&#49884;&#49444;&#44277;&#45800;,&#54788;&#45824;&#44148;&#49444;,&#45824;&#49457;&#44592;&#44277;/&#52628;&#44032;&#44204;&#51201;(400x250)-240418" TargetMode="External"/><Relationship Id="rId716" Type="http://schemas.openxmlformats.org/officeDocument/2006/relationships/hyperlink" Target="..\AA&#51648;&#50669;&#48324;%20&#44204;&#51201;&#54788;&#54889;\2025&#45380;\&#44221;&#44592;&#45224;&#49436;&#48512;\&#49884;&#55141;%20&#49688;&#46020;&#44428;%204&#45800;&#44228;%20&#44305;&#50669;&#49345;&#49688;&#46020;%20&#48373;&#49440;&#54868;&#49324;&#50629;(1800,%201500,%201000)" TargetMode="External"/><Relationship Id="rId758"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1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AA&#51648;&#50669;&#48324;%20&#44204;&#51201;&#54788;&#54889;/2021&#45380;/&#51648;&#50669;&#45212;&#48169;/&#50504;&#49328;&#46020;&#49884;&#44060;&#48156;/&#50504;&#49328;(700A,800A)-&#49340;&#52380;&#47532;" TargetMode="External"/><Relationship Id="rId94"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48" Type="http://schemas.openxmlformats.org/officeDocument/2006/relationships/hyperlink" Target="..\AA&#51648;&#50669;&#48324;%20&#44204;&#51201;&#54788;&#54889;\2022&#45380;\&#44221;&#49345;&#45224;&#46020;\&#50872;&#49328;%20&#48276;&#49436;IC(2000A,%20PC&#44288;,%20&#44053;&#44288;)-&#54620;&#44397;&#46020;&#47196;&#44277;&#49324;,&#46020;&#50896;,&#49464;&#50689;&#51333;&#54633;&#44148;&#49444;" TargetMode="External"/><Relationship Id="rId355" Type="http://schemas.openxmlformats.org/officeDocument/2006/relationships/hyperlink" Target="..\AA&#51648;&#50669;&#48324;%20&#44204;&#51201;&#54788;&#54889;\2023&#45380;\&#51648;&#50669;&#45212;&#48169;\&#49436;&#50872;&#50640;&#45320;&#51648;&#44277;&#49324;\2022.12.13-450,%20300%20&#50500;&#51060;&#50956;&#44148;&#49444;" TargetMode="External"/><Relationship Id="rId397" Type="http://schemas.openxmlformats.org/officeDocument/2006/relationships/hyperlink" Target="../AA&#51648;&#50669;&#48324;%20&#44204;&#51201;&#54788;&#54889;/2023&#45380;/&#44221;&#44592;&#48513;&#48512;/&#54028;&#51452;(350A~900A)-&#54028;&#51452;&#49884;,&#45824;&#48169;&#44148;&#49444;" TargetMode="External"/><Relationship Id="rId520" Type="http://schemas.openxmlformats.org/officeDocument/2006/relationships/hyperlink" Target="../AA&#51648;&#50669;&#48324;%20&#44204;&#51201;&#54788;&#54889;/2022&#45380;/&#44221;&#44592;&#45224;&#49436;&#48512;/&#44305;&#47749;~&#49436;&#50872;%20&#49345;&#49688;&#44288;&#47196;&#51060;&#49444;" TargetMode="External"/><Relationship Id="rId562" Type="http://schemas.openxmlformats.org/officeDocument/2006/relationships/hyperlink" Target="..\AA&#51648;&#50669;&#48324;%20&#44204;&#51201;&#54788;&#54889;\2022&#45380;\&#49436;&#50872;&#49884;\&#46041;&#45824;&#47928;%20&#51221;&#47497;&#52380;(1100A)-&#46041;&#45824;&#47928;&#44396;,%20&#49569;&#50689;&#50644;&#51648;&#45768;&#50612;&#47553;" TargetMode="External"/><Relationship Id="rId618" Type="http://schemas.openxmlformats.org/officeDocument/2006/relationships/hyperlink" Target="../AA&#51648;&#50669;&#48324;%20&#44204;&#51201;&#54788;&#54889;/2025&#45380;/&#51648;&#50669;&#45212;&#48169;/&#45824;&#51204;&#50676;&#48337;&#54633;/&#51012;&#47896;&#51333;&#54633;&#44148;&#49444;&#12828;" TargetMode="External"/><Relationship Id="rId215" Type="http://schemas.openxmlformats.org/officeDocument/2006/relationships/hyperlink" Target="..\AA&#51648;&#50669;&#48324;%20&#44204;&#51201;&#54788;&#54889;\2022&#45380;\&#51204;&#46972;&#45224;&#46020;\&#44305;&#50577;1&#45800;&#44228;(&#44305;&#50577;&#44396;&#44036;%202000,%201650%20&#52264;&#45800;%20&#22806;)-&#49688;&#44277;,%20&#50752;&#53581;" TargetMode="External"/><Relationship Id="rId257" Type="http://schemas.openxmlformats.org/officeDocument/2006/relationships/hyperlink" Target="..\AA&#51648;&#50669;&#48324;%20&#44204;&#51201;&#54788;&#54889;\2022&#45380;\&#44221;&#44592;&#45224;&#46041;&#48512;\&#50857;&#51064;&#49688;&#51648;&#51221;&#49688;&#51109;(900A,%20&#44053;&#44288;)-&#45824;&#51200;&#44148;&#49444;" TargetMode="External"/><Relationship Id="rId422" Type="http://schemas.openxmlformats.org/officeDocument/2006/relationships/hyperlink" Target="..\AA&#51648;&#50669;&#48324;%20&#44204;&#51201;&#54788;&#54889;\2023&#45380;\&#51204;&#46972;&#48513;&#46020;\&#50756;&#51452;-&#51204;&#51452;&#44428;&#44305;&#50669;%20&#45824;&#50500;&#45840;(D1800)-&#49688;&#44277;%20&#51204;&#51452;&#44428;&#51648;&#49324;" TargetMode="External"/><Relationship Id="rId464" Type="http://schemas.openxmlformats.org/officeDocument/2006/relationships/hyperlink" Target="..\AA&#51648;&#50669;&#48324;%20&#44204;&#51201;&#54788;&#54889;\2024&#45380;\&#51228;&#51452;&#46020;\&#51228;&#51452;&#49688;&#51088;&#50896;(600)" TargetMode="External"/><Relationship Id="rId299" Type="http://schemas.openxmlformats.org/officeDocument/2006/relationships/hyperlink" Target="../AA&#51648;&#50669;&#48324;%20&#44204;&#51201;&#54788;&#54889;/2022&#45380;/&#44221;&#49345;&#45224;&#46020;/&#50872;&#49328;(&#50616;&#54540;&#47084;&#44613;%20&#52264;&#45800;%201350A)-&#50872;&#49328;&#49884;,%20&#50864;&#44221;" TargetMode="External"/><Relationship Id="rId727" Type="http://schemas.openxmlformats.org/officeDocument/2006/relationships/hyperlink" Target="..\AA&#51648;&#50669;&#48324;%20&#44204;&#51201;&#54788;&#54889;\2024&#45380;\&#51648;&#50669;&#45212;&#48169;\&#51064;&#52380;&#44277;&#54637;&#50640;&#45320;&#51648;\24&#45380;%20&#50676;&#49688;&#49569;&#44288;%20&#47924;&#45800;&#49688;&#44277;&#49324;%20&#45800;&#44032;&#44228;&#50557;%20&#51077;&#52272;&#44277;&#44256;" TargetMode="External"/><Relationship Id="rId63" Type="http://schemas.openxmlformats.org/officeDocument/2006/relationships/hyperlink" Target="../AA&#51648;&#50669;&#48324;%20&#44204;&#51201;&#54788;&#54889;/2021&#45380;/&#51648;&#50669;&#45212;&#48169;/GS&#54028;&#50892;/2021&#45380;%20&#47924;&#52264;&#45800;&#44277;&#49324;%20&#51077;&#52272;" TargetMode="External"/><Relationship Id="rId159" Type="http://schemas.openxmlformats.org/officeDocument/2006/relationships/hyperlink" Target="..\AA&#51648;&#50669;&#48324;%20&#44204;&#51201;&#54788;&#54889;\2022&#45380;\&#44221;&#44592;&#45224;&#46041;&#48512;\&#50504;&#49457;~&#44396;&#47532;%20&#44256;&#49549;&#46020;&#47196;%2012&#44277;&#44396;(2000A,2200A)-&#46020;&#47196;&#44277;&#49324;,&#44256;&#47140;&#44060;&#48156;" TargetMode="External"/><Relationship Id="rId366" Type="http://schemas.openxmlformats.org/officeDocument/2006/relationships/hyperlink" Target="../AA&#51648;&#50669;&#48324;%20&#44204;&#51201;&#54788;&#54889;/2023&#45380;/&#52649;&#52397;&#48513;&#46020;/&#52397;&#51452;(2200x600%20&#22806;%20&#52380;&#44277;)-&#47749;&#51648;&#44592;&#49696;&#45800;" TargetMode="External"/><Relationship Id="rId573" Type="http://schemas.openxmlformats.org/officeDocument/2006/relationships/hyperlink" Target="..\AA&#51648;&#50669;&#48324;%20&#44204;&#51201;&#54788;&#54889;\2024&#45380;\&#51648;&#50669;&#45212;&#48169;\&#49340;&#52380;&#47532;&#51060;&#50644;&#51648;" TargetMode="External"/><Relationship Id="rId226" Type="http://schemas.openxmlformats.org/officeDocument/2006/relationships/hyperlink" Target="../AA&#51648;&#50669;&#48324;%20&#44204;&#51201;&#54788;&#54889;/2022&#45380;/&#44221;&#44592;&#45224;&#49436;&#48512;/&#50504;&#49328;(500A,%20600A,%20&#51452;&#52384;)-&#50504;&#49328;&#49884;,&#49888;&#44305;&#44592;&#50629;&#49324;,%20&#54620;&#46160;&#44148;&#49444;/22.07.05" TargetMode="External"/><Relationship Id="rId433" Type="http://schemas.openxmlformats.org/officeDocument/2006/relationships/hyperlink" Target="../AA&#51648;&#50669;&#48324;%20&#44204;&#51201;&#54788;&#54889;/2022&#45380;/&#51648;&#50669;&#45212;&#48169;/&#51064;&#52380;&#44277;&#54637;&#50640;&#45320;&#51648;/&#50676;&#49688;&#49569;&#44288;%20&#47924;&#45800;&#49688;&#44277;&#49324;%20&#45800;&#44032;&#44228;&#50557;%20(&#51077;&#52272;)%20-%2022.07.11" TargetMode="External"/><Relationship Id="rId64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38" Type="http://schemas.openxmlformats.org/officeDocument/2006/relationships/hyperlink" Target="..\AA&#51648;&#50669;&#48324;%20&#44204;&#51201;&#54788;&#54889;\2024&#45380;\&#51204;&#46972;&#48513;&#46020;\&#51061;&#49328;%20&#49437;&#53444;%20&#51088;&#50672;&#51116;&#54644;(1500A%20D-D)-&#51061;&#49328;&#49884;,%20&#54620;&#44032;&#46988;" TargetMode="External"/><Relationship Id="rId74"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77"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500" Type="http://schemas.openxmlformats.org/officeDocument/2006/relationships/hyperlink" Target="..\AA&#51648;&#50669;&#48324;%20&#44204;&#51201;&#54788;&#54889;\2024&#45380;\&#52649;&#52397;&#45224;&#46020;\&#50500;&#49328;(2000A,1200A)-&#49688;&#44277;,&#50472;&#54000;&#44148;&#49444;,%20(&#51452;)&#44053;&#47932;" TargetMode="External"/><Relationship Id="rId584" Type="http://schemas.openxmlformats.org/officeDocument/2006/relationships/hyperlink" Target="../AA&#51648;&#50669;&#48324;%20&#44204;&#51201;&#54788;&#54889;/2024&#45380;/&#52649;&#52397;&#45224;&#46020;/&#52380;&#50504;&#48513;&#48512;%20BIT(&#51452;&#52384;%20200,%20400)-&#52380;&#50504;&#49884;,%20&#49888;&#47749;&#51333;&#54633;&#44148;&#49444;" TargetMode="External"/><Relationship Id="rId5" Type="http://schemas.openxmlformats.org/officeDocument/2006/relationships/hyperlink" Target="..\AA&#51648;&#50669;&#48324;%20&#44204;&#51201;&#54788;&#54889;\2021&#45380;\&#44221;&#49345;&#45224;&#46020;\&#54632;&#50504;(600A,%20&#51452;&#52384;)-&#49688;&#44277;,&#54632;&#50504;&#44400;,&#49352;&#52380;&#45380;&#51333;&#54633;&#44148;&#49444;" TargetMode="External"/><Relationship Id="rId237" Type="http://schemas.openxmlformats.org/officeDocument/2006/relationships/hyperlink" Target="..\AA&#51648;&#50669;&#48324;%20&#44204;&#51201;&#54788;&#54889;\2021&#45380;\&#49569;&#50976;&#44288;\&#51064;&#52380;&#44397;&#51228;&#44277;&#54637;-&#47928;&#54868;&#51648;&#50644;&#53076;,&#49464;&#48372;&#50656;&#51060;&#50472;\&#47928;&#54868;&#51648;&#50644;&#53076;" TargetMode="External"/><Relationship Id="rId444" Type="http://schemas.openxmlformats.org/officeDocument/2006/relationships/hyperlink" Target="..\AA&#51648;&#50669;&#48324;%20&#44204;&#51201;&#54788;&#54889;\2023&#45380;\&#44221;&#44592;&#45224;&#49436;&#48512;\&#54868;&#49457;&#46041;&#53444;(1350A)-&#49688;&#44277;,&#45824;&#51652;&#51333;&#54633;&#44148;&#49444;,&#44148;&#50577;&#44148;&#49444;" TargetMode="External"/><Relationship Id="rId65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49"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290" Type="http://schemas.openxmlformats.org/officeDocument/2006/relationships/hyperlink" Target="..\AA&#51648;&#50669;&#48324;%20&#44204;&#51201;&#54788;&#54889;\2022&#45380;\&#44221;&#49345;&#45224;&#46020;\&#48512;&#49328;(&#51452;&#52384;%20400x1P)-&#48512;&#49328;&#49884;&#49345;&#49688;&#46020;&#49324;&#50629;&#48376;&#48512;,%20&#54635;&#46972;&#51064;" TargetMode="External"/><Relationship Id="rId304" Type="http://schemas.openxmlformats.org/officeDocument/2006/relationships/hyperlink" Target="..\AA&#51648;&#50669;&#48324;%20&#44204;&#51201;&#54788;&#54889;\2022&#45380;\&#52649;&#52397;&#48513;&#46020;\&#52397;&#51452;(&#51452;&#52384;&#44288;%20800A)-&#54620;&#44397;&#54872;&#44221;&#44277;&#45800;,%20&#50976;&#51652;&#44148;&#49444;" TargetMode="External"/><Relationship Id="rId388" Type="http://schemas.openxmlformats.org/officeDocument/2006/relationships/hyperlink" Target="..\AA&#51648;&#50669;&#48324;%20&#44204;&#51201;&#54788;&#54889;\2023&#45380;\&#51648;&#50669;&#45212;&#48169;\GS&#54028;&#50892;\2023&#45380;%20&#50504;&#50577;%20&#45257;&#52380;&#51648;&#44396;(750A)-&#50640;&#49828;&#50644;&#51228;&#51060;&#50644;&#51648;&#45768;&#50612;&#47553;" TargetMode="External"/><Relationship Id="rId511" Type="http://schemas.openxmlformats.org/officeDocument/2006/relationships/hyperlink" Target="../AA&#51648;&#50669;&#48324;%20&#44204;&#51201;&#54788;&#54889;/2024&#45380;/&#44221;&#44592;&#45224;&#49436;&#48512;/&#45432;&#50728;&#51221;&#49688;&#51109;%20&#49569;&#49688;&#54156;&#54532;%209&#54840;&#44592;%20&#50976;&#52636;&#48184;&#48652;%20&#44368;&#52404;%20&#44277;&#49324;" TargetMode="External"/><Relationship Id="rId609" Type="http://schemas.openxmlformats.org/officeDocument/2006/relationships/hyperlink" Target="..\AA&#51648;&#50669;&#48324;%20&#44204;&#51201;&#54788;&#54889;\2024&#45380;\&#44221;&#44592;&#48513;&#48512;\&#54028;&#51452;(350A~900A)-&#54028;&#51452;&#49884;,&#45824;&#48169;&#44148;&#49444;\&#52628;&#44032;&#44204;&#51201;(900,%20800,%20200)-240611" TargetMode="External"/><Relationship Id="rId85" Type="http://schemas.openxmlformats.org/officeDocument/2006/relationships/hyperlink" Target="../AA&#51648;&#50669;&#48324;%20&#44204;&#51201;&#54788;&#54889;/2021&#45380;/&#51648;&#50669;&#45212;&#48169;/GS&#54028;&#50892;/2021&#45380;%20&#47924;&#52264;&#45800;&#44277;&#49324;%20&#51077;&#52272;" TargetMode="External"/><Relationship Id="rId150" Type="http://schemas.openxmlformats.org/officeDocument/2006/relationships/hyperlink" Target="../AA&#51648;&#50669;&#48324;%20&#44204;&#51201;&#54788;&#54889;/2022&#45380;/&#44221;&#49345;&#45224;&#46020;/&#50872;&#49328;%20&#48276;&#49436;IC(2000A,%20PC&#44288;,%20&#44053;&#44288;)-&#54620;&#44397;&#46020;&#47196;&#44277;&#49324;,&#46020;&#50896;,&#49464;&#50689;&#51333;&#54633;&#44148;&#49444;" TargetMode="External"/><Relationship Id="rId595"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48"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55" Type="http://schemas.openxmlformats.org/officeDocument/2006/relationships/hyperlink" Target="..\AA&#51648;&#50669;&#48324;%20&#44204;&#51201;&#54788;&#54889;\2024&#45380;\&#49436;&#50872;&#49884;\&#47785;&#46041;&#44368;~&#46020;&#47548;&#52380;&#44036;%20&#51109;&#44592;&#49324;&#50857;%20&#49569;&#48176;&#49688;&#44288;~(1500A)-&#49436;&#50872;&#49884;%20&#49345;&#49688;&#46020;&#49324;&#50629;&#48376;&#48512;" TargetMode="External"/><Relationship Id="rId662" Type="http://schemas.openxmlformats.org/officeDocument/2006/relationships/hyperlink" Target="..\AA&#51648;&#50669;&#48324;%20&#44204;&#51201;&#54788;&#54889;\2024&#45380;\&#44221;&#49345;&#45224;&#46020;\&#44256;&#49457;%20&#50900;&#54217;&#51648;&#44396;(800x4P)-&#49688;&#44277;,%20&#44221;&#54868;&#50644;&#51648;&#45768;&#50612;&#47553;\&#50896;&#50864;&#44148;&#49444;" TargetMode="External"/><Relationship Id="rId12" Type="http://schemas.openxmlformats.org/officeDocument/2006/relationships/hyperlink" Target="..\AA&#51648;&#50669;&#48324;%20&#44204;&#51201;&#54788;&#54889;\2021&#45380;\&#51648;&#50669;&#45212;&#48169;\GS&#54028;&#50892;\2021&#45380;%20&#47924;&#52264;&#45800;&#44277;&#49324;%20&#51077;&#52272;" TargetMode="External"/><Relationship Id="rId108" Type="http://schemas.openxmlformats.org/officeDocument/2006/relationships/hyperlink" Target="..\AA&#51648;&#50669;&#48324;%20&#44204;&#51201;&#54788;&#54889;\2021&#45380;\&#44592;&#53440;\&#51064;&#52380;&#44397;&#51228;&#44277;&#54637;(&#44032;&#49828;%20125A,100A)-&#44305;&#51109;EMC,%20&#53468;&#44305;PST" TargetMode="External"/><Relationship Id="rId315" Type="http://schemas.openxmlformats.org/officeDocument/2006/relationships/hyperlink" Target="..\AA&#51648;&#50669;&#48324;%20&#44204;&#51201;&#54788;&#54889;\2022&#45380;\&#52649;&#52397;&#48513;&#46020;\&#52649;&#51452;(600A,&#51452;&#52384;)-&#49688;&#44277;,&#46041;&#50896;&#44148;&#49444;&#49328;&#50629;" TargetMode="External"/><Relationship Id="rId522" Type="http://schemas.openxmlformats.org/officeDocument/2006/relationships/hyperlink" Target="..\AA&#51648;&#50669;&#48324;%20&#44204;&#51201;&#54788;&#54889;\2024&#45380;\&#52649;&#52397;&#45224;&#46020;\&#54861;&#49457;(1500x100)-&#49688;&#44592;&#51452;" TargetMode="External"/><Relationship Id="rId96"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61" Type="http://schemas.openxmlformats.org/officeDocument/2006/relationships/hyperlink" Target="..\AA&#51648;&#50669;&#48324;%20&#44204;&#51201;&#54788;&#54889;\2021&#45380;\&#51648;&#50669;&#45212;&#48169;\GS&#54028;&#50892;\2021&#45380;%20&#47924;&#52264;&#45800;&#44277;&#49324;%20&#51077;&#52272;" TargetMode="External"/><Relationship Id="rId399" Type="http://schemas.openxmlformats.org/officeDocument/2006/relationships/hyperlink" Target="../AA&#51648;&#50669;&#48324;%20&#44204;&#51201;&#54788;&#54889;/2023&#45380;/&#44221;&#44592;&#48513;&#48512;/&#54028;&#51452;(350A~900A)-&#54028;&#51452;&#49884;,&#45824;&#48169;&#44148;&#49444;" TargetMode="External"/><Relationship Id="rId259" Type="http://schemas.openxmlformats.org/officeDocument/2006/relationships/hyperlink" Target="..\AA&#51648;&#50669;&#48324;%20&#44204;&#51201;&#54788;&#54889;\2022&#45380;\&#51204;&#46972;&#48513;&#46020;\&#51109;&#49688;&#44400;(&#51452;&#52384;%20350A%20&#22806;,%20&#53945;&#54728;&#54801;&#50557;)-&#49688;&#44277;%20&#46041;&#54868;&#44428;&#51648;&#49324;" TargetMode="External"/><Relationship Id="rId466" Type="http://schemas.openxmlformats.org/officeDocument/2006/relationships/hyperlink" Target="../AA&#51648;&#50669;&#48324;%20&#44204;&#51201;&#54788;&#54889;/2024&#45380;/&#44221;&#49345;&#45224;&#46020;/&#44608;&#54644;%20&#45824;&#46041;~&#47588;&#47532;&#44036;(&#51452;&#52384;%20400x4P)-&#44608;&#54644;&#49884;,%20&#49352;&#48317;&#44148;&#49444;" TargetMode="External"/><Relationship Id="rId673" Type="http://schemas.openxmlformats.org/officeDocument/2006/relationships/hyperlink" Target="..\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AA&#51648;&#50669;&#48324;%20&#44204;&#51201;&#54788;&#54889;\2021&#45380;\&#51648;&#50669;&#45212;&#48169;\GS&#54028;&#50892;\500Ax8P,%20150Ax12P-GS&#45348;&#50724;&#53581;(21.06.02)" TargetMode="External"/><Relationship Id="rId119"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26" Type="http://schemas.openxmlformats.org/officeDocument/2006/relationships/hyperlink" Target="../AA&#51648;&#50669;&#48324;%20&#44204;&#51201;&#54788;&#54889;/2023&#45380;/&#44221;&#49345;&#48513;&#46020;/&#44221;&#49328;(&#44053;&#44288;%201500&#22806;%20&#52264;&#45800;,%20&#52380;&#44277;%20&#54252;&#54632;)%20&#44221;&#49328;&#51221;&#49688;&#51109;,%20&#44221;&#49328;&#49884;,%20&#54635;&#46972;&#51064;" TargetMode="External"/><Relationship Id="rId533"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40" Type="http://schemas.openxmlformats.org/officeDocument/2006/relationships/hyperlink" Target="file:///\\192.168.0.68\(&#51452;)&#45824;&#54840;&#49828;&#53664;&#54140;\0&#50689;&#50629;&#49324;&#54637;(&#44204;&#51201;&#49436;)\AA&#51648;&#50669;&#48324;%20&#44204;&#51201;&#54788;&#54889;\2025&#45380;\&#51648;&#50669;&#45212;&#48169;\GS&#54028;&#50892;\1.&#50504;&#50577;\5.&#50504;&#50577;&#50676;&#48337;&#54633;&#48156;&#51204;&#49548;%20&#20839;%20&#44277;&#49324;(300x1p)\300a%20&#54620;&#51008;&#51060;&#50644;&#50472;" TargetMode="External"/><Relationship Id="rId172" Type="http://schemas.openxmlformats.org/officeDocument/2006/relationships/hyperlink" Target="..\AA&#51648;&#50669;&#48324;%20&#44204;&#51201;&#54788;&#54889;\2022&#45380;\&#51204;&#46972;&#45224;&#46020;\&#51109;&#55141;(250A,300A.&#51452;&#52384;)-&#49688;&#44277;,&#49436;&#50689;&#50644;&#51648;&#45768;&#50612;&#47553;,&#53360;&#48731;&#51333;&#54633;&#44148;&#49444;" TargetMode="External"/><Relationship Id="rId477" Type="http://schemas.openxmlformats.org/officeDocument/2006/relationships/hyperlink" Target="..\AA&#51648;&#50669;&#48324;%20&#44204;&#51201;&#54788;&#54889;\2023&#45380;\&#51648;&#50669;&#45212;&#48169;\GS&#54028;&#50892;\&#44228;&#50577;&#51648;&#44396;(700Ax4P)-&#49849;&#51116;" TargetMode="External"/><Relationship Id="rId600" Type="http://schemas.openxmlformats.org/officeDocument/2006/relationships/hyperlink" Target="..\AA&#51648;&#50669;&#48324;%20&#44204;&#51201;&#54788;&#54889;\2023&#45380;\&#51648;&#50669;&#45212;&#48169;\GS&#54028;&#50892;\&#9733;2023.6.8~15%20&#51077;&#52272;%204&#44148;" TargetMode="External"/><Relationship Id="rId684" Type="http://schemas.openxmlformats.org/officeDocument/2006/relationships/hyperlink" Target="..\AA&#51648;&#50669;&#48324;%20&#44204;&#51201;&#54788;&#54889;\2025&#45380;\&#52649;&#52397;&#48513;&#46020;\&#51613;&#54217;&#44228;&#53685;(&#51452;&#52384;&#44288;%20600A)-&#46020;&#54868;&#50644;&#51648;&#45768;&#50612;&#47553;,%20&#49688;&#44277;" TargetMode="External"/><Relationship Id="rId337"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34" Type="http://schemas.openxmlformats.org/officeDocument/2006/relationships/hyperlink" Target="..\AA&#51648;&#50669;&#48324;%20&#44204;&#51201;&#54788;&#54889;\2020&#45380;\&#52649;&#52397;&#45224;&#46020;\&#45824;&#52397;III(2&#44277;&#44396;)-&#49688;&#44277;,&#46041;&#48512;&#44148;&#49444;\&#44228;&#50557;" TargetMode="External"/><Relationship Id="rId544" Type="http://schemas.openxmlformats.org/officeDocument/2006/relationships/hyperlink" Target="..\AA&#51648;&#50669;&#48324;%20&#44204;&#51201;&#54788;&#54889;\2023&#45380;\&#44221;&#49345;&#45224;&#46020;\&#52285;&#50896;%20&#48393;&#44053;~&#47924;&#50504;(1350A)-&#49688;&#44277;,&#44221;&#45224;,BK%20eng" TargetMode="External"/><Relationship Id="rId751"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183" Type="http://schemas.openxmlformats.org/officeDocument/2006/relationships/hyperlink" Target="..\AA&#51648;&#50669;&#48324;%20&#44204;&#51201;&#54788;&#54889;\2021&#45380;\&#51648;&#50669;&#45212;&#48169;\GS&#54028;&#50892;\2021&#45380;%20&#47924;&#52264;&#45800;&#44277;&#49324;%20&#51077;&#52272;" TargetMode="External"/><Relationship Id="rId390" Type="http://schemas.openxmlformats.org/officeDocument/2006/relationships/hyperlink" Target="..\AA&#51648;&#50669;&#48324;%20&#44204;&#51201;&#54788;&#54889;\2023&#45380;\&#44221;&#44592;&#48513;&#48512;\&#44256;&#50577;(1650A)-&#49688;&#44277;,&#54620;&#44397;&#51333;&#54633;&#44592;&#49696;,&#51648;&#49468;&#50644;&#51648;&#45768;&#50612;&#47553;" TargetMode="External"/><Relationship Id="rId404" Type="http://schemas.openxmlformats.org/officeDocument/2006/relationships/hyperlink" Target="..\AA&#51648;&#50669;&#48324;%20&#44204;&#51201;&#54788;&#54889;\2023&#45380;\&#51648;&#50669;&#45212;&#48169;\&#52397;&#46972;&#50640;&#45320;&#51648;\1100x900%20gs&#45348;&#50724;&#53581;%20&#48516;&#44592;&#54000;" TargetMode="External"/><Relationship Id="rId611"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50" Type="http://schemas.openxmlformats.org/officeDocument/2006/relationships/hyperlink" Target="../AA&#51648;&#50669;&#48324;%20&#44204;&#51201;&#54788;&#54889;/2022&#45380;/&#51204;&#46972;&#48513;&#46020;/&#51109;&#49688;&#44400;(&#51452;&#52384;%20350A%20&#22806;,%20&#53945;&#54728;&#54801;&#50557;)-&#49688;&#44277;%20&#46041;&#54868;&#44428;&#51648;&#49324;" TargetMode="External"/><Relationship Id="rId488" Type="http://schemas.openxmlformats.org/officeDocument/2006/relationships/hyperlink" Target="../AA&#51648;&#50669;&#48324;%20&#44204;&#51201;&#54788;&#54889;/2023&#45380;/&#44592;&#53440;/&#54788;&#45824;&#51228;&#52384;(Steam%20350A%204P%20&#22806;)%20-%20&#46160;&#54805;&#50644;&#51648;&#45768;&#50612;&#47553;" TargetMode="External"/><Relationship Id="rId695" Type="http://schemas.openxmlformats.org/officeDocument/2006/relationships/hyperlink" Target="..\AA&#51648;&#50669;&#48324;%20&#44204;&#51201;&#54788;&#54889;\2025&#45380;\&#51648;&#50669;&#45212;&#48169;\GS&#54028;&#50892;\1.&#50504;&#50577;\12.2025&#45380;%20&#50504;&#50577;&#51648;&#50669;%20&#50676;&#49688;&#49569;&#44288;%20&#49457;&#45733;&#52712;&#50557;%20&#44060;&#49440;&#44277;&#49324;(700,%20550%20&#50808;)" TargetMode="External"/><Relationship Id="rId709"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45"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10" Type="http://schemas.openxmlformats.org/officeDocument/2006/relationships/hyperlink" Target="../AA&#51648;&#50669;&#48324;%20&#44204;&#51201;&#54788;&#54889;/2021&#45380;/&#51648;&#50669;&#45212;&#48169;/GS&#54028;&#50892;/2021&#45380;%20&#47924;&#52264;&#45800;&#44277;&#49324;%20&#51077;&#52272;" TargetMode="External"/><Relationship Id="rId348" Type="http://schemas.openxmlformats.org/officeDocument/2006/relationships/hyperlink" Target="..\AA&#51648;&#50669;&#48324;%20&#44204;&#51201;&#54788;&#54889;\2023&#45380;\&#44221;&#49345;&#48513;&#46020;\&#54252;&#54637;&#44277;&#50629;&#50857;&#49688;&#46020;2&#52264;(1350A%20PC&#44288;%20&#50808;)-&#49688;&#44277;,&#54868;&#51064;&#51333;&#54633;&#44148;&#49444;" TargetMode="External"/><Relationship Id="rId555"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62" Type="http://schemas.openxmlformats.org/officeDocument/2006/relationships/hyperlink" Target="..\AA&#51648;&#50669;&#48324;%20&#44204;&#51201;&#54788;&#54889;\2023&#45380;\&#52649;&#52397;&#45224;&#46020;\&#45824;&#51204;%20&#50900;&#54217;&#51221;&#49688;&#51109;(D2400,2000,%201650%20&#46321;)-&#45824;&#51204;&#49884;,%20KCC&#44148;&#49444;" TargetMode="External"/><Relationship Id="rId194"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AA&#51648;&#50669;&#48324;%20&#44204;&#51201;&#54788;&#54889;\2021&#45380;\&#49569;&#50976;&#44288;\&#51064;&#52380;&#44397;&#51228;&#44277;&#54637;-&#47928;&#54868;&#51648;&#50644;&#53076;,&#49464;&#48372;&#50656;&#51060;&#50472;\&#47928;&#54868;&#51648;&#50644;&#53076;" TargetMode="External"/><Relationship Id="rId415" Type="http://schemas.openxmlformats.org/officeDocument/2006/relationships/hyperlink" Target="..\AA&#51648;&#50669;&#48324;%20&#44204;&#51201;&#54788;&#54889;\2023&#45380;\&#44221;&#49345;&#45224;&#46020;\&#50872;&#49328;(&#50872;&#49328;&#44277;&#50629;&#50857;&#49688;&#46020;%20&#45432;&#54980;&#44288;%20&#44060;&#47049;&#44277;&#49324;(3&#52264;))-&#49688;&#51088;&#50896;&#44277;&#49324;" TargetMode="External"/><Relationship Id="rId62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AA&#51648;&#50669;&#48324;%20&#44204;&#51201;&#54788;&#54889;\2022&#45380;\&#44221;&#44592;&#48513;&#48512;\&#54252;&#52380;(700A,600A)&#49457;&#51652;&#51333;&#54633;&#44148;&#49444;" TargetMode="External"/><Relationship Id="rId499" Type="http://schemas.openxmlformats.org/officeDocument/2006/relationships/hyperlink" Target="..\AA&#51648;&#50669;&#48324;%20&#44204;&#51201;&#54788;&#54889;\2024&#45380;\&#51648;&#50669;&#45212;&#48169;\GS&#54028;&#50892;\&#50504;&#50577;%20gs&#54028;&#50892;%20&#45236;%20900A%20&#52264;&#45800;%20&#54980;%20&#51116;&#52264;&#45800;%20&#44277;&#49324;\&#54620;&#51008;&#51060;&#50644;&#50472;" TargetMode="External"/><Relationship Id="rId56"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59" Type="http://schemas.openxmlformats.org/officeDocument/2006/relationships/hyperlink" Target="..\AA&#51648;&#50669;&#48324;%20&#44204;&#51201;&#54788;&#54889;\2023&#45380;\&#44053;&#50896;&#46020;\&#51221;&#49440;%20&#49888;&#46041;&#51221;&#49688;&#51109;(&#44053;&#44288;%20300)-&#51221;&#49440;&#44400;,%20&#54840;&#54889;&#44148;&#49444;" TargetMode="External"/><Relationship Id="rId566"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121" Type="http://schemas.openxmlformats.org/officeDocument/2006/relationships/hyperlink" Target="../AA&#51648;&#50669;&#48324;%20&#44204;&#51201;&#54788;&#54889;/2021&#45380;/&#51648;&#50669;&#45212;&#48169;/GS&#54028;&#50892;/2021&#45380;%20&#47924;&#52264;&#45800;&#44277;&#49324;%20&#51077;&#52272;" TargetMode="External"/><Relationship Id="rId219" Type="http://schemas.openxmlformats.org/officeDocument/2006/relationships/hyperlink" Target="..\AA&#51648;&#50669;&#48324;%20&#44204;&#51201;&#54788;&#54889;\2021&#45380;\&#51648;&#50669;&#45212;&#48169;\GS&#54028;&#50892;\2021&#45380;%20&#47924;&#52264;&#45800;&#44277;&#49324;%20&#51077;&#52272;" TargetMode="External"/><Relationship Id="rId426" Type="http://schemas.openxmlformats.org/officeDocument/2006/relationships/hyperlink" Target="..\AA&#51648;&#50669;&#48324;%20&#44204;&#51201;&#54788;&#54889;\2023&#45380;\&#51648;&#50669;&#45212;&#48169;\GS&#54028;&#50892;\2023&#45380;%20&#48512;&#52380;&#51648;&#50669;%20&#49888;&#44508;&#44256;&#44061;\&#49892;&#54665;-&#45796;&#47548;&#44148;&#49444;" TargetMode="External"/><Relationship Id="rId633" Type="http://schemas.openxmlformats.org/officeDocument/2006/relationships/hyperlink" Target="../AA&#51648;&#50669;&#48324;%20&#44204;&#51201;&#54788;&#54889;/2025&#45380;/&#51648;&#50669;&#45212;&#48169;/GS&#54028;&#50892;/1.&#50504;&#50577;/6.&#50504;&#50577;&#50676;&#48337;&#54633;&#48156;&#51204;&#49548;%20&#45236;%20&#49688;&#51649;&#48176;&#44288;(750x1P)" TargetMode="External"/><Relationship Id="rId67"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72" Type="http://schemas.openxmlformats.org/officeDocument/2006/relationships/hyperlink" Target="..\AA&#51648;&#50669;&#48324;%20&#44204;&#51201;&#54788;&#54889;\2022&#45380;\&#44221;&#44592;&#45224;&#49436;&#48512;\&#50504;&#50577;(800A,%20&#51452;&#52384;&#44288;)-&#49464;&#44305;&#44148;&#49444;" TargetMode="External"/><Relationship Id="rId577"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0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132" Type="http://schemas.openxmlformats.org/officeDocument/2006/relationships/hyperlink" Target="../AA&#51648;&#50669;&#48324;%20&#44204;&#51201;&#54788;&#54889;/2021&#45380;/&#51648;&#50669;&#45212;&#48169;/GS&#54028;&#50892;/2021&#45380;%20&#47924;&#52264;&#45800;&#44277;&#49324;%20&#51077;&#52272;" TargetMode="External"/><Relationship Id="rId437" Type="http://schemas.openxmlformats.org/officeDocument/2006/relationships/hyperlink" Target="..\AA&#51648;&#50669;&#48324;%20&#44204;&#51201;&#54788;&#54889;\2023&#45380;\&#51648;&#50669;&#45212;&#48169;\GS&#54028;&#50892;\&#9733;2023.6.8~15%20&#51077;&#52272;%204&#44148;" TargetMode="External"/><Relationship Id="rId644"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83"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90" Type="http://schemas.openxmlformats.org/officeDocument/2006/relationships/hyperlink" Target="..\AA&#51648;&#50669;&#48324;%20&#44204;&#51201;&#54788;&#54889;\2024&#45380;\&#51648;&#50669;&#45212;&#48169;\&#49340;&#52380;&#47532;&#51060;&#50644;&#51648;" TargetMode="External"/><Relationship Id="rId504" Type="http://schemas.openxmlformats.org/officeDocument/2006/relationships/hyperlink" Target="..\AA&#51648;&#50669;&#48324;%20&#44204;&#51201;&#54788;&#54889;\2024&#45380;\&#51648;&#50669;&#45212;&#48169;\&#54217;&#53469;&#50640;&#45320;&#51648;&#49436;&#48708;&#49828;\&#49888;&#52492;3BL(150A%20x%201P)-&#46300;&#47548;&#46972;&#51064;" TargetMode="External"/><Relationship Id="rId711" Type="http://schemas.openxmlformats.org/officeDocument/2006/relationships/hyperlink" Target="..\AA&#51648;&#50669;&#48324;%20&#44204;&#51201;&#54788;&#54889;\2025&#45380;\&#51648;&#50669;&#45212;&#48169;\&#45208;&#47000;&#50640;&#45320;&#51648;&#49436;&#48708;&#49828;\2025&#45380;%20&#49888;&#44508;%20&#50676;&#49688;&#49569;&#44288;&#44277;&#49324;\&#51012;&#47896;&#51333;&#44148;" TargetMode="External"/><Relationship Id="rId78"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43" Type="http://schemas.openxmlformats.org/officeDocument/2006/relationships/hyperlink" Target="..\AA&#51648;&#50669;&#48324;%20&#44204;&#51201;&#54788;&#54889;\2022&#45380;\&#44221;&#44592;&#48513;&#48512;\&#54028;&#51452;(1200A%20&#44596;&#44553;)-&#49688;&#44277;,%20&#44032;&#44032;&#44148;&#49444;" TargetMode="External"/><Relationship Id="rId350" Type="http://schemas.openxmlformats.org/officeDocument/2006/relationships/hyperlink" Target="../AA&#51648;&#50669;&#48324;%20&#44204;&#51201;&#54788;&#54889;/2022&#45380;/&#44221;&#49345;&#45224;&#46020;/&#47560;&#49328;(&#51452;&#52384;%20900A%202P)-&#52285;&#50896;&#49884;,%20&#51452;&#49440;&#44148;&#49444;" TargetMode="External"/><Relationship Id="rId588" Type="http://schemas.openxmlformats.org/officeDocument/2006/relationships/hyperlink" Target="..\AA&#51648;&#50669;&#48324;%20&#44204;&#51201;&#54788;&#54889;\2023&#45380;\&#44221;&#49345;&#45224;&#46020;\&#52285;&#50896;%20&#48393;&#44053;~&#47924;&#50504;(1350A)-&#49688;&#44277;,&#44221;&#45224;,BK%20eng" TargetMode="External"/><Relationship Id="rId9"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10"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448" Type="http://schemas.openxmlformats.org/officeDocument/2006/relationships/hyperlink" Target="../AA&#51648;&#50669;&#48324;%20&#44204;&#51201;&#54788;&#54889;/2023&#45380;/&#49436;&#50872;&#49884;/GTX-A&#45432;&#49440;%204&#44277;&#44396;%20&#50672;&#49884;&#45236;&#51221;&#44144;&#51109;%20&#44060;&#52265;&#45824;&#54633;&#49892;%20&#44277;&#49324;(700A)%20-%2023.10.12" TargetMode="External"/><Relationship Id="rId655" Type="http://schemas.openxmlformats.org/officeDocument/2006/relationships/hyperlink" Target="..\AA&#51648;&#50669;&#48324;%20&#44204;&#51201;&#54788;&#54889;\2024&#45380;\&#51648;&#50669;&#45212;&#48169;\GS&#54028;&#50892;\3.2024&#45380;%20&#50504;&#50577;&#51648;&#50669;%20&#49888;&#44508;&#44256;&#44061;%20&#50676;&#49688;&#49569;&#44288;&#44277;&#49324;\&#50500;&#51204;&#51060;&#50644;&#50472;\&#44228;&#50557;" TargetMode="External"/><Relationship Id="rId294"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308" Type="http://schemas.openxmlformats.org/officeDocument/2006/relationships/hyperlink" Target="../AA&#51648;&#50669;&#48324;%20&#44204;&#51201;&#54788;&#54889;/2022&#45380;/&#51648;&#50669;&#45212;&#48169;/&#51064;&#52380;&#44277;&#54637;&#50640;&#45320;&#51648;/&#51064;&#52380;&#44277;&#54637;&#50640;&#45320;&#51648;%20&#51221;&#46020;&#49444;&#48708;800x4&#44032;&#48176;&#44288;500%20&#49892;&#54665;&#44204;&#51201;" TargetMode="External"/><Relationship Id="rId515" Type="http://schemas.openxmlformats.org/officeDocument/2006/relationships/hyperlink" Target="..\AA&#51648;&#50669;&#48324;%20&#44204;&#51201;&#54788;&#54889;\2024&#45380;\&#51648;&#50669;&#45212;&#48169;\&#49688;&#50756;&#50640;&#45320;&#51648;\&#52392;&#45800;3&#51648;&#44396;(450,%20&#48516;&#44592;%20300x100,%20150x125)-&#49688;&#50756;&#50640;&#45320;&#51648;,%20&#50976;&#54588;&#51060;&#50644;&#51648;" TargetMode="External"/><Relationship Id="rId722" Type="http://schemas.openxmlformats.org/officeDocument/2006/relationships/hyperlink" Target="..\AA&#51648;&#50669;&#48324;%20&#44204;&#51201;&#54788;&#54889;\2024&#45380;\&#44221;&#44592;&#45224;&#49436;&#48512;\&#49888;&#48516;&#45817;&#49440;%20&#44305;&#44368;~&#54840;&#47588;&#49892;(&#51452;&#52384;%20900A)-&#44397;&#44032;&#52384;&#46020;&#44277;&#45800;,%20HJ&#51473;&#44277;&#50629;" TargetMode="External"/><Relationship Id="rId89" Type="http://schemas.openxmlformats.org/officeDocument/2006/relationships/hyperlink" Target="../AA&#51648;&#50669;&#48324;%20&#44204;&#51201;&#54788;&#54889;/2021&#45380;/&#44221;&#44592;&#45224;&#49436;&#48512;/&#44221;&#44592;&#49436;&#45224;&#44428;%204&#45800;&#44228;%20&#48184;&#48652;&#44368;&#52404;&#44277;&#49324;(2200A)-&#49688;&#44277;&#44221;&#44592;&#49436;&#45224;&#44428;,%20&#54620;&#50689;ENG" TargetMode="External"/><Relationship Id="rId154"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61" Type="http://schemas.openxmlformats.org/officeDocument/2006/relationships/hyperlink" Target="..\AA&#51648;&#50669;&#48324;%20&#44204;&#51201;&#54788;&#54889;\2023&#45380;\&#51648;&#50669;&#45212;&#48169;\GS&#45348;&#50724;&#53581;\&#51064;&#52380;%20&#48143;%20&#44608;&#54252;%20&#49688;&#50857;&#44032;%20&#51064;&#51077;%20&#50676;&#49688;&#49569;&#44288;&#44277;&#49324;%20&#51473;%20&#48516;&#44592;TEE&#52380;&#44277;%20&#44277;&#49324;-220922" TargetMode="External"/><Relationship Id="rId599" Type="http://schemas.openxmlformats.org/officeDocument/2006/relationships/hyperlink" Target="..\AA&#51648;&#50669;&#48324;%20&#44204;&#51201;&#54788;&#54889;\2024&#45380;\&#44221;&#49345;&#45224;&#46020;\&#44608;&#54644;(&#47588;&#47532;~&#50577;&#49328;%202400A)-&#44221;&#49345;&#45224;&#46020;,%20KR&#44148;&#49444;,%20&#46020;&#50896;" TargetMode="External"/><Relationship Id="rId459" Type="http://schemas.openxmlformats.org/officeDocument/2006/relationships/hyperlink" Target="..\AA&#51648;&#50669;&#48324;%20&#44204;&#51201;&#54788;&#54889;\2024&#45380;\&#52649;&#52397;&#45224;&#46020;\&#52649;&#45224;&#49436;&#48512;&#44428;%20&#51228;2&#44277;&#44396;%20&#53468;&#50504;-&#49688;&#44277;,%20&#55141;&#54868;" TargetMode="External"/><Relationship Id="rId666" Type="http://schemas.openxmlformats.org/officeDocument/2006/relationships/hyperlink" Target="..\AA&#51648;&#50669;&#48324;%20&#44204;&#51201;&#54788;&#54889;\2025&#45380;\&#51648;&#50669;&#45212;&#48169;\&#49340;&#52380;&#47532;&#51060;&#50644;&#51648;" TargetMode="External"/><Relationship Id="rId16"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221" Type="http://schemas.openxmlformats.org/officeDocument/2006/relationships/hyperlink" Target="../AA&#51648;&#50669;&#48324;%20&#44204;&#51201;&#54788;&#54889;/2022&#45380;/&#51648;&#50669;&#45212;&#48169;/GS&#54028;&#50892;/2021&#45380;%20&#48512;&#52380;&#51648;&#50669;%20&#49888;&#44508;&#44256;&#44061;%20&#50676;&#49688;&#49569;&#44288;&#44277;&#49324;/&#49849;&#51116;&#44277;&#50689;" TargetMode="External"/><Relationship Id="rId319" Type="http://schemas.openxmlformats.org/officeDocument/2006/relationships/hyperlink" Target="../AA&#51648;&#50669;&#48324;%20&#44204;&#51201;&#54788;&#54889;/2022&#45380;/&#51648;&#50669;&#45212;&#48169;/&#51064;&#52380;&#44277;&#54637;&#50640;&#45320;&#51648;/&#50676;&#49688;&#49569;&#44288;%20&#47924;&#45800;&#49688;&#44277;&#49324;%20&#45800;&#44032;&#44228;&#50557;%20(&#51077;&#52272;)%20-%2022.07.11" TargetMode="External"/><Relationship Id="rId526"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33"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165" Type="http://schemas.openxmlformats.org/officeDocument/2006/relationships/hyperlink" Target="..\AA&#51648;&#50669;&#48324;%20&#44204;&#51201;&#54788;&#54889;\2021&#45380;\&#51648;&#50669;&#45212;&#48169;\GS&#54028;&#50892;\2021&#45380;%20&#47924;&#52264;&#45800;&#44277;&#49324;%20&#51077;&#52272;" TargetMode="External"/><Relationship Id="rId372" Type="http://schemas.openxmlformats.org/officeDocument/2006/relationships/hyperlink" Target="..\AA&#51648;&#50669;&#48324;%20&#44204;&#51201;&#54788;&#54889;\2023&#45380;\&#44221;&#49345;&#45224;&#46020;\&#50872;&#49328;(&#50872;&#49328;&#44277;&#50629;&#50857;&#49688;&#46020;%20&#45432;&#54980;&#44288;%20&#44060;&#47049;&#44277;&#49324;(3&#52264;))-&#49688;&#51088;&#50896;&#44277;&#49324;" TargetMode="External"/><Relationship Id="rId677" Type="http://schemas.openxmlformats.org/officeDocument/2006/relationships/hyperlink" Target="../AA&#51648;&#50669;&#48324;%20&#44204;&#51201;&#54788;&#54889;/2024&#45380;/&#51648;&#50669;&#45212;&#48169;/&#51064;&#52380;&#44277;&#54637;&#50640;&#45320;&#51648;/&#51221;&#46020;" TargetMode="External"/><Relationship Id="rId232" Type="http://schemas.openxmlformats.org/officeDocument/2006/relationships/hyperlink" Target="..\AA&#51648;&#50669;&#48324;%20&#44204;&#51201;&#54788;&#54889;\2021&#45380;\&#51648;&#50669;&#45212;&#48169;\GS&#54028;&#50892;\2021&#45380;%20&#47924;&#52264;&#45800;&#44277;&#49324;%20&#51077;&#52272;" TargetMode="External"/><Relationship Id="rId27" Type="http://schemas.openxmlformats.org/officeDocument/2006/relationships/hyperlink" Target="../AA&#51648;&#50669;&#48324;%20&#44204;&#51201;&#54788;&#54889;/2021&#45380;/&#51648;&#50669;&#45212;&#48169;/GS&#54028;&#50892;/2021&#45380;%20&#47924;&#52264;&#45800;&#44277;&#49324;%20&#51077;&#52272;" TargetMode="External"/><Relationship Id="rId537" Type="http://schemas.openxmlformats.org/officeDocument/2006/relationships/hyperlink" Target="..\AA&#51648;&#50669;&#48324;%20&#44204;&#51201;&#54788;&#54889;\2023&#45380;\&#51648;&#50669;&#45212;&#48169;\&#54217;&#53469;&#50640;&#45320;&#51648;&#49436;&#48708;&#49828;\&#54868;&#50577;&#51648;&#44396;(&#48516;&#44592;%201000x600)" TargetMode="External"/><Relationship Id="rId744"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80" Type="http://schemas.openxmlformats.org/officeDocument/2006/relationships/hyperlink" Target="..\AA&#51648;&#50669;&#48324;%20&#44204;&#51201;&#54788;&#54889;\2021&#45380;\&#52649;&#52397;&#45224;&#46020;\&#52380;&#50504;~&#50500;&#49328;(1500A&#44277;&#50629;&#50857;&#49688;)-&#49688;&#44277;,&#45824;&#50864;&#44148;&#49444;" TargetMode="External"/><Relationship Id="rId176"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83" Type="http://schemas.openxmlformats.org/officeDocument/2006/relationships/hyperlink" Target="..\AA&#51648;&#50669;&#48324;%20&#44204;&#51201;&#54788;&#54889;\2023&#45380;\&#52649;&#52397;&#45224;&#46020;\&#45824;&#49328;%20&#45572;&#49688;&#48373;&#44396;(D900)-&#52992;&#51060;&#50892;&#53552;&#44592;&#49696;" TargetMode="External"/><Relationship Id="rId59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604" Type="http://schemas.openxmlformats.org/officeDocument/2006/relationships/hyperlink" Target="..\AA&#51648;&#50669;&#48324;%20&#44204;&#51201;&#54788;&#54889;\2024&#45380;\&#44221;&#44592;&#48513;&#48512;\&#54028;&#51452;(350A~900A)-&#54028;&#51452;&#49884;,&#45824;&#48169;&#44148;&#49444;\&#52628;&#44032;&#44204;&#51201;(900,%20800,%20200)-240611" TargetMode="External"/><Relationship Id="rId243" Type="http://schemas.openxmlformats.org/officeDocument/2006/relationships/hyperlink" Target="../AA&#51648;&#50669;&#48324;%20&#44204;&#51201;&#54788;&#54889;/2022&#45380;/&#44221;&#49345;&#48513;&#46020;/&#44256;&#47161;(&#44053;&#44288;%20800A)-&#49688;&#51088;&#50896;&#44277;&#49324;,%20&#46041;&#50864;&#44148;&#49444;" TargetMode="External"/><Relationship Id="rId450" Type="http://schemas.openxmlformats.org/officeDocument/2006/relationships/hyperlink" Target="..\AA&#51648;&#50669;&#48324;%20&#44204;&#51201;&#54788;&#54889;\2023&#45380;\&#51648;&#50669;&#45212;&#48169;\GS&#54028;&#50892;" TargetMode="External"/><Relationship Id="rId688" Type="http://schemas.openxmlformats.org/officeDocument/2006/relationships/hyperlink" Target="..\AA&#51648;&#50669;&#48324;%20&#44204;&#51201;&#54788;&#54889;\2025&#45380;\&#51648;&#50669;&#45212;&#48169;\&#49340;&#52380;&#47532;&#51060;&#50644;&#51648;\&#50504;&#49328;&#46020;&#49884;&#44060;&#48156;(800,%20300)" TargetMode="External"/><Relationship Id="rId38"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03" Type="http://schemas.openxmlformats.org/officeDocument/2006/relationships/hyperlink" Target="../AA&#51648;&#50669;&#48324;%20&#44204;&#51201;&#54788;&#54889;/2021&#45380;/&#51648;&#50669;&#45212;&#48169;/&#50577;&#51452;(750Ax16P)-&#45824;&#47452;&#48156;&#51204;,&#50976;&#54588;&#51060;&#50644;&#51648;,&#49849;&#51116;&#44277;&#50689;,&#44305;&#51109;&#51060;&#50656;&#50472;/&#50500;&#51204;&#51060;&#50644;&#50472;" TargetMode="External"/><Relationship Id="rId310"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548" Type="http://schemas.openxmlformats.org/officeDocument/2006/relationships/hyperlink" Target="..\AA&#51648;&#50669;&#48324;%20&#44204;&#51201;&#54788;&#54889;\2024&#45380;\&#51648;&#50669;&#45212;&#48169;\GS&#54028;&#50892;\4.2024&#45380;%20&#48512;&#52380;&#51648;&#50669;%20&#49888;&#44508;&#44256;&#44061;%20&#50676;&#49688;&#49569;&#44288;&#44277;&#49324;\&#49892;&#54665;" TargetMode="External"/><Relationship Id="rId755"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91" Type="http://schemas.openxmlformats.org/officeDocument/2006/relationships/hyperlink" Target="..\AA&#51648;&#50669;&#48324;%20&#44204;&#51201;&#54788;&#54889;\2021&#45380;\&#52649;&#52397;&#45224;&#46020;\&#48512;&#50668;(&#44053;%20400x400,%20&#51452;300x300)-&#49688;&#44277;%20&#52649;&#45224;&#51473;&#48512;&#44428;,%20&#44221;&#46020;" TargetMode="External"/><Relationship Id="rId187" Type="http://schemas.openxmlformats.org/officeDocument/2006/relationships/hyperlink" Target="..\AA&#51648;&#50669;&#48324;%20&#44204;&#51201;&#54788;&#54889;\2022&#45380;\&#51648;&#50669;&#45212;&#48169;\GS&#54028;&#50892;\&#49884;&#55141;&#47785;&#44048;(450Ax8P)-&#50640;&#51060;&#52824;&#54540;&#47084;&#49828;&#50640;&#53076;" TargetMode="External"/><Relationship Id="rId394"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08" Type="http://schemas.openxmlformats.org/officeDocument/2006/relationships/hyperlink" Target="..\AA&#51648;&#50669;&#48324;%20&#44204;&#51201;&#54788;&#54889;\2023&#45380;\&#44221;&#44592;&#45224;&#46041;&#48512;\&#54217;&#53469;%20&#51648;&#51228;&#49464;&#44368;&#51648;&#44396;(1200A,450A)-&#49688;&#44277;" TargetMode="External"/><Relationship Id="rId615"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54" Type="http://schemas.openxmlformats.org/officeDocument/2006/relationships/hyperlink" Target="..\AA&#51648;&#50669;&#48324;%20&#44204;&#51201;&#54788;&#54889;\2022&#45380;\&#52649;&#52397;&#48513;&#46020;\&#52649;&#51452;&#45840;&#44228;&#53685;-&#49688;&#51088;&#50896;&#44277;&#49324;,&#44228;&#47329;,&#46041;&#48512;,&#54620;&#49888;\3&#44277;&#44396;(1350A,1500A)-&#46041;&#48512;&#44148;&#49444;" TargetMode="External"/><Relationship Id="rId699" Type="http://schemas.openxmlformats.org/officeDocument/2006/relationships/hyperlink" Target="..\AA&#51648;&#50669;&#48324;%20&#44204;&#51201;&#54788;&#54889;\2025&#45380;\&#44221;&#44592;&#48513;&#48512;\&#44288;&#49688;&#49328;&#50629;" TargetMode="External"/><Relationship Id="rId49"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114" Type="http://schemas.openxmlformats.org/officeDocument/2006/relationships/hyperlink" Target="..\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61" Type="http://schemas.openxmlformats.org/officeDocument/2006/relationships/hyperlink" Target="../AA&#51648;&#50669;&#48324;%20&#44204;&#51201;&#54788;&#54889;/2024&#45380;/&#52649;&#52397;&#45224;&#46020;/&#50500;&#49328;(2000A,1200A)-&#49688;&#44277;,&#50472;&#54000;&#44148;&#49444;,%20(&#51452;)&#44053;&#47932;" TargetMode="External"/><Relationship Id="rId559" Type="http://schemas.openxmlformats.org/officeDocument/2006/relationships/hyperlink" Target="..\AA&#51648;&#50669;&#48324;%20&#44204;&#51201;&#54788;&#54889;\2024&#45380;\&#52649;&#52397;&#45224;&#46020;\&#52649;&#45224;&#49436;&#48512;&#44428;%20&#51228;2&#44277;&#44396;%20&#53468;&#50504;-&#49688;&#44277;,%20&#55141;&#54868;" TargetMode="External"/><Relationship Id="rId766" Type="http://schemas.openxmlformats.org/officeDocument/2006/relationships/hyperlink" Target="..\AA&#51648;&#50669;&#48324;%20&#44204;&#51201;&#54788;&#54889;\2025&#45380;\&#51648;&#50669;&#45212;&#48169;\&#54620;&#44397;&#51648;&#50669;&#45212;&#48169;&#44277;&#49324;\2025&#45380;%20&#50676;&#49688;&#49569;&#44288;%20&#52380;&#44277;%20&#48143;%20&#52264;&#45800;&#44277;&#49324;(1&#44428;&#50669;)" TargetMode="External"/><Relationship Id="rId198" Type="http://schemas.openxmlformats.org/officeDocument/2006/relationships/hyperlink" Target="../AA&#51648;&#50669;&#48324;%20&#44204;&#51201;&#54788;&#54889;/2022&#45380;/&#49569;&#50976;&#44288;/&#51064;&#52380;&#44397;&#51228;&#44277;&#54637;/&#48652;&#45768;&#50648;&#45348;&#51060;&#52376;" TargetMode="External"/><Relationship Id="rId321" Type="http://schemas.openxmlformats.org/officeDocument/2006/relationships/hyperlink" Target="../AA&#51648;&#50669;&#48324;%20&#44204;&#51201;&#54788;&#54889;/2022&#45380;/&#44221;&#44592;&#45224;&#49436;&#48512;/&#49884;&#55141;(1200A%20&#50808;)-&#49688;&#44277;,&#44537;&#46041;&#44148;&#49444;,%20&#52397;&#49688;(&#54840;&#50672;&#53664;&#44148;)" TargetMode="External"/><Relationship Id="rId419" Type="http://schemas.openxmlformats.org/officeDocument/2006/relationships/hyperlink" Target="..\AA&#51648;&#50669;&#48324;%20&#44204;&#51201;&#54788;&#54889;\2023&#45380;\&#49569;&#50976;&#44288;\&#47928;&#54868;&#51648;&#50644;&#53076;" TargetMode="External"/><Relationship Id="rId626" Type="http://schemas.openxmlformats.org/officeDocument/2006/relationships/hyperlink" Target="..\AA&#51648;&#50669;&#48324;%20&#44204;&#51201;&#54788;&#54889;\2024&#45380;\&#51648;&#50669;&#45212;&#48169;\GS&#54028;&#50892;\3.2024&#45380;%20&#50504;&#50577;&#51648;&#50669;%20&#49888;&#44508;&#44256;&#44061;%20&#50676;&#49688;&#49569;&#44288;&#44277;&#49324;" TargetMode="External"/><Relationship Id="rId265"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72" Type="http://schemas.openxmlformats.org/officeDocument/2006/relationships/hyperlink" Target="..\AA&#51648;&#50669;&#48324;%20&#44204;&#51201;&#54788;&#54889;\2024&#45380;\&#44221;&#49345;&#48513;&#46020;\&#44396;&#48120;&#44305;&#50669;(2&#45800;&#44228;)&#44608;&#52380;&#44228;&#53685;(1&#44396;&#44036;)%20&#52628;&#44032;&#44148;(D700)-&#49688;&#44277;" TargetMode="External"/><Relationship Id="rId125" Type="http://schemas.openxmlformats.org/officeDocument/2006/relationships/hyperlink" Target="../AA&#51648;&#50669;&#48324;%20&#44204;&#51201;&#54788;&#54889;/2021&#45380;/&#51648;&#50669;&#45212;&#48169;/GS&#54028;&#50892;/2021&#45380;%20&#47924;&#52264;&#45800;&#44277;&#49324;%20&#51077;&#52272;" TargetMode="External"/><Relationship Id="rId332" Type="http://schemas.openxmlformats.org/officeDocument/2006/relationships/hyperlink" Target="..\AA&#51648;&#50669;&#48324;%20&#44204;&#51201;&#54788;&#54889;\2022&#45380;\&#44221;&#44592;&#45224;&#49436;&#48512;\&#49884;&#55141;(1200A%20&#50808;)-&#49688;&#44277;,&#44537;&#46041;&#44148;&#49444;,%20&#52397;&#49688;(&#54840;&#50672;&#53664;&#44148;)" TargetMode="External"/><Relationship Id="rId637"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76" Type="http://schemas.openxmlformats.org/officeDocument/2006/relationships/hyperlink" Target="../AA&#51648;&#50669;&#48324;%20&#44204;&#51201;&#54788;&#54889;/2022&#45380;/&#51648;&#50669;&#45212;&#48169;/&#54620;&#44397;&#51648;&#50669;&#45212;&#48169;&#44277;&#49324;/2022&#45380;%20&#50676;&#49688;&#49569;&#44288;%20&#52380;&#44277;%20&#48143;%20&#52264;&#45800;&#44277;&#49324;(2&#44428;&#50669;)" TargetMode="External"/><Relationship Id="rId483" Type="http://schemas.openxmlformats.org/officeDocument/2006/relationships/hyperlink" Target="..\AA&#51648;&#50669;&#48324;%20&#44204;&#51201;&#54788;&#54889;\2024&#45380;\&#51204;&#46972;&#45224;&#46020;\&#50668;&#49688;%20&#44397;&#44032;&#54224;&#49688;(&#44053;&#44288;%20500A)-&#54620;&#44397;&#54872;&#44221;&#44277;&#45800;,%20&#44148;&#55148;&#44148;&#49444;" TargetMode="External"/><Relationship Id="rId69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04" Type="http://schemas.openxmlformats.org/officeDocument/2006/relationships/hyperlink" Target="..\AA&#51648;&#50669;&#48324;%20&#44204;&#51201;&#54788;&#54889;\2024&#45380;\&#44221;&#49345;&#45224;&#46020;\&#50872;&#49328;%20&#45224;&#44396;%20B-14&#44396;&#50669;(PC&#44288;%201200,%20900)-&#51312;&#54633;,%20&#54616;&#46988;&#50644;&#51648;&#45768;&#50612;&#47553;" TargetMode="External"/><Relationship Id="rId40" Type="http://schemas.openxmlformats.org/officeDocument/2006/relationships/hyperlink" Target="..\AA&#51648;&#50669;&#48324;%20&#44204;&#51201;&#54788;&#54889;\2021&#45380;\&#44053;&#50896;&#46020;\&#46041;&#54644;(1000AxD,&#44053;&#44288;)-&#49688;&#44277;,%20&#46041;&#51068;&#44148;&#49444;,%20&#49464;&#47749;&#44148;&#49444;" TargetMode="External"/><Relationship Id="rId136" Type="http://schemas.openxmlformats.org/officeDocument/2006/relationships/hyperlink" Target="../AA&#51648;&#50669;&#48324;%20&#44204;&#51201;&#54788;&#54889;/2021&#45380;/&#44221;&#44592;&#45224;&#49436;&#48512;/&#44221;&#44592;&#49436;&#45224;&#44428;%204&#45800;&#44228;%20&#48184;&#48652;&#44368;&#52404;&#44277;&#49324;(2200A)-&#49688;&#44277;&#44221;&#44592;&#49436;&#45224;&#44428;,%20&#54620;&#50689;ENG" TargetMode="External"/><Relationship Id="rId343" Type="http://schemas.openxmlformats.org/officeDocument/2006/relationships/hyperlink" Target="../AA&#51648;&#50669;&#48324;%20&#44204;&#51201;&#54788;&#54889;/2022&#45380;/&#51228;&#51452;&#46020;/&#51228;&#51452;&#49688;&#51088;&#50896;(700,600)" TargetMode="External"/><Relationship Id="rId55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03" Type="http://schemas.openxmlformats.org/officeDocument/2006/relationships/hyperlink" Target="..\AA&#51648;&#50669;&#48324;%20&#44204;&#51201;&#54788;&#54889;\2022&#45380;\&#51648;&#50669;&#45212;&#48169;\GS&#54028;&#50892;\2021&#45380;%20&#48512;&#52380;&#51648;&#50669;%20&#49888;&#44508;&#44256;&#44061;%20&#50676;&#49688;&#49569;&#44288;&#44277;&#49324;\&#49849;&#51116;&#44277;&#50689;" TargetMode="External"/><Relationship Id="rId648"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87" Type="http://schemas.openxmlformats.org/officeDocument/2006/relationships/hyperlink" Target="..\AA&#51648;&#50669;&#48324;%20&#44204;&#51201;&#54788;&#54889;\2022&#45380;\&#52649;&#52397;&#45224;&#46020;\&#50500;&#49328;(1100A%201Set%20&#54588;&#54021;%20&#45225;&#54408;&#44148;)-&#49688;&#44592;&#51452;,%20&#49892;&#48708;" TargetMode="External"/><Relationship Id="rId410" Type="http://schemas.openxmlformats.org/officeDocument/2006/relationships/hyperlink" Target="..\AA&#51648;&#50669;&#48324;%20&#44204;&#51201;&#54788;&#54889;\2023&#45380;\&#52649;&#52397;&#48513;&#46020;\&#52649;&#51452;&#45840;%20&#50521;&#49457;&#44228;&#53685;(&#51452;&#52384;%20500Ax8P)-&#49688;&#44277;,%20&#49464;&#51333;&#51060;&#50644;&#50472;" TargetMode="External"/><Relationship Id="rId494" Type="http://schemas.openxmlformats.org/officeDocument/2006/relationships/hyperlink" Target="..\AA&#51648;&#50669;&#48324;%20&#44204;&#51201;&#54788;&#54889;\2024&#45380;\&#52649;&#52397;&#45224;&#46020;\&#45824;&#51204;%20&#51473;&#47532;&#52712;&#49688;&#51109;(2400x1P)-&#45824;&#51204;&#49884;,%20&#53468;&#47548;&#54872;&#44221;" TargetMode="External"/><Relationship Id="rId508" Type="http://schemas.openxmlformats.org/officeDocument/2006/relationships/hyperlink" Target="..\AA&#51648;&#50669;&#48324;%20&#44204;&#51201;&#54788;&#54889;\2024&#45380;\&#51648;&#50669;&#45212;&#48169;\GS&#54028;&#50892;\&#50500;&#51204;&#51060;&#50644;&#50472;" TargetMode="External"/><Relationship Id="rId715" Type="http://schemas.openxmlformats.org/officeDocument/2006/relationships/hyperlink" Target="..\AA&#51648;&#50669;&#48324;%20&#44204;&#51201;&#54788;&#54889;\2025&#45380;\&#51648;&#50669;&#45212;&#48169;\&#52397;&#46972;&#50640;&#45320;&#51648;" TargetMode="External"/><Relationship Id="rId147" Type="http://schemas.openxmlformats.org/officeDocument/2006/relationships/hyperlink" Target="..\AA&#51648;&#50669;&#48324;%20&#44204;&#51201;&#54788;&#54889;\2022&#45380;\&#44221;&#49345;&#45224;&#46020;\&#50872;&#49328;%20&#48276;&#49436;IC(2000A,%20PC&#44288;,%20&#44053;&#44288;)-&#54620;&#44397;&#46020;&#47196;&#44277;&#49324;,&#46020;&#50896;,&#49464;&#50689;&#51333;&#54633;&#44148;&#49444;" TargetMode="External"/><Relationship Id="rId354" Type="http://schemas.openxmlformats.org/officeDocument/2006/relationships/hyperlink" Target="..\AA&#51648;&#50669;&#48324;%20&#44204;&#51201;&#54788;&#54889;\2023&#45380;\&#51204;&#46972;&#48513;&#46020;\&#51061;&#49328;(D600%201P)-&#49688;&#44277;" TargetMode="External"/><Relationship Id="rId51" Type="http://schemas.openxmlformats.org/officeDocument/2006/relationships/hyperlink" Target="../AA&#51648;&#50669;&#48324;%20&#44204;&#51201;&#54788;&#54889;/2021&#45380;/&#51648;&#50669;&#45212;&#48169;/&#50504;&#49328;&#46020;&#49884;&#44060;&#48156;/&#50504;&#49328;(700A,800A)-&#49340;&#52380;&#47532;" TargetMode="External"/><Relationship Id="rId561" Type="http://schemas.openxmlformats.org/officeDocument/2006/relationships/hyperlink" Target="..\AA&#51648;&#50669;&#48324;%20&#44204;&#51201;&#54788;&#54889;\2024&#45380;\&#51648;&#50669;&#45212;&#48169;\GS&#54028;&#50892;\3.2024&#45380;%20&#50504;&#50577;&#51648;&#50669;%20&#49888;&#44508;&#44256;&#44061;%20&#50676;&#49688;&#49569;&#44288;&#44277;&#49324;" TargetMode="External"/><Relationship Id="rId659"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14" Type="http://schemas.openxmlformats.org/officeDocument/2006/relationships/hyperlink" Target="..\AA&#51648;&#50669;&#48324;%20&#44204;&#51201;&#54788;&#54889;\2021&#45380;\&#51648;&#50669;&#45212;&#48169;\GS&#54028;&#50892;\2021&#45380;%20&#47924;&#52264;&#45800;&#44277;&#49324;%20&#51077;&#52272;" TargetMode="External"/><Relationship Id="rId298" Type="http://schemas.openxmlformats.org/officeDocument/2006/relationships/hyperlink" Target="..\AA&#51648;&#50669;&#48324;%20&#44204;&#51201;&#54788;&#54889;\2022&#45380;\&#44221;&#49345;&#45224;&#46020;\&#52285;&#50896;(&#51452;&#52384;%20500A,%20500x300)-&#45824;&#46301;&#44148;&#49444;" TargetMode="External"/><Relationship Id="rId421" Type="http://schemas.openxmlformats.org/officeDocument/2006/relationships/hyperlink" Target="..\AA&#51648;&#50669;&#48324;%20&#44204;&#51201;&#54788;&#54889;\2023&#45380;\&#44221;&#44592;&#48513;&#48512;\&#45224;&#50577;&#51452;%20&#54616;&#45224;&#49884;%20&#45800;&#44032;&#44204;&#51201;(&#49444;&#44228;&#44032;%2050%25)-&#44288;&#49688;&#49328;&#50629;" TargetMode="External"/><Relationship Id="rId519" Type="http://schemas.openxmlformats.org/officeDocument/2006/relationships/hyperlink" Target="../AA&#51648;&#50669;&#48324;%20&#44204;&#51201;&#54788;&#54889;/2022&#45380;/&#44221;&#44592;&#45224;&#49436;&#48512;/&#44305;&#47749;~&#49436;&#50872;%20&#49345;&#49688;&#44288;&#47196;&#51060;&#49444;" TargetMode="External"/><Relationship Id="rId158" Type="http://schemas.openxmlformats.org/officeDocument/2006/relationships/hyperlink" Target="..\AA&#51648;&#50669;&#48324;%20&#44204;&#51201;&#54788;&#54889;\2022&#45380;\&#44221;&#44592;&#45224;&#46041;&#48512;\&#50504;&#49457;~&#44396;&#47532;%20&#44256;&#49549;&#46020;&#47196;%2012&#44277;&#44396;(2000A,2200A)-&#46020;&#47196;&#44277;&#49324;,&#44256;&#47140;&#44060;&#48156;" TargetMode="External"/><Relationship Id="rId726" Type="http://schemas.openxmlformats.org/officeDocument/2006/relationships/hyperlink" Target="..\AA&#51648;&#50669;&#48324;%20&#44204;&#51201;&#54788;&#54889;\2024&#45380;\&#51648;&#50669;&#45212;&#48169;\&#51064;&#52380;&#44277;&#54637;&#50640;&#45320;&#51648;\24&#45380;%20&#50676;&#49688;&#49569;&#44288;%20&#47924;&#45800;&#49688;&#44277;&#49324;%20&#45800;&#44032;&#44228;&#50557;%20&#51077;&#52272;&#44277;&#44256;" TargetMode="External"/><Relationship Id="rId62" Type="http://schemas.openxmlformats.org/officeDocument/2006/relationships/hyperlink" Target="../AA&#51648;&#50669;&#48324;%20&#44204;&#51201;&#54788;&#54889;/2021&#45380;/&#44221;&#44592;&#45224;&#49436;&#48512;/&#51064;&#52380;%20&#44160;&#45800;%20&#48152;&#49437;&#44148;&#49444;%20&#44053;&#44288;700" TargetMode="External"/><Relationship Id="rId365" Type="http://schemas.openxmlformats.org/officeDocument/2006/relationships/hyperlink" Target="..\AA&#51648;&#50669;&#48324;%20&#44204;&#51201;&#54788;&#54889;\2023&#45380;\&#44221;&#44592;&#48513;&#48512;\&#45224;&#50577;&#51452;%20&#54616;&#45224;&#49884;%20&#45800;&#44032;&#44204;&#51201;(&#49444;&#44228;&#44032;%2050%25)-&#44288;&#49688;&#49328;&#50629;" TargetMode="External"/><Relationship Id="rId572"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225" Type="http://schemas.openxmlformats.org/officeDocument/2006/relationships/hyperlink" Target="../AA&#51648;&#50669;&#48324;%20&#44204;&#51201;&#54788;&#54889;/2021&#45380;/&#51204;&#46972;&#48513;&#46020;/&#51204;&#51452;%20&#49352;&#47564;&#44552;~(350A,700A.&#51452;&#52384;)-&#49688;&#44277;&#51204;&#51452;&#44428;,&#50500;&#53468;&#44148;&#49444;" TargetMode="External"/><Relationship Id="rId432" Type="http://schemas.openxmlformats.org/officeDocument/2006/relationships/hyperlink" Target="..\AA&#51648;&#50669;&#48324;%20&#44204;&#51201;&#54788;&#54889;\2023&#45380;\&#51648;&#50669;&#45212;&#48169;\GS&#54028;&#50892;\2023&#45380;%20&#48512;&#52380;&#51648;&#50669;%20&#49888;&#44508;&#44256;&#44061;\&#49892;&#54665;-&#45796;&#47548;&#44148;&#49444;" TargetMode="External"/><Relationship Id="rId737"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73" Type="http://schemas.openxmlformats.org/officeDocument/2006/relationships/hyperlink" Target="../AA&#51648;&#50669;&#48324;%20&#44204;&#51201;&#54788;&#54889;/2021&#45380;/&#44221;&#44592;&#48513;&#48512;/&#54028;&#51452;(350A~900A)-&#54028;&#51452;&#49884;,&#45824;&#48169;&#44148;&#49444;" TargetMode="External"/><Relationship Id="rId169" Type="http://schemas.openxmlformats.org/officeDocument/2006/relationships/hyperlink" Target="..\AA&#51648;&#50669;&#48324;%20&#44204;&#51201;&#54788;&#54889;\2021&#45380;\&#51648;&#50669;&#45212;&#48169;\&#54620;&#44397;&#51648;&#50669;&#45212;&#48169;&#44277;&#49324;\2021&#45380;%20&#50676;&#49688;&#49569;&#44288;%20&#52380;&#44277;%20&#48143;%20&#52264;&#45800;&#44277;&#49324;(1&#44428;&#50669;)" TargetMode="External"/><Relationship Id="rId376" Type="http://schemas.openxmlformats.org/officeDocument/2006/relationships/hyperlink" Target="../AA&#51648;&#50669;&#48324;%20&#44204;&#51201;&#54788;&#54889;/2023&#45380;/&#44221;&#49345;&#48513;&#46020;/&#50689;&#52380;&#45840;%20&#50504;&#51204;&#49457;&#44053;&#54868;&#49324;&#50629;(900A,%20&#44053;&#44288;)-&#49340;&#48512;&#53664;&#44148;" TargetMode="External"/><Relationship Id="rId583" Type="http://schemas.openxmlformats.org/officeDocument/2006/relationships/hyperlink" Target="..\AA&#51648;&#50669;&#48324;%20&#44204;&#51201;&#54788;&#54889;\2024&#45380;\&#52649;&#52397;&#45224;&#46020;\&#52380;&#50504;&#48513;&#48512;%20BIT(&#51452;&#52384;%20200,%20400)-&#52380;&#50504;&#49884;,%20&#49888;&#47749;&#51333;&#54633;&#44148;&#49444;" TargetMode="External"/><Relationship Id="rId4" Type="http://schemas.openxmlformats.org/officeDocument/2006/relationships/hyperlink" Target="../AA&#51648;&#50669;&#48324;%20&#44204;&#51201;&#54788;&#54889;/2021&#45380;/&#44221;&#44592;&#48513;&#48512;/&#44256;&#50577;(450A,%20900A%20&#52380;&#44277;,%20&#44053;&#44288;)-&#44256;&#50577;&#49884;,%20(&#51452;)&#46041;&#47749;&#44148;&#49444;" TargetMode="External"/><Relationship Id="rId236" Type="http://schemas.openxmlformats.org/officeDocument/2006/relationships/hyperlink" Target="../AA&#51648;&#50669;&#48324;%20&#44204;&#51201;&#54788;&#54889;/2022&#45380;/&#51648;&#50669;&#45212;&#48169;/&#45824;&#51204;&#50676;&#48337;&#54633;" TargetMode="External"/><Relationship Id="rId443" Type="http://schemas.openxmlformats.org/officeDocument/2006/relationships/hyperlink" Target="..\AA&#51648;&#50669;&#48324;%20&#44204;&#51201;&#54788;&#54889;\2023&#45380;\&#51648;&#50669;&#45212;&#48169;\GS&#54028;&#50892;" TargetMode="External"/><Relationship Id="rId650" Type="http://schemas.openxmlformats.org/officeDocument/2006/relationships/hyperlink" Target="..\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AA&#51648;&#50669;&#48324;%20&#44204;&#51201;&#54788;&#54889;/2023&#45380;/&#44221;&#49345;&#45224;&#46020;/&#52285;&#50896;&#44277;&#50629;&#50857;&#49688;&#46020;-&#49688;&#44277;,&#49340;&#48512;&#53664;&#44148;" TargetMode="External"/><Relationship Id="rId748" Type="http://schemas.openxmlformats.org/officeDocument/2006/relationships/hyperlink" Target="../AA&#51648;&#50669;&#48324;%20&#44204;&#51201;&#54788;&#54889;/2025&#45380;/&#44221;&#49345;&#45224;&#46020;/&#50577;&#49328;&#49884;(1500%20&#22806;)%20&#49888;&#46020;&#49884;%20&#51221;&#49688;&#51109;%20&#51613;&#49444;&#44277;&#49324;%20&#44148;&#49444;&#49324;&#50629;/&#44204;&#51201;"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AA&#51648;&#50669;&#48324;%20&#44204;&#51201;&#54788;&#54889;\2025&#45380;\&#51648;&#50669;&#45212;&#48169;\&#45824;&#47452;&#48156;&#51204;\&#48324;&#45236;&#50640;&#45320;&#51648;" TargetMode="External"/><Relationship Id="rId1" Type="http://schemas.openxmlformats.org/officeDocument/2006/relationships/hyperlink" Target="..\AA&#51648;&#50669;&#48324;%20&#44204;&#51201;&#54788;&#54889;\2025&#45380;\&#51648;&#50669;&#45212;&#48169;\&#49340;&#52380;&#47532;&#51060;&#50644;&#51648;\&#50504;&#49328;&#46020;&#49884;&#44060;&#48156;(800,%20300)"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microsoft.com/office/2017/10/relationships/threadedComment" Target="../threadedComments/threadedComment1.xml"/><Relationship Id="rId2" Type="http://schemas.openxmlformats.org/officeDocument/2006/relationships/hyperlink" Target="../AA&#51648;&#50669;&#48324;%20&#44204;&#51201;&#54788;&#54889;/2023&#45380;/&#44221;&#49345;&#45224;&#46020;/&#52285;&#50896;%20&#48393;&#44053;~&#47924;&#50504;(1350A)-&#49688;&#44277;,&#44221;&#45224;,BK%20eng" TargetMode="External"/><Relationship Id="rId1" Type="http://schemas.openxmlformats.org/officeDocument/2006/relationships/hyperlink" Target="../AA&#51648;&#50669;&#48324;%20&#44204;&#51201;&#54788;&#54889;/2025&#45380;/&#44221;&#49345;&#48513;&#46020;/&#44396;&#48120;%20&#54616;&#51060;&#53580;&#53356;%20&#49328;&#50629;&#45800;&#51648;-&#49688;&#44277;,%20KCC&#44148;&#49444;"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AA&#51648;&#50669;&#48324;%20&#44204;&#51201;&#54788;&#54889;/2023&#45380;/&#52649;&#52397;&#45224;&#46020;/&#50500;&#49328;(2000A,1200A)-&#49688;&#44277;,&#50472;&#54000;&#44148;&#49444;,%20(&#51452;)&#44053;&#47932;/&#44592;&#49457;"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AA&#51648;&#50669;&#48324;%20&#44204;&#51201;&#54788;&#54889;\2020&#45380;\&#52649;&#52397;&#45224;&#46020;\&#45824;&#52397;III(2&#44277;&#44396;)-&#49688;&#44277;,&#46041;&#48512;&#44148;&#49444;\&#44228;&#50557;" TargetMode="External"/><Relationship Id="rId1" Type="http://schemas.openxmlformats.org/officeDocument/2006/relationships/hyperlink" Target="..\AA&#51648;&#50669;&#48324;%20&#44204;&#51201;&#54788;&#54889;\2020&#45380;\&#52649;&#52397;&#45224;&#46020;\&#45824;&#52397;III5&#44277;&#44396;-&#49688;&#44277;,&#46041;&#48512;&#44148;&#49444;\&#44592;&#49457;-2020.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AA&#51648;&#50669;&#48324;%20&#44204;&#51201;&#54788;&#54889;/2022&#45380;/&#44221;&#49345;&#48513;&#46020;/&#54252;&#54637;&#44277;&#50629;&#50857;&#49688;&#46020;2&#52264;(1350A%20PC&#44288;%20&#50808;)-&#49688;&#44277;,&#54868;&#51064;&#51333;&#54633;&#44148;&#49444;/" TargetMode="External"/><Relationship Id="rId2" Type="http://schemas.openxmlformats.org/officeDocument/2006/relationships/hyperlink" Target="../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7.bin"/><Relationship Id="rId5" Type="http://schemas.openxmlformats.org/officeDocument/2006/relationships/hyperlink" Target="..\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_rels/sheet9.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AA&#51648;&#50669;&#48324;%20&#44204;&#51201;&#54788;&#54889;/2022&#45380;/&#44221;&#49345;&#48513;&#46020;/&#54252;&#54637;&#44277;&#50629;&#50857;&#49688;&#46020;2&#52264;(1350A%20PC&#44288;%20&#50808;)-&#49688;&#44277;,&#54868;&#51064;&#51333;&#54633;&#44148;&#49444;/" TargetMode="External"/><Relationship Id="rId7" Type="http://schemas.openxmlformats.org/officeDocument/2006/relationships/vmlDrawing" Target="../drawings/vmlDrawing3.vml"/><Relationship Id="rId2" Type="http://schemas.openxmlformats.org/officeDocument/2006/relationships/hyperlink" Target="../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8.bin"/><Relationship Id="rId5" Type="http://schemas.openxmlformats.org/officeDocument/2006/relationships/hyperlink" Target="..\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tabColor theme="9" tint="0.79998168889431442"/>
    <pageSetUpPr fitToPage="1"/>
  </sheetPr>
  <dimension ref="A1:AA852"/>
  <sheetViews>
    <sheetView zoomScaleNormal="100" workbookViewId="0">
      <pane xSplit="4" ySplit="3" topLeftCell="E713" activePane="bottomRight" state="frozen"/>
      <selection activeCell="N27" sqref="N27"/>
      <selection pane="topRight" activeCell="N27" sqref="N27"/>
      <selection pane="bottomLeft" activeCell="N27" sqref="N27"/>
      <selection pane="bottomRight" activeCell="J775" sqref="J775"/>
    </sheetView>
  </sheetViews>
  <sheetFormatPr defaultRowHeight="16.5" x14ac:dyDescent="0.3"/>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17.625" style="1" customWidth="1"/>
    <col min="11" max="11" width="16.625" style="28" customWidth="1"/>
    <col min="12" max="12" width="14.625" style="4" customWidth="1"/>
    <col min="13" max="13" width="16" style="4" customWidth="1"/>
    <col min="14" max="14" width="9.125" style="204" customWidth="1"/>
    <col min="15" max="15" width="40.25" customWidth="1"/>
    <col min="16" max="16" width="15.125" style="37" customWidth="1"/>
    <col min="17" max="17" width="9" style="37"/>
    <col min="18" max="19" width="15.25" style="4" customWidth="1"/>
    <col min="20" max="20" width="11.125" customWidth="1"/>
    <col min="21" max="21" width="6" customWidth="1"/>
  </cols>
  <sheetData>
    <row r="1" spans="1:21" x14ac:dyDescent="0.3">
      <c r="B1" t="s">
        <v>81</v>
      </c>
    </row>
    <row r="2" spans="1:21" s="14" customFormat="1" ht="16.5" customHeight="1" x14ac:dyDescent="0.3">
      <c r="A2" s="248" t="s">
        <v>0</v>
      </c>
      <c r="B2" s="244" t="s">
        <v>5</v>
      </c>
      <c r="C2" s="244" t="s">
        <v>6</v>
      </c>
      <c r="D2" s="228" t="s">
        <v>1</v>
      </c>
      <c r="E2" s="228" t="s">
        <v>15</v>
      </c>
      <c r="F2" s="228" t="s">
        <v>18</v>
      </c>
      <c r="G2" s="228"/>
      <c r="H2" s="228" t="s">
        <v>4</v>
      </c>
      <c r="I2" s="228"/>
      <c r="J2" s="228" t="s">
        <v>7</v>
      </c>
      <c r="K2" s="229" t="s">
        <v>8</v>
      </c>
      <c r="L2" s="242" t="s">
        <v>9</v>
      </c>
      <c r="M2" s="242"/>
      <c r="N2" s="261" t="s">
        <v>12</v>
      </c>
      <c r="O2" s="228" t="s">
        <v>14</v>
      </c>
      <c r="P2" s="247" t="s">
        <v>22</v>
      </c>
      <c r="Q2" s="247" t="s">
        <v>13</v>
      </c>
      <c r="R2" s="230" t="s">
        <v>431</v>
      </c>
      <c r="S2" s="230" t="s">
        <v>425</v>
      </c>
      <c r="T2" s="233" t="s">
        <v>426</v>
      </c>
      <c r="U2" s="257" t="s">
        <v>632</v>
      </c>
    </row>
    <row r="3" spans="1:21" s="14" customFormat="1" x14ac:dyDescent="0.3">
      <c r="A3" s="248"/>
      <c r="B3" s="244"/>
      <c r="C3" s="244"/>
      <c r="D3" s="228"/>
      <c r="E3" s="228"/>
      <c r="F3" s="25" t="s">
        <v>19</v>
      </c>
      <c r="G3" s="25" t="s">
        <v>20</v>
      </c>
      <c r="H3" s="26" t="s">
        <v>2</v>
      </c>
      <c r="I3" s="25" t="s">
        <v>3</v>
      </c>
      <c r="J3" s="228"/>
      <c r="K3" s="229"/>
      <c r="L3" s="27" t="s">
        <v>11</v>
      </c>
      <c r="M3" s="27" t="s">
        <v>10</v>
      </c>
      <c r="N3" s="261"/>
      <c r="O3" s="228"/>
      <c r="P3" s="247"/>
      <c r="Q3" s="247"/>
      <c r="R3" s="232"/>
      <c r="S3" s="232"/>
      <c r="T3" s="235"/>
      <c r="U3" s="258"/>
    </row>
    <row r="4" spans="1:21" s="23" customFormat="1" ht="17.100000000000001" hidden="1" customHeight="1" x14ac:dyDescent="0.3">
      <c r="B4" s="17">
        <v>43879</v>
      </c>
      <c r="C4" s="17">
        <v>43881</v>
      </c>
      <c r="D4" s="23" t="s">
        <v>203</v>
      </c>
      <c r="E4" s="15" t="s">
        <v>201</v>
      </c>
      <c r="F4" s="15" t="s">
        <v>196</v>
      </c>
      <c r="G4" s="15" t="s">
        <v>202</v>
      </c>
      <c r="H4" s="16" t="s">
        <v>200</v>
      </c>
      <c r="I4" s="15">
        <v>1</v>
      </c>
      <c r="J4" s="15" t="s">
        <v>42</v>
      </c>
      <c r="K4" s="29" t="s">
        <v>199</v>
      </c>
      <c r="L4" s="18">
        <v>1000000</v>
      </c>
      <c r="M4" s="18">
        <f t="shared" ref="M4:M67" si="0">(L4*I4)+S4</f>
        <v>1000000</v>
      </c>
      <c r="N4" s="17">
        <v>44515</v>
      </c>
      <c r="P4" s="41" t="s">
        <v>269</v>
      </c>
      <c r="Q4" s="38"/>
      <c r="R4" s="42"/>
      <c r="S4" s="42"/>
      <c r="U4" s="23" t="s">
        <v>195</v>
      </c>
    </row>
    <row r="5" spans="1:21" s="23" customFormat="1" ht="17.100000000000001" hidden="1" customHeight="1" x14ac:dyDescent="0.3">
      <c r="B5" s="17">
        <v>42972</v>
      </c>
      <c r="C5" s="17">
        <v>42975</v>
      </c>
      <c r="D5" s="23" t="s">
        <v>192</v>
      </c>
      <c r="E5" s="15" t="s">
        <v>220</v>
      </c>
      <c r="F5" s="15" t="s">
        <v>196</v>
      </c>
      <c r="G5" s="15" t="s">
        <v>197</v>
      </c>
      <c r="H5" s="16" t="s">
        <v>198</v>
      </c>
      <c r="I5" s="15">
        <v>1</v>
      </c>
      <c r="J5" s="15" t="s">
        <v>42</v>
      </c>
      <c r="K5" s="29" t="s">
        <v>199</v>
      </c>
      <c r="L5" s="18">
        <v>4500000</v>
      </c>
      <c r="M5" s="18">
        <f t="shared" si="0"/>
        <v>4500000</v>
      </c>
      <c r="N5" s="17">
        <v>44515</v>
      </c>
      <c r="P5" s="41" t="s">
        <v>193</v>
      </c>
      <c r="Q5" s="38" t="s">
        <v>2580</v>
      </c>
      <c r="R5" s="42"/>
      <c r="S5" s="42"/>
      <c r="U5" s="23" t="s">
        <v>194</v>
      </c>
    </row>
    <row r="6" spans="1:21" s="23" customFormat="1" ht="17.100000000000001" hidden="1" customHeight="1" x14ac:dyDescent="0.3">
      <c r="B6" s="17">
        <v>44046</v>
      </c>
      <c r="C6" s="17"/>
      <c r="D6" s="23" t="s">
        <v>162</v>
      </c>
      <c r="E6" s="15" t="s">
        <v>163</v>
      </c>
      <c r="F6" s="15" t="s">
        <v>139</v>
      </c>
      <c r="G6" s="15" t="s">
        <v>110</v>
      </c>
      <c r="H6" s="16" t="s">
        <v>164</v>
      </c>
      <c r="I6" s="15">
        <v>1</v>
      </c>
      <c r="J6" s="15" t="s">
        <v>42</v>
      </c>
      <c r="K6" s="29" t="s">
        <v>165</v>
      </c>
      <c r="L6" s="18">
        <v>140000000</v>
      </c>
      <c r="M6" s="18">
        <f t="shared" si="0"/>
        <v>140000000</v>
      </c>
      <c r="N6" s="17">
        <v>44489</v>
      </c>
      <c r="O6" s="23" t="s">
        <v>166</v>
      </c>
      <c r="P6" s="41" t="s">
        <v>284</v>
      </c>
      <c r="Q6" s="38" t="s">
        <v>2581</v>
      </c>
      <c r="R6" s="42"/>
      <c r="S6" s="42"/>
      <c r="U6" s="23" t="s">
        <v>315</v>
      </c>
    </row>
    <row r="7" spans="1:21" s="23" customFormat="1" ht="17.100000000000001" hidden="1" customHeight="1" x14ac:dyDescent="0.3">
      <c r="B7" s="17">
        <v>44090</v>
      </c>
      <c r="C7" s="17">
        <v>44187</v>
      </c>
      <c r="D7" s="23" t="s">
        <v>205</v>
      </c>
      <c r="E7" s="15" t="s">
        <v>204</v>
      </c>
      <c r="F7" s="15" t="s">
        <v>196</v>
      </c>
      <c r="G7" s="15" t="s">
        <v>202</v>
      </c>
      <c r="H7" s="16" t="s">
        <v>206</v>
      </c>
      <c r="I7" s="15">
        <v>1</v>
      </c>
      <c r="J7" s="15" t="s">
        <v>42</v>
      </c>
      <c r="K7" s="29" t="s">
        <v>420</v>
      </c>
      <c r="L7" s="18">
        <v>40000000</v>
      </c>
      <c r="M7" s="18">
        <f t="shared" si="0"/>
        <v>40000000</v>
      </c>
      <c r="N7" s="17">
        <v>44553</v>
      </c>
      <c r="O7" s="23" t="s">
        <v>1324</v>
      </c>
      <c r="P7" s="41" t="s">
        <v>207</v>
      </c>
      <c r="Q7" s="38" t="s">
        <v>2582</v>
      </c>
      <c r="R7" s="42"/>
      <c r="S7" s="42"/>
    </row>
    <row r="8" spans="1:21" s="23" customFormat="1" ht="17.100000000000001" hidden="1" customHeight="1" x14ac:dyDescent="0.3">
      <c r="B8" s="17">
        <v>44163</v>
      </c>
      <c r="C8" s="17">
        <v>44165</v>
      </c>
      <c r="D8" s="23" t="s">
        <v>208</v>
      </c>
      <c r="E8" s="15" t="s">
        <v>210</v>
      </c>
      <c r="F8" s="15" t="s">
        <v>196</v>
      </c>
      <c r="G8" s="15" t="s">
        <v>202</v>
      </c>
      <c r="H8" s="16" t="s">
        <v>212</v>
      </c>
      <c r="I8" s="15">
        <v>1</v>
      </c>
      <c r="J8" s="15" t="s">
        <v>31</v>
      </c>
      <c r="K8" s="29" t="s">
        <v>165</v>
      </c>
      <c r="L8" s="18">
        <v>3500000</v>
      </c>
      <c r="M8" s="18">
        <f t="shared" si="0"/>
        <v>3500000</v>
      </c>
      <c r="N8" s="17">
        <v>44515</v>
      </c>
      <c r="P8" s="41" t="s">
        <v>213</v>
      </c>
      <c r="Q8" s="38" t="s">
        <v>2583</v>
      </c>
      <c r="R8" s="42"/>
      <c r="S8" s="42"/>
      <c r="U8" s="23" t="s">
        <v>215</v>
      </c>
    </row>
    <row r="9" spans="1:21" s="23" customFormat="1" ht="17.100000000000001" hidden="1" customHeight="1" x14ac:dyDescent="0.3">
      <c r="B9" s="17">
        <v>44163</v>
      </c>
      <c r="C9" s="17">
        <v>44167</v>
      </c>
      <c r="D9" s="23" t="s">
        <v>209</v>
      </c>
      <c r="E9" s="15" t="s">
        <v>211</v>
      </c>
      <c r="F9" s="15" t="s">
        <v>196</v>
      </c>
      <c r="G9" s="15" t="s">
        <v>202</v>
      </c>
      <c r="H9" s="16" t="s">
        <v>200</v>
      </c>
      <c r="I9" s="15">
        <v>1</v>
      </c>
      <c r="J9" s="15" t="s">
        <v>31</v>
      </c>
      <c r="K9" s="29" t="s">
        <v>165</v>
      </c>
      <c r="L9" s="18">
        <v>21300000</v>
      </c>
      <c r="M9" s="18">
        <f t="shared" si="0"/>
        <v>21300000</v>
      </c>
      <c r="N9" s="17">
        <v>44515</v>
      </c>
      <c r="P9" s="41" t="s">
        <v>214</v>
      </c>
      <c r="Q9" s="38"/>
      <c r="R9" s="42"/>
      <c r="S9" s="42"/>
    </row>
    <row r="10" spans="1:21" s="23" customFormat="1" ht="17.100000000000001" hidden="1" customHeight="1" x14ac:dyDescent="0.3">
      <c r="B10" s="17">
        <v>44281</v>
      </c>
      <c r="C10" s="17">
        <v>44287</v>
      </c>
      <c r="D10" s="23" t="s">
        <v>513</v>
      </c>
      <c r="E10" s="15" t="s">
        <v>378</v>
      </c>
      <c r="F10" s="15" t="s">
        <v>196</v>
      </c>
      <c r="G10" s="15" t="s">
        <v>26</v>
      </c>
      <c r="H10" s="16" t="s">
        <v>772</v>
      </c>
      <c r="I10" s="15">
        <v>1</v>
      </c>
      <c r="J10" s="15" t="s">
        <v>42</v>
      </c>
      <c r="K10" s="29" t="s">
        <v>222</v>
      </c>
      <c r="L10" s="18">
        <v>12200000</v>
      </c>
      <c r="M10" s="18">
        <f t="shared" si="0"/>
        <v>12200000</v>
      </c>
      <c r="N10" s="17">
        <v>44540</v>
      </c>
      <c r="P10" s="41"/>
      <c r="Q10" s="38" t="s">
        <v>773</v>
      </c>
      <c r="R10" s="42"/>
      <c r="S10" s="42"/>
      <c r="U10" s="23" t="s">
        <v>504</v>
      </c>
    </row>
    <row r="11" spans="1:21" s="23" customFormat="1" ht="17.100000000000001" hidden="1" customHeight="1" x14ac:dyDescent="0.3">
      <c r="B11" s="17">
        <v>44327</v>
      </c>
      <c r="C11" s="17">
        <v>44336</v>
      </c>
      <c r="D11" s="23" t="s">
        <v>306</v>
      </c>
      <c r="E11" s="15" t="s">
        <v>216</v>
      </c>
      <c r="F11" s="15" t="s">
        <v>217</v>
      </c>
      <c r="G11" s="15" t="s">
        <v>202</v>
      </c>
      <c r="H11" s="16" t="s">
        <v>218</v>
      </c>
      <c r="I11" s="15">
        <v>3</v>
      </c>
      <c r="J11" s="15" t="s">
        <v>440</v>
      </c>
      <c r="K11" s="29" t="s">
        <v>130</v>
      </c>
      <c r="L11" s="18">
        <v>7300000</v>
      </c>
      <c r="M11" s="18">
        <f t="shared" si="0"/>
        <v>21900000</v>
      </c>
      <c r="N11" s="17">
        <v>44827</v>
      </c>
      <c r="O11" s="23" t="s">
        <v>132</v>
      </c>
      <c r="P11" s="41" t="s">
        <v>219</v>
      </c>
      <c r="Q11" s="38" t="s">
        <v>2584</v>
      </c>
      <c r="R11" s="42"/>
      <c r="S11" s="42"/>
    </row>
    <row r="12" spans="1:21" s="23" customFormat="1" ht="17.100000000000001" hidden="1" customHeight="1" x14ac:dyDescent="0.3">
      <c r="B12" s="17">
        <v>44383</v>
      </c>
      <c r="C12" s="17">
        <v>44469</v>
      </c>
      <c r="D12" s="23" t="s">
        <v>127</v>
      </c>
      <c r="E12" s="15" t="s">
        <v>305</v>
      </c>
      <c r="F12" s="15" t="s">
        <v>128</v>
      </c>
      <c r="G12" s="15" t="s">
        <v>21</v>
      </c>
      <c r="H12" s="16" t="s">
        <v>129</v>
      </c>
      <c r="I12" s="15">
        <v>2</v>
      </c>
      <c r="J12" s="15" t="s">
        <v>131</v>
      </c>
      <c r="K12" s="29" t="s">
        <v>130</v>
      </c>
      <c r="L12" s="18">
        <v>10320000</v>
      </c>
      <c r="M12" s="18">
        <f t="shared" si="0"/>
        <v>20640000</v>
      </c>
      <c r="N12" s="17">
        <v>44827</v>
      </c>
      <c r="O12" s="23" t="s">
        <v>132</v>
      </c>
      <c r="P12" s="41" t="s">
        <v>240</v>
      </c>
      <c r="Q12" s="38" t="s">
        <v>2584</v>
      </c>
      <c r="R12" s="42"/>
      <c r="S12" s="42"/>
    </row>
    <row r="13" spans="1:21" s="23" customFormat="1" ht="17.100000000000001" hidden="1" customHeight="1" x14ac:dyDescent="0.3">
      <c r="B13" s="17">
        <v>44389</v>
      </c>
      <c r="C13" s="17">
        <v>44426</v>
      </c>
      <c r="D13" s="23" t="s">
        <v>137</v>
      </c>
      <c r="E13" s="15" t="s">
        <v>138</v>
      </c>
      <c r="F13" s="15" t="s">
        <v>139</v>
      </c>
      <c r="G13" s="15" t="s">
        <v>140</v>
      </c>
      <c r="H13" s="16" t="s">
        <v>141</v>
      </c>
      <c r="I13" s="15">
        <v>1</v>
      </c>
      <c r="J13" s="15" t="s">
        <v>42</v>
      </c>
      <c r="K13" s="29" t="s">
        <v>142</v>
      </c>
      <c r="L13" s="18">
        <v>117692727</v>
      </c>
      <c r="M13" s="18">
        <f t="shared" si="0"/>
        <v>117692727</v>
      </c>
      <c r="N13" s="17">
        <v>44439</v>
      </c>
      <c r="O13" s="23" t="s">
        <v>143</v>
      </c>
      <c r="P13" s="41"/>
      <c r="Q13" s="38" t="s">
        <v>2585</v>
      </c>
      <c r="R13" s="42"/>
      <c r="S13" s="42"/>
    </row>
    <row r="14" spans="1:21" s="23" customFormat="1" ht="17.100000000000001" hidden="1" customHeight="1" x14ac:dyDescent="0.3">
      <c r="B14" s="17">
        <v>44413</v>
      </c>
      <c r="C14" s="17">
        <v>44415</v>
      </c>
      <c r="D14" s="23" t="s">
        <v>427</v>
      </c>
      <c r="E14" s="15" t="s">
        <v>45</v>
      </c>
      <c r="F14" s="15" t="s">
        <v>46</v>
      </c>
      <c r="G14" s="15" t="s">
        <v>47</v>
      </c>
      <c r="H14" s="16" t="s">
        <v>48</v>
      </c>
      <c r="I14" s="15">
        <v>1</v>
      </c>
      <c r="J14" s="15" t="s">
        <v>49</v>
      </c>
      <c r="K14" s="29" t="s">
        <v>50</v>
      </c>
      <c r="L14" s="18">
        <v>21111000</v>
      </c>
      <c r="M14" s="18">
        <f t="shared" si="0"/>
        <v>24088000</v>
      </c>
      <c r="N14" s="17">
        <v>44502</v>
      </c>
      <c r="O14" s="23" t="s">
        <v>51</v>
      </c>
      <c r="P14" s="41"/>
      <c r="Q14" s="38" t="s">
        <v>2586</v>
      </c>
      <c r="R14" s="42">
        <v>2402000</v>
      </c>
      <c r="S14" s="42">
        <v>2977000</v>
      </c>
      <c r="T14" s="45">
        <f>S14-R14</f>
        <v>575000</v>
      </c>
    </row>
    <row r="15" spans="1:21" s="23" customFormat="1" ht="17.100000000000001" hidden="1" customHeight="1" x14ac:dyDescent="0.3">
      <c r="B15" s="17">
        <v>44415</v>
      </c>
      <c r="C15" s="17">
        <v>44421</v>
      </c>
      <c r="D15" s="23" t="s">
        <v>428</v>
      </c>
      <c r="E15" s="15" t="s">
        <v>52</v>
      </c>
      <c r="F15" s="15" t="s">
        <v>46</v>
      </c>
      <c r="G15" s="15" t="s">
        <v>47</v>
      </c>
      <c r="H15" s="16" t="s">
        <v>53</v>
      </c>
      <c r="I15" s="15">
        <v>1</v>
      </c>
      <c r="J15" s="15" t="s">
        <v>54</v>
      </c>
      <c r="K15" s="29" t="s">
        <v>55</v>
      </c>
      <c r="L15" s="19">
        <v>79000000</v>
      </c>
      <c r="M15" s="18">
        <f t="shared" si="0"/>
        <v>95204000</v>
      </c>
      <c r="N15" s="17">
        <v>44439</v>
      </c>
      <c r="O15" s="23" t="s">
        <v>221</v>
      </c>
      <c r="P15" s="41" t="s">
        <v>56</v>
      </c>
      <c r="Q15" s="38" t="s">
        <v>2587</v>
      </c>
      <c r="R15" s="42">
        <f>9204000+8000000</f>
        <v>17204000</v>
      </c>
      <c r="S15" s="42">
        <f>8204000+8000000</f>
        <v>16204000</v>
      </c>
      <c r="T15" s="45">
        <f>S15-R15</f>
        <v>-1000000</v>
      </c>
    </row>
    <row r="16" spans="1:21" s="20" customFormat="1" ht="17.100000000000001" hidden="1" customHeight="1" x14ac:dyDescent="0.3">
      <c r="B16" s="17">
        <v>44417</v>
      </c>
      <c r="C16" s="17">
        <v>44418</v>
      </c>
      <c r="D16" s="20" t="s">
        <v>57</v>
      </c>
      <c r="E16" s="15" t="s">
        <v>58</v>
      </c>
      <c r="F16" s="15" t="s">
        <v>59</v>
      </c>
      <c r="G16" s="15" t="s">
        <v>60</v>
      </c>
      <c r="H16" s="16" t="s">
        <v>61</v>
      </c>
      <c r="I16" s="15">
        <v>1</v>
      </c>
      <c r="J16" s="15"/>
      <c r="K16" s="29" t="s">
        <v>62</v>
      </c>
      <c r="L16" s="19">
        <v>12000000</v>
      </c>
      <c r="M16" s="18">
        <f t="shared" si="0"/>
        <v>12000000</v>
      </c>
      <c r="N16" s="17" t="s">
        <v>318</v>
      </c>
      <c r="P16" s="22" t="s">
        <v>63</v>
      </c>
      <c r="Q16" s="38" t="s">
        <v>2588</v>
      </c>
      <c r="R16" s="19"/>
      <c r="S16" s="19"/>
    </row>
    <row r="17" spans="2:20" s="20" customFormat="1" ht="17.100000000000001" hidden="1" customHeight="1" x14ac:dyDescent="0.3">
      <c r="B17" s="17">
        <v>44422</v>
      </c>
      <c r="C17" s="17">
        <v>44427</v>
      </c>
      <c r="D17" s="20" t="s">
        <v>24</v>
      </c>
      <c r="E17" s="15" t="s">
        <v>146</v>
      </c>
      <c r="F17" s="15" t="s">
        <v>25</v>
      </c>
      <c r="G17" s="15" t="s">
        <v>26</v>
      </c>
      <c r="H17" s="16" t="s">
        <v>28</v>
      </c>
      <c r="I17" s="15">
        <v>1</v>
      </c>
      <c r="J17" s="15" t="s">
        <v>145</v>
      </c>
      <c r="K17" s="29" t="s">
        <v>144</v>
      </c>
      <c r="L17" s="19">
        <v>25350000</v>
      </c>
      <c r="M17" s="18">
        <f t="shared" si="0"/>
        <v>25350000</v>
      </c>
      <c r="N17" s="17">
        <v>44439</v>
      </c>
      <c r="O17" s="20" t="s">
        <v>27</v>
      </c>
      <c r="P17" s="22"/>
      <c r="Q17" s="38" t="s">
        <v>2589</v>
      </c>
      <c r="R17" s="19"/>
      <c r="S17" s="19"/>
    </row>
    <row r="18" spans="2:20" s="20" customFormat="1" ht="17.100000000000001" hidden="1" customHeight="1" x14ac:dyDescent="0.3">
      <c r="B18" s="17">
        <v>44423</v>
      </c>
      <c r="C18" s="17">
        <v>44424</v>
      </c>
      <c r="D18" s="20" t="s">
        <v>29</v>
      </c>
      <c r="E18" s="15" t="s">
        <v>338</v>
      </c>
      <c r="F18" s="15" t="s">
        <v>25</v>
      </c>
      <c r="G18" s="15" t="s">
        <v>21</v>
      </c>
      <c r="H18" s="16" t="s">
        <v>30</v>
      </c>
      <c r="I18" s="15">
        <v>1</v>
      </c>
      <c r="J18" s="15" t="s">
        <v>339</v>
      </c>
      <c r="K18" s="29" t="s">
        <v>43</v>
      </c>
      <c r="L18" s="19">
        <v>22000000</v>
      </c>
      <c r="M18" s="18">
        <f t="shared" si="0"/>
        <v>22000000</v>
      </c>
      <c r="N18" s="17">
        <v>44504</v>
      </c>
      <c r="O18" s="20" t="s">
        <v>340</v>
      </c>
      <c r="P18" s="22"/>
      <c r="Q18" s="38" t="s">
        <v>2590</v>
      </c>
      <c r="R18" s="19"/>
      <c r="S18" s="19"/>
    </row>
    <row r="19" spans="2:20" s="20" customFormat="1" ht="17.100000000000001" hidden="1" customHeight="1" x14ac:dyDescent="0.3">
      <c r="B19" s="17">
        <v>44427</v>
      </c>
      <c r="C19" s="17">
        <v>44441</v>
      </c>
      <c r="D19" s="20" t="s">
        <v>32</v>
      </c>
      <c r="E19" s="15" t="s">
        <v>33</v>
      </c>
      <c r="F19" s="15" t="s">
        <v>25</v>
      </c>
      <c r="G19" s="15" t="s">
        <v>21</v>
      </c>
      <c r="H19" s="16" t="s">
        <v>34</v>
      </c>
      <c r="I19" s="15">
        <v>1</v>
      </c>
      <c r="J19" s="15" t="s">
        <v>42</v>
      </c>
      <c r="K19" s="29" t="s">
        <v>37</v>
      </c>
      <c r="L19" s="19">
        <v>10000000</v>
      </c>
      <c r="M19" s="18">
        <f t="shared" si="0"/>
        <v>10000000</v>
      </c>
      <c r="N19" s="17">
        <v>44469</v>
      </c>
      <c r="O19" s="20" t="s">
        <v>35</v>
      </c>
      <c r="P19" s="22"/>
      <c r="Q19" s="38" t="s">
        <v>2591</v>
      </c>
      <c r="R19" s="19"/>
      <c r="S19" s="19"/>
    </row>
    <row r="20" spans="2:20" s="20" customFormat="1" ht="17.100000000000001" hidden="1" customHeight="1" x14ac:dyDescent="0.3">
      <c r="B20" s="17">
        <v>44427</v>
      </c>
      <c r="C20" s="17">
        <v>44429</v>
      </c>
      <c r="D20" s="22" t="s">
        <v>36</v>
      </c>
      <c r="E20" s="15" t="s">
        <v>148</v>
      </c>
      <c r="F20" s="15" t="s">
        <v>25</v>
      </c>
      <c r="G20" s="15" t="s">
        <v>21</v>
      </c>
      <c r="H20" s="16" t="s">
        <v>147</v>
      </c>
      <c r="I20" s="15">
        <v>1</v>
      </c>
      <c r="J20" s="15"/>
      <c r="K20" s="29" t="s">
        <v>44</v>
      </c>
      <c r="L20" s="19">
        <v>25000000</v>
      </c>
      <c r="M20" s="18">
        <f t="shared" si="0"/>
        <v>25000000</v>
      </c>
      <c r="N20" s="17">
        <v>44439</v>
      </c>
      <c r="O20" s="20" t="s">
        <v>38</v>
      </c>
      <c r="P20" s="22"/>
      <c r="Q20" s="38" t="s">
        <v>2592</v>
      </c>
      <c r="R20" s="19"/>
      <c r="S20" s="19"/>
    </row>
    <row r="21" spans="2:20" s="20" customFormat="1" ht="17.100000000000001" hidden="1" customHeight="1" x14ac:dyDescent="0.3">
      <c r="B21" s="17">
        <v>44429</v>
      </c>
      <c r="C21" s="17">
        <v>44439</v>
      </c>
      <c r="D21" s="20" t="s">
        <v>429</v>
      </c>
      <c r="E21" s="15" t="s">
        <v>64</v>
      </c>
      <c r="F21" s="15" t="s">
        <v>46</v>
      </c>
      <c r="G21" s="15" t="s">
        <v>47</v>
      </c>
      <c r="H21" s="16" t="s">
        <v>65</v>
      </c>
      <c r="I21" s="15">
        <v>1</v>
      </c>
      <c r="J21" s="15" t="s">
        <v>49</v>
      </c>
      <c r="K21" s="29" t="s">
        <v>66</v>
      </c>
      <c r="L21" s="19">
        <v>166590000</v>
      </c>
      <c r="M21" s="18">
        <f t="shared" si="0"/>
        <v>184088000</v>
      </c>
      <c r="N21" s="17">
        <v>44547</v>
      </c>
      <c r="O21" s="23" t="s">
        <v>51</v>
      </c>
      <c r="P21" s="22"/>
      <c r="Q21" s="38" t="s">
        <v>2586</v>
      </c>
      <c r="R21" s="19">
        <v>14108000</v>
      </c>
      <c r="S21" s="19">
        <v>17498000</v>
      </c>
      <c r="T21" s="45">
        <f>S21-R21</f>
        <v>3390000</v>
      </c>
    </row>
    <row r="22" spans="2:20" s="20" customFormat="1" ht="17.100000000000001" hidden="1" customHeight="1" x14ac:dyDescent="0.3">
      <c r="B22" s="17">
        <v>44431</v>
      </c>
      <c r="C22" s="17">
        <v>44433</v>
      </c>
      <c r="D22" s="20" t="s">
        <v>67</v>
      </c>
      <c r="E22" s="15" t="s">
        <v>68</v>
      </c>
      <c r="F22" s="15" t="s">
        <v>46</v>
      </c>
      <c r="G22" s="15" t="s">
        <v>47</v>
      </c>
      <c r="H22" s="16">
        <v>100</v>
      </c>
      <c r="I22" s="15">
        <v>2</v>
      </c>
      <c r="J22" s="15" t="s">
        <v>69</v>
      </c>
      <c r="K22" s="29" t="s">
        <v>66</v>
      </c>
      <c r="L22" s="19">
        <v>3906015</v>
      </c>
      <c r="M22" s="18">
        <f t="shared" si="0"/>
        <v>7812030</v>
      </c>
      <c r="N22" s="17">
        <v>44551</v>
      </c>
      <c r="O22" s="20" t="s">
        <v>70</v>
      </c>
      <c r="P22" s="22"/>
      <c r="Q22" s="38" t="s">
        <v>2593</v>
      </c>
      <c r="R22" s="19"/>
      <c r="S22" s="19"/>
    </row>
    <row r="23" spans="2:20" s="20" customFormat="1" ht="17.100000000000001" hidden="1" customHeight="1" x14ac:dyDescent="0.3">
      <c r="B23" s="17">
        <v>44434</v>
      </c>
      <c r="C23" s="17">
        <v>44434</v>
      </c>
      <c r="D23" s="20" t="s">
        <v>1143</v>
      </c>
      <c r="E23" s="15" t="s">
        <v>71</v>
      </c>
      <c r="F23" s="15" t="s">
        <v>46</v>
      </c>
      <c r="G23" s="15" t="s">
        <v>47</v>
      </c>
      <c r="H23" s="16">
        <v>50</v>
      </c>
      <c r="I23" s="15">
        <v>2</v>
      </c>
      <c r="J23" s="15" t="s">
        <v>72</v>
      </c>
      <c r="K23" s="29" t="s">
        <v>73</v>
      </c>
      <c r="L23" s="19">
        <v>838292</v>
      </c>
      <c r="M23" s="18">
        <f t="shared" si="0"/>
        <v>1676584</v>
      </c>
      <c r="N23" s="17">
        <v>44545</v>
      </c>
      <c r="O23" s="20" t="s">
        <v>70</v>
      </c>
      <c r="P23" s="22" t="s">
        <v>92</v>
      </c>
      <c r="Q23" s="38" t="s">
        <v>2593</v>
      </c>
      <c r="R23" s="19"/>
      <c r="S23" s="19"/>
    </row>
    <row r="24" spans="2:20" s="20" customFormat="1" ht="17.100000000000001" hidden="1" customHeight="1" x14ac:dyDescent="0.3">
      <c r="B24" s="17">
        <v>44436</v>
      </c>
      <c r="C24" s="17">
        <v>44445</v>
      </c>
      <c r="D24" s="20" t="s">
        <v>74</v>
      </c>
      <c r="E24" s="15" t="s">
        <v>75</v>
      </c>
      <c r="F24" s="15" t="s">
        <v>46</v>
      </c>
      <c r="G24" s="15" t="s">
        <v>47</v>
      </c>
      <c r="H24" s="16">
        <v>600</v>
      </c>
      <c r="I24" s="15">
        <v>4</v>
      </c>
      <c r="J24" s="15" t="s">
        <v>69</v>
      </c>
      <c r="K24" s="29" t="s">
        <v>66</v>
      </c>
      <c r="L24" s="19">
        <v>37212626</v>
      </c>
      <c r="M24" s="18">
        <f t="shared" si="0"/>
        <v>148850504</v>
      </c>
      <c r="N24" s="17">
        <v>44551</v>
      </c>
      <c r="O24" s="20" t="s">
        <v>70</v>
      </c>
      <c r="P24" s="22"/>
      <c r="Q24" s="38" t="s">
        <v>2593</v>
      </c>
      <c r="R24" s="19"/>
      <c r="S24" s="19"/>
    </row>
    <row r="25" spans="2:20" s="20" customFormat="1" ht="17.100000000000001" hidden="1" customHeight="1" x14ac:dyDescent="0.3">
      <c r="B25" s="17">
        <v>44438</v>
      </c>
      <c r="C25" s="17">
        <v>44439</v>
      </c>
      <c r="D25" s="20" t="s">
        <v>76</v>
      </c>
      <c r="E25" s="15" t="s">
        <v>77</v>
      </c>
      <c r="F25" s="15" t="s">
        <v>46</v>
      </c>
      <c r="G25" s="15" t="s">
        <v>47</v>
      </c>
      <c r="H25" s="16" t="s">
        <v>249</v>
      </c>
      <c r="I25" s="15">
        <v>1</v>
      </c>
      <c r="J25" s="15" t="s">
        <v>49</v>
      </c>
      <c r="K25" s="30" t="s">
        <v>85</v>
      </c>
      <c r="L25" s="19">
        <v>9187000</v>
      </c>
      <c r="M25" s="18">
        <f t="shared" si="0"/>
        <v>11142000</v>
      </c>
      <c r="N25" s="17">
        <v>44502</v>
      </c>
      <c r="O25" s="23" t="s">
        <v>51</v>
      </c>
      <c r="P25" s="22"/>
      <c r="Q25" s="38" t="s">
        <v>2586</v>
      </c>
      <c r="R25" s="19">
        <v>1578000</v>
      </c>
      <c r="S25" s="19">
        <v>1955000</v>
      </c>
      <c r="T25" s="45">
        <f>S25-R25</f>
        <v>377000</v>
      </c>
    </row>
    <row r="26" spans="2:20" s="20" customFormat="1" ht="17.100000000000001" hidden="1" customHeight="1" x14ac:dyDescent="0.3">
      <c r="B26" s="17">
        <v>44438</v>
      </c>
      <c r="C26" s="17">
        <v>44442</v>
      </c>
      <c r="D26" s="20" t="s">
        <v>223</v>
      </c>
      <c r="E26" s="15" t="s">
        <v>79</v>
      </c>
      <c r="F26" s="15" t="s">
        <v>46</v>
      </c>
      <c r="G26" s="15" t="s">
        <v>47</v>
      </c>
      <c r="H26" s="16">
        <v>800</v>
      </c>
      <c r="I26" s="15">
        <v>2</v>
      </c>
      <c r="J26" s="15" t="s">
        <v>72</v>
      </c>
      <c r="K26" s="29" t="s">
        <v>80</v>
      </c>
      <c r="L26" s="19">
        <v>56164825</v>
      </c>
      <c r="M26" s="18">
        <f t="shared" si="0"/>
        <v>112329650</v>
      </c>
      <c r="N26" s="17">
        <v>44545</v>
      </c>
      <c r="O26" s="20" t="s">
        <v>70</v>
      </c>
      <c r="P26" s="22"/>
      <c r="Q26" s="38" t="s">
        <v>2593</v>
      </c>
      <c r="R26" s="19"/>
      <c r="S26" s="19"/>
    </row>
    <row r="27" spans="2:20" s="20" customFormat="1" ht="17.100000000000001" hidden="1" customHeight="1" x14ac:dyDescent="0.3">
      <c r="B27" s="17">
        <v>44438</v>
      </c>
      <c r="C27" s="17">
        <v>44442</v>
      </c>
      <c r="D27" s="20" t="s">
        <v>78</v>
      </c>
      <c r="E27" s="15" t="s">
        <v>79</v>
      </c>
      <c r="F27" s="15" t="s">
        <v>46</v>
      </c>
      <c r="G27" s="15" t="s">
        <v>47</v>
      </c>
      <c r="H27" s="16">
        <v>50</v>
      </c>
      <c r="I27" s="15">
        <v>4</v>
      </c>
      <c r="J27" s="15" t="s">
        <v>72</v>
      </c>
      <c r="K27" s="29" t="s">
        <v>80</v>
      </c>
      <c r="L27" s="19">
        <v>621966</v>
      </c>
      <c r="M27" s="18">
        <f t="shared" si="0"/>
        <v>2487864</v>
      </c>
      <c r="N27" s="17">
        <v>44545</v>
      </c>
      <c r="O27" s="20" t="s">
        <v>70</v>
      </c>
      <c r="P27" s="22" t="s">
        <v>91</v>
      </c>
      <c r="Q27" s="38" t="s">
        <v>2593</v>
      </c>
      <c r="R27" s="19"/>
      <c r="S27" s="19"/>
    </row>
    <row r="28" spans="2:20" s="20" customFormat="1" ht="17.100000000000001" hidden="1" customHeight="1" x14ac:dyDescent="0.3">
      <c r="B28" s="17">
        <v>44439</v>
      </c>
      <c r="C28" s="17">
        <v>44445</v>
      </c>
      <c r="D28" s="20" t="s">
        <v>40</v>
      </c>
      <c r="E28" s="15" t="s">
        <v>39</v>
      </c>
      <c r="F28" s="15" t="s">
        <v>25</v>
      </c>
      <c r="G28" s="15" t="s">
        <v>21</v>
      </c>
      <c r="H28" s="16" t="s">
        <v>97</v>
      </c>
      <c r="I28" s="15">
        <v>1</v>
      </c>
      <c r="J28" s="15" t="s">
        <v>31</v>
      </c>
      <c r="K28" s="29" t="s">
        <v>41</v>
      </c>
      <c r="L28" s="19">
        <v>13000000</v>
      </c>
      <c r="M28" s="18">
        <f t="shared" si="0"/>
        <v>13000000</v>
      </c>
      <c r="N28" s="17">
        <v>44469</v>
      </c>
      <c r="O28" s="20" t="s">
        <v>35</v>
      </c>
      <c r="P28" s="22"/>
      <c r="Q28" s="38" t="s">
        <v>2591</v>
      </c>
      <c r="R28" s="19"/>
      <c r="S28" s="19"/>
    </row>
    <row r="29" spans="2:20" s="20" customFormat="1" ht="17.100000000000001" hidden="1" customHeight="1" x14ac:dyDescent="0.3">
      <c r="B29" s="17">
        <v>44440</v>
      </c>
      <c r="C29" s="17">
        <v>44447</v>
      </c>
      <c r="D29" s="20" t="s">
        <v>430</v>
      </c>
      <c r="E29" s="15" t="s">
        <v>82</v>
      </c>
      <c r="F29" s="15" t="s">
        <v>46</v>
      </c>
      <c r="G29" s="15" t="s">
        <v>21</v>
      </c>
      <c r="H29" s="16" t="s">
        <v>250</v>
      </c>
      <c r="I29" s="15">
        <v>1</v>
      </c>
      <c r="J29" s="15" t="s">
        <v>83</v>
      </c>
      <c r="K29" s="30" t="s">
        <v>84</v>
      </c>
      <c r="L29" s="19">
        <v>75065000</v>
      </c>
      <c r="M29" s="18">
        <f t="shared" si="0"/>
        <v>82116000</v>
      </c>
      <c r="N29" s="17">
        <v>44547</v>
      </c>
      <c r="O29" s="23" t="s">
        <v>51</v>
      </c>
      <c r="P29" s="22"/>
      <c r="Q29" s="38" t="s">
        <v>2586</v>
      </c>
      <c r="R29" s="44">
        <v>5686000</v>
      </c>
      <c r="S29" s="19">
        <v>7051000</v>
      </c>
      <c r="T29" s="45">
        <f>S29-R29</f>
        <v>1365000</v>
      </c>
    </row>
    <row r="30" spans="2:20" s="20" customFormat="1" ht="17.100000000000001" hidden="1" customHeight="1" x14ac:dyDescent="0.3">
      <c r="B30" s="17">
        <v>44441</v>
      </c>
      <c r="C30" s="17">
        <v>44447</v>
      </c>
      <c r="D30" s="20" t="s">
        <v>86</v>
      </c>
      <c r="E30" s="15" t="s">
        <v>87</v>
      </c>
      <c r="F30" s="15" t="s">
        <v>46</v>
      </c>
      <c r="G30" s="15" t="s">
        <v>21</v>
      </c>
      <c r="H30" s="16">
        <v>850</v>
      </c>
      <c r="I30" s="15">
        <v>4</v>
      </c>
      <c r="J30" s="15" t="s">
        <v>88</v>
      </c>
      <c r="K30" s="29" t="s">
        <v>303</v>
      </c>
      <c r="L30" s="19">
        <v>64754664</v>
      </c>
      <c r="M30" s="18">
        <f t="shared" si="0"/>
        <v>259018656</v>
      </c>
      <c r="N30" s="17">
        <v>44508</v>
      </c>
      <c r="O30" s="20" t="s">
        <v>70</v>
      </c>
      <c r="P30" s="22"/>
      <c r="Q30" s="38" t="s">
        <v>2593</v>
      </c>
      <c r="R30" s="19"/>
      <c r="S30" s="19"/>
    </row>
    <row r="31" spans="2:20" s="20" customFormat="1" ht="17.100000000000001" hidden="1" customHeight="1" x14ac:dyDescent="0.3">
      <c r="B31" s="17">
        <v>44443</v>
      </c>
      <c r="C31" s="17">
        <v>44447</v>
      </c>
      <c r="D31" s="20" t="s">
        <v>89</v>
      </c>
      <c r="E31" s="15" t="s">
        <v>90</v>
      </c>
      <c r="F31" s="15" t="s">
        <v>46</v>
      </c>
      <c r="G31" s="15" t="s">
        <v>21</v>
      </c>
      <c r="H31" s="16">
        <v>300</v>
      </c>
      <c r="I31" s="15">
        <v>2</v>
      </c>
      <c r="J31" s="15" t="s">
        <v>88</v>
      </c>
      <c r="K31" s="29" t="s">
        <v>98</v>
      </c>
      <c r="L31" s="19">
        <v>13151255</v>
      </c>
      <c r="M31" s="18">
        <f t="shared" si="0"/>
        <v>26302510</v>
      </c>
      <c r="N31" s="17">
        <v>44508</v>
      </c>
      <c r="O31" s="20" t="s">
        <v>70</v>
      </c>
      <c r="P31" s="22"/>
      <c r="Q31" s="38" t="s">
        <v>2593</v>
      </c>
      <c r="R31" s="19"/>
      <c r="S31" s="19"/>
    </row>
    <row r="32" spans="2:20" s="20" customFormat="1" ht="17.100000000000001" hidden="1" customHeight="1" x14ac:dyDescent="0.3">
      <c r="B32" s="17">
        <v>44443</v>
      </c>
      <c r="C32" s="17">
        <v>44444</v>
      </c>
      <c r="D32" s="20" t="s">
        <v>94</v>
      </c>
      <c r="E32" s="15" t="s">
        <v>93</v>
      </c>
      <c r="F32" s="15" t="s">
        <v>95</v>
      </c>
      <c r="G32" s="15" t="s">
        <v>21</v>
      </c>
      <c r="H32" s="16" t="s">
        <v>96</v>
      </c>
      <c r="I32" s="15">
        <v>1</v>
      </c>
      <c r="J32" s="15" t="s">
        <v>31</v>
      </c>
      <c r="K32" s="29" t="s">
        <v>99</v>
      </c>
      <c r="L32" s="19">
        <v>-1000000</v>
      </c>
      <c r="M32" s="18">
        <f t="shared" si="0"/>
        <v>-1000000</v>
      </c>
      <c r="N32" s="17">
        <v>44469</v>
      </c>
      <c r="O32" s="20" t="s">
        <v>100</v>
      </c>
      <c r="P32" s="22" t="s">
        <v>251</v>
      </c>
      <c r="Q32" s="38" t="s">
        <v>2594</v>
      </c>
      <c r="R32" s="19"/>
      <c r="S32" s="19"/>
    </row>
    <row r="33" spans="2:20" s="20" customFormat="1" ht="17.100000000000001" hidden="1" customHeight="1" x14ac:dyDescent="0.3">
      <c r="B33" s="17">
        <v>44443</v>
      </c>
      <c r="C33" s="17">
        <v>44449</v>
      </c>
      <c r="D33" s="20" t="s">
        <v>102</v>
      </c>
      <c r="E33" s="15" t="s">
        <v>101</v>
      </c>
      <c r="F33" s="15" t="s">
        <v>46</v>
      </c>
      <c r="G33" s="15" t="s">
        <v>21</v>
      </c>
      <c r="H33" s="16" t="s">
        <v>112</v>
      </c>
      <c r="I33" s="15">
        <v>1</v>
      </c>
      <c r="J33" s="15" t="s">
        <v>49</v>
      </c>
      <c r="K33" s="30" t="s">
        <v>85</v>
      </c>
      <c r="L33" s="19">
        <v>127921000</v>
      </c>
      <c r="M33" s="18">
        <f t="shared" si="0"/>
        <v>139458000</v>
      </c>
      <c r="N33" s="17">
        <v>44502</v>
      </c>
      <c r="O33" s="23" t="s">
        <v>51</v>
      </c>
      <c r="P33" s="22"/>
      <c r="Q33" s="38" t="s">
        <v>2586</v>
      </c>
      <c r="R33" s="19">
        <v>9300000</v>
      </c>
      <c r="S33" s="19">
        <v>11537000</v>
      </c>
      <c r="T33" s="45">
        <f>S33-R33</f>
        <v>2237000</v>
      </c>
    </row>
    <row r="34" spans="2:20" s="20" customFormat="1" ht="17.100000000000001" hidden="1" customHeight="1" x14ac:dyDescent="0.3">
      <c r="B34" s="17">
        <v>44446</v>
      </c>
      <c r="C34" s="17">
        <v>44491</v>
      </c>
      <c r="D34" s="20" t="s">
        <v>135</v>
      </c>
      <c r="E34" s="15" t="s">
        <v>136</v>
      </c>
      <c r="F34" s="15" t="s">
        <v>95</v>
      </c>
      <c r="G34" s="15" t="s">
        <v>106</v>
      </c>
      <c r="H34" s="16" t="s">
        <v>105</v>
      </c>
      <c r="I34" s="15">
        <v>1</v>
      </c>
      <c r="J34" s="15" t="s">
        <v>107</v>
      </c>
      <c r="K34" s="29" t="s">
        <v>109</v>
      </c>
      <c r="L34" s="19">
        <v>19500000</v>
      </c>
      <c r="M34" s="18">
        <f t="shared" si="0"/>
        <v>19500000</v>
      </c>
      <c r="N34" s="17">
        <v>44502</v>
      </c>
      <c r="O34" s="20" t="s">
        <v>399</v>
      </c>
      <c r="P34" s="22"/>
      <c r="Q34" s="38" t="s">
        <v>2595</v>
      </c>
      <c r="R34" s="19"/>
      <c r="S34" s="19"/>
    </row>
    <row r="35" spans="2:20" s="20" customFormat="1" ht="17.100000000000001" hidden="1" customHeight="1" x14ac:dyDescent="0.3">
      <c r="B35" s="17">
        <v>44446</v>
      </c>
      <c r="C35" s="17">
        <v>44491</v>
      </c>
      <c r="D35" s="20" t="s">
        <v>103</v>
      </c>
      <c r="E35" s="15" t="s">
        <v>104</v>
      </c>
      <c r="F35" s="15" t="s">
        <v>95</v>
      </c>
      <c r="G35" s="15" t="s">
        <v>106</v>
      </c>
      <c r="H35" s="16" t="s">
        <v>105</v>
      </c>
      <c r="I35" s="15">
        <v>1</v>
      </c>
      <c r="J35" s="15" t="s">
        <v>108</v>
      </c>
      <c r="K35" s="29" t="s">
        <v>109</v>
      </c>
      <c r="L35" s="19">
        <v>19500000</v>
      </c>
      <c r="M35" s="18">
        <f t="shared" si="0"/>
        <v>19500000</v>
      </c>
      <c r="N35" s="17">
        <v>44502</v>
      </c>
      <c r="O35" s="20" t="s">
        <v>111</v>
      </c>
      <c r="P35" s="22" t="s">
        <v>368</v>
      </c>
      <c r="Q35" s="38" t="s">
        <v>2595</v>
      </c>
      <c r="R35" s="19"/>
      <c r="S35" s="19"/>
    </row>
    <row r="36" spans="2:20" s="20" customFormat="1" ht="17.100000000000001" hidden="1" customHeight="1" x14ac:dyDescent="0.3">
      <c r="B36" s="17">
        <v>44446</v>
      </c>
      <c r="C36" s="17">
        <v>44447</v>
      </c>
      <c r="D36" s="20" t="s">
        <v>114</v>
      </c>
      <c r="E36" s="15" t="s">
        <v>113</v>
      </c>
      <c r="F36" s="15" t="s">
        <v>116</v>
      </c>
      <c r="G36" s="15" t="s">
        <v>21</v>
      </c>
      <c r="H36" s="16" t="s">
        <v>117</v>
      </c>
      <c r="I36" s="15">
        <v>1</v>
      </c>
      <c r="J36" s="259" t="s">
        <v>119</v>
      </c>
      <c r="K36" s="262" t="s">
        <v>120</v>
      </c>
      <c r="L36" s="251">
        <f>14400000-2000000</f>
        <v>12400000</v>
      </c>
      <c r="M36" s="251">
        <f t="shared" si="0"/>
        <v>12400000</v>
      </c>
      <c r="N36" s="33">
        <v>44454</v>
      </c>
      <c r="O36" s="253" t="s">
        <v>180</v>
      </c>
      <c r="P36" s="264" t="s">
        <v>121</v>
      </c>
      <c r="Q36" s="249" t="s">
        <v>2596</v>
      </c>
      <c r="R36" s="19"/>
      <c r="S36" s="19"/>
    </row>
    <row r="37" spans="2:20" s="20" customFormat="1" ht="17.100000000000001" hidden="1" customHeight="1" x14ac:dyDescent="0.3">
      <c r="B37" s="17">
        <v>44446</v>
      </c>
      <c r="C37" s="17">
        <v>44447</v>
      </c>
      <c r="D37" s="20" t="s">
        <v>115</v>
      </c>
      <c r="E37" s="15" t="s">
        <v>113</v>
      </c>
      <c r="F37" s="15" t="s">
        <v>116</v>
      </c>
      <c r="G37" s="15" t="s">
        <v>21</v>
      </c>
      <c r="H37" s="16" t="s">
        <v>118</v>
      </c>
      <c r="I37" s="15">
        <v>1</v>
      </c>
      <c r="J37" s="260"/>
      <c r="K37" s="263"/>
      <c r="L37" s="252"/>
      <c r="M37" s="252">
        <f t="shared" si="0"/>
        <v>0</v>
      </c>
      <c r="N37" s="33">
        <v>44454</v>
      </c>
      <c r="O37" s="254"/>
      <c r="P37" s="250"/>
      <c r="Q37" s="250"/>
      <c r="R37" s="19"/>
      <c r="S37" s="19"/>
    </row>
    <row r="38" spans="2:20" s="20" customFormat="1" ht="17.100000000000001" hidden="1" customHeight="1" x14ac:dyDescent="0.3">
      <c r="B38" s="17">
        <v>44447</v>
      </c>
      <c r="C38" s="17">
        <v>44447</v>
      </c>
      <c r="D38" s="20" t="s">
        <v>1142</v>
      </c>
      <c r="E38" s="15" t="s">
        <v>122</v>
      </c>
      <c r="F38" s="15" t="s">
        <v>116</v>
      </c>
      <c r="G38" s="15" t="s">
        <v>21</v>
      </c>
      <c r="H38" s="16">
        <v>50</v>
      </c>
      <c r="I38" s="15">
        <v>4</v>
      </c>
      <c r="J38" s="15" t="s">
        <v>72</v>
      </c>
      <c r="K38" s="29" t="s">
        <v>73</v>
      </c>
      <c r="L38" s="19">
        <v>838292</v>
      </c>
      <c r="M38" s="18">
        <f t="shared" si="0"/>
        <v>3353168</v>
      </c>
      <c r="N38" s="17">
        <v>44545</v>
      </c>
      <c r="O38" s="20" t="s">
        <v>70</v>
      </c>
      <c r="P38" s="22" t="s">
        <v>123</v>
      </c>
      <c r="Q38" s="38" t="s">
        <v>2593</v>
      </c>
      <c r="R38" s="19"/>
      <c r="S38" s="19"/>
    </row>
    <row r="39" spans="2:20" s="20" customFormat="1" ht="17.100000000000001" hidden="1" customHeight="1" x14ac:dyDescent="0.3">
      <c r="B39" s="17">
        <v>44448</v>
      </c>
      <c r="C39" s="17">
        <v>44451</v>
      </c>
      <c r="D39" s="20" t="s">
        <v>125</v>
      </c>
      <c r="E39" s="15" t="s">
        <v>124</v>
      </c>
      <c r="F39" s="15" t="s">
        <v>116</v>
      </c>
      <c r="G39" s="15" t="s">
        <v>21</v>
      </c>
      <c r="H39" s="16" t="s">
        <v>126</v>
      </c>
      <c r="I39" s="15">
        <v>1</v>
      </c>
      <c r="J39" s="15" t="s">
        <v>49</v>
      </c>
      <c r="K39" s="29" t="s">
        <v>66</v>
      </c>
      <c r="L39" s="19">
        <v>100594800</v>
      </c>
      <c r="M39" s="18">
        <f t="shared" si="0"/>
        <v>112010800</v>
      </c>
      <c r="N39" s="17">
        <v>44502</v>
      </c>
      <c r="O39" s="23" t="s">
        <v>149</v>
      </c>
      <c r="P39" s="22"/>
      <c r="Q39" s="38" t="s">
        <v>2586</v>
      </c>
      <c r="R39" s="19">
        <v>9204000</v>
      </c>
      <c r="S39" s="19">
        <v>11416000</v>
      </c>
      <c r="T39" s="45">
        <f t="shared" ref="T39:T40" si="1">S39-R39</f>
        <v>2212000</v>
      </c>
    </row>
    <row r="40" spans="2:20" s="20" customFormat="1" ht="17.100000000000001" hidden="1" customHeight="1" x14ac:dyDescent="0.3">
      <c r="B40" s="17">
        <v>44448</v>
      </c>
      <c r="C40" s="17">
        <v>44453</v>
      </c>
      <c r="D40" s="20" t="s">
        <v>134</v>
      </c>
      <c r="E40" s="15" t="s">
        <v>133</v>
      </c>
      <c r="F40" s="15" t="s">
        <v>116</v>
      </c>
      <c r="G40" s="15" t="s">
        <v>21</v>
      </c>
      <c r="H40" s="16" t="s">
        <v>301</v>
      </c>
      <c r="I40" s="15">
        <v>1</v>
      </c>
      <c r="J40" s="15" t="s">
        <v>54</v>
      </c>
      <c r="K40" s="29" t="s">
        <v>55</v>
      </c>
      <c r="L40" s="19">
        <v>13000000</v>
      </c>
      <c r="M40" s="18">
        <f t="shared" si="0"/>
        <v>23472000</v>
      </c>
      <c r="N40" s="17">
        <v>44467</v>
      </c>
      <c r="O40" s="23" t="s">
        <v>150</v>
      </c>
      <c r="P40" s="41" t="s">
        <v>56</v>
      </c>
      <c r="Q40" s="38" t="s">
        <v>2587</v>
      </c>
      <c r="R40" s="19">
        <f>1736000+8000000</f>
        <v>9736000</v>
      </c>
      <c r="S40" s="19">
        <f>2472000+8000000</f>
        <v>10472000</v>
      </c>
      <c r="T40" s="45">
        <f t="shared" si="1"/>
        <v>736000</v>
      </c>
    </row>
    <row r="41" spans="2:20" s="20" customFormat="1" ht="17.100000000000001" hidden="1" customHeight="1" x14ac:dyDescent="0.3">
      <c r="B41" s="17">
        <v>44448</v>
      </c>
      <c r="C41" s="17">
        <v>44453</v>
      </c>
      <c r="D41" s="20" t="s">
        <v>152</v>
      </c>
      <c r="E41" s="15" t="s">
        <v>151</v>
      </c>
      <c r="F41" s="15" t="s">
        <v>25</v>
      </c>
      <c r="G41" s="15" t="s">
        <v>26</v>
      </c>
      <c r="H41" s="16" t="s">
        <v>153</v>
      </c>
      <c r="I41" s="15">
        <v>1</v>
      </c>
      <c r="J41" s="15" t="s">
        <v>154</v>
      </c>
      <c r="K41" s="29" t="s">
        <v>697</v>
      </c>
      <c r="L41" s="19">
        <v>35000000</v>
      </c>
      <c r="M41" s="18">
        <f t="shared" si="0"/>
        <v>35000000</v>
      </c>
      <c r="N41" s="17">
        <v>44469</v>
      </c>
      <c r="O41" s="20" t="s">
        <v>337</v>
      </c>
      <c r="P41" s="22" t="s">
        <v>252</v>
      </c>
      <c r="Q41" s="38" t="s">
        <v>2594</v>
      </c>
      <c r="R41" s="19"/>
      <c r="S41" s="19"/>
    </row>
    <row r="42" spans="2:20" s="20" customFormat="1" ht="17.100000000000001" hidden="1" customHeight="1" x14ac:dyDescent="0.3">
      <c r="B42" s="17">
        <v>44449</v>
      </c>
      <c r="C42" s="17">
        <v>44449</v>
      </c>
      <c r="D42" s="20" t="s">
        <v>156</v>
      </c>
      <c r="E42" s="15" t="s">
        <v>155</v>
      </c>
      <c r="F42" s="15" t="s">
        <v>46</v>
      </c>
      <c r="G42" s="15" t="s">
        <v>21</v>
      </c>
      <c r="H42" s="16" t="s">
        <v>157</v>
      </c>
      <c r="I42" s="15">
        <v>1</v>
      </c>
      <c r="J42" s="15" t="s">
        <v>49</v>
      </c>
      <c r="K42" s="29" t="s">
        <v>50</v>
      </c>
      <c r="L42" s="19">
        <v>21111000</v>
      </c>
      <c r="M42" s="18">
        <f t="shared" si="0"/>
        <v>24088000</v>
      </c>
      <c r="N42" s="17">
        <v>44502</v>
      </c>
      <c r="O42" s="23" t="s">
        <v>149</v>
      </c>
      <c r="P42" s="22"/>
      <c r="Q42" s="38" t="s">
        <v>2586</v>
      </c>
      <c r="R42" s="19">
        <v>2402000</v>
      </c>
      <c r="S42" s="19">
        <v>2977000</v>
      </c>
      <c r="T42" s="45">
        <f t="shared" ref="T42:T44" si="2">S42-R42</f>
        <v>575000</v>
      </c>
    </row>
    <row r="43" spans="2:20" s="20" customFormat="1" ht="17.100000000000001" hidden="1" customHeight="1" x14ac:dyDescent="0.3">
      <c r="B43" s="17">
        <v>44451</v>
      </c>
      <c r="C43" s="17">
        <v>44453</v>
      </c>
      <c r="D43" s="20" t="s">
        <v>159</v>
      </c>
      <c r="E43" s="15" t="s">
        <v>158</v>
      </c>
      <c r="F43" s="15" t="s">
        <v>46</v>
      </c>
      <c r="G43" s="15" t="s">
        <v>21</v>
      </c>
      <c r="H43" s="16" t="s">
        <v>160</v>
      </c>
      <c r="I43" s="15">
        <v>1</v>
      </c>
      <c r="J43" s="15" t="s">
        <v>49</v>
      </c>
      <c r="K43" s="29" t="s">
        <v>161</v>
      </c>
      <c r="L43" s="19">
        <v>11384000</v>
      </c>
      <c r="M43" s="18">
        <f t="shared" si="0"/>
        <v>13535000</v>
      </c>
      <c r="N43" s="17">
        <v>44502</v>
      </c>
      <c r="O43" s="23" t="s">
        <v>149</v>
      </c>
      <c r="P43" s="22"/>
      <c r="Q43" s="38" t="s">
        <v>2586</v>
      </c>
      <c r="R43" s="46">
        <v>3472000</v>
      </c>
      <c r="S43" s="19">
        <v>2151000</v>
      </c>
      <c r="T43" s="45">
        <f t="shared" si="2"/>
        <v>-1321000</v>
      </c>
    </row>
    <row r="44" spans="2:20" s="20" customFormat="1" ht="17.100000000000001" hidden="1" customHeight="1" x14ac:dyDescent="0.3">
      <c r="B44" s="17">
        <v>44453</v>
      </c>
      <c r="C44" s="17">
        <v>44454</v>
      </c>
      <c r="D44" s="20" t="s">
        <v>168</v>
      </c>
      <c r="E44" s="15" t="s">
        <v>167</v>
      </c>
      <c r="F44" s="15" t="s">
        <v>46</v>
      </c>
      <c r="G44" s="15" t="s">
        <v>21</v>
      </c>
      <c r="H44" s="16" t="s">
        <v>169</v>
      </c>
      <c r="I44" s="15">
        <v>1</v>
      </c>
      <c r="J44" s="15" t="s">
        <v>83</v>
      </c>
      <c r="K44" s="30" t="s">
        <v>84</v>
      </c>
      <c r="L44" s="19">
        <v>17280000</v>
      </c>
      <c r="M44" s="18">
        <f t="shared" si="0"/>
        <v>19807000</v>
      </c>
      <c r="N44" s="17">
        <v>44547</v>
      </c>
      <c r="O44" s="23" t="s">
        <v>149</v>
      </c>
      <c r="P44" s="22"/>
      <c r="Q44" s="38" t="s">
        <v>2586</v>
      </c>
      <c r="R44" s="19">
        <v>2038000</v>
      </c>
      <c r="S44" s="19">
        <v>2527000</v>
      </c>
      <c r="T44" s="45">
        <f t="shared" si="2"/>
        <v>489000</v>
      </c>
    </row>
    <row r="45" spans="2:20" s="20" customFormat="1" ht="17.100000000000001" hidden="1" customHeight="1" x14ac:dyDescent="0.3">
      <c r="B45" s="17">
        <v>44453</v>
      </c>
      <c r="C45" s="17">
        <v>44469</v>
      </c>
      <c r="D45" s="20" t="s">
        <v>170</v>
      </c>
      <c r="E45" s="15" t="s">
        <v>172</v>
      </c>
      <c r="F45" s="15" t="s">
        <v>46</v>
      </c>
      <c r="G45" s="15" t="s">
        <v>21</v>
      </c>
      <c r="H45" s="16">
        <v>850</v>
      </c>
      <c r="I45" s="15">
        <v>2</v>
      </c>
      <c r="J45" s="15" t="s">
        <v>69</v>
      </c>
      <c r="K45" s="29" t="s">
        <v>66</v>
      </c>
      <c r="L45" s="19">
        <v>64754664</v>
      </c>
      <c r="M45" s="18">
        <f t="shared" si="0"/>
        <v>129509328</v>
      </c>
      <c r="N45" s="17">
        <v>44551</v>
      </c>
      <c r="O45" s="20" t="s">
        <v>70</v>
      </c>
      <c r="P45" s="22"/>
      <c r="Q45" s="38" t="s">
        <v>2593</v>
      </c>
      <c r="R45" s="19"/>
      <c r="S45" s="19"/>
    </row>
    <row r="46" spans="2:20" s="20" customFormat="1" ht="17.100000000000001" hidden="1" customHeight="1" x14ac:dyDescent="0.3">
      <c r="B46" s="17">
        <v>44454</v>
      </c>
      <c r="C46" s="17">
        <v>44454</v>
      </c>
      <c r="D46" s="20" t="s">
        <v>173</v>
      </c>
      <c r="E46" s="15" t="s">
        <v>171</v>
      </c>
      <c r="F46" s="15" t="s">
        <v>46</v>
      </c>
      <c r="G46" s="15" t="s">
        <v>21</v>
      </c>
      <c r="H46" s="16" t="s">
        <v>175</v>
      </c>
      <c r="I46" s="15">
        <v>1</v>
      </c>
      <c r="J46" s="15" t="s">
        <v>49</v>
      </c>
      <c r="K46" s="29" t="s">
        <v>50</v>
      </c>
      <c r="L46" s="19">
        <v>4910000</v>
      </c>
      <c r="M46" s="18">
        <f t="shared" si="0"/>
        <v>4910000</v>
      </c>
      <c r="N46" s="17">
        <v>44469</v>
      </c>
      <c r="P46" s="22" t="s">
        <v>174</v>
      </c>
      <c r="Q46" s="38" t="s">
        <v>2597</v>
      </c>
      <c r="R46" s="19"/>
      <c r="S46" s="19"/>
    </row>
    <row r="47" spans="2:20" s="20" customFormat="1" ht="17.100000000000001" hidden="1" customHeight="1" x14ac:dyDescent="0.3">
      <c r="B47" s="17">
        <v>44455</v>
      </c>
      <c r="C47" s="17">
        <v>44455</v>
      </c>
      <c r="D47" s="20" t="s">
        <v>176</v>
      </c>
      <c r="E47" s="15" t="s">
        <v>268</v>
      </c>
      <c r="F47" s="15" t="s">
        <v>177</v>
      </c>
      <c r="G47" s="15" t="s">
        <v>21</v>
      </c>
      <c r="H47" s="16" t="s">
        <v>178</v>
      </c>
      <c r="I47" s="15">
        <v>1</v>
      </c>
      <c r="J47" s="15"/>
      <c r="K47" s="29" t="s">
        <v>179</v>
      </c>
      <c r="L47" s="19">
        <v>5500000</v>
      </c>
      <c r="M47" s="18">
        <f t="shared" si="0"/>
        <v>5500000</v>
      </c>
      <c r="N47" s="17">
        <v>44827</v>
      </c>
      <c r="P47" s="22"/>
      <c r="Q47" s="38" t="s">
        <v>2584</v>
      </c>
      <c r="R47" s="19"/>
      <c r="S47" s="19"/>
    </row>
    <row r="48" spans="2:20" s="20" customFormat="1" ht="17.100000000000001" hidden="1" customHeight="1" x14ac:dyDescent="0.3">
      <c r="B48" s="17">
        <v>44465</v>
      </c>
      <c r="C48" s="17">
        <v>44466</v>
      </c>
      <c r="D48" s="20" t="s">
        <v>224</v>
      </c>
      <c r="E48" s="15" t="s">
        <v>225</v>
      </c>
      <c r="F48" s="15" t="s">
        <v>46</v>
      </c>
      <c r="G48" s="15" t="s">
        <v>21</v>
      </c>
      <c r="H48" s="16">
        <v>150</v>
      </c>
      <c r="I48" s="15">
        <v>2</v>
      </c>
      <c r="J48" s="15" t="s">
        <v>226</v>
      </c>
      <c r="K48" s="29" t="s">
        <v>227</v>
      </c>
      <c r="L48" s="19">
        <v>5444638</v>
      </c>
      <c r="M48" s="18">
        <f t="shared" si="0"/>
        <v>10889276</v>
      </c>
      <c r="N48" s="17">
        <v>44538</v>
      </c>
      <c r="O48" s="20" t="s">
        <v>70</v>
      </c>
      <c r="P48" s="22"/>
      <c r="Q48" s="38" t="s">
        <v>2593</v>
      </c>
      <c r="R48" s="19"/>
      <c r="S48" s="19"/>
    </row>
    <row r="49" spans="2:20" s="20" customFormat="1" ht="17.100000000000001" hidden="1" customHeight="1" x14ac:dyDescent="0.3">
      <c r="B49" s="17">
        <v>44467</v>
      </c>
      <c r="C49" s="17">
        <v>44502</v>
      </c>
      <c r="D49" s="20" t="s">
        <v>228</v>
      </c>
      <c r="E49" s="15" t="s">
        <v>229</v>
      </c>
      <c r="F49" s="15" t="s">
        <v>230</v>
      </c>
      <c r="G49" s="15" t="s">
        <v>21</v>
      </c>
      <c r="H49" s="16" t="s">
        <v>231</v>
      </c>
      <c r="I49" s="15">
        <v>1</v>
      </c>
      <c r="J49" s="15" t="s">
        <v>247</v>
      </c>
      <c r="K49" s="29" t="s">
        <v>232</v>
      </c>
      <c r="L49" s="19">
        <v>80000000</v>
      </c>
      <c r="M49" s="18">
        <f t="shared" si="0"/>
        <v>80000000</v>
      </c>
      <c r="N49" s="17">
        <v>44530</v>
      </c>
      <c r="O49" s="20" t="s">
        <v>442</v>
      </c>
      <c r="P49" s="22"/>
      <c r="Q49" s="38" t="s">
        <v>2598</v>
      </c>
      <c r="R49" s="19"/>
      <c r="S49" s="19"/>
    </row>
    <row r="50" spans="2:20" s="20" customFormat="1" ht="17.100000000000001" hidden="1" customHeight="1" x14ac:dyDescent="0.3">
      <c r="B50" s="17">
        <v>44467</v>
      </c>
      <c r="C50" s="17">
        <v>44474</v>
      </c>
      <c r="D50" s="20" t="s">
        <v>233</v>
      </c>
      <c r="E50" s="15" t="s">
        <v>234</v>
      </c>
      <c r="F50" s="15" t="s">
        <v>46</v>
      </c>
      <c r="G50" s="15" t="s">
        <v>21</v>
      </c>
      <c r="H50" s="16">
        <v>850</v>
      </c>
      <c r="I50" s="15">
        <v>4</v>
      </c>
      <c r="J50" s="15" t="s">
        <v>235</v>
      </c>
      <c r="K50" s="29" t="s">
        <v>304</v>
      </c>
      <c r="L50" s="19">
        <v>64754664</v>
      </c>
      <c r="M50" s="18">
        <f t="shared" si="0"/>
        <v>259018656</v>
      </c>
      <c r="N50" s="17">
        <v>44508</v>
      </c>
      <c r="O50" s="20" t="s">
        <v>70</v>
      </c>
      <c r="P50" s="22"/>
      <c r="Q50" s="38" t="s">
        <v>2593</v>
      </c>
      <c r="R50" s="19"/>
      <c r="S50" s="19"/>
    </row>
    <row r="51" spans="2:20" s="20" customFormat="1" ht="17.100000000000001" hidden="1" customHeight="1" x14ac:dyDescent="0.3">
      <c r="B51" s="17">
        <v>44467</v>
      </c>
      <c r="C51" s="17">
        <v>44472</v>
      </c>
      <c r="D51" s="20" t="s">
        <v>236</v>
      </c>
      <c r="E51" s="15" t="s">
        <v>237</v>
      </c>
      <c r="F51" s="15" t="s">
        <v>46</v>
      </c>
      <c r="G51" s="15" t="s">
        <v>21</v>
      </c>
      <c r="H51" s="16" t="s">
        <v>238</v>
      </c>
      <c r="I51" s="15">
        <v>1</v>
      </c>
      <c r="J51" s="15" t="s">
        <v>239</v>
      </c>
      <c r="K51" s="29" t="s">
        <v>84</v>
      </c>
      <c r="L51" s="19">
        <v>46443600</v>
      </c>
      <c r="M51" s="18">
        <f t="shared" si="0"/>
        <v>53057600</v>
      </c>
      <c r="N51" s="17">
        <v>44547</v>
      </c>
      <c r="O51" s="23" t="s">
        <v>51</v>
      </c>
      <c r="P51" s="22"/>
      <c r="Q51" s="38" t="s">
        <v>2586</v>
      </c>
      <c r="R51" s="19">
        <v>5336000</v>
      </c>
      <c r="S51" s="19">
        <v>6614000</v>
      </c>
      <c r="T51" s="45">
        <f t="shared" ref="T51:T52" si="3">S51-R51</f>
        <v>1278000</v>
      </c>
    </row>
    <row r="52" spans="2:20" s="20" customFormat="1" ht="17.100000000000001" hidden="1" customHeight="1" x14ac:dyDescent="0.3">
      <c r="B52" s="17">
        <v>44469</v>
      </c>
      <c r="C52" s="17">
        <v>44470</v>
      </c>
      <c r="D52" s="20" t="s">
        <v>241</v>
      </c>
      <c r="E52" s="15" t="s">
        <v>242</v>
      </c>
      <c r="F52" s="15" t="s">
        <v>46</v>
      </c>
      <c r="G52" s="15" t="s">
        <v>21</v>
      </c>
      <c r="H52" s="16" t="s">
        <v>243</v>
      </c>
      <c r="I52" s="15">
        <v>1</v>
      </c>
      <c r="J52" s="15" t="s">
        <v>49</v>
      </c>
      <c r="K52" s="29" t="s">
        <v>85</v>
      </c>
      <c r="L52" s="19">
        <v>11384000</v>
      </c>
      <c r="M52" s="18">
        <f t="shared" si="0"/>
        <v>13535000</v>
      </c>
      <c r="N52" s="17">
        <v>44502</v>
      </c>
      <c r="O52" s="23" t="s">
        <v>51</v>
      </c>
      <c r="P52" s="22"/>
      <c r="Q52" s="38" t="s">
        <v>2586</v>
      </c>
      <c r="R52" s="19">
        <v>1736000</v>
      </c>
      <c r="S52" s="19">
        <v>2151000</v>
      </c>
      <c r="T52" s="45">
        <f t="shared" si="3"/>
        <v>415000</v>
      </c>
    </row>
    <row r="53" spans="2:20" s="20" customFormat="1" ht="17.100000000000001" hidden="1" customHeight="1" x14ac:dyDescent="0.3">
      <c r="B53" s="17">
        <v>44471</v>
      </c>
      <c r="C53" s="17">
        <v>44505</v>
      </c>
      <c r="D53" s="20" t="s">
        <v>244</v>
      </c>
      <c r="E53" s="15" t="s">
        <v>433</v>
      </c>
      <c r="F53" s="15" t="s">
        <v>230</v>
      </c>
      <c r="G53" s="15" t="s">
        <v>21</v>
      </c>
      <c r="H53" s="16" t="s">
        <v>432</v>
      </c>
      <c r="I53" s="15">
        <v>1</v>
      </c>
      <c r="J53" s="15" t="s">
        <v>246</v>
      </c>
      <c r="K53" s="15" t="s">
        <v>245</v>
      </c>
      <c r="L53" s="19">
        <v>30800000</v>
      </c>
      <c r="M53" s="18">
        <f t="shared" si="0"/>
        <v>30800000</v>
      </c>
      <c r="N53" s="17">
        <v>44588</v>
      </c>
      <c r="O53" s="20" t="s">
        <v>248</v>
      </c>
      <c r="P53" s="22" t="s">
        <v>379</v>
      </c>
      <c r="Q53" s="38" t="s">
        <v>2599</v>
      </c>
      <c r="R53" s="19"/>
      <c r="S53" s="19"/>
    </row>
    <row r="54" spans="2:20" s="20" customFormat="1" ht="17.100000000000001" hidden="1" customHeight="1" x14ac:dyDescent="0.3">
      <c r="B54" s="17">
        <v>44490</v>
      </c>
      <c r="C54" s="17">
        <v>44532</v>
      </c>
      <c r="D54" s="20" t="s">
        <v>518</v>
      </c>
      <c r="E54" s="15" t="s">
        <v>517</v>
      </c>
      <c r="F54" s="15" t="s">
        <v>230</v>
      </c>
      <c r="G54" s="15" t="s">
        <v>21</v>
      </c>
      <c r="H54" s="16" t="s">
        <v>519</v>
      </c>
      <c r="I54" s="15">
        <v>1</v>
      </c>
      <c r="J54" s="15" t="s">
        <v>246</v>
      </c>
      <c r="K54" s="15" t="s">
        <v>245</v>
      </c>
      <c r="L54" s="19">
        <v>79700000</v>
      </c>
      <c r="M54" s="18">
        <f t="shared" si="0"/>
        <v>79700000</v>
      </c>
      <c r="N54" s="17">
        <v>44588</v>
      </c>
      <c r="O54" s="20" t="s">
        <v>248</v>
      </c>
      <c r="P54" s="22"/>
      <c r="Q54" s="38" t="s">
        <v>2599</v>
      </c>
      <c r="R54" s="19">
        <v>86900000</v>
      </c>
      <c r="S54" s="19"/>
    </row>
    <row r="55" spans="2:20" s="20" customFormat="1" ht="17.100000000000001" hidden="1" customHeight="1" x14ac:dyDescent="0.3">
      <c r="B55" s="17">
        <v>44472</v>
      </c>
      <c r="C55" s="17">
        <v>44484</v>
      </c>
      <c r="D55" s="20" t="s">
        <v>253</v>
      </c>
      <c r="E55" s="15" t="s">
        <v>254</v>
      </c>
      <c r="F55" s="15" t="s">
        <v>46</v>
      </c>
      <c r="G55" s="15" t="s">
        <v>21</v>
      </c>
      <c r="H55" s="16">
        <v>700</v>
      </c>
      <c r="I55" s="15">
        <v>2</v>
      </c>
      <c r="J55" s="15" t="s">
        <v>226</v>
      </c>
      <c r="K55" s="29" t="s">
        <v>489</v>
      </c>
      <c r="L55" s="19">
        <v>44291283</v>
      </c>
      <c r="M55" s="18">
        <f t="shared" si="0"/>
        <v>88582566</v>
      </c>
      <c r="N55" s="17">
        <v>44538</v>
      </c>
      <c r="O55" s="20" t="s">
        <v>70</v>
      </c>
      <c r="P55" s="22"/>
      <c r="Q55" s="38" t="s">
        <v>2593</v>
      </c>
      <c r="R55" s="19"/>
      <c r="S55" s="19"/>
    </row>
    <row r="56" spans="2:20" s="20" customFormat="1" ht="17.100000000000001" hidden="1" customHeight="1" x14ac:dyDescent="0.3">
      <c r="B56" s="17">
        <v>44473</v>
      </c>
      <c r="C56" s="17">
        <v>44478</v>
      </c>
      <c r="D56" s="20" t="s">
        <v>255</v>
      </c>
      <c r="E56" s="15" t="s">
        <v>256</v>
      </c>
      <c r="F56" s="15" t="s">
        <v>46</v>
      </c>
      <c r="G56" s="15" t="s">
        <v>21</v>
      </c>
      <c r="H56" s="16" t="s">
        <v>257</v>
      </c>
      <c r="I56" s="15">
        <v>1</v>
      </c>
      <c r="J56" s="15" t="s">
        <v>49</v>
      </c>
      <c r="K56" s="29" t="s">
        <v>258</v>
      </c>
      <c r="L56" s="19">
        <v>100594800</v>
      </c>
      <c r="M56" s="18">
        <f t="shared" si="0"/>
        <v>112010800</v>
      </c>
      <c r="N56" s="17">
        <v>44502</v>
      </c>
      <c r="O56" s="23" t="s">
        <v>51</v>
      </c>
      <c r="P56" s="22"/>
      <c r="Q56" s="38" t="s">
        <v>2586</v>
      </c>
      <c r="R56" s="19">
        <v>9204000</v>
      </c>
      <c r="S56" s="19">
        <v>11416000</v>
      </c>
      <c r="T56" s="45">
        <f>S56-R56</f>
        <v>2212000</v>
      </c>
    </row>
    <row r="57" spans="2:20" s="20" customFormat="1" ht="17.100000000000001" hidden="1" customHeight="1" x14ac:dyDescent="0.3">
      <c r="B57" s="17">
        <v>44473</v>
      </c>
      <c r="C57" s="17">
        <v>44476</v>
      </c>
      <c r="D57" s="20" t="s">
        <v>260</v>
      </c>
      <c r="E57" s="15" t="s">
        <v>259</v>
      </c>
      <c r="F57" s="15" t="s">
        <v>46</v>
      </c>
      <c r="G57" s="15" t="s">
        <v>21</v>
      </c>
      <c r="H57" s="16">
        <v>300</v>
      </c>
      <c r="I57" s="15">
        <v>2</v>
      </c>
      <c r="J57" s="15" t="s">
        <v>235</v>
      </c>
      <c r="K57" s="29" t="s">
        <v>261</v>
      </c>
      <c r="L57" s="19">
        <v>13151255</v>
      </c>
      <c r="M57" s="18">
        <f t="shared" si="0"/>
        <v>26302510</v>
      </c>
      <c r="N57" s="17">
        <v>44508</v>
      </c>
      <c r="O57" s="20" t="s">
        <v>70</v>
      </c>
      <c r="P57" s="22"/>
      <c r="Q57" s="38" t="s">
        <v>2593</v>
      </c>
      <c r="R57" s="19"/>
      <c r="S57" s="19"/>
    </row>
    <row r="58" spans="2:20" s="20" customFormat="1" ht="17.100000000000001" hidden="1" customHeight="1" x14ac:dyDescent="0.3">
      <c r="B58" s="17">
        <v>44475</v>
      </c>
      <c r="C58" s="17">
        <v>44485</v>
      </c>
      <c r="D58" s="20" t="s">
        <v>263</v>
      </c>
      <c r="E58" s="15" t="s">
        <v>262</v>
      </c>
      <c r="F58" s="15" t="s">
        <v>46</v>
      </c>
      <c r="G58" s="15" t="s">
        <v>21</v>
      </c>
      <c r="H58" s="16" t="s">
        <v>264</v>
      </c>
      <c r="I58" s="15">
        <v>1</v>
      </c>
      <c r="J58" s="15" t="s">
        <v>239</v>
      </c>
      <c r="K58" s="29" t="s">
        <v>84</v>
      </c>
      <c r="L58" s="19">
        <v>115710000</v>
      </c>
      <c r="M58" s="18">
        <f t="shared" si="0"/>
        <v>120944500</v>
      </c>
      <c r="N58" s="17">
        <v>44547</v>
      </c>
      <c r="O58" s="23" t="s">
        <v>51</v>
      </c>
      <c r="P58" s="22"/>
      <c r="Q58" s="38" t="s">
        <v>2586</v>
      </c>
      <c r="R58" s="19">
        <f>4220000+968000</f>
        <v>5188000</v>
      </c>
      <c r="S58" s="19">
        <f>10469000/2</f>
        <v>5234500</v>
      </c>
      <c r="T58" s="45">
        <f>S58-R58</f>
        <v>46500</v>
      </c>
    </row>
    <row r="59" spans="2:20" s="20" customFormat="1" ht="17.100000000000001" hidden="1" customHeight="1" x14ac:dyDescent="0.3">
      <c r="B59" s="17">
        <v>44475</v>
      </c>
      <c r="C59" s="17">
        <v>44485</v>
      </c>
      <c r="D59" s="20" t="s">
        <v>265</v>
      </c>
      <c r="E59" s="15" t="s">
        <v>266</v>
      </c>
      <c r="F59" s="15" t="s">
        <v>46</v>
      </c>
      <c r="G59" s="15" t="s">
        <v>21</v>
      </c>
      <c r="H59" s="16">
        <v>850</v>
      </c>
      <c r="I59" s="15">
        <v>2</v>
      </c>
      <c r="J59" s="15" t="s">
        <v>267</v>
      </c>
      <c r="K59" s="29" t="s">
        <v>1144</v>
      </c>
      <c r="L59" s="19">
        <v>64754664</v>
      </c>
      <c r="M59" s="18">
        <f t="shared" si="0"/>
        <v>129509328</v>
      </c>
      <c r="N59" s="17">
        <v>44551</v>
      </c>
      <c r="O59" s="20" t="s">
        <v>70</v>
      </c>
      <c r="P59" s="22"/>
      <c r="Q59" s="38" t="s">
        <v>2593</v>
      </c>
      <c r="R59" s="19"/>
      <c r="S59" s="19"/>
    </row>
    <row r="60" spans="2:20" s="20" customFormat="1" ht="17.100000000000001" hidden="1" customHeight="1" x14ac:dyDescent="0.3">
      <c r="B60" s="17">
        <v>44475</v>
      </c>
      <c r="C60" s="17">
        <v>44485</v>
      </c>
      <c r="D60" s="20" t="s">
        <v>265</v>
      </c>
      <c r="E60" s="15" t="s">
        <v>317</v>
      </c>
      <c r="F60" s="15" t="s">
        <v>46</v>
      </c>
      <c r="G60" s="15" t="s">
        <v>21</v>
      </c>
      <c r="H60" s="16">
        <v>50</v>
      </c>
      <c r="I60" s="15">
        <v>6</v>
      </c>
      <c r="J60" s="15" t="s">
        <v>267</v>
      </c>
      <c r="K60" s="29" t="s">
        <v>1145</v>
      </c>
      <c r="L60" s="19">
        <v>621966</v>
      </c>
      <c r="M60" s="18">
        <f t="shared" si="0"/>
        <v>3731796</v>
      </c>
      <c r="N60" s="17">
        <v>44551</v>
      </c>
      <c r="O60" s="20" t="s">
        <v>70</v>
      </c>
      <c r="P60" s="22" t="s">
        <v>91</v>
      </c>
      <c r="Q60" s="38" t="s">
        <v>2593</v>
      </c>
      <c r="R60" s="19"/>
      <c r="S60" s="19"/>
    </row>
    <row r="61" spans="2:20" s="20" customFormat="1" ht="17.100000000000001" hidden="1" customHeight="1" x14ac:dyDescent="0.3">
      <c r="B61" s="17">
        <v>44479</v>
      </c>
      <c r="C61" s="17">
        <v>44495</v>
      </c>
      <c r="D61" s="20" t="s">
        <v>270</v>
      </c>
      <c r="E61" s="15" t="s">
        <v>421</v>
      </c>
      <c r="F61" s="15" t="s">
        <v>46</v>
      </c>
      <c r="G61" s="15" t="s">
        <v>21</v>
      </c>
      <c r="H61" s="16">
        <v>800</v>
      </c>
      <c r="I61" s="15">
        <v>4</v>
      </c>
      <c r="J61" s="15" t="s">
        <v>1081</v>
      </c>
      <c r="K61" s="29" t="s">
        <v>272</v>
      </c>
      <c r="L61" s="19">
        <v>49302000</v>
      </c>
      <c r="M61" s="18">
        <f t="shared" si="0"/>
        <v>216012000</v>
      </c>
      <c r="N61" s="17">
        <v>44561</v>
      </c>
      <c r="O61" s="20" t="s">
        <v>271</v>
      </c>
      <c r="P61" s="22"/>
      <c r="Q61" s="38" t="s">
        <v>2600</v>
      </c>
      <c r="R61" s="19">
        <v>18804000</v>
      </c>
      <c r="S61" s="19">
        <v>18804000</v>
      </c>
    </row>
    <row r="62" spans="2:20" s="20" customFormat="1" ht="17.100000000000001" hidden="1" customHeight="1" x14ac:dyDescent="0.3">
      <c r="B62" s="17">
        <v>44481</v>
      </c>
      <c r="C62" s="17">
        <v>44503</v>
      </c>
      <c r="D62" s="20" t="s">
        <v>274</v>
      </c>
      <c r="E62" s="15" t="s">
        <v>275</v>
      </c>
      <c r="F62" s="15" t="s">
        <v>46</v>
      </c>
      <c r="G62" s="15" t="s">
        <v>21</v>
      </c>
      <c r="H62" s="16">
        <v>700</v>
      </c>
      <c r="I62" s="15">
        <v>4</v>
      </c>
      <c r="J62" s="15" t="s">
        <v>273</v>
      </c>
      <c r="K62" s="29" t="s">
        <v>272</v>
      </c>
      <c r="L62" s="19">
        <v>38170000</v>
      </c>
      <c r="M62" s="18">
        <f t="shared" si="0"/>
        <v>168215000</v>
      </c>
      <c r="N62" s="17">
        <v>44561</v>
      </c>
      <c r="O62" s="20" t="s">
        <v>271</v>
      </c>
      <c r="P62" s="22"/>
      <c r="Q62" s="38" t="s">
        <v>2600</v>
      </c>
      <c r="R62" s="19">
        <v>15535000</v>
      </c>
      <c r="S62" s="19">
        <v>15535000</v>
      </c>
    </row>
    <row r="63" spans="2:20" s="20" customFormat="1" ht="17.100000000000001" hidden="1" customHeight="1" x14ac:dyDescent="0.3">
      <c r="B63" s="17">
        <v>44481</v>
      </c>
      <c r="C63" s="17">
        <v>44517</v>
      </c>
      <c r="D63" s="20" t="s">
        <v>488</v>
      </c>
      <c r="E63" s="15" t="s">
        <v>276</v>
      </c>
      <c r="F63" s="15" t="s">
        <v>25</v>
      </c>
      <c r="G63" s="15" t="s">
        <v>21</v>
      </c>
      <c r="H63" s="16" t="s">
        <v>281</v>
      </c>
      <c r="I63" s="15">
        <v>4</v>
      </c>
      <c r="J63" s="15" t="s">
        <v>278</v>
      </c>
      <c r="K63" s="29" t="s">
        <v>279</v>
      </c>
      <c r="L63" s="19">
        <v>33000000</v>
      </c>
      <c r="M63" s="18">
        <f t="shared" si="0"/>
        <v>132000000</v>
      </c>
      <c r="N63" s="17">
        <v>44539</v>
      </c>
      <c r="O63" s="20" t="s">
        <v>651</v>
      </c>
      <c r="P63" s="22" t="s">
        <v>280</v>
      </c>
      <c r="Q63" s="38" t="s">
        <v>2601</v>
      </c>
      <c r="R63" s="19"/>
      <c r="S63" s="19"/>
    </row>
    <row r="64" spans="2:20" s="20" customFormat="1" ht="17.100000000000001" hidden="1" customHeight="1" x14ac:dyDescent="0.3">
      <c r="B64" s="17">
        <v>44481</v>
      </c>
      <c r="C64" s="17">
        <v>44517</v>
      </c>
      <c r="D64" s="20" t="s">
        <v>511</v>
      </c>
      <c r="E64" s="15" t="s">
        <v>276</v>
      </c>
      <c r="F64" s="15" t="s">
        <v>25</v>
      </c>
      <c r="G64" s="15" t="s">
        <v>21</v>
      </c>
      <c r="H64" s="16">
        <v>200</v>
      </c>
      <c r="I64" s="15">
        <v>2</v>
      </c>
      <c r="J64" s="15" t="s">
        <v>652</v>
      </c>
      <c r="K64" s="29" t="s">
        <v>279</v>
      </c>
      <c r="L64" s="19">
        <v>5500000</v>
      </c>
      <c r="M64" s="18">
        <f t="shared" si="0"/>
        <v>11000000</v>
      </c>
      <c r="N64" s="17">
        <v>44539</v>
      </c>
      <c r="O64" s="20" t="s">
        <v>277</v>
      </c>
      <c r="P64" s="22" t="s">
        <v>510</v>
      </c>
      <c r="Q64" s="38" t="s">
        <v>2601</v>
      </c>
      <c r="R64" s="19"/>
      <c r="S64" s="19"/>
    </row>
    <row r="65" spans="2:20" s="20" customFormat="1" ht="17.100000000000001" hidden="1" customHeight="1" x14ac:dyDescent="0.3">
      <c r="B65" s="17">
        <v>44481</v>
      </c>
      <c r="C65" s="17">
        <v>44482</v>
      </c>
      <c r="D65" s="20" t="s">
        <v>283</v>
      </c>
      <c r="E65" s="15" t="s">
        <v>282</v>
      </c>
      <c r="F65" s="15" t="s">
        <v>46</v>
      </c>
      <c r="G65" s="15" t="s">
        <v>21</v>
      </c>
      <c r="H65" s="16" t="s">
        <v>302</v>
      </c>
      <c r="I65" s="15">
        <v>1</v>
      </c>
      <c r="J65" s="15" t="s">
        <v>54</v>
      </c>
      <c r="K65" s="29" t="s">
        <v>55</v>
      </c>
      <c r="L65" s="19">
        <v>6500000</v>
      </c>
      <c r="M65" s="18">
        <f t="shared" si="0"/>
        <v>16688000</v>
      </c>
      <c r="N65" s="17">
        <v>44500</v>
      </c>
      <c r="O65" s="23" t="s">
        <v>150</v>
      </c>
      <c r="P65" s="41" t="s">
        <v>56</v>
      </c>
      <c r="Q65" s="38" t="s">
        <v>2587</v>
      </c>
      <c r="R65" s="19">
        <f>(1236000+500000+484000-32000)+8000000</f>
        <v>10188000</v>
      </c>
      <c r="S65" s="19">
        <f>(1236000+500000+484000-32000)+8000000</f>
        <v>10188000</v>
      </c>
      <c r="T65" s="45">
        <f>S65-R65</f>
        <v>0</v>
      </c>
    </row>
    <row r="66" spans="2:20" s="20" customFormat="1" ht="17.100000000000001" hidden="1" customHeight="1" x14ac:dyDescent="0.3">
      <c r="B66" s="17">
        <v>44484</v>
      </c>
      <c r="C66" s="17">
        <v>44488</v>
      </c>
      <c r="D66" s="20" t="s">
        <v>286</v>
      </c>
      <c r="E66" s="15" t="s">
        <v>285</v>
      </c>
      <c r="F66" s="15" t="s">
        <v>46</v>
      </c>
      <c r="G66" s="15" t="s">
        <v>21</v>
      </c>
      <c r="H66" s="16">
        <v>900</v>
      </c>
      <c r="I66" s="15">
        <v>2</v>
      </c>
      <c r="J66" s="15" t="s">
        <v>287</v>
      </c>
      <c r="K66" s="29" t="s">
        <v>288</v>
      </c>
      <c r="L66" s="19">
        <v>73885291</v>
      </c>
      <c r="M66" s="18">
        <f t="shared" si="0"/>
        <v>147770582</v>
      </c>
      <c r="N66" s="17">
        <v>44545</v>
      </c>
      <c r="O66" s="20" t="s">
        <v>70</v>
      </c>
      <c r="P66" s="22"/>
      <c r="Q66" s="38" t="s">
        <v>2593</v>
      </c>
      <c r="R66" s="19"/>
      <c r="S66" s="19"/>
    </row>
    <row r="67" spans="2:20" s="20" customFormat="1" ht="17.100000000000001" hidden="1" customHeight="1" x14ac:dyDescent="0.3">
      <c r="B67" s="17">
        <v>44487</v>
      </c>
      <c r="C67" s="17">
        <v>44490</v>
      </c>
      <c r="D67" s="20" t="s">
        <v>290</v>
      </c>
      <c r="E67" s="15" t="s">
        <v>289</v>
      </c>
      <c r="F67" s="15" t="s">
        <v>46</v>
      </c>
      <c r="G67" s="15" t="s">
        <v>21</v>
      </c>
      <c r="H67" s="16">
        <v>250</v>
      </c>
      <c r="I67" s="15">
        <v>4</v>
      </c>
      <c r="J67" s="15" t="s">
        <v>291</v>
      </c>
      <c r="K67" s="29" t="s">
        <v>292</v>
      </c>
      <c r="L67" s="19">
        <v>10702233</v>
      </c>
      <c r="M67" s="18">
        <f t="shared" si="0"/>
        <v>42808932</v>
      </c>
      <c r="N67" s="17">
        <v>44525</v>
      </c>
      <c r="O67" s="20" t="s">
        <v>70</v>
      </c>
      <c r="P67" s="22"/>
      <c r="Q67" s="38" t="s">
        <v>2593</v>
      </c>
      <c r="R67" s="19"/>
      <c r="S67" s="19"/>
    </row>
    <row r="68" spans="2:20" s="20" customFormat="1" ht="17.100000000000001" hidden="1" customHeight="1" x14ac:dyDescent="0.3">
      <c r="B68" s="17">
        <v>44487</v>
      </c>
      <c r="C68" s="17">
        <v>44541</v>
      </c>
      <c r="D68" s="20" t="s">
        <v>293</v>
      </c>
      <c r="E68" s="15" t="s">
        <v>522</v>
      </c>
      <c r="F68" s="15" t="s">
        <v>25</v>
      </c>
      <c r="G68" s="15" t="s">
        <v>21</v>
      </c>
      <c r="H68" s="16" t="s">
        <v>294</v>
      </c>
      <c r="I68" s="15">
        <v>1</v>
      </c>
      <c r="J68" s="15" t="s">
        <v>295</v>
      </c>
      <c r="K68" s="29" t="s">
        <v>296</v>
      </c>
      <c r="L68" s="19">
        <v>80212500</v>
      </c>
      <c r="M68" s="18">
        <f t="shared" ref="M68:M131" si="4">(L68*I68)+S68</f>
        <v>80212500</v>
      </c>
      <c r="N68" s="17">
        <v>44558</v>
      </c>
      <c r="O68" s="20" t="s">
        <v>441</v>
      </c>
      <c r="P68" s="22"/>
      <c r="Q68" s="38" t="s">
        <v>2602</v>
      </c>
      <c r="R68" s="19"/>
      <c r="S68" s="19"/>
    </row>
    <row r="69" spans="2:20" s="20" customFormat="1" ht="17.100000000000001" hidden="1" customHeight="1" x14ac:dyDescent="0.3">
      <c r="B69" s="17">
        <v>44488</v>
      </c>
      <c r="C69" s="17">
        <v>44494</v>
      </c>
      <c r="D69" s="20" t="s">
        <v>298</v>
      </c>
      <c r="E69" s="15" t="s">
        <v>297</v>
      </c>
      <c r="F69" s="15" t="s">
        <v>46</v>
      </c>
      <c r="G69" s="15" t="s">
        <v>21</v>
      </c>
      <c r="H69" s="16">
        <v>200</v>
      </c>
      <c r="I69" s="15">
        <v>2</v>
      </c>
      <c r="J69" s="15" t="s">
        <v>299</v>
      </c>
      <c r="K69" s="29" t="s">
        <v>300</v>
      </c>
      <c r="L69" s="19">
        <v>8322349</v>
      </c>
      <c r="M69" s="18">
        <f t="shared" si="4"/>
        <v>16644698</v>
      </c>
      <c r="N69" s="17">
        <v>44558</v>
      </c>
      <c r="O69" s="20" t="s">
        <v>70</v>
      </c>
      <c r="P69" s="22"/>
      <c r="Q69" s="38" t="s">
        <v>2593</v>
      </c>
      <c r="R69" s="19"/>
      <c r="S69" s="19"/>
    </row>
    <row r="70" spans="2:20" s="20" customFormat="1" ht="17.100000000000001" hidden="1" customHeight="1" x14ac:dyDescent="0.3">
      <c r="B70" s="17">
        <v>44489</v>
      </c>
      <c r="C70" s="17">
        <v>44497</v>
      </c>
      <c r="D70" s="23" t="s">
        <v>306</v>
      </c>
      <c r="E70" s="15" t="s">
        <v>216</v>
      </c>
      <c r="F70" s="15" t="s">
        <v>217</v>
      </c>
      <c r="G70" s="15" t="s">
        <v>202</v>
      </c>
      <c r="H70" s="16" t="s">
        <v>218</v>
      </c>
      <c r="I70" s="15">
        <v>3</v>
      </c>
      <c r="J70" s="15" t="s">
        <v>131</v>
      </c>
      <c r="K70" s="29" t="s">
        <v>130</v>
      </c>
      <c r="L70" s="18">
        <v>7300000</v>
      </c>
      <c r="M70" s="18">
        <f t="shared" si="4"/>
        <v>21900000</v>
      </c>
      <c r="N70" s="17">
        <v>44827</v>
      </c>
      <c r="O70" s="23" t="s">
        <v>132</v>
      </c>
      <c r="P70" s="41"/>
      <c r="Q70" s="38" t="s">
        <v>2584</v>
      </c>
      <c r="R70" s="42"/>
      <c r="S70" s="19"/>
    </row>
    <row r="71" spans="2:20" s="20" customFormat="1" ht="17.100000000000001" hidden="1" customHeight="1" x14ac:dyDescent="0.3">
      <c r="B71" s="17">
        <v>44490</v>
      </c>
      <c r="C71" s="17">
        <v>44491</v>
      </c>
      <c r="D71" s="20" t="s">
        <v>316</v>
      </c>
      <c r="E71" s="15" t="s">
        <v>307</v>
      </c>
      <c r="F71" s="15" t="s">
        <v>46</v>
      </c>
      <c r="G71" s="15" t="s">
        <v>21</v>
      </c>
      <c r="H71" s="16" t="s">
        <v>308</v>
      </c>
      <c r="I71" s="15">
        <v>1</v>
      </c>
      <c r="J71" s="15" t="s">
        <v>49</v>
      </c>
      <c r="K71" s="29" t="s">
        <v>85</v>
      </c>
      <c r="L71" s="19">
        <v>9187000</v>
      </c>
      <c r="M71" s="18">
        <f t="shared" si="4"/>
        <v>11142000</v>
      </c>
      <c r="N71" s="17">
        <v>44502</v>
      </c>
      <c r="O71" s="23" t="s">
        <v>51</v>
      </c>
      <c r="P71" s="22"/>
      <c r="Q71" s="38" t="s">
        <v>2586</v>
      </c>
      <c r="R71" s="19">
        <v>1578000</v>
      </c>
      <c r="S71" s="19">
        <v>1955000</v>
      </c>
      <c r="T71" s="45">
        <f>S71-R71</f>
        <v>377000</v>
      </c>
    </row>
    <row r="72" spans="2:20" s="20" customFormat="1" ht="17.100000000000001" hidden="1" customHeight="1" x14ac:dyDescent="0.3">
      <c r="B72" s="17">
        <v>44494</v>
      </c>
      <c r="C72" s="17">
        <v>44501</v>
      </c>
      <c r="D72" s="20" t="s">
        <v>310</v>
      </c>
      <c r="E72" s="15" t="s">
        <v>309</v>
      </c>
      <c r="F72" s="15" t="s">
        <v>25</v>
      </c>
      <c r="G72" s="15" t="s">
        <v>21</v>
      </c>
      <c r="H72" s="16" t="s">
        <v>311</v>
      </c>
      <c r="I72" s="15">
        <v>1</v>
      </c>
      <c r="J72" s="15" t="s">
        <v>312</v>
      </c>
      <c r="K72" s="29" t="s">
        <v>313</v>
      </c>
      <c r="L72" s="19">
        <v>65600000</v>
      </c>
      <c r="M72" s="18">
        <f t="shared" si="4"/>
        <v>65600000</v>
      </c>
      <c r="N72" s="17">
        <v>44510</v>
      </c>
      <c r="O72" s="20" t="s">
        <v>314</v>
      </c>
      <c r="P72" s="22"/>
      <c r="Q72" s="38" t="s">
        <v>2603</v>
      </c>
      <c r="R72" s="19"/>
      <c r="S72" s="19"/>
    </row>
    <row r="73" spans="2:20" s="20" customFormat="1" ht="17.100000000000001" hidden="1" customHeight="1" x14ac:dyDescent="0.3">
      <c r="B73" s="17">
        <v>44495</v>
      </c>
      <c r="C73" s="17">
        <v>44497</v>
      </c>
      <c r="D73" s="20" t="s">
        <v>505</v>
      </c>
      <c r="E73" s="15" t="s">
        <v>319</v>
      </c>
      <c r="F73" s="15" t="s">
        <v>46</v>
      </c>
      <c r="G73" s="15" t="s">
        <v>21</v>
      </c>
      <c r="H73" s="16" t="s">
        <v>320</v>
      </c>
      <c r="I73" s="15">
        <v>1</v>
      </c>
      <c r="J73" s="15" t="s">
        <v>49</v>
      </c>
      <c r="K73" s="29" t="s">
        <v>85</v>
      </c>
      <c r="L73" s="19">
        <v>31183200</v>
      </c>
      <c r="M73" s="18">
        <f t="shared" si="4"/>
        <v>36237200</v>
      </c>
      <c r="N73" s="17">
        <v>44547</v>
      </c>
      <c r="O73" s="23" t="s">
        <v>51</v>
      </c>
      <c r="P73" s="22"/>
      <c r="Q73" s="38" t="s">
        <v>2586</v>
      </c>
      <c r="R73" s="19">
        <v>4076000</v>
      </c>
      <c r="S73" s="19">
        <v>5054000</v>
      </c>
      <c r="T73" s="45">
        <f>S73-R73</f>
        <v>978000</v>
      </c>
    </row>
    <row r="74" spans="2:20" s="20" customFormat="1" ht="17.100000000000001" hidden="1" customHeight="1" x14ac:dyDescent="0.3">
      <c r="B74" s="17">
        <v>44496</v>
      </c>
      <c r="C74" s="17">
        <v>44498</v>
      </c>
      <c r="D74" s="20" t="s">
        <v>322</v>
      </c>
      <c r="E74" s="15" t="s">
        <v>321</v>
      </c>
      <c r="F74" s="15" t="s">
        <v>46</v>
      </c>
      <c r="G74" s="15" t="s">
        <v>21</v>
      </c>
      <c r="H74" s="16">
        <v>200</v>
      </c>
      <c r="I74" s="15">
        <v>2</v>
      </c>
      <c r="J74" s="15" t="s">
        <v>267</v>
      </c>
      <c r="K74" s="29" t="s">
        <v>66</v>
      </c>
      <c r="L74" s="19">
        <v>8322349</v>
      </c>
      <c r="M74" s="18">
        <f t="shared" si="4"/>
        <v>16644698</v>
      </c>
      <c r="N74" s="17">
        <v>44551</v>
      </c>
      <c r="O74" s="20" t="s">
        <v>70</v>
      </c>
      <c r="P74" s="22"/>
      <c r="Q74" s="38" t="s">
        <v>2593</v>
      </c>
      <c r="R74" s="19"/>
      <c r="S74" s="19"/>
    </row>
    <row r="75" spans="2:20" s="20" customFormat="1" ht="17.100000000000001" hidden="1" customHeight="1" x14ac:dyDescent="0.3">
      <c r="B75" s="17">
        <v>44497</v>
      </c>
      <c r="C75" s="17">
        <v>44517</v>
      </c>
      <c r="D75" s="20" t="s">
        <v>920</v>
      </c>
      <c r="E75" s="15" t="s">
        <v>486</v>
      </c>
      <c r="F75" s="15" t="s">
        <v>46</v>
      </c>
      <c r="G75" s="15" t="s">
        <v>21</v>
      </c>
      <c r="H75" s="16">
        <v>350</v>
      </c>
      <c r="I75" s="15">
        <v>2</v>
      </c>
      <c r="J75" s="15" t="s">
        <v>72</v>
      </c>
      <c r="K75" s="29" t="s">
        <v>363</v>
      </c>
      <c r="L75" s="19">
        <v>21248670</v>
      </c>
      <c r="M75" s="18">
        <f t="shared" si="4"/>
        <v>42497340</v>
      </c>
      <c r="N75" s="17">
        <v>44545</v>
      </c>
      <c r="O75" s="20" t="s">
        <v>70</v>
      </c>
      <c r="P75" s="22"/>
      <c r="Q75" s="38" t="s">
        <v>2593</v>
      </c>
      <c r="R75" s="19"/>
      <c r="S75" s="19"/>
    </row>
    <row r="76" spans="2:20" s="20" customFormat="1" ht="17.100000000000001" hidden="1" customHeight="1" x14ac:dyDescent="0.3">
      <c r="B76" s="17">
        <v>44499</v>
      </c>
      <c r="C76" s="17">
        <v>44523</v>
      </c>
      <c r="D76" s="20" t="s">
        <v>323</v>
      </c>
      <c r="E76" s="15" t="s">
        <v>485</v>
      </c>
      <c r="F76" s="15" t="s">
        <v>46</v>
      </c>
      <c r="G76" s="15" t="s">
        <v>21</v>
      </c>
      <c r="H76" s="16">
        <v>800</v>
      </c>
      <c r="I76" s="15">
        <v>2</v>
      </c>
      <c r="J76" s="15" t="s">
        <v>72</v>
      </c>
      <c r="K76" s="29" t="s">
        <v>324</v>
      </c>
      <c r="L76" s="19">
        <v>56164825</v>
      </c>
      <c r="M76" s="18">
        <f t="shared" si="4"/>
        <v>112329650</v>
      </c>
      <c r="N76" s="17">
        <v>44545</v>
      </c>
      <c r="O76" s="20" t="s">
        <v>70</v>
      </c>
      <c r="P76" s="22"/>
      <c r="Q76" s="38" t="s">
        <v>2593</v>
      </c>
      <c r="R76" s="19"/>
      <c r="S76" s="19"/>
    </row>
    <row r="77" spans="2:20" s="20" customFormat="1" ht="17.100000000000001" hidden="1" customHeight="1" x14ac:dyDescent="0.3">
      <c r="B77" s="17">
        <v>44501</v>
      </c>
      <c r="C77" s="17">
        <v>44537</v>
      </c>
      <c r="D77" s="20" t="s">
        <v>325</v>
      </c>
      <c r="E77" s="15" t="s">
        <v>474</v>
      </c>
      <c r="F77" s="15" t="s">
        <v>25</v>
      </c>
      <c r="G77" s="15" t="s">
        <v>21</v>
      </c>
      <c r="H77" s="16" t="s">
        <v>326</v>
      </c>
      <c r="I77" s="15">
        <v>1</v>
      </c>
      <c r="J77" s="15" t="s">
        <v>335</v>
      </c>
      <c r="K77" s="29" t="s">
        <v>327</v>
      </c>
      <c r="L77" s="19">
        <v>81086782</v>
      </c>
      <c r="M77" s="18">
        <f t="shared" si="4"/>
        <v>81086782</v>
      </c>
      <c r="N77" s="17">
        <v>44560</v>
      </c>
      <c r="O77" s="20" t="s">
        <v>653</v>
      </c>
      <c r="P77" s="22" t="s">
        <v>509</v>
      </c>
      <c r="Q77" s="38" t="s">
        <v>2604</v>
      </c>
      <c r="R77" s="19"/>
      <c r="S77" s="19"/>
    </row>
    <row r="78" spans="2:20" s="20" customFormat="1" ht="17.100000000000001" hidden="1" customHeight="1" x14ac:dyDescent="0.3">
      <c r="B78" s="17">
        <v>44501</v>
      </c>
      <c r="C78" s="17">
        <v>44502</v>
      </c>
      <c r="D78" s="20" t="s">
        <v>329</v>
      </c>
      <c r="E78" s="15" t="s">
        <v>328</v>
      </c>
      <c r="F78" s="15" t="s">
        <v>46</v>
      </c>
      <c r="G78" s="15" t="s">
        <v>21</v>
      </c>
      <c r="H78" s="16">
        <v>150</v>
      </c>
      <c r="I78" s="15">
        <v>2</v>
      </c>
      <c r="J78" s="15" t="s">
        <v>72</v>
      </c>
      <c r="K78" s="29" t="s">
        <v>330</v>
      </c>
      <c r="L78" s="19">
        <v>5444638</v>
      </c>
      <c r="M78" s="18">
        <f t="shared" si="4"/>
        <v>10889276</v>
      </c>
      <c r="N78" s="17">
        <v>44545</v>
      </c>
      <c r="O78" s="20" t="s">
        <v>336</v>
      </c>
      <c r="P78" s="22"/>
      <c r="Q78" s="38" t="s">
        <v>2593</v>
      </c>
      <c r="R78" s="19"/>
      <c r="S78" s="19"/>
    </row>
    <row r="79" spans="2:20" s="20" customFormat="1" ht="17.100000000000001" hidden="1" customHeight="1" x14ac:dyDescent="0.3">
      <c r="B79" s="17">
        <v>44501</v>
      </c>
      <c r="C79" s="17">
        <v>44501</v>
      </c>
      <c r="D79" s="20" t="s">
        <v>332</v>
      </c>
      <c r="E79" s="15" t="s">
        <v>331</v>
      </c>
      <c r="F79" s="15" t="s">
        <v>46</v>
      </c>
      <c r="G79" s="15" t="s">
        <v>21</v>
      </c>
      <c r="H79" s="16">
        <v>50</v>
      </c>
      <c r="I79" s="15">
        <v>2</v>
      </c>
      <c r="J79" s="15" t="s">
        <v>333</v>
      </c>
      <c r="K79" s="29" t="s">
        <v>300</v>
      </c>
      <c r="L79" s="19">
        <v>621966</v>
      </c>
      <c r="M79" s="18">
        <f t="shared" si="4"/>
        <v>1243932</v>
      </c>
      <c r="N79" s="17">
        <v>44558</v>
      </c>
      <c r="O79" s="20" t="s">
        <v>70</v>
      </c>
      <c r="P79" s="22"/>
      <c r="Q79" s="38" t="s">
        <v>2593</v>
      </c>
      <c r="R79" s="19"/>
      <c r="S79" s="19"/>
    </row>
    <row r="80" spans="2:20" s="20" customFormat="1" ht="17.100000000000001" hidden="1" customHeight="1" x14ac:dyDescent="0.3">
      <c r="B80" s="17">
        <v>44502</v>
      </c>
      <c r="C80" s="17">
        <v>44504</v>
      </c>
      <c r="D80" s="20" t="s">
        <v>468</v>
      </c>
      <c r="E80" s="15" t="s">
        <v>341</v>
      </c>
      <c r="F80" s="15" t="s">
        <v>46</v>
      </c>
      <c r="G80" s="15" t="s">
        <v>21</v>
      </c>
      <c r="H80" s="16" t="s">
        <v>342</v>
      </c>
      <c r="I80" s="15">
        <v>1</v>
      </c>
      <c r="J80" s="15" t="s">
        <v>83</v>
      </c>
      <c r="K80" s="29" t="s">
        <v>84</v>
      </c>
      <c r="L80" s="19">
        <v>9187000</v>
      </c>
      <c r="M80" s="18">
        <f t="shared" si="4"/>
        <v>11142000</v>
      </c>
      <c r="N80" s="17">
        <v>44547</v>
      </c>
      <c r="O80" s="23" t="s">
        <v>51</v>
      </c>
      <c r="P80" s="22"/>
      <c r="Q80" s="38" t="s">
        <v>2586</v>
      </c>
      <c r="R80" s="19">
        <v>1578000</v>
      </c>
      <c r="S80" s="19">
        <v>1955000</v>
      </c>
      <c r="T80" s="45">
        <f>S80-R80</f>
        <v>377000</v>
      </c>
    </row>
    <row r="81" spans="2:20" s="20" customFormat="1" ht="17.100000000000001" hidden="1" customHeight="1" x14ac:dyDescent="0.3">
      <c r="B81" s="17">
        <v>44502</v>
      </c>
      <c r="C81" s="17">
        <v>44502</v>
      </c>
      <c r="D81" s="20" t="s">
        <v>469</v>
      </c>
      <c r="E81" s="15" t="s">
        <v>470</v>
      </c>
      <c r="F81" s="15" t="s">
        <v>471</v>
      </c>
      <c r="G81" s="15" t="s">
        <v>472</v>
      </c>
      <c r="H81" s="16" t="s">
        <v>473</v>
      </c>
      <c r="I81" s="15">
        <v>1</v>
      </c>
      <c r="J81" s="15" t="s">
        <v>440</v>
      </c>
      <c r="K81" s="29" t="s">
        <v>570</v>
      </c>
      <c r="L81" s="19">
        <v>1000000</v>
      </c>
      <c r="M81" s="18">
        <f t="shared" si="4"/>
        <v>10000000</v>
      </c>
      <c r="N81" s="17">
        <v>44536</v>
      </c>
      <c r="O81" s="23"/>
      <c r="P81" s="22"/>
      <c r="Q81" s="38" t="s">
        <v>2605</v>
      </c>
      <c r="R81" s="19"/>
      <c r="S81" s="19">
        <v>9000000</v>
      </c>
      <c r="T81" s="45"/>
    </row>
    <row r="82" spans="2:20" s="20" customFormat="1" ht="17.100000000000001" hidden="1" customHeight="1" x14ac:dyDescent="0.3">
      <c r="B82" s="17">
        <v>44503</v>
      </c>
      <c r="C82" s="17">
        <v>44523</v>
      </c>
      <c r="D82" s="20" t="s">
        <v>344</v>
      </c>
      <c r="E82" s="15" t="s">
        <v>343</v>
      </c>
      <c r="F82" s="15" t="s">
        <v>25</v>
      </c>
      <c r="G82" s="15" t="s">
        <v>21</v>
      </c>
      <c r="H82" s="16" t="s">
        <v>345</v>
      </c>
      <c r="I82" s="15">
        <v>1</v>
      </c>
      <c r="J82" s="15" t="s">
        <v>347</v>
      </c>
      <c r="K82" s="29" t="s">
        <v>348</v>
      </c>
      <c r="L82" s="19">
        <v>23300000</v>
      </c>
      <c r="M82" s="18">
        <f t="shared" si="4"/>
        <v>23300000</v>
      </c>
      <c r="N82" s="17">
        <v>44550</v>
      </c>
      <c r="O82" s="20" t="s">
        <v>346</v>
      </c>
      <c r="P82" s="22"/>
      <c r="Q82" s="38" t="s">
        <v>2606</v>
      </c>
      <c r="R82" s="19"/>
      <c r="S82" s="19"/>
    </row>
    <row r="83" spans="2:20" s="20" customFormat="1" ht="17.100000000000001" hidden="1" customHeight="1" x14ac:dyDescent="0.3">
      <c r="B83" s="17">
        <v>44503</v>
      </c>
      <c r="C83" s="17">
        <v>44504</v>
      </c>
      <c r="D83" s="20" t="s">
        <v>357</v>
      </c>
      <c r="E83" s="15" t="s">
        <v>356</v>
      </c>
      <c r="F83" s="15" t="s">
        <v>46</v>
      </c>
      <c r="G83" s="15" t="s">
        <v>21</v>
      </c>
      <c r="H83" s="16">
        <v>200</v>
      </c>
      <c r="I83" s="15">
        <v>2</v>
      </c>
      <c r="J83" s="15" t="s">
        <v>72</v>
      </c>
      <c r="K83" s="29" t="s">
        <v>73</v>
      </c>
      <c r="L83" s="19">
        <v>8322349</v>
      </c>
      <c r="M83" s="18">
        <f t="shared" si="4"/>
        <v>16644698</v>
      </c>
      <c r="N83" s="17">
        <v>44545</v>
      </c>
      <c r="O83" s="20" t="s">
        <v>70</v>
      </c>
      <c r="P83" s="22"/>
      <c r="Q83" s="38" t="s">
        <v>2593</v>
      </c>
      <c r="R83" s="19"/>
      <c r="S83" s="19"/>
    </row>
    <row r="84" spans="2:20" s="20" customFormat="1" ht="17.100000000000001" hidden="1" customHeight="1" x14ac:dyDescent="0.3">
      <c r="B84" s="17">
        <v>44504</v>
      </c>
      <c r="C84" s="17">
        <v>44557</v>
      </c>
      <c r="D84" s="20" t="s">
        <v>351</v>
      </c>
      <c r="E84" s="15" t="s">
        <v>349</v>
      </c>
      <c r="F84" s="15" t="s">
        <v>25</v>
      </c>
      <c r="G84" s="15" t="s">
        <v>21</v>
      </c>
      <c r="H84" s="16" t="s">
        <v>352</v>
      </c>
      <c r="I84" s="15">
        <v>1</v>
      </c>
      <c r="J84" s="15" t="s">
        <v>654</v>
      </c>
      <c r="K84" s="29" t="s">
        <v>355</v>
      </c>
      <c r="L84" s="19">
        <v>53218185</v>
      </c>
      <c r="M84" s="18">
        <f t="shared" si="4"/>
        <v>53218185</v>
      </c>
      <c r="N84" s="17">
        <v>44561</v>
      </c>
      <c r="O84" s="20" t="s">
        <v>353</v>
      </c>
      <c r="P84" s="22" t="s">
        <v>588</v>
      </c>
      <c r="Q84" s="38" t="s">
        <v>2588</v>
      </c>
      <c r="R84" s="19"/>
      <c r="S84" s="19"/>
    </row>
    <row r="85" spans="2:20" s="20" customFormat="1" ht="17.100000000000001" hidden="1" customHeight="1" x14ac:dyDescent="0.3">
      <c r="B85" s="17">
        <v>44504</v>
      </c>
      <c r="C85" s="17">
        <v>44557</v>
      </c>
      <c r="D85" s="20" t="s">
        <v>589</v>
      </c>
      <c r="E85" s="15" t="s">
        <v>350</v>
      </c>
      <c r="F85" s="15" t="s">
        <v>25</v>
      </c>
      <c r="G85" s="15" t="s">
        <v>21</v>
      </c>
      <c r="H85" s="16" t="s">
        <v>352</v>
      </c>
      <c r="I85" s="15">
        <v>1</v>
      </c>
      <c r="J85" s="15" t="s">
        <v>354</v>
      </c>
      <c r="K85" s="29" t="s">
        <v>355</v>
      </c>
      <c r="L85" s="19">
        <v>53218185</v>
      </c>
      <c r="M85" s="18">
        <f t="shared" si="4"/>
        <v>53218185</v>
      </c>
      <c r="N85" s="17">
        <v>44561</v>
      </c>
      <c r="O85" s="20" t="s">
        <v>353</v>
      </c>
      <c r="P85" s="22" t="s">
        <v>587</v>
      </c>
      <c r="Q85" s="38" t="s">
        <v>2588</v>
      </c>
      <c r="R85" s="19"/>
      <c r="S85" s="19"/>
    </row>
    <row r="86" spans="2:20" s="20" customFormat="1" ht="17.100000000000001" hidden="1" customHeight="1" x14ac:dyDescent="0.3">
      <c r="B86" s="17">
        <v>44505</v>
      </c>
      <c r="C86" s="17">
        <v>44512</v>
      </c>
      <c r="D86" s="20" t="s">
        <v>359</v>
      </c>
      <c r="E86" s="15" t="s">
        <v>358</v>
      </c>
      <c r="F86" s="15" t="s">
        <v>46</v>
      </c>
      <c r="G86" s="15" t="s">
        <v>21</v>
      </c>
      <c r="H86" s="16">
        <v>350</v>
      </c>
      <c r="I86" s="15">
        <v>2</v>
      </c>
      <c r="J86" s="15" t="s">
        <v>88</v>
      </c>
      <c r="K86" s="29" t="s">
        <v>98</v>
      </c>
      <c r="L86" s="19">
        <v>19152808</v>
      </c>
      <c r="M86" s="18">
        <f t="shared" si="4"/>
        <v>38305616</v>
      </c>
      <c r="N86" s="17">
        <v>44804</v>
      </c>
      <c r="O86" s="20" t="s">
        <v>70</v>
      </c>
      <c r="P86" s="22"/>
      <c r="Q86" s="38" t="s">
        <v>2593</v>
      </c>
      <c r="R86" s="19"/>
      <c r="S86" s="19"/>
    </row>
    <row r="87" spans="2:20" s="20" customFormat="1" ht="17.100000000000001" hidden="1" customHeight="1" x14ac:dyDescent="0.3">
      <c r="B87" s="17">
        <v>44505</v>
      </c>
      <c r="C87" s="17">
        <v>44510</v>
      </c>
      <c r="D87" s="20" t="s">
        <v>361</v>
      </c>
      <c r="E87" s="15" t="s">
        <v>360</v>
      </c>
      <c r="F87" s="15" t="s">
        <v>46</v>
      </c>
      <c r="G87" s="15" t="s">
        <v>21</v>
      </c>
      <c r="H87" s="16" t="s">
        <v>362</v>
      </c>
      <c r="I87" s="15">
        <v>1</v>
      </c>
      <c r="J87" s="15" t="s">
        <v>49</v>
      </c>
      <c r="K87" s="29" t="s">
        <v>85</v>
      </c>
      <c r="L87" s="19">
        <v>21111000</v>
      </c>
      <c r="M87" s="18">
        <f t="shared" si="4"/>
        <v>24088000</v>
      </c>
      <c r="N87" s="17">
        <v>44547</v>
      </c>
      <c r="O87" s="23" t="s">
        <v>51</v>
      </c>
      <c r="P87" s="22"/>
      <c r="Q87" s="38" t="s">
        <v>2586</v>
      </c>
      <c r="R87" s="19">
        <v>2402000</v>
      </c>
      <c r="S87" s="19">
        <v>2977000</v>
      </c>
      <c r="T87" s="45">
        <f>S87-R87</f>
        <v>575000</v>
      </c>
    </row>
    <row r="88" spans="2:20" s="20" customFormat="1" ht="17.100000000000001" hidden="1" customHeight="1" x14ac:dyDescent="0.3">
      <c r="B88" s="17">
        <v>44506</v>
      </c>
      <c r="C88" s="17">
        <v>44507</v>
      </c>
      <c r="D88" s="20" t="s">
        <v>919</v>
      </c>
      <c r="E88" s="15" t="s">
        <v>487</v>
      </c>
      <c r="F88" s="15" t="s">
        <v>46</v>
      </c>
      <c r="G88" s="15" t="s">
        <v>21</v>
      </c>
      <c r="H88" s="16">
        <v>600</v>
      </c>
      <c r="I88" s="15">
        <v>2</v>
      </c>
      <c r="J88" s="15" t="s">
        <v>72</v>
      </c>
      <c r="K88" s="29" t="s">
        <v>363</v>
      </c>
      <c r="L88" s="19">
        <v>41871959</v>
      </c>
      <c r="M88" s="18">
        <f t="shared" si="4"/>
        <v>83743918</v>
      </c>
      <c r="N88" s="17">
        <v>44545</v>
      </c>
      <c r="O88" s="20" t="s">
        <v>70</v>
      </c>
      <c r="P88" s="22"/>
      <c r="Q88" s="38" t="s">
        <v>2593</v>
      </c>
      <c r="R88" s="19"/>
      <c r="S88" s="19"/>
    </row>
    <row r="89" spans="2:20" s="20" customFormat="1" ht="17.100000000000001" hidden="1" customHeight="1" x14ac:dyDescent="0.3">
      <c r="B89" s="17">
        <v>44508</v>
      </c>
      <c r="C89" s="17">
        <v>44512</v>
      </c>
      <c r="D89" s="20" t="s">
        <v>364</v>
      </c>
      <c r="E89" s="15" t="s">
        <v>365</v>
      </c>
      <c r="F89" s="15" t="s">
        <v>46</v>
      </c>
      <c r="G89" s="15" t="s">
        <v>21</v>
      </c>
      <c r="H89" s="16">
        <v>450</v>
      </c>
      <c r="I89" s="15">
        <v>4</v>
      </c>
      <c r="J89" s="15" t="s">
        <v>366</v>
      </c>
      <c r="K89" s="29" t="s">
        <v>367</v>
      </c>
      <c r="L89" s="19">
        <v>24268812</v>
      </c>
      <c r="M89" s="18">
        <f t="shared" si="4"/>
        <v>97075248</v>
      </c>
      <c r="N89" s="17">
        <v>44525</v>
      </c>
      <c r="O89" s="20" t="s">
        <v>70</v>
      </c>
      <c r="P89" s="22"/>
      <c r="Q89" s="38" t="s">
        <v>2593</v>
      </c>
      <c r="R89" s="19"/>
      <c r="S89" s="19"/>
    </row>
    <row r="90" spans="2:20" s="20" customFormat="1" ht="17.100000000000001" hidden="1" customHeight="1" x14ac:dyDescent="0.3">
      <c r="B90" s="17">
        <v>44508</v>
      </c>
      <c r="C90" s="17">
        <v>44508</v>
      </c>
      <c r="D90" s="20" t="s">
        <v>424</v>
      </c>
      <c r="E90" s="15" t="s">
        <v>422</v>
      </c>
      <c r="F90" s="15" t="s">
        <v>46</v>
      </c>
      <c r="G90" s="15" t="s">
        <v>21</v>
      </c>
      <c r="H90" s="16" t="s">
        <v>423</v>
      </c>
      <c r="I90" s="15">
        <v>1</v>
      </c>
      <c r="J90" s="15" t="s">
        <v>88</v>
      </c>
      <c r="K90" s="29" t="s">
        <v>423</v>
      </c>
      <c r="L90" s="19">
        <f>654600000-570642332</f>
        <v>83957668</v>
      </c>
      <c r="M90" s="18">
        <f t="shared" si="4"/>
        <v>83957668</v>
      </c>
      <c r="N90" s="17">
        <v>44508</v>
      </c>
      <c r="O90" s="20" t="s">
        <v>70</v>
      </c>
      <c r="P90" s="22"/>
      <c r="Q90" s="38" t="s">
        <v>2593</v>
      </c>
      <c r="R90" s="19"/>
      <c r="S90" s="19"/>
    </row>
    <row r="91" spans="2:20" s="20" customFormat="1" ht="17.100000000000001" hidden="1" customHeight="1" x14ac:dyDescent="0.3">
      <c r="B91" s="17">
        <v>44509</v>
      </c>
      <c r="C91" s="17">
        <v>44324</v>
      </c>
      <c r="D91" s="20" t="s">
        <v>374</v>
      </c>
      <c r="E91" s="15" t="s">
        <v>376</v>
      </c>
      <c r="F91" s="15" t="s">
        <v>25</v>
      </c>
      <c r="G91" s="15" t="s">
        <v>21</v>
      </c>
      <c r="H91" s="16" t="s">
        <v>370</v>
      </c>
      <c r="I91" s="15">
        <v>1</v>
      </c>
      <c r="J91" s="15" t="s">
        <v>371</v>
      </c>
      <c r="K91" s="29" t="s">
        <v>400</v>
      </c>
      <c r="L91" s="19">
        <v>27388000</v>
      </c>
      <c r="M91" s="18">
        <f t="shared" si="4"/>
        <v>27388000</v>
      </c>
      <c r="N91" s="17">
        <v>44509</v>
      </c>
      <c r="O91" s="20" t="s">
        <v>373</v>
      </c>
      <c r="P91" s="22" t="s">
        <v>377</v>
      </c>
      <c r="Q91" s="38" t="s">
        <v>2607</v>
      </c>
      <c r="R91" s="19"/>
      <c r="S91" s="19"/>
    </row>
    <row r="92" spans="2:20" s="20" customFormat="1" ht="17.100000000000001" hidden="1" customHeight="1" x14ac:dyDescent="0.3">
      <c r="B92" s="17">
        <v>44509</v>
      </c>
      <c r="C92" s="17">
        <v>44324</v>
      </c>
      <c r="D92" s="20" t="s">
        <v>375</v>
      </c>
      <c r="E92" s="15" t="s">
        <v>369</v>
      </c>
      <c r="F92" s="15" t="s">
        <v>25</v>
      </c>
      <c r="G92" s="15" t="s">
        <v>21</v>
      </c>
      <c r="H92" s="16" t="s">
        <v>370</v>
      </c>
      <c r="I92" s="15">
        <v>1</v>
      </c>
      <c r="J92" s="15" t="s">
        <v>371</v>
      </c>
      <c r="K92" s="29" t="s">
        <v>372</v>
      </c>
      <c r="L92" s="19">
        <v>2956000</v>
      </c>
      <c r="M92" s="18">
        <f t="shared" si="4"/>
        <v>2956000</v>
      </c>
      <c r="N92" s="17">
        <v>44509</v>
      </c>
      <c r="O92" s="20" t="s">
        <v>1613</v>
      </c>
      <c r="P92" s="22" t="s">
        <v>377</v>
      </c>
      <c r="Q92" s="38" t="s">
        <v>2607</v>
      </c>
      <c r="R92" s="19"/>
      <c r="S92" s="19"/>
    </row>
    <row r="93" spans="2:20" s="20" customFormat="1" ht="17.100000000000001" hidden="1" customHeight="1" x14ac:dyDescent="0.3">
      <c r="B93" s="17">
        <v>44511</v>
      </c>
      <c r="C93" s="17">
        <v>44519</v>
      </c>
      <c r="D93" s="20" t="s">
        <v>381</v>
      </c>
      <c r="E93" s="15" t="s">
        <v>380</v>
      </c>
      <c r="F93" s="15" t="s">
        <v>46</v>
      </c>
      <c r="G93" s="15" t="s">
        <v>21</v>
      </c>
      <c r="H93" s="16" t="s">
        <v>382</v>
      </c>
      <c r="I93" s="15">
        <v>1</v>
      </c>
      <c r="J93" s="15" t="s">
        <v>49</v>
      </c>
      <c r="K93" s="29" t="s">
        <v>50</v>
      </c>
      <c r="L93" s="19">
        <v>17280000</v>
      </c>
      <c r="M93" s="18">
        <f t="shared" si="4"/>
        <v>19807000</v>
      </c>
      <c r="N93" s="17">
        <v>44547</v>
      </c>
      <c r="O93" s="23" t="s">
        <v>51</v>
      </c>
      <c r="P93" s="22"/>
      <c r="Q93" s="38" t="s">
        <v>2586</v>
      </c>
      <c r="R93" s="19">
        <v>2038000</v>
      </c>
      <c r="S93" s="19">
        <v>2527000</v>
      </c>
      <c r="T93" s="45">
        <f>S93-R93</f>
        <v>489000</v>
      </c>
    </row>
    <row r="94" spans="2:20" s="20" customFormat="1" ht="17.100000000000001" hidden="1" customHeight="1" x14ac:dyDescent="0.3">
      <c r="B94" s="17">
        <v>44511</v>
      </c>
      <c r="C94" s="17">
        <v>44513</v>
      </c>
      <c r="D94" s="20" t="s">
        <v>1141</v>
      </c>
      <c r="E94" s="15" t="s">
        <v>383</v>
      </c>
      <c r="F94" s="15" t="s">
        <v>46</v>
      </c>
      <c r="G94" s="15" t="s">
        <v>21</v>
      </c>
      <c r="H94" s="16">
        <v>400</v>
      </c>
      <c r="I94" s="15">
        <v>2</v>
      </c>
      <c r="J94" s="15" t="s">
        <v>384</v>
      </c>
      <c r="K94" s="29" t="s">
        <v>1145</v>
      </c>
      <c r="L94" s="19">
        <v>23128390</v>
      </c>
      <c r="M94" s="18">
        <f t="shared" si="4"/>
        <v>46256780</v>
      </c>
      <c r="N94" s="17">
        <v>44551</v>
      </c>
      <c r="O94" s="20" t="s">
        <v>70</v>
      </c>
      <c r="P94" s="22"/>
      <c r="Q94" s="38" t="s">
        <v>2593</v>
      </c>
      <c r="R94" s="19"/>
      <c r="S94" s="19"/>
    </row>
    <row r="95" spans="2:20" s="20" customFormat="1" ht="17.100000000000001" hidden="1" customHeight="1" x14ac:dyDescent="0.3">
      <c r="B95" s="17">
        <v>44511</v>
      </c>
      <c r="C95" s="17">
        <v>44519</v>
      </c>
      <c r="D95" s="20" t="s">
        <v>386</v>
      </c>
      <c r="E95" s="15" t="s">
        <v>385</v>
      </c>
      <c r="F95" s="15" t="s">
        <v>46</v>
      </c>
      <c r="G95" s="15" t="s">
        <v>21</v>
      </c>
      <c r="H95" s="16">
        <v>80</v>
      </c>
      <c r="I95" s="15">
        <v>2</v>
      </c>
      <c r="J95" s="15" t="s">
        <v>384</v>
      </c>
      <c r="K95" s="29" t="s">
        <v>1144</v>
      </c>
      <c r="L95" s="19">
        <v>3172704</v>
      </c>
      <c r="M95" s="18">
        <f t="shared" si="4"/>
        <v>6345408</v>
      </c>
      <c r="N95" s="17">
        <v>44551</v>
      </c>
      <c r="O95" s="20" t="s">
        <v>70</v>
      </c>
      <c r="P95" s="22"/>
      <c r="Q95" s="38" t="s">
        <v>2593</v>
      </c>
      <c r="R95" s="19"/>
      <c r="S95" s="19"/>
    </row>
    <row r="96" spans="2:20" s="20" customFormat="1" ht="17.100000000000001" hidden="1" customHeight="1" x14ac:dyDescent="0.3">
      <c r="B96" s="17">
        <v>44512</v>
      </c>
      <c r="C96" s="17">
        <v>44516</v>
      </c>
      <c r="D96" s="20" t="s">
        <v>388</v>
      </c>
      <c r="E96" s="15" t="s">
        <v>387</v>
      </c>
      <c r="F96" s="15" t="s">
        <v>46</v>
      </c>
      <c r="G96" s="15" t="s">
        <v>21</v>
      </c>
      <c r="H96" s="16" t="s">
        <v>390</v>
      </c>
      <c r="I96" s="15">
        <v>1</v>
      </c>
      <c r="J96" s="15" t="s">
        <v>49</v>
      </c>
      <c r="K96" s="29" t="s">
        <v>389</v>
      </c>
      <c r="L96" s="19">
        <v>25802000</v>
      </c>
      <c r="M96" s="18">
        <f t="shared" si="4"/>
        <v>29109000</v>
      </c>
      <c r="N96" s="17">
        <v>44547</v>
      </c>
      <c r="O96" s="23" t="s">
        <v>51</v>
      </c>
      <c r="P96" s="22"/>
      <c r="Q96" s="38" t="s">
        <v>2586</v>
      </c>
      <c r="R96" s="19">
        <v>2668000</v>
      </c>
      <c r="S96" s="19">
        <v>3307000</v>
      </c>
      <c r="T96" s="45">
        <f>S96-R96</f>
        <v>639000</v>
      </c>
    </row>
    <row r="97" spans="2:20" s="20" customFormat="1" ht="17.100000000000001" hidden="1" customHeight="1" x14ac:dyDescent="0.3">
      <c r="B97" s="17">
        <v>44512</v>
      </c>
      <c r="C97" s="17">
        <v>44513</v>
      </c>
      <c r="D97" s="20" t="s">
        <v>392</v>
      </c>
      <c r="E97" s="15" t="s">
        <v>391</v>
      </c>
      <c r="F97" s="15" t="s">
        <v>46</v>
      </c>
      <c r="G97" s="15" t="s">
        <v>21</v>
      </c>
      <c r="H97" s="16" t="s">
        <v>393</v>
      </c>
      <c r="I97" s="15">
        <v>2</v>
      </c>
      <c r="J97" s="15" t="s">
        <v>49</v>
      </c>
      <c r="K97" s="29" t="s">
        <v>394</v>
      </c>
      <c r="L97" s="19">
        <v>3915000</v>
      </c>
      <c r="M97" s="18">
        <f t="shared" si="4"/>
        <v>7830000</v>
      </c>
      <c r="N97" s="17">
        <v>44561</v>
      </c>
      <c r="P97" s="22" t="s">
        <v>174</v>
      </c>
      <c r="Q97" s="38" t="s">
        <v>2608</v>
      </c>
      <c r="R97" s="19"/>
      <c r="S97" s="19"/>
    </row>
    <row r="98" spans="2:20" s="20" customFormat="1" ht="17.100000000000001" hidden="1" customHeight="1" x14ac:dyDescent="0.3">
      <c r="B98" s="17">
        <v>44513</v>
      </c>
      <c r="C98" s="17">
        <v>44520</v>
      </c>
      <c r="D98" s="20" t="s">
        <v>396</v>
      </c>
      <c r="E98" s="15" t="s">
        <v>395</v>
      </c>
      <c r="F98" s="15" t="s">
        <v>46</v>
      </c>
      <c r="G98" s="15" t="s">
        <v>21</v>
      </c>
      <c r="H98" s="16" t="s">
        <v>397</v>
      </c>
      <c r="I98" s="15">
        <v>1</v>
      </c>
      <c r="J98" s="15" t="s">
        <v>49</v>
      </c>
      <c r="K98" s="29" t="s">
        <v>398</v>
      </c>
      <c r="L98" s="19">
        <v>91287000</v>
      </c>
      <c r="M98" s="18">
        <f t="shared" si="4"/>
        <v>101377000</v>
      </c>
      <c r="N98" s="17">
        <v>44547</v>
      </c>
      <c r="O98" s="23" t="s">
        <v>51</v>
      </c>
      <c r="P98" s="22"/>
      <c r="Q98" s="38" t="s">
        <v>2586</v>
      </c>
      <c r="R98" s="19">
        <v>8136000</v>
      </c>
      <c r="S98" s="19">
        <v>10090000</v>
      </c>
      <c r="T98" s="45">
        <f>S98-R98</f>
        <v>1954000</v>
      </c>
    </row>
    <row r="99" spans="2:20" s="20" customFormat="1" ht="17.100000000000001" hidden="1" customHeight="1" x14ac:dyDescent="0.3">
      <c r="B99" s="17">
        <v>44515</v>
      </c>
      <c r="C99" s="17">
        <v>44526</v>
      </c>
      <c r="D99" s="20" t="s">
        <v>658</v>
      </c>
      <c r="E99" s="15" t="s">
        <v>401</v>
      </c>
      <c r="F99" s="15" t="s">
        <v>25</v>
      </c>
      <c r="G99" s="15" t="s">
        <v>21</v>
      </c>
      <c r="H99" s="16" t="s">
        <v>402</v>
      </c>
      <c r="I99" s="15">
        <v>1</v>
      </c>
      <c r="J99" s="15" t="s">
        <v>403</v>
      </c>
      <c r="K99" s="29" t="s">
        <v>404</v>
      </c>
      <c r="L99" s="19">
        <v>305577310</v>
      </c>
      <c r="M99" s="18">
        <f t="shared" si="4"/>
        <v>305577310</v>
      </c>
      <c r="N99" s="17">
        <v>44558</v>
      </c>
      <c r="O99" s="20" t="s">
        <v>405</v>
      </c>
      <c r="P99" s="22"/>
      <c r="Q99" s="38" t="s">
        <v>2609</v>
      </c>
      <c r="R99" s="19"/>
      <c r="S99" s="19"/>
    </row>
    <row r="100" spans="2:20" s="20" customFormat="1" ht="17.100000000000001" hidden="1" customHeight="1" x14ac:dyDescent="0.3">
      <c r="B100" s="17">
        <v>44515</v>
      </c>
      <c r="C100" s="17">
        <v>44526</v>
      </c>
      <c r="D100" s="20" t="s">
        <v>659</v>
      </c>
      <c r="E100" s="15" t="s">
        <v>401</v>
      </c>
      <c r="F100" s="15" t="s">
        <v>25</v>
      </c>
      <c r="G100" s="15" t="s">
        <v>21</v>
      </c>
      <c r="H100" s="16" t="s">
        <v>164</v>
      </c>
      <c r="I100" s="15">
        <v>1</v>
      </c>
      <c r="J100" s="15" t="s">
        <v>403</v>
      </c>
      <c r="K100" s="29" t="s">
        <v>404</v>
      </c>
      <c r="L100" s="19">
        <f>324431220-305577310</f>
        <v>18853910</v>
      </c>
      <c r="M100" s="18">
        <f t="shared" si="4"/>
        <v>18853910</v>
      </c>
      <c r="N100" s="17">
        <v>44558</v>
      </c>
      <c r="O100" s="20" t="s">
        <v>405</v>
      </c>
      <c r="P100" s="22"/>
      <c r="Q100" s="38" t="s">
        <v>2609</v>
      </c>
      <c r="R100" s="19"/>
      <c r="S100" s="19"/>
    </row>
    <row r="101" spans="2:20" s="20" customFormat="1" ht="17.100000000000001" hidden="1" customHeight="1" x14ac:dyDescent="0.3">
      <c r="B101" s="17">
        <v>44515</v>
      </c>
      <c r="C101" s="17">
        <v>44519</v>
      </c>
      <c r="D101" s="20" t="s">
        <v>407</v>
      </c>
      <c r="E101" s="15" t="s">
        <v>406</v>
      </c>
      <c r="F101" s="15" t="s">
        <v>46</v>
      </c>
      <c r="G101" s="15" t="s">
        <v>21</v>
      </c>
      <c r="H101" s="16">
        <v>200</v>
      </c>
      <c r="I101" s="15">
        <v>2</v>
      </c>
      <c r="J101" s="15" t="s">
        <v>408</v>
      </c>
      <c r="K101" s="29" t="s">
        <v>409</v>
      </c>
      <c r="L101" s="19">
        <v>8322349</v>
      </c>
      <c r="M101" s="18">
        <f t="shared" si="4"/>
        <v>16644698</v>
      </c>
      <c r="N101" s="17">
        <v>44558</v>
      </c>
      <c r="O101" s="20" t="s">
        <v>70</v>
      </c>
      <c r="P101" s="22"/>
      <c r="Q101" s="38" t="s">
        <v>2593</v>
      </c>
      <c r="R101" s="19"/>
      <c r="S101" s="19"/>
    </row>
    <row r="102" spans="2:20" s="20" customFormat="1" ht="17.100000000000001" hidden="1" customHeight="1" x14ac:dyDescent="0.3">
      <c r="B102" s="17">
        <v>44516</v>
      </c>
      <c r="C102" s="17">
        <v>44517</v>
      </c>
      <c r="D102" s="20" t="s">
        <v>770</v>
      </c>
      <c r="E102" s="15" t="s">
        <v>564</v>
      </c>
      <c r="F102" s="15" t="s">
        <v>25</v>
      </c>
      <c r="G102" s="15" t="s">
        <v>21</v>
      </c>
      <c r="H102" s="16" t="s">
        <v>413</v>
      </c>
      <c r="I102" s="15">
        <v>2</v>
      </c>
      <c r="J102" s="15" t="s">
        <v>411</v>
      </c>
      <c r="K102" s="29" t="s">
        <v>412</v>
      </c>
      <c r="L102" s="19">
        <v>5000000</v>
      </c>
      <c r="M102" s="18">
        <f t="shared" si="4"/>
        <v>10000000</v>
      </c>
      <c r="N102" s="17">
        <v>44537</v>
      </c>
      <c r="O102" s="20" t="s">
        <v>410</v>
      </c>
      <c r="P102" s="22"/>
      <c r="Q102" s="38" t="s">
        <v>2610</v>
      </c>
      <c r="R102" s="19"/>
      <c r="S102" s="19"/>
    </row>
    <row r="103" spans="2:20" s="20" customFormat="1" ht="17.100000000000001" hidden="1" customHeight="1" x14ac:dyDescent="0.3">
      <c r="B103" s="17">
        <v>44516</v>
      </c>
      <c r="C103" s="17">
        <v>44517</v>
      </c>
      <c r="D103" s="20" t="s">
        <v>771</v>
      </c>
      <c r="E103" s="15" t="s">
        <v>565</v>
      </c>
      <c r="F103" s="15" t="s">
        <v>25</v>
      </c>
      <c r="G103" s="15" t="s">
        <v>21</v>
      </c>
      <c r="H103" s="16" t="s">
        <v>414</v>
      </c>
      <c r="I103" s="15">
        <v>1</v>
      </c>
      <c r="J103" s="15" t="s">
        <v>411</v>
      </c>
      <c r="K103" s="29" t="s">
        <v>412</v>
      </c>
      <c r="L103" s="19">
        <v>3600000</v>
      </c>
      <c r="M103" s="18">
        <f t="shared" si="4"/>
        <v>3600000</v>
      </c>
      <c r="N103" s="17">
        <v>44537</v>
      </c>
      <c r="O103" s="20" t="s">
        <v>410</v>
      </c>
      <c r="P103" s="22"/>
      <c r="Q103" s="38" t="s">
        <v>2610</v>
      </c>
      <c r="R103" s="19"/>
      <c r="S103" s="19"/>
    </row>
    <row r="104" spans="2:20" s="20" customFormat="1" ht="17.100000000000001" hidden="1" customHeight="1" x14ac:dyDescent="0.3">
      <c r="B104" s="17">
        <v>44517</v>
      </c>
      <c r="C104" s="17">
        <v>44520</v>
      </c>
      <c r="D104" s="20" t="s">
        <v>416</v>
      </c>
      <c r="E104" s="15" t="s">
        <v>415</v>
      </c>
      <c r="F104" s="15" t="s">
        <v>46</v>
      </c>
      <c r="G104" s="15" t="s">
        <v>21</v>
      </c>
      <c r="H104" s="16" t="s">
        <v>417</v>
      </c>
      <c r="I104" s="15">
        <v>1</v>
      </c>
      <c r="J104" s="15" t="s">
        <v>418</v>
      </c>
      <c r="K104" s="29" t="s">
        <v>419</v>
      </c>
      <c r="L104" s="19">
        <v>9187000</v>
      </c>
      <c r="M104" s="18">
        <f t="shared" si="4"/>
        <v>11142000</v>
      </c>
      <c r="N104" s="17">
        <v>44547</v>
      </c>
      <c r="O104" s="23" t="s">
        <v>51</v>
      </c>
      <c r="P104" s="22"/>
      <c r="Q104" s="38" t="s">
        <v>2586</v>
      </c>
      <c r="R104" s="19">
        <v>1578000</v>
      </c>
      <c r="S104" s="19">
        <v>1955000</v>
      </c>
      <c r="T104" s="45">
        <f>S104-R104</f>
        <v>377000</v>
      </c>
    </row>
    <row r="105" spans="2:20" s="20" customFormat="1" ht="17.100000000000001" hidden="1" customHeight="1" x14ac:dyDescent="0.3">
      <c r="B105" s="17">
        <v>44522</v>
      </c>
      <c r="C105" s="17">
        <v>44524</v>
      </c>
      <c r="D105" s="20" t="s">
        <v>435</v>
      </c>
      <c r="E105" s="15" t="s">
        <v>434</v>
      </c>
      <c r="F105" s="15" t="s">
        <v>25</v>
      </c>
      <c r="G105" s="15" t="s">
        <v>21</v>
      </c>
      <c r="H105" s="16" t="s">
        <v>436</v>
      </c>
      <c r="I105" s="15">
        <v>1</v>
      </c>
      <c r="J105" s="15" t="s">
        <v>439</v>
      </c>
      <c r="K105" s="29" t="s">
        <v>438</v>
      </c>
      <c r="L105" s="19">
        <v>11400000</v>
      </c>
      <c r="M105" s="18">
        <f t="shared" si="4"/>
        <v>11400000</v>
      </c>
      <c r="N105" s="17">
        <v>44537</v>
      </c>
      <c r="O105" s="20" t="s">
        <v>437</v>
      </c>
      <c r="P105" s="22"/>
      <c r="Q105" s="38" t="s">
        <v>2611</v>
      </c>
      <c r="R105" s="19"/>
      <c r="S105" s="19"/>
    </row>
    <row r="106" spans="2:20" s="20" customFormat="1" ht="17.100000000000001" hidden="1" customHeight="1" x14ac:dyDescent="0.3">
      <c r="B106" s="17">
        <v>44523</v>
      </c>
      <c r="C106" s="17">
        <v>44523</v>
      </c>
      <c r="D106" s="20" t="s">
        <v>444</v>
      </c>
      <c r="E106" s="15" t="s">
        <v>443</v>
      </c>
      <c r="F106" s="15" t="s">
        <v>46</v>
      </c>
      <c r="G106" s="15" t="s">
        <v>21</v>
      </c>
      <c r="H106" s="16" t="s">
        <v>445</v>
      </c>
      <c r="I106" s="15">
        <v>2</v>
      </c>
      <c r="J106" s="15" t="s">
        <v>49</v>
      </c>
      <c r="K106" s="29" t="s">
        <v>191</v>
      </c>
      <c r="L106" s="19">
        <v>3230000</v>
      </c>
      <c r="M106" s="18">
        <f t="shared" si="4"/>
        <v>6460000</v>
      </c>
      <c r="N106" s="17">
        <v>44561</v>
      </c>
      <c r="P106" s="22" t="s">
        <v>174</v>
      </c>
      <c r="Q106" s="38" t="s">
        <v>2608</v>
      </c>
      <c r="R106" s="19"/>
      <c r="S106" s="19"/>
    </row>
    <row r="107" spans="2:20" s="20" customFormat="1" ht="17.100000000000001" hidden="1" customHeight="1" x14ac:dyDescent="0.3">
      <c r="B107" s="17">
        <v>44524</v>
      </c>
      <c r="C107" s="17">
        <v>44527</v>
      </c>
      <c r="D107" s="20" t="s">
        <v>918</v>
      </c>
      <c r="E107" s="15" t="s">
        <v>446</v>
      </c>
      <c r="F107" s="15" t="s">
        <v>46</v>
      </c>
      <c r="G107" s="15" t="s">
        <v>21</v>
      </c>
      <c r="H107" s="16">
        <v>400</v>
      </c>
      <c r="I107" s="15">
        <v>4</v>
      </c>
      <c r="J107" s="15" t="s">
        <v>226</v>
      </c>
      <c r="K107" s="29" t="s">
        <v>227</v>
      </c>
      <c r="L107" s="19">
        <v>23128390</v>
      </c>
      <c r="M107" s="18">
        <f t="shared" si="4"/>
        <v>92513560</v>
      </c>
      <c r="N107" s="17">
        <v>44538</v>
      </c>
      <c r="O107" s="20" t="s">
        <v>70</v>
      </c>
      <c r="P107" s="22"/>
      <c r="Q107" s="38" t="s">
        <v>2593</v>
      </c>
      <c r="R107" s="19"/>
      <c r="S107" s="19"/>
    </row>
    <row r="108" spans="2:20" s="20" customFormat="1" ht="17.100000000000001" hidden="1" customHeight="1" x14ac:dyDescent="0.3">
      <c r="B108" s="17">
        <v>44524</v>
      </c>
      <c r="C108" s="17">
        <v>44526</v>
      </c>
      <c r="D108" s="20" t="s">
        <v>448</v>
      </c>
      <c r="E108" s="15" t="s">
        <v>447</v>
      </c>
      <c r="F108" s="15" t="s">
        <v>46</v>
      </c>
      <c r="G108" s="15" t="s">
        <v>21</v>
      </c>
      <c r="H108" s="16" t="s">
        <v>449</v>
      </c>
      <c r="I108" s="15">
        <v>1</v>
      </c>
      <c r="J108" s="15" t="s">
        <v>83</v>
      </c>
      <c r="K108" s="29" t="s">
        <v>84</v>
      </c>
      <c r="L108" s="19">
        <v>9187000</v>
      </c>
      <c r="M108" s="18">
        <f t="shared" si="4"/>
        <v>11142000</v>
      </c>
      <c r="N108" s="17">
        <v>44547</v>
      </c>
      <c r="O108" s="23" t="s">
        <v>51</v>
      </c>
      <c r="P108" s="22"/>
      <c r="Q108" s="38" t="s">
        <v>2586</v>
      </c>
      <c r="R108" s="19">
        <v>1578000</v>
      </c>
      <c r="S108" s="19">
        <v>1955000</v>
      </c>
      <c r="T108" s="45">
        <f t="shared" ref="T108:T110" si="5">S108-R108</f>
        <v>377000</v>
      </c>
    </row>
    <row r="109" spans="2:20" s="20" customFormat="1" ht="17.100000000000001" hidden="1" customHeight="1" x14ac:dyDescent="0.3">
      <c r="B109" s="17">
        <v>44525</v>
      </c>
      <c r="C109" s="17">
        <v>44526</v>
      </c>
      <c r="D109" s="20" t="s">
        <v>451</v>
      </c>
      <c r="E109" s="15" t="s">
        <v>450</v>
      </c>
      <c r="F109" s="15" t="s">
        <v>46</v>
      </c>
      <c r="G109" s="15" t="s">
        <v>21</v>
      </c>
      <c r="H109" s="16" t="s">
        <v>455</v>
      </c>
      <c r="I109" s="15">
        <v>1</v>
      </c>
      <c r="J109" s="15" t="s">
        <v>83</v>
      </c>
      <c r="K109" s="29" t="s">
        <v>84</v>
      </c>
      <c r="L109" s="19">
        <v>10555500</v>
      </c>
      <c r="M109" s="18">
        <f t="shared" si="4"/>
        <v>12044000</v>
      </c>
      <c r="N109" s="17">
        <v>44547</v>
      </c>
      <c r="O109" s="23" t="s">
        <v>51</v>
      </c>
      <c r="P109" s="22"/>
      <c r="Q109" s="38" t="s">
        <v>2586</v>
      </c>
      <c r="R109" s="19">
        <v>1201000</v>
      </c>
      <c r="S109" s="19">
        <v>1488500</v>
      </c>
      <c r="T109" s="45">
        <f t="shared" si="5"/>
        <v>287500</v>
      </c>
    </row>
    <row r="110" spans="2:20" s="20" customFormat="1" ht="17.100000000000001" hidden="1" customHeight="1" x14ac:dyDescent="0.3">
      <c r="B110" s="17">
        <v>44525</v>
      </c>
      <c r="C110" s="17">
        <v>44527</v>
      </c>
      <c r="D110" s="20" t="s">
        <v>453</v>
      </c>
      <c r="E110" s="15" t="s">
        <v>452</v>
      </c>
      <c r="F110" s="15" t="s">
        <v>46</v>
      </c>
      <c r="G110" s="15" t="s">
        <v>21</v>
      </c>
      <c r="H110" s="16" t="s">
        <v>454</v>
      </c>
      <c r="I110" s="15">
        <v>1</v>
      </c>
      <c r="J110" s="15" t="s">
        <v>83</v>
      </c>
      <c r="K110" s="29" t="s">
        <v>84</v>
      </c>
      <c r="L110" s="19">
        <v>11384000</v>
      </c>
      <c r="M110" s="18">
        <f t="shared" si="4"/>
        <v>13535000</v>
      </c>
      <c r="N110" s="17">
        <v>44547</v>
      </c>
      <c r="O110" s="23" t="s">
        <v>51</v>
      </c>
      <c r="P110" s="22"/>
      <c r="Q110" s="38" t="s">
        <v>2586</v>
      </c>
      <c r="R110" s="19">
        <v>1736000</v>
      </c>
      <c r="S110" s="19">
        <v>2151000</v>
      </c>
      <c r="T110" s="45">
        <f t="shared" si="5"/>
        <v>415000</v>
      </c>
    </row>
    <row r="111" spans="2:20" s="20" customFormat="1" ht="17.100000000000001" hidden="1" customHeight="1" x14ac:dyDescent="0.3">
      <c r="B111" s="17">
        <v>44525</v>
      </c>
      <c r="C111" s="17">
        <v>44525</v>
      </c>
      <c r="D111" s="20" t="s">
        <v>457</v>
      </c>
      <c r="E111" s="15" t="s">
        <v>456</v>
      </c>
      <c r="F111" s="15" t="s">
        <v>46</v>
      </c>
      <c r="G111" s="15" t="s">
        <v>21</v>
      </c>
      <c r="H111" s="16">
        <v>200</v>
      </c>
      <c r="I111" s="15">
        <v>1</v>
      </c>
      <c r="J111" s="15" t="s">
        <v>458</v>
      </c>
      <c r="K111" s="29" t="s">
        <v>606</v>
      </c>
      <c r="L111" s="19">
        <v>8322349</v>
      </c>
      <c r="M111" s="18">
        <f t="shared" si="4"/>
        <v>8322349</v>
      </c>
      <c r="N111" s="17">
        <v>44545</v>
      </c>
      <c r="O111" s="20" t="s">
        <v>70</v>
      </c>
      <c r="P111" s="22"/>
      <c r="Q111" s="38" t="s">
        <v>2593</v>
      </c>
      <c r="R111" s="19"/>
      <c r="S111" s="19"/>
    </row>
    <row r="112" spans="2:20" s="20" customFormat="1" ht="17.100000000000001" hidden="1" customHeight="1" x14ac:dyDescent="0.3">
      <c r="B112" s="17">
        <v>44526</v>
      </c>
      <c r="C112" s="17">
        <v>44529</v>
      </c>
      <c r="D112" s="20" t="s">
        <v>464</v>
      </c>
      <c r="E112" s="15" t="s">
        <v>463</v>
      </c>
      <c r="F112" s="15" t="s">
        <v>46</v>
      </c>
      <c r="G112" s="15" t="s">
        <v>21</v>
      </c>
      <c r="H112" s="16">
        <v>500</v>
      </c>
      <c r="I112" s="15">
        <v>1</v>
      </c>
      <c r="J112" s="15" t="s">
        <v>69</v>
      </c>
      <c r="K112" s="29" t="s">
        <v>66</v>
      </c>
      <c r="L112" s="19">
        <v>27375226</v>
      </c>
      <c r="M112" s="18">
        <f t="shared" si="4"/>
        <v>27375226</v>
      </c>
      <c r="N112" s="17">
        <v>44551</v>
      </c>
      <c r="O112" s="20" t="s">
        <v>70</v>
      </c>
      <c r="P112" s="22"/>
      <c r="Q112" s="38" t="s">
        <v>2593</v>
      </c>
      <c r="R112" s="19"/>
      <c r="S112" s="19"/>
    </row>
    <row r="113" spans="2:21" s="20" customFormat="1" ht="17.100000000000001" hidden="1" customHeight="1" x14ac:dyDescent="0.3">
      <c r="B113" s="17">
        <v>44526</v>
      </c>
      <c r="C113" s="17">
        <v>44535</v>
      </c>
      <c r="D113" s="20" t="s">
        <v>460</v>
      </c>
      <c r="E113" s="15" t="s">
        <v>459</v>
      </c>
      <c r="F113" s="15" t="s">
        <v>46</v>
      </c>
      <c r="G113" s="15" t="s">
        <v>21</v>
      </c>
      <c r="H113" s="16">
        <v>750</v>
      </c>
      <c r="I113" s="15">
        <v>4</v>
      </c>
      <c r="J113" s="15" t="s">
        <v>462</v>
      </c>
      <c r="K113" s="29" t="s">
        <v>461</v>
      </c>
      <c r="L113" s="19">
        <v>37500000</v>
      </c>
      <c r="M113" s="18">
        <f t="shared" si="4"/>
        <v>150000000</v>
      </c>
      <c r="N113" s="17">
        <v>44551</v>
      </c>
      <c r="O113" s="20" t="s">
        <v>475</v>
      </c>
      <c r="P113" s="22"/>
      <c r="Q113" s="38" t="s">
        <v>2612</v>
      </c>
      <c r="R113" s="19"/>
      <c r="S113" s="19"/>
    </row>
    <row r="114" spans="2:21" s="20" customFormat="1" ht="17.100000000000001" hidden="1" customHeight="1" x14ac:dyDescent="0.3">
      <c r="B114" s="17">
        <v>44527</v>
      </c>
      <c r="C114" s="17">
        <v>44535</v>
      </c>
      <c r="D114" s="20" t="s">
        <v>460</v>
      </c>
      <c r="E114" s="15" t="s">
        <v>465</v>
      </c>
      <c r="F114" s="15" t="s">
        <v>46</v>
      </c>
      <c r="G114" s="15" t="s">
        <v>21</v>
      </c>
      <c r="H114" s="16">
        <v>750</v>
      </c>
      <c r="I114" s="15">
        <v>4</v>
      </c>
      <c r="J114" s="15" t="s">
        <v>462</v>
      </c>
      <c r="K114" s="29" t="s">
        <v>461</v>
      </c>
      <c r="L114" s="19">
        <v>37500000</v>
      </c>
      <c r="M114" s="18">
        <f t="shared" si="4"/>
        <v>150000000</v>
      </c>
      <c r="N114" s="17">
        <v>44551</v>
      </c>
      <c r="O114" s="20" t="s">
        <v>475</v>
      </c>
      <c r="P114" s="22"/>
      <c r="Q114" s="38" t="s">
        <v>2612</v>
      </c>
      <c r="R114" s="19"/>
      <c r="S114" s="19"/>
    </row>
    <row r="115" spans="2:21" s="20" customFormat="1" ht="17.100000000000001" hidden="1" customHeight="1" x14ac:dyDescent="0.3">
      <c r="B115" s="17">
        <v>44527</v>
      </c>
      <c r="C115" s="17">
        <v>44529</v>
      </c>
      <c r="D115" s="22" t="s">
        <v>467</v>
      </c>
      <c r="E115" s="15" t="s">
        <v>466</v>
      </c>
      <c r="F115" s="15" t="s">
        <v>46</v>
      </c>
      <c r="G115" s="15" t="s">
        <v>21</v>
      </c>
      <c r="H115" s="16">
        <v>100</v>
      </c>
      <c r="I115" s="15">
        <v>2</v>
      </c>
      <c r="J115" s="15" t="s">
        <v>69</v>
      </c>
      <c r="K115" s="29" t="s">
        <v>1144</v>
      </c>
      <c r="L115" s="19">
        <v>3906015</v>
      </c>
      <c r="M115" s="18">
        <f t="shared" si="4"/>
        <v>7812030</v>
      </c>
      <c r="N115" s="17">
        <v>44551</v>
      </c>
      <c r="O115" s="20" t="s">
        <v>70</v>
      </c>
      <c r="P115" s="22"/>
      <c r="Q115" s="38" t="s">
        <v>2593</v>
      </c>
      <c r="R115" s="19"/>
      <c r="S115" s="19"/>
    </row>
    <row r="116" spans="2:21" s="20" customFormat="1" ht="17.100000000000001" hidden="1" customHeight="1" x14ac:dyDescent="0.3">
      <c r="B116" s="17">
        <v>44529</v>
      </c>
      <c r="C116" s="17">
        <v>44544</v>
      </c>
      <c r="D116" s="20" t="s">
        <v>476</v>
      </c>
      <c r="E116" s="15" t="s">
        <v>523</v>
      </c>
      <c r="F116" s="15" t="s">
        <v>25</v>
      </c>
      <c r="G116" s="15" t="s">
        <v>21</v>
      </c>
      <c r="H116" s="16" t="s">
        <v>345</v>
      </c>
      <c r="I116" s="15">
        <v>1</v>
      </c>
      <c r="J116" s="15" t="s">
        <v>347</v>
      </c>
      <c r="K116" s="29" t="s">
        <v>696</v>
      </c>
      <c r="L116" s="19">
        <v>23400000</v>
      </c>
      <c r="M116" s="18">
        <f t="shared" si="4"/>
        <v>23400000</v>
      </c>
      <c r="N116" s="17">
        <v>44550</v>
      </c>
      <c r="O116" s="20" t="s">
        <v>346</v>
      </c>
      <c r="P116" s="22"/>
      <c r="Q116" s="38" t="s">
        <v>2606</v>
      </c>
      <c r="R116" s="19"/>
      <c r="S116" s="19"/>
    </row>
    <row r="117" spans="2:21" s="20" customFormat="1" ht="17.100000000000001" hidden="1" customHeight="1" x14ac:dyDescent="0.3">
      <c r="B117" s="17">
        <v>44530</v>
      </c>
      <c r="C117" s="17">
        <v>44536</v>
      </c>
      <c r="D117" s="20" t="s">
        <v>478</v>
      </c>
      <c r="E117" s="15" t="s">
        <v>477</v>
      </c>
      <c r="F117" s="15" t="s">
        <v>46</v>
      </c>
      <c r="G117" s="15" t="s">
        <v>21</v>
      </c>
      <c r="H117" s="16">
        <v>450</v>
      </c>
      <c r="I117" s="15">
        <v>4</v>
      </c>
      <c r="J117" s="15" t="s">
        <v>479</v>
      </c>
      <c r="K117" s="29" t="s">
        <v>409</v>
      </c>
      <c r="L117" s="19">
        <v>24268812</v>
      </c>
      <c r="M117" s="18">
        <f t="shared" si="4"/>
        <v>97075248</v>
      </c>
      <c r="N117" s="17">
        <v>44558</v>
      </c>
      <c r="O117" s="20" t="s">
        <v>70</v>
      </c>
      <c r="P117" s="22"/>
      <c r="Q117" s="38" t="s">
        <v>2593</v>
      </c>
      <c r="R117" s="19"/>
      <c r="S117" s="19"/>
    </row>
    <row r="118" spans="2:21" s="20" customFormat="1" ht="17.100000000000001" hidden="1" customHeight="1" x14ac:dyDescent="0.3">
      <c r="B118" s="17">
        <v>44531</v>
      </c>
      <c r="C118" s="17">
        <v>44531</v>
      </c>
      <c r="D118" s="20" t="s">
        <v>480</v>
      </c>
      <c r="E118" s="15" t="s">
        <v>481</v>
      </c>
      <c r="F118" s="15" t="s">
        <v>482</v>
      </c>
      <c r="G118" s="15" t="s">
        <v>21</v>
      </c>
      <c r="H118" s="16">
        <v>50</v>
      </c>
      <c r="I118" s="15">
        <v>1</v>
      </c>
      <c r="J118" s="15" t="s">
        <v>484</v>
      </c>
      <c r="K118" s="29" t="s">
        <v>483</v>
      </c>
      <c r="L118" s="19">
        <v>1500000</v>
      </c>
      <c r="M118" s="18">
        <f t="shared" si="4"/>
        <v>1500000</v>
      </c>
      <c r="N118" s="17">
        <v>44536</v>
      </c>
      <c r="P118" s="22"/>
      <c r="Q118" s="38" t="s">
        <v>2613</v>
      </c>
      <c r="R118" s="19"/>
      <c r="S118" s="19"/>
    </row>
    <row r="119" spans="2:21" s="20" customFormat="1" ht="17.100000000000001" hidden="1" customHeight="1" x14ac:dyDescent="0.3">
      <c r="B119" s="17">
        <v>44532</v>
      </c>
      <c r="C119" s="17">
        <v>44537</v>
      </c>
      <c r="D119" s="20" t="s">
        <v>491</v>
      </c>
      <c r="E119" s="15" t="s">
        <v>490</v>
      </c>
      <c r="F119" s="15" t="s">
        <v>46</v>
      </c>
      <c r="G119" s="15" t="s">
        <v>21</v>
      </c>
      <c r="H119" s="16" t="s">
        <v>492</v>
      </c>
      <c r="I119" s="15">
        <v>1</v>
      </c>
      <c r="J119" s="15" t="s">
        <v>49</v>
      </c>
      <c r="K119" s="29" t="s">
        <v>493</v>
      </c>
      <c r="L119" s="19">
        <v>100594800</v>
      </c>
      <c r="M119" s="18">
        <f t="shared" si="4"/>
        <v>112010800</v>
      </c>
      <c r="N119" s="17">
        <v>44666</v>
      </c>
      <c r="O119" s="23" t="s">
        <v>51</v>
      </c>
      <c r="P119" s="22"/>
      <c r="Q119" s="38" t="s">
        <v>2586</v>
      </c>
      <c r="R119" s="19">
        <v>9204000</v>
      </c>
      <c r="S119" s="19">
        <v>11416000</v>
      </c>
      <c r="T119" s="45">
        <f>S119-R119</f>
        <v>2212000</v>
      </c>
    </row>
    <row r="120" spans="2:21" s="20" customFormat="1" ht="17.100000000000001" hidden="1" customHeight="1" x14ac:dyDescent="0.3">
      <c r="B120" s="17">
        <v>44533</v>
      </c>
      <c r="C120" s="17">
        <v>44543</v>
      </c>
      <c r="D120" s="20" t="s">
        <v>495</v>
      </c>
      <c r="E120" s="15" t="s">
        <v>494</v>
      </c>
      <c r="F120" s="15" t="s">
        <v>46</v>
      </c>
      <c r="G120" s="15" t="s">
        <v>21</v>
      </c>
      <c r="H120" s="16">
        <v>600</v>
      </c>
      <c r="I120" s="15">
        <v>2</v>
      </c>
      <c r="J120" s="15" t="s">
        <v>496</v>
      </c>
      <c r="K120" s="29" t="s">
        <v>512</v>
      </c>
      <c r="L120" s="19">
        <v>24900000</v>
      </c>
      <c r="M120" s="18">
        <f t="shared" si="4"/>
        <v>49800000</v>
      </c>
      <c r="N120" s="17">
        <v>44552</v>
      </c>
      <c r="P120" s="22"/>
      <c r="Q120" s="38" t="s">
        <v>2614</v>
      </c>
      <c r="R120" s="19"/>
      <c r="S120" s="19"/>
    </row>
    <row r="121" spans="2:21" s="20" customFormat="1" ht="17.100000000000001" hidden="1" customHeight="1" x14ac:dyDescent="0.3">
      <c r="B121" s="17">
        <v>44536</v>
      </c>
      <c r="C121" s="17">
        <v>44537</v>
      </c>
      <c r="D121" s="20" t="s">
        <v>498</v>
      </c>
      <c r="E121" s="15" t="s">
        <v>497</v>
      </c>
      <c r="F121" s="15" t="s">
        <v>46</v>
      </c>
      <c r="G121" s="15" t="s">
        <v>21</v>
      </c>
      <c r="H121" s="16" t="s">
        <v>499</v>
      </c>
      <c r="I121" s="15">
        <v>1</v>
      </c>
      <c r="J121" s="15" t="s">
        <v>49</v>
      </c>
      <c r="K121" s="29" t="s">
        <v>500</v>
      </c>
      <c r="L121" s="19">
        <v>9187000</v>
      </c>
      <c r="M121" s="18">
        <f t="shared" si="4"/>
        <v>11142000</v>
      </c>
      <c r="N121" s="17">
        <v>44547</v>
      </c>
      <c r="O121" s="23" t="s">
        <v>51</v>
      </c>
      <c r="P121" s="22"/>
      <c r="Q121" s="38" t="s">
        <v>2586</v>
      </c>
      <c r="R121" s="19">
        <v>1578000</v>
      </c>
      <c r="S121" s="19">
        <v>1955000</v>
      </c>
      <c r="T121" s="45">
        <f>S121-R121</f>
        <v>377000</v>
      </c>
      <c r="U121" s="20" t="s">
        <v>634</v>
      </c>
    </row>
    <row r="122" spans="2:21" s="20" customFormat="1" ht="17.100000000000001" hidden="1" customHeight="1" x14ac:dyDescent="0.3">
      <c r="B122" s="17">
        <v>44538</v>
      </c>
      <c r="C122" s="17">
        <v>44559</v>
      </c>
      <c r="D122" s="20" t="s">
        <v>1254</v>
      </c>
      <c r="E122" s="15" t="s">
        <v>501</v>
      </c>
      <c r="F122" s="15" t="s">
        <v>25</v>
      </c>
      <c r="G122" s="15" t="s">
        <v>106</v>
      </c>
      <c r="H122" s="16" t="s">
        <v>503</v>
      </c>
      <c r="I122" s="15">
        <v>1</v>
      </c>
      <c r="J122" s="15" t="s">
        <v>508</v>
      </c>
      <c r="K122" s="29" t="s">
        <v>506</v>
      </c>
      <c r="L122" s="19">
        <v>44000000</v>
      </c>
      <c r="M122" s="18">
        <f t="shared" si="4"/>
        <v>44000000</v>
      </c>
      <c r="N122" s="17">
        <v>44854</v>
      </c>
      <c r="O122" s="20" t="s">
        <v>507</v>
      </c>
      <c r="P122" s="58" t="s">
        <v>842</v>
      </c>
      <c r="Q122" s="38" t="s">
        <v>2615</v>
      </c>
      <c r="R122" s="19"/>
      <c r="S122" s="19"/>
      <c r="U122" s="20" t="s">
        <v>634</v>
      </c>
    </row>
    <row r="123" spans="2:21" s="20" customFormat="1" ht="17.100000000000001" hidden="1" customHeight="1" x14ac:dyDescent="0.3">
      <c r="B123" s="17">
        <v>44539</v>
      </c>
      <c r="C123" s="17">
        <v>44552</v>
      </c>
      <c r="D123" s="20" t="s">
        <v>514</v>
      </c>
      <c r="E123" s="15" t="s">
        <v>619</v>
      </c>
      <c r="F123" s="15" t="s">
        <v>25</v>
      </c>
      <c r="G123" s="15" t="s">
        <v>106</v>
      </c>
      <c r="H123" s="16" t="s">
        <v>28</v>
      </c>
      <c r="I123" s="15">
        <v>1</v>
      </c>
      <c r="J123" s="15"/>
      <c r="K123" s="29" t="s">
        <v>222</v>
      </c>
      <c r="L123" s="19">
        <v>27050000</v>
      </c>
      <c r="M123" s="18">
        <f t="shared" si="4"/>
        <v>27050000</v>
      </c>
      <c r="N123" s="17">
        <v>44561</v>
      </c>
      <c r="O123" s="20" t="s">
        <v>608</v>
      </c>
      <c r="P123" s="22"/>
      <c r="Q123" s="38" t="s">
        <v>2616</v>
      </c>
      <c r="R123" s="19"/>
      <c r="S123" s="19"/>
      <c r="U123" s="20" t="s">
        <v>633</v>
      </c>
    </row>
    <row r="124" spans="2:21" s="20" customFormat="1" ht="17.100000000000001" hidden="1" customHeight="1" x14ac:dyDescent="0.3">
      <c r="B124" s="17">
        <v>44540</v>
      </c>
      <c r="C124" s="17">
        <v>44553</v>
      </c>
      <c r="D124" s="20" t="s">
        <v>656</v>
      </c>
      <c r="E124" s="15" t="s">
        <v>657</v>
      </c>
      <c r="F124" s="15" t="s">
        <v>25</v>
      </c>
      <c r="G124" s="15" t="s">
        <v>106</v>
      </c>
      <c r="H124" s="16" t="s">
        <v>515</v>
      </c>
      <c r="I124" s="15">
        <v>1</v>
      </c>
      <c r="J124" s="15" t="s">
        <v>516</v>
      </c>
      <c r="K124" s="29" t="s">
        <v>695</v>
      </c>
      <c r="L124" s="19">
        <v>25136364</v>
      </c>
      <c r="M124" s="18">
        <f t="shared" si="4"/>
        <v>25136364</v>
      </c>
      <c r="N124" s="17">
        <v>44587</v>
      </c>
      <c r="O124" s="20" t="s">
        <v>655</v>
      </c>
      <c r="P124" s="22"/>
      <c r="Q124" s="38" t="s">
        <v>2617</v>
      </c>
      <c r="R124" s="19"/>
      <c r="S124" s="19"/>
      <c r="U124" s="20" t="s">
        <v>633</v>
      </c>
    </row>
    <row r="125" spans="2:21" s="20" customFormat="1" ht="17.100000000000001" hidden="1" customHeight="1" x14ac:dyDescent="0.3">
      <c r="B125" s="17">
        <v>44541</v>
      </c>
      <c r="C125" s="17">
        <v>44545</v>
      </c>
      <c r="D125" s="60" t="s">
        <v>521</v>
      </c>
      <c r="E125" s="15" t="s">
        <v>520</v>
      </c>
      <c r="F125" s="15" t="s">
        <v>46</v>
      </c>
      <c r="G125" s="15" t="s">
        <v>21</v>
      </c>
      <c r="H125" s="16" t="s">
        <v>576</v>
      </c>
      <c r="I125" s="15">
        <v>1</v>
      </c>
      <c r="J125" s="15" t="s">
        <v>83</v>
      </c>
      <c r="K125" s="29" t="s">
        <v>84</v>
      </c>
      <c r="L125" s="19">
        <v>31183200</v>
      </c>
      <c r="M125" s="18">
        <f t="shared" si="4"/>
        <v>36237200</v>
      </c>
      <c r="N125" s="17">
        <v>44644</v>
      </c>
      <c r="O125" s="23" t="s">
        <v>51</v>
      </c>
      <c r="P125" s="22"/>
      <c r="Q125" s="38" t="s">
        <v>2586</v>
      </c>
      <c r="R125" s="19">
        <f>1019000*4</f>
        <v>4076000</v>
      </c>
      <c r="S125" s="19">
        <v>5054000</v>
      </c>
      <c r="T125" s="45">
        <f t="shared" ref="T125:T126" si="6">S125-R125</f>
        <v>978000</v>
      </c>
      <c r="U125" s="20" t="s">
        <v>634</v>
      </c>
    </row>
    <row r="126" spans="2:21" s="20" customFormat="1" ht="17.100000000000001" hidden="1" customHeight="1" x14ac:dyDescent="0.3">
      <c r="B126" s="17">
        <v>44541</v>
      </c>
      <c r="C126" s="17">
        <v>44545</v>
      </c>
      <c r="D126" s="61" t="s">
        <v>578</v>
      </c>
      <c r="E126" s="15" t="s">
        <v>577</v>
      </c>
      <c r="F126" s="15" t="s">
        <v>46</v>
      </c>
      <c r="G126" s="15" t="s">
        <v>21</v>
      </c>
      <c r="H126" s="16" t="s">
        <v>579</v>
      </c>
      <c r="I126" s="15">
        <v>1</v>
      </c>
      <c r="J126" s="15" t="s">
        <v>83</v>
      </c>
      <c r="K126" s="29" t="s">
        <v>84</v>
      </c>
      <c r="L126" s="19">
        <v>17280000</v>
      </c>
      <c r="M126" s="18">
        <f t="shared" si="4"/>
        <v>19807000</v>
      </c>
      <c r="N126" s="17">
        <v>44644</v>
      </c>
      <c r="O126" s="23" t="s">
        <v>51</v>
      </c>
      <c r="P126" s="22"/>
      <c r="Q126" s="38" t="s">
        <v>2586</v>
      </c>
      <c r="R126" s="19">
        <f>1019000*2</f>
        <v>2038000</v>
      </c>
      <c r="S126" s="19">
        <v>2527000</v>
      </c>
      <c r="T126" s="45">
        <f t="shared" si="6"/>
        <v>489000</v>
      </c>
      <c r="U126" s="20" t="s">
        <v>634</v>
      </c>
    </row>
    <row r="127" spans="2:21" s="20" customFormat="1" ht="17.100000000000001" hidden="1" customHeight="1" x14ac:dyDescent="0.3">
      <c r="B127" s="17">
        <v>44545</v>
      </c>
      <c r="C127" s="17">
        <v>44545</v>
      </c>
      <c r="D127" s="20" t="s">
        <v>581</v>
      </c>
      <c r="E127" s="15" t="s">
        <v>580</v>
      </c>
      <c r="F127" s="15" t="s">
        <v>25</v>
      </c>
      <c r="G127" s="15" t="s">
        <v>21</v>
      </c>
      <c r="H127" s="16" t="s">
        <v>582</v>
      </c>
      <c r="I127" s="15">
        <v>1</v>
      </c>
      <c r="J127" s="15" t="s">
        <v>583</v>
      </c>
      <c r="K127" s="29" t="s">
        <v>694</v>
      </c>
      <c r="L127" s="19">
        <v>4500000</v>
      </c>
      <c r="M127" s="18">
        <f t="shared" si="4"/>
        <v>4500000</v>
      </c>
      <c r="N127" s="17">
        <v>44560</v>
      </c>
      <c r="O127" s="20" t="s">
        <v>584</v>
      </c>
      <c r="P127" s="22"/>
      <c r="Q127" s="38" t="s">
        <v>2618</v>
      </c>
      <c r="R127" s="19"/>
      <c r="S127" s="19"/>
      <c r="U127" s="20" t="s">
        <v>631</v>
      </c>
    </row>
    <row r="128" spans="2:21" s="20" customFormat="1" ht="17.100000000000001" hidden="1" customHeight="1" x14ac:dyDescent="0.3">
      <c r="B128" s="17">
        <v>44550</v>
      </c>
      <c r="C128" s="17">
        <v>44606</v>
      </c>
      <c r="D128" s="20" t="s">
        <v>751</v>
      </c>
      <c r="E128" s="15" t="s">
        <v>590</v>
      </c>
      <c r="F128" s="15" t="s">
        <v>25</v>
      </c>
      <c r="G128" s="15" t="s">
        <v>21</v>
      </c>
      <c r="H128" s="16" t="s">
        <v>231</v>
      </c>
      <c r="I128" s="15">
        <v>1</v>
      </c>
      <c r="J128" s="15" t="s">
        <v>335</v>
      </c>
      <c r="K128" s="29" t="s">
        <v>591</v>
      </c>
      <c r="L128" s="19">
        <v>77650000</v>
      </c>
      <c r="M128" s="18">
        <f t="shared" si="4"/>
        <v>77650000</v>
      </c>
      <c r="N128" s="17">
        <v>44651</v>
      </c>
      <c r="O128" s="20" t="s">
        <v>592</v>
      </c>
      <c r="P128" s="22" t="s">
        <v>689</v>
      </c>
      <c r="Q128" s="38" t="s">
        <v>2619</v>
      </c>
      <c r="R128" s="19"/>
      <c r="S128" s="19"/>
      <c r="U128" s="20" t="s">
        <v>633</v>
      </c>
    </row>
    <row r="129" spans="2:21" s="20" customFormat="1" ht="25.5" hidden="1" customHeight="1" x14ac:dyDescent="0.3">
      <c r="B129" s="17">
        <v>44551</v>
      </c>
      <c r="C129" s="17">
        <v>44575</v>
      </c>
      <c r="D129" s="20" t="s">
        <v>741</v>
      </c>
      <c r="E129" s="15" t="s">
        <v>593</v>
      </c>
      <c r="F129" s="15" t="s">
        <v>25</v>
      </c>
      <c r="G129" s="15" t="s">
        <v>21</v>
      </c>
      <c r="H129" s="16" t="s">
        <v>594</v>
      </c>
      <c r="I129" s="15">
        <v>1</v>
      </c>
      <c r="J129" s="15" t="s">
        <v>595</v>
      </c>
      <c r="K129" s="29" t="s">
        <v>1612</v>
      </c>
      <c r="L129" s="19">
        <v>137169080</v>
      </c>
      <c r="M129" s="18">
        <f t="shared" si="4"/>
        <v>137169080</v>
      </c>
      <c r="N129" s="17">
        <v>44620</v>
      </c>
      <c r="O129" s="20" t="s">
        <v>1611</v>
      </c>
      <c r="P129" s="22" t="s">
        <v>799</v>
      </c>
      <c r="Q129" s="38" t="s">
        <v>2620</v>
      </c>
      <c r="R129" s="19"/>
      <c r="S129" s="19"/>
      <c r="U129" s="20" t="s">
        <v>633</v>
      </c>
    </row>
    <row r="130" spans="2:21" s="20" customFormat="1" ht="17.100000000000001" hidden="1" customHeight="1" x14ac:dyDescent="0.3">
      <c r="B130" s="17">
        <v>44553</v>
      </c>
      <c r="C130" s="17">
        <v>44554</v>
      </c>
      <c r="D130" s="20" t="s">
        <v>597</v>
      </c>
      <c r="E130" s="15" t="s">
        <v>596</v>
      </c>
      <c r="F130" s="15" t="s">
        <v>46</v>
      </c>
      <c r="G130" s="15" t="s">
        <v>21</v>
      </c>
      <c r="H130" s="16">
        <v>100</v>
      </c>
      <c r="I130" s="15">
        <v>4</v>
      </c>
      <c r="J130" s="15" t="s">
        <v>72</v>
      </c>
      <c r="K130" s="29" t="s">
        <v>73</v>
      </c>
      <c r="L130" s="19">
        <v>3906015</v>
      </c>
      <c r="M130" s="18">
        <f t="shared" si="4"/>
        <v>15624060</v>
      </c>
      <c r="N130" s="17">
        <v>44748</v>
      </c>
      <c r="O130" s="20" t="s">
        <v>70</v>
      </c>
      <c r="P130" s="22"/>
      <c r="Q130" s="38" t="s">
        <v>2593</v>
      </c>
      <c r="R130" s="19"/>
      <c r="S130" s="19"/>
      <c r="U130" s="20" t="s">
        <v>634</v>
      </c>
    </row>
    <row r="131" spans="2:21" s="20" customFormat="1" ht="17.100000000000001" hidden="1" customHeight="1" x14ac:dyDescent="0.3">
      <c r="B131" s="17">
        <v>44553</v>
      </c>
      <c r="C131" s="17">
        <v>44560</v>
      </c>
      <c r="D131" s="20" t="s">
        <v>599</v>
      </c>
      <c r="E131" s="15" t="s">
        <v>598</v>
      </c>
      <c r="F131" s="15" t="s">
        <v>46</v>
      </c>
      <c r="G131" s="15" t="s">
        <v>21</v>
      </c>
      <c r="H131" s="16">
        <v>250</v>
      </c>
      <c r="I131" s="15">
        <v>2</v>
      </c>
      <c r="J131" s="15" t="s">
        <v>69</v>
      </c>
      <c r="K131" s="29" t="s">
        <v>600</v>
      </c>
      <c r="L131" s="19">
        <v>10702233</v>
      </c>
      <c r="M131" s="18">
        <f t="shared" si="4"/>
        <v>21404466</v>
      </c>
      <c r="N131" s="17">
        <v>44795</v>
      </c>
      <c r="O131" s="20" t="s">
        <v>70</v>
      </c>
      <c r="P131" s="22"/>
      <c r="Q131" s="38" t="s">
        <v>2593</v>
      </c>
      <c r="R131" s="19"/>
      <c r="S131" s="19"/>
      <c r="U131" s="20" t="s">
        <v>634</v>
      </c>
    </row>
    <row r="132" spans="2:21" s="20" customFormat="1" ht="17.100000000000001" hidden="1" customHeight="1" x14ac:dyDescent="0.3">
      <c r="B132" s="17">
        <v>44558</v>
      </c>
      <c r="C132" s="17">
        <v>44559</v>
      </c>
      <c r="D132" s="61" t="s">
        <v>602</v>
      </c>
      <c r="E132" s="15" t="s">
        <v>601</v>
      </c>
      <c r="F132" s="15" t="s">
        <v>46</v>
      </c>
      <c r="G132" s="15" t="s">
        <v>21</v>
      </c>
      <c r="H132" s="16" t="s">
        <v>603</v>
      </c>
      <c r="I132" s="15">
        <v>1</v>
      </c>
      <c r="J132" s="15" t="s">
        <v>83</v>
      </c>
      <c r="K132" s="29" t="s">
        <v>84</v>
      </c>
      <c r="L132" s="19">
        <v>3378000</v>
      </c>
      <c r="M132" s="18">
        <f t="shared" ref="M132:M195" si="7">(L132*I132)+S132</f>
        <v>4241500</v>
      </c>
      <c r="N132" s="17">
        <v>44644</v>
      </c>
      <c r="O132" s="23" t="s">
        <v>51</v>
      </c>
      <c r="P132" s="22"/>
      <c r="Q132" s="38" t="s">
        <v>2586</v>
      </c>
      <c r="R132" s="19">
        <v>697000</v>
      </c>
      <c r="S132" s="19">
        <v>863500</v>
      </c>
      <c r="T132" s="45">
        <f t="shared" ref="T132" si="8">S132-R132</f>
        <v>166500</v>
      </c>
      <c r="U132" s="20" t="s">
        <v>634</v>
      </c>
    </row>
    <row r="133" spans="2:21" s="20" customFormat="1" ht="17.100000000000001" hidden="1" customHeight="1" x14ac:dyDescent="0.3">
      <c r="B133" s="17">
        <v>44560</v>
      </c>
      <c r="C133" s="17">
        <v>44620</v>
      </c>
      <c r="D133" s="20" t="s">
        <v>752</v>
      </c>
      <c r="E133" s="15" t="s">
        <v>604</v>
      </c>
      <c r="F133" s="15" t="s">
        <v>25</v>
      </c>
      <c r="G133" s="15" t="s">
        <v>21</v>
      </c>
      <c r="H133" s="16" t="s">
        <v>231</v>
      </c>
      <c r="I133" s="15">
        <v>1</v>
      </c>
      <c r="J133" s="15" t="s">
        <v>335</v>
      </c>
      <c r="K133" s="29" t="s">
        <v>591</v>
      </c>
      <c r="L133" s="19">
        <v>77650000</v>
      </c>
      <c r="M133" s="18">
        <f t="shared" si="7"/>
        <v>77650000</v>
      </c>
      <c r="N133" s="17">
        <v>44651</v>
      </c>
      <c r="O133" s="20" t="s">
        <v>592</v>
      </c>
      <c r="P133" s="22"/>
      <c r="Q133" s="38" t="s">
        <v>2619</v>
      </c>
      <c r="R133" s="19"/>
      <c r="S133" s="19"/>
      <c r="U133" s="20" t="s">
        <v>633</v>
      </c>
    </row>
    <row r="134" spans="2:21" s="20" customFormat="1" ht="17.100000000000001" hidden="1" customHeight="1" x14ac:dyDescent="0.3">
      <c r="B134" s="17">
        <v>44564</v>
      </c>
      <c r="C134" s="17">
        <v>44584</v>
      </c>
      <c r="D134" s="61" t="s">
        <v>609</v>
      </c>
      <c r="E134" s="15" t="s">
        <v>687</v>
      </c>
      <c r="F134" s="15" t="s">
        <v>46</v>
      </c>
      <c r="G134" s="15" t="s">
        <v>21</v>
      </c>
      <c r="H134" s="16" t="s">
        <v>610</v>
      </c>
      <c r="I134" s="15">
        <v>1</v>
      </c>
      <c r="J134" s="15" t="s">
        <v>83</v>
      </c>
      <c r="K134" s="29" t="s">
        <v>84</v>
      </c>
      <c r="L134" s="19">
        <v>208278000</v>
      </c>
      <c r="M134" s="18">
        <f t="shared" si="7"/>
        <v>218747000</v>
      </c>
      <c r="N134" s="17">
        <v>44644</v>
      </c>
      <c r="O134" s="23" t="s">
        <v>51</v>
      </c>
      <c r="P134" s="22"/>
      <c r="Q134" s="38" t="s">
        <v>2586</v>
      </c>
      <c r="R134" s="19"/>
      <c r="S134" s="19">
        <f>20938000*0.5</f>
        <v>10469000</v>
      </c>
      <c r="T134" s="45">
        <f t="shared" ref="T134:T136" si="9">S134-R134</f>
        <v>10469000</v>
      </c>
      <c r="U134" s="20" t="s">
        <v>634</v>
      </c>
    </row>
    <row r="135" spans="2:21" s="20" customFormat="1" ht="17.100000000000001" hidden="1" customHeight="1" x14ac:dyDescent="0.3">
      <c r="B135" s="17">
        <v>44565</v>
      </c>
      <c r="C135" s="17">
        <v>44566</v>
      </c>
      <c r="D135" s="61" t="s">
        <v>612</v>
      </c>
      <c r="E135" s="15" t="s">
        <v>611</v>
      </c>
      <c r="F135" s="15" t="s">
        <v>46</v>
      </c>
      <c r="G135" s="15" t="s">
        <v>21</v>
      </c>
      <c r="H135" s="16" t="s">
        <v>613</v>
      </c>
      <c r="I135" s="15">
        <v>1</v>
      </c>
      <c r="J135" s="15" t="s">
        <v>83</v>
      </c>
      <c r="K135" s="29" t="s">
        <v>84</v>
      </c>
      <c r="L135" s="19">
        <v>8249000</v>
      </c>
      <c r="M135" s="18">
        <f t="shared" si="7"/>
        <v>10088000</v>
      </c>
      <c r="N135" s="17">
        <v>44644</v>
      </c>
      <c r="O135" s="23" t="s">
        <v>739</v>
      </c>
      <c r="P135" s="22"/>
      <c r="Q135" s="38" t="s">
        <v>2586</v>
      </c>
      <c r="R135" s="19">
        <v>1486000</v>
      </c>
      <c r="S135" s="19">
        <v>1839000</v>
      </c>
      <c r="T135" s="45">
        <f t="shared" si="9"/>
        <v>353000</v>
      </c>
      <c r="U135" s="20" t="s">
        <v>634</v>
      </c>
    </row>
    <row r="136" spans="2:21" s="20" customFormat="1" ht="17.100000000000001" hidden="1" customHeight="1" x14ac:dyDescent="0.3">
      <c r="B136" s="17">
        <v>44567</v>
      </c>
      <c r="C136" s="17">
        <v>44578</v>
      </c>
      <c r="D136" s="20" t="s">
        <v>615</v>
      </c>
      <c r="E136" s="15" t="s">
        <v>614</v>
      </c>
      <c r="F136" s="15" t="s">
        <v>25</v>
      </c>
      <c r="G136" s="15" t="s">
        <v>21</v>
      </c>
      <c r="H136" s="16" t="s">
        <v>616</v>
      </c>
      <c r="I136" s="15">
        <v>1</v>
      </c>
      <c r="J136" s="15" t="s">
        <v>618</v>
      </c>
      <c r="K136" s="29" t="s">
        <v>617</v>
      </c>
      <c r="L136" s="19">
        <v>25100000</v>
      </c>
      <c r="M136" s="18">
        <f t="shared" si="7"/>
        <v>26900000</v>
      </c>
      <c r="N136" s="17">
        <v>44615</v>
      </c>
      <c r="P136" s="22" t="s">
        <v>690</v>
      </c>
      <c r="Q136" s="38" t="s">
        <v>2621</v>
      </c>
      <c r="R136" s="19">
        <v>1800000</v>
      </c>
      <c r="S136" s="19">
        <v>1800000</v>
      </c>
      <c r="T136" s="45">
        <f t="shared" si="9"/>
        <v>0</v>
      </c>
      <c r="U136" s="20" t="s">
        <v>631</v>
      </c>
    </row>
    <row r="137" spans="2:21" s="20" customFormat="1" ht="17.100000000000001" hidden="1" customHeight="1" x14ac:dyDescent="0.3">
      <c r="B137" s="17">
        <v>44573</v>
      </c>
      <c r="C137" s="17">
        <v>44585</v>
      </c>
      <c r="D137" s="20" t="s">
        <v>621</v>
      </c>
      <c r="E137" s="15" t="s">
        <v>620</v>
      </c>
      <c r="F137" s="15" t="s">
        <v>25</v>
      </c>
      <c r="G137" s="15" t="s">
        <v>21</v>
      </c>
      <c r="H137" s="16" t="s">
        <v>622</v>
      </c>
      <c r="I137" s="15">
        <v>1</v>
      </c>
      <c r="J137" s="15" t="s">
        <v>312</v>
      </c>
      <c r="K137" s="29" t="s">
        <v>313</v>
      </c>
      <c r="L137" s="19">
        <v>65600000</v>
      </c>
      <c r="M137" s="18">
        <f t="shared" si="7"/>
        <v>65600000</v>
      </c>
      <c r="N137" s="17">
        <v>44586</v>
      </c>
      <c r="O137" s="20" t="s">
        <v>314</v>
      </c>
      <c r="P137" s="22"/>
      <c r="Q137" s="38" t="s">
        <v>2603</v>
      </c>
      <c r="R137" s="19"/>
      <c r="S137" s="19"/>
      <c r="U137" s="20" t="s">
        <v>631</v>
      </c>
    </row>
    <row r="138" spans="2:21" s="20" customFormat="1" ht="17.100000000000001" hidden="1" customHeight="1" x14ac:dyDescent="0.3">
      <c r="B138" s="17">
        <v>44573</v>
      </c>
      <c r="C138" s="17">
        <v>44579</v>
      </c>
      <c r="D138" s="20" t="s">
        <v>624</v>
      </c>
      <c r="E138" s="15" t="s">
        <v>623</v>
      </c>
      <c r="F138" s="15" t="s">
        <v>25</v>
      </c>
      <c r="G138" s="15" t="s">
        <v>26</v>
      </c>
      <c r="H138" s="16" t="s">
        <v>625</v>
      </c>
      <c r="I138" s="15">
        <v>1</v>
      </c>
      <c r="J138" s="15" t="s">
        <v>626</v>
      </c>
      <c r="K138" s="29" t="s">
        <v>740</v>
      </c>
      <c r="L138" s="19">
        <v>32000000</v>
      </c>
      <c r="M138" s="18">
        <f t="shared" si="7"/>
        <v>32000000</v>
      </c>
      <c r="N138" s="17">
        <v>44620</v>
      </c>
      <c r="P138" s="22" t="s">
        <v>754</v>
      </c>
      <c r="Q138" s="38" t="s">
        <v>2622</v>
      </c>
      <c r="R138" s="19"/>
      <c r="S138" s="19"/>
      <c r="U138" s="20" t="s">
        <v>633</v>
      </c>
    </row>
    <row r="139" spans="2:21" s="20" customFormat="1" ht="17.100000000000001" hidden="1" customHeight="1" x14ac:dyDescent="0.3">
      <c r="B139" s="17">
        <v>44576</v>
      </c>
      <c r="C139" s="17">
        <v>44584</v>
      </c>
      <c r="D139" s="61" t="s">
        <v>628</v>
      </c>
      <c r="E139" s="15" t="s">
        <v>627</v>
      </c>
      <c r="F139" s="15" t="s">
        <v>46</v>
      </c>
      <c r="G139" s="15" t="s">
        <v>21</v>
      </c>
      <c r="H139" s="16" t="s">
        <v>610</v>
      </c>
      <c r="I139" s="15">
        <v>1</v>
      </c>
      <c r="J139" s="15" t="s">
        <v>83</v>
      </c>
      <c r="K139" s="29" t="s">
        <v>84</v>
      </c>
      <c r="L139" s="19">
        <v>208278000</v>
      </c>
      <c r="M139" s="18">
        <f t="shared" si="7"/>
        <v>218747000</v>
      </c>
      <c r="N139" s="17">
        <v>44644</v>
      </c>
      <c r="O139" s="23" t="s">
        <v>51</v>
      </c>
      <c r="P139" s="22"/>
      <c r="Q139" s="38" t="s">
        <v>2586</v>
      </c>
      <c r="R139" s="19">
        <v>16880000</v>
      </c>
      <c r="S139" s="19">
        <f>20938000*0.5</f>
        <v>10469000</v>
      </c>
      <c r="T139" s="45">
        <f t="shared" ref="T139" si="10">S139-R139</f>
        <v>-6411000</v>
      </c>
      <c r="U139" s="20" t="s">
        <v>631</v>
      </c>
    </row>
    <row r="140" spans="2:21" s="20" customFormat="1" ht="17.100000000000001" hidden="1" customHeight="1" x14ac:dyDescent="0.3">
      <c r="B140" s="17">
        <v>44579</v>
      </c>
      <c r="C140" s="17">
        <v>44583</v>
      </c>
      <c r="D140" s="20" t="s">
        <v>630</v>
      </c>
      <c r="E140" s="15" t="s">
        <v>629</v>
      </c>
      <c r="F140" s="15" t="s">
        <v>46</v>
      </c>
      <c r="G140" s="15" t="s">
        <v>21</v>
      </c>
      <c r="H140" s="16" t="s">
        <v>684</v>
      </c>
      <c r="I140" s="15">
        <v>2</v>
      </c>
      <c r="J140" s="15" t="s">
        <v>496</v>
      </c>
      <c r="K140" s="29" t="s">
        <v>682</v>
      </c>
      <c r="L140" s="19">
        <v>26100000</v>
      </c>
      <c r="M140" s="18">
        <f t="shared" si="7"/>
        <v>52200000</v>
      </c>
      <c r="N140" s="17">
        <v>44586</v>
      </c>
      <c r="P140" s="22"/>
      <c r="Q140" s="22"/>
      <c r="R140" s="19"/>
      <c r="S140" s="19"/>
      <c r="U140" s="20" t="s">
        <v>631</v>
      </c>
    </row>
    <row r="141" spans="2:21" s="20" customFormat="1" ht="17.100000000000001" hidden="1" customHeight="1" x14ac:dyDescent="0.3">
      <c r="B141" s="17">
        <v>44579</v>
      </c>
      <c r="C141" s="17">
        <v>44580</v>
      </c>
      <c r="D141" s="61" t="s">
        <v>636</v>
      </c>
      <c r="E141" s="15" t="s">
        <v>635</v>
      </c>
      <c r="F141" s="15" t="s">
        <v>46</v>
      </c>
      <c r="G141" s="15" t="s">
        <v>21</v>
      </c>
      <c r="H141" s="16" t="s">
        <v>637</v>
      </c>
      <c r="I141" s="15">
        <v>1</v>
      </c>
      <c r="J141" s="15" t="s">
        <v>83</v>
      </c>
      <c r="K141" s="29" t="s">
        <v>84</v>
      </c>
      <c r="L141" s="19">
        <v>5724000</v>
      </c>
      <c r="M141" s="18">
        <f t="shared" si="7"/>
        <v>7389000</v>
      </c>
      <c r="N141" s="17">
        <v>44644</v>
      </c>
      <c r="O141" s="23" t="s">
        <v>51</v>
      </c>
      <c r="P141" s="22"/>
      <c r="Q141" s="38" t="s">
        <v>2586</v>
      </c>
      <c r="R141" s="19">
        <v>1344700</v>
      </c>
      <c r="S141" s="19">
        <v>1665000</v>
      </c>
      <c r="T141" s="45">
        <f t="shared" ref="T141" si="11">S141-R141</f>
        <v>320300</v>
      </c>
      <c r="U141" s="20" t="s">
        <v>634</v>
      </c>
    </row>
    <row r="142" spans="2:21" s="20" customFormat="1" ht="17.100000000000001" hidden="1" customHeight="1" x14ac:dyDescent="0.3">
      <c r="B142" s="17">
        <v>44580</v>
      </c>
      <c r="C142" s="17">
        <v>44608</v>
      </c>
      <c r="D142" s="20" t="s">
        <v>639</v>
      </c>
      <c r="E142" s="15" t="s">
        <v>638</v>
      </c>
      <c r="F142" s="15" t="s">
        <v>25</v>
      </c>
      <c r="G142" s="15" t="s">
        <v>26</v>
      </c>
      <c r="H142" s="16" t="s">
        <v>238</v>
      </c>
      <c r="I142" s="15">
        <v>1</v>
      </c>
      <c r="J142" s="15" t="s">
        <v>641</v>
      </c>
      <c r="K142" s="29" t="s">
        <v>640</v>
      </c>
      <c r="L142" s="19">
        <v>33400000</v>
      </c>
      <c r="M142" s="18">
        <f t="shared" si="7"/>
        <v>33400000</v>
      </c>
      <c r="N142" s="17">
        <v>44620</v>
      </c>
      <c r="O142" s="20" t="s">
        <v>642</v>
      </c>
      <c r="P142" s="22" t="s">
        <v>691</v>
      </c>
      <c r="Q142" s="38" t="s">
        <v>2623</v>
      </c>
      <c r="R142" s="19"/>
      <c r="S142" s="19"/>
      <c r="U142" s="20" t="s">
        <v>633</v>
      </c>
    </row>
    <row r="143" spans="2:21" s="20" customFormat="1" ht="17.100000000000001" hidden="1" customHeight="1" x14ac:dyDescent="0.3">
      <c r="B143" s="17">
        <v>44580</v>
      </c>
      <c r="C143" s="17">
        <v>44600</v>
      </c>
      <c r="D143" s="20" t="s">
        <v>644</v>
      </c>
      <c r="E143" s="15" t="s">
        <v>643</v>
      </c>
      <c r="F143" s="15" t="s">
        <v>25</v>
      </c>
      <c r="G143" s="15" t="s">
        <v>21</v>
      </c>
      <c r="H143" s="16" t="s">
        <v>645</v>
      </c>
      <c r="I143" s="15">
        <v>1</v>
      </c>
      <c r="J143" s="15" t="s">
        <v>692</v>
      </c>
      <c r="K143" s="29" t="s">
        <v>646</v>
      </c>
      <c r="L143" s="19">
        <v>31000000</v>
      </c>
      <c r="M143" s="18">
        <f t="shared" si="7"/>
        <v>31000000</v>
      </c>
      <c r="N143" s="17">
        <v>44617</v>
      </c>
      <c r="O143" s="20" t="s">
        <v>647</v>
      </c>
      <c r="P143" s="22" t="s">
        <v>688</v>
      </c>
      <c r="Q143" s="38" t="s">
        <v>2624</v>
      </c>
      <c r="R143" s="19"/>
      <c r="S143" s="19"/>
      <c r="U143" s="20" t="s">
        <v>631</v>
      </c>
    </row>
    <row r="144" spans="2:21" s="20" customFormat="1" ht="17.100000000000001" hidden="1" customHeight="1" x14ac:dyDescent="0.3">
      <c r="B144" s="17">
        <v>44582</v>
      </c>
      <c r="C144" s="17">
        <v>44583</v>
      </c>
      <c r="D144" s="61" t="s">
        <v>649</v>
      </c>
      <c r="E144" s="15" t="s">
        <v>648</v>
      </c>
      <c r="F144" s="15" t="s">
        <v>46</v>
      </c>
      <c r="G144" s="15" t="s">
        <v>21</v>
      </c>
      <c r="H144" s="16" t="s">
        <v>650</v>
      </c>
      <c r="I144" s="15">
        <v>1</v>
      </c>
      <c r="J144" s="15" t="s">
        <v>83</v>
      </c>
      <c r="K144" s="29" t="s">
        <v>84</v>
      </c>
      <c r="L144" s="19">
        <v>17280000</v>
      </c>
      <c r="M144" s="18">
        <f t="shared" si="7"/>
        <v>19807000</v>
      </c>
      <c r="N144" s="17">
        <v>44644</v>
      </c>
      <c r="O144" s="23" t="s">
        <v>51</v>
      </c>
      <c r="P144" s="22"/>
      <c r="Q144" s="38" t="s">
        <v>2586</v>
      </c>
      <c r="R144" s="19">
        <f>1019000*2</f>
        <v>2038000</v>
      </c>
      <c r="S144" s="19">
        <v>2527000</v>
      </c>
      <c r="T144" s="45">
        <f t="shared" ref="T144" si="12">S144-R144</f>
        <v>489000</v>
      </c>
      <c r="U144" s="20" t="s">
        <v>634</v>
      </c>
    </row>
    <row r="145" spans="2:21" s="20" customFormat="1" ht="17.100000000000001" hidden="1" customHeight="1" x14ac:dyDescent="0.3">
      <c r="B145" s="17">
        <v>44585</v>
      </c>
      <c r="C145" s="17">
        <v>44734</v>
      </c>
      <c r="D145" s="20" t="s">
        <v>660</v>
      </c>
      <c r="E145" s="15" t="s">
        <v>661</v>
      </c>
      <c r="F145" s="15" t="s">
        <v>25</v>
      </c>
      <c r="G145" s="15" t="s">
        <v>21</v>
      </c>
      <c r="H145" s="50" t="s">
        <v>571</v>
      </c>
      <c r="I145" s="57">
        <v>1</v>
      </c>
      <c r="J145" s="57" t="s">
        <v>572</v>
      </c>
      <c r="K145" s="51" t="s">
        <v>662</v>
      </c>
      <c r="L145" s="47"/>
      <c r="M145" s="18">
        <f t="shared" si="7"/>
        <v>0</v>
      </c>
      <c r="N145" s="17">
        <v>44985</v>
      </c>
      <c r="O145" s="20" t="s">
        <v>573</v>
      </c>
      <c r="P145" s="22"/>
      <c r="Q145" s="38" t="s">
        <v>2625</v>
      </c>
      <c r="R145" s="19"/>
      <c r="S145" s="19"/>
    </row>
    <row r="146" spans="2:21" s="20" customFormat="1" ht="17.100000000000001" hidden="1" customHeight="1" x14ac:dyDescent="0.3">
      <c r="B146" s="17">
        <v>44585</v>
      </c>
      <c r="C146" s="17">
        <v>44588</v>
      </c>
      <c r="D146" s="22" t="s">
        <v>664</v>
      </c>
      <c r="E146" s="15" t="s">
        <v>663</v>
      </c>
      <c r="F146" s="15" t="s">
        <v>46</v>
      </c>
      <c r="G146" s="15" t="s">
        <v>21</v>
      </c>
      <c r="H146" s="16" t="s">
        <v>683</v>
      </c>
      <c r="I146" s="15">
        <v>2</v>
      </c>
      <c r="J146" s="15" t="s">
        <v>496</v>
      </c>
      <c r="K146" s="29" t="s">
        <v>682</v>
      </c>
      <c r="L146" s="19">
        <v>12900000</v>
      </c>
      <c r="M146" s="18">
        <f t="shared" si="7"/>
        <v>25800000</v>
      </c>
      <c r="N146" s="17">
        <v>44586</v>
      </c>
      <c r="P146" s="22"/>
      <c r="Q146" s="22"/>
      <c r="R146" s="19"/>
      <c r="S146" s="19"/>
    </row>
    <row r="147" spans="2:21" s="20" customFormat="1" ht="17.100000000000001" hidden="1" customHeight="1" x14ac:dyDescent="0.3">
      <c r="B147" s="17">
        <v>44588</v>
      </c>
      <c r="C147" s="17">
        <v>44589</v>
      </c>
      <c r="D147" s="20" t="s">
        <v>787</v>
      </c>
      <c r="E147" s="15" t="s">
        <v>665</v>
      </c>
      <c r="F147" s="15" t="s">
        <v>25</v>
      </c>
      <c r="G147" s="15" t="s">
        <v>21</v>
      </c>
      <c r="H147" s="16" t="s">
        <v>666</v>
      </c>
      <c r="I147" s="15">
        <v>1</v>
      </c>
      <c r="J147" s="15" t="s">
        <v>685</v>
      </c>
      <c r="K147" s="29" t="s">
        <v>786</v>
      </c>
      <c r="L147" s="19">
        <v>99600000</v>
      </c>
      <c r="M147" s="18">
        <f t="shared" si="7"/>
        <v>99600000</v>
      </c>
      <c r="N147" s="17">
        <v>44658</v>
      </c>
      <c r="O147" s="20" t="s">
        <v>788</v>
      </c>
      <c r="P147" s="22" t="s">
        <v>774</v>
      </c>
      <c r="Q147" s="38" t="s">
        <v>2626</v>
      </c>
      <c r="R147" s="19"/>
      <c r="S147" s="19"/>
    </row>
    <row r="148" spans="2:21" s="20" customFormat="1" ht="17.100000000000001" hidden="1" customHeight="1" x14ac:dyDescent="0.3">
      <c r="B148" s="17">
        <v>44588</v>
      </c>
      <c r="C148" s="17">
        <v>44589</v>
      </c>
      <c r="D148" s="20" t="s">
        <v>1065</v>
      </c>
      <c r="E148" s="15" t="s">
        <v>667</v>
      </c>
      <c r="F148" s="15" t="s">
        <v>46</v>
      </c>
      <c r="G148" s="15" t="s">
        <v>21</v>
      </c>
      <c r="H148" s="16">
        <v>80</v>
      </c>
      <c r="I148" s="15">
        <v>1</v>
      </c>
      <c r="J148" s="15" t="s">
        <v>69</v>
      </c>
      <c r="K148" s="29" t="s">
        <v>389</v>
      </c>
      <c r="L148" s="19">
        <v>3887316</v>
      </c>
      <c r="M148" s="18">
        <f t="shared" si="7"/>
        <v>3887316</v>
      </c>
      <c r="N148" s="17">
        <v>44795</v>
      </c>
      <c r="O148" s="20" t="s">
        <v>70</v>
      </c>
      <c r="P148" s="22"/>
      <c r="Q148" s="38" t="s">
        <v>2593</v>
      </c>
      <c r="R148" s="19"/>
      <c r="S148" s="19"/>
      <c r="U148" s="20" t="s">
        <v>634</v>
      </c>
    </row>
    <row r="149" spans="2:21" s="20" customFormat="1" ht="17.100000000000001" hidden="1" customHeight="1" x14ac:dyDescent="0.3">
      <c r="B149" s="17">
        <v>44599</v>
      </c>
      <c r="C149" s="17">
        <v>44631</v>
      </c>
      <c r="D149" s="20" t="s">
        <v>669</v>
      </c>
      <c r="E149" s="15" t="s">
        <v>668</v>
      </c>
      <c r="F149" s="15" t="s">
        <v>670</v>
      </c>
      <c r="G149" s="15" t="s">
        <v>21</v>
      </c>
      <c r="H149" s="16" t="s">
        <v>791</v>
      </c>
      <c r="I149" s="15">
        <v>1</v>
      </c>
      <c r="J149" s="15" t="s">
        <v>1082</v>
      </c>
      <c r="K149" s="29" t="s">
        <v>673</v>
      </c>
      <c r="L149" s="19">
        <v>73834730</v>
      </c>
      <c r="M149" s="18">
        <f t="shared" si="7"/>
        <v>73834730</v>
      </c>
      <c r="N149" s="17">
        <v>44641</v>
      </c>
      <c r="O149" s="20" t="s">
        <v>674</v>
      </c>
      <c r="P149" s="22"/>
      <c r="Q149" s="38" t="s">
        <v>2627</v>
      </c>
      <c r="R149" s="19"/>
      <c r="S149" s="19"/>
      <c r="U149" s="20" t="s">
        <v>631</v>
      </c>
    </row>
    <row r="150" spans="2:21" s="20" customFormat="1" ht="17.100000000000001" hidden="1" customHeight="1" x14ac:dyDescent="0.3">
      <c r="B150" s="17">
        <v>44599</v>
      </c>
      <c r="C150" s="17">
        <v>44631</v>
      </c>
      <c r="D150" s="20" t="s">
        <v>672</v>
      </c>
      <c r="E150" s="15" t="s">
        <v>671</v>
      </c>
      <c r="F150" s="15" t="s">
        <v>670</v>
      </c>
      <c r="G150" s="15" t="s">
        <v>21</v>
      </c>
      <c r="H150" s="16" t="s">
        <v>792</v>
      </c>
      <c r="I150" s="15">
        <v>1</v>
      </c>
      <c r="J150" s="15" t="s">
        <v>1608</v>
      </c>
      <c r="K150" s="29" t="s">
        <v>673</v>
      </c>
      <c r="L150" s="19">
        <v>3000000</v>
      </c>
      <c r="M150" s="18">
        <f t="shared" si="7"/>
        <v>3000000</v>
      </c>
      <c r="N150" s="17">
        <v>44641</v>
      </c>
      <c r="O150" s="20" t="s">
        <v>1609</v>
      </c>
      <c r="P150" s="22"/>
      <c r="Q150" s="38" t="s">
        <v>2627</v>
      </c>
      <c r="R150" s="19"/>
      <c r="S150" s="19"/>
      <c r="U150" s="20" t="s">
        <v>631</v>
      </c>
    </row>
    <row r="151" spans="2:21" s="20" customFormat="1" ht="17.100000000000001" hidden="1" customHeight="1" x14ac:dyDescent="0.3">
      <c r="B151" s="17">
        <v>44602</v>
      </c>
      <c r="C151" s="17">
        <v>44622</v>
      </c>
      <c r="D151" s="20" t="s">
        <v>675</v>
      </c>
      <c r="E151" s="15" t="s">
        <v>755</v>
      </c>
      <c r="F151" s="15" t="s">
        <v>25</v>
      </c>
      <c r="G151" s="15" t="s">
        <v>26</v>
      </c>
      <c r="H151" s="16" t="s">
        <v>676</v>
      </c>
      <c r="I151" s="15">
        <v>1</v>
      </c>
      <c r="J151" s="15" t="s">
        <v>641</v>
      </c>
      <c r="K151" s="29" t="s">
        <v>756</v>
      </c>
      <c r="L151" s="19">
        <v>30000000</v>
      </c>
      <c r="M151" s="18">
        <f t="shared" si="7"/>
        <v>30000000</v>
      </c>
      <c r="N151" s="17">
        <v>44620</v>
      </c>
      <c r="O151" s="20" t="s">
        <v>642</v>
      </c>
      <c r="P151" s="22"/>
      <c r="Q151" s="38" t="s">
        <v>2623</v>
      </c>
      <c r="R151" s="19"/>
      <c r="S151" s="19"/>
      <c r="U151" s="20" t="s">
        <v>633</v>
      </c>
    </row>
    <row r="152" spans="2:21" s="20" customFormat="1" ht="17.100000000000001" hidden="1" customHeight="1" x14ac:dyDescent="0.3">
      <c r="B152" s="17">
        <v>44602</v>
      </c>
      <c r="C152" s="17">
        <v>44638</v>
      </c>
      <c r="D152" s="61" t="s">
        <v>677</v>
      </c>
      <c r="E152" s="15" t="s">
        <v>737</v>
      </c>
      <c r="F152" s="15" t="s">
        <v>46</v>
      </c>
      <c r="G152" s="15" t="s">
        <v>21</v>
      </c>
      <c r="H152" s="16" t="s">
        <v>569</v>
      </c>
      <c r="I152" s="15">
        <v>1</v>
      </c>
      <c r="J152" s="15" t="s">
        <v>678</v>
      </c>
      <c r="K152" s="29" t="s">
        <v>679</v>
      </c>
      <c r="L152" s="19">
        <v>182701800</v>
      </c>
      <c r="M152" s="18">
        <f t="shared" si="7"/>
        <v>182701800</v>
      </c>
      <c r="N152" s="17">
        <v>44666</v>
      </c>
      <c r="O152" s="23" t="s">
        <v>51</v>
      </c>
      <c r="P152" s="22"/>
      <c r="Q152" s="38" t="s">
        <v>2586</v>
      </c>
      <c r="R152" s="19"/>
      <c r="S152" s="19"/>
      <c r="U152" s="20" t="s">
        <v>634</v>
      </c>
    </row>
    <row r="153" spans="2:21" s="20" customFormat="1" ht="17.100000000000001" hidden="1" customHeight="1" x14ac:dyDescent="0.3">
      <c r="B153" s="17">
        <v>44602</v>
      </c>
      <c r="C153" s="17">
        <v>44606</v>
      </c>
      <c r="D153" s="61" t="s">
        <v>680</v>
      </c>
      <c r="E153" s="15" t="s">
        <v>693</v>
      </c>
      <c r="F153" s="15" t="s">
        <v>46</v>
      </c>
      <c r="G153" s="15" t="s">
        <v>21</v>
      </c>
      <c r="H153" s="16" t="s">
        <v>681</v>
      </c>
      <c r="I153" s="15">
        <v>1</v>
      </c>
      <c r="J153" s="15" t="s">
        <v>83</v>
      </c>
      <c r="K153" s="29" t="s">
        <v>84</v>
      </c>
      <c r="L153" s="19">
        <v>20620800</v>
      </c>
      <c r="M153" s="18">
        <f t="shared" si="7"/>
        <v>24922800</v>
      </c>
      <c r="N153" s="17">
        <v>44644</v>
      </c>
      <c r="O153" s="23" t="s">
        <v>51</v>
      </c>
      <c r="P153" s="22"/>
      <c r="Q153" s="38" t="s">
        <v>2586</v>
      </c>
      <c r="R153" s="19">
        <f>868000*4</f>
        <v>3472000</v>
      </c>
      <c r="S153" s="19">
        <v>4302000</v>
      </c>
      <c r="T153" s="45">
        <f t="shared" ref="T153:T154" si="13">S153-R153</f>
        <v>830000</v>
      </c>
      <c r="U153" s="20" t="s">
        <v>634</v>
      </c>
    </row>
    <row r="154" spans="2:21" s="20" customFormat="1" ht="17.100000000000001" hidden="1" customHeight="1" x14ac:dyDescent="0.3">
      <c r="B154" s="17">
        <v>44608</v>
      </c>
      <c r="C154" s="17">
        <v>44611</v>
      </c>
      <c r="D154" s="20" t="s">
        <v>1257</v>
      </c>
      <c r="E154" s="15" t="s">
        <v>698</v>
      </c>
      <c r="F154" s="15" t="s">
        <v>116</v>
      </c>
      <c r="G154" s="15" t="s">
        <v>21</v>
      </c>
      <c r="H154" s="16" t="s">
        <v>301</v>
      </c>
      <c r="I154" s="15">
        <v>1</v>
      </c>
      <c r="J154" s="15" t="s">
        <v>1256</v>
      </c>
      <c r="K154" s="29" t="s">
        <v>55</v>
      </c>
      <c r="L154" s="19">
        <v>13000000</v>
      </c>
      <c r="M154" s="18">
        <f t="shared" si="7"/>
        <v>23472000</v>
      </c>
      <c r="N154" s="17">
        <v>44620</v>
      </c>
      <c r="O154" s="23" t="s">
        <v>150</v>
      </c>
      <c r="P154" s="41" t="s">
        <v>56</v>
      </c>
      <c r="Q154" s="38" t="s">
        <v>2587</v>
      </c>
      <c r="R154" s="19">
        <f>868000*2</f>
        <v>1736000</v>
      </c>
      <c r="S154" s="19">
        <f>2472000+8000000</f>
        <v>10472000</v>
      </c>
      <c r="T154" s="45">
        <f t="shared" si="13"/>
        <v>8736000</v>
      </c>
    </row>
    <row r="155" spans="2:21" s="20" customFormat="1" ht="17.100000000000001" hidden="1" customHeight="1" x14ac:dyDescent="0.3">
      <c r="B155" s="17">
        <v>44608</v>
      </c>
      <c r="C155" s="17">
        <v>44734</v>
      </c>
      <c r="D155" s="20" t="s">
        <v>701</v>
      </c>
      <c r="E155" s="15" t="s">
        <v>699</v>
      </c>
      <c r="F155" s="15" t="s">
        <v>25</v>
      </c>
      <c r="G155" s="15" t="s">
        <v>21</v>
      </c>
      <c r="H155" s="16" t="s">
        <v>703</v>
      </c>
      <c r="I155" s="15">
        <v>1</v>
      </c>
      <c r="J155" s="15" t="s">
        <v>705</v>
      </c>
      <c r="K155" s="51" t="s">
        <v>706</v>
      </c>
      <c r="L155" s="19"/>
      <c r="M155" s="18">
        <f t="shared" si="7"/>
        <v>0</v>
      </c>
      <c r="N155" s="17">
        <v>44985</v>
      </c>
      <c r="O155" s="20" t="s">
        <v>707</v>
      </c>
      <c r="P155" s="22"/>
      <c r="Q155" s="38" t="s">
        <v>2625</v>
      </c>
      <c r="R155" s="19"/>
      <c r="S155" s="19"/>
    </row>
    <row r="156" spans="2:21" s="20" customFormat="1" ht="17.100000000000001" hidden="1" customHeight="1" x14ac:dyDescent="0.3">
      <c r="B156" s="17">
        <v>44608</v>
      </c>
      <c r="C156" s="17">
        <v>44734</v>
      </c>
      <c r="D156" s="20" t="s">
        <v>702</v>
      </c>
      <c r="E156" s="15" t="s">
        <v>700</v>
      </c>
      <c r="F156" s="15" t="s">
        <v>25</v>
      </c>
      <c r="G156" s="15" t="s">
        <v>21</v>
      </c>
      <c r="H156" s="16" t="s">
        <v>704</v>
      </c>
      <c r="I156" s="15">
        <v>1</v>
      </c>
      <c r="J156" s="15" t="s">
        <v>705</v>
      </c>
      <c r="K156" s="51" t="s">
        <v>706</v>
      </c>
      <c r="L156" s="19"/>
      <c r="M156" s="18">
        <f t="shared" si="7"/>
        <v>0</v>
      </c>
      <c r="N156" s="17">
        <v>44985</v>
      </c>
      <c r="O156" s="20" t="s">
        <v>707</v>
      </c>
      <c r="P156" s="22"/>
      <c r="Q156" s="38" t="s">
        <v>2625</v>
      </c>
      <c r="R156" s="19"/>
      <c r="S156" s="19"/>
    </row>
    <row r="157" spans="2:21" s="20" customFormat="1" ht="17.100000000000001" hidden="1" customHeight="1" x14ac:dyDescent="0.3">
      <c r="B157" s="17">
        <v>44609</v>
      </c>
      <c r="C157" s="17">
        <v>44610</v>
      </c>
      <c r="D157" s="61" t="s">
        <v>709</v>
      </c>
      <c r="E157" s="15" t="s">
        <v>708</v>
      </c>
      <c r="F157" s="15" t="s">
        <v>46</v>
      </c>
      <c r="G157" s="15" t="s">
        <v>21</v>
      </c>
      <c r="H157" s="16" t="s">
        <v>710</v>
      </c>
      <c r="I157" s="15">
        <v>1</v>
      </c>
      <c r="J157" s="15" t="s">
        <v>561</v>
      </c>
      <c r="K157" s="29" t="s">
        <v>66</v>
      </c>
      <c r="L157" s="19">
        <v>9187000</v>
      </c>
      <c r="M157" s="18">
        <f t="shared" si="7"/>
        <v>11142000</v>
      </c>
      <c r="N157" s="17">
        <v>44666</v>
      </c>
      <c r="O157" s="23" t="s">
        <v>51</v>
      </c>
      <c r="P157" s="22" t="s">
        <v>814</v>
      </c>
      <c r="Q157" s="38" t="s">
        <v>2628</v>
      </c>
      <c r="R157" s="19">
        <v>1578000</v>
      </c>
      <c r="S157" s="19">
        <v>1955000</v>
      </c>
      <c r="T157" s="45">
        <f>S157-R157</f>
        <v>377000</v>
      </c>
    </row>
    <row r="158" spans="2:21" s="20" customFormat="1" ht="17.100000000000001" hidden="1" customHeight="1" x14ac:dyDescent="0.3">
      <c r="B158" s="17">
        <v>44610</v>
      </c>
      <c r="C158" s="17">
        <v>44724</v>
      </c>
      <c r="D158" s="20" t="s">
        <v>713</v>
      </c>
      <c r="E158" s="15" t="s">
        <v>711</v>
      </c>
      <c r="F158" s="15" t="s">
        <v>25</v>
      </c>
      <c r="G158" s="15" t="s">
        <v>715</v>
      </c>
      <c r="H158" s="16" t="s">
        <v>716</v>
      </c>
      <c r="I158" s="15">
        <v>1</v>
      </c>
      <c r="J158" s="15" t="s">
        <v>720</v>
      </c>
      <c r="K158" s="29" t="s">
        <v>718</v>
      </c>
      <c r="L158" s="19"/>
      <c r="M158" s="18">
        <f t="shared" si="7"/>
        <v>0</v>
      </c>
      <c r="N158" s="17">
        <v>44840</v>
      </c>
      <c r="O158" s="20" t="s">
        <v>719</v>
      </c>
      <c r="P158" s="22"/>
      <c r="Q158" s="38" t="s">
        <v>2629</v>
      </c>
      <c r="R158" s="19"/>
      <c r="S158" s="19"/>
    </row>
    <row r="159" spans="2:21" s="20" customFormat="1" ht="17.100000000000001" hidden="1" customHeight="1" x14ac:dyDescent="0.3">
      <c r="B159" s="17">
        <v>44610</v>
      </c>
      <c r="C159" s="17">
        <v>44724</v>
      </c>
      <c r="D159" s="20" t="s">
        <v>714</v>
      </c>
      <c r="E159" s="15" t="s">
        <v>712</v>
      </c>
      <c r="F159" s="15" t="s">
        <v>25</v>
      </c>
      <c r="G159" s="15" t="s">
        <v>715</v>
      </c>
      <c r="H159" s="16" t="s">
        <v>717</v>
      </c>
      <c r="I159" s="15">
        <v>1</v>
      </c>
      <c r="J159" s="15" t="s">
        <v>720</v>
      </c>
      <c r="K159" s="29" t="s">
        <v>718</v>
      </c>
      <c r="L159" s="19"/>
      <c r="M159" s="18">
        <f t="shared" si="7"/>
        <v>0</v>
      </c>
      <c r="N159" s="17">
        <v>44840</v>
      </c>
      <c r="O159" s="20" t="s">
        <v>719</v>
      </c>
      <c r="P159" s="22"/>
      <c r="Q159" s="38" t="s">
        <v>2629</v>
      </c>
      <c r="R159" s="19"/>
      <c r="S159" s="19"/>
    </row>
    <row r="160" spans="2:21" s="20" customFormat="1" ht="17.100000000000001" hidden="1" customHeight="1" x14ac:dyDescent="0.3">
      <c r="B160" s="17">
        <v>44611</v>
      </c>
      <c r="C160" s="17">
        <v>44637</v>
      </c>
      <c r="D160" s="20" t="s">
        <v>722</v>
      </c>
      <c r="E160" s="15" t="s">
        <v>721</v>
      </c>
      <c r="F160" s="15" t="s">
        <v>25</v>
      </c>
      <c r="G160" s="15" t="s">
        <v>26</v>
      </c>
      <c r="H160" s="16" t="s">
        <v>676</v>
      </c>
      <c r="I160" s="15">
        <v>1</v>
      </c>
      <c r="J160" s="15" t="s">
        <v>641</v>
      </c>
      <c r="K160" s="29" t="s">
        <v>640</v>
      </c>
      <c r="L160" s="19">
        <v>30000000</v>
      </c>
      <c r="M160" s="18">
        <f t="shared" si="7"/>
        <v>30000000</v>
      </c>
      <c r="N160" s="17">
        <v>44651</v>
      </c>
      <c r="O160" s="20" t="s">
        <v>642</v>
      </c>
      <c r="P160" s="22"/>
      <c r="Q160" s="38" t="s">
        <v>2623</v>
      </c>
      <c r="R160" s="19"/>
      <c r="S160" s="19"/>
    </row>
    <row r="161" spans="2:21" s="20" customFormat="1" ht="17.100000000000001" hidden="1" customHeight="1" x14ac:dyDescent="0.3">
      <c r="B161" s="17">
        <v>44612</v>
      </c>
      <c r="C161" s="17">
        <v>44663</v>
      </c>
      <c r="D161" s="20" t="s">
        <v>725</v>
      </c>
      <c r="E161" s="15" t="s">
        <v>723</v>
      </c>
      <c r="F161" s="15" t="s">
        <v>25</v>
      </c>
      <c r="G161" s="15" t="s">
        <v>21</v>
      </c>
      <c r="H161" s="16" t="s">
        <v>727</v>
      </c>
      <c r="I161" s="15">
        <v>1</v>
      </c>
      <c r="J161" s="15" t="s">
        <v>720</v>
      </c>
      <c r="K161" s="29" t="s">
        <v>718</v>
      </c>
      <c r="L161" s="19"/>
      <c r="M161" s="18">
        <f t="shared" si="7"/>
        <v>0</v>
      </c>
      <c r="N161" s="17">
        <v>44840</v>
      </c>
      <c r="O161" s="20" t="s">
        <v>1276</v>
      </c>
      <c r="P161" s="22"/>
      <c r="Q161" s="38" t="s">
        <v>2629</v>
      </c>
      <c r="R161" s="19"/>
      <c r="S161" s="19"/>
    </row>
    <row r="162" spans="2:21" s="20" customFormat="1" ht="17.100000000000001" hidden="1" customHeight="1" x14ac:dyDescent="0.3">
      <c r="B162" s="17">
        <v>44612</v>
      </c>
      <c r="C162" s="17">
        <v>44663</v>
      </c>
      <c r="D162" s="20" t="s">
        <v>726</v>
      </c>
      <c r="E162" s="15" t="s">
        <v>724</v>
      </c>
      <c r="F162" s="15" t="s">
        <v>25</v>
      </c>
      <c r="G162" s="15" t="s">
        <v>21</v>
      </c>
      <c r="H162" s="16" t="s">
        <v>717</v>
      </c>
      <c r="I162" s="15">
        <v>1</v>
      </c>
      <c r="J162" s="15" t="s">
        <v>720</v>
      </c>
      <c r="K162" s="29" t="s">
        <v>718</v>
      </c>
      <c r="L162" s="19"/>
      <c r="M162" s="18">
        <f t="shared" si="7"/>
        <v>0</v>
      </c>
      <c r="N162" s="17">
        <v>44840</v>
      </c>
      <c r="O162" s="20" t="s">
        <v>1438</v>
      </c>
      <c r="P162" s="22"/>
      <c r="Q162" s="38" t="s">
        <v>2629</v>
      </c>
      <c r="R162" s="19"/>
      <c r="S162" s="19"/>
    </row>
    <row r="163" spans="2:21" s="20" customFormat="1" ht="17.100000000000001" hidden="1" customHeight="1" x14ac:dyDescent="0.3">
      <c r="B163" s="17">
        <v>44613</v>
      </c>
      <c r="C163" s="17">
        <v>44615</v>
      </c>
      <c r="D163" s="20" t="s">
        <v>134</v>
      </c>
      <c r="E163" s="15" t="s">
        <v>728</v>
      </c>
      <c r="F163" s="15" t="s">
        <v>116</v>
      </c>
      <c r="G163" s="15" t="s">
        <v>21</v>
      </c>
      <c r="H163" s="16" t="s">
        <v>301</v>
      </c>
      <c r="I163" s="15">
        <v>1</v>
      </c>
      <c r="J163" s="15" t="s">
        <v>54</v>
      </c>
      <c r="K163" s="29" t="s">
        <v>55</v>
      </c>
      <c r="L163" s="19">
        <v>13000000</v>
      </c>
      <c r="M163" s="18">
        <f t="shared" si="7"/>
        <v>23472000</v>
      </c>
      <c r="N163" s="17">
        <v>44620</v>
      </c>
      <c r="O163" s="23" t="s">
        <v>150</v>
      </c>
      <c r="P163" s="41" t="s">
        <v>56</v>
      </c>
      <c r="Q163" s="38" t="s">
        <v>2587</v>
      </c>
      <c r="R163" s="19"/>
      <c r="S163" s="19">
        <f>2472000+8000000</f>
        <v>10472000</v>
      </c>
      <c r="T163" s="45">
        <f t="shared" ref="T163" si="14">S163-R163</f>
        <v>10472000</v>
      </c>
    </row>
    <row r="164" spans="2:21" s="20" customFormat="1" ht="17.100000000000001" hidden="1" customHeight="1" x14ac:dyDescent="0.3">
      <c r="B164" s="17">
        <v>44613</v>
      </c>
      <c r="C164" s="17">
        <v>44615</v>
      </c>
      <c r="D164" s="20" t="s">
        <v>1063</v>
      </c>
      <c r="E164" s="15" t="s">
        <v>1062</v>
      </c>
      <c r="F164" s="15" t="s">
        <v>116</v>
      </c>
      <c r="G164" s="15" t="s">
        <v>21</v>
      </c>
      <c r="H164" s="16">
        <v>200</v>
      </c>
      <c r="I164" s="15">
        <v>2</v>
      </c>
      <c r="J164" s="15" t="s">
        <v>825</v>
      </c>
      <c r="K164" s="29" t="s">
        <v>1064</v>
      </c>
      <c r="L164" s="19">
        <v>8322349</v>
      </c>
      <c r="M164" s="18">
        <f t="shared" si="7"/>
        <v>16644698</v>
      </c>
      <c r="N164" s="17">
        <v>44804</v>
      </c>
      <c r="O164" s="20" t="s">
        <v>70</v>
      </c>
      <c r="P164" s="22"/>
      <c r="Q164" s="38" t="s">
        <v>2593</v>
      </c>
      <c r="R164" s="19"/>
      <c r="S164" s="19"/>
      <c r="T164" s="45"/>
    </row>
    <row r="165" spans="2:21" s="20" customFormat="1" ht="17.100000000000001" hidden="1" customHeight="1" x14ac:dyDescent="0.3">
      <c r="B165" s="17">
        <v>44614</v>
      </c>
      <c r="C165" s="17">
        <v>44642</v>
      </c>
      <c r="D165" s="20" t="s">
        <v>729</v>
      </c>
      <c r="E165" s="15" t="s">
        <v>769</v>
      </c>
      <c r="F165" s="15" t="s">
        <v>25</v>
      </c>
      <c r="G165" s="15" t="s">
        <v>21</v>
      </c>
      <c r="H165" s="16" t="s">
        <v>730</v>
      </c>
      <c r="I165" s="15">
        <v>1</v>
      </c>
      <c r="J165" s="15" t="s">
        <v>733</v>
      </c>
      <c r="K165" s="29" t="s">
        <v>731</v>
      </c>
      <c r="L165" s="19">
        <v>60000000</v>
      </c>
      <c r="M165" s="18">
        <f t="shared" si="7"/>
        <v>60000000</v>
      </c>
      <c r="N165" s="17">
        <v>44650</v>
      </c>
      <c r="O165" s="20" t="s">
        <v>732</v>
      </c>
      <c r="P165" s="22"/>
      <c r="Q165" s="38" t="s">
        <v>2630</v>
      </c>
      <c r="R165" s="19"/>
      <c r="S165" s="19"/>
    </row>
    <row r="166" spans="2:21" s="20" customFormat="1" ht="17.100000000000001" hidden="1" customHeight="1" x14ac:dyDescent="0.3">
      <c r="B166" s="17">
        <v>44614</v>
      </c>
      <c r="C166" s="17">
        <v>44618</v>
      </c>
      <c r="D166" s="20" t="s">
        <v>736</v>
      </c>
      <c r="E166" s="15" t="s">
        <v>735</v>
      </c>
      <c r="F166" s="15" t="s">
        <v>116</v>
      </c>
      <c r="G166" s="15" t="s">
        <v>21</v>
      </c>
      <c r="H166" s="16">
        <v>350</v>
      </c>
      <c r="I166" s="15">
        <v>2</v>
      </c>
      <c r="J166" s="15" t="s">
        <v>72</v>
      </c>
      <c r="K166" s="29" t="s">
        <v>363</v>
      </c>
      <c r="L166" s="19">
        <v>19152808</v>
      </c>
      <c r="M166" s="18">
        <f t="shared" si="7"/>
        <v>38305616</v>
      </c>
      <c r="N166" s="17">
        <v>44748</v>
      </c>
      <c r="O166" s="20" t="s">
        <v>70</v>
      </c>
      <c r="P166" s="22"/>
      <c r="Q166" s="38" t="s">
        <v>2593</v>
      </c>
      <c r="R166" s="19"/>
      <c r="S166" s="19"/>
      <c r="U166" s="20" t="s">
        <v>634</v>
      </c>
    </row>
    <row r="167" spans="2:21" s="20" customFormat="1" ht="17.100000000000001" hidden="1" customHeight="1" x14ac:dyDescent="0.3">
      <c r="B167" s="17">
        <v>44615</v>
      </c>
      <c r="C167" s="17">
        <v>44638</v>
      </c>
      <c r="D167" s="20" t="s">
        <v>753</v>
      </c>
      <c r="E167" s="15" t="s">
        <v>750</v>
      </c>
      <c r="F167" s="15" t="s">
        <v>25</v>
      </c>
      <c r="G167" s="15" t="s">
        <v>21</v>
      </c>
      <c r="H167" s="16" t="s">
        <v>734</v>
      </c>
      <c r="I167" s="15">
        <v>1</v>
      </c>
      <c r="J167" s="15" t="s">
        <v>1046</v>
      </c>
      <c r="K167" s="29" t="s">
        <v>555</v>
      </c>
      <c r="L167" s="19">
        <v>96400000</v>
      </c>
      <c r="M167" s="18">
        <f t="shared" si="7"/>
        <v>96400000</v>
      </c>
      <c r="N167" s="17">
        <v>44902</v>
      </c>
      <c r="O167" s="20" t="s">
        <v>592</v>
      </c>
      <c r="P167" s="22"/>
      <c r="Q167" s="38" t="s">
        <v>2619</v>
      </c>
      <c r="R167" s="19"/>
      <c r="S167" s="19"/>
    </row>
    <row r="168" spans="2:21" s="20" customFormat="1" ht="17.100000000000001" hidden="1" customHeight="1" x14ac:dyDescent="0.3">
      <c r="B168" s="17">
        <v>44617</v>
      </c>
      <c r="C168" s="17">
        <v>44659</v>
      </c>
      <c r="D168" s="20" t="s">
        <v>850</v>
      </c>
      <c r="E168" s="15" t="s">
        <v>738</v>
      </c>
      <c r="F168" s="15" t="s">
        <v>25</v>
      </c>
      <c r="G168" s="15" t="s">
        <v>21</v>
      </c>
      <c r="H168" s="16" t="s">
        <v>730</v>
      </c>
      <c r="I168" s="15">
        <v>1</v>
      </c>
      <c r="J168" s="15" t="s">
        <v>246</v>
      </c>
      <c r="K168" s="15" t="s">
        <v>245</v>
      </c>
      <c r="L168" s="19">
        <v>79000000</v>
      </c>
      <c r="M168" s="18">
        <f t="shared" si="7"/>
        <v>79000000</v>
      </c>
      <c r="N168" s="17">
        <v>44684</v>
      </c>
      <c r="O168" s="20" t="s">
        <v>248</v>
      </c>
      <c r="P168" s="22"/>
      <c r="Q168" s="38" t="s">
        <v>2599</v>
      </c>
      <c r="R168" s="19"/>
      <c r="S168" s="19"/>
    </row>
    <row r="169" spans="2:21" s="20" customFormat="1" ht="17.100000000000001" hidden="1" customHeight="1" x14ac:dyDescent="0.3">
      <c r="B169" s="17">
        <v>44623</v>
      </c>
      <c r="C169" s="17">
        <v>44638</v>
      </c>
      <c r="D169" s="20" t="s">
        <v>748</v>
      </c>
      <c r="E169" s="15" t="s">
        <v>813</v>
      </c>
      <c r="F169" s="15" t="s">
        <v>116</v>
      </c>
      <c r="G169" s="15" t="s">
        <v>21</v>
      </c>
      <c r="H169" s="16" t="s">
        <v>65</v>
      </c>
      <c r="I169" s="15">
        <v>1</v>
      </c>
      <c r="J169" s="15" t="s">
        <v>49</v>
      </c>
      <c r="K169" s="29" t="s">
        <v>66</v>
      </c>
      <c r="L169" s="19">
        <v>182701800</v>
      </c>
      <c r="M169" s="18">
        <f t="shared" si="7"/>
        <v>200199800</v>
      </c>
      <c r="N169" s="17">
        <v>44666</v>
      </c>
      <c r="O169" s="23" t="s">
        <v>51</v>
      </c>
      <c r="P169" s="22"/>
      <c r="Q169" s="38" t="s">
        <v>2586</v>
      </c>
      <c r="R169" s="19">
        <f>14108000+990000</f>
        <v>15098000</v>
      </c>
      <c r="S169" s="19">
        <f>8749000*2</f>
        <v>17498000</v>
      </c>
      <c r="T169" s="45">
        <f t="shared" ref="T169" si="15">S169-R169</f>
        <v>2400000</v>
      </c>
    </row>
    <row r="170" spans="2:21" s="20" customFormat="1" ht="17.100000000000001" hidden="1" customHeight="1" x14ac:dyDescent="0.3">
      <c r="B170" s="17">
        <v>44625</v>
      </c>
      <c r="C170" s="17">
        <v>44733</v>
      </c>
      <c r="D170" s="20" t="s">
        <v>742</v>
      </c>
      <c r="E170" s="15" t="s">
        <v>744</v>
      </c>
      <c r="F170" s="15" t="s">
        <v>25</v>
      </c>
      <c r="G170" s="15" t="s">
        <v>21</v>
      </c>
      <c r="H170" s="16" t="s">
        <v>571</v>
      </c>
      <c r="I170" s="15">
        <v>1</v>
      </c>
      <c r="J170" s="15" t="s">
        <v>572</v>
      </c>
      <c r="K170" s="51" t="s">
        <v>574</v>
      </c>
      <c r="L170" s="19"/>
      <c r="M170" s="18">
        <f t="shared" si="7"/>
        <v>0</v>
      </c>
      <c r="N170" s="17">
        <v>44985</v>
      </c>
      <c r="O170" s="20" t="s">
        <v>1601</v>
      </c>
      <c r="P170" s="22"/>
      <c r="Q170" s="38" t="s">
        <v>2625</v>
      </c>
      <c r="R170" s="19"/>
      <c r="S170" s="19"/>
    </row>
    <row r="171" spans="2:21" s="20" customFormat="1" ht="17.100000000000001" hidden="1" customHeight="1" x14ac:dyDescent="0.3">
      <c r="B171" s="17">
        <v>44625</v>
      </c>
      <c r="C171" s="17">
        <v>44733</v>
      </c>
      <c r="D171" s="20" t="s">
        <v>743</v>
      </c>
      <c r="E171" s="15" t="s">
        <v>422</v>
      </c>
      <c r="F171" s="15" t="s">
        <v>25</v>
      </c>
      <c r="G171" s="15" t="s">
        <v>21</v>
      </c>
      <c r="H171" s="16" t="s">
        <v>704</v>
      </c>
      <c r="I171" s="15">
        <v>1</v>
      </c>
      <c r="J171" s="15" t="s">
        <v>572</v>
      </c>
      <c r="K171" s="51" t="s">
        <v>574</v>
      </c>
      <c r="L171" s="19"/>
      <c r="M171" s="18">
        <f t="shared" si="7"/>
        <v>0</v>
      </c>
      <c r="N171" s="17">
        <v>44985</v>
      </c>
      <c r="O171" s="20" t="s">
        <v>573</v>
      </c>
      <c r="P171" s="22"/>
      <c r="Q171" s="38" t="s">
        <v>2625</v>
      </c>
      <c r="R171" s="19"/>
      <c r="S171" s="19"/>
    </row>
    <row r="172" spans="2:21" s="20" customFormat="1" ht="17.100000000000001" hidden="1" customHeight="1" x14ac:dyDescent="0.3">
      <c r="B172" s="17">
        <v>44625</v>
      </c>
      <c r="C172" s="17">
        <v>44629</v>
      </c>
      <c r="D172" s="20" t="s">
        <v>746</v>
      </c>
      <c r="E172" s="15" t="s">
        <v>745</v>
      </c>
      <c r="F172" s="15" t="s">
        <v>116</v>
      </c>
      <c r="G172" s="15" t="s">
        <v>21</v>
      </c>
      <c r="H172" s="16">
        <v>200</v>
      </c>
      <c r="I172" s="15">
        <v>2</v>
      </c>
      <c r="J172" s="15" t="s">
        <v>88</v>
      </c>
      <c r="K172" s="29" t="s">
        <v>542</v>
      </c>
      <c r="L172" s="19">
        <v>8322349</v>
      </c>
      <c r="M172" s="18">
        <f t="shared" si="7"/>
        <v>16644698</v>
      </c>
      <c r="N172" s="17">
        <v>44804</v>
      </c>
      <c r="O172" s="20" t="s">
        <v>70</v>
      </c>
      <c r="P172" s="22"/>
      <c r="Q172" s="38" t="s">
        <v>2593</v>
      </c>
      <c r="R172" s="19"/>
      <c r="S172" s="19"/>
    </row>
    <row r="173" spans="2:21" s="20" customFormat="1" ht="17.100000000000001" hidden="1" customHeight="1" x14ac:dyDescent="0.3">
      <c r="B173" s="17">
        <v>44627</v>
      </c>
      <c r="C173" s="17">
        <v>44628</v>
      </c>
      <c r="D173" s="20" t="s">
        <v>749</v>
      </c>
      <c r="E173" s="15" t="s">
        <v>747</v>
      </c>
      <c r="F173" s="15" t="s">
        <v>116</v>
      </c>
      <c r="G173" s="15" t="s">
        <v>21</v>
      </c>
      <c r="H173" s="16" t="s">
        <v>169</v>
      </c>
      <c r="I173" s="15">
        <v>1</v>
      </c>
      <c r="J173" s="15" t="s">
        <v>83</v>
      </c>
      <c r="K173" s="29" t="s">
        <v>84</v>
      </c>
      <c r="L173" s="19">
        <v>17280000</v>
      </c>
      <c r="M173" s="18">
        <f t="shared" si="7"/>
        <v>19807000</v>
      </c>
      <c r="N173" s="17">
        <v>44644</v>
      </c>
      <c r="O173" s="23" t="s">
        <v>51</v>
      </c>
      <c r="P173" s="22"/>
      <c r="Q173" s="38" t="s">
        <v>2586</v>
      </c>
      <c r="R173" s="19">
        <v>2038000</v>
      </c>
      <c r="S173" s="19">
        <v>2527000</v>
      </c>
      <c r="T173" s="45">
        <f t="shared" ref="T173" si="16">S173-R173</f>
        <v>489000</v>
      </c>
    </row>
    <row r="174" spans="2:21" s="20" customFormat="1" ht="17.100000000000001" hidden="1" customHeight="1" x14ac:dyDescent="0.3">
      <c r="B174" s="17">
        <v>44632</v>
      </c>
      <c r="C174" s="17">
        <v>44633</v>
      </c>
      <c r="D174" s="20" t="s">
        <v>758</v>
      </c>
      <c r="E174" s="15" t="s">
        <v>757</v>
      </c>
      <c r="F174" s="15" t="s">
        <v>116</v>
      </c>
      <c r="G174" s="15" t="s">
        <v>21</v>
      </c>
      <c r="H174" s="16">
        <v>125</v>
      </c>
      <c r="I174" s="15">
        <v>2</v>
      </c>
      <c r="J174" s="15" t="s">
        <v>69</v>
      </c>
      <c r="K174" s="29" t="s">
        <v>66</v>
      </c>
      <c r="L174" s="19">
        <v>4545880</v>
      </c>
      <c r="M174" s="18">
        <f t="shared" si="7"/>
        <v>9091760</v>
      </c>
      <c r="N174" s="17">
        <v>44795</v>
      </c>
      <c r="O174" s="20" t="s">
        <v>70</v>
      </c>
      <c r="P174" s="22"/>
      <c r="Q174" s="38" t="s">
        <v>2593</v>
      </c>
      <c r="R174" s="19"/>
      <c r="S174" s="19"/>
    </row>
    <row r="175" spans="2:21" s="20" customFormat="1" ht="17.100000000000001" hidden="1" customHeight="1" x14ac:dyDescent="0.3">
      <c r="B175" s="17">
        <v>44635</v>
      </c>
      <c r="C175" s="17">
        <v>44811</v>
      </c>
      <c r="D175" s="20" t="s">
        <v>851</v>
      </c>
      <c r="E175" s="15" t="s">
        <v>759</v>
      </c>
      <c r="F175" s="15" t="s">
        <v>25</v>
      </c>
      <c r="G175" s="15" t="s">
        <v>21</v>
      </c>
      <c r="H175" s="16" t="s">
        <v>762</v>
      </c>
      <c r="I175" s="15">
        <v>1</v>
      </c>
      <c r="J175" s="15" t="s">
        <v>764</v>
      </c>
      <c r="K175" s="51" t="s">
        <v>706</v>
      </c>
      <c r="L175" s="19"/>
      <c r="M175" s="18">
        <f t="shared" si="7"/>
        <v>0</v>
      </c>
      <c r="N175" s="17">
        <v>44985</v>
      </c>
      <c r="O175" s="20" t="s">
        <v>707</v>
      </c>
      <c r="P175" s="22"/>
      <c r="Q175" s="38" t="s">
        <v>2625</v>
      </c>
      <c r="R175" s="19"/>
      <c r="S175" s="19"/>
    </row>
    <row r="176" spans="2:21" s="20" customFormat="1" ht="17.100000000000001" hidden="1" customHeight="1" x14ac:dyDescent="0.3">
      <c r="B176" s="17">
        <v>44635</v>
      </c>
      <c r="C176" s="17">
        <v>44811</v>
      </c>
      <c r="D176" s="20" t="s">
        <v>761</v>
      </c>
      <c r="E176" s="15" t="s">
        <v>760</v>
      </c>
      <c r="F176" s="15" t="s">
        <v>25</v>
      </c>
      <c r="G176" s="15" t="s">
        <v>21</v>
      </c>
      <c r="H176" s="16" t="s">
        <v>763</v>
      </c>
      <c r="I176" s="15">
        <v>1</v>
      </c>
      <c r="J176" s="15" t="s">
        <v>705</v>
      </c>
      <c r="K176" s="51" t="s">
        <v>706</v>
      </c>
      <c r="L176" s="19"/>
      <c r="M176" s="18">
        <f t="shared" si="7"/>
        <v>0</v>
      </c>
      <c r="N176" s="17">
        <v>44985</v>
      </c>
      <c r="O176" s="20" t="s">
        <v>707</v>
      </c>
      <c r="P176" s="22"/>
      <c r="Q176" s="38" t="s">
        <v>2625</v>
      </c>
      <c r="R176" s="19"/>
      <c r="S176" s="19"/>
    </row>
    <row r="177" spans="2:21" s="20" customFormat="1" ht="17.100000000000001" hidden="1" customHeight="1" x14ac:dyDescent="0.3">
      <c r="B177" s="17">
        <v>44635</v>
      </c>
      <c r="C177" s="17">
        <v>44636</v>
      </c>
      <c r="D177" s="20" t="s">
        <v>765</v>
      </c>
      <c r="E177" s="15" t="s">
        <v>812</v>
      </c>
      <c r="F177" s="15" t="s">
        <v>116</v>
      </c>
      <c r="G177" s="15" t="s">
        <v>21</v>
      </c>
      <c r="H177" s="16" t="s">
        <v>766</v>
      </c>
      <c r="I177" s="15">
        <v>1</v>
      </c>
      <c r="J177" s="15" t="s">
        <v>83</v>
      </c>
      <c r="K177" s="29" t="s">
        <v>84</v>
      </c>
      <c r="L177" s="19">
        <f>37639000/2</f>
        <v>18819500</v>
      </c>
      <c r="M177" s="18">
        <f t="shared" si="7"/>
        <v>20745000</v>
      </c>
      <c r="N177" s="17">
        <v>44799</v>
      </c>
      <c r="O177" s="23" t="s">
        <v>51</v>
      </c>
      <c r="P177" s="22"/>
      <c r="Q177" s="38" t="s">
        <v>2586</v>
      </c>
      <c r="R177" s="19">
        <v>1553000</v>
      </c>
      <c r="S177" s="19">
        <f>3851000/2</f>
        <v>1925500</v>
      </c>
      <c r="T177" s="45">
        <f t="shared" ref="T177" si="17">S177-R177</f>
        <v>372500</v>
      </c>
    </row>
    <row r="178" spans="2:21" s="20" customFormat="1" ht="17.100000000000001" hidden="1" customHeight="1" x14ac:dyDescent="0.3">
      <c r="B178" s="17">
        <v>44635</v>
      </c>
      <c r="C178" s="17">
        <v>44635</v>
      </c>
      <c r="D178" s="20" t="s">
        <v>930</v>
      </c>
      <c r="E178" s="15" t="s">
        <v>767</v>
      </c>
      <c r="F178" s="15" t="s">
        <v>116</v>
      </c>
      <c r="G178" s="15" t="s">
        <v>21</v>
      </c>
      <c r="H178" s="16" t="s">
        <v>965</v>
      </c>
      <c r="I178" s="15">
        <v>2</v>
      </c>
      <c r="J178" s="15" t="s">
        <v>49</v>
      </c>
      <c r="K178" s="29" t="s">
        <v>768</v>
      </c>
      <c r="L178" s="19">
        <v>2015000</v>
      </c>
      <c r="M178" s="18">
        <f t="shared" si="7"/>
        <v>4030000</v>
      </c>
      <c r="N178" s="17">
        <v>44742</v>
      </c>
      <c r="P178" s="22" t="s">
        <v>174</v>
      </c>
      <c r="Q178" s="38" t="s">
        <v>2631</v>
      </c>
      <c r="R178" s="19"/>
      <c r="S178" s="19"/>
    </row>
    <row r="179" spans="2:21" s="20" customFormat="1" ht="17.100000000000001" hidden="1" customHeight="1" x14ac:dyDescent="0.3">
      <c r="B179" s="17">
        <v>44641</v>
      </c>
      <c r="C179" s="17">
        <v>44646</v>
      </c>
      <c r="D179" s="20" t="s">
        <v>794</v>
      </c>
      <c r="E179" s="15" t="s">
        <v>793</v>
      </c>
      <c r="F179" s="15" t="s">
        <v>46</v>
      </c>
      <c r="G179" s="15" t="s">
        <v>21</v>
      </c>
      <c r="H179" s="16">
        <v>600</v>
      </c>
      <c r="I179" s="15">
        <v>4</v>
      </c>
      <c r="J179" s="15" t="s">
        <v>783</v>
      </c>
      <c r="K179" s="77" t="s">
        <v>921</v>
      </c>
      <c r="L179" s="19">
        <v>37212626</v>
      </c>
      <c r="M179" s="18">
        <f t="shared" si="7"/>
        <v>148850504</v>
      </c>
      <c r="N179" s="17">
        <v>44797</v>
      </c>
      <c r="O179" s="20" t="s">
        <v>70</v>
      </c>
      <c r="P179" s="22"/>
      <c r="Q179" s="38" t="s">
        <v>2593</v>
      </c>
      <c r="R179" s="19"/>
      <c r="S179" s="19"/>
    </row>
    <row r="180" spans="2:21" s="20" customFormat="1" ht="17.100000000000001" hidden="1" customHeight="1" x14ac:dyDescent="0.3">
      <c r="B180" s="17">
        <v>44643</v>
      </c>
      <c r="C180" s="17">
        <v>44649</v>
      </c>
      <c r="D180" s="20" t="s">
        <v>789</v>
      </c>
      <c r="E180" s="15" t="s">
        <v>775</v>
      </c>
      <c r="F180" s="15" t="s">
        <v>25</v>
      </c>
      <c r="G180" s="15" t="s">
        <v>21</v>
      </c>
      <c r="H180" s="16" t="s">
        <v>790</v>
      </c>
      <c r="I180" s="15">
        <v>1</v>
      </c>
      <c r="J180" s="15" t="s">
        <v>776</v>
      </c>
      <c r="K180" s="29" t="s">
        <v>777</v>
      </c>
      <c r="L180" s="19">
        <v>20000000</v>
      </c>
      <c r="M180" s="18">
        <f t="shared" si="7"/>
        <v>20000000</v>
      </c>
      <c r="N180" s="17">
        <v>44676</v>
      </c>
      <c r="P180" s="22"/>
      <c r="Q180" s="22"/>
      <c r="R180" s="19"/>
      <c r="S180" s="19"/>
    </row>
    <row r="181" spans="2:21" s="20" customFormat="1" ht="17.100000000000001" hidden="1" customHeight="1" x14ac:dyDescent="0.3">
      <c r="B181" s="17">
        <v>44645</v>
      </c>
      <c r="C181" s="17">
        <v>44666</v>
      </c>
      <c r="D181" s="20" t="s">
        <v>779</v>
      </c>
      <c r="E181" s="15" t="s">
        <v>778</v>
      </c>
      <c r="F181" s="15" t="s">
        <v>25</v>
      </c>
      <c r="G181" s="15" t="s">
        <v>21</v>
      </c>
      <c r="H181" s="16" t="s">
        <v>780</v>
      </c>
      <c r="I181" s="15">
        <v>1</v>
      </c>
      <c r="J181" s="15" t="s">
        <v>733</v>
      </c>
      <c r="K181" s="29" t="s">
        <v>555</v>
      </c>
      <c r="L181" s="19">
        <v>102200000</v>
      </c>
      <c r="M181" s="18">
        <f t="shared" si="7"/>
        <v>102200000</v>
      </c>
      <c r="N181" s="17">
        <v>44902</v>
      </c>
      <c r="O181" s="20" t="s">
        <v>592</v>
      </c>
      <c r="P181" s="22"/>
      <c r="Q181" s="38" t="s">
        <v>2619</v>
      </c>
      <c r="R181" s="19"/>
      <c r="S181" s="19"/>
    </row>
    <row r="182" spans="2:21" s="20" customFormat="1" ht="17.100000000000001" hidden="1" customHeight="1" x14ac:dyDescent="0.3">
      <c r="B182" s="17">
        <v>44645</v>
      </c>
      <c r="C182" s="17">
        <v>44645</v>
      </c>
      <c r="D182" s="20" t="s">
        <v>800</v>
      </c>
      <c r="E182" s="15" t="s">
        <v>801</v>
      </c>
      <c r="F182" s="15" t="s">
        <v>116</v>
      </c>
      <c r="G182" s="15" t="s">
        <v>21</v>
      </c>
      <c r="H182" s="16" t="s">
        <v>966</v>
      </c>
      <c r="I182" s="15">
        <v>2</v>
      </c>
      <c r="J182" s="15" t="s">
        <v>49</v>
      </c>
      <c r="K182" s="29" t="s">
        <v>191</v>
      </c>
      <c r="L182" s="19">
        <v>4865000</v>
      </c>
      <c r="M182" s="18">
        <f t="shared" si="7"/>
        <v>9730000</v>
      </c>
      <c r="N182" s="17">
        <v>44742</v>
      </c>
      <c r="P182" s="22" t="s">
        <v>174</v>
      </c>
      <c r="Q182" s="38" t="s">
        <v>2631</v>
      </c>
      <c r="R182" s="19"/>
      <c r="S182" s="19"/>
    </row>
    <row r="183" spans="2:21" s="20" customFormat="1" ht="17.100000000000001" hidden="1" customHeight="1" x14ac:dyDescent="0.3">
      <c r="B183" s="17">
        <v>44646</v>
      </c>
      <c r="C183" s="17">
        <v>44650</v>
      </c>
      <c r="D183" s="20" t="s">
        <v>782</v>
      </c>
      <c r="E183" s="15" t="s">
        <v>781</v>
      </c>
      <c r="F183" s="15" t="s">
        <v>116</v>
      </c>
      <c r="G183" s="15" t="s">
        <v>21</v>
      </c>
      <c r="H183" s="16">
        <v>500</v>
      </c>
      <c r="I183" s="15">
        <v>2</v>
      </c>
      <c r="J183" s="15" t="s">
        <v>783</v>
      </c>
      <c r="K183" s="29" t="s">
        <v>921</v>
      </c>
      <c r="L183" s="19">
        <v>27375226</v>
      </c>
      <c r="M183" s="18">
        <f t="shared" si="7"/>
        <v>54750452</v>
      </c>
      <c r="N183" s="17">
        <v>44797</v>
      </c>
      <c r="O183" s="20" t="s">
        <v>70</v>
      </c>
      <c r="P183" s="22"/>
      <c r="Q183" s="38" t="s">
        <v>2593</v>
      </c>
      <c r="R183" s="19"/>
      <c r="S183" s="19"/>
    </row>
    <row r="184" spans="2:21" s="20" customFormat="1" ht="17.100000000000001" hidden="1" customHeight="1" x14ac:dyDescent="0.3">
      <c r="B184" s="17">
        <v>44649</v>
      </c>
      <c r="C184" s="17">
        <v>44652</v>
      </c>
      <c r="D184" s="20" t="s">
        <v>785</v>
      </c>
      <c r="E184" s="15" t="s">
        <v>784</v>
      </c>
      <c r="F184" s="15" t="s">
        <v>116</v>
      </c>
      <c r="G184" s="15" t="s">
        <v>21</v>
      </c>
      <c r="H184" s="16">
        <v>500</v>
      </c>
      <c r="I184" s="15">
        <v>2</v>
      </c>
      <c r="J184" s="15" t="s">
        <v>568</v>
      </c>
      <c r="K184" s="29" t="s">
        <v>363</v>
      </c>
      <c r="L184" s="19">
        <v>27375226</v>
      </c>
      <c r="M184" s="18">
        <f t="shared" si="7"/>
        <v>54750452</v>
      </c>
      <c r="N184" s="17">
        <v>44748</v>
      </c>
      <c r="O184" s="20" t="s">
        <v>70</v>
      </c>
      <c r="P184" s="22"/>
      <c r="Q184" s="38" t="s">
        <v>2593</v>
      </c>
      <c r="R184" s="19"/>
      <c r="S184" s="19"/>
    </row>
    <row r="185" spans="2:21" s="20" customFormat="1" ht="17.100000000000001" hidden="1" customHeight="1" x14ac:dyDescent="0.3">
      <c r="B185" s="17">
        <v>44651</v>
      </c>
      <c r="C185" s="17">
        <v>44662</v>
      </c>
      <c r="D185" s="20" t="s">
        <v>796</v>
      </c>
      <c r="E185" s="15" t="s">
        <v>795</v>
      </c>
      <c r="F185" s="15" t="s">
        <v>46</v>
      </c>
      <c r="G185" s="15" t="s">
        <v>21</v>
      </c>
      <c r="H185" s="16">
        <v>800</v>
      </c>
      <c r="I185" s="15">
        <v>4</v>
      </c>
      <c r="J185" s="15" t="s">
        <v>568</v>
      </c>
      <c r="K185" s="29" t="s">
        <v>73</v>
      </c>
      <c r="L185" s="19">
        <v>56164825</v>
      </c>
      <c r="M185" s="18">
        <f t="shared" si="7"/>
        <v>224659300</v>
      </c>
      <c r="N185" s="17">
        <v>44748</v>
      </c>
      <c r="O185" s="20" t="s">
        <v>70</v>
      </c>
      <c r="P185" s="22"/>
      <c r="Q185" s="38" t="s">
        <v>2593</v>
      </c>
      <c r="R185" s="19"/>
      <c r="S185" s="19"/>
    </row>
    <row r="186" spans="2:21" s="20" customFormat="1" ht="17.100000000000001" hidden="1" customHeight="1" x14ac:dyDescent="0.3">
      <c r="B186" s="17">
        <v>44652</v>
      </c>
      <c r="C186" s="17">
        <v>44652</v>
      </c>
      <c r="D186" s="20" t="s">
        <v>798</v>
      </c>
      <c r="E186" s="15" t="s">
        <v>797</v>
      </c>
      <c r="F186" s="15" t="s">
        <v>46</v>
      </c>
      <c r="G186" s="15" t="s">
        <v>21</v>
      </c>
      <c r="H186" s="16" t="s">
        <v>967</v>
      </c>
      <c r="I186" s="15">
        <v>2</v>
      </c>
      <c r="J186" s="15" t="s">
        <v>49</v>
      </c>
      <c r="K186" s="29" t="s">
        <v>768</v>
      </c>
      <c r="L186" s="19">
        <v>3850000</v>
      </c>
      <c r="M186" s="18">
        <f t="shared" si="7"/>
        <v>7700000</v>
      </c>
      <c r="N186" s="17">
        <v>44742</v>
      </c>
      <c r="P186" s="22" t="s">
        <v>174</v>
      </c>
      <c r="Q186" s="38" t="s">
        <v>2631</v>
      </c>
      <c r="R186" s="19"/>
      <c r="S186" s="19"/>
    </row>
    <row r="187" spans="2:21" s="20" customFormat="1" ht="17.100000000000001" hidden="1" customHeight="1" x14ac:dyDescent="0.3">
      <c r="B187" s="17">
        <v>44655</v>
      </c>
      <c r="C187" s="17">
        <v>44670</v>
      </c>
      <c r="D187" s="20" t="s">
        <v>860</v>
      </c>
      <c r="E187" s="15" t="s">
        <v>802</v>
      </c>
      <c r="F187" s="15" t="s">
        <v>46</v>
      </c>
      <c r="G187" s="15" t="s">
        <v>21</v>
      </c>
      <c r="H187" s="16">
        <v>450</v>
      </c>
      <c r="I187" s="15">
        <v>4</v>
      </c>
      <c r="J187" s="15" t="s">
        <v>190</v>
      </c>
      <c r="K187" s="29" t="s">
        <v>857</v>
      </c>
      <c r="L187" s="19">
        <v>19500000</v>
      </c>
      <c r="M187" s="18">
        <f t="shared" si="7"/>
        <v>86600000</v>
      </c>
      <c r="N187" s="17">
        <v>44742</v>
      </c>
      <c r="O187" s="20" t="s">
        <v>855</v>
      </c>
      <c r="P187" s="22"/>
      <c r="Q187" s="38" t="s">
        <v>2632</v>
      </c>
      <c r="R187" s="19">
        <f>2034000*4</f>
        <v>8136000</v>
      </c>
      <c r="S187" s="19">
        <f>2150000*4</f>
        <v>8600000</v>
      </c>
      <c r="T187" s="45">
        <f t="shared" ref="T187" si="18">S187-R187</f>
        <v>464000</v>
      </c>
    </row>
    <row r="188" spans="2:21" s="20" customFormat="1" ht="17.100000000000001" hidden="1" customHeight="1" x14ac:dyDescent="0.3">
      <c r="B188" s="17">
        <v>44656</v>
      </c>
      <c r="C188" s="17">
        <v>44670</v>
      </c>
      <c r="D188" s="20" t="s">
        <v>805</v>
      </c>
      <c r="E188" s="15" t="s">
        <v>803</v>
      </c>
      <c r="F188" s="15" t="s">
        <v>25</v>
      </c>
      <c r="G188" s="15" t="s">
        <v>26</v>
      </c>
      <c r="H188" s="16" t="s">
        <v>807</v>
      </c>
      <c r="I188" s="15">
        <v>1</v>
      </c>
      <c r="J188" s="15" t="s">
        <v>641</v>
      </c>
      <c r="K188" s="29" t="s">
        <v>640</v>
      </c>
      <c r="L188" s="19">
        <v>16700000</v>
      </c>
      <c r="M188" s="18">
        <f t="shared" si="7"/>
        <v>16700000</v>
      </c>
      <c r="N188" s="17">
        <v>44680</v>
      </c>
      <c r="O188" s="20" t="s">
        <v>642</v>
      </c>
      <c r="P188" s="22"/>
      <c r="Q188" s="38" t="s">
        <v>2623</v>
      </c>
      <c r="R188" s="19"/>
      <c r="S188" s="19"/>
      <c r="U188" s="20" t="s">
        <v>633</v>
      </c>
    </row>
    <row r="189" spans="2:21" s="20" customFormat="1" ht="17.100000000000001" hidden="1" customHeight="1" x14ac:dyDescent="0.3">
      <c r="B189" s="17">
        <v>44656</v>
      </c>
      <c r="C189" s="17">
        <v>44670</v>
      </c>
      <c r="D189" s="20" t="s">
        <v>806</v>
      </c>
      <c r="E189" s="15" t="s">
        <v>804</v>
      </c>
      <c r="F189" s="15" t="s">
        <v>25</v>
      </c>
      <c r="G189" s="15" t="s">
        <v>26</v>
      </c>
      <c r="H189" s="16" t="s">
        <v>808</v>
      </c>
      <c r="I189" s="15">
        <v>1</v>
      </c>
      <c r="J189" s="15" t="s">
        <v>641</v>
      </c>
      <c r="K189" s="29" t="s">
        <v>640</v>
      </c>
      <c r="L189" s="19">
        <v>15000000</v>
      </c>
      <c r="M189" s="18">
        <f t="shared" si="7"/>
        <v>15000000</v>
      </c>
      <c r="N189" s="17">
        <v>44680</v>
      </c>
      <c r="O189" s="20" t="s">
        <v>642</v>
      </c>
      <c r="P189" s="22"/>
      <c r="Q189" s="38" t="s">
        <v>2623</v>
      </c>
      <c r="R189" s="19"/>
      <c r="S189" s="19"/>
      <c r="U189" s="20" t="s">
        <v>633</v>
      </c>
    </row>
    <row r="190" spans="2:21" s="20" customFormat="1" ht="17.100000000000001" hidden="1" customHeight="1" x14ac:dyDescent="0.3">
      <c r="B190" s="17">
        <v>44658</v>
      </c>
      <c r="C190" s="17">
        <v>44660</v>
      </c>
      <c r="D190" s="20" t="s">
        <v>810</v>
      </c>
      <c r="E190" s="15" t="s">
        <v>809</v>
      </c>
      <c r="F190" s="15" t="s">
        <v>46</v>
      </c>
      <c r="G190" s="15" t="s">
        <v>21</v>
      </c>
      <c r="H190" s="16">
        <v>200</v>
      </c>
      <c r="I190" s="15">
        <v>2</v>
      </c>
      <c r="J190" s="15" t="s">
        <v>811</v>
      </c>
      <c r="K190" s="29" t="s">
        <v>258</v>
      </c>
      <c r="L190" s="19">
        <v>8322349</v>
      </c>
      <c r="M190" s="18">
        <f t="shared" si="7"/>
        <v>16644698</v>
      </c>
      <c r="N190" s="17">
        <v>44795</v>
      </c>
      <c r="O190" s="20" t="s">
        <v>70</v>
      </c>
      <c r="P190" s="22"/>
      <c r="Q190" s="38" t="s">
        <v>2593</v>
      </c>
      <c r="R190" s="19"/>
      <c r="S190" s="19"/>
    </row>
    <row r="191" spans="2:21" s="20" customFormat="1" ht="17.100000000000001" hidden="1" customHeight="1" x14ac:dyDescent="0.3">
      <c r="B191" s="17">
        <v>44662</v>
      </c>
      <c r="C191" s="17">
        <v>44776</v>
      </c>
      <c r="D191" s="20" t="s">
        <v>816</v>
      </c>
      <c r="E191" s="15" t="s">
        <v>605</v>
      </c>
      <c r="F191" s="15" t="s">
        <v>25</v>
      </c>
      <c r="G191" s="15" t="s">
        <v>21</v>
      </c>
      <c r="H191" s="16" t="s">
        <v>818</v>
      </c>
      <c r="I191" s="15">
        <v>1</v>
      </c>
      <c r="J191" s="15" t="s">
        <v>820</v>
      </c>
      <c r="K191" s="29" t="s">
        <v>821</v>
      </c>
      <c r="L191" s="19"/>
      <c r="M191" s="18">
        <f t="shared" si="7"/>
        <v>0</v>
      </c>
      <c r="N191" s="17">
        <v>44790</v>
      </c>
      <c r="O191" s="20" t="s">
        <v>822</v>
      </c>
      <c r="P191" s="22"/>
      <c r="Q191" s="38" t="s">
        <v>2633</v>
      </c>
      <c r="R191" s="19"/>
      <c r="S191" s="19"/>
    </row>
    <row r="192" spans="2:21" s="20" customFormat="1" ht="17.100000000000001" hidden="1" customHeight="1" x14ac:dyDescent="0.3">
      <c r="B192" s="17">
        <v>44662</v>
      </c>
      <c r="C192" s="17">
        <v>44776</v>
      </c>
      <c r="D192" s="20" t="s">
        <v>817</v>
      </c>
      <c r="E192" s="15" t="s">
        <v>815</v>
      </c>
      <c r="F192" s="15" t="s">
        <v>25</v>
      </c>
      <c r="G192" s="15" t="s">
        <v>21</v>
      </c>
      <c r="H192" s="16" t="s">
        <v>819</v>
      </c>
      <c r="I192" s="15">
        <v>1</v>
      </c>
      <c r="J192" s="15" t="s">
        <v>820</v>
      </c>
      <c r="K192" s="29" t="s">
        <v>821</v>
      </c>
      <c r="L192" s="19">
        <v>418400000</v>
      </c>
      <c r="M192" s="18">
        <f t="shared" si="7"/>
        <v>418400000</v>
      </c>
      <c r="N192" s="17">
        <v>44790</v>
      </c>
      <c r="O192" s="20" t="s">
        <v>822</v>
      </c>
      <c r="P192" s="22"/>
      <c r="Q192" s="38" t="s">
        <v>2633</v>
      </c>
      <c r="R192" s="19"/>
      <c r="S192" s="19"/>
    </row>
    <row r="193" spans="2:20" s="20" customFormat="1" ht="17.100000000000001" hidden="1" customHeight="1" x14ac:dyDescent="0.3">
      <c r="B193" s="17">
        <v>44665</v>
      </c>
      <c r="C193" s="17">
        <v>44665</v>
      </c>
      <c r="D193" s="20" t="s">
        <v>963</v>
      </c>
      <c r="E193" s="15" t="s">
        <v>964</v>
      </c>
      <c r="F193" s="15" t="s">
        <v>116</v>
      </c>
      <c r="G193" s="15" t="s">
        <v>21</v>
      </c>
      <c r="H193" s="16" t="s">
        <v>968</v>
      </c>
      <c r="I193" s="15">
        <v>2</v>
      </c>
      <c r="J193" s="15" t="s">
        <v>49</v>
      </c>
      <c r="K193" s="29" t="s">
        <v>191</v>
      </c>
      <c r="L193" s="19">
        <v>4000000</v>
      </c>
      <c r="M193" s="18">
        <f t="shared" si="7"/>
        <v>8000000</v>
      </c>
      <c r="N193" s="17">
        <v>44742</v>
      </c>
      <c r="P193" s="22" t="s">
        <v>174</v>
      </c>
      <c r="Q193" s="38" t="s">
        <v>2631</v>
      </c>
      <c r="R193" s="19"/>
      <c r="S193" s="19"/>
    </row>
    <row r="194" spans="2:20" s="20" customFormat="1" ht="17.100000000000001" hidden="1" customHeight="1" x14ac:dyDescent="0.3">
      <c r="B194" s="17">
        <v>44666</v>
      </c>
      <c r="C194" s="17">
        <v>44680</v>
      </c>
      <c r="D194" s="20" t="s">
        <v>824</v>
      </c>
      <c r="E194" s="15" t="s">
        <v>823</v>
      </c>
      <c r="F194" s="15" t="s">
        <v>46</v>
      </c>
      <c r="G194" s="15" t="s">
        <v>21</v>
      </c>
      <c r="H194" s="16">
        <v>500</v>
      </c>
      <c r="I194" s="15">
        <v>2</v>
      </c>
      <c r="J194" s="15" t="s">
        <v>825</v>
      </c>
      <c r="K194" s="29" t="s">
        <v>826</v>
      </c>
      <c r="L194" s="19">
        <v>27375226</v>
      </c>
      <c r="M194" s="18">
        <f t="shared" si="7"/>
        <v>54750452</v>
      </c>
      <c r="N194" s="17">
        <v>44804</v>
      </c>
      <c r="O194" s="20" t="s">
        <v>70</v>
      </c>
      <c r="P194" s="22"/>
      <c r="Q194" s="38" t="s">
        <v>2593</v>
      </c>
      <c r="R194" s="19"/>
      <c r="S194" s="19"/>
    </row>
    <row r="195" spans="2:20" s="20" customFormat="1" ht="17.100000000000001" hidden="1" customHeight="1" x14ac:dyDescent="0.3">
      <c r="B195" s="17">
        <v>44669</v>
      </c>
      <c r="C195" s="17">
        <v>44671</v>
      </c>
      <c r="D195" s="20" t="s">
        <v>828</v>
      </c>
      <c r="E195" s="15" t="s">
        <v>827</v>
      </c>
      <c r="F195" s="15" t="s">
        <v>25</v>
      </c>
      <c r="G195" s="15" t="s">
        <v>21</v>
      </c>
      <c r="H195" s="16" t="s">
        <v>829</v>
      </c>
      <c r="I195" s="15">
        <v>1</v>
      </c>
      <c r="J195" s="15" t="s">
        <v>776</v>
      </c>
      <c r="K195" s="29" t="s">
        <v>777</v>
      </c>
      <c r="L195" s="19">
        <v>20000000</v>
      </c>
      <c r="M195" s="18">
        <f t="shared" si="7"/>
        <v>20000000</v>
      </c>
      <c r="N195" s="17">
        <v>44676</v>
      </c>
      <c r="P195" s="22"/>
      <c r="Q195" s="22"/>
      <c r="R195" s="19"/>
      <c r="S195" s="19"/>
    </row>
    <row r="196" spans="2:20" s="20" customFormat="1" ht="17.100000000000001" hidden="1" customHeight="1" x14ac:dyDescent="0.3">
      <c r="B196" s="17">
        <v>44669</v>
      </c>
      <c r="C196" s="17">
        <v>44672</v>
      </c>
      <c r="D196" s="20" t="s">
        <v>830</v>
      </c>
      <c r="E196" s="15" t="s">
        <v>840</v>
      </c>
      <c r="F196" s="15" t="s">
        <v>25</v>
      </c>
      <c r="G196" s="15" t="s">
        <v>21</v>
      </c>
      <c r="H196" s="16" t="s">
        <v>831</v>
      </c>
      <c r="I196" s="15">
        <v>1</v>
      </c>
      <c r="J196" s="15" t="s">
        <v>832</v>
      </c>
      <c r="K196" s="29" t="s">
        <v>833</v>
      </c>
      <c r="L196" s="19">
        <v>17800000</v>
      </c>
      <c r="M196" s="18">
        <f t="shared" ref="M196:M254" si="19">(L196*I196)+S196</f>
        <v>17800000</v>
      </c>
      <c r="N196" s="17">
        <v>44680</v>
      </c>
      <c r="O196" s="20" t="s">
        <v>834</v>
      </c>
      <c r="P196" s="22"/>
      <c r="Q196" s="38" t="s">
        <v>2634</v>
      </c>
      <c r="R196" s="19"/>
      <c r="S196" s="19"/>
    </row>
    <row r="197" spans="2:20" s="20" customFormat="1" ht="17.100000000000001" hidden="1" customHeight="1" x14ac:dyDescent="0.3">
      <c r="B197" s="17">
        <v>44671</v>
      </c>
      <c r="C197" s="17">
        <v>44673</v>
      </c>
      <c r="D197" s="20" t="s">
        <v>836</v>
      </c>
      <c r="E197" s="15" t="s">
        <v>835</v>
      </c>
      <c r="F197" s="15" t="s">
        <v>46</v>
      </c>
      <c r="G197" s="15" t="s">
        <v>21</v>
      </c>
      <c r="H197" s="16" t="s">
        <v>837</v>
      </c>
      <c r="I197" s="15">
        <v>1</v>
      </c>
      <c r="J197" s="15" t="s">
        <v>83</v>
      </c>
      <c r="K197" s="29" t="s">
        <v>84</v>
      </c>
      <c r="L197" s="19">
        <v>20480000</v>
      </c>
      <c r="M197" s="18">
        <f t="shared" si="19"/>
        <v>23007000</v>
      </c>
      <c r="N197" s="17">
        <v>44799</v>
      </c>
      <c r="O197" s="23" t="s">
        <v>51</v>
      </c>
      <c r="P197" s="22"/>
      <c r="Q197" s="38" t="s">
        <v>2586</v>
      </c>
      <c r="R197" s="19">
        <v>2038000</v>
      </c>
      <c r="S197" s="19">
        <v>2527000</v>
      </c>
      <c r="T197" s="45">
        <f t="shared" ref="T197" si="20">S197-R197</f>
        <v>489000</v>
      </c>
    </row>
    <row r="198" spans="2:20" s="20" customFormat="1" ht="17.100000000000001" hidden="1" customHeight="1" x14ac:dyDescent="0.3">
      <c r="B198" s="17">
        <v>44671</v>
      </c>
      <c r="C198" s="17">
        <v>44671</v>
      </c>
      <c r="D198" s="20" t="s">
        <v>839</v>
      </c>
      <c r="E198" s="15" t="s">
        <v>838</v>
      </c>
      <c r="F198" s="15" t="s">
        <v>46</v>
      </c>
      <c r="G198" s="15" t="s">
        <v>21</v>
      </c>
      <c r="H198" s="16" t="s">
        <v>969</v>
      </c>
      <c r="I198" s="15">
        <v>2</v>
      </c>
      <c r="J198" s="15" t="s">
        <v>49</v>
      </c>
      <c r="K198" s="29" t="s">
        <v>50</v>
      </c>
      <c r="L198" s="19">
        <v>3900000</v>
      </c>
      <c r="M198" s="18">
        <f t="shared" si="19"/>
        <v>7800000</v>
      </c>
      <c r="N198" s="17">
        <v>44742</v>
      </c>
      <c r="P198" s="22" t="s">
        <v>174</v>
      </c>
      <c r="Q198" s="38" t="s">
        <v>2631</v>
      </c>
      <c r="R198" s="19"/>
      <c r="S198" s="19"/>
    </row>
    <row r="199" spans="2:20" s="20" customFormat="1" ht="17.100000000000001" hidden="1" customHeight="1" x14ac:dyDescent="0.3">
      <c r="B199" s="17">
        <v>44676</v>
      </c>
      <c r="C199" s="17">
        <v>44679</v>
      </c>
      <c r="D199" s="20" t="s">
        <v>895</v>
      </c>
      <c r="E199" s="15" t="s">
        <v>841</v>
      </c>
      <c r="F199" s="15" t="s">
        <v>46</v>
      </c>
      <c r="G199" s="15" t="s">
        <v>21</v>
      </c>
      <c r="H199" s="16">
        <v>800</v>
      </c>
      <c r="I199" s="15">
        <v>2</v>
      </c>
      <c r="J199" s="15" t="s">
        <v>72</v>
      </c>
      <c r="K199" s="29" t="s">
        <v>363</v>
      </c>
      <c r="L199" s="19">
        <v>62485217</v>
      </c>
      <c r="M199" s="18">
        <f t="shared" si="19"/>
        <v>124970434</v>
      </c>
      <c r="N199" s="17">
        <v>44748</v>
      </c>
      <c r="O199" s="20" t="s">
        <v>70</v>
      </c>
      <c r="P199" s="22"/>
      <c r="Q199" s="38" t="s">
        <v>2593</v>
      </c>
      <c r="R199" s="19"/>
      <c r="S199" s="19"/>
    </row>
    <row r="200" spans="2:20" s="20" customFormat="1" ht="17.100000000000001" hidden="1" customHeight="1" x14ac:dyDescent="0.3">
      <c r="B200" s="17">
        <v>44676</v>
      </c>
      <c r="C200" s="17">
        <v>44736</v>
      </c>
      <c r="D200" s="20" t="s">
        <v>852</v>
      </c>
      <c r="E200" s="15" t="s">
        <v>1134</v>
      </c>
      <c r="F200" s="15" t="s">
        <v>25</v>
      </c>
      <c r="G200" s="15" t="s">
        <v>26</v>
      </c>
      <c r="H200" s="16" t="s">
        <v>853</v>
      </c>
      <c r="I200" s="15">
        <v>1</v>
      </c>
      <c r="J200" s="15" t="s">
        <v>733</v>
      </c>
      <c r="K200" s="29" t="s">
        <v>555</v>
      </c>
      <c r="L200" s="19">
        <v>107400000</v>
      </c>
      <c r="M200" s="18">
        <f t="shared" si="19"/>
        <v>107400000</v>
      </c>
      <c r="N200" s="17">
        <v>44902</v>
      </c>
      <c r="O200" s="20" t="s">
        <v>592</v>
      </c>
      <c r="P200" s="22"/>
      <c r="Q200" s="38" t="s">
        <v>2619</v>
      </c>
      <c r="R200" s="19"/>
      <c r="S200" s="19"/>
    </row>
    <row r="201" spans="2:20" s="20" customFormat="1" ht="17.100000000000001" hidden="1" customHeight="1" x14ac:dyDescent="0.3">
      <c r="B201" s="17">
        <v>44679</v>
      </c>
      <c r="C201" s="17">
        <v>44679</v>
      </c>
      <c r="D201" s="20" t="s">
        <v>844</v>
      </c>
      <c r="E201" s="15" t="s">
        <v>843</v>
      </c>
      <c r="F201" s="15" t="s">
        <v>46</v>
      </c>
      <c r="G201" s="15" t="s">
        <v>21</v>
      </c>
      <c r="H201" s="16" t="s">
        <v>845</v>
      </c>
      <c r="I201" s="15">
        <v>1</v>
      </c>
      <c r="J201" s="15" t="s">
        <v>846</v>
      </c>
      <c r="K201" s="29" t="s">
        <v>191</v>
      </c>
      <c r="L201" s="19">
        <v>17280000</v>
      </c>
      <c r="M201" s="18">
        <f t="shared" si="19"/>
        <v>19807000</v>
      </c>
      <c r="N201" s="17">
        <v>44799</v>
      </c>
      <c r="O201" s="23" t="s">
        <v>51</v>
      </c>
      <c r="P201" s="22"/>
      <c r="Q201" s="38" t="s">
        <v>2586</v>
      </c>
      <c r="R201" s="19">
        <v>2038000</v>
      </c>
      <c r="S201" s="19">
        <v>2527000</v>
      </c>
      <c r="T201" s="45">
        <f>S201-R201</f>
        <v>489000</v>
      </c>
    </row>
    <row r="202" spans="2:20" s="20" customFormat="1" ht="17.100000000000001" hidden="1" customHeight="1" x14ac:dyDescent="0.3">
      <c r="B202" s="17">
        <v>44679</v>
      </c>
      <c r="C202" s="17">
        <v>44679</v>
      </c>
      <c r="D202" s="20" t="s">
        <v>848</v>
      </c>
      <c r="E202" s="15" t="s">
        <v>847</v>
      </c>
      <c r="F202" s="15" t="s">
        <v>46</v>
      </c>
      <c r="G202" s="15" t="s">
        <v>21</v>
      </c>
      <c r="H202" s="16" t="s">
        <v>849</v>
      </c>
      <c r="I202" s="15">
        <v>4</v>
      </c>
      <c r="J202" s="15" t="s">
        <v>69</v>
      </c>
      <c r="K202" s="29" t="s">
        <v>66</v>
      </c>
      <c r="L202" s="19">
        <v>621966</v>
      </c>
      <c r="M202" s="18">
        <f t="shared" si="19"/>
        <v>2487864</v>
      </c>
      <c r="N202" s="17">
        <v>44795</v>
      </c>
      <c r="O202" s="20" t="s">
        <v>70</v>
      </c>
      <c r="P202" s="22"/>
      <c r="Q202" s="38" t="s">
        <v>2593</v>
      </c>
      <c r="R202" s="19"/>
      <c r="S202" s="19"/>
    </row>
    <row r="203" spans="2:20" s="20" customFormat="1" ht="17.100000000000001" hidden="1" customHeight="1" x14ac:dyDescent="0.3">
      <c r="B203" s="17">
        <v>44683</v>
      </c>
      <c r="C203" s="17">
        <v>44691</v>
      </c>
      <c r="D203" s="20" t="s">
        <v>861</v>
      </c>
      <c r="E203" s="15" t="s">
        <v>854</v>
      </c>
      <c r="F203" s="15" t="s">
        <v>46</v>
      </c>
      <c r="G203" s="15" t="s">
        <v>21</v>
      </c>
      <c r="H203" s="16">
        <v>450</v>
      </c>
      <c r="I203" s="15">
        <v>4</v>
      </c>
      <c r="J203" s="15" t="s">
        <v>856</v>
      </c>
      <c r="K203" s="29" t="s">
        <v>857</v>
      </c>
      <c r="L203" s="19">
        <v>19500000</v>
      </c>
      <c r="M203" s="18">
        <f t="shared" si="19"/>
        <v>86600000</v>
      </c>
      <c r="N203" s="17">
        <v>44742</v>
      </c>
      <c r="O203" s="20" t="s">
        <v>855</v>
      </c>
      <c r="P203" s="22"/>
      <c r="Q203" s="38" t="s">
        <v>2632</v>
      </c>
      <c r="R203" s="19"/>
      <c r="S203" s="19">
        <f>2150000*4</f>
        <v>8600000</v>
      </c>
      <c r="T203" s="45">
        <f t="shared" ref="T203" si="21">S203-R203</f>
        <v>8600000</v>
      </c>
    </row>
    <row r="204" spans="2:20" s="20" customFormat="1" ht="17.100000000000001" hidden="1" customHeight="1" x14ac:dyDescent="0.3">
      <c r="B204" s="17">
        <v>44685</v>
      </c>
      <c r="C204" s="17">
        <v>44685</v>
      </c>
      <c r="D204" s="20" t="s">
        <v>859</v>
      </c>
      <c r="E204" s="15" t="s">
        <v>858</v>
      </c>
      <c r="F204" s="15" t="s">
        <v>46</v>
      </c>
      <c r="G204" s="15" t="s">
        <v>21</v>
      </c>
      <c r="H204" s="16" t="s">
        <v>970</v>
      </c>
      <c r="I204" s="15">
        <v>2</v>
      </c>
      <c r="J204" s="15" t="s">
        <v>49</v>
      </c>
      <c r="K204" s="29" t="s">
        <v>50</v>
      </c>
      <c r="L204" s="19">
        <v>3570000</v>
      </c>
      <c r="M204" s="18">
        <f t="shared" si="19"/>
        <v>7140000</v>
      </c>
      <c r="N204" s="17">
        <v>44742</v>
      </c>
      <c r="P204" s="22" t="s">
        <v>174</v>
      </c>
      <c r="Q204" s="38" t="s">
        <v>2631</v>
      </c>
      <c r="R204" s="19"/>
      <c r="S204" s="19"/>
    </row>
    <row r="205" spans="2:20" s="20" customFormat="1" ht="17.100000000000001" hidden="1" customHeight="1" x14ac:dyDescent="0.3">
      <c r="B205" s="17">
        <v>44691</v>
      </c>
      <c r="C205" s="17">
        <v>44707</v>
      </c>
      <c r="D205" s="20" t="s">
        <v>862</v>
      </c>
      <c r="E205" s="15" t="s">
        <v>869</v>
      </c>
      <c r="F205" s="15" t="s">
        <v>25</v>
      </c>
      <c r="G205" s="15" t="s">
        <v>21</v>
      </c>
      <c r="H205" s="16" t="s">
        <v>863</v>
      </c>
      <c r="I205" s="15">
        <v>1</v>
      </c>
      <c r="J205" s="15" t="s">
        <v>864</v>
      </c>
      <c r="K205" s="29" t="s">
        <v>865</v>
      </c>
      <c r="L205" s="19">
        <v>52045455</v>
      </c>
      <c r="M205" s="18">
        <f t="shared" si="19"/>
        <v>52045455</v>
      </c>
      <c r="N205" s="17">
        <v>44735</v>
      </c>
      <c r="O205" s="20" t="s">
        <v>866</v>
      </c>
      <c r="P205" s="22"/>
      <c r="Q205" s="38" t="s">
        <v>2635</v>
      </c>
      <c r="R205" s="19"/>
      <c r="S205" s="19"/>
    </row>
    <row r="206" spans="2:20" s="20" customFormat="1" ht="17.100000000000001" hidden="1" customHeight="1" x14ac:dyDescent="0.3">
      <c r="B206" s="17">
        <v>44691</v>
      </c>
      <c r="C206" s="17">
        <v>44694</v>
      </c>
      <c r="D206" s="20" t="s">
        <v>868</v>
      </c>
      <c r="E206" s="15" t="s">
        <v>867</v>
      </c>
      <c r="F206" s="15" t="s">
        <v>46</v>
      </c>
      <c r="G206" s="15" t="s">
        <v>21</v>
      </c>
      <c r="H206" s="16">
        <v>300</v>
      </c>
      <c r="I206" s="15">
        <v>2</v>
      </c>
      <c r="J206" s="15" t="s">
        <v>226</v>
      </c>
      <c r="K206" s="29" t="s">
        <v>227</v>
      </c>
      <c r="L206" s="19">
        <v>13151255</v>
      </c>
      <c r="M206" s="18">
        <f t="shared" si="19"/>
        <v>26302510</v>
      </c>
      <c r="N206" s="17">
        <v>44824</v>
      </c>
      <c r="O206" s="20" t="s">
        <v>70</v>
      </c>
      <c r="P206" s="22"/>
      <c r="Q206" s="38" t="s">
        <v>2593</v>
      </c>
      <c r="R206" s="19"/>
      <c r="S206" s="19"/>
    </row>
    <row r="207" spans="2:20" s="20" customFormat="1" ht="17.100000000000001" hidden="1" customHeight="1" x14ac:dyDescent="0.3">
      <c r="B207" s="17">
        <v>44694</v>
      </c>
      <c r="C207" s="17">
        <v>44694</v>
      </c>
      <c r="D207" s="20" t="s">
        <v>871</v>
      </c>
      <c r="E207" s="15" t="s">
        <v>870</v>
      </c>
      <c r="F207" s="15" t="s">
        <v>25</v>
      </c>
      <c r="G207" s="15" t="s">
        <v>21</v>
      </c>
      <c r="H207" s="16" t="s">
        <v>872</v>
      </c>
      <c r="I207" s="15">
        <v>1</v>
      </c>
      <c r="J207" s="15" t="s">
        <v>873</v>
      </c>
      <c r="K207" s="29" t="s">
        <v>874</v>
      </c>
      <c r="L207" s="19">
        <v>4180000</v>
      </c>
      <c r="M207" s="18">
        <f t="shared" si="19"/>
        <v>4180000</v>
      </c>
      <c r="N207" s="17">
        <v>44712</v>
      </c>
      <c r="P207" s="22"/>
      <c r="Q207" s="22"/>
      <c r="R207" s="19"/>
      <c r="S207" s="19"/>
    </row>
    <row r="208" spans="2:20" s="20" customFormat="1" ht="17.100000000000001" hidden="1" customHeight="1" x14ac:dyDescent="0.3">
      <c r="B208" s="17">
        <v>44695</v>
      </c>
      <c r="C208" s="17">
        <v>44729</v>
      </c>
      <c r="D208" s="20" t="s">
        <v>876</v>
      </c>
      <c r="E208" s="15" t="s">
        <v>875</v>
      </c>
      <c r="F208" s="15" t="s">
        <v>25</v>
      </c>
      <c r="G208" s="15" t="s">
        <v>21</v>
      </c>
      <c r="H208" s="16" t="s">
        <v>877</v>
      </c>
      <c r="I208" s="15">
        <v>1</v>
      </c>
      <c r="J208" s="15" t="s">
        <v>878</v>
      </c>
      <c r="K208" s="29" t="s">
        <v>879</v>
      </c>
      <c r="L208" s="19">
        <v>244000000</v>
      </c>
      <c r="M208" s="18">
        <f t="shared" si="19"/>
        <v>244000000</v>
      </c>
      <c r="N208" s="17">
        <v>44742</v>
      </c>
      <c r="O208" s="20" t="s">
        <v>880</v>
      </c>
      <c r="P208" s="22"/>
      <c r="Q208" s="38" t="s">
        <v>2636</v>
      </c>
      <c r="R208" s="19"/>
      <c r="S208" s="19"/>
    </row>
    <row r="209" spans="2:20" s="20" customFormat="1" ht="17.100000000000001" hidden="1" customHeight="1" x14ac:dyDescent="0.3">
      <c r="B209" s="17">
        <v>44695</v>
      </c>
      <c r="C209" s="17">
        <v>44695</v>
      </c>
      <c r="D209" s="20" t="s">
        <v>882</v>
      </c>
      <c r="E209" s="15" t="s">
        <v>881</v>
      </c>
      <c r="F209" s="15" t="s">
        <v>46</v>
      </c>
      <c r="G209" s="15" t="s">
        <v>21</v>
      </c>
      <c r="H209" s="16" t="s">
        <v>849</v>
      </c>
      <c r="I209" s="15">
        <v>4</v>
      </c>
      <c r="J209" s="15" t="s">
        <v>69</v>
      </c>
      <c r="K209" s="29" t="s">
        <v>559</v>
      </c>
      <c r="L209" s="19">
        <v>621966</v>
      </c>
      <c r="M209" s="18">
        <f t="shared" si="19"/>
        <v>2487864</v>
      </c>
      <c r="N209" s="17">
        <v>44795</v>
      </c>
      <c r="O209" s="20" t="s">
        <v>70</v>
      </c>
      <c r="P209" s="22"/>
      <c r="Q209" s="38" t="s">
        <v>2593</v>
      </c>
      <c r="R209" s="19"/>
      <c r="S209" s="19"/>
    </row>
    <row r="210" spans="2:20" s="20" customFormat="1" ht="17.100000000000001" hidden="1" customHeight="1" x14ac:dyDescent="0.3">
      <c r="B210" s="17">
        <v>44697</v>
      </c>
      <c r="C210" s="17">
        <v>44697</v>
      </c>
      <c r="D210" s="20" t="s">
        <v>883</v>
      </c>
      <c r="E210" s="15" t="s">
        <v>929</v>
      </c>
      <c r="F210" s="15" t="s">
        <v>46</v>
      </c>
      <c r="G210" s="15" t="s">
        <v>21</v>
      </c>
      <c r="H210" s="16" t="s">
        <v>971</v>
      </c>
      <c r="I210" s="15">
        <v>2</v>
      </c>
      <c r="J210" s="15" t="s">
        <v>49</v>
      </c>
      <c r="K210" s="29" t="s">
        <v>50</v>
      </c>
      <c r="L210" s="19">
        <v>3780000</v>
      </c>
      <c r="M210" s="18">
        <f t="shared" si="19"/>
        <v>7560000</v>
      </c>
      <c r="N210" s="17">
        <v>44742</v>
      </c>
      <c r="P210" s="22" t="s">
        <v>174</v>
      </c>
      <c r="Q210" s="38" t="s">
        <v>2631</v>
      </c>
      <c r="R210" s="19"/>
      <c r="S210" s="19"/>
    </row>
    <row r="211" spans="2:20" s="20" customFormat="1" ht="17.100000000000001" hidden="1" customHeight="1" x14ac:dyDescent="0.3">
      <c r="B211" s="17">
        <v>44697</v>
      </c>
      <c r="C211" s="17">
        <v>44700</v>
      </c>
      <c r="D211" s="20" t="s">
        <v>885</v>
      </c>
      <c r="E211" s="15" t="s">
        <v>884</v>
      </c>
      <c r="F211" s="15" t="s">
        <v>46</v>
      </c>
      <c r="G211" s="15" t="s">
        <v>21</v>
      </c>
      <c r="H211" s="16">
        <v>350</v>
      </c>
      <c r="I211" s="15">
        <v>2</v>
      </c>
      <c r="J211" s="15" t="s">
        <v>887</v>
      </c>
      <c r="K211" s="29" t="s">
        <v>227</v>
      </c>
      <c r="L211" s="19">
        <v>19152808</v>
      </c>
      <c r="M211" s="18">
        <f t="shared" si="19"/>
        <v>38305616</v>
      </c>
      <c r="N211" s="17">
        <v>44824</v>
      </c>
      <c r="O211" s="20" t="s">
        <v>70</v>
      </c>
      <c r="P211" s="22"/>
      <c r="Q211" s="38" t="s">
        <v>2593</v>
      </c>
      <c r="R211" s="19"/>
      <c r="S211" s="19"/>
    </row>
    <row r="212" spans="2:20" s="20" customFormat="1" ht="17.100000000000001" hidden="1" customHeight="1" x14ac:dyDescent="0.3">
      <c r="B212" s="17">
        <v>44697</v>
      </c>
      <c r="C212" s="17">
        <v>44699</v>
      </c>
      <c r="D212" s="20" t="s">
        <v>886</v>
      </c>
      <c r="E212" s="15" t="s">
        <v>884</v>
      </c>
      <c r="F212" s="15" t="s">
        <v>46</v>
      </c>
      <c r="G212" s="15" t="s">
        <v>21</v>
      </c>
      <c r="H212" s="16" t="s">
        <v>888</v>
      </c>
      <c r="I212" s="15">
        <v>1</v>
      </c>
      <c r="J212" s="15" t="s">
        <v>49</v>
      </c>
      <c r="K212" s="29" t="s">
        <v>85</v>
      </c>
      <c r="L212" s="19">
        <v>17280000</v>
      </c>
      <c r="M212" s="18">
        <f t="shared" si="19"/>
        <v>19807000</v>
      </c>
      <c r="N212" s="17">
        <v>44799</v>
      </c>
      <c r="O212" s="23" t="s">
        <v>51</v>
      </c>
      <c r="P212" s="22"/>
      <c r="Q212" s="38" t="s">
        <v>2586</v>
      </c>
      <c r="R212" s="19">
        <v>2038000</v>
      </c>
      <c r="S212" s="19">
        <v>2527000</v>
      </c>
      <c r="T212" s="45">
        <f>S212-R212</f>
        <v>489000</v>
      </c>
    </row>
    <row r="213" spans="2:20" s="20" customFormat="1" ht="17.100000000000001" hidden="1" customHeight="1" x14ac:dyDescent="0.3">
      <c r="B213" s="17">
        <v>44698</v>
      </c>
      <c r="C213" s="17">
        <v>44702</v>
      </c>
      <c r="D213" s="20" t="s">
        <v>889</v>
      </c>
      <c r="E213" s="15" t="s">
        <v>1060</v>
      </c>
      <c r="F213" s="15" t="s">
        <v>46</v>
      </c>
      <c r="G213" s="15" t="s">
        <v>21</v>
      </c>
      <c r="H213" s="16">
        <v>350</v>
      </c>
      <c r="I213" s="15">
        <v>2</v>
      </c>
      <c r="J213" s="15" t="s">
        <v>69</v>
      </c>
      <c r="K213" s="29" t="s">
        <v>66</v>
      </c>
      <c r="L213" s="19">
        <v>19152808</v>
      </c>
      <c r="M213" s="18">
        <f t="shared" si="19"/>
        <v>38305616</v>
      </c>
      <c r="N213" s="17">
        <v>44795</v>
      </c>
      <c r="O213" s="20" t="s">
        <v>70</v>
      </c>
      <c r="P213" s="22"/>
      <c r="Q213" s="38" t="s">
        <v>2593</v>
      </c>
      <c r="R213" s="19"/>
      <c r="S213" s="19"/>
    </row>
    <row r="214" spans="2:20" s="20" customFormat="1" ht="17.100000000000001" hidden="1" customHeight="1" x14ac:dyDescent="0.3">
      <c r="B214" s="17">
        <v>44698</v>
      </c>
      <c r="C214" s="17">
        <v>44702</v>
      </c>
      <c r="D214" s="20" t="s">
        <v>1061</v>
      </c>
      <c r="E214" s="15" t="s">
        <v>1060</v>
      </c>
      <c r="F214" s="15" t="s">
        <v>46</v>
      </c>
      <c r="G214" s="15" t="s">
        <v>21</v>
      </c>
      <c r="H214" s="16">
        <v>50</v>
      </c>
      <c r="I214" s="15">
        <v>2</v>
      </c>
      <c r="J214" s="15" t="s">
        <v>69</v>
      </c>
      <c r="K214" s="29" t="s">
        <v>66</v>
      </c>
      <c r="L214" s="19">
        <v>621966</v>
      </c>
      <c r="M214" s="18">
        <f t="shared" si="19"/>
        <v>1243932</v>
      </c>
      <c r="N214" s="17">
        <v>44795</v>
      </c>
      <c r="O214" s="20" t="s">
        <v>70</v>
      </c>
      <c r="P214" s="22"/>
      <c r="Q214" s="38" t="s">
        <v>2593</v>
      </c>
      <c r="R214" s="19"/>
      <c r="S214" s="19"/>
    </row>
    <row r="215" spans="2:20" s="20" customFormat="1" ht="17.100000000000001" hidden="1" customHeight="1" x14ac:dyDescent="0.3">
      <c r="B215" s="17">
        <v>44700</v>
      </c>
      <c r="C215" s="17">
        <v>44702</v>
      </c>
      <c r="D215" s="20" t="s">
        <v>1066</v>
      </c>
      <c r="E215" s="15" t="s">
        <v>891</v>
      </c>
      <c r="F215" s="15" t="s">
        <v>46</v>
      </c>
      <c r="G215" s="15" t="s">
        <v>21</v>
      </c>
      <c r="H215" s="16">
        <v>800</v>
      </c>
      <c r="I215" s="15">
        <v>2</v>
      </c>
      <c r="J215" s="15" t="s">
        <v>892</v>
      </c>
      <c r="K215" s="29" t="s">
        <v>363</v>
      </c>
      <c r="L215" s="19">
        <v>62485217</v>
      </c>
      <c r="M215" s="18">
        <f t="shared" si="19"/>
        <v>124970434</v>
      </c>
      <c r="N215" s="17">
        <v>44748</v>
      </c>
      <c r="O215" s="20" t="s">
        <v>70</v>
      </c>
      <c r="P215" s="22"/>
      <c r="Q215" s="38" t="s">
        <v>2593</v>
      </c>
      <c r="R215" s="19"/>
      <c r="S215" s="19"/>
    </row>
    <row r="216" spans="2:20" s="20" customFormat="1" ht="17.100000000000001" hidden="1" customHeight="1" x14ac:dyDescent="0.3">
      <c r="B216" s="17">
        <v>44700</v>
      </c>
      <c r="C216" s="17">
        <v>44708</v>
      </c>
      <c r="D216" s="20" t="s">
        <v>894</v>
      </c>
      <c r="E216" s="15" t="s">
        <v>893</v>
      </c>
      <c r="F216" s="15" t="s">
        <v>46</v>
      </c>
      <c r="G216" s="15" t="s">
        <v>21</v>
      </c>
      <c r="H216" s="16">
        <v>600</v>
      </c>
      <c r="I216" s="15">
        <v>2</v>
      </c>
      <c r="J216" s="15" t="s">
        <v>69</v>
      </c>
      <c r="K216" s="29" t="s">
        <v>559</v>
      </c>
      <c r="L216" s="19">
        <v>37212626</v>
      </c>
      <c r="M216" s="18">
        <f t="shared" si="19"/>
        <v>74425252</v>
      </c>
      <c r="N216" s="17">
        <v>44795</v>
      </c>
      <c r="O216" s="20" t="s">
        <v>70</v>
      </c>
      <c r="P216" s="22"/>
      <c r="Q216" s="38" t="s">
        <v>2593</v>
      </c>
      <c r="R216" s="19"/>
      <c r="S216" s="19"/>
    </row>
    <row r="217" spans="2:20" s="20" customFormat="1" ht="17.100000000000001" hidden="1" customHeight="1" x14ac:dyDescent="0.3">
      <c r="B217" s="17">
        <v>44704</v>
      </c>
      <c r="C217" s="17">
        <v>44721</v>
      </c>
      <c r="D217" s="20" t="s">
        <v>896</v>
      </c>
      <c r="E217" s="15" t="s">
        <v>922</v>
      </c>
      <c r="F217" s="15" t="s">
        <v>46</v>
      </c>
      <c r="G217" s="15" t="s">
        <v>21</v>
      </c>
      <c r="H217" s="16">
        <v>700</v>
      </c>
      <c r="I217" s="15">
        <v>2</v>
      </c>
      <c r="J217" s="15" t="s">
        <v>892</v>
      </c>
      <c r="K217" s="29" t="s">
        <v>363</v>
      </c>
      <c r="L217" s="19">
        <v>49728751</v>
      </c>
      <c r="M217" s="18">
        <f t="shared" si="19"/>
        <v>99457502</v>
      </c>
      <c r="N217" s="17">
        <v>44748</v>
      </c>
      <c r="O217" s="20" t="s">
        <v>928</v>
      </c>
      <c r="P217" s="22"/>
      <c r="Q217" s="38" t="s">
        <v>2593</v>
      </c>
      <c r="R217" s="19"/>
      <c r="S217" s="19"/>
    </row>
    <row r="218" spans="2:20" s="20" customFormat="1" ht="17.100000000000001" hidden="1" customHeight="1" x14ac:dyDescent="0.3">
      <c r="B218" s="17">
        <v>44705</v>
      </c>
      <c r="C218" s="17">
        <v>44748</v>
      </c>
      <c r="D218" s="20" t="s">
        <v>1253</v>
      </c>
      <c r="E218" s="15" t="s">
        <v>897</v>
      </c>
      <c r="F218" s="15" t="s">
        <v>1258</v>
      </c>
      <c r="G218" s="15" t="s">
        <v>26</v>
      </c>
      <c r="H218" s="16" t="s">
        <v>899</v>
      </c>
      <c r="I218" s="15">
        <v>1</v>
      </c>
      <c r="J218" s="15" t="s">
        <v>508</v>
      </c>
      <c r="K218" s="29" t="s">
        <v>506</v>
      </c>
      <c r="L218" s="19">
        <v>44000000</v>
      </c>
      <c r="M218" s="18">
        <f t="shared" si="19"/>
        <v>44000000</v>
      </c>
      <c r="N218" s="17">
        <v>44854</v>
      </c>
      <c r="O218" s="20" t="s">
        <v>507</v>
      </c>
      <c r="P218" s="58" t="s">
        <v>842</v>
      </c>
      <c r="Q218" s="22"/>
      <c r="R218" s="19"/>
      <c r="S218" s="19"/>
    </row>
    <row r="219" spans="2:20" s="20" customFormat="1" ht="17.100000000000001" hidden="1" customHeight="1" x14ac:dyDescent="0.3">
      <c r="B219" s="17">
        <v>44706</v>
      </c>
      <c r="C219" s="17">
        <v>44719</v>
      </c>
      <c r="D219" s="20" t="s">
        <v>901</v>
      </c>
      <c r="E219" s="15" t="s">
        <v>900</v>
      </c>
      <c r="F219" s="15" t="s">
        <v>177</v>
      </c>
      <c r="G219" s="15" t="s">
        <v>21</v>
      </c>
      <c r="H219" s="16">
        <v>600</v>
      </c>
      <c r="I219" s="15">
        <v>1</v>
      </c>
      <c r="J219" s="15" t="s">
        <v>1083</v>
      </c>
      <c r="K219" s="29" t="s">
        <v>902</v>
      </c>
      <c r="L219" s="19">
        <v>34000000</v>
      </c>
      <c r="M219" s="18">
        <f t="shared" si="19"/>
        <v>34000000</v>
      </c>
      <c r="N219" s="80">
        <v>44739</v>
      </c>
      <c r="O219" s="20" t="s">
        <v>1607</v>
      </c>
      <c r="P219" s="22"/>
      <c r="Q219" s="38" t="s">
        <v>2637</v>
      </c>
      <c r="R219" s="19"/>
      <c r="S219" s="19"/>
    </row>
    <row r="220" spans="2:20" s="20" customFormat="1" ht="17.100000000000001" hidden="1" customHeight="1" x14ac:dyDescent="0.3">
      <c r="B220" s="17">
        <v>44707</v>
      </c>
      <c r="C220" s="17">
        <v>44758</v>
      </c>
      <c r="D220" s="20" t="s">
        <v>904</v>
      </c>
      <c r="E220" s="15" t="s">
        <v>903</v>
      </c>
      <c r="F220" s="15" t="s">
        <v>25</v>
      </c>
      <c r="G220" s="15" t="s">
        <v>26</v>
      </c>
      <c r="H220" s="16" t="s">
        <v>905</v>
      </c>
      <c r="I220" s="15">
        <v>1</v>
      </c>
      <c r="J220" s="15" t="s">
        <v>907</v>
      </c>
      <c r="K220" s="29" t="s">
        <v>906</v>
      </c>
      <c r="L220" s="19">
        <v>50000000</v>
      </c>
      <c r="M220" s="18">
        <f t="shared" si="19"/>
        <v>50000000</v>
      </c>
      <c r="N220" s="17">
        <v>44823</v>
      </c>
      <c r="O220" s="20" t="s">
        <v>908</v>
      </c>
      <c r="P220" s="22"/>
      <c r="Q220" s="38" t="s">
        <v>2638</v>
      </c>
      <c r="R220" s="19"/>
      <c r="S220" s="19"/>
    </row>
    <row r="221" spans="2:20" s="20" customFormat="1" ht="17.100000000000001" hidden="1" customHeight="1" x14ac:dyDescent="0.3">
      <c r="B221" s="17">
        <v>44707</v>
      </c>
      <c r="C221" s="17">
        <v>44709</v>
      </c>
      <c r="D221" s="20" t="s">
        <v>910</v>
      </c>
      <c r="E221" s="15" t="s">
        <v>909</v>
      </c>
      <c r="F221" s="15" t="s">
        <v>46</v>
      </c>
      <c r="G221" s="15" t="s">
        <v>21</v>
      </c>
      <c r="H221" s="16">
        <v>300</v>
      </c>
      <c r="I221" s="15">
        <v>2</v>
      </c>
      <c r="J221" s="15" t="s">
        <v>911</v>
      </c>
      <c r="K221" s="29" t="s">
        <v>227</v>
      </c>
      <c r="L221" s="19">
        <v>14729017</v>
      </c>
      <c r="M221" s="18">
        <f t="shared" si="19"/>
        <v>29458034</v>
      </c>
      <c r="N221" s="17">
        <v>44824</v>
      </c>
      <c r="O221" s="20" t="s">
        <v>70</v>
      </c>
      <c r="P221" s="22"/>
      <c r="Q221" s="38" t="s">
        <v>2593</v>
      </c>
      <c r="R221" s="19"/>
      <c r="S221" s="19"/>
    </row>
    <row r="222" spans="2:20" s="20" customFormat="1" ht="17.100000000000001" hidden="1" customHeight="1" x14ac:dyDescent="0.3">
      <c r="B222" s="17">
        <v>44707</v>
      </c>
      <c r="C222" s="17">
        <v>44778</v>
      </c>
      <c r="D222" s="20" t="s">
        <v>973</v>
      </c>
      <c r="E222" s="15" t="s">
        <v>912</v>
      </c>
      <c r="F222" s="15" t="s">
        <v>25</v>
      </c>
      <c r="G222" s="15" t="s">
        <v>26</v>
      </c>
      <c r="H222" s="16" t="s">
        <v>913</v>
      </c>
      <c r="I222" s="15">
        <v>1</v>
      </c>
      <c r="J222" s="15" t="s">
        <v>915</v>
      </c>
      <c r="K222" s="29" t="s">
        <v>914</v>
      </c>
      <c r="L222" s="19">
        <v>76850000</v>
      </c>
      <c r="M222" s="18">
        <f t="shared" si="19"/>
        <v>76850000</v>
      </c>
      <c r="N222" s="17">
        <v>44804</v>
      </c>
      <c r="O222" s="20" t="s">
        <v>916</v>
      </c>
      <c r="P222" s="22"/>
      <c r="Q222" s="38" t="s">
        <v>917</v>
      </c>
      <c r="R222" s="19"/>
      <c r="S222" s="19"/>
    </row>
    <row r="223" spans="2:20" s="20" customFormat="1" ht="17.100000000000001" hidden="1" customHeight="1" x14ac:dyDescent="0.3">
      <c r="B223" s="17">
        <v>44711</v>
      </c>
      <c r="C223" s="17">
        <v>44719</v>
      </c>
      <c r="D223" s="20" t="s">
        <v>972</v>
      </c>
      <c r="E223" s="15" t="s">
        <v>923</v>
      </c>
      <c r="F223" s="15" t="s">
        <v>25</v>
      </c>
      <c r="G223" s="15" t="s">
        <v>21</v>
      </c>
      <c r="H223" s="16" t="s">
        <v>926</v>
      </c>
      <c r="I223" s="15">
        <v>1</v>
      </c>
      <c r="J223" s="15" t="s">
        <v>776</v>
      </c>
      <c r="K223" s="29" t="s">
        <v>777</v>
      </c>
      <c r="L223" s="19">
        <v>4000000</v>
      </c>
      <c r="M223" s="18">
        <f t="shared" si="19"/>
        <v>4000000</v>
      </c>
      <c r="N223" s="17">
        <v>44742</v>
      </c>
      <c r="P223" s="22"/>
      <c r="Q223" s="22"/>
      <c r="R223" s="19"/>
      <c r="S223" s="19"/>
    </row>
    <row r="224" spans="2:20" s="20" customFormat="1" ht="17.100000000000001" hidden="1" customHeight="1" x14ac:dyDescent="0.3">
      <c r="B224" s="17">
        <v>44711</v>
      </c>
      <c r="C224" s="17">
        <v>44714</v>
      </c>
      <c r="D224" s="20" t="s">
        <v>925</v>
      </c>
      <c r="E224" s="15" t="s">
        <v>924</v>
      </c>
      <c r="F224" s="15" t="s">
        <v>25</v>
      </c>
      <c r="G224" s="15" t="s">
        <v>26</v>
      </c>
      <c r="H224" s="16" t="s">
        <v>927</v>
      </c>
      <c r="I224" s="15">
        <v>1</v>
      </c>
      <c r="J224" s="15" t="s">
        <v>776</v>
      </c>
      <c r="K224" s="29" t="s">
        <v>777</v>
      </c>
      <c r="L224" s="19">
        <v>7000000</v>
      </c>
      <c r="M224" s="18">
        <f t="shared" si="19"/>
        <v>7000000</v>
      </c>
      <c r="N224" s="17">
        <v>44742</v>
      </c>
      <c r="P224" s="22"/>
      <c r="Q224" s="22"/>
      <c r="R224" s="19"/>
      <c r="S224" s="19"/>
    </row>
    <row r="225" spans="2:20" s="20" customFormat="1" ht="17.100000000000001" hidden="1" customHeight="1" x14ac:dyDescent="0.3">
      <c r="B225" s="17">
        <v>44719</v>
      </c>
      <c r="C225" s="17">
        <v>44735</v>
      </c>
      <c r="D225" s="20" t="s">
        <v>992</v>
      </c>
      <c r="E225" s="15" t="s">
        <v>931</v>
      </c>
      <c r="F225" s="15" t="s">
        <v>177</v>
      </c>
      <c r="G225" s="15" t="s">
        <v>21</v>
      </c>
      <c r="H225" s="16">
        <v>200</v>
      </c>
      <c r="I225" s="15">
        <v>4</v>
      </c>
      <c r="J225" s="15" t="s">
        <v>440</v>
      </c>
      <c r="K225" s="29" t="s">
        <v>130</v>
      </c>
      <c r="L225" s="18">
        <v>7300000</v>
      </c>
      <c r="M225" s="18">
        <f t="shared" si="19"/>
        <v>29200000</v>
      </c>
      <c r="N225" s="17">
        <v>44827</v>
      </c>
      <c r="O225" s="23" t="s">
        <v>132</v>
      </c>
      <c r="P225" s="41"/>
      <c r="Q225" s="38" t="s">
        <v>2584</v>
      </c>
      <c r="R225" s="19"/>
      <c r="S225" s="19"/>
    </row>
    <row r="226" spans="2:20" s="20" customFormat="1" ht="17.100000000000001" hidden="1" customHeight="1" x14ac:dyDescent="0.3">
      <c r="B226" s="17">
        <v>44719</v>
      </c>
      <c r="C226" s="17">
        <v>44726</v>
      </c>
      <c r="D226" s="20" t="s">
        <v>933</v>
      </c>
      <c r="E226" s="15" t="s">
        <v>932</v>
      </c>
      <c r="F226" s="15" t="s">
        <v>46</v>
      </c>
      <c r="G226" s="15" t="s">
        <v>21</v>
      </c>
      <c r="H226" s="16">
        <v>200</v>
      </c>
      <c r="I226" s="15">
        <v>4</v>
      </c>
      <c r="J226" s="15" t="s">
        <v>190</v>
      </c>
      <c r="K226" s="29" t="s">
        <v>545</v>
      </c>
      <c r="L226" s="19">
        <v>7350000</v>
      </c>
      <c r="M226" s="18">
        <f t="shared" si="19"/>
        <v>33400000</v>
      </c>
      <c r="N226" s="17">
        <v>44742</v>
      </c>
      <c r="O226" s="20" t="s">
        <v>855</v>
      </c>
      <c r="P226" s="22"/>
      <c r="Q226" s="38" t="s">
        <v>2632</v>
      </c>
      <c r="R226" s="19">
        <v>4076000</v>
      </c>
      <c r="S226" s="19">
        <f>1000000*4</f>
        <v>4000000</v>
      </c>
      <c r="T226" s="79">
        <f>S226-R226</f>
        <v>-76000</v>
      </c>
    </row>
    <row r="227" spans="2:20" s="20" customFormat="1" ht="17.100000000000001" hidden="1" customHeight="1" x14ac:dyDescent="0.3">
      <c r="B227" s="17">
        <v>44720</v>
      </c>
      <c r="C227" s="17">
        <v>44721</v>
      </c>
      <c r="D227" s="20" t="s">
        <v>935</v>
      </c>
      <c r="E227" s="15" t="s">
        <v>934</v>
      </c>
      <c r="F227" s="15" t="s">
        <v>46</v>
      </c>
      <c r="G227" s="15" t="s">
        <v>21</v>
      </c>
      <c r="H227" s="16">
        <v>250</v>
      </c>
      <c r="I227" s="15">
        <v>1</v>
      </c>
      <c r="J227" s="15" t="s">
        <v>72</v>
      </c>
      <c r="K227" s="29" t="s">
        <v>73</v>
      </c>
      <c r="L227" s="19">
        <v>10702233</v>
      </c>
      <c r="M227" s="18">
        <f t="shared" si="19"/>
        <v>10702233</v>
      </c>
      <c r="N227" s="17">
        <v>44748</v>
      </c>
      <c r="O227" s="20" t="s">
        <v>563</v>
      </c>
      <c r="P227" s="22"/>
      <c r="Q227" s="38" t="s">
        <v>2593</v>
      </c>
      <c r="R227" s="19"/>
      <c r="S227" s="19"/>
    </row>
    <row r="228" spans="2:20" s="20" customFormat="1" ht="17.100000000000001" hidden="1" customHeight="1" x14ac:dyDescent="0.3">
      <c r="B228" s="17">
        <v>44721</v>
      </c>
      <c r="C228" s="17">
        <v>44729</v>
      </c>
      <c r="D228" s="20" t="s">
        <v>937</v>
      </c>
      <c r="E228" s="15" t="s">
        <v>936</v>
      </c>
      <c r="F228" s="15" t="s">
        <v>46</v>
      </c>
      <c r="G228" s="15" t="s">
        <v>21</v>
      </c>
      <c r="H228" s="16" t="s">
        <v>938</v>
      </c>
      <c r="I228" s="15">
        <v>1</v>
      </c>
      <c r="J228" s="15" t="s">
        <v>49</v>
      </c>
      <c r="K228" s="29" t="s">
        <v>85</v>
      </c>
      <c r="L228" s="19">
        <v>75065000</v>
      </c>
      <c r="M228" s="18">
        <f t="shared" si="19"/>
        <v>82116000</v>
      </c>
      <c r="N228" s="17">
        <v>44799</v>
      </c>
      <c r="O228" s="23" t="s">
        <v>51</v>
      </c>
      <c r="P228" s="22"/>
      <c r="Q228" s="38" t="s">
        <v>2586</v>
      </c>
      <c r="R228" s="44">
        <v>5686000</v>
      </c>
      <c r="S228" s="19">
        <v>7051000</v>
      </c>
      <c r="T228" s="45">
        <f>S228-R228</f>
        <v>1365000</v>
      </c>
    </row>
    <row r="229" spans="2:20" s="20" customFormat="1" ht="17.100000000000001" hidden="1" customHeight="1" x14ac:dyDescent="0.3">
      <c r="B229" s="17">
        <v>44721</v>
      </c>
      <c r="C229" s="17">
        <v>44727</v>
      </c>
      <c r="D229" s="20" t="s">
        <v>991</v>
      </c>
      <c r="E229" s="15" t="s">
        <v>939</v>
      </c>
      <c r="F229" s="15" t="s">
        <v>46</v>
      </c>
      <c r="G229" s="15" t="s">
        <v>21</v>
      </c>
      <c r="H229" s="16">
        <v>450</v>
      </c>
      <c r="I229" s="15">
        <v>4</v>
      </c>
      <c r="J229" s="15" t="s">
        <v>72</v>
      </c>
      <c r="K229" s="29" t="s">
        <v>288</v>
      </c>
      <c r="L229" s="43">
        <v>27381183</v>
      </c>
      <c r="M229" s="78">
        <f t="shared" si="19"/>
        <v>109524732</v>
      </c>
      <c r="N229" s="17">
        <v>44824</v>
      </c>
      <c r="O229" s="20" t="s">
        <v>563</v>
      </c>
      <c r="P229" s="22"/>
      <c r="Q229" s="38" t="s">
        <v>2593</v>
      </c>
      <c r="R229" s="19"/>
      <c r="S229" s="19"/>
    </row>
    <row r="230" spans="2:20" s="20" customFormat="1" ht="17.100000000000001" hidden="1" customHeight="1" x14ac:dyDescent="0.3">
      <c r="B230" s="17">
        <v>44722</v>
      </c>
      <c r="C230" s="17">
        <v>44729</v>
      </c>
      <c r="D230" s="20" t="s">
        <v>941</v>
      </c>
      <c r="E230" s="15" t="s">
        <v>940</v>
      </c>
      <c r="F230" s="15" t="s">
        <v>46</v>
      </c>
      <c r="G230" s="15" t="s">
        <v>21</v>
      </c>
      <c r="H230" s="16" t="s">
        <v>942</v>
      </c>
      <c r="I230" s="15">
        <v>1</v>
      </c>
      <c r="J230" s="15" t="s">
        <v>49</v>
      </c>
      <c r="K230" s="29" t="s">
        <v>85</v>
      </c>
      <c r="L230" s="19">
        <v>49882000</v>
      </c>
      <c r="M230" s="18">
        <f t="shared" si="19"/>
        <v>54927000</v>
      </c>
      <c r="N230" s="17">
        <v>44799</v>
      </c>
      <c r="O230" s="23" t="s">
        <v>51</v>
      </c>
      <c r="P230" s="22"/>
      <c r="Q230" s="38" t="s">
        <v>2586</v>
      </c>
      <c r="R230" s="19">
        <v>4068000</v>
      </c>
      <c r="S230" s="19">
        <v>5045000</v>
      </c>
      <c r="T230" s="45">
        <f>S230-R230</f>
        <v>977000</v>
      </c>
    </row>
    <row r="231" spans="2:20" s="20" customFormat="1" ht="17.100000000000001" hidden="1" customHeight="1" x14ac:dyDescent="0.3">
      <c r="B231" s="17">
        <v>44725</v>
      </c>
      <c r="C231" s="17">
        <v>44729</v>
      </c>
      <c r="D231" s="20" t="s">
        <v>945</v>
      </c>
      <c r="E231" s="15" t="s">
        <v>943</v>
      </c>
      <c r="F231" s="15" t="s">
        <v>46</v>
      </c>
      <c r="G231" s="15" t="s">
        <v>21</v>
      </c>
      <c r="H231" s="16">
        <v>350</v>
      </c>
      <c r="I231" s="15">
        <v>2</v>
      </c>
      <c r="J231" s="15" t="s">
        <v>69</v>
      </c>
      <c r="K231" s="29" t="s">
        <v>559</v>
      </c>
      <c r="L231" s="19">
        <v>19152808</v>
      </c>
      <c r="M231" s="18">
        <f t="shared" si="19"/>
        <v>38305616</v>
      </c>
      <c r="N231" s="17">
        <v>44795</v>
      </c>
      <c r="O231" s="20" t="s">
        <v>70</v>
      </c>
      <c r="P231" s="22"/>
      <c r="Q231" s="38" t="s">
        <v>2593</v>
      </c>
      <c r="R231" s="19"/>
      <c r="S231" s="19"/>
    </row>
    <row r="232" spans="2:20" s="20" customFormat="1" ht="17.100000000000001" hidden="1" customHeight="1" x14ac:dyDescent="0.3">
      <c r="B232" s="17">
        <v>44725</v>
      </c>
      <c r="C232" s="17">
        <v>44728</v>
      </c>
      <c r="D232" s="20" t="s">
        <v>946</v>
      </c>
      <c r="E232" s="15" t="s">
        <v>944</v>
      </c>
      <c r="F232" s="15" t="s">
        <v>46</v>
      </c>
      <c r="G232" s="15" t="s">
        <v>21</v>
      </c>
      <c r="H232" s="16" t="s">
        <v>942</v>
      </c>
      <c r="I232" s="15">
        <v>1</v>
      </c>
      <c r="J232" s="15" t="s">
        <v>49</v>
      </c>
      <c r="K232" s="29" t="s">
        <v>947</v>
      </c>
      <c r="L232" s="19">
        <v>49882000</v>
      </c>
      <c r="M232" s="18">
        <f t="shared" si="19"/>
        <v>54927000</v>
      </c>
      <c r="N232" s="17">
        <v>44799</v>
      </c>
      <c r="O232" s="23" t="s">
        <v>51</v>
      </c>
      <c r="P232" s="22"/>
      <c r="Q232" s="38" t="s">
        <v>2586</v>
      </c>
      <c r="R232" s="19">
        <v>4068000</v>
      </c>
      <c r="S232" s="19">
        <v>5045000</v>
      </c>
      <c r="T232" s="45">
        <f>S232-R232</f>
        <v>977000</v>
      </c>
    </row>
    <row r="233" spans="2:20" s="20" customFormat="1" ht="17.100000000000001" hidden="1" customHeight="1" x14ac:dyDescent="0.3">
      <c r="B233" s="17">
        <v>44727</v>
      </c>
      <c r="C233" s="17">
        <v>44771</v>
      </c>
      <c r="D233" s="20" t="s">
        <v>949</v>
      </c>
      <c r="E233" s="15" t="s">
        <v>948</v>
      </c>
      <c r="F233" s="15" t="s">
        <v>25</v>
      </c>
      <c r="G233" s="15" t="s">
        <v>21</v>
      </c>
      <c r="H233" s="16" t="s">
        <v>950</v>
      </c>
      <c r="I233" s="15">
        <v>1</v>
      </c>
      <c r="J233" s="15" t="s">
        <v>951</v>
      </c>
      <c r="K233" s="29" t="s">
        <v>952</v>
      </c>
      <c r="L233" s="19"/>
      <c r="M233" s="18">
        <f t="shared" si="19"/>
        <v>0</v>
      </c>
      <c r="N233" s="17">
        <v>44773</v>
      </c>
      <c r="O233" s="20" t="s">
        <v>1610</v>
      </c>
      <c r="P233" s="22"/>
      <c r="Q233" s="38" t="s">
        <v>2639</v>
      </c>
      <c r="R233" s="19"/>
      <c r="S233" s="19"/>
    </row>
    <row r="234" spans="2:20" s="20" customFormat="1" ht="17.100000000000001" hidden="1" customHeight="1" x14ac:dyDescent="0.3">
      <c r="B234" s="17">
        <v>44732</v>
      </c>
      <c r="C234" s="17">
        <v>44736</v>
      </c>
      <c r="D234" s="20" t="s">
        <v>955</v>
      </c>
      <c r="E234" s="15" t="s">
        <v>954</v>
      </c>
      <c r="F234" s="15" t="s">
        <v>46</v>
      </c>
      <c r="G234" s="15" t="s">
        <v>21</v>
      </c>
      <c r="H234" s="16">
        <v>450</v>
      </c>
      <c r="I234" s="15">
        <v>2</v>
      </c>
      <c r="J234" s="15" t="s">
        <v>299</v>
      </c>
      <c r="K234" s="29" t="s">
        <v>956</v>
      </c>
      <c r="L234" s="19">
        <v>24268812</v>
      </c>
      <c r="M234" s="18">
        <f t="shared" si="19"/>
        <v>48537624</v>
      </c>
      <c r="N234" s="17">
        <v>44797</v>
      </c>
      <c r="O234" s="20" t="s">
        <v>70</v>
      </c>
      <c r="P234" s="22"/>
      <c r="Q234" s="38" t="s">
        <v>2593</v>
      </c>
      <c r="R234" s="19"/>
      <c r="S234" s="19"/>
    </row>
    <row r="235" spans="2:20" s="20" customFormat="1" ht="17.100000000000001" hidden="1" customHeight="1" x14ac:dyDescent="0.3">
      <c r="B235" s="17">
        <v>44732</v>
      </c>
      <c r="C235" s="17">
        <v>44740</v>
      </c>
      <c r="D235" s="20" t="s">
        <v>1067</v>
      </c>
      <c r="E235" s="15" t="s">
        <v>957</v>
      </c>
      <c r="F235" s="15" t="s">
        <v>46</v>
      </c>
      <c r="G235" s="15" t="s">
        <v>21</v>
      </c>
      <c r="H235" s="16">
        <v>600</v>
      </c>
      <c r="I235" s="15">
        <v>2</v>
      </c>
      <c r="J235" s="15" t="s">
        <v>72</v>
      </c>
      <c r="K235" s="29" t="s">
        <v>73</v>
      </c>
      <c r="L235" s="19">
        <v>41871959</v>
      </c>
      <c r="M235" s="18">
        <f t="shared" si="19"/>
        <v>83743918</v>
      </c>
      <c r="N235" s="17">
        <v>44748</v>
      </c>
      <c r="O235" s="20" t="s">
        <v>70</v>
      </c>
      <c r="P235" s="22"/>
      <c r="Q235" s="38" t="s">
        <v>2593</v>
      </c>
      <c r="R235" s="19"/>
      <c r="S235" s="19"/>
    </row>
    <row r="236" spans="2:20" s="20" customFormat="1" ht="17.100000000000001" hidden="1" customHeight="1" x14ac:dyDescent="0.3">
      <c r="B236" s="17">
        <v>44735</v>
      </c>
      <c r="C236" s="17">
        <v>44736</v>
      </c>
      <c r="D236" s="20" t="s">
        <v>959</v>
      </c>
      <c r="E236" s="15" t="s">
        <v>958</v>
      </c>
      <c r="F236" s="15" t="s">
        <v>46</v>
      </c>
      <c r="G236" s="15" t="s">
        <v>21</v>
      </c>
      <c r="H236" s="16" t="s">
        <v>960</v>
      </c>
      <c r="I236" s="15">
        <v>1</v>
      </c>
      <c r="J236" s="15" t="s">
        <v>83</v>
      </c>
      <c r="K236" s="29" t="s">
        <v>84</v>
      </c>
      <c r="L236" s="19">
        <v>53199500</v>
      </c>
      <c r="M236" s="18">
        <f t="shared" si="19"/>
        <v>58434000</v>
      </c>
      <c r="N236" s="17">
        <v>44799</v>
      </c>
      <c r="O236" s="23" t="s">
        <v>51</v>
      </c>
      <c r="P236" s="22"/>
      <c r="Q236" s="38" t="s">
        <v>2586</v>
      </c>
      <c r="R236" s="19">
        <v>4220000</v>
      </c>
      <c r="S236" s="19">
        <v>5234500</v>
      </c>
      <c r="T236" s="45">
        <f>S236-R236</f>
        <v>1014500</v>
      </c>
    </row>
    <row r="237" spans="2:20" s="20" customFormat="1" ht="17.100000000000001" hidden="1" customHeight="1" x14ac:dyDescent="0.3">
      <c r="B237" s="17">
        <v>44737</v>
      </c>
      <c r="C237" s="17">
        <v>44740</v>
      </c>
      <c r="D237" s="22" t="s">
        <v>962</v>
      </c>
      <c r="E237" s="15" t="s">
        <v>961</v>
      </c>
      <c r="F237" s="15" t="s">
        <v>46</v>
      </c>
      <c r="G237" s="15" t="s">
        <v>21</v>
      </c>
      <c r="H237" s="16">
        <v>700</v>
      </c>
      <c r="I237" s="15">
        <v>1</v>
      </c>
      <c r="J237" s="15"/>
      <c r="K237" s="29" t="s">
        <v>1052</v>
      </c>
      <c r="L237" s="19">
        <v>80580000</v>
      </c>
      <c r="M237" s="18">
        <f t="shared" si="19"/>
        <v>80580000</v>
      </c>
      <c r="N237" s="17">
        <v>44773</v>
      </c>
      <c r="O237" s="20" t="s">
        <v>1051</v>
      </c>
      <c r="P237" s="22"/>
      <c r="Q237" s="38" t="s">
        <v>2640</v>
      </c>
      <c r="R237" s="19"/>
      <c r="S237" s="19"/>
      <c r="T237" s="45">
        <f>S237-R237</f>
        <v>0</v>
      </c>
    </row>
    <row r="238" spans="2:20" s="20" customFormat="1" ht="17.100000000000001" hidden="1" customHeight="1" x14ac:dyDescent="0.3">
      <c r="B238" s="17">
        <v>44743</v>
      </c>
      <c r="C238" s="17">
        <v>44770</v>
      </c>
      <c r="D238" s="20" t="s">
        <v>993</v>
      </c>
      <c r="E238" s="15" t="s">
        <v>216</v>
      </c>
      <c r="F238" s="15" t="s">
        <v>177</v>
      </c>
      <c r="G238" s="15" t="s">
        <v>21</v>
      </c>
      <c r="H238" s="16">
        <v>200</v>
      </c>
      <c r="I238" s="15">
        <v>3</v>
      </c>
      <c r="J238" s="15" t="s">
        <v>440</v>
      </c>
      <c r="K238" s="29" t="s">
        <v>130</v>
      </c>
      <c r="L238" s="18">
        <v>7300000</v>
      </c>
      <c r="M238" s="18">
        <f t="shared" si="19"/>
        <v>21900000</v>
      </c>
      <c r="N238" s="17">
        <v>44827</v>
      </c>
      <c r="O238" s="23" t="s">
        <v>132</v>
      </c>
      <c r="P238" s="41"/>
      <c r="Q238" s="38" t="s">
        <v>2584</v>
      </c>
      <c r="R238" s="19"/>
      <c r="S238" s="19"/>
    </row>
    <row r="239" spans="2:20" s="20" customFormat="1" ht="17.100000000000001" hidden="1" customHeight="1" x14ac:dyDescent="0.3">
      <c r="B239" s="17">
        <v>44744</v>
      </c>
      <c r="C239" s="17">
        <v>44744</v>
      </c>
      <c r="D239" s="20" t="s">
        <v>975</v>
      </c>
      <c r="E239" s="15" t="s">
        <v>974</v>
      </c>
      <c r="F239" s="15" t="s">
        <v>46</v>
      </c>
      <c r="G239" s="15" t="s">
        <v>21</v>
      </c>
      <c r="H239" s="16">
        <v>50</v>
      </c>
      <c r="I239" s="15">
        <v>2</v>
      </c>
      <c r="J239" s="15" t="s">
        <v>458</v>
      </c>
      <c r="K239" s="29" t="s">
        <v>976</v>
      </c>
      <c r="L239" s="19">
        <v>621966</v>
      </c>
      <c r="M239" s="18">
        <f t="shared" si="19"/>
        <v>1243932</v>
      </c>
      <c r="N239" s="17">
        <v>44824</v>
      </c>
      <c r="O239" s="20" t="s">
        <v>70</v>
      </c>
      <c r="P239" s="22"/>
      <c r="Q239" s="38" t="s">
        <v>2593</v>
      </c>
      <c r="R239" s="19"/>
      <c r="S239" s="19"/>
    </row>
    <row r="240" spans="2:20" s="20" customFormat="1" ht="17.100000000000001" hidden="1" customHeight="1" x14ac:dyDescent="0.3">
      <c r="B240" s="17">
        <v>44746</v>
      </c>
      <c r="C240" s="17">
        <v>44747</v>
      </c>
      <c r="D240" s="20" t="s">
        <v>983</v>
      </c>
      <c r="E240" s="15" t="s">
        <v>982</v>
      </c>
      <c r="F240" s="15" t="s">
        <v>25</v>
      </c>
      <c r="G240" s="15" t="s">
        <v>21</v>
      </c>
      <c r="H240" s="16" t="s">
        <v>984</v>
      </c>
      <c r="I240" s="15">
        <v>1</v>
      </c>
      <c r="J240" s="15" t="s">
        <v>985</v>
      </c>
      <c r="K240" s="29" t="s">
        <v>986</v>
      </c>
      <c r="L240" s="19">
        <v>18500000</v>
      </c>
      <c r="M240" s="18">
        <f t="shared" si="19"/>
        <v>18500000</v>
      </c>
      <c r="N240" s="17">
        <v>44834</v>
      </c>
      <c r="P240" s="22"/>
      <c r="Q240" s="38" t="s">
        <v>2641</v>
      </c>
      <c r="R240" s="19"/>
      <c r="S240" s="19"/>
    </row>
    <row r="241" spans="2:20" s="20" customFormat="1" ht="17.100000000000001" hidden="1" customHeight="1" x14ac:dyDescent="0.3">
      <c r="B241" s="17">
        <v>44747</v>
      </c>
      <c r="C241" s="17">
        <v>44747</v>
      </c>
      <c r="D241" s="20" t="s">
        <v>978</v>
      </c>
      <c r="E241" s="15" t="s">
        <v>977</v>
      </c>
      <c r="F241" s="15" t="s">
        <v>25</v>
      </c>
      <c r="G241" s="15" t="s">
        <v>21</v>
      </c>
      <c r="H241" s="16">
        <v>100</v>
      </c>
      <c r="I241" s="15">
        <v>1</v>
      </c>
      <c r="J241" s="15" t="s">
        <v>705</v>
      </c>
      <c r="K241" s="51" t="s">
        <v>574</v>
      </c>
      <c r="L241" s="19">
        <v>10910000</v>
      </c>
      <c r="M241" s="18">
        <f t="shared" si="19"/>
        <v>10910000</v>
      </c>
      <c r="N241" s="17">
        <v>44985</v>
      </c>
      <c r="O241" s="20" t="s">
        <v>573</v>
      </c>
      <c r="P241" s="22"/>
      <c r="Q241" s="38" t="s">
        <v>2625</v>
      </c>
      <c r="R241" s="19"/>
      <c r="S241" s="19"/>
    </row>
    <row r="242" spans="2:20" s="20" customFormat="1" ht="17.100000000000001" hidden="1" customHeight="1" x14ac:dyDescent="0.3">
      <c r="B242" s="17">
        <v>44747</v>
      </c>
      <c r="C242" s="17">
        <v>44763</v>
      </c>
      <c r="D242" s="20" t="s">
        <v>1255</v>
      </c>
      <c r="E242" s="15" t="s">
        <v>979</v>
      </c>
      <c r="F242" s="15" t="s">
        <v>25</v>
      </c>
      <c r="G242" s="15" t="s">
        <v>981</v>
      </c>
      <c r="H242" s="16">
        <v>350</v>
      </c>
      <c r="I242" s="15">
        <v>1</v>
      </c>
      <c r="J242" s="15" t="s">
        <v>508</v>
      </c>
      <c r="K242" s="29" t="s">
        <v>506</v>
      </c>
      <c r="L242" s="19">
        <v>23000000</v>
      </c>
      <c r="M242" s="18">
        <f t="shared" si="19"/>
        <v>23000000</v>
      </c>
      <c r="N242" s="17">
        <v>44854</v>
      </c>
      <c r="O242" s="20" t="s">
        <v>507</v>
      </c>
      <c r="P242" s="58" t="s">
        <v>842</v>
      </c>
      <c r="Q242" s="38" t="s">
        <v>2615</v>
      </c>
      <c r="R242" s="19"/>
      <c r="S242" s="19"/>
    </row>
    <row r="243" spans="2:20" s="20" customFormat="1" ht="17.100000000000001" hidden="1" customHeight="1" x14ac:dyDescent="0.3">
      <c r="B243" s="17">
        <v>44747</v>
      </c>
      <c r="C243" s="17">
        <v>44750</v>
      </c>
      <c r="D243" s="20" t="s">
        <v>988</v>
      </c>
      <c r="E243" s="15" t="s">
        <v>987</v>
      </c>
      <c r="F243" s="15" t="s">
        <v>46</v>
      </c>
      <c r="G243" s="15" t="s">
        <v>21</v>
      </c>
      <c r="H243" s="16" t="s">
        <v>989</v>
      </c>
      <c r="I243" s="15">
        <v>1</v>
      </c>
      <c r="J243" s="15" t="s">
        <v>990</v>
      </c>
      <c r="K243" s="29" t="s">
        <v>84</v>
      </c>
      <c r="L243" s="19">
        <v>17280000</v>
      </c>
      <c r="M243" s="18">
        <f t="shared" si="19"/>
        <v>19807000</v>
      </c>
      <c r="N243" s="17">
        <v>44799</v>
      </c>
      <c r="O243" s="23" t="s">
        <v>51</v>
      </c>
      <c r="P243" s="22"/>
      <c r="Q243" s="38" t="s">
        <v>2586</v>
      </c>
      <c r="R243" s="19">
        <f>1019000*2</f>
        <v>2038000</v>
      </c>
      <c r="S243" s="19">
        <v>2527000</v>
      </c>
      <c r="T243" s="45">
        <f>S243-R243</f>
        <v>489000</v>
      </c>
    </row>
    <row r="244" spans="2:20" s="20" customFormat="1" ht="17.100000000000001" hidden="1" customHeight="1" x14ac:dyDescent="0.3">
      <c r="B244" s="17">
        <v>44754</v>
      </c>
      <c r="C244" s="17">
        <v>44859</v>
      </c>
      <c r="D244" s="20" t="s">
        <v>1021</v>
      </c>
      <c r="E244" s="15" t="s">
        <v>1135</v>
      </c>
      <c r="F244" s="15" t="s">
        <v>25</v>
      </c>
      <c r="G244" s="15" t="s">
        <v>548</v>
      </c>
      <c r="H244" s="16" t="s">
        <v>1022</v>
      </c>
      <c r="I244" s="15">
        <v>1</v>
      </c>
      <c r="J244" s="15" t="s">
        <v>246</v>
      </c>
      <c r="K244" s="15" t="s">
        <v>245</v>
      </c>
      <c r="L244" s="19">
        <v>84000000</v>
      </c>
      <c r="M244" s="18">
        <f t="shared" si="19"/>
        <v>84000000</v>
      </c>
      <c r="N244" s="17">
        <v>44921</v>
      </c>
      <c r="O244" s="20" t="s">
        <v>248</v>
      </c>
      <c r="P244" s="22"/>
      <c r="Q244" s="38" t="s">
        <v>2599</v>
      </c>
      <c r="R244" s="19"/>
      <c r="S244" s="19"/>
    </row>
    <row r="245" spans="2:20" s="20" customFormat="1" ht="17.100000000000001" hidden="1" customHeight="1" x14ac:dyDescent="0.3">
      <c r="B245" s="17">
        <v>44757</v>
      </c>
      <c r="C245" s="17">
        <v>44761</v>
      </c>
      <c r="D245" s="20" t="s">
        <v>1024</v>
      </c>
      <c r="E245" s="15" t="s">
        <v>1023</v>
      </c>
      <c r="F245" s="15" t="s">
        <v>25</v>
      </c>
      <c r="G245" s="15" t="s">
        <v>21</v>
      </c>
      <c r="H245" s="16" t="s">
        <v>1025</v>
      </c>
      <c r="I245" s="15">
        <v>1</v>
      </c>
      <c r="J245" s="15" t="s">
        <v>776</v>
      </c>
      <c r="K245" s="29" t="s">
        <v>777</v>
      </c>
      <c r="L245" s="19">
        <v>20000000</v>
      </c>
      <c r="M245" s="18">
        <f t="shared" si="19"/>
        <v>20000000</v>
      </c>
      <c r="N245" s="17">
        <v>44799</v>
      </c>
      <c r="P245" s="22"/>
      <c r="Q245" s="22"/>
      <c r="R245" s="19"/>
      <c r="S245" s="19"/>
    </row>
    <row r="246" spans="2:20" s="20" customFormat="1" ht="17.100000000000001" hidden="1" customHeight="1" x14ac:dyDescent="0.3">
      <c r="B246" s="17">
        <v>44757</v>
      </c>
      <c r="C246" s="17">
        <v>44764</v>
      </c>
      <c r="D246" s="20" t="s">
        <v>1032</v>
      </c>
      <c r="E246" s="15" t="s">
        <v>1027</v>
      </c>
      <c r="F246" s="15" t="s">
        <v>46</v>
      </c>
      <c r="G246" s="15" t="s">
        <v>21</v>
      </c>
      <c r="H246" s="16">
        <v>250</v>
      </c>
      <c r="I246" s="15">
        <v>2</v>
      </c>
      <c r="J246" s="15" t="s">
        <v>69</v>
      </c>
      <c r="K246" s="29" t="s">
        <v>372</v>
      </c>
      <c r="L246" s="19">
        <v>10702233</v>
      </c>
      <c r="M246" s="18">
        <f t="shared" si="19"/>
        <v>21404466</v>
      </c>
      <c r="N246" s="17">
        <v>44795</v>
      </c>
      <c r="O246" s="20" t="s">
        <v>70</v>
      </c>
      <c r="P246" s="22"/>
      <c r="Q246" s="38" t="s">
        <v>2593</v>
      </c>
      <c r="R246" s="19"/>
      <c r="S246" s="19"/>
    </row>
    <row r="247" spans="2:20" s="20" customFormat="1" ht="17.100000000000001" hidden="1" customHeight="1" x14ac:dyDescent="0.3">
      <c r="B247" s="17">
        <v>44757</v>
      </c>
      <c r="C247" s="17">
        <v>44764</v>
      </c>
      <c r="D247" s="20" t="s">
        <v>1031</v>
      </c>
      <c r="E247" s="15" t="s">
        <v>1027</v>
      </c>
      <c r="F247" s="15" t="s">
        <v>46</v>
      </c>
      <c r="G247" s="15" t="s">
        <v>21</v>
      </c>
      <c r="H247" s="16">
        <v>50</v>
      </c>
      <c r="I247" s="15">
        <v>4</v>
      </c>
      <c r="J247" s="15" t="s">
        <v>69</v>
      </c>
      <c r="K247" s="29" t="s">
        <v>372</v>
      </c>
      <c r="L247" s="19">
        <v>621966</v>
      </c>
      <c r="M247" s="18">
        <f t="shared" si="19"/>
        <v>2487864</v>
      </c>
      <c r="N247" s="17">
        <v>44795</v>
      </c>
      <c r="O247" s="20" t="s">
        <v>70</v>
      </c>
      <c r="P247" s="22"/>
      <c r="Q247" s="38" t="s">
        <v>2593</v>
      </c>
      <c r="R247" s="19"/>
      <c r="S247" s="19"/>
    </row>
    <row r="248" spans="2:20" s="20" customFormat="1" ht="17.100000000000001" hidden="1" customHeight="1" x14ac:dyDescent="0.3">
      <c r="B248" s="17">
        <v>44758</v>
      </c>
      <c r="C248" s="17">
        <v>44758</v>
      </c>
      <c r="D248" s="20" t="s">
        <v>1028</v>
      </c>
      <c r="E248" s="15" t="s">
        <v>1026</v>
      </c>
      <c r="F248" s="15" t="s">
        <v>46</v>
      </c>
      <c r="G248" s="15" t="s">
        <v>21</v>
      </c>
      <c r="H248" s="16" t="s">
        <v>1392</v>
      </c>
      <c r="I248" s="15">
        <v>2</v>
      </c>
      <c r="J248" s="15" t="s">
        <v>1029</v>
      </c>
      <c r="K248" s="29" t="s">
        <v>560</v>
      </c>
      <c r="L248" s="19">
        <v>2765500</v>
      </c>
      <c r="M248" s="18">
        <f t="shared" si="19"/>
        <v>9160000</v>
      </c>
      <c r="N248" s="17">
        <v>45016</v>
      </c>
      <c r="O248" s="20" t="s">
        <v>1699</v>
      </c>
      <c r="P248" s="22"/>
      <c r="Q248" s="38" t="s">
        <v>2642</v>
      </c>
      <c r="R248" s="19">
        <v>5319000</v>
      </c>
      <c r="S248" s="19">
        <v>3629000</v>
      </c>
      <c r="T248" s="45">
        <f>S248-R248</f>
        <v>-1690000</v>
      </c>
    </row>
    <row r="249" spans="2:20" s="20" customFormat="1" ht="17.100000000000001" hidden="1" customHeight="1" x14ac:dyDescent="0.3">
      <c r="B249" s="17">
        <v>44761</v>
      </c>
      <c r="C249" s="17">
        <v>44761</v>
      </c>
      <c r="D249" s="20" t="s">
        <v>1034</v>
      </c>
      <c r="E249" s="15" t="s">
        <v>1035</v>
      </c>
      <c r="F249" s="15" t="s">
        <v>46</v>
      </c>
      <c r="G249" s="15" t="s">
        <v>21</v>
      </c>
      <c r="H249" s="16" t="s">
        <v>1036</v>
      </c>
      <c r="I249" s="15">
        <v>2</v>
      </c>
      <c r="J249" s="29" t="s">
        <v>1033</v>
      </c>
      <c r="K249" s="29" t="s">
        <v>1037</v>
      </c>
      <c r="L249" s="19">
        <v>4200000</v>
      </c>
      <c r="M249" s="18">
        <f t="shared" si="19"/>
        <v>8400000</v>
      </c>
      <c r="N249" s="17">
        <v>44799</v>
      </c>
      <c r="P249" s="22"/>
      <c r="Q249" s="38" t="s">
        <v>2643</v>
      </c>
      <c r="R249" s="19"/>
      <c r="S249" s="19"/>
    </row>
    <row r="250" spans="2:20" s="20" customFormat="1" ht="17.100000000000001" hidden="1" customHeight="1" x14ac:dyDescent="0.3">
      <c r="B250" s="17">
        <v>44762</v>
      </c>
      <c r="C250" s="17">
        <v>44767</v>
      </c>
      <c r="D250" s="20" t="s">
        <v>1039</v>
      </c>
      <c r="E250" s="15" t="s">
        <v>1038</v>
      </c>
      <c r="F250" s="15" t="s">
        <v>46</v>
      </c>
      <c r="G250" s="15" t="s">
        <v>21</v>
      </c>
      <c r="H250" s="16" t="s">
        <v>1040</v>
      </c>
      <c r="I250" s="15">
        <v>1</v>
      </c>
      <c r="J250" s="15" t="s">
        <v>83</v>
      </c>
      <c r="K250" s="29" t="s">
        <v>84</v>
      </c>
      <c r="L250" s="19">
        <v>46443600</v>
      </c>
      <c r="M250" s="18">
        <f t="shared" si="19"/>
        <v>53057600</v>
      </c>
      <c r="N250" s="17">
        <v>44799</v>
      </c>
      <c r="O250" s="23" t="s">
        <v>51</v>
      </c>
      <c r="P250" s="22"/>
      <c r="Q250" s="38" t="s">
        <v>2586</v>
      </c>
      <c r="R250" s="19">
        <f>1334000*4</f>
        <v>5336000</v>
      </c>
      <c r="S250" s="19">
        <v>6614000</v>
      </c>
      <c r="T250" s="45">
        <f>S250-R250</f>
        <v>1278000</v>
      </c>
    </row>
    <row r="251" spans="2:20" s="20" customFormat="1" ht="17.100000000000001" hidden="1" customHeight="1" x14ac:dyDescent="0.3">
      <c r="B251" s="17">
        <v>44765</v>
      </c>
      <c r="C251" s="17">
        <v>44765</v>
      </c>
      <c r="D251" s="20" t="s">
        <v>1031</v>
      </c>
      <c r="E251" s="15" t="s">
        <v>1030</v>
      </c>
      <c r="F251" s="15" t="s">
        <v>46</v>
      </c>
      <c r="G251" s="15" t="s">
        <v>21</v>
      </c>
      <c r="H251" s="16">
        <v>50</v>
      </c>
      <c r="I251" s="15">
        <v>4</v>
      </c>
      <c r="J251" s="15" t="s">
        <v>69</v>
      </c>
      <c r="K251" s="29" t="s">
        <v>1126</v>
      </c>
      <c r="L251" s="19">
        <v>621966</v>
      </c>
      <c r="M251" s="18">
        <f t="shared" si="19"/>
        <v>2487864</v>
      </c>
      <c r="N251" s="17">
        <v>44826</v>
      </c>
      <c r="O251" s="20" t="s">
        <v>70</v>
      </c>
      <c r="P251" s="22"/>
      <c r="Q251" s="38" t="s">
        <v>2593</v>
      </c>
      <c r="R251" s="19"/>
      <c r="S251" s="19"/>
    </row>
    <row r="252" spans="2:20" s="20" customFormat="1" ht="17.100000000000001" hidden="1" customHeight="1" x14ac:dyDescent="0.3">
      <c r="B252" s="17">
        <v>44769</v>
      </c>
      <c r="C252" s="17">
        <v>44772</v>
      </c>
      <c r="D252" s="20" t="s">
        <v>1053</v>
      </c>
      <c r="E252" s="15" t="s">
        <v>1041</v>
      </c>
      <c r="F252" s="15" t="s">
        <v>46</v>
      </c>
      <c r="G252" s="15" t="s">
        <v>21</v>
      </c>
      <c r="H252" s="16" t="s">
        <v>1042</v>
      </c>
      <c r="I252" s="15">
        <v>1</v>
      </c>
      <c r="J252" s="15" t="s">
        <v>49</v>
      </c>
      <c r="K252" s="29" t="s">
        <v>85</v>
      </c>
      <c r="L252" s="19">
        <v>21111000</v>
      </c>
      <c r="M252" s="18">
        <f t="shared" si="19"/>
        <v>24088000</v>
      </c>
      <c r="N252" s="17">
        <v>44799</v>
      </c>
      <c r="O252" s="23" t="s">
        <v>51</v>
      </c>
      <c r="P252" s="22"/>
      <c r="Q252" s="38" t="s">
        <v>2586</v>
      </c>
      <c r="R252" s="19">
        <v>1201000</v>
      </c>
      <c r="S252" s="19">
        <v>2977000</v>
      </c>
      <c r="T252" s="45">
        <f>S252-R252</f>
        <v>1776000</v>
      </c>
    </row>
    <row r="253" spans="2:20" s="20" customFormat="1" ht="17.100000000000001" hidden="1" customHeight="1" x14ac:dyDescent="0.3">
      <c r="B253" s="17">
        <v>44770</v>
      </c>
      <c r="C253" s="17">
        <v>44795</v>
      </c>
      <c r="D253" s="20" t="s">
        <v>1045</v>
      </c>
      <c r="E253" s="15" t="s">
        <v>1043</v>
      </c>
      <c r="F253" s="15" t="s">
        <v>25</v>
      </c>
      <c r="G253" s="15" t="s">
        <v>21</v>
      </c>
      <c r="H253" s="16" t="s">
        <v>1044</v>
      </c>
      <c r="I253" s="15">
        <v>1</v>
      </c>
      <c r="J253" s="15" t="s">
        <v>733</v>
      </c>
      <c r="K253" s="29" t="s">
        <v>731</v>
      </c>
      <c r="L253" s="19">
        <v>84000000</v>
      </c>
      <c r="M253" s="18">
        <f t="shared" si="19"/>
        <v>84000000</v>
      </c>
      <c r="N253" s="17">
        <v>44814</v>
      </c>
      <c r="O253" s="20" t="s">
        <v>732</v>
      </c>
      <c r="P253" s="22"/>
      <c r="Q253" s="38" t="s">
        <v>2630</v>
      </c>
      <c r="R253" s="19"/>
      <c r="S253" s="19"/>
    </row>
    <row r="254" spans="2:20" s="20" customFormat="1" ht="17.100000000000001" hidden="1" customHeight="1" x14ac:dyDescent="0.3">
      <c r="B254" s="17">
        <v>44771</v>
      </c>
      <c r="C254" s="17">
        <v>44828</v>
      </c>
      <c r="D254" s="20" t="s">
        <v>1048</v>
      </c>
      <c r="E254" s="15" t="s">
        <v>1047</v>
      </c>
      <c r="F254" s="15" t="s">
        <v>46</v>
      </c>
      <c r="G254" s="15" t="s">
        <v>21</v>
      </c>
      <c r="H254" s="16" t="s">
        <v>1049</v>
      </c>
      <c r="I254" s="15">
        <v>1</v>
      </c>
      <c r="J254" s="15" t="s">
        <v>49</v>
      </c>
      <c r="K254" s="29" t="s">
        <v>1050</v>
      </c>
      <c r="L254" s="19">
        <v>145935000</v>
      </c>
      <c r="M254" s="18">
        <f t="shared" si="19"/>
        <v>159831000</v>
      </c>
      <c r="N254" s="17">
        <v>44799</v>
      </c>
      <c r="O254" s="23" t="s">
        <v>51</v>
      </c>
      <c r="P254" s="22" t="s">
        <v>1107</v>
      </c>
      <c r="Q254" s="38" t="s">
        <v>2586</v>
      </c>
      <c r="R254" s="19">
        <f>11200000+1300000</f>
        <v>12500000</v>
      </c>
      <c r="S254" s="19">
        <v>13896000</v>
      </c>
      <c r="T254" s="45">
        <f>S254-R254</f>
        <v>1396000</v>
      </c>
    </row>
    <row r="255" spans="2:20" s="20" customFormat="1" ht="17.100000000000001" hidden="1" customHeight="1" x14ac:dyDescent="0.3">
      <c r="B255" s="17">
        <v>44775</v>
      </c>
      <c r="C255" s="17">
        <v>44776</v>
      </c>
      <c r="D255" s="20" t="s">
        <v>1055</v>
      </c>
      <c r="E255" s="15" t="s">
        <v>1054</v>
      </c>
      <c r="F255" s="15" t="s">
        <v>46</v>
      </c>
      <c r="G255" s="15" t="s">
        <v>21</v>
      </c>
      <c r="H255" s="16">
        <v>150</v>
      </c>
      <c r="I255" s="15">
        <v>2</v>
      </c>
      <c r="J255" s="15" t="s">
        <v>1056</v>
      </c>
      <c r="K255" s="29" t="s">
        <v>1057</v>
      </c>
      <c r="L255" s="19">
        <v>4700000</v>
      </c>
      <c r="M255" s="18">
        <f>(L255*I255)+S255-1800000</f>
        <v>7600000</v>
      </c>
      <c r="N255" s="17">
        <v>44799</v>
      </c>
      <c r="P255" s="22" t="s">
        <v>1125</v>
      </c>
      <c r="Q255" s="38" t="s">
        <v>2644</v>
      </c>
      <c r="R255" s="19"/>
      <c r="S255" s="19"/>
    </row>
    <row r="256" spans="2:20" s="20" customFormat="1" ht="17.100000000000001" hidden="1" customHeight="1" x14ac:dyDescent="0.3">
      <c r="B256" s="17">
        <v>44778</v>
      </c>
      <c r="C256" s="17">
        <v>44855</v>
      </c>
      <c r="D256" s="20" t="s">
        <v>1059</v>
      </c>
      <c r="E256" s="15" t="s">
        <v>1146</v>
      </c>
      <c r="F256" s="15" t="s">
        <v>1058</v>
      </c>
      <c r="G256" s="15" t="s">
        <v>21</v>
      </c>
      <c r="H256" s="16">
        <v>400</v>
      </c>
      <c r="I256" s="15">
        <v>2</v>
      </c>
      <c r="J256" s="15" t="s">
        <v>440</v>
      </c>
      <c r="K256" s="29" t="s">
        <v>130</v>
      </c>
      <c r="L256" s="18">
        <v>10320000</v>
      </c>
      <c r="M256" s="18">
        <f t="shared" ref="M256:M319" si="22">(L256*I256)+S256</f>
        <v>20640000</v>
      </c>
      <c r="N256" s="17">
        <v>44827</v>
      </c>
      <c r="O256" s="23" t="s">
        <v>1606</v>
      </c>
      <c r="P256" s="41"/>
      <c r="Q256" s="38" t="s">
        <v>2584</v>
      </c>
      <c r="R256" s="19"/>
      <c r="S256" s="19"/>
    </row>
    <row r="257" spans="2:20" s="20" customFormat="1" ht="17.100000000000001" hidden="1" customHeight="1" x14ac:dyDescent="0.3">
      <c r="B257" s="17">
        <v>44783</v>
      </c>
      <c r="C257" s="17">
        <v>44789</v>
      </c>
      <c r="D257" s="20" t="s">
        <v>1069</v>
      </c>
      <c r="E257" s="15" t="s">
        <v>1068</v>
      </c>
      <c r="F257" s="15" t="s">
        <v>25</v>
      </c>
      <c r="G257" s="15" t="s">
        <v>21</v>
      </c>
      <c r="H257" s="16" t="s">
        <v>1070</v>
      </c>
      <c r="I257" s="15">
        <v>1</v>
      </c>
      <c r="J257" s="15" t="s">
        <v>776</v>
      </c>
      <c r="K257" s="29" t="s">
        <v>777</v>
      </c>
      <c r="L257" s="19">
        <v>20000000</v>
      </c>
      <c r="M257" s="18">
        <f t="shared" si="22"/>
        <v>20000000</v>
      </c>
      <c r="N257" s="17">
        <v>44799</v>
      </c>
      <c r="P257" s="22"/>
      <c r="Q257" s="22"/>
      <c r="R257" s="19"/>
      <c r="S257" s="19"/>
    </row>
    <row r="258" spans="2:20" s="20" customFormat="1" ht="17.100000000000001" hidden="1" customHeight="1" x14ac:dyDescent="0.3">
      <c r="B258" s="17">
        <v>44790</v>
      </c>
      <c r="C258" s="17">
        <v>44806</v>
      </c>
      <c r="D258" s="20" t="s">
        <v>1072</v>
      </c>
      <c r="E258" s="15" t="s">
        <v>1071</v>
      </c>
      <c r="F258" s="15" t="s">
        <v>46</v>
      </c>
      <c r="G258" s="15" t="s">
        <v>21</v>
      </c>
      <c r="H258" s="16" t="s">
        <v>1116</v>
      </c>
      <c r="I258" s="15">
        <v>1</v>
      </c>
      <c r="J258" s="15" t="s">
        <v>1174</v>
      </c>
      <c r="K258" s="29" t="s">
        <v>1173</v>
      </c>
      <c r="L258" s="19">
        <v>44000000</v>
      </c>
      <c r="M258" s="18">
        <f t="shared" si="22"/>
        <v>44000000</v>
      </c>
      <c r="N258" s="17">
        <v>44834</v>
      </c>
      <c r="P258" s="22"/>
      <c r="Q258" s="38" t="s">
        <v>2645</v>
      </c>
      <c r="R258" s="19"/>
      <c r="S258" s="19"/>
    </row>
    <row r="259" spans="2:20" s="20" customFormat="1" ht="17.100000000000001" hidden="1" customHeight="1" x14ac:dyDescent="0.3">
      <c r="B259" s="17">
        <v>44791</v>
      </c>
      <c r="C259" s="17">
        <v>44832</v>
      </c>
      <c r="D259" s="20" t="s">
        <v>1090</v>
      </c>
      <c r="E259" s="15" t="s">
        <v>1088</v>
      </c>
      <c r="F259" s="15" t="s">
        <v>25</v>
      </c>
      <c r="G259" s="15" t="s">
        <v>21</v>
      </c>
      <c r="H259" s="16" t="s">
        <v>1092</v>
      </c>
      <c r="I259" s="15">
        <v>1</v>
      </c>
      <c r="J259" s="15" t="s">
        <v>1093</v>
      </c>
      <c r="K259" s="29" t="s">
        <v>1094</v>
      </c>
      <c r="L259" s="19">
        <v>19043000</v>
      </c>
      <c r="M259" s="18">
        <f t="shared" si="22"/>
        <v>19043000</v>
      </c>
      <c r="N259" s="17">
        <v>44834</v>
      </c>
      <c r="O259" s="20" t="s">
        <v>1095</v>
      </c>
      <c r="P259" s="22"/>
      <c r="Q259" s="38" t="s">
        <v>2646</v>
      </c>
      <c r="R259" s="19"/>
      <c r="S259" s="19"/>
    </row>
    <row r="260" spans="2:20" s="20" customFormat="1" ht="17.100000000000001" hidden="1" customHeight="1" x14ac:dyDescent="0.3">
      <c r="B260" s="17">
        <v>44791</v>
      </c>
      <c r="C260" s="17">
        <v>44797</v>
      </c>
      <c r="D260" s="20" t="s">
        <v>1091</v>
      </c>
      <c r="E260" s="15" t="s">
        <v>1089</v>
      </c>
      <c r="F260" s="15" t="s">
        <v>25</v>
      </c>
      <c r="G260" s="15" t="s">
        <v>21</v>
      </c>
      <c r="H260" s="16" t="s">
        <v>1092</v>
      </c>
      <c r="I260" s="15">
        <v>1</v>
      </c>
      <c r="J260" s="15" t="s">
        <v>1093</v>
      </c>
      <c r="K260" s="29" t="s">
        <v>1094</v>
      </c>
      <c r="L260" s="19">
        <v>6938000</v>
      </c>
      <c r="M260" s="18">
        <f t="shared" si="22"/>
        <v>6938000</v>
      </c>
      <c r="N260" s="17">
        <v>44834</v>
      </c>
      <c r="O260" s="20" t="s">
        <v>1095</v>
      </c>
      <c r="P260" s="22"/>
      <c r="Q260" s="38" t="s">
        <v>2646</v>
      </c>
      <c r="R260" s="19"/>
      <c r="S260" s="19"/>
    </row>
    <row r="261" spans="2:20" s="20" customFormat="1" ht="17.100000000000001" hidden="1" customHeight="1" x14ac:dyDescent="0.3">
      <c r="B261" s="17">
        <v>44792</v>
      </c>
      <c r="C261" s="17">
        <v>44792</v>
      </c>
      <c r="D261" s="20" t="s">
        <v>1075</v>
      </c>
      <c r="E261" s="15" t="s">
        <v>1074</v>
      </c>
      <c r="F261" s="15" t="s">
        <v>25</v>
      </c>
      <c r="G261" s="15" t="s">
        <v>21</v>
      </c>
      <c r="H261" s="16" t="s">
        <v>1076</v>
      </c>
      <c r="I261" s="15">
        <v>1</v>
      </c>
      <c r="J261" s="15" t="s">
        <v>1077</v>
      </c>
      <c r="K261" s="29" t="s">
        <v>1084</v>
      </c>
      <c r="L261" s="19">
        <v>7000000</v>
      </c>
      <c r="M261" s="18">
        <f t="shared" si="22"/>
        <v>7000000</v>
      </c>
      <c r="N261" s="17">
        <v>44799</v>
      </c>
      <c r="P261" s="22"/>
      <c r="Q261" s="38" t="s">
        <v>2647</v>
      </c>
      <c r="R261" s="19"/>
      <c r="S261" s="19"/>
    </row>
    <row r="262" spans="2:20" s="20" customFormat="1" ht="17.100000000000001" hidden="1" customHeight="1" x14ac:dyDescent="0.3">
      <c r="B262" s="17">
        <v>44794</v>
      </c>
      <c r="C262" s="17">
        <v>44798</v>
      </c>
      <c r="D262" s="20" t="s">
        <v>1078</v>
      </c>
      <c r="E262" s="15" t="s">
        <v>1079</v>
      </c>
      <c r="F262" s="15" t="s">
        <v>25</v>
      </c>
      <c r="G262" s="15" t="s">
        <v>21</v>
      </c>
      <c r="H262" s="16" t="s">
        <v>1080</v>
      </c>
      <c r="I262" s="15">
        <v>1</v>
      </c>
      <c r="J262" s="15" t="s">
        <v>1106</v>
      </c>
      <c r="K262" s="29" t="s">
        <v>1103</v>
      </c>
      <c r="L262" s="19">
        <v>10900000</v>
      </c>
      <c r="M262" s="18">
        <f t="shared" si="22"/>
        <v>10900000</v>
      </c>
      <c r="N262" s="17">
        <v>44804</v>
      </c>
      <c r="O262" s="20" t="s">
        <v>1105</v>
      </c>
      <c r="P262" s="22"/>
      <c r="Q262" s="38" t="s">
        <v>2648</v>
      </c>
      <c r="R262" s="19"/>
      <c r="S262" s="19"/>
    </row>
    <row r="263" spans="2:20" s="20" customFormat="1" ht="17.100000000000001" hidden="1" customHeight="1" x14ac:dyDescent="0.3">
      <c r="B263" s="17">
        <v>44795</v>
      </c>
      <c r="C263" s="17">
        <v>44803</v>
      </c>
      <c r="D263" s="20" t="s">
        <v>1086</v>
      </c>
      <c r="E263" s="15" t="s">
        <v>1085</v>
      </c>
      <c r="F263" s="15" t="s">
        <v>46</v>
      </c>
      <c r="G263" s="15" t="s">
        <v>21</v>
      </c>
      <c r="H263" s="16">
        <v>700</v>
      </c>
      <c r="I263" s="15">
        <v>4</v>
      </c>
      <c r="J263" s="15" t="s">
        <v>1087</v>
      </c>
      <c r="K263" s="29" t="s">
        <v>372</v>
      </c>
      <c r="L263" s="19">
        <v>44291283</v>
      </c>
      <c r="M263" s="18">
        <f t="shared" si="22"/>
        <v>177165132</v>
      </c>
      <c r="N263" s="17">
        <v>44824</v>
      </c>
      <c r="O263" s="20" t="s">
        <v>70</v>
      </c>
      <c r="P263" s="22"/>
      <c r="Q263" s="38" t="s">
        <v>2593</v>
      </c>
      <c r="R263" s="19"/>
      <c r="S263" s="19"/>
    </row>
    <row r="264" spans="2:20" s="20" customFormat="1" ht="17.100000000000001" hidden="1" customHeight="1" x14ac:dyDescent="0.3">
      <c r="B264" s="17">
        <v>44798</v>
      </c>
      <c r="C264" s="17">
        <v>44798</v>
      </c>
      <c r="D264" s="20" t="s">
        <v>1097</v>
      </c>
      <c r="E264" s="15" t="s">
        <v>1096</v>
      </c>
      <c r="F264" s="15" t="s">
        <v>46</v>
      </c>
      <c r="G264" s="15" t="s">
        <v>21</v>
      </c>
      <c r="H264" s="16">
        <v>50</v>
      </c>
      <c r="I264" s="15">
        <v>4</v>
      </c>
      <c r="J264" s="15" t="s">
        <v>69</v>
      </c>
      <c r="K264" s="29" t="s">
        <v>372</v>
      </c>
      <c r="L264" s="19">
        <v>621966</v>
      </c>
      <c r="M264" s="18">
        <f t="shared" si="22"/>
        <v>2487864</v>
      </c>
      <c r="N264" s="17">
        <v>44826</v>
      </c>
      <c r="O264" s="20" t="s">
        <v>70</v>
      </c>
      <c r="P264" s="22"/>
      <c r="Q264" s="38" t="s">
        <v>2593</v>
      </c>
      <c r="R264" s="19"/>
      <c r="S264" s="19"/>
    </row>
    <row r="265" spans="2:20" s="20" customFormat="1" ht="17.100000000000001" hidden="1" customHeight="1" x14ac:dyDescent="0.3">
      <c r="B265" s="17">
        <v>44799</v>
      </c>
      <c r="C265" s="17">
        <v>45034</v>
      </c>
      <c r="D265" s="20" t="s">
        <v>1098</v>
      </c>
      <c r="E265" s="15" t="s">
        <v>1579</v>
      </c>
      <c r="F265" s="15" t="s">
        <v>25</v>
      </c>
      <c r="G265" s="15" t="s">
        <v>21</v>
      </c>
      <c r="H265" s="16" t="s">
        <v>1099</v>
      </c>
      <c r="I265" s="15">
        <v>1</v>
      </c>
      <c r="J265" s="15" t="s">
        <v>776</v>
      </c>
      <c r="K265" s="29" t="s">
        <v>1200</v>
      </c>
      <c r="L265" s="19">
        <v>196912463</v>
      </c>
      <c r="M265" s="18">
        <f t="shared" si="22"/>
        <v>196912463</v>
      </c>
      <c r="N265" s="17">
        <v>45044</v>
      </c>
      <c r="O265" s="20" t="s">
        <v>953</v>
      </c>
      <c r="P265" s="22"/>
      <c r="Q265" s="38" t="s">
        <v>2639</v>
      </c>
      <c r="R265" s="19"/>
      <c r="S265" s="19"/>
    </row>
    <row r="266" spans="2:20" s="20" customFormat="1" ht="17.100000000000001" hidden="1" customHeight="1" x14ac:dyDescent="0.3">
      <c r="B266" s="17">
        <v>44800</v>
      </c>
      <c r="C266" s="17">
        <v>44808</v>
      </c>
      <c r="D266" s="20" t="s">
        <v>1101</v>
      </c>
      <c r="E266" s="15" t="s">
        <v>1100</v>
      </c>
      <c r="F266" s="15" t="s">
        <v>25</v>
      </c>
      <c r="G266" s="15" t="s">
        <v>21</v>
      </c>
      <c r="H266" s="16" t="s">
        <v>1102</v>
      </c>
      <c r="I266" s="15">
        <v>1</v>
      </c>
      <c r="J266" s="15" t="s">
        <v>1106</v>
      </c>
      <c r="K266" s="29" t="s">
        <v>1104</v>
      </c>
      <c r="L266" s="19">
        <v>30000000</v>
      </c>
      <c r="M266" s="18">
        <f t="shared" si="22"/>
        <v>30000000</v>
      </c>
      <c r="N266" s="17">
        <v>44834</v>
      </c>
      <c r="O266" s="20" t="s">
        <v>1105</v>
      </c>
      <c r="P266" s="22"/>
      <c r="Q266" s="38" t="s">
        <v>2648</v>
      </c>
      <c r="R266" s="19"/>
      <c r="S266" s="19"/>
    </row>
    <row r="267" spans="2:20" s="20" customFormat="1" ht="17.100000000000001" hidden="1" customHeight="1" x14ac:dyDescent="0.3">
      <c r="B267" s="17">
        <v>44802</v>
      </c>
      <c r="C267" s="17">
        <v>44802</v>
      </c>
      <c r="D267" s="20" t="s">
        <v>1031</v>
      </c>
      <c r="E267" s="15" t="s">
        <v>1112</v>
      </c>
      <c r="F267" s="15" t="s">
        <v>46</v>
      </c>
      <c r="G267" s="15" t="s">
        <v>21</v>
      </c>
      <c r="H267" s="16">
        <v>50</v>
      </c>
      <c r="I267" s="15">
        <v>4</v>
      </c>
      <c r="J267" s="15" t="s">
        <v>69</v>
      </c>
      <c r="K267" s="29" t="s">
        <v>559</v>
      </c>
      <c r="L267" s="19">
        <v>621966</v>
      </c>
      <c r="M267" s="18">
        <f t="shared" si="22"/>
        <v>2487864</v>
      </c>
      <c r="N267" s="17">
        <v>44826</v>
      </c>
      <c r="O267" s="20" t="s">
        <v>70</v>
      </c>
      <c r="P267" s="22"/>
      <c r="Q267" s="38" t="s">
        <v>2593</v>
      </c>
      <c r="R267" s="19"/>
      <c r="S267" s="19"/>
    </row>
    <row r="268" spans="2:20" s="20" customFormat="1" ht="17.100000000000001" hidden="1" customHeight="1" x14ac:dyDescent="0.3">
      <c r="B268" s="17">
        <v>44804</v>
      </c>
      <c r="C268" s="17">
        <v>44840</v>
      </c>
      <c r="D268" s="20" t="s">
        <v>1113</v>
      </c>
      <c r="E268" s="15" t="s">
        <v>1170</v>
      </c>
      <c r="F268" s="15" t="s">
        <v>46</v>
      </c>
      <c r="G268" s="15" t="s">
        <v>21</v>
      </c>
      <c r="H268" s="16" t="s">
        <v>1114</v>
      </c>
      <c r="I268" s="15">
        <v>1</v>
      </c>
      <c r="J268" s="15" t="s">
        <v>1115</v>
      </c>
      <c r="K268" s="29" t="s">
        <v>66</v>
      </c>
      <c r="L268" s="19">
        <v>120000000</v>
      </c>
      <c r="M268" s="18">
        <f t="shared" si="22"/>
        <v>131400000</v>
      </c>
      <c r="N268" s="17">
        <v>44865</v>
      </c>
      <c r="P268" s="22"/>
      <c r="Q268" s="38" t="s">
        <v>2649</v>
      </c>
      <c r="R268" s="19">
        <f>5686000*2</f>
        <v>11372000</v>
      </c>
      <c r="S268" s="19">
        <f>2850000*4</f>
        <v>11400000</v>
      </c>
      <c r="T268" s="45">
        <f>S268-R268</f>
        <v>28000</v>
      </c>
    </row>
    <row r="269" spans="2:20" s="20" customFormat="1" ht="17.100000000000001" hidden="1" customHeight="1" x14ac:dyDescent="0.3">
      <c r="B269" s="17">
        <v>44805</v>
      </c>
      <c r="C269" s="17">
        <v>44830</v>
      </c>
      <c r="D269" s="20" t="s">
        <v>1402</v>
      </c>
      <c r="E269" s="15" t="s">
        <v>1118</v>
      </c>
      <c r="F269" s="15" t="s">
        <v>25</v>
      </c>
      <c r="G269" s="15" t="s">
        <v>26</v>
      </c>
      <c r="H269" s="16" t="s">
        <v>1120</v>
      </c>
      <c r="I269" s="15">
        <v>1</v>
      </c>
      <c r="J269" s="15" t="s">
        <v>1122</v>
      </c>
      <c r="K269" s="29" t="s">
        <v>1123</v>
      </c>
      <c r="L269" s="19">
        <v>16160502</v>
      </c>
      <c r="M269" s="18">
        <f t="shared" si="22"/>
        <v>16160502</v>
      </c>
      <c r="N269" s="17">
        <v>44907</v>
      </c>
      <c r="O269" s="20" t="s">
        <v>1124</v>
      </c>
      <c r="P269" s="22"/>
      <c r="Q269" s="38" t="s">
        <v>2650</v>
      </c>
      <c r="R269" s="19"/>
      <c r="S269" s="19"/>
    </row>
    <row r="270" spans="2:20" s="20" customFormat="1" ht="17.100000000000001" hidden="1" customHeight="1" x14ac:dyDescent="0.3">
      <c r="B270" s="17">
        <v>44805</v>
      </c>
      <c r="C270" s="17">
        <v>44826</v>
      </c>
      <c r="D270" s="20" t="s">
        <v>1117</v>
      </c>
      <c r="E270" s="15" t="s">
        <v>1119</v>
      </c>
      <c r="F270" s="15" t="s">
        <v>25</v>
      </c>
      <c r="G270" s="15" t="s">
        <v>26</v>
      </c>
      <c r="H270" s="16" t="s">
        <v>1121</v>
      </c>
      <c r="I270" s="15">
        <v>1</v>
      </c>
      <c r="J270" s="15" t="s">
        <v>1122</v>
      </c>
      <c r="K270" s="29" t="s">
        <v>1123</v>
      </c>
      <c r="L270" s="19">
        <v>9380000</v>
      </c>
      <c r="M270" s="18">
        <f t="shared" si="22"/>
        <v>9380000</v>
      </c>
      <c r="N270" s="17">
        <v>44907</v>
      </c>
      <c r="O270" s="20" t="s">
        <v>1124</v>
      </c>
      <c r="P270" s="22" t="s">
        <v>1250</v>
      </c>
      <c r="Q270" s="38" t="s">
        <v>2650</v>
      </c>
      <c r="R270" s="19"/>
      <c r="S270" s="19"/>
    </row>
    <row r="271" spans="2:20" s="20" customFormat="1" ht="17.100000000000001" hidden="1" customHeight="1" x14ac:dyDescent="0.3">
      <c r="B271" s="17">
        <v>44806</v>
      </c>
      <c r="C271" s="17">
        <v>44826</v>
      </c>
      <c r="D271" s="20" t="s">
        <v>1171</v>
      </c>
      <c r="E271" s="15" t="s">
        <v>1127</v>
      </c>
      <c r="F271" s="15" t="s">
        <v>25</v>
      </c>
      <c r="G271" s="15" t="s">
        <v>21</v>
      </c>
      <c r="H271" s="16" t="s">
        <v>1128</v>
      </c>
      <c r="I271" s="15">
        <v>1</v>
      </c>
      <c r="J271" s="15" t="s">
        <v>335</v>
      </c>
      <c r="K271" s="29" t="s">
        <v>165</v>
      </c>
      <c r="L271" s="19">
        <v>82733000</v>
      </c>
      <c r="M271" s="18">
        <f t="shared" si="22"/>
        <v>82733000</v>
      </c>
      <c r="N271" s="17">
        <v>44839</v>
      </c>
      <c r="O271" s="20" t="s">
        <v>732</v>
      </c>
      <c r="P271" s="22"/>
      <c r="Q271" s="38" t="s">
        <v>2630</v>
      </c>
      <c r="R271" s="19"/>
      <c r="S271" s="19"/>
    </row>
    <row r="272" spans="2:20" s="20" customFormat="1" ht="17.100000000000001" hidden="1" customHeight="1" x14ac:dyDescent="0.3">
      <c r="B272" s="17">
        <v>44810</v>
      </c>
      <c r="C272" s="17">
        <v>44811</v>
      </c>
      <c r="D272" s="20" t="s">
        <v>1130</v>
      </c>
      <c r="E272" s="15" t="s">
        <v>1129</v>
      </c>
      <c r="F272" s="15" t="s">
        <v>25</v>
      </c>
      <c r="G272" s="15" t="s">
        <v>21</v>
      </c>
      <c r="H272" s="16" t="s">
        <v>1044</v>
      </c>
      <c r="I272" s="15">
        <v>1</v>
      </c>
      <c r="J272" s="15" t="s">
        <v>335</v>
      </c>
      <c r="K272" s="29" t="s">
        <v>731</v>
      </c>
      <c r="L272" s="19">
        <f>24286066-20000000</f>
        <v>4286066</v>
      </c>
      <c r="M272" s="18">
        <f t="shared" si="22"/>
        <v>4286066</v>
      </c>
      <c r="N272" s="134">
        <v>45382</v>
      </c>
      <c r="O272" s="20" t="s">
        <v>732</v>
      </c>
      <c r="P272" s="22"/>
      <c r="Q272" s="38" t="s">
        <v>2630</v>
      </c>
      <c r="R272" s="19"/>
      <c r="S272" s="19"/>
    </row>
    <row r="273" spans="2:20" s="20" customFormat="1" ht="17.100000000000001" hidden="1" customHeight="1" x14ac:dyDescent="0.3">
      <c r="B273" s="17">
        <v>44811</v>
      </c>
      <c r="C273" s="17">
        <v>44812</v>
      </c>
      <c r="D273" s="20" t="s">
        <v>1131</v>
      </c>
      <c r="E273" s="15" t="s">
        <v>1132</v>
      </c>
      <c r="F273" s="15" t="s">
        <v>46</v>
      </c>
      <c r="G273" s="15" t="s">
        <v>21</v>
      </c>
      <c r="H273" s="16" t="s">
        <v>1210</v>
      </c>
      <c r="I273" s="15">
        <v>1</v>
      </c>
      <c r="J273" s="15" t="s">
        <v>1133</v>
      </c>
      <c r="K273" s="15" t="s">
        <v>1133</v>
      </c>
      <c r="L273" s="19">
        <v>2483000</v>
      </c>
      <c r="M273" s="18">
        <f t="shared" si="22"/>
        <v>5214300</v>
      </c>
      <c r="N273" s="17">
        <v>45016</v>
      </c>
      <c r="O273" s="20" t="s">
        <v>1391</v>
      </c>
      <c r="P273" s="22"/>
      <c r="Q273" s="38" t="s">
        <v>2642</v>
      </c>
      <c r="R273" s="19">
        <v>2500000</v>
      </c>
      <c r="S273" s="19">
        <v>2731300</v>
      </c>
      <c r="T273" s="45">
        <f>S273-R273</f>
        <v>231300</v>
      </c>
    </row>
    <row r="274" spans="2:20" s="20" customFormat="1" ht="17.100000000000001" hidden="1" customHeight="1" x14ac:dyDescent="0.3">
      <c r="B274" s="17">
        <v>44820</v>
      </c>
      <c r="C274" s="17">
        <v>44841</v>
      </c>
      <c r="D274" s="20" t="s">
        <v>1136</v>
      </c>
      <c r="E274" s="15" t="s">
        <v>1172</v>
      </c>
      <c r="F274" s="15" t="s">
        <v>25</v>
      </c>
      <c r="G274" s="15" t="s">
        <v>21</v>
      </c>
      <c r="H274" s="16" t="s">
        <v>1044</v>
      </c>
      <c r="I274" s="15">
        <v>1</v>
      </c>
      <c r="J274" s="15" t="s">
        <v>335</v>
      </c>
      <c r="K274" s="29" t="s">
        <v>731</v>
      </c>
      <c r="L274" s="19">
        <v>82733000</v>
      </c>
      <c r="M274" s="18">
        <f t="shared" si="22"/>
        <v>82733000</v>
      </c>
      <c r="N274" s="17">
        <v>44839</v>
      </c>
      <c r="O274" s="20" t="s">
        <v>732</v>
      </c>
      <c r="P274" s="22"/>
      <c r="Q274" s="38" t="s">
        <v>2630</v>
      </c>
      <c r="R274" s="19"/>
      <c r="S274" s="19"/>
    </row>
    <row r="275" spans="2:20" s="20" customFormat="1" ht="17.100000000000001" hidden="1" customHeight="1" x14ac:dyDescent="0.3">
      <c r="B275" s="17">
        <v>44820</v>
      </c>
      <c r="C275" s="17">
        <v>44826</v>
      </c>
      <c r="D275" s="20" t="s">
        <v>1138</v>
      </c>
      <c r="E275" s="15" t="s">
        <v>1137</v>
      </c>
      <c r="F275" s="15" t="s">
        <v>46</v>
      </c>
      <c r="G275" s="15" t="s">
        <v>21</v>
      </c>
      <c r="H275" s="16">
        <v>750</v>
      </c>
      <c r="I275" s="15">
        <v>4</v>
      </c>
      <c r="J275" s="15" t="s">
        <v>1139</v>
      </c>
      <c r="K275" s="29" t="s">
        <v>1140</v>
      </c>
      <c r="L275" s="19">
        <v>52858392</v>
      </c>
      <c r="M275" s="18">
        <f t="shared" si="22"/>
        <v>211433568</v>
      </c>
      <c r="N275" s="17">
        <v>44824</v>
      </c>
      <c r="O275" s="20" t="s">
        <v>70</v>
      </c>
      <c r="P275" s="22"/>
      <c r="Q275" s="38" t="s">
        <v>2593</v>
      </c>
      <c r="R275" s="19"/>
      <c r="S275" s="19"/>
    </row>
    <row r="276" spans="2:20" s="20" customFormat="1" ht="17.100000000000001" hidden="1" customHeight="1" x14ac:dyDescent="0.3">
      <c r="B276" s="17">
        <v>44820</v>
      </c>
      <c r="C276" s="17">
        <v>44823</v>
      </c>
      <c r="D276" s="20" t="s">
        <v>1387</v>
      </c>
      <c r="E276" s="15" t="s">
        <v>1153</v>
      </c>
      <c r="F276" s="15" t="s">
        <v>46</v>
      </c>
      <c r="G276" s="15" t="s">
        <v>21</v>
      </c>
      <c r="H276" s="16" t="s">
        <v>1154</v>
      </c>
      <c r="I276" s="15">
        <v>2</v>
      </c>
      <c r="J276" s="15" t="s">
        <v>49</v>
      </c>
      <c r="K276" s="29" t="s">
        <v>50</v>
      </c>
      <c r="L276" s="19">
        <v>6400000</v>
      </c>
      <c r="M276" s="18">
        <f t="shared" si="22"/>
        <v>12800000</v>
      </c>
      <c r="N276" s="17">
        <v>44895</v>
      </c>
      <c r="P276" s="22" t="s">
        <v>174</v>
      </c>
      <c r="Q276" s="38" t="s">
        <v>2631</v>
      </c>
      <c r="R276" s="19"/>
      <c r="S276" s="19"/>
    </row>
    <row r="277" spans="2:20" s="20" customFormat="1" ht="17.100000000000001" hidden="1" customHeight="1" x14ac:dyDescent="0.3">
      <c r="B277" s="17">
        <v>44823</v>
      </c>
      <c r="C277" s="17">
        <v>44827</v>
      </c>
      <c r="D277" s="20" t="s">
        <v>1148</v>
      </c>
      <c r="E277" s="15" t="s">
        <v>1147</v>
      </c>
      <c r="F277" s="15" t="s">
        <v>25</v>
      </c>
      <c r="G277" s="15" t="s">
        <v>21</v>
      </c>
      <c r="H277" s="16" t="s">
        <v>1149</v>
      </c>
      <c r="I277" s="15">
        <v>1</v>
      </c>
      <c r="J277" s="15" t="s">
        <v>1150</v>
      </c>
      <c r="K277" s="29" t="s">
        <v>1151</v>
      </c>
      <c r="L277" s="19">
        <v>35600000</v>
      </c>
      <c r="M277" s="18">
        <f t="shared" si="22"/>
        <v>35600000</v>
      </c>
      <c r="N277" s="17">
        <v>44831</v>
      </c>
      <c r="O277" s="20" t="s">
        <v>1152</v>
      </c>
      <c r="P277" s="22"/>
      <c r="Q277" s="38" t="s">
        <v>2634</v>
      </c>
      <c r="R277" s="19"/>
      <c r="S277" s="19"/>
    </row>
    <row r="278" spans="2:20" s="20" customFormat="1" ht="17.100000000000001" hidden="1" customHeight="1" x14ac:dyDescent="0.3">
      <c r="B278" s="17">
        <v>44826</v>
      </c>
      <c r="C278" s="17">
        <v>44832</v>
      </c>
      <c r="D278" s="20" t="s">
        <v>1155</v>
      </c>
      <c r="E278" s="15" t="s">
        <v>1386</v>
      </c>
      <c r="F278" s="15" t="s">
        <v>25</v>
      </c>
      <c r="G278" s="15" t="s">
        <v>26</v>
      </c>
      <c r="H278" s="16" t="s">
        <v>1156</v>
      </c>
      <c r="I278" s="15">
        <v>1</v>
      </c>
      <c r="J278" s="15" t="s">
        <v>1122</v>
      </c>
      <c r="K278" s="29" t="s">
        <v>1123</v>
      </c>
      <c r="L278" s="19">
        <v>18614926</v>
      </c>
      <c r="M278" s="18">
        <f t="shared" si="22"/>
        <v>18614926</v>
      </c>
      <c r="N278" s="17">
        <v>45077</v>
      </c>
      <c r="O278" s="20" t="s">
        <v>1124</v>
      </c>
      <c r="P278" s="22"/>
      <c r="Q278" s="38" t="s">
        <v>2650</v>
      </c>
      <c r="R278" s="19"/>
      <c r="S278" s="19"/>
    </row>
    <row r="279" spans="2:20" s="20" customFormat="1" ht="17.100000000000001" hidden="1" customHeight="1" x14ac:dyDescent="0.3">
      <c r="B279" s="17">
        <v>44826</v>
      </c>
      <c r="C279" s="17">
        <v>44828</v>
      </c>
      <c r="D279" s="20" t="s">
        <v>1158</v>
      </c>
      <c r="E279" s="15" t="s">
        <v>1157</v>
      </c>
      <c r="F279" s="15" t="s">
        <v>46</v>
      </c>
      <c r="G279" s="15" t="s">
        <v>21</v>
      </c>
      <c r="H279" s="16">
        <v>400</v>
      </c>
      <c r="I279" s="15">
        <v>1</v>
      </c>
      <c r="J279" s="15" t="s">
        <v>1159</v>
      </c>
      <c r="K279" s="29" t="s">
        <v>1161</v>
      </c>
      <c r="L279" s="19">
        <v>22776885</v>
      </c>
      <c r="M279" s="18">
        <f t="shared" si="22"/>
        <v>22776885</v>
      </c>
      <c r="N279" s="17">
        <v>44924</v>
      </c>
      <c r="O279" s="20" t="s">
        <v>1160</v>
      </c>
      <c r="P279" s="22"/>
      <c r="Q279" s="38" t="s">
        <v>2651</v>
      </c>
      <c r="R279" s="19"/>
      <c r="S279" s="19"/>
    </row>
    <row r="280" spans="2:20" s="20" customFormat="1" ht="17.100000000000001" hidden="1" customHeight="1" x14ac:dyDescent="0.3">
      <c r="B280" s="17">
        <v>44827</v>
      </c>
      <c r="C280" s="17">
        <v>44852</v>
      </c>
      <c r="D280" s="20" t="s">
        <v>1162</v>
      </c>
      <c r="E280" s="15" t="s">
        <v>1220</v>
      </c>
      <c r="F280" s="15" t="s">
        <v>25</v>
      </c>
      <c r="G280" s="15" t="s">
        <v>26</v>
      </c>
      <c r="H280" s="16" t="s">
        <v>1164</v>
      </c>
      <c r="I280" s="15">
        <v>1</v>
      </c>
      <c r="J280" s="15" t="s">
        <v>1166</v>
      </c>
      <c r="K280" s="29" t="s">
        <v>1168</v>
      </c>
      <c r="L280" s="19">
        <v>60000000</v>
      </c>
      <c r="M280" s="18">
        <f t="shared" si="22"/>
        <v>60000000</v>
      </c>
      <c r="N280" s="17">
        <v>44865</v>
      </c>
      <c r="O280" s="20" t="s">
        <v>1273</v>
      </c>
      <c r="P280" s="22"/>
      <c r="Q280" s="38" t="s">
        <v>2652</v>
      </c>
      <c r="R280" s="19"/>
      <c r="S280" s="19"/>
    </row>
    <row r="281" spans="2:20" s="20" customFormat="1" ht="17.100000000000001" hidden="1" customHeight="1" x14ac:dyDescent="0.3">
      <c r="B281" s="17">
        <v>44827</v>
      </c>
      <c r="C281" s="17">
        <v>44845</v>
      </c>
      <c r="D281" s="20" t="s">
        <v>1163</v>
      </c>
      <c r="E281" s="15" t="s">
        <v>1167</v>
      </c>
      <c r="F281" s="15" t="s">
        <v>25</v>
      </c>
      <c r="G281" s="15" t="s">
        <v>21</v>
      </c>
      <c r="H281" s="16" t="s">
        <v>1165</v>
      </c>
      <c r="I281" s="15">
        <v>1</v>
      </c>
      <c r="J281" s="15" t="s">
        <v>1166</v>
      </c>
      <c r="K281" s="29" t="s">
        <v>1274</v>
      </c>
      <c r="L281" s="19">
        <v>40000000</v>
      </c>
      <c r="M281" s="18">
        <f t="shared" si="22"/>
        <v>40000000</v>
      </c>
      <c r="N281" s="17">
        <v>44865</v>
      </c>
      <c r="O281" s="20" t="s">
        <v>1275</v>
      </c>
      <c r="P281" s="22"/>
      <c r="Q281" s="38" t="s">
        <v>2652</v>
      </c>
      <c r="R281" s="19"/>
      <c r="S281" s="19"/>
    </row>
    <row r="282" spans="2:20" s="20" customFormat="1" ht="17.100000000000001" hidden="1" customHeight="1" x14ac:dyDescent="0.3">
      <c r="B282" s="17">
        <v>44830</v>
      </c>
      <c r="C282" s="17">
        <v>44838</v>
      </c>
      <c r="D282" s="20" t="s">
        <v>1403</v>
      </c>
      <c r="E282" s="15" t="s">
        <v>1175</v>
      </c>
      <c r="F282" s="15" t="s">
        <v>25</v>
      </c>
      <c r="G282" s="15" t="s">
        <v>26</v>
      </c>
      <c r="H282" s="16" t="s">
        <v>1120</v>
      </c>
      <c r="I282" s="15">
        <v>1</v>
      </c>
      <c r="J282" s="15" t="s">
        <v>1122</v>
      </c>
      <c r="K282" s="29" t="s">
        <v>1123</v>
      </c>
      <c r="L282" s="19">
        <v>16160502</v>
      </c>
      <c r="M282" s="18">
        <f t="shared" si="22"/>
        <v>16160502</v>
      </c>
      <c r="N282" s="17">
        <v>44907</v>
      </c>
      <c r="O282" s="20" t="s">
        <v>1124</v>
      </c>
      <c r="P282" s="22"/>
      <c r="Q282" s="38" t="s">
        <v>2650</v>
      </c>
      <c r="R282" s="19"/>
      <c r="S282" s="19"/>
    </row>
    <row r="283" spans="2:20" s="20" customFormat="1" ht="17.100000000000001" hidden="1" customHeight="1" x14ac:dyDescent="0.3">
      <c r="B283" s="17">
        <v>44830</v>
      </c>
      <c r="C283" s="17">
        <v>44834</v>
      </c>
      <c r="D283" s="20" t="s">
        <v>1177</v>
      </c>
      <c r="E283" s="15" t="s">
        <v>1176</v>
      </c>
      <c r="F283" s="15" t="s">
        <v>46</v>
      </c>
      <c r="G283" s="15" t="s">
        <v>21</v>
      </c>
      <c r="H283" s="16">
        <v>200</v>
      </c>
      <c r="I283" s="15">
        <v>2</v>
      </c>
      <c r="J283" s="15" t="s">
        <v>1178</v>
      </c>
      <c r="K283" s="29" t="s">
        <v>1179</v>
      </c>
      <c r="L283" s="19">
        <v>9184558</v>
      </c>
      <c r="M283" s="18">
        <f t="shared" si="22"/>
        <v>18369116</v>
      </c>
      <c r="N283" s="17">
        <v>45177</v>
      </c>
      <c r="O283" s="20" t="s">
        <v>1160</v>
      </c>
      <c r="P283" s="22"/>
      <c r="Q283" s="38" t="s">
        <v>2651</v>
      </c>
      <c r="R283" s="19"/>
      <c r="S283" s="19"/>
    </row>
    <row r="284" spans="2:20" s="20" customFormat="1" ht="17.100000000000001" hidden="1" customHeight="1" x14ac:dyDescent="0.3">
      <c r="B284" s="17">
        <v>44831</v>
      </c>
      <c r="C284" s="17">
        <v>44834</v>
      </c>
      <c r="D284" s="20" t="s">
        <v>1181</v>
      </c>
      <c r="E284" s="15" t="s">
        <v>1180</v>
      </c>
      <c r="F284" s="15" t="s">
        <v>46</v>
      </c>
      <c r="G284" s="15" t="s">
        <v>21</v>
      </c>
      <c r="H284" s="16">
        <v>250</v>
      </c>
      <c r="I284" s="15">
        <v>2</v>
      </c>
      <c r="J284" s="15" t="s">
        <v>1182</v>
      </c>
      <c r="K284" s="29" t="s">
        <v>1183</v>
      </c>
      <c r="L284" s="19">
        <v>11820668</v>
      </c>
      <c r="M284" s="18">
        <f t="shared" si="22"/>
        <v>23641336</v>
      </c>
      <c r="N284" s="17">
        <v>45036</v>
      </c>
      <c r="O284" s="20" t="s">
        <v>1160</v>
      </c>
      <c r="P284" s="22"/>
      <c r="Q284" s="38" t="s">
        <v>2651</v>
      </c>
      <c r="R284" s="19"/>
      <c r="S284" s="19"/>
    </row>
    <row r="285" spans="2:20" s="20" customFormat="1" ht="17.100000000000001" hidden="1" customHeight="1" x14ac:dyDescent="0.3">
      <c r="B285" s="17">
        <v>44832</v>
      </c>
      <c r="C285" s="17">
        <v>44833</v>
      </c>
      <c r="D285" s="20" t="s">
        <v>1388</v>
      </c>
      <c r="E285" s="15" t="s">
        <v>1184</v>
      </c>
      <c r="F285" s="15" t="s">
        <v>46</v>
      </c>
      <c r="G285" s="15" t="s">
        <v>21</v>
      </c>
      <c r="H285" s="16" t="s">
        <v>1185</v>
      </c>
      <c r="I285" s="15">
        <v>1</v>
      </c>
      <c r="J285" s="15" t="s">
        <v>49</v>
      </c>
      <c r="K285" s="29" t="s">
        <v>50</v>
      </c>
      <c r="L285" s="19">
        <f>3900000*2</f>
        <v>7800000</v>
      </c>
      <c r="M285" s="18">
        <f t="shared" si="22"/>
        <v>7800000</v>
      </c>
      <c r="N285" s="17">
        <v>44895</v>
      </c>
      <c r="P285" s="22" t="s">
        <v>174</v>
      </c>
      <c r="Q285" s="38" t="s">
        <v>2631</v>
      </c>
      <c r="R285" s="19"/>
      <c r="S285" s="19"/>
    </row>
    <row r="286" spans="2:20" s="20" customFormat="1" ht="17.100000000000001" hidden="1" customHeight="1" x14ac:dyDescent="0.3">
      <c r="B286" s="17">
        <v>44833</v>
      </c>
      <c r="C286" s="17">
        <v>44841</v>
      </c>
      <c r="D286" s="20" t="s">
        <v>1187</v>
      </c>
      <c r="E286" s="15" t="s">
        <v>1186</v>
      </c>
      <c r="F286" s="15" t="s">
        <v>25</v>
      </c>
      <c r="G286" s="15" t="s">
        <v>21</v>
      </c>
      <c r="H286" s="16" t="s">
        <v>1188</v>
      </c>
      <c r="I286" s="15">
        <v>1</v>
      </c>
      <c r="J286" s="15" t="s">
        <v>1189</v>
      </c>
      <c r="K286" s="29" t="s">
        <v>1190</v>
      </c>
      <c r="L286" s="19">
        <v>17600000</v>
      </c>
      <c r="M286" s="18">
        <f t="shared" si="22"/>
        <v>17600000</v>
      </c>
      <c r="N286" s="17">
        <v>44852</v>
      </c>
      <c r="O286" s="20" t="s">
        <v>1191</v>
      </c>
      <c r="P286" s="22"/>
      <c r="Q286" s="38" t="s">
        <v>2653</v>
      </c>
      <c r="R286" s="19"/>
      <c r="S286" s="19"/>
    </row>
    <row r="287" spans="2:20" s="20" customFormat="1" ht="17.100000000000001" hidden="1" customHeight="1" x14ac:dyDescent="0.3">
      <c r="B287" s="17">
        <v>44833</v>
      </c>
      <c r="C287" s="17">
        <v>44852</v>
      </c>
      <c r="D287" s="20" t="s">
        <v>1193</v>
      </c>
      <c r="E287" s="15" t="s">
        <v>1192</v>
      </c>
      <c r="F287" s="15" t="s">
        <v>46</v>
      </c>
      <c r="G287" s="15" t="s">
        <v>21</v>
      </c>
      <c r="H287" s="16">
        <v>700</v>
      </c>
      <c r="I287" s="15">
        <v>8</v>
      </c>
      <c r="J287" s="15" t="s">
        <v>1182</v>
      </c>
      <c r="K287" s="29" t="s">
        <v>188</v>
      </c>
      <c r="L287" s="19">
        <v>48965934</v>
      </c>
      <c r="M287" s="18">
        <f t="shared" si="22"/>
        <v>391727472</v>
      </c>
      <c r="N287" s="17">
        <v>44924</v>
      </c>
      <c r="O287" s="20" t="s">
        <v>1160</v>
      </c>
      <c r="P287" s="22"/>
      <c r="Q287" s="38" t="s">
        <v>2651</v>
      </c>
      <c r="R287" s="19"/>
      <c r="S287" s="19"/>
    </row>
    <row r="288" spans="2:20" s="20" customFormat="1" ht="17.100000000000001" hidden="1" customHeight="1" x14ac:dyDescent="0.3">
      <c r="B288" s="17">
        <v>44834</v>
      </c>
      <c r="C288" s="17">
        <v>44837</v>
      </c>
      <c r="D288" s="20" t="s">
        <v>1195</v>
      </c>
      <c r="E288" s="15" t="s">
        <v>1194</v>
      </c>
      <c r="F288" s="15" t="s">
        <v>46</v>
      </c>
      <c r="G288" s="15" t="s">
        <v>21</v>
      </c>
      <c r="H288" s="16">
        <v>300</v>
      </c>
      <c r="I288" s="15">
        <v>3</v>
      </c>
      <c r="J288" s="15" t="s">
        <v>1182</v>
      </c>
      <c r="K288" s="29" t="s">
        <v>1196</v>
      </c>
      <c r="L288" s="19">
        <v>14533401</v>
      </c>
      <c r="M288" s="18">
        <f t="shared" si="22"/>
        <v>43600203</v>
      </c>
      <c r="N288" s="17">
        <v>44924</v>
      </c>
      <c r="O288" s="20" t="s">
        <v>1160</v>
      </c>
      <c r="P288" s="22"/>
      <c r="Q288" s="38" t="s">
        <v>2651</v>
      </c>
      <c r="R288" s="19"/>
      <c r="S288" s="19"/>
    </row>
    <row r="289" spans="2:20" s="20" customFormat="1" ht="17.100000000000001" hidden="1" customHeight="1" x14ac:dyDescent="0.3">
      <c r="B289" s="17">
        <v>44837</v>
      </c>
      <c r="C289" s="17">
        <v>44848</v>
      </c>
      <c r="D289" s="20" t="s">
        <v>1201</v>
      </c>
      <c r="E289" s="15" t="s">
        <v>1202</v>
      </c>
      <c r="F289" s="15" t="s">
        <v>25</v>
      </c>
      <c r="G289" s="15" t="s">
        <v>21</v>
      </c>
      <c r="H289" s="16" t="s">
        <v>1102</v>
      </c>
      <c r="I289" s="15">
        <v>1</v>
      </c>
      <c r="J289" s="15" t="s">
        <v>1189</v>
      </c>
      <c r="K289" s="29" t="s">
        <v>1203</v>
      </c>
      <c r="L289" s="19">
        <v>32000000</v>
      </c>
      <c r="M289" s="18">
        <f t="shared" si="22"/>
        <v>32000000</v>
      </c>
      <c r="N289" s="17">
        <v>44865</v>
      </c>
      <c r="O289" s="20" t="s">
        <v>1277</v>
      </c>
      <c r="P289" s="22"/>
      <c r="Q289" s="38" t="s">
        <v>2654</v>
      </c>
      <c r="R289" s="19"/>
      <c r="S289" s="19"/>
    </row>
    <row r="290" spans="2:20" s="20" customFormat="1" ht="17.100000000000001" hidden="1" customHeight="1" x14ac:dyDescent="0.3">
      <c r="B290" s="17">
        <v>44838</v>
      </c>
      <c r="C290" s="17">
        <v>44845</v>
      </c>
      <c r="D290" s="20" t="s">
        <v>1198</v>
      </c>
      <c r="E290" s="15" t="s">
        <v>1197</v>
      </c>
      <c r="F290" s="15" t="s">
        <v>25</v>
      </c>
      <c r="G290" s="15" t="s">
        <v>21</v>
      </c>
      <c r="H290" s="16" t="s">
        <v>1199</v>
      </c>
      <c r="I290" s="15">
        <v>1</v>
      </c>
      <c r="J290" s="15" t="s">
        <v>776</v>
      </c>
      <c r="K290" s="29" t="s">
        <v>1251</v>
      </c>
      <c r="L290" s="19">
        <v>20000000</v>
      </c>
      <c r="M290" s="18">
        <f t="shared" si="22"/>
        <v>20000000</v>
      </c>
      <c r="N290" s="17">
        <v>44865</v>
      </c>
      <c r="O290" s="20" t="s">
        <v>953</v>
      </c>
      <c r="P290" s="22"/>
      <c r="Q290" s="38" t="s">
        <v>2639</v>
      </c>
      <c r="R290" s="19"/>
      <c r="S290" s="19"/>
    </row>
    <row r="291" spans="2:20" s="20" customFormat="1" ht="17.100000000000001" hidden="1" customHeight="1" x14ac:dyDescent="0.3">
      <c r="B291" s="17">
        <v>44838</v>
      </c>
      <c r="C291" s="17">
        <v>44848</v>
      </c>
      <c r="D291" s="20" t="s">
        <v>1206</v>
      </c>
      <c r="E291" s="15" t="s">
        <v>1204</v>
      </c>
      <c r="F291" s="15" t="s">
        <v>1205</v>
      </c>
      <c r="G291" s="15" t="s">
        <v>21</v>
      </c>
      <c r="H291" s="16">
        <v>600</v>
      </c>
      <c r="I291" s="15">
        <v>1</v>
      </c>
      <c r="J291" s="15" t="s">
        <v>1604</v>
      </c>
      <c r="K291" s="29" t="s">
        <v>1605</v>
      </c>
      <c r="L291" s="19">
        <v>37000000</v>
      </c>
      <c r="M291" s="18">
        <f t="shared" si="22"/>
        <v>37000000</v>
      </c>
      <c r="N291" s="17">
        <v>44882</v>
      </c>
      <c r="O291" s="20" t="s">
        <v>1603</v>
      </c>
      <c r="P291" s="22"/>
      <c r="Q291" s="38" t="s">
        <v>2655</v>
      </c>
      <c r="R291" s="19"/>
      <c r="S291" s="19"/>
    </row>
    <row r="292" spans="2:20" s="20" customFormat="1" ht="17.100000000000001" hidden="1" customHeight="1" x14ac:dyDescent="0.3">
      <c r="B292" s="17">
        <v>44839</v>
      </c>
      <c r="C292" s="17">
        <v>44839</v>
      </c>
      <c r="D292" s="20" t="s">
        <v>1207</v>
      </c>
      <c r="E292" s="15" t="s">
        <v>1208</v>
      </c>
      <c r="F292" s="15" t="s">
        <v>25</v>
      </c>
      <c r="G292" s="15" t="s">
        <v>21</v>
      </c>
      <c r="H292" s="16" t="s">
        <v>1209</v>
      </c>
      <c r="I292" s="15">
        <v>1</v>
      </c>
      <c r="J292" s="15" t="s">
        <v>776</v>
      </c>
      <c r="K292" s="29" t="s">
        <v>1251</v>
      </c>
      <c r="L292" s="19">
        <v>2560000</v>
      </c>
      <c r="M292" s="18">
        <f t="shared" si="22"/>
        <v>2560000</v>
      </c>
      <c r="N292" s="17">
        <v>44865</v>
      </c>
      <c r="O292" s="20" t="s">
        <v>953</v>
      </c>
      <c r="P292" s="22"/>
      <c r="Q292" s="38" t="s">
        <v>2656</v>
      </c>
      <c r="R292" s="19"/>
      <c r="S292" s="19"/>
    </row>
    <row r="293" spans="2:20" s="20" customFormat="1" ht="17.100000000000001" hidden="1" customHeight="1" x14ac:dyDescent="0.3">
      <c r="B293" s="17">
        <v>44842</v>
      </c>
      <c r="C293" s="17">
        <v>44851</v>
      </c>
      <c r="D293" s="20" t="s">
        <v>1212</v>
      </c>
      <c r="E293" s="15" t="s">
        <v>1211</v>
      </c>
      <c r="F293" s="15" t="s">
        <v>46</v>
      </c>
      <c r="G293" s="15" t="s">
        <v>21</v>
      </c>
      <c r="H293" s="16">
        <v>500</v>
      </c>
      <c r="I293" s="15">
        <v>4</v>
      </c>
      <c r="J293" s="15" t="s">
        <v>1213</v>
      </c>
      <c r="K293" s="29" t="s">
        <v>1214</v>
      </c>
      <c r="L293" s="19">
        <v>30232724</v>
      </c>
      <c r="M293" s="18">
        <f t="shared" si="22"/>
        <v>120930896</v>
      </c>
      <c r="N293" s="17">
        <v>44922</v>
      </c>
      <c r="O293" s="20" t="s">
        <v>1160</v>
      </c>
      <c r="P293" s="22"/>
      <c r="Q293" s="38" t="s">
        <v>2651</v>
      </c>
      <c r="R293" s="19"/>
      <c r="S293" s="19"/>
    </row>
    <row r="294" spans="2:20" s="20" customFormat="1" ht="17.100000000000001" hidden="1" customHeight="1" x14ac:dyDescent="0.3">
      <c r="B294" s="17">
        <v>44844</v>
      </c>
      <c r="C294" s="17">
        <v>44844</v>
      </c>
      <c r="D294" s="20" t="s">
        <v>1216</v>
      </c>
      <c r="E294" s="15" t="s">
        <v>1215</v>
      </c>
      <c r="F294" s="15" t="s">
        <v>46</v>
      </c>
      <c r="G294" s="15" t="s">
        <v>21</v>
      </c>
      <c r="H294" s="16">
        <v>50</v>
      </c>
      <c r="I294" s="15">
        <v>2</v>
      </c>
      <c r="J294" s="15" t="s">
        <v>1217</v>
      </c>
      <c r="K294" s="29" t="s">
        <v>1218</v>
      </c>
      <c r="L294" s="19">
        <v>763873</v>
      </c>
      <c r="M294" s="18">
        <f t="shared" si="22"/>
        <v>1527746</v>
      </c>
      <c r="N294" s="17">
        <v>45177</v>
      </c>
      <c r="O294" s="20" t="s">
        <v>1160</v>
      </c>
      <c r="P294" s="22"/>
      <c r="Q294" s="38" t="s">
        <v>2651</v>
      </c>
      <c r="R294" s="19"/>
      <c r="S294" s="19"/>
    </row>
    <row r="295" spans="2:20" s="20" customFormat="1" ht="17.100000000000001" hidden="1" customHeight="1" x14ac:dyDescent="0.3">
      <c r="B295" s="17">
        <v>44845</v>
      </c>
      <c r="C295" s="17">
        <v>44852</v>
      </c>
      <c r="D295" s="20" t="s">
        <v>1219</v>
      </c>
      <c r="E295" s="15" t="s">
        <v>1222</v>
      </c>
      <c r="F295" s="15" t="s">
        <v>25</v>
      </c>
      <c r="G295" s="15" t="s">
        <v>21</v>
      </c>
      <c r="H295" s="16" t="s">
        <v>790</v>
      </c>
      <c r="I295" s="15">
        <v>1</v>
      </c>
      <c r="J295" s="15" t="s">
        <v>776</v>
      </c>
      <c r="K295" s="29" t="s">
        <v>1251</v>
      </c>
      <c r="L295" s="19">
        <v>20000000</v>
      </c>
      <c r="M295" s="18">
        <f t="shared" si="22"/>
        <v>20000000</v>
      </c>
      <c r="N295" s="17">
        <v>44865</v>
      </c>
      <c r="O295" s="20" t="s">
        <v>953</v>
      </c>
      <c r="P295" s="22"/>
      <c r="Q295" s="38" t="s">
        <v>2639</v>
      </c>
      <c r="R295" s="19"/>
      <c r="S295" s="19"/>
    </row>
    <row r="296" spans="2:20" s="20" customFormat="1" ht="17.100000000000001" hidden="1" customHeight="1" x14ac:dyDescent="0.3">
      <c r="B296" s="17">
        <v>44845</v>
      </c>
      <c r="C296" s="17">
        <v>44849</v>
      </c>
      <c r="D296" s="20" t="s">
        <v>1221</v>
      </c>
      <c r="E296" s="15" t="s">
        <v>1223</v>
      </c>
      <c r="F296" s="15" t="s">
        <v>46</v>
      </c>
      <c r="G296" s="15" t="s">
        <v>21</v>
      </c>
      <c r="H296" s="16">
        <v>65</v>
      </c>
      <c r="I296" s="15">
        <v>2</v>
      </c>
      <c r="J296" s="15" t="s">
        <v>1213</v>
      </c>
      <c r="K296" s="29" t="s">
        <v>1214</v>
      </c>
      <c r="L296" s="19">
        <v>2956277</v>
      </c>
      <c r="M296" s="18">
        <f t="shared" si="22"/>
        <v>5912554</v>
      </c>
      <c r="N296" s="17">
        <v>44922</v>
      </c>
      <c r="O296" s="20" t="s">
        <v>1160</v>
      </c>
      <c r="P296" s="22"/>
      <c r="Q296" s="38" t="s">
        <v>2651</v>
      </c>
      <c r="R296" s="19"/>
      <c r="S296" s="19"/>
    </row>
    <row r="297" spans="2:20" s="20" customFormat="1" ht="17.100000000000001" hidden="1" customHeight="1" x14ac:dyDescent="0.3">
      <c r="B297" s="17">
        <v>44846</v>
      </c>
      <c r="C297" s="17">
        <v>44848</v>
      </c>
      <c r="D297" s="20" t="s">
        <v>1225</v>
      </c>
      <c r="E297" s="15" t="s">
        <v>1224</v>
      </c>
      <c r="F297" s="15" t="s">
        <v>46</v>
      </c>
      <c r="G297" s="15" t="s">
        <v>21</v>
      </c>
      <c r="H297" s="16">
        <v>400</v>
      </c>
      <c r="I297" s="15">
        <v>2</v>
      </c>
      <c r="J297" s="15" t="s">
        <v>1159</v>
      </c>
      <c r="K297" s="29" t="s">
        <v>1226</v>
      </c>
      <c r="L297" s="19">
        <v>22776885</v>
      </c>
      <c r="M297" s="18">
        <f t="shared" si="22"/>
        <v>45553770</v>
      </c>
      <c r="N297" s="17">
        <v>44924</v>
      </c>
      <c r="O297" s="20" t="s">
        <v>1160</v>
      </c>
      <c r="P297" s="22"/>
      <c r="Q297" s="38" t="s">
        <v>2651</v>
      </c>
      <c r="R297" s="19"/>
      <c r="S297" s="19"/>
    </row>
    <row r="298" spans="2:20" s="20" customFormat="1" ht="17.100000000000001" hidden="1" customHeight="1" x14ac:dyDescent="0.3">
      <c r="B298" s="17">
        <v>44846</v>
      </c>
      <c r="C298" s="17">
        <v>44846</v>
      </c>
      <c r="D298" s="20" t="s">
        <v>1480</v>
      </c>
      <c r="E298" s="15" t="s">
        <v>1479</v>
      </c>
      <c r="F298" s="15" t="s">
        <v>25</v>
      </c>
      <c r="G298" s="15" t="s">
        <v>21</v>
      </c>
      <c r="H298" s="16" t="s">
        <v>1092</v>
      </c>
      <c r="I298" s="15">
        <v>1</v>
      </c>
      <c r="J298" s="15" t="s">
        <v>1299</v>
      </c>
      <c r="K298" s="29" t="s">
        <v>1300</v>
      </c>
      <c r="L298" s="19">
        <v>6138000</v>
      </c>
      <c r="M298" s="18">
        <f t="shared" si="22"/>
        <v>6138000</v>
      </c>
      <c r="N298" s="17">
        <v>44985</v>
      </c>
      <c r="O298" s="20" t="s">
        <v>1301</v>
      </c>
      <c r="P298" s="22"/>
      <c r="Q298" s="38" t="s">
        <v>2657</v>
      </c>
      <c r="R298" s="19"/>
      <c r="S298" s="19"/>
    </row>
    <row r="299" spans="2:20" s="20" customFormat="1" ht="17.100000000000001" hidden="1" customHeight="1" x14ac:dyDescent="0.3">
      <c r="B299" s="17">
        <v>44847</v>
      </c>
      <c r="C299" s="17">
        <v>44852</v>
      </c>
      <c r="D299" s="20" t="s">
        <v>1227</v>
      </c>
      <c r="E299" s="15" t="s">
        <v>1228</v>
      </c>
      <c r="F299" s="15" t="s">
        <v>46</v>
      </c>
      <c r="G299" s="15" t="s">
        <v>21</v>
      </c>
      <c r="H299" s="16">
        <v>200</v>
      </c>
      <c r="I299" s="15">
        <v>2</v>
      </c>
      <c r="J299" s="15" t="s">
        <v>1229</v>
      </c>
      <c r="K299" s="29" t="s">
        <v>1666</v>
      </c>
      <c r="L299" s="19">
        <v>9184558</v>
      </c>
      <c r="M299" s="18">
        <f t="shared" si="22"/>
        <v>18369116</v>
      </c>
      <c r="N299" s="17">
        <v>45044</v>
      </c>
      <c r="O299" s="20" t="s">
        <v>1160</v>
      </c>
      <c r="P299" s="22"/>
      <c r="Q299" s="38" t="s">
        <v>2651</v>
      </c>
      <c r="R299" s="19"/>
      <c r="S299" s="19"/>
    </row>
    <row r="300" spans="2:20" s="20" customFormat="1" ht="17.100000000000001" hidden="1" customHeight="1" x14ac:dyDescent="0.3">
      <c r="B300" s="17">
        <v>44851</v>
      </c>
      <c r="C300" s="17">
        <v>44855</v>
      </c>
      <c r="D300" s="20" t="s">
        <v>1241</v>
      </c>
      <c r="E300" s="15" t="s">
        <v>1240</v>
      </c>
      <c r="F300" s="15" t="s">
        <v>46</v>
      </c>
      <c r="G300" s="15" t="s">
        <v>21</v>
      </c>
      <c r="H300" s="16" t="s">
        <v>1242</v>
      </c>
      <c r="I300" s="15">
        <v>2</v>
      </c>
      <c r="J300" s="15" t="s">
        <v>1278</v>
      </c>
      <c r="K300" s="29" t="s">
        <v>50</v>
      </c>
      <c r="L300" s="19">
        <v>9780000</v>
      </c>
      <c r="M300" s="18">
        <f t="shared" si="22"/>
        <v>34990000</v>
      </c>
      <c r="N300" s="17">
        <v>45199</v>
      </c>
      <c r="O300" s="20" t="s">
        <v>1391</v>
      </c>
      <c r="P300" s="22"/>
      <c r="Q300" s="38" t="s">
        <v>2642</v>
      </c>
      <c r="R300" s="19">
        <v>10436000</v>
      </c>
      <c r="S300" s="19">
        <v>15430000</v>
      </c>
      <c r="T300" s="45">
        <f>S300-R300</f>
        <v>4994000</v>
      </c>
    </row>
    <row r="301" spans="2:20" s="20" customFormat="1" ht="17.100000000000001" hidden="1" customHeight="1" x14ac:dyDescent="0.3">
      <c r="B301" s="17">
        <v>44853</v>
      </c>
      <c r="C301" s="17">
        <v>44867</v>
      </c>
      <c r="D301" s="20" t="s">
        <v>1244</v>
      </c>
      <c r="E301" s="15" t="s">
        <v>1243</v>
      </c>
      <c r="F301" s="15" t="s">
        <v>25</v>
      </c>
      <c r="G301" s="15" t="s">
        <v>21</v>
      </c>
      <c r="H301" s="16" t="s">
        <v>1376</v>
      </c>
      <c r="I301" s="15">
        <v>1</v>
      </c>
      <c r="J301" s="15" t="s">
        <v>278</v>
      </c>
      <c r="K301" s="29" t="s">
        <v>279</v>
      </c>
      <c r="L301" s="19">
        <v>17000000</v>
      </c>
      <c r="M301" s="18">
        <f t="shared" si="22"/>
        <v>17000000</v>
      </c>
      <c r="N301" s="17">
        <v>44895</v>
      </c>
      <c r="O301" s="20" t="s">
        <v>651</v>
      </c>
      <c r="P301" s="22" t="s">
        <v>280</v>
      </c>
      <c r="Q301" s="38" t="s">
        <v>1375</v>
      </c>
      <c r="R301" s="19"/>
      <c r="S301" s="19"/>
    </row>
    <row r="302" spans="2:20" s="20" customFormat="1" ht="17.100000000000001" hidden="1" customHeight="1" x14ac:dyDescent="0.3">
      <c r="B302" s="17">
        <v>44853</v>
      </c>
      <c r="C302" s="17">
        <v>44853</v>
      </c>
      <c r="D302" s="20" t="s">
        <v>1246</v>
      </c>
      <c r="E302" s="15" t="s">
        <v>1245</v>
      </c>
      <c r="F302" s="15" t="s">
        <v>25</v>
      </c>
      <c r="G302" s="15" t="s">
        <v>21</v>
      </c>
      <c r="H302" s="16" t="s">
        <v>1247</v>
      </c>
      <c r="I302" s="15">
        <v>1</v>
      </c>
      <c r="J302" s="15" t="s">
        <v>1248</v>
      </c>
      <c r="K302" s="29" t="s">
        <v>1249</v>
      </c>
      <c r="L302" s="19">
        <v>11050000</v>
      </c>
      <c r="M302" s="18">
        <f t="shared" si="22"/>
        <v>11050000</v>
      </c>
      <c r="N302" s="17">
        <v>44957</v>
      </c>
      <c r="P302" s="110" t="s">
        <v>1453</v>
      </c>
      <c r="Q302" s="38" t="s">
        <v>2658</v>
      </c>
      <c r="R302" s="19"/>
      <c r="S302" s="19"/>
    </row>
    <row r="303" spans="2:20" s="20" customFormat="1" ht="17.100000000000001" hidden="1" customHeight="1" x14ac:dyDescent="0.3">
      <c r="B303" s="17">
        <v>44855</v>
      </c>
      <c r="C303" s="17">
        <v>44859</v>
      </c>
      <c r="D303" s="20" t="s">
        <v>1260</v>
      </c>
      <c r="E303" s="15" t="s">
        <v>1259</v>
      </c>
      <c r="F303" s="15" t="s">
        <v>46</v>
      </c>
      <c r="G303" s="15" t="s">
        <v>21</v>
      </c>
      <c r="H303" s="16">
        <v>700</v>
      </c>
      <c r="I303" s="15">
        <v>2</v>
      </c>
      <c r="J303" s="15" t="s">
        <v>1213</v>
      </c>
      <c r="K303" s="29" t="s">
        <v>1214</v>
      </c>
      <c r="L303" s="19">
        <v>48965934</v>
      </c>
      <c r="M303" s="18">
        <f t="shared" si="22"/>
        <v>97931868</v>
      </c>
      <c r="N303" s="17">
        <v>44922</v>
      </c>
      <c r="O303" s="20" t="s">
        <v>1160</v>
      </c>
      <c r="P303" s="22"/>
      <c r="Q303" s="38" t="s">
        <v>2651</v>
      </c>
      <c r="R303" s="19"/>
      <c r="S303" s="19"/>
    </row>
    <row r="304" spans="2:20" s="20" customFormat="1" ht="17.100000000000001" hidden="1" customHeight="1" x14ac:dyDescent="0.3">
      <c r="B304" s="17">
        <v>44860</v>
      </c>
      <c r="C304" s="17">
        <v>44972</v>
      </c>
      <c r="D304" s="20" t="s">
        <v>1262</v>
      </c>
      <c r="E304" s="15" t="s">
        <v>1261</v>
      </c>
      <c r="F304" s="15" t="s">
        <v>25</v>
      </c>
      <c r="G304" s="15" t="s">
        <v>21</v>
      </c>
      <c r="H304" s="16" t="s">
        <v>1263</v>
      </c>
      <c r="I304" s="15">
        <v>1</v>
      </c>
      <c r="J304" s="15" t="s">
        <v>572</v>
      </c>
      <c r="K304" s="29" t="s">
        <v>718</v>
      </c>
      <c r="L304" s="19">
        <v>83910798</v>
      </c>
      <c r="M304" s="18">
        <f t="shared" si="22"/>
        <v>83910798</v>
      </c>
      <c r="N304" s="17">
        <v>45064</v>
      </c>
      <c r="O304" s="20" t="s">
        <v>719</v>
      </c>
      <c r="P304" s="22"/>
      <c r="Q304" s="38" t="s">
        <v>2629</v>
      </c>
      <c r="R304" s="19"/>
      <c r="S304" s="19"/>
    </row>
    <row r="305" spans="2:19" s="20" customFormat="1" ht="17.100000000000001" hidden="1" customHeight="1" x14ac:dyDescent="0.3">
      <c r="B305" s="17">
        <v>44862</v>
      </c>
      <c r="C305" s="17">
        <v>44873</v>
      </c>
      <c r="D305" s="20" t="s">
        <v>1264</v>
      </c>
      <c r="E305" s="15" t="s">
        <v>1265</v>
      </c>
      <c r="F305" s="15" t="s">
        <v>46</v>
      </c>
      <c r="G305" s="15" t="s">
        <v>21</v>
      </c>
      <c r="H305" s="16" t="s">
        <v>1271</v>
      </c>
      <c r="I305" s="15">
        <v>1</v>
      </c>
      <c r="J305" s="15" t="s">
        <v>1270</v>
      </c>
      <c r="K305" s="29" t="s">
        <v>1267</v>
      </c>
      <c r="L305" s="19">
        <v>22500000</v>
      </c>
      <c r="M305" s="18">
        <f t="shared" si="22"/>
        <v>22500000</v>
      </c>
      <c r="N305" s="17">
        <v>44875</v>
      </c>
      <c r="O305" s="20" t="s">
        <v>1269</v>
      </c>
      <c r="P305" s="22"/>
      <c r="Q305" s="38" t="s">
        <v>2659</v>
      </c>
      <c r="R305" s="19"/>
      <c r="S305" s="19"/>
    </row>
    <row r="306" spans="2:19" s="20" customFormat="1" ht="17.100000000000001" hidden="1" customHeight="1" x14ac:dyDescent="0.3">
      <c r="B306" s="17">
        <v>44862</v>
      </c>
      <c r="C306" s="17">
        <v>44873</v>
      </c>
      <c r="D306" s="20" t="s">
        <v>1268</v>
      </c>
      <c r="E306" s="15" t="s">
        <v>1266</v>
      </c>
      <c r="F306" s="15" t="s">
        <v>46</v>
      </c>
      <c r="G306" s="15" t="s">
        <v>21</v>
      </c>
      <c r="H306" s="16" t="s">
        <v>1272</v>
      </c>
      <c r="I306" s="15">
        <v>1</v>
      </c>
      <c r="J306" s="15" t="s">
        <v>1270</v>
      </c>
      <c r="K306" s="29" t="s">
        <v>1267</v>
      </c>
      <c r="L306" s="19">
        <v>22000000</v>
      </c>
      <c r="M306" s="18">
        <f t="shared" si="22"/>
        <v>31100000</v>
      </c>
      <c r="N306" s="17">
        <v>44875</v>
      </c>
      <c r="O306" s="20" t="s">
        <v>1320</v>
      </c>
      <c r="P306" s="22"/>
      <c r="Q306" s="38" t="s">
        <v>2659</v>
      </c>
      <c r="R306" s="19">
        <v>9100000</v>
      </c>
      <c r="S306" s="19">
        <v>9100000</v>
      </c>
    </row>
    <row r="307" spans="2:19" s="20" customFormat="1" ht="17.100000000000001" hidden="1" customHeight="1" x14ac:dyDescent="0.3">
      <c r="B307" s="17">
        <v>44867</v>
      </c>
      <c r="C307" s="17">
        <v>44873</v>
      </c>
      <c r="D307" s="20" t="s">
        <v>1280</v>
      </c>
      <c r="E307" s="15" t="s">
        <v>1281</v>
      </c>
      <c r="F307" s="15" t="s">
        <v>46</v>
      </c>
      <c r="G307" s="15" t="s">
        <v>21</v>
      </c>
      <c r="H307" s="16" t="s">
        <v>1282</v>
      </c>
      <c r="I307" s="15">
        <v>1</v>
      </c>
      <c r="J307" s="15" t="s">
        <v>496</v>
      </c>
      <c r="K307" s="29" t="s">
        <v>1321</v>
      </c>
      <c r="L307" s="19">
        <v>52200000</v>
      </c>
      <c r="M307" s="18">
        <f t="shared" si="22"/>
        <v>52200000</v>
      </c>
      <c r="N307" s="17">
        <v>44882</v>
      </c>
      <c r="P307" s="22"/>
      <c r="Q307" s="38" t="s">
        <v>2660</v>
      </c>
      <c r="R307" s="19"/>
      <c r="S307" s="19"/>
    </row>
    <row r="308" spans="2:19" s="20" customFormat="1" ht="17.100000000000001" hidden="1" customHeight="1" x14ac:dyDescent="0.3">
      <c r="B308" s="17">
        <v>44869</v>
      </c>
      <c r="C308" s="17">
        <v>44872</v>
      </c>
      <c r="D308" s="20" t="s">
        <v>1284</v>
      </c>
      <c r="E308" s="15" t="s">
        <v>1283</v>
      </c>
      <c r="F308" s="15" t="s">
        <v>46</v>
      </c>
      <c r="G308" s="15" t="s">
        <v>21</v>
      </c>
      <c r="H308" s="16">
        <v>200</v>
      </c>
      <c r="I308" s="15">
        <v>4</v>
      </c>
      <c r="J308" s="15" t="s">
        <v>1285</v>
      </c>
      <c r="K308" s="29" t="s">
        <v>1401</v>
      </c>
      <c r="L308" s="19">
        <v>9184558</v>
      </c>
      <c r="M308" s="18">
        <f t="shared" si="22"/>
        <v>36738232</v>
      </c>
      <c r="N308" s="17">
        <v>44904</v>
      </c>
      <c r="O308" s="20" t="s">
        <v>1160</v>
      </c>
      <c r="P308" s="22"/>
      <c r="Q308" s="38" t="s">
        <v>2651</v>
      </c>
      <c r="R308" s="19"/>
      <c r="S308" s="19"/>
    </row>
    <row r="309" spans="2:19" s="20" customFormat="1" ht="17.100000000000001" hidden="1" customHeight="1" x14ac:dyDescent="0.3">
      <c r="B309" s="17">
        <v>44870</v>
      </c>
      <c r="C309" s="17">
        <v>44871</v>
      </c>
      <c r="D309" s="20" t="s">
        <v>1287</v>
      </c>
      <c r="E309" s="15" t="s">
        <v>1286</v>
      </c>
      <c r="F309" s="15" t="s">
        <v>25</v>
      </c>
      <c r="G309" s="15" t="s">
        <v>26</v>
      </c>
      <c r="H309" s="16" t="s">
        <v>1288</v>
      </c>
      <c r="I309" s="15">
        <v>1</v>
      </c>
      <c r="J309" s="15" t="s">
        <v>1289</v>
      </c>
      <c r="K309" s="29" t="s">
        <v>1322</v>
      </c>
      <c r="L309" s="19">
        <v>10000000</v>
      </c>
      <c r="M309" s="18">
        <f t="shared" si="22"/>
        <v>10000000</v>
      </c>
      <c r="N309" s="17">
        <v>44882</v>
      </c>
      <c r="P309" s="22"/>
      <c r="Q309" s="38" t="s">
        <v>2661</v>
      </c>
      <c r="R309" s="19"/>
      <c r="S309" s="19"/>
    </row>
    <row r="310" spans="2:19" s="20" customFormat="1" ht="17.100000000000001" hidden="1" customHeight="1" x14ac:dyDescent="0.3">
      <c r="B310" s="17">
        <v>44870</v>
      </c>
      <c r="C310" s="17">
        <v>44874</v>
      </c>
      <c r="D310" s="20" t="s">
        <v>1291</v>
      </c>
      <c r="E310" s="15" t="s">
        <v>1290</v>
      </c>
      <c r="F310" s="15" t="s">
        <v>46</v>
      </c>
      <c r="G310" s="15" t="s">
        <v>21</v>
      </c>
      <c r="H310" s="16">
        <v>125</v>
      </c>
      <c r="I310" s="15">
        <v>2</v>
      </c>
      <c r="J310" s="15" t="s">
        <v>1159</v>
      </c>
      <c r="K310" s="29" t="s">
        <v>1183</v>
      </c>
      <c r="L310" s="19">
        <v>4987529</v>
      </c>
      <c r="M310" s="18">
        <f t="shared" si="22"/>
        <v>9975058</v>
      </c>
      <c r="N310" s="17">
        <v>45036</v>
      </c>
      <c r="O310" s="20" t="s">
        <v>1160</v>
      </c>
      <c r="P310" s="22"/>
      <c r="Q310" s="38" t="s">
        <v>2651</v>
      </c>
      <c r="R310" s="19"/>
      <c r="S310" s="19"/>
    </row>
    <row r="311" spans="2:19" s="20" customFormat="1" ht="17.100000000000001" hidden="1" customHeight="1" x14ac:dyDescent="0.3">
      <c r="B311" s="17">
        <v>44870</v>
      </c>
      <c r="C311" s="17">
        <v>44884</v>
      </c>
      <c r="D311" s="20" t="s">
        <v>1292</v>
      </c>
      <c r="E311" s="15" t="s">
        <v>1323</v>
      </c>
      <c r="F311" s="15" t="s">
        <v>25</v>
      </c>
      <c r="G311" s="15" t="s">
        <v>26</v>
      </c>
      <c r="H311" s="16" t="s">
        <v>1293</v>
      </c>
      <c r="I311" s="15">
        <v>1</v>
      </c>
      <c r="J311" s="15" t="s">
        <v>1295</v>
      </c>
      <c r="K311" s="29" t="s">
        <v>1296</v>
      </c>
      <c r="L311" s="19">
        <v>95000000</v>
      </c>
      <c r="M311" s="18">
        <f t="shared" si="22"/>
        <v>95000000</v>
      </c>
      <c r="N311" s="17">
        <v>44921</v>
      </c>
      <c r="O311" s="20" t="s">
        <v>1294</v>
      </c>
      <c r="P311" s="22"/>
      <c r="Q311" s="38" t="s">
        <v>2662</v>
      </c>
      <c r="R311" s="19">
        <v>20000000</v>
      </c>
      <c r="S311" s="19"/>
    </row>
    <row r="312" spans="2:19" s="20" customFormat="1" ht="17.100000000000001" hidden="1" customHeight="1" x14ac:dyDescent="0.3">
      <c r="B312" s="17">
        <v>44872</v>
      </c>
      <c r="C312" s="17">
        <v>44875</v>
      </c>
      <c r="D312" s="20" t="s">
        <v>1297</v>
      </c>
      <c r="E312" s="15" t="s">
        <v>1478</v>
      </c>
      <c r="F312" s="15" t="s">
        <v>25</v>
      </c>
      <c r="G312" s="15" t="s">
        <v>21</v>
      </c>
      <c r="H312" s="16" t="s">
        <v>1298</v>
      </c>
      <c r="I312" s="15">
        <v>1</v>
      </c>
      <c r="J312" s="15" t="s">
        <v>1299</v>
      </c>
      <c r="K312" s="29" t="s">
        <v>1300</v>
      </c>
      <c r="L312" s="19">
        <v>9114000</v>
      </c>
      <c r="M312" s="18">
        <f t="shared" si="22"/>
        <v>9114000</v>
      </c>
      <c r="N312" s="17">
        <v>44985</v>
      </c>
      <c r="O312" s="20" t="s">
        <v>1301</v>
      </c>
      <c r="P312" s="22"/>
      <c r="Q312" s="38" t="s">
        <v>2657</v>
      </c>
      <c r="R312" s="19"/>
      <c r="S312" s="19"/>
    </row>
    <row r="313" spans="2:19" s="20" customFormat="1" ht="17.100000000000001" hidden="1" customHeight="1" x14ac:dyDescent="0.3">
      <c r="B313" s="17">
        <v>44872</v>
      </c>
      <c r="C313" s="17">
        <v>44875</v>
      </c>
      <c r="D313" s="20" t="s">
        <v>1302</v>
      </c>
      <c r="E313" s="15" t="s">
        <v>1303</v>
      </c>
      <c r="F313" s="15" t="s">
        <v>46</v>
      </c>
      <c r="G313" s="15" t="s">
        <v>21</v>
      </c>
      <c r="H313" s="16">
        <v>450</v>
      </c>
      <c r="I313" s="15">
        <v>2</v>
      </c>
      <c r="J313" s="15" t="s">
        <v>1159</v>
      </c>
      <c r="K313" s="29" t="s">
        <v>1161</v>
      </c>
      <c r="L313" s="19">
        <v>26811298</v>
      </c>
      <c r="M313" s="18">
        <f t="shared" si="22"/>
        <v>53622596</v>
      </c>
      <c r="N313" s="17">
        <v>44924</v>
      </c>
      <c r="O313" s="20" t="s">
        <v>1160</v>
      </c>
      <c r="P313" s="22"/>
      <c r="Q313" s="38" t="s">
        <v>2651</v>
      </c>
      <c r="R313" s="19"/>
      <c r="S313" s="19"/>
    </row>
    <row r="314" spans="2:19" s="20" customFormat="1" ht="17.100000000000001" hidden="1" customHeight="1" x14ac:dyDescent="0.3">
      <c r="B314" s="17">
        <v>44876</v>
      </c>
      <c r="C314" s="17">
        <v>44900</v>
      </c>
      <c r="D314" s="20" t="s">
        <v>1304</v>
      </c>
      <c r="E314" s="15" t="s">
        <v>1345</v>
      </c>
      <c r="F314" s="15" t="s">
        <v>25</v>
      </c>
      <c r="G314" s="15" t="s">
        <v>26</v>
      </c>
      <c r="H314" s="16" t="s">
        <v>1305</v>
      </c>
      <c r="I314" s="15">
        <v>1</v>
      </c>
      <c r="J314" s="15" t="s">
        <v>1307</v>
      </c>
      <c r="K314" s="29" t="s">
        <v>1306</v>
      </c>
      <c r="L314" s="19">
        <v>19000000</v>
      </c>
      <c r="M314" s="18">
        <f t="shared" si="22"/>
        <v>19000000</v>
      </c>
      <c r="N314" s="17">
        <v>44904</v>
      </c>
      <c r="O314" s="20" t="s">
        <v>1308</v>
      </c>
      <c r="P314" s="22"/>
      <c r="Q314" s="38" t="s">
        <v>2663</v>
      </c>
      <c r="R314" s="19"/>
      <c r="S314" s="19"/>
    </row>
    <row r="315" spans="2:19" s="20" customFormat="1" ht="17.100000000000001" hidden="1" customHeight="1" x14ac:dyDescent="0.3">
      <c r="B315" s="17">
        <v>44879</v>
      </c>
      <c r="C315" s="17">
        <v>44909</v>
      </c>
      <c r="D315" s="20" t="s">
        <v>1310</v>
      </c>
      <c r="E315" s="15" t="s">
        <v>1309</v>
      </c>
      <c r="F315" s="15" t="s">
        <v>25</v>
      </c>
      <c r="G315" s="15" t="s">
        <v>21</v>
      </c>
      <c r="H315" s="16" t="s">
        <v>1311</v>
      </c>
      <c r="I315" s="15">
        <v>1</v>
      </c>
      <c r="J315" s="15" t="s">
        <v>1248</v>
      </c>
      <c r="K315" s="29" t="s">
        <v>1313</v>
      </c>
      <c r="L315" s="19">
        <v>147670000</v>
      </c>
      <c r="M315" s="18">
        <f t="shared" si="22"/>
        <v>147670000</v>
      </c>
      <c r="N315" s="17" t="s">
        <v>1424</v>
      </c>
      <c r="O315" s="20" t="s">
        <v>1312</v>
      </c>
      <c r="P315" s="22"/>
      <c r="Q315" s="38" t="s">
        <v>2664</v>
      </c>
      <c r="R315" s="19"/>
      <c r="S315" s="19"/>
    </row>
    <row r="316" spans="2:19" s="20" customFormat="1" ht="17.100000000000001" hidden="1" customHeight="1" x14ac:dyDescent="0.3">
      <c r="B316" s="17">
        <v>44879</v>
      </c>
      <c r="C316" s="17">
        <v>44891</v>
      </c>
      <c r="D316" s="20" t="s">
        <v>1315</v>
      </c>
      <c r="E316" s="15" t="s">
        <v>1314</v>
      </c>
      <c r="F316" s="15" t="s">
        <v>25</v>
      </c>
      <c r="G316" s="15" t="s">
        <v>26</v>
      </c>
      <c r="H316" s="16" t="s">
        <v>1316</v>
      </c>
      <c r="I316" s="15">
        <v>1</v>
      </c>
      <c r="J316" s="15" t="s">
        <v>107</v>
      </c>
      <c r="K316" s="29" t="s">
        <v>109</v>
      </c>
      <c r="L316" s="19">
        <v>19500000</v>
      </c>
      <c r="M316" s="18">
        <f t="shared" si="22"/>
        <v>19500000</v>
      </c>
      <c r="N316" s="17">
        <v>44895</v>
      </c>
      <c r="P316" s="22"/>
      <c r="Q316" s="38" t="s">
        <v>2595</v>
      </c>
      <c r="R316" s="19"/>
      <c r="S316" s="19"/>
    </row>
    <row r="317" spans="2:19" s="20" customFormat="1" ht="17.100000000000001" hidden="1" customHeight="1" x14ac:dyDescent="0.3">
      <c r="B317" s="17">
        <v>44881</v>
      </c>
      <c r="C317" s="17">
        <v>44895</v>
      </c>
      <c r="D317" s="20" t="s">
        <v>1318</v>
      </c>
      <c r="E317" s="15" t="s">
        <v>1317</v>
      </c>
      <c r="F317" s="15" t="s">
        <v>25</v>
      </c>
      <c r="G317" s="15" t="s">
        <v>26</v>
      </c>
      <c r="H317" s="16" t="s">
        <v>1319</v>
      </c>
      <c r="I317" s="15">
        <v>1</v>
      </c>
      <c r="J317" s="15" t="s">
        <v>1307</v>
      </c>
      <c r="K317" s="29" t="s">
        <v>1306</v>
      </c>
      <c r="L317" s="19">
        <v>7000000</v>
      </c>
      <c r="M317" s="18">
        <f t="shared" si="22"/>
        <v>7000000</v>
      </c>
      <c r="N317" s="17">
        <v>44904</v>
      </c>
      <c r="O317" s="20" t="s">
        <v>1308</v>
      </c>
      <c r="P317" s="22"/>
      <c r="Q317" s="38" t="s">
        <v>2663</v>
      </c>
      <c r="R317" s="19"/>
      <c r="S317" s="19"/>
    </row>
    <row r="318" spans="2:19" s="20" customFormat="1" ht="17.100000000000001" hidden="1" customHeight="1" x14ac:dyDescent="0.3">
      <c r="B318" s="17">
        <v>44883</v>
      </c>
      <c r="C318" s="17">
        <v>44891</v>
      </c>
      <c r="D318" s="20" t="s">
        <v>1326</v>
      </c>
      <c r="E318" s="15" t="s">
        <v>1325</v>
      </c>
      <c r="F318" s="15" t="s">
        <v>25</v>
      </c>
      <c r="G318" s="15" t="s">
        <v>26</v>
      </c>
      <c r="H318" s="16" t="s">
        <v>1327</v>
      </c>
      <c r="I318" s="15">
        <v>1</v>
      </c>
      <c r="J318" s="15" t="s">
        <v>339</v>
      </c>
      <c r="K318" s="29" t="s">
        <v>1328</v>
      </c>
      <c r="L318" s="19">
        <v>23500000</v>
      </c>
      <c r="M318" s="18">
        <f t="shared" si="22"/>
        <v>23500000</v>
      </c>
      <c r="N318" s="17">
        <v>44895</v>
      </c>
      <c r="P318" s="22"/>
      <c r="Q318" s="38" t="s">
        <v>2665</v>
      </c>
      <c r="R318" s="19"/>
      <c r="S318" s="19"/>
    </row>
    <row r="319" spans="2:19" s="20" customFormat="1" ht="17.100000000000001" hidden="1" customHeight="1" x14ac:dyDescent="0.3">
      <c r="B319" s="17">
        <v>44883</v>
      </c>
      <c r="C319" s="17">
        <v>44888</v>
      </c>
      <c r="D319" s="20" t="s">
        <v>1330</v>
      </c>
      <c r="E319" s="15" t="s">
        <v>1329</v>
      </c>
      <c r="F319" s="15" t="s">
        <v>25</v>
      </c>
      <c r="G319" s="15" t="s">
        <v>21</v>
      </c>
      <c r="H319" s="16" t="s">
        <v>1331</v>
      </c>
      <c r="I319" s="15">
        <v>1</v>
      </c>
      <c r="J319" s="15" t="s">
        <v>1332</v>
      </c>
      <c r="K319" s="29" t="s">
        <v>1333</v>
      </c>
      <c r="L319" s="19">
        <v>70000000</v>
      </c>
      <c r="M319" s="18">
        <f t="shared" si="22"/>
        <v>70000000</v>
      </c>
      <c r="N319" s="17">
        <v>44895</v>
      </c>
      <c r="O319" s="20" t="s">
        <v>1454</v>
      </c>
      <c r="P319" s="22"/>
      <c r="Q319" s="38" t="s">
        <v>2666</v>
      </c>
      <c r="R319" s="19"/>
      <c r="S319" s="19"/>
    </row>
    <row r="320" spans="2:19" s="20" customFormat="1" ht="17.100000000000001" hidden="1" customHeight="1" x14ac:dyDescent="0.3">
      <c r="B320" s="17">
        <v>44884</v>
      </c>
      <c r="C320" s="17">
        <v>44887</v>
      </c>
      <c r="D320" s="20" t="s">
        <v>1335</v>
      </c>
      <c r="E320" s="15" t="s">
        <v>1334</v>
      </c>
      <c r="F320" s="15" t="s">
        <v>46</v>
      </c>
      <c r="G320" s="15" t="s">
        <v>21</v>
      </c>
      <c r="H320" s="16">
        <v>200</v>
      </c>
      <c r="I320" s="15">
        <v>2</v>
      </c>
      <c r="J320" s="15" t="s">
        <v>1336</v>
      </c>
      <c r="K320" s="29" t="s">
        <v>1337</v>
      </c>
      <c r="L320" s="19">
        <v>9184558</v>
      </c>
      <c r="M320" s="18">
        <f t="shared" ref="M320:M383" si="23">(L320*I320)+S320</f>
        <v>18369116</v>
      </c>
      <c r="N320" s="17">
        <v>45177</v>
      </c>
      <c r="O320" s="20" t="s">
        <v>1160</v>
      </c>
      <c r="P320" s="22"/>
      <c r="Q320" s="38" t="s">
        <v>2651</v>
      </c>
      <c r="R320" s="19"/>
      <c r="S320" s="19"/>
    </row>
    <row r="321" spans="1:21" s="20" customFormat="1" ht="17.100000000000001" hidden="1" customHeight="1" x14ac:dyDescent="0.3">
      <c r="B321" s="17">
        <v>44886</v>
      </c>
      <c r="C321" s="17">
        <v>44886</v>
      </c>
      <c r="D321" s="20" t="s">
        <v>1339</v>
      </c>
      <c r="E321" s="15" t="s">
        <v>1338</v>
      </c>
      <c r="F321" s="15" t="s">
        <v>46</v>
      </c>
      <c r="G321" s="15" t="s">
        <v>21</v>
      </c>
      <c r="H321" s="16">
        <v>50</v>
      </c>
      <c r="I321" s="15">
        <v>1</v>
      </c>
      <c r="J321" s="15" t="s">
        <v>1285</v>
      </c>
      <c r="K321" s="29" t="s">
        <v>1400</v>
      </c>
      <c r="L321" s="19">
        <v>763873</v>
      </c>
      <c r="M321" s="18">
        <f t="shared" si="23"/>
        <v>763873</v>
      </c>
      <c r="N321" s="17">
        <v>44904</v>
      </c>
      <c r="O321" s="20" t="s">
        <v>1160</v>
      </c>
      <c r="P321" s="22"/>
      <c r="Q321" s="38" t="s">
        <v>2651</v>
      </c>
      <c r="R321" s="19"/>
      <c r="S321" s="19"/>
    </row>
    <row r="322" spans="1:21" s="20" customFormat="1" ht="17.100000000000001" hidden="1" customHeight="1" x14ac:dyDescent="0.3">
      <c r="B322" s="17">
        <v>44888</v>
      </c>
      <c r="C322" s="17">
        <v>44939</v>
      </c>
      <c r="D322" s="20" t="s">
        <v>1341</v>
      </c>
      <c r="E322" s="15" t="s">
        <v>1340</v>
      </c>
      <c r="F322" s="15" t="s">
        <v>25</v>
      </c>
      <c r="G322" s="15" t="s">
        <v>26</v>
      </c>
      <c r="H322" s="16" t="s">
        <v>250</v>
      </c>
      <c r="I322" s="15">
        <v>1</v>
      </c>
      <c r="J322" s="15" t="s">
        <v>1342</v>
      </c>
      <c r="K322" s="29" t="s">
        <v>1343</v>
      </c>
      <c r="L322" s="19">
        <v>30000000</v>
      </c>
      <c r="M322" s="18">
        <f t="shared" si="23"/>
        <v>30000000</v>
      </c>
      <c r="N322" s="17">
        <v>44957</v>
      </c>
      <c r="O322" s="20" t="s">
        <v>1344</v>
      </c>
      <c r="P322" s="22"/>
      <c r="Q322" s="38" t="s">
        <v>2667</v>
      </c>
      <c r="R322" s="19"/>
      <c r="S322" s="19"/>
    </row>
    <row r="323" spans="1:21" s="20" customFormat="1" ht="17.100000000000001" hidden="1" customHeight="1" x14ac:dyDescent="0.3">
      <c r="A323" s="102"/>
      <c r="B323" s="81">
        <v>44888</v>
      </c>
      <c r="C323" s="81">
        <v>44905</v>
      </c>
      <c r="D323" s="102" t="s">
        <v>1347</v>
      </c>
      <c r="E323" s="111" t="s">
        <v>1346</v>
      </c>
      <c r="F323" s="111" t="s">
        <v>25</v>
      </c>
      <c r="G323" s="111" t="s">
        <v>26</v>
      </c>
      <c r="H323" s="112" t="s">
        <v>1348</v>
      </c>
      <c r="I323" s="111">
        <v>1</v>
      </c>
      <c r="J323" s="111" t="s">
        <v>1351</v>
      </c>
      <c r="K323" s="113" t="s">
        <v>1350</v>
      </c>
      <c r="L323" s="46">
        <v>34800000</v>
      </c>
      <c r="M323" s="114">
        <f t="shared" si="23"/>
        <v>34800000</v>
      </c>
      <c r="N323" s="81">
        <v>44926</v>
      </c>
      <c r="O323" s="102" t="s">
        <v>1349</v>
      </c>
      <c r="P323" s="22"/>
      <c r="Q323" s="38" t="s">
        <v>2668</v>
      </c>
      <c r="R323" s="19"/>
      <c r="S323" s="19"/>
    </row>
    <row r="324" spans="1:21" s="20" customFormat="1" ht="17.100000000000001" hidden="1" customHeight="1" x14ac:dyDescent="0.3">
      <c r="B324" s="17">
        <v>44890</v>
      </c>
      <c r="C324" s="17">
        <v>44890</v>
      </c>
      <c r="D324" s="20" t="s">
        <v>1352</v>
      </c>
      <c r="E324" s="15" t="s">
        <v>1398</v>
      </c>
      <c r="F324" s="15" t="s">
        <v>25</v>
      </c>
      <c r="G324" s="15" t="s">
        <v>26</v>
      </c>
      <c r="H324" s="16" t="s">
        <v>1355</v>
      </c>
      <c r="I324" s="15">
        <v>1</v>
      </c>
      <c r="J324" s="15" t="s">
        <v>31</v>
      </c>
      <c r="K324" s="29" t="s">
        <v>222</v>
      </c>
      <c r="L324" s="19">
        <v>7000000</v>
      </c>
      <c r="M324" s="18">
        <f t="shared" si="23"/>
        <v>7000000</v>
      </c>
      <c r="N324" s="17">
        <v>45044</v>
      </c>
      <c r="O324" s="20" t="s">
        <v>608</v>
      </c>
      <c r="P324" s="22"/>
      <c r="Q324" s="38" t="s">
        <v>2669</v>
      </c>
      <c r="R324" s="19"/>
      <c r="S324" s="19"/>
      <c r="U324" s="20" t="s">
        <v>633</v>
      </c>
    </row>
    <row r="325" spans="1:21" s="20" customFormat="1" ht="17.100000000000001" hidden="1" customHeight="1" x14ac:dyDescent="0.3">
      <c r="B325" s="17">
        <v>44890</v>
      </c>
      <c r="C325" s="17">
        <v>44910</v>
      </c>
      <c r="D325" s="20" t="s">
        <v>1354</v>
      </c>
      <c r="E325" s="15" t="s">
        <v>1353</v>
      </c>
      <c r="F325" s="15" t="s">
        <v>25</v>
      </c>
      <c r="G325" s="15" t="s">
        <v>26</v>
      </c>
      <c r="H325" s="16" t="s">
        <v>1356</v>
      </c>
      <c r="I325" s="15">
        <v>1</v>
      </c>
      <c r="J325" s="15" t="s">
        <v>1357</v>
      </c>
      <c r="K325" s="29" t="s">
        <v>1358</v>
      </c>
      <c r="L325" s="19">
        <v>45000000</v>
      </c>
      <c r="M325" s="18">
        <f t="shared" si="23"/>
        <v>45000000</v>
      </c>
      <c r="N325" s="17">
        <v>44921</v>
      </c>
      <c r="O325" s="20" t="s">
        <v>1359</v>
      </c>
      <c r="P325" s="22"/>
      <c r="Q325" s="38" t="s">
        <v>2662</v>
      </c>
      <c r="R325" s="19">
        <v>3300000</v>
      </c>
      <c r="S325" s="19"/>
    </row>
    <row r="326" spans="1:21" s="20" customFormat="1" ht="17.100000000000001" hidden="1" customHeight="1" x14ac:dyDescent="0.3">
      <c r="B326" s="17">
        <v>44893</v>
      </c>
      <c r="C326" s="17">
        <v>44894</v>
      </c>
      <c r="D326" s="20" t="s">
        <v>1361</v>
      </c>
      <c r="E326" s="15" t="s">
        <v>1360</v>
      </c>
      <c r="F326" s="15" t="s">
        <v>25</v>
      </c>
      <c r="G326" s="15" t="s">
        <v>21</v>
      </c>
      <c r="H326" s="16" t="s">
        <v>1362</v>
      </c>
      <c r="I326" s="15">
        <v>1</v>
      </c>
      <c r="J326" s="15" t="s">
        <v>1122</v>
      </c>
      <c r="K326" s="29" t="s">
        <v>1123</v>
      </c>
      <c r="L326" s="19">
        <v>7000000</v>
      </c>
      <c r="M326" s="18">
        <f t="shared" si="23"/>
        <v>7000000</v>
      </c>
      <c r="N326" s="17">
        <v>44907</v>
      </c>
      <c r="O326" s="20" t="s">
        <v>1124</v>
      </c>
      <c r="P326" s="22"/>
      <c r="Q326" s="38" t="s">
        <v>2650</v>
      </c>
      <c r="R326" s="19"/>
      <c r="S326" s="19"/>
    </row>
    <row r="327" spans="1:21" s="20" customFormat="1" ht="17.100000000000001" hidden="1" customHeight="1" x14ac:dyDescent="0.3">
      <c r="B327" s="17">
        <v>44893</v>
      </c>
      <c r="C327" s="17">
        <v>44902</v>
      </c>
      <c r="D327" s="20" t="s">
        <v>1366</v>
      </c>
      <c r="E327" s="15" t="s">
        <v>1367</v>
      </c>
      <c r="F327" s="15" t="s">
        <v>46</v>
      </c>
      <c r="G327" s="15" t="s">
        <v>21</v>
      </c>
      <c r="H327" s="16" t="s">
        <v>1368</v>
      </c>
      <c r="I327" s="15">
        <v>1</v>
      </c>
      <c r="J327" s="15" t="s">
        <v>1369</v>
      </c>
      <c r="K327" s="29" t="s">
        <v>1370</v>
      </c>
      <c r="L327" s="19">
        <v>220000000</v>
      </c>
      <c r="M327" s="18">
        <f t="shared" si="23"/>
        <v>237832000</v>
      </c>
      <c r="N327" s="17">
        <v>44928</v>
      </c>
      <c r="O327" s="20" t="s">
        <v>1371</v>
      </c>
      <c r="P327" s="22"/>
      <c r="Q327" s="38" t="s">
        <v>1372</v>
      </c>
      <c r="R327" s="19">
        <v>17832000</v>
      </c>
      <c r="S327" s="19">
        <v>17832000</v>
      </c>
    </row>
    <row r="328" spans="1:21" s="20" customFormat="1" ht="17.100000000000001" hidden="1" customHeight="1" x14ac:dyDescent="0.3">
      <c r="B328" s="17">
        <v>44893</v>
      </c>
      <c r="C328" s="17">
        <v>44901</v>
      </c>
      <c r="D328" s="20" t="s">
        <v>1373</v>
      </c>
      <c r="E328" s="15" t="s">
        <v>1389</v>
      </c>
      <c r="F328" s="15" t="s">
        <v>46</v>
      </c>
      <c r="G328" s="15" t="s">
        <v>21</v>
      </c>
      <c r="H328" s="16">
        <v>350</v>
      </c>
      <c r="I328" s="15">
        <v>4</v>
      </c>
      <c r="J328" s="15" t="s">
        <v>1182</v>
      </c>
      <c r="K328" s="29" t="s">
        <v>1600</v>
      </c>
      <c r="L328" s="19">
        <v>21249368</v>
      </c>
      <c r="M328" s="18">
        <f t="shared" si="23"/>
        <v>84997472</v>
      </c>
      <c r="N328" s="17">
        <v>45036</v>
      </c>
      <c r="O328" s="20" t="s">
        <v>1160</v>
      </c>
      <c r="P328" s="22"/>
      <c r="Q328" s="38" t="s">
        <v>2651</v>
      </c>
      <c r="R328" s="19"/>
      <c r="S328" s="19"/>
    </row>
    <row r="329" spans="1:21" s="20" customFormat="1" ht="17.100000000000001" hidden="1" customHeight="1" x14ac:dyDescent="0.3">
      <c r="B329" s="17">
        <v>44894</v>
      </c>
      <c r="C329" s="17">
        <v>44897</v>
      </c>
      <c r="D329" s="20" t="s">
        <v>1363</v>
      </c>
      <c r="E329" s="15" t="s">
        <v>1364</v>
      </c>
      <c r="F329" s="15" t="s">
        <v>25</v>
      </c>
      <c r="G329" s="15" t="s">
        <v>21</v>
      </c>
      <c r="H329" s="16" t="s">
        <v>1365</v>
      </c>
      <c r="I329" s="15">
        <v>1</v>
      </c>
      <c r="J329" s="15" t="s">
        <v>1122</v>
      </c>
      <c r="K329" s="29" t="s">
        <v>1123</v>
      </c>
      <c r="L329" s="19">
        <v>20399228</v>
      </c>
      <c r="M329" s="18">
        <f t="shared" si="23"/>
        <v>20399228</v>
      </c>
      <c r="N329" s="17">
        <v>45077</v>
      </c>
      <c r="O329" s="20" t="s">
        <v>1124</v>
      </c>
      <c r="P329" s="22"/>
      <c r="Q329" s="38" t="s">
        <v>2650</v>
      </c>
      <c r="R329" s="19"/>
      <c r="S329" s="19"/>
    </row>
    <row r="330" spans="1:21" s="20" customFormat="1" ht="17.100000000000001" hidden="1" customHeight="1" x14ac:dyDescent="0.3">
      <c r="B330" s="17">
        <v>44895</v>
      </c>
      <c r="C330" s="17">
        <v>44900</v>
      </c>
      <c r="D330" s="20" t="s">
        <v>1374</v>
      </c>
      <c r="E330" s="15" t="s">
        <v>1390</v>
      </c>
      <c r="F330" s="15" t="s">
        <v>46</v>
      </c>
      <c r="G330" s="15" t="s">
        <v>21</v>
      </c>
      <c r="H330" s="16">
        <v>100</v>
      </c>
      <c r="I330" s="15">
        <v>2</v>
      </c>
      <c r="J330" s="15" t="s">
        <v>1182</v>
      </c>
      <c r="K330" s="29" t="s">
        <v>1600</v>
      </c>
      <c r="L330" s="19">
        <v>4287243</v>
      </c>
      <c r="M330" s="18">
        <f t="shared" si="23"/>
        <v>8574486</v>
      </c>
      <c r="N330" s="17">
        <v>45036</v>
      </c>
      <c r="O330" s="20" t="s">
        <v>1160</v>
      </c>
      <c r="P330" s="22"/>
      <c r="Q330" s="38" t="s">
        <v>2651</v>
      </c>
      <c r="R330" s="19"/>
      <c r="S330" s="19"/>
    </row>
    <row r="331" spans="1:21" s="20" customFormat="1" ht="17.100000000000001" hidden="1" customHeight="1" x14ac:dyDescent="0.3">
      <c r="B331" s="17">
        <v>44896</v>
      </c>
      <c r="C331" s="17">
        <v>44917</v>
      </c>
      <c r="D331" s="20" t="s">
        <v>1377</v>
      </c>
      <c r="E331" s="15" t="s">
        <v>1474</v>
      </c>
      <c r="F331" s="15" t="s">
        <v>25</v>
      </c>
      <c r="G331" s="15" t="s">
        <v>26</v>
      </c>
      <c r="H331" s="16" t="s">
        <v>1378</v>
      </c>
      <c r="I331" s="15">
        <v>1</v>
      </c>
      <c r="J331" s="15" t="s">
        <v>915</v>
      </c>
      <c r="K331" s="29" t="s">
        <v>1476</v>
      </c>
      <c r="L331" s="19">
        <f>29713500*2</f>
        <v>59427000</v>
      </c>
      <c r="M331" s="18">
        <f t="shared" si="23"/>
        <v>59427000</v>
      </c>
      <c r="N331" s="17">
        <v>44957</v>
      </c>
      <c r="O331" s="20" t="s">
        <v>916</v>
      </c>
      <c r="P331" s="22"/>
      <c r="Q331" s="38" t="s">
        <v>917</v>
      </c>
      <c r="R331" s="19"/>
      <c r="S331" s="19"/>
    </row>
    <row r="332" spans="1:21" s="20" customFormat="1" ht="17.100000000000001" hidden="1" customHeight="1" x14ac:dyDescent="0.3">
      <c r="B332" s="17">
        <v>44896</v>
      </c>
      <c r="C332" s="17">
        <v>44911</v>
      </c>
      <c r="D332" s="20" t="s">
        <v>1380</v>
      </c>
      <c r="E332" s="15" t="s">
        <v>1379</v>
      </c>
      <c r="F332" s="15" t="s">
        <v>25</v>
      </c>
      <c r="G332" s="15" t="s">
        <v>21</v>
      </c>
      <c r="H332" s="16" t="s">
        <v>1381</v>
      </c>
      <c r="I332" s="15">
        <v>1</v>
      </c>
      <c r="J332" s="15" t="s">
        <v>1122</v>
      </c>
      <c r="K332" s="29" t="s">
        <v>1123</v>
      </c>
      <c r="L332" s="19">
        <v>9000000</v>
      </c>
      <c r="M332" s="18">
        <f t="shared" si="23"/>
        <v>9000000</v>
      </c>
      <c r="N332" s="17">
        <v>44907</v>
      </c>
      <c r="O332" s="20" t="s">
        <v>1124</v>
      </c>
      <c r="P332" s="22"/>
      <c r="Q332" s="38" t="s">
        <v>2650</v>
      </c>
      <c r="R332" s="19"/>
      <c r="S332" s="19"/>
    </row>
    <row r="333" spans="1:21" s="20" customFormat="1" ht="17.100000000000001" hidden="1" customHeight="1" x14ac:dyDescent="0.3">
      <c r="B333" s="17">
        <v>44897</v>
      </c>
      <c r="C333" s="17">
        <v>44899</v>
      </c>
      <c r="D333" s="20" t="s">
        <v>1383</v>
      </c>
      <c r="E333" s="15" t="s">
        <v>1382</v>
      </c>
      <c r="F333" s="15" t="s">
        <v>25</v>
      </c>
      <c r="G333" s="15" t="s">
        <v>21</v>
      </c>
      <c r="H333" s="16">
        <v>1650</v>
      </c>
      <c r="I333" s="15">
        <v>1</v>
      </c>
      <c r="J333" s="15" t="s">
        <v>1384</v>
      </c>
      <c r="K333" s="29" t="s">
        <v>1385</v>
      </c>
      <c r="L333" s="19">
        <v>126000000</v>
      </c>
      <c r="M333" s="18">
        <f t="shared" si="23"/>
        <v>126000000</v>
      </c>
      <c r="N333" s="17">
        <v>44916</v>
      </c>
      <c r="O333" s="20" t="s">
        <v>1399</v>
      </c>
      <c r="P333" s="22"/>
      <c r="Q333" s="38" t="s">
        <v>2670</v>
      </c>
      <c r="R333" s="19"/>
      <c r="S333" s="19"/>
    </row>
    <row r="334" spans="1:21" s="20" customFormat="1" ht="17.100000000000001" hidden="1" customHeight="1" x14ac:dyDescent="0.3">
      <c r="B334" s="17">
        <v>44902</v>
      </c>
      <c r="C334" s="17">
        <v>44911</v>
      </c>
      <c r="D334" s="20" t="s">
        <v>1394</v>
      </c>
      <c r="E334" s="15" t="s">
        <v>1393</v>
      </c>
      <c r="F334" s="15" t="s">
        <v>46</v>
      </c>
      <c r="G334" s="15" t="s">
        <v>21</v>
      </c>
      <c r="H334" s="16">
        <v>800</v>
      </c>
      <c r="I334" s="15">
        <v>2</v>
      </c>
      <c r="J334" s="15" t="s">
        <v>1159</v>
      </c>
      <c r="K334" s="29" t="s">
        <v>1183</v>
      </c>
      <c r="L334" s="19">
        <v>61826744</v>
      </c>
      <c r="M334" s="18">
        <f t="shared" si="23"/>
        <v>123653488</v>
      </c>
      <c r="N334" s="17">
        <v>45036</v>
      </c>
      <c r="O334" s="20" t="s">
        <v>1160</v>
      </c>
      <c r="P334" s="22"/>
      <c r="Q334" s="38" t="s">
        <v>2651</v>
      </c>
      <c r="R334" s="19"/>
      <c r="S334" s="19"/>
    </row>
    <row r="335" spans="1:21" s="20" customFormat="1" ht="17.100000000000001" hidden="1" customHeight="1" x14ac:dyDescent="0.3">
      <c r="B335" s="17">
        <v>44903</v>
      </c>
      <c r="C335" s="17">
        <v>44923</v>
      </c>
      <c r="D335" s="20" t="s">
        <v>1396</v>
      </c>
      <c r="E335" s="15" t="s">
        <v>1395</v>
      </c>
      <c r="F335" s="15" t="s">
        <v>25</v>
      </c>
      <c r="G335" s="15" t="s">
        <v>21</v>
      </c>
      <c r="H335" s="16" t="s">
        <v>1397</v>
      </c>
      <c r="I335" s="15">
        <v>1</v>
      </c>
      <c r="J335" s="15" t="s">
        <v>915</v>
      </c>
      <c r="K335" s="29" t="s">
        <v>914</v>
      </c>
      <c r="L335" s="19">
        <v>29713500</v>
      </c>
      <c r="M335" s="18">
        <f t="shared" si="23"/>
        <v>29713500</v>
      </c>
      <c r="N335" s="17">
        <v>44957</v>
      </c>
      <c r="O335" s="20" t="s">
        <v>916</v>
      </c>
      <c r="P335" s="22"/>
      <c r="Q335" s="38" t="s">
        <v>917</v>
      </c>
      <c r="R335" s="19"/>
      <c r="S335" s="19"/>
    </row>
    <row r="336" spans="1:21" s="20" customFormat="1" ht="17.100000000000001" hidden="1" customHeight="1" x14ac:dyDescent="0.3">
      <c r="B336" s="17">
        <v>44903</v>
      </c>
      <c r="C336" s="17">
        <v>44903</v>
      </c>
      <c r="D336" s="20" t="s">
        <v>1406</v>
      </c>
      <c r="E336" s="15" t="s">
        <v>1404</v>
      </c>
      <c r="F336" s="15" t="s">
        <v>25</v>
      </c>
      <c r="G336" s="15" t="s">
        <v>21</v>
      </c>
      <c r="H336" s="16" t="s">
        <v>1408</v>
      </c>
      <c r="I336" s="15">
        <v>1</v>
      </c>
      <c r="J336" s="15"/>
      <c r="K336" s="29" t="s">
        <v>62</v>
      </c>
      <c r="L336" s="19">
        <v>6000000</v>
      </c>
      <c r="M336" s="18">
        <f t="shared" si="23"/>
        <v>6000000</v>
      </c>
      <c r="N336" s="17">
        <v>44925</v>
      </c>
      <c r="P336" s="22" t="s">
        <v>1410</v>
      </c>
      <c r="Q336" s="38" t="s">
        <v>2588</v>
      </c>
      <c r="R336" s="19"/>
      <c r="S336" s="19"/>
    </row>
    <row r="337" spans="2:19" s="20" customFormat="1" ht="17.100000000000001" hidden="1" customHeight="1" x14ac:dyDescent="0.3">
      <c r="B337" s="17">
        <v>44903</v>
      </c>
      <c r="C337" s="17">
        <v>44903</v>
      </c>
      <c r="D337" s="20" t="s">
        <v>1407</v>
      </c>
      <c r="E337" s="15" t="s">
        <v>1405</v>
      </c>
      <c r="F337" s="15" t="s">
        <v>25</v>
      </c>
      <c r="G337" s="15" t="s">
        <v>21</v>
      </c>
      <c r="H337" s="16" t="s">
        <v>1409</v>
      </c>
      <c r="I337" s="15">
        <v>1</v>
      </c>
      <c r="J337" s="15"/>
      <c r="K337" s="29" t="s">
        <v>62</v>
      </c>
      <c r="L337" s="19">
        <v>4500000</v>
      </c>
      <c r="M337" s="18">
        <f t="shared" si="23"/>
        <v>4500000</v>
      </c>
      <c r="N337" s="17">
        <v>44925</v>
      </c>
      <c r="P337" s="22" t="s">
        <v>1410</v>
      </c>
      <c r="Q337" s="38" t="s">
        <v>2588</v>
      </c>
      <c r="R337" s="19"/>
      <c r="S337" s="19"/>
    </row>
    <row r="338" spans="2:19" s="20" customFormat="1" ht="17.100000000000001" hidden="1" customHeight="1" x14ac:dyDescent="0.3">
      <c r="B338" s="17">
        <v>44908</v>
      </c>
      <c r="C338" s="17">
        <v>44921</v>
      </c>
      <c r="D338" s="20" t="s">
        <v>1412</v>
      </c>
      <c r="E338" s="15" t="s">
        <v>1411</v>
      </c>
      <c r="F338" s="15" t="s">
        <v>46</v>
      </c>
      <c r="G338" s="15" t="s">
        <v>21</v>
      </c>
      <c r="H338" s="16" t="s">
        <v>1425</v>
      </c>
      <c r="I338" s="15">
        <v>1</v>
      </c>
      <c r="J338" s="15" t="s">
        <v>1413</v>
      </c>
      <c r="K338" s="29" t="s">
        <v>50</v>
      </c>
      <c r="L338" s="19">
        <v>140030000</v>
      </c>
      <c r="M338" s="18">
        <f t="shared" si="23"/>
        <v>140030000</v>
      </c>
      <c r="N338" s="17">
        <v>44921</v>
      </c>
      <c r="O338" s="20" t="s">
        <v>1414</v>
      </c>
      <c r="P338" s="22"/>
      <c r="Q338" s="38" t="s">
        <v>1415</v>
      </c>
      <c r="R338" s="19">
        <v>4458000</v>
      </c>
      <c r="S338" s="19"/>
    </row>
    <row r="339" spans="2:19" s="20" customFormat="1" ht="17.100000000000001" hidden="1" customHeight="1" x14ac:dyDescent="0.3">
      <c r="B339" s="17">
        <v>44908</v>
      </c>
      <c r="C339" s="17">
        <v>44908</v>
      </c>
      <c r="D339" s="20" t="s">
        <v>1421</v>
      </c>
      <c r="E339" s="15" t="s">
        <v>1416</v>
      </c>
      <c r="F339" s="15" t="s">
        <v>1420</v>
      </c>
      <c r="G339" s="15" t="s">
        <v>21</v>
      </c>
      <c r="H339" s="16" t="s">
        <v>1422</v>
      </c>
      <c r="I339" s="15">
        <v>1</v>
      </c>
      <c r="J339" s="15" t="s">
        <v>1417</v>
      </c>
      <c r="K339" s="29" t="s">
        <v>1423</v>
      </c>
      <c r="L339" s="19">
        <v>24000000</v>
      </c>
      <c r="M339" s="18">
        <f t="shared" si="23"/>
        <v>24000000</v>
      </c>
      <c r="N339" s="17">
        <v>44916</v>
      </c>
      <c r="O339" s="20" t="s">
        <v>1419</v>
      </c>
      <c r="P339" s="22"/>
      <c r="Q339" s="38" t="s">
        <v>1418</v>
      </c>
      <c r="R339" s="19"/>
      <c r="S339" s="19"/>
    </row>
    <row r="340" spans="2:19" s="20" customFormat="1" ht="17.100000000000001" hidden="1" customHeight="1" x14ac:dyDescent="0.3">
      <c r="B340" s="17">
        <v>44910</v>
      </c>
      <c r="C340" s="17">
        <v>44929</v>
      </c>
      <c r="D340" s="20" t="s">
        <v>1427</v>
      </c>
      <c r="E340" s="15" t="s">
        <v>1426</v>
      </c>
      <c r="F340" s="15" t="s">
        <v>25</v>
      </c>
      <c r="G340" s="15" t="s">
        <v>21</v>
      </c>
      <c r="H340" s="16" t="s">
        <v>1428</v>
      </c>
      <c r="I340" s="15">
        <v>1</v>
      </c>
      <c r="J340" s="15" t="s">
        <v>1299</v>
      </c>
      <c r="K340" s="29" t="s">
        <v>1429</v>
      </c>
      <c r="L340" s="19">
        <v>72472000</v>
      </c>
      <c r="M340" s="18">
        <f t="shared" si="23"/>
        <v>72472000</v>
      </c>
      <c r="N340" s="17">
        <v>44985</v>
      </c>
      <c r="O340" s="20" t="s">
        <v>1475</v>
      </c>
      <c r="P340" s="22"/>
      <c r="Q340" s="38" t="s">
        <v>2657</v>
      </c>
      <c r="R340" s="19"/>
      <c r="S340" s="19"/>
    </row>
    <row r="341" spans="2:19" s="20" customFormat="1" ht="17.100000000000001" hidden="1" customHeight="1" x14ac:dyDescent="0.3">
      <c r="B341" s="17">
        <v>44917</v>
      </c>
      <c r="C341" s="17">
        <v>44917</v>
      </c>
      <c r="D341" s="20" t="s">
        <v>1432</v>
      </c>
      <c r="E341" s="15" t="s">
        <v>1430</v>
      </c>
      <c r="F341" s="15" t="s">
        <v>25</v>
      </c>
      <c r="G341" s="15" t="s">
        <v>21</v>
      </c>
      <c r="H341" s="16" t="s">
        <v>1431</v>
      </c>
      <c r="I341" s="15">
        <v>1</v>
      </c>
      <c r="J341" s="15" t="s">
        <v>1357</v>
      </c>
      <c r="K341" s="29" t="s">
        <v>1358</v>
      </c>
      <c r="L341" s="19">
        <v>2700000</v>
      </c>
      <c r="M341" s="18">
        <f t="shared" si="23"/>
        <v>2700000</v>
      </c>
      <c r="N341" s="17">
        <v>44921</v>
      </c>
      <c r="O341" s="20" t="s">
        <v>1294</v>
      </c>
      <c r="P341" s="22"/>
      <c r="Q341" s="38" t="s">
        <v>2662</v>
      </c>
      <c r="R341" s="19">
        <v>700000</v>
      </c>
      <c r="S341" s="19"/>
    </row>
    <row r="342" spans="2:19" s="20" customFormat="1" ht="17.100000000000001" hidden="1" customHeight="1" x14ac:dyDescent="0.3">
      <c r="B342" s="17">
        <v>44923</v>
      </c>
      <c r="C342" s="17">
        <v>45021</v>
      </c>
      <c r="D342" s="20" t="s">
        <v>1477</v>
      </c>
      <c r="E342" s="15" t="s">
        <v>1577</v>
      </c>
      <c r="F342" s="15" t="s">
        <v>25</v>
      </c>
      <c r="G342" s="15" t="s">
        <v>21</v>
      </c>
      <c r="H342" s="16">
        <v>1650</v>
      </c>
      <c r="I342" s="15">
        <v>1</v>
      </c>
      <c r="J342" s="15" t="s">
        <v>776</v>
      </c>
      <c r="K342" s="29" t="s">
        <v>1200</v>
      </c>
      <c r="L342" s="19">
        <v>93223550</v>
      </c>
      <c r="M342" s="18">
        <f t="shared" si="23"/>
        <v>93223550</v>
      </c>
      <c r="N342" s="17">
        <v>45044</v>
      </c>
      <c r="O342" s="20" t="s">
        <v>953</v>
      </c>
      <c r="P342" s="22"/>
      <c r="Q342" s="38" t="s">
        <v>2671</v>
      </c>
      <c r="R342" s="19"/>
      <c r="S342" s="19"/>
    </row>
    <row r="343" spans="2:19" s="20" customFormat="1" ht="17.100000000000001" hidden="1" customHeight="1" x14ac:dyDescent="0.3">
      <c r="B343" s="17">
        <v>44929</v>
      </c>
      <c r="C343" s="17">
        <v>44930</v>
      </c>
      <c r="D343" s="20" t="s">
        <v>1444</v>
      </c>
      <c r="E343" s="15" t="s">
        <v>1443</v>
      </c>
      <c r="F343" s="15" t="s">
        <v>25</v>
      </c>
      <c r="G343" s="15" t="s">
        <v>21</v>
      </c>
      <c r="H343" s="16">
        <v>900</v>
      </c>
      <c r="I343" s="15">
        <v>1</v>
      </c>
      <c r="J343" s="15" t="s">
        <v>1445</v>
      </c>
      <c r="K343" s="29" t="s">
        <v>1446</v>
      </c>
      <c r="L343" s="19">
        <v>16290000</v>
      </c>
      <c r="M343" s="18">
        <f t="shared" si="23"/>
        <v>16290000</v>
      </c>
      <c r="N343" s="17">
        <v>44985</v>
      </c>
      <c r="O343" s="20" t="s">
        <v>1447</v>
      </c>
      <c r="P343" s="22"/>
      <c r="Q343" s="38" t="s">
        <v>2672</v>
      </c>
      <c r="R343" s="19"/>
      <c r="S343" s="19"/>
    </row>
    <row r="344" spans="2:19" s="20" customFormat="1" ht="17.100000000000001" hidden="1" customHeight="1" x14ac:dyDescent="0.3">
      <c r="B344" s="17">
        <v>44931</v>
      </c>
      <c r="C344" s="17">
        <v>44961</v>
      </c>
      <c r="D344" s="20" t="s">
        <v>1448</v>
      </c>
      <c r="E344" s="15" t="s">
        <v>1473</v>
      </c>
      <c r="F344" s="15" t="s">
        <v>25</v>
      </c>
      <c r="G344" s="15" t="s">
        <v>21</v>
      </c>
      <c r="H344" s="16" t="s">
        <v>1452</v>
      </c>
      <c r="I344" s="15">
        <v>1</v>
      </c>
      <c r="J344" s="15" t="s">
        <v>1445</v>
      </c>
      <c r="K344" s="29" t="s">
        <v>1446</v>
      </c>
      <c r="L344" s="19">
        <v>59980000</v>
      </c>
      <c r="M344" s="18">
        <f t="shared" si="23"/>
        <v>59980000</v>
      </c>
      <c r="N344" s="17">
        <v>44985</v>
      </c>
      <c r="O344" s="20" t="s">
        <v>1447</v>
      </c>
      <c r="P344" s="22"/>
      <c r="Q344" s="38" t="s">
        <v>2672</v>
      </c>
      <c r="R344" s="19"/>
      <c r="S344" s="19"/>
    </row>
    <row r="345" spans="2:19" s="20" customFormat="1" ht="17.100000000000001" hidden="1" customHeight="1" x14ac:dyDescent="0.3">
      <c r="B345" s="17">
        <v>44931</v>
      </c>
      <c r="C345" s="17">
        <v>44961</v>
      </c>
      <c r="D345" s="20" t="s">
        <v>1449</v>
      </c>
      <c r="E345" s="15" t="s">
        <v>1450</v>
      </c>
      <c r="F345" s="15" t="s">
        <v>25</v>
      </c>
      <c r="G345" s="15" t="s">
        <v>21</v>
      </c>
      <c r="H345" s="16" t="s">
        <v>1451</v>
      </c>
      <c r="I345" s="15">
        <v>1</v>
      </c>
      <c r="J345" s="15" t="s">
        <v>1445</v>
      </c>
      <c r="K345" s="29" t="s">
        <v>1446</v>
      </c>
      <c r="L345" s="19">
        <v>43470000</v>
      </c>
      <c r="M345" s="18">
        <f t="shared" si="23"/>
        <v>43470000</v>
      </c>
      <c r="N345" s="17">
        <v>44985</v>
      </c>
      <c r="O345" s="20" t="s">
        <v>1447</v>
      </c>
      <c r="P345" s="22"/>
      <c r="Q345" s="38" t="s">
        <v>2672</v>
      </c>
      <c r="R345" s="19"/>
      <c r="S345" s="19"/>
    </row>
    <row r="346" spans="2:19" s="20" customFormat="1" ht="17.100000000000001" hidden="1" customHeight="1" x14ac:dyDescent="0.3">
      <c r="B346" s="17">
        <v>44933</v>
      </c>
      <c r="C346" s="17">
        <v>44942</v>
      </c>
      <c r="D346" s="20" t="s">
        <v>1457</v>
      </c>
      <c r="E346" s="15" t="s">
        <v>1456</v>
      </c>
      <c r="F346" s="15" t="s">
        <v>46</v>
      </c>
      <c r="G346" s="15" t="s">
        <v>21</v>
      </c>
      <c r="H346" s="16">
        <v>700</v>
      </c>
      <c r="I346" s="15">
        <v>8</v>
      </c>
      <c r="J346" s="15" t="s">
        <v>1159</v>
      </c>
      <c r="K346" s="29" t="s">
        <v>1458</v>
      </c>
      <c r="L346" s="19">
        <v>48965934</v>
      </c>
      <c r="M346" s="18">
        <f t="shared" si="23"/>
        <v>391727472</v>
      </c>
      <c r="N346" s="17">
        <v>45036</v>
      </c>
      <c r="O346" s="20" t="s">
        <v>1160</v>
      </c>
      <c r="P346" s="22"/>
      <c r="Q346" s="38" t="s">
        <v>2651</v>
      </c>
      <c r="R346" s="19"/>
      <c r="S346" s="19"/>
    </row>
    <row r="347" spans="2:19" s="20" customFormat="1" ht="17.100000000000001" hidden="1" customHeight="1" x14ac:dyDescent="0.3">
      <c r="B347" s="17">
        <v>44937</v>
      </c>
      <c r="C347" s="17">
        <v>44952</v>
      </c>
      <c r="D347" s="20" t="s">
        <v>1462</v>
      </c>
      <c r="E347" s="15"/>
      <c r="F347" s="15" t="s">
        <v>46</v>
      </c>
      <c r="G347" s="15" t="s">
        <v>21</v>
      </c>
      <c r="H347" s="16">
        <v>700</v>
      </c>
      <c r="I347" s="15">
        <v>1</v>
      </c>
      <c r="J347" s="15" t="s">
        <v>496</v>
      </c>
      <c r="K347" s="29" t="s">
        <v>1465</v>
      </c>
      <c r="L347" s="19">
        <v>30960000</v>
      </c>
      <c r="M347" s="18">
        <f t="shared" si="23"/>
        <v>30960000</v>
      </c>
      <c r="N347" s="17">
        <v>44957</v>
      </c>
      <c r="P347" s="22"/>
      <c r="Q347" s="38" t="s">
        <v>2673</v>
      </c>
      <c r="R347" s="19"/>
      <c r="S347" s="19"/>
    </row>
    <row r="348" spans="2:19" s="20" customFormat="1" ht="17.100000000000001" hidden="1" customHeight="1" x14ac:dyDescent="0.3">
      <c r="B348" s="17">
        <v>44937</v>
      </c>
      <c r="C348" s="17">
        <v>44952</v>
      </c>
      <c r="D348" s="20" t="s">
        <v>1463</v>
      </c>
      <c r="E348" s="15" t="s">
        <v>1460</v>
      </c>
      <c r="F348" s="15" t="s">
        <v>46</v>
      </c>
      <c r="G348" s="15" t="s">
        <v>21</v>
      </c>
      <c r="H348" s="16">
        <v>650</v>
      </c>
      <c r="I348" s="15">
        <v>1</v>
      </c>
      <c r="J348" s="15" t="s">
        <v>496</v>
      </c>
      <c r="K348" s="29" t="s">
        <v>1465</v>
      </c>
      <c r="L348" s="19">
        <v>28057500</v>
      </c>
      <c r="M348" s="18">
        <f t="shared" si="23"/>
        <v>28057500</v>
      </c>
      <c r="N348" s="17">
        <v>44957</v>
      </c>
      <c r="P348" s="22"/>
      <c r="Q348" s="38" t="s">
        <v>2673</v>
      </c>
      <c r="R348" s="19"/>
      <c r="S348" s="19"/>
    </row>
    <row r="349" spans="2:19" s="20" customFormat="1" ht="17.100000000000001" hidden="1" customHeight="1" x14ac:dyDescent="0.3">
      <c r="B349" s="17">
        <v>44937</v>
      </c>
      <c r="C349" s="17">
        <v>44952</v>
      </c>
      <c r="D349" s="20" t="s">
        <v>1464</v>
      </c>
      <c r="E349" s="15" t="s">
        <v>1461</v>
      </c>
      <c r="F349" s="15" t="s">
        <v>46</v>
      </c>
      <c r="G349" s="15" t="s">
        <v>21</v>
      </c>
      <c r="H349" s="16">
        <v>350</v>
      </c>
      <c r="I349" s="15">
        <v>1</v>
      </c>
      <c r="J349" s="15" t="s">
        <v>496</v>
      </c>
      <c r="K349" s="29" t="s">
        <v>1465</v>
      </c>
      <c r="L349" s="19">
        <v>13867500</v>
      </c>
      <c r="M349" s="18">
        <f t="shared" si="23"/>
        <v>13867500</v>
      </c>
      <c r="N349" s="17">
        <v>44957</v>
      </c>
      <c r="P349" s="22"/>
      <c r="Q349" s="38" t="s">
        <v>2673</v>
      </c>
      <c r="R349" s="19"/>
      <c r="S349" s="19"/>
    </row>
    <row r="350" spans="2:19" s="20" customFormat="1" ht="17.100000000000001" hidden="1" customHeight="1" x14ac:dyDescent="0.3">
      <c r="B350" s="17">
        <v>44939</v>
      </c>
      <c r="C350" s="17">
        <v>44943</v>
      </c>
      <c r="D350" s="20" t="s">
        <v>1467</v>
      </c>
      <c r="E350" s="15" t="s">
        <v>1466</v>
      </c>
      <c r="F350" s="15" t="s">
        <v>46</v>
      </c>
      <c r="G350" s="15" t="s">
        <v>21</v>
      </c>
      <c r="H350" s="16">
        <v>800</v>
      </c>
      <c r="I350" s="15">
        <v>2</v>
      </c>
      <c r="J350" s="15" t="s">
        <v>1468</v>
      </c>
      <c r="K350" s="29" t="s">
        <v>1469</v>
      </c>
      <c r="L350" s="19">
        <v>61826744</v>
      </c>
      <c r="M350" s="18">
        <f t="shared" si="23"/>
        <v>123653488</v>
      </c>
      <c r="N350" s="17">
        <v>45177</v>
      </c>
      <c r="O350" s="20" t="s">
        <v>1160</v>
      </c>
      <c r="P350" s="22"/>
      <c r="Q350" s="38" t="s">
        <v>2651</v>
      </c>
      <c r="R350" s="19"/>
      <c r="S350" s="19"/>
    </row>
    <row r="351" spans="2:19" s="20" customFormat="1" ht="17.100000000000001" hidden="1" customHeight="1" x14ac:dyDescent="0.3">
      <c r="B351" s="17">
        <v>44953</v>
      </c>
      <c r="C351" s="17">
        <v>44953</v>
      </c>
      <c r="D351" s="20" t="s">
        <v>1956</v>
      </c>
      <c r="E351" s="15" t="s">
        <v>1470</v>
      </c>
      <c r="F351" s="15" t="s">
        <v>25</v>
      </c>
      <c r="G351" s="15" t="s">
        <v>1471</v>
      </c>
      <c r="H351" s="16" t="s">
        <v>1472</v>
      </c>
      <c r="I351" s="15">
        <v>1</v>
      </c>
      <c r="J351" s="15" t="s">
        <v>107</v>
      </c>
      <c r="K351" s="29" t="s">
        <v>109</v>
      </c>
      <c r="L351" s="19">
        <v>17500000</v>
      </c>
      <c r="M351" s="18">
        <f t="shared" si="23"/>
        <v>17500000</v>
      </c>
      <c r="N351" s="17">
        <v>44985</v>
      </c>
      <c r="P351" s="22"/>
      <c r="Q351" s="38" t="s">
        <v>2674</v>
      </c>
      <c r="R351" s="19"/>
      <c r="S351" s="19"/>
    </row>
    <row r="352" spans="2:19" s="20" customFormat="1" ht="17.100000000000001" hidden="1" customHeight="1" x14ac:dyDescent="0.3">
      <c r="B352" s="17">
        <v>44963</v>
      </c>
      <c r="C352" s="17">
        <v>44977</v>
      </c>
      <c r="D352" s="20" t="s">
        <v>1484</v>
      </c>
      <c r="E352" s="15" t="s">
        <v>1483</v>
      </c>
      <c r="F352" s="15" t="s">
        <v>25</v>
      </c>
      <c r="G352" s="15" t="s">
        <v>21</v>
      </c>
      <c r="H352" s="16" t="s">
        <v>1485</v>
      </c>
      <c r="I352" s="15">
        <v>1</v>
      </c>
      <c r="J352" s="15" t="s">
        <v>1486</v>
      </c>
      <c r="K352" s="29" t="s">
        <v>1522</v>
      </c>
      <c r="L352" s="19">
        <v>19570000</v>
      </c>
      <c r="M352" s="18">
        <f t="shared" si="23"/>
        <v>19570000</v>
      </c>
      <c r="N352" s="17">
        <v>45044</v>
      </c>
      <c r="O352" s="20" t="s">
        <v>1487</v>
      </c>
      <c r="P352" s="22"/>
      <c r="Q352" s="38" t="s">
        <v>2675</v>
      </c>
      <c r="R352" s="19"/>
      <c r="S352" s="19"/>
    </row>
    <row r="353" spans="2:20" s="20" customFormat="1" ht="17.100000000000001" hidden="1" customHeight="1" x14ac:dyDescent="0.3">
      <c r="B353" s="17">
        <v>44964</v>
      </c>
      <c r="C353" s="17">
        <v>44965</v>
      </c>
      <c r="D353" s="20" t="s">
        <v>1490</v>
      </c>
      <c r="E353" s="15" t="s">
        <v>1491</v>
      </c>
      <c r="F353" s="15" t="s">
        <v>25</v>
      </c>
      <c r="G353" s="15" t="s">
        <v>21</v>
      </c>
      <c r="H353" s="16" t="s">
        <v>1492</v>
      </c>
      <c r="I353" s="15">
        <v>1</v>
      </c>
      <c r="J353" s="15" t="s">
        <v>1445</v>
      </c>
      <c r="K353" s="29" t="s">
        <v>1446</v>
      </c>
      <c r="L353" s="19">
        <v>2800000</v>
      </c>
      <c r="M353" s="18">
        <f t="shared" si="23"/>
        <v>2800000</v>
      </c>
      <c r="N353" s="17">
        <v>44985</v>
      </c>
      <c r="O353" s="20" t="s">
        <v>1447</v>
      </c>
      <c r="P353" s="22"/>
      <c r="Q353" s="38" t="s">
        <v>2672</v>
      </c>
      <c r="R353" s="19"/>
      <c r="S353" s="19"/>
    </row>
    <row r="354" spans="2:20" s="20" customFormat="1" ht="17.100000000000001" hidden="1" customHeight="1" x14ac:dyDescent="0.3">
      <c r="B354" s="17">
        <v>44964</v>
      </c>
      <c r="C354" s="17">
        <v>44981</v>
      </c>
      <c r="D354" s="20" t="s">
        <v>1488</v>
      </c>
      <c r="E354" s="15" t="s">
        <v>1489</v>
      </c>
      <c r="F354" s="15" t="s">
        <v>25</v>
      </c>
      <c r="G354" s="15" t="s">
        <v>21</v>
      </c>
      <c r="H354" s="16" t="s">
        <v>1493</v>
      </c>
      <c r="I354" s="15">
        <v>1</v>
      </c>
      <c r="J354" s="15" t="s">
        <v>1445</v>
      </c>
      <c r="K354" s="29" t="s">
        <v>1446</v>
      </c>
      <c r="L354" s="19">
        <v>51670000</v>
      </c>
      <c r="M354" s="18">
        <f t="shared" si="23"/>
        <v>51670000</v>
      </c>
      <c r="N354" s="17">
        <v>44985</v>
      </c>
      <c r="O354" s="20" t="s">
        <v>1447</v>
      </c>
      <c r="P354" s="22"/>
      <c r="Q354" s="38" t="s">
        <v>2672</v>
      </c>
      <c r="R354" s="19"/>
      <c r="S354" s="19"/>
    </row>
    <row r="355" spans="2:20" s="20" customFormat="1" ht="17.100000000000001" hidden="1" customHeight="1" x14ac:dyDescent="0.3">
      <c r="B355" s="17">
        <v>44964</v>
      </c>
      <c r="C355" s="17">
        <v>44981</v>
      </c>
      <c r="D355" s="20" t="s">
        <v>1494</v>
      </c>
      <c r="E355" s="15" t="s">
        <v>1495</v>
      </c>
      <c r="F355" s="15" t="s">
        <v>25</v>
      </c>
      <c r="G355" s="15" t="s">
        <v>21</v>
      </c>
      <c r="H355" s="16" t="s">
        <v>1496</v>
      </c>
      <c r="I355" s="15">
        <v>1</v>
      </c>
      <c r="J355" s="15" t="s">
        <v>1445</v>
      </c>
      <c r="K355" s="29" t="s">
        <v>1446</v>
      </c>
      <c r="L355" s="19">
        <v>44370000</v>
      </c>
      <c r="M355" s="18">
        <f t="shared" si="23"/>
        <v>44370000</v>
      </c>
      <c r="N355" s="17">
        <v>44985</v>
      </c>
      <c r="O355" s="20" t="s">
        <v>1447</v>
      </c>
      <c r="P355" s="22"/>
      <c r="Q355" s="38" t="s">
        <v>2672</v>
      </c>
      <c r="R355" s="19"/>
      <c r="S355" s="19"/>
    </row>
    <row r="356" spans="2:20" s="20" customFormat="1" ht="17.100000000000001" hidden="1" customHeight="1" x14ac:dyDescent="0.3">
      <c r="B356" s="17">
        <v>44968</v>
      </c>
      <c r="C356" s="17">
        <v>44974</v>
      </c>
      <c r="D356" s="20" t="s">
        <v>1501</v>
      </c>
      <c r="E356" s="15" t="s">
        <v>1502</v>
      </c>
      <c r="F356" s="15" t="s">
        <v>46</v>
      </c>
      <c r="G356" s="15" t="s">
        <v>21</v>
      </c>
      <c r="H356" s="16">
        <v>700</v>
      </c>
      <c r="I356" s="15">
        <v>2</v>
      </c>
      <c r="J356" s="15" t="s">
        <v>1503</v>
      </c>
      <c r="K356" s="29" t="s">
        <v>1504</v>
      </c>
      <c r="L356" s="19">
        <v>48965934</v>
      </c>
      <c r="M356" s="18">
        <f t="shared" si="23"/>
        <v>97931868</v>
      </c>
      <c r="N356" s="17">
        <v>45033</v>
      </c>
      <c r="O356" s="20" t="s">
        <v>1160</v>
      </c>
      <c r="P356" s="22"/>
      <c r="Q356" s="38" t="s">
        <v>2651</v>
      </c>
      <c r="R356" s="19"/>
      <c r="S356" s="19"/>
    </row>
    <row r="357" spans="2:20" s="20" customFormat="1" ht="17.100000000000001" hidden="1" customHeight="1" x14ac:dyDescent="0.3">
      <c r="B357" s="17">
        <v>44970</v>
      </c>
      <c r="C357" s="17">
        <v>44988</v>
      </c>
      <c r="D357" s="20" t="s">
        <v>1498</v>
      </c>
      <c r="E357" s="15" t="s">
        <v>1497</v>
      </c>
      <c r="F357" s="15" t="s">
        <v>46</v>
      </c>
      <c r="G357" s="15" t="s">
        <v>21</v>
      </c>
      <c r="H357" s="16" t="s">
        <v>1499</v>
      </c>
      <c r="I357" s="15">
        <v>1</v>
      </c>
      <c r="J357" s="15" t="s">
        <v>1500</v>
      </c>
      <c r="K357" s="29" t="s">
        <v>303</v>
      </c>
      <c r="L357" s="19">
        <v>134080000</v>
      </c>
      <c r="M357" s="18">
        <f t="shared" si="23"/>
        <v>143040000</v>
      </c>
      <c r="N357" s="17">
        <v>44985</v>
      </c>
      <c r="O357" s="20" t="s">
        <v>1459</v>
      </c>
      <c r="P357" s="22"/>
      <c r="Q357" s="38" t="s">
        <v>2676</v>
      </c>
      <c r="R357" s="19">
        <v>8544000</v>
      </c>
      <c r="S357" s="19">
        <f>2240000*4</f>
        <v>8960000</v>
      </c>
      <c r="T357" s="45">
        <f>S357-R357</f>
        <v>416000</v>
      </c>
    </row>
    <row r="358" spans="2:20" s="20" customFormat="1" ht="17.100000000000001" hidden="1" customHeight="1" x14ac:dyDescent="0.3">
      <c r="B358" s="17">
        <v>44971</v>
      </c>
      <c r="C358" s="17">
        <v>44973</v>
      </c>
      <c r="D358" s="20" t="s">
        <v>1505</v>
      </c>
      <c r="E358" s="15" t="s">
        <v>1506</v>
      </c>
      <c r="F358" s="15" t="s">
        <v>46</v>
      </c>
      <c r="G358" s="15" t="s">
        <v>21</v>
      </c>
      <c r="H358" s="16">
        <v>125</v>
      </c>
      <c r="I358" s="15">
        <v>4</v>
      </c>
      <c r="J358" s="15" t="s">
        <v>1507</v>
      </c>
      <c r="K358" s="29" t="s">
        <v>1508</v>
      </c>
      <c r="L358" s="19">
        <v>4987529</v>
      </c>
      <c r="M358" s="18">
        <f t="shared" si="23"/>
        <v>19950116</v>
      </c>
      <c r="N358" s="17">
        <v>45036</v>
      </c>
      <c r="O358" s="20" t="s">
        <v>1160</v>
      </c>
      <c r="P358" s="22"/>
      <c r="Q358" s="38" t="s">
        <v>2651</v>
      </c>
      <c r="R358" s="19"/>
      <c r="S358" s="19"/>
    </row>
    <row r="359" spans="2:20" s="20" customFormat="1" ht="17.100000000000001" hidden="1" customHeight="1" x14ac:dyDescent="0.3">
      <c r="B359" s="17">
        <v>44975</v>
      </c>
      <c r="C359" s="17">
        <v>44978</v>
      </c>
      <c r="D359" s="20" t="s">
        <v>1509</v>
      </c>
      <c r="E359" s="15" t="s">
        <v>1510</v>
      </c>
      <c r="F359" s="15" t="s">
        <v>46</v>
      </c>
      <c r="G359" s="15" t="s">
        <v>21</v>
      </c>
      <c r="H359" s="16">
        <v>200</v>
      </c>
      <c r="I359" s="15">
        <v>1</v>
      </c>
      <c r="J359" s="15" t="s">
        <v>1507</v>
      </c>
      <c r="K359" s="29" t="s">
        <v>1508</v>
      </c>
      <c r="L359" s="19">
        <v>9184558</v>
      </c>
      <c r="M359" s="18">
        <f t="shared" si="23"/>
        <v>9184558</v>
      </c>
      <c r="N359" s="17">
        <v>45036</v>
      </c>
      <c r="O359" s="20" t="s">
        <v>1160</v>
      </c>
      <c r="P359" s="22"/>
      <c r="Q359" s="38" t="s">
        <v>2651</v>
      </c>
      <c r="R359" s="19"/>
      <c r="S359" s="19"/>
    </row>
    <row r="360" spans="2:20" s="20" customFormat="1" ht="17.100000000000001" hidden="1" customHeight="1" x14ac:dyDescent="0.3">
      <c r="B360" s="17">
        <v>44978</v>
      </c>
      <c r="C360" s="17">
        <v>44988</v>
      </c>
      <c r="D360" s="20" t="s">
        <v>1511</v>
      </c>
      <c r="E360" s="15" t="s">
        <v>1523</v>
      </c>
      <c r="F360" s="15" t="s">
        <v>46</v>
      </c>
      <c r="G360" s="15" t="s">
        <v>21</v>
      </c>
      <c r="H360" s="16">
        <v>300</v>
      </c>
      <c r="I360" s="15">
        <v>1</v>
      </c>
      <c r="J360" s="15" t="s">
        <v>1500</v>
      </c>
      <c r="K360" s="29" t="s">
        <v>303</v>
      </c>
      <c r="L360" s="19">
        <v>66920000</v>
      </c>
      <c r="M360" s="18">
        <f t="shared" si="23"/>
        <v>69920000</v>
      </c>
      <c r="N360" s="17">
        <v>45016</v>
      </c>
      <c r="O360" s="20" t="s">
        <v>1459</v>
      </c>
      <c r="P360" s="22"/>
      <c r="Q360" s="38" t="s">
        <v>2676</v>
      </c>
      <c r="R360" s="19">
        <f>1401000*2</f>
        <v>2802000</v>
      </c>
      <c r="S360" s="19">
        <f>1500000*2</f>
        <v>3000000</v>
      </c>
      <c r="T360" s="45">
        <f>S360-R360</f>
        <v>198000</v>
      </c>
    </row>
    <row r="361" spans="2:20" s="20" customFormat="1" ht="17.100000000000001" hidden="1" customHeight="1" x14ac:dyDescent="0.3">
      <c r="B361" s="17">
        <v>44980</v>
      </c>
      <c r="C361" s="17">
        <v>44990</v>
      </c>
      <c r="D361" s="20" t="s">
        <v>1513</v>
      </c>
      <c r="E361" s="15" t="s">
        <v>1512</v>
      </c>
      <c r="F361" s="15" t="s">
        <v>25</v>
      </c>
      <c r="G361" s="15" t="s">
        <v>26</v>
      </c>
      <c r="H361" s="16" t="s">
        <v>1578</v>
      </c>
      <c r="I361" s="15">
        <v>1</v>
      </c>
      <c r="J361" s="15" t="s">
        <v>1514</v>
      </c>
      <c r="K361" s="29" t="s">
        <v>1515</v>
      </c>
      <c r="L361" s="19">
        <v>35357368</v>
      </c>
      <c r="M361" s="18">
        <f t="shared" si="23"/>
        <v>35357368</v>
      </c>
      <c r="N361" s="17">
        <v>45046</v>
      </c>
      <c r="O361" s="20" t="s">
        <v>1528</v>
      </c>
      <c r="P361" s="22"/>
      <c r="Q361" s="38" t="s">
        <v>2677</v>
      </c>
      <c r="R361" s="19"/>
      <c r="S361" s="19"/>
    </row>
    <row r="362" spans="2:20" s="20" customFormat="1" ht="17.100000000000001" hidden="1" customHeight="1" x14ac:dyDescent="0.3">
      <c r="B362" s="17">
        <v>44981</v>
      </c>
      <c r="C362" s="17">
        <v>44981</v>
      </c>
      <c r="D362" s="20" t="s">
        <v>1516</v>
      </c>
      <c r="E362" s="15" t="s">
        <v>1517</v>
      </c>
      <c r="F362" s="15" t="s">
        <v>25</v>
      </c>
      <c r="G362" s="15" t="s">
        <v>26</v>
      </c>
      <c r="H362" s="16" t="s">
        <v>1518</v>
      </c>
      <c r="I362" s="15">
        <v>1</v>
      </c>
      <c r="J362" s="15" t="s">
        <v>1445</v>
      </c>
      <c r="K362" s="29" t="s">
        <v>1446</v>
      </c>
      <c r="L362" s="19">
        <v>5600000</v>
      </c>
      <c r="M362" s="18">
        <f t="shared" si="23"/>
        <v>5600000</v>
      </c>
      <c r="N362" s="17">
        <v>44985</v>
      </c>
      <c r="O362" s="20" t="s">
        <v>1447</v>
      </c>
      <c r="P362" s="22"/>
      <c r="Q362" s="38" t="s">
        <v>2672</v>
      </c>
      <c r="R362" s="19"/>
      <c r="S362" s="19"/>
    </row>
    <row r="363" spans="2:20" s="20" customFormat="1" ht="17.100000000000001" hidden="1" customHeight="1" x14ac:dyDescent="0.3">
      <c r="B363" s="17">
        <v>44982</v>
      </c>
      <c r="C363" s="17">
        <v>44982</v>
      </c>
      <c r="D363" s="20" t="s">
        <v>1519</v>
      </c>
      <c r="E363" s="15" t="s">
        <v>1520</v>
      </c>
      <c r="F363" s="15" t="s">
        <v>25</v>
      </c>
      <c r="G363" s="15" t="s">
        <v>26</v>
      </c>
      <c r="H363" s="16" t="s">
        <v>1521</v>
      </c>
      <c r="I363" s="15">
        <v>1</v>
      </c>
      <c r="J363" s="15" t="s">
        <v>1445</v>
      </c>
      <c r="K363" s="29" t="s">
        <v>1446</v>
      </c>
      <c r="L363" s="19">
        <v>5400000</v>
      </c>
      <c r="M363" s="18">
        <f t="shared" si="23"/>
        <v>5400000</v>
      </c>
      <c r="N363" s="17">
        <v>44985</v>
      </c>
      <c r="O363" s="20" t="s">
        <v>1447</v>
      </c>
      <c r="P363" s="22"/>
      <c r="Q363" s="38" t="s">
        <v>2672</v>
      </c>
      <c r="R363" s="19"/>
      <c r="S363" s="19"/>
    </row>
    <row r="364" spans="2:20" s="20" customFormat="1" ht="17.100000000000001" hidden="1" customHeight="1" x14ac:dyDescent="0.3">
      <c r="B364" s="17">
        <v>44986</v>
      </c>
      <c r="C364" s="17">
        <v>44995</v>
      </c>
      <c r="D364" s="20" t="s">
        <v>1535</v>
      </c>
      <c r="E364" s="15" t="s">
        <v>1536</v>
      </c>
      <c r="F364" s="15" t="s">
        <v>1537</v>
      </c>
      <c r="G364" s="15" t="s">
        <v>1538</v>
      </c>
      <c r="H364" s="16" t="s">
        <v>1539</v>
      </c>
      <c r="I364" s="15">
        <v>1</v>
      </c>
      <c r="J364" s="15" t="s">
        <v>1540</v>
      </c>
      <c r="K364" s="29" t="s">
        <v>1541</v>
      </c>
      <c r="L364" s="19">
        <v>27000000</v>
      </c>
      <c r="M364" s="18">
        <f t="shared" si="23"/>
        <v>27000000</v>
      </c>
      <c r="N364" s="17">
        <v>45005</v>
      </c>
      <c r="O364" s="20" t="s">
        <v>1542</v>
      </c>
      <c r="P364" s="22"/>
      <c r="Q364" s="38" t="s">
        <v>2678</v>
      </c>
      <c r="R364" s="19"/>
      <c r="S364" s="19"/>
    </row>
    <row r="365" spans="2:20" s="20" customFormat="1" ht="17.100000000000001" hidden="1" customHeight="1" x14ac:dyDescent="0.3">
      <c r="B365" s="17">
        <v>44987</v>
      </c>
      <c r="C365" s="17">
        <v>44999</v>
      </c>
      <c r="D365" s="20" t="s">
        <v>1555</v>
      </c>
      <c r="E365" s="15" t="s">
        <v>1556</v>
      </c>
      <c r="F365" s="15" t="s">
        <v>25</v>
      </c>
      <c r="G365" s="15" t="s">
        <v>26</v>
      </c>
      <c r="H365" s="16" t="s">
        <v>1557</v>
      </c>
      <c r="I365" s="15">
        <v>1</v>
      </c>
      <c r="J365" s="15" t="s">
        <v>1559</v>
      </c>
      <c r="K365" s="29" t="s">
        <v>1558</v>
      </c>
      <c r="L365" s="19">
        <v>40000000</v>
      </c>
      <c r="M365" s="18">
        <f t="shared" si="23"/>
        <v>40000000</v>
      </c>
      <c r="N365" s="17">
        <v>45012</v>
      </c>
      <c r="O365" s="20" t="s">
        <v>1560</v>
      </c>
      <c r="P365" s="22"/>
      <c r="Q365" s="38" t="s">
        <v>2679</v>
      </c>
      <c r="R365" s="19"/>
      <c r="S365" s="19"/>
    </row>
    <row r="366" spans="2:20" s="20" customFormat="1" ht="17.100000000000001" hidden="1" customHeight="1" x14ac:dyDescent="0.3">
      <c r="B366" s="17">
        <v>44988</v>
      </c>
      <c r="C366" s="17">
        <v>44999</v>
      </c>
      <c r="D366" s="20" t="s">
        <v>1524</v>
      </c>
      <c r="E366" s="15" t="s">
        <v>1525</v>
      </c>
      <c r="F366" s="15" t="s">
        <v>25</v>
      </c>
      <c r="G366" s="15" t="s">
        <v>26</v>
      </c>
      <c r="H366" s="16" t="s">
        <v>1526</v>
      </c>
      <c r="I366" s="15">
        <v>1</v>
      </c>
      <c r="J366" s="15" t="s">
        <v>1514</v>
      </c>
      <c r="K366" s="29" t="s">
        <v>1515</v>
      </c>
      <c r="L366" s="19">
        <v>51441014</v>
      </c>
      <c r="M366" s="18">
        <f t="shared" si="23"/>
        <v>51441014</v>
      </c>
      <c r="N366" s="17">
        <v>45046</v>
      </c>
      <c r="O366" s="20" t="s">
        <v>1527</v>
      </c>
      <c r="P366" s="22"/>
      <c r="Q366" s="38" t="s">
        <v>2677</v>
      </c>
      <c r="R366" s="19"/>
      <c r="S366" s="19"/>
    </row>
    <row r="367" spans="2:20" s="20" customFormat="1" ht="17.100000000000001" hidden="1" customHeight="1" x14ac:dyDescent="0.3">
      <c r="B367" s="17">
        <v>44988</v>
      </c>
      <c r="C367" s="17">
        <v>45002</v>
      </c>
      <c r="D367" s="20" t="s">
        <v>1531</v>
      </c>
      <c r="E367" s="15" t="s">
        <v>1529</v>
      </c>
      <c r="F367" s="15" t="s">
        <v>25</v>
      </c>
      <c r="G367" s="15" t="s">
        <v>21</v>
      </c>
      <c r="H367" s="16" t="s">
        <v>1533</v>
      </c>
      <c r="I367" s="15">
        <v>1</v>
      </c>
      <c r="J367" s="15" t="s">
        <v>654</v>
      </c>
      <c r="K367" s="29" t="s">
        <v>355</v>
      </c>
      <c r="L367" s="19">
        <v>34000000</v>
      </c>
      <c r="M367" s="18">
        <f t="shared" si="23"/>
        <v>34000000</v>
      </c>
      <c r="N367" s="17">
        <v>45016</v>
      </c>
      <c r="O367" s="20" t="s">
        <v>353</v>
      </c>
      <c r="P367" s="22"/>
      <c r="Q367" s="38" t="s">
        <v>2680</v>
      </c>
      <c r="R367" s="19"/>
      <c r="S367" s="19"/>
    </row>
    <row r="368" spans="2:20" s="20" customFormat="1" ht="17.100000000000001" hidden="1" customHeight="1" x14ac:dyDescent="0.3">
      <c r="B368" s="17">
        <v>44988</v>
      </c>
      <c r="C368" s="17">
        <v>44988</v>
      </c>
      <c r="D368" s="20" t="s">
        <v>1532</v>
      </c>
      <c r="E368" s="15" t="s">
        <v>1530</v>
      </c>
      <c r="F368" s="15" t="s">
        <v>25</v>
      </c>
      <c r="G368" s="15" t="s">
        <v>26</v>
      </c>
      <c r="H368" s="16" t="s">
        <v>1534</v>
      </c>
      <c r="I368" s="15">
        <v>1</v>
      </c>
      <c r="J368" s="15" t="s">
        <v>654</v>
      </c>
      <c r="K368" s="29" t="s">
        <v>355</v>
      </c>
      <c r="L368" s="19">
        <v>1500000</v>
      </c>
      <c r="M368" s="18">
        <f t="shared" si="23"/>
        <v>1500000</v>
      </c>
      <c r="N368" s="17">
        <v>45016</v>
      </c>
      <c r="O368" s="20" t="s">
        <v>353</v>
      </c>
      <c r="P368" s="22"/>
      <c r="Q368" s="38" t="s">
        <v>2680</v>
      </c>
      <c r="R368" s="19"/>
      <c r="S368" s="19"/>
    </row>
    <row r="369" spans="2:19" s="20" customFormat="1" ht="17.100000000000001" hidden="1" customHeight="1" x14ac:dyDescent="0.3">
      <c r="B369" s="17">
        <v>44991</v>
      </c>
      <c r="C369" s="17">
        <v>45002</v>
      </c>
      <c r="D369" s="20" t="s">
        <v>1543</v>
      </c>
      <c r="E369" s="15" t="s">
        <v>1544</v>
      </c>
      <c r="F369" s="15" t="s">
        <v>25</v>
      </c>
      <c r="G369" s="15" t="s">
        <v>21</v>
      </c>
      <c r="H369" s="16" t="s">
        <v>1533</v>
      </c>
      <c r="I369" s="15">
        <v>1</v>
      </c>
      <c r="J369" s="15" t="s">
        <v>654</v>
      </c>
      <c r="K369" s="29" t="s">
        <v>355</v>
      </c>
      <c r="L369" s="19">
        <v>53000000</v>
      </c>
      <c r="M369" s="18">
        <f t="shared" si="23"/>
        <v>53000000</v>
      </c>
      <c r="N369" s="17">
        <v>45016</v>
      </c>
      <c r="O369" s="20" t="s">
        <v>353</v>
      </c>
      <c r="P369" s="22"/>
      <c r="Q369" s="38" t="s">
        <v>2680</v>
      </c>
      <c r="R369" s="19"/>
      <c r="S369" s="19"/>
    </row>
    <row r="370" spans="2:19" s="20" customFormat="1" ht="17.100000000000001" hidden="1" customHeight="1" x14ac:dyDescent="0.3">
      <c r="B370" s="17">
        <v>44992</v>
      </c>
      <c r="C370" s="17">
        <v>45057</v>
      </c>
      <c r="D370" s="20" t="s">
        <v>1546</v>
      </c>
      <c r="E370" s="15" t="s">
        <v>1545</v>
      </c>
      <c r="F370" s="15" t="s">
        <v>25</v>
      </c>
      <c r="G370" s="15" t="s">
        <v>715</v>
      </c>
      <c r="H370" s="16" t="s">
        <v>1547</v>
      </c>
      <c r="I370" s="15">
        <v>1</v>
      </c>
      <c r="J370" s="15" t="s">
        <v>246</v>
      </c>
      <c r="K370" s="15" t="s">
        <v>245</v>
      </c>
      <c r="L370" s="19">
        <v>80000000</v>
      </c>
      <c r="M370" s="18">
        <f t="shared" si="23"/>
        <v>80000000</v>
      </c>
      <c r="N370" s="17">
        <v>45084</v>
      </c>
      <c r="O370" s="20" t="s">
        <v>248</v>
      </c>
      <c r="P370" s="22"/>
      <c r="Q370" s="38" t="s">
        <v>2681</v>
      </c>
      <c r="R370" s="19"/>
      <c r="S370" s="19"/>
    </row>
    <row r="371" spans="2:19" s="20" customFormat="1" ht="17.100000000000001" hidden="1" customHeight="1" x14ac:dyDescent="0.3">
      <c r="B371" s="17">
        <v>44993</v>
      </c>
      <c r="C371" s="17">
        <v>45056</v>
      </c>
      <c r="D371" s="20" t="s">
        <v>1553</v>
      </c>
      <c r="E371" s="15" t="s">
        <v>1549</v>
      </c>
      <c r="F371" s="15" t="s">
        <v>25</v>
      </c>
      <c r="G371" s="15" t="s">
        <v>1548</v>
      </c>
      <c r="H371" s="16" t="s">
        <v>1554</v>
      </c>
      <c r="I371" s="15">
        <v>1</v>
      </c>
      <c r="J371" s="15" t="s">
        <v>1551</v>
      </c>
      <c r="K371" s="29" t="s">
        <v>1552</v>
      </c>
      <c r="L371" s="19">
        <v>33750000</v>
      </c>
      <c r="M371" s="18">
        <f t="shared" si="23"/>
        <v>33750000</v>
      </c>
      <c r="N371" s="17">
        <v>45077</v>
      </c>
      <c r="O371" s="20" t="s">
        <v>1550</v>
      </c>
      <c r="P371" s="22"/>
      <c r="Q371" s="38" t="s">
        <v>2682</v>
      </c>
      <c r="R371" s="19"/>
      <c r="S371" s="19"/>
    </row>
    <row r="372" spans="2:19" s="20" customFormat="1" ht="17.100000000000001" hidden="1" customHeight="1" x14ac:dyDescent="0.3">
      <c r="B372" s="17">
        <v>44994</v>
      </c>
      <c r="C372" s="17">
        <v>44994</v>
      </c>
      <c r="D372" s="20" t="s">
        <v>1562</v>
      </c>
      <c r="E372" s="15" t="s">
        <v>1561</v>
      </c>
      <c r="F372" s="15" t="s">
        <v>25</v>
      </c>
      <c r="G372" s="15" t="s">
        <v>26</v>
      </c>
      <c r="H372" s="16" t="s">
        <v>1563</v>
      </c>
      <c r="I372" s="15">
        <v>1</v>
      </c>
      <c r="J372" s="15" t="s">
        <v>1551</v>
      </c>
      <c r="K372" s="29" t="s">
        <v>562</v>
      </c>
      <c r="L372" s="19">
        <v>6000000</v>
      </c>
      <c r="M372" s="18">
        <f t="shared" si="23"/>
        <v>6000000</v>
      </c>
      <c r="N372" s="17">
        <v>45020</v>
      </c>
      <c r="P372" s="22"/>
      <c r="Q372" s="38"/>
      <c r="R372" s="19"/>
      <c r="S372" s="19"/>
    </row>
    <row r="373" spans="2:19" s="20" customFormat="1" ht="17.100000000000001" hidden="1" customHeight="1" x14ac:dyDescent="0.3">
      <c r="B373" s="17">
        <v>44998</v>
      </c>
      <c r="C373" s="17">
        <v>45002</v>
      </c>
      <c r="D373" s="20" t="s">
        <v>1565</v>
      </c>
      <c r="E373" s="15" t="s">
        <v>1564</v>
      </c>
      <c r="F373" s="15" t="s">
        <v>46</v>
      </c>
      <c r="G373" s="15" t="s">
        <v>21</v>
      </c>
      <c r="H373" s="16">
        <v>250</v>
      </c>
      <c r="I373" s="15">
        <v>2</v>
      </c>
      <c r="J373" s="15" t="s">
        <v>1566</v>
      </c>
      <c r="K373" s="29" t="s">
        <v>1567</v>
      </c>
      <c r="L373" s="19">
        <v>11820668</v>
      </c>
      <c r="M373" s="18">
        <f t="shared" si="23"/>
        <v>23641336</v>
      </c>
      <c r="N373" s="17">
        <v>45177</v>
      </c>
      <c r="O373" s="20" t="s">
        <v>1160</v>
      </c>
      <c r="P373" s="22"/>
      <c r="Q373" s="38" t="s">
        <v>2651</v>
      </c>
      <c r="R373" s="19"/>
      <c r="S373" s="19"/>
    </row>
    <row r="374" spans="2:19" s="20" customFormat="1" ht="17.100000000000001" hidden="1" customHeight="1" x14ac:dyDescent="0.3">
      <c r="B374" s="17">
        <v>45001</v>
      </c>
      <c r="C374" s="17">
        <v>45001</v>
      </c>
      <c r="D374" s="20" t="s">
        <v>1568</v>
      </c>
      <c r="E374" s="15" t="s">
        <v>1665</v>
      </c>
      <c r="F374" s="15" t="s">
        <v>25</v>
      </c>
      <c r="G374" s="15" t="s">
        <v>1548</v>
      </c>
      <c r="H374" s="16" t="s">
        <v>1569</v>
      </c>
      <c r="I374" s="15">
        <v>1</v>
      </c>
      <c r="J374" s="15" t="s">
        <v>246</v>
      </c>
      <c r="K374" s="15" t="s">
        <v>245</v>
      </c>
      <c r="L374" s="19">
        <v>13000000</v>
      </c>
      <c r="M374" s="18">
        <f t="shared" si="23"/>
        <v>13000000</v>
      </c>
      <c r="N374" s="17">
        <v>45084</v>
      </c>
      <c r="O374" s="20" t="s">
        <v>248</v>
      </c>
      <c r="P374" s="22"/>
      <c r="Q374" s="38" t="s">
        <v>2681</v>
      </c>
      <c r="R374" s="19"/>
      <c r="S374" s="19"/>
    </row>
    <row r="375" spans="2:19" s="20" customFormat="1" ht="17.100000000000001" hidden="1" customHeight="1" x14ac:dyDescent="0.3">
      <c r="B375" s="17">
        <v>45002</v>
      </c>
      <c r="C375" s="17">
        <v>45008</v>
      </c>
      <c r="D375" s="20" t="s">
        <v>1570</v>
      </c>
      <c r="E375" s="15"/>
      <c r="F375" s="15" t="s">
        <v>46</v>
      </c>
      <c r="G375" s="15" t="s">
        <v>21</v>
      </c>
      <c r="H375" s="16" t="s">
        <v>1571</v>
      </c>
      <c r="I375" s="15">
        <v>1</v>
      </c>
      <c r="J375" s="15" t="s">
        <v>1572</v>
      </c>
      <c r="K375" s="29" t="s">
        <v>1574</v>
      </c>
      <c r="L375" s="19">
        <v>27000000</v>
      </c>
      <c r="M375" s="18">
        <f t="shared" si="23"/>
        <v>27000000</v>
      </c>
      <c r="N375" s="17">
        <v>45016</v>
      </c>
      <c r="O375" s="20" t="s">
        <v>1573</v>
      </c>
      <c r="P375" s="22"/>
      <c r="Q375" s="38" t="s">
        <v>2683</v>
      </c>
      <c r="R375" s="19"/>
      <c r="S375" s="19"/>
    </row>
    <row r="376" spans="2:19" s="20" customFormat="1" ht="17.100000000000001" hidden="1" customHeight="1" x14ac:dyDescent="0.3">
      <c r="B376" s="17">
        <v>45002</v>
      </c>
      <c r="C376" s="17">
        <v>45005</v>
      </c>
      <c r="D376" s="20" t="s">
        <v>1575</v>
      </c>
      <c r="E376" s="15" t="s">
        <v>1576</v>
      </c>
      <c r="F376" s="15" t="s">
        <v>25</v>
      </c>
      <c r="G376" s="15" t="s">
        <v>26</v>
      </c>
      <c r="H376" s="16" t="s">
        <v>1569</v>
      </c>
      <c r="I376" s="15">
        <v>1</v>
      </c>
      <c r="J376" s="15" t="s">
        <v>1342</v>
      </c>
      <c r="K376" s="29" t="s">
        <v>1602</v>
      </c>
      <c r="L376" s="19">
        <v>14200000</v>
      </c>
      <c r="M376" s="18">
        <f t="shared" si="23"/>
        <v>14200000</v>
      </c>
      <c r="N376" s="17">
        <v>45008</v>
      </c>
      <c r="P376" s="22"/>
      <c r="Q376" s="38" t="s">
        <v>2684</v>
      </c>
      <c r="R376" s="19"/>
      <c r="S376" s="19"/>
    </row>
    <row r="377" spans="2:19" s="20" customFormat="1" ht="17.100000000000001" hidden="1" customHeight="1" x14ac:dyDescent="0.3">
      <c r="B377" s="17">
        <v>45006</v>
      </c>
      <c r="C377" s="17">
        <v>45007</v>
      </c>
      <c r="D377" s="20" t="s">
        <v>1954</v>
      </c>
      <c r="E377" s="15" t="s">
        <v>1580</v>
      </c>
      <c r="F377" s="15" t="s">
        <v>1581</v>
      </c>
      <c r="G377" s="15" t="s">
        <v>21</v>
      </c>
      <c r="H377" s="16" t="s">
        <v>1582</v>
      </c>
      <c r="I377" s="15">
        <v>1</v>
      </c>
      <c r="J377" s="15"/>
      <c r="K377" s="29" t="s">
        <v>1583</v>
      </c>
      <c r="L377" s="19">
        <v>36000000</v>
      </c>
      <c r="M377" s="18">
        <f t="shared" si="23"/>
        <v>36000000</v>
      </c>
      <c r="N377" s="17">
        <v>45015</v>
      </c>
      <c r="P377" s="22"/>
      <c r="Q377" s="22"/>
      <c r="R377" s="19"/>
      <c r="S377" s="19"/>
    </row>
    <row r="378" spans="2:19" s="20" customFormat="1" ht="17.100000000000001" hidden="1" customHeight="1" x14ac:dyDescent="0.3">
      <c r="B378" s="17">
        <v>45006</v>
      </c>
      <c r="C378" s="17">
        <v>45007</v>
      </c>
      <c r="D378" s="20" t="s">
        <v>1584</v>
      </c>
      <c r="E378" s="15" t="s">
        <v>1580</v>
      </c>
      <c r="F378" s="15" t="s">
        <v>1581</v>
      </c>
      <c r="G378" s="15" t="s">
        <v>21</v>
      </c>
      <c r="H378" s="16">
        <v>50</v>
      </c>
      <c r="I378" s="15">
        <v>1</v>
      </c>
      <c r="J378" s="15"/>
      <c r="K378" s="29" t="s">
        <v>1583</v>
      </c>
      <c r="L378" s="19">
        <v>3800000</v>
      </c>
      <c r="M378" s="18">
        <f t="shared" si="23"/>
        <v>3800000</v>
      </c>
      <c r="N378" s="17">
        <v>45015</v>
      </c>
      <c r="P378" s="22"/>
      <c r="Q378" s="22"/>
      <c r="R378" s="19"/>
      <c r="S378" s="19"/>
    </row>
    <row r="379" spans="2:19" s="20" customFormat="1" ht="17.100000000000001" hidden="1" customHeight="1" x14ac:dyDescent="0.3">
      <c r="B379" s="17">
        <v>45008</v>
      </c>
      <c r="C379" s="17">
        <v>45028</v>
      </c>
      <c r="D379" s="20" t="s">
        <v>1585</v>
      </c>
      <c r="E379" s="15" t="s">
        <v>1640</v>
      </c>
      <c r="F379" s="15" t="s">
        <v>1588</v>
      </c>
      <c r="G379" s="15" t="s">
        <v>21</v>
      </c>
      <c r="H379" s="16">
        <v>750</v>
      </c>
      <c r="I379" s="15">
        <v>1</v>
      </c>
      <c r="J379" s="15" t="s">
        <v>1589</v>
      </c>
      <c r="K379" s="29" t="s">
        <v>1590</v>
      </c>
      <c r="L379" s="19">
        <v>37500000</v>
      </c>
      <c r="M379" s="18">
        <f t="shared" si="23"/>
        <v>37500000</v>
      </c>
      <c r="N379" s="17">
        <v>45044</v>
      </c>
      <c r="P379" s="22"/>
      <c r="Q379" s="38" t="s">
        <v>2685</v>
      </c>
      <c r="R379" s="19"/>
      <c r="S379" s="19"/>
    </row>
    <row r="380" spans="2:19" s="20" customFormat="1" ht="17.100000000000001" hidden="1" customHeight="1" x14ac:dyDescent="0.3">
      <c r="B380" s="17">
        <v>45008</v>
      </c>
      <c r="C380" s="17">
        <v>45030</v>
      </c>
      <c r="D380" s="20" t="s">
        <v>1587</v>
      </c>
      <c r="E380" s="15" t="s">
        <v>1586</v>
      </c>
      <c r="F380" s="15" t="s">
        <v>1588</v>
      </c>
      <c r="G380" s="15" t="s">
        <v>21</v>
      </c>
      <c r="H380" s="16">
        <v>900</v>
      </c>
      <c r="I380" s="15">
        <v>1</v>
      </c>
      <c r="J380" s="15" t="s">
        <v>1589</v>
      </c>
      <c r="K380" s="29" t="s">
        <v>1590</v>
      </c>
      <c r="L380" s="19">
        <v>49500000</v>
      </c>
      <c r="M380" s="18">
        <f t="shared" si="23"/>
        <v>49500000</v>
      </c>
      <c r="N380" s="17">
        <v>45044</v>
      </c>
      <c r="P380" s="22"/>
      <c r="Q380" s="38" t="s">
        <v>2685</v>
      </c>
      <c r="R380" s="19"/>
      <c r="S380" s="19"/>
    </row>
    <row r="381" spans="2:19" s="20" customFormat="1" ht="17.100000000000001" hidden="1" customHeight="1" x14ac:dyDescent="0.3">
      <c r="B381" s="17">
        <v>45010</v>
      </c>
      <c r="C381" s="17">
        <v>45016</v>
      </c>
      <c r="D381" s="20" t="s">
        <v>1592</v>
      </c>
      <c r="E381" s="15" t="s">
        <v>1591</v>
      </c>
      <c r="F381" s="15" t="s">
        <v>46</v>
      </c>
      <c r="G381" s="15" t="s">
        <v>21</v>
      </c>
      <c r="H381" s="16">
        <v>800</v>
      </c>
      <c r="I381" s="15">
        <v>4</v>
      </c>
      <c r="J381" s="15" t="s">
        <v>1229</v>
      </c>
      <c r="K381" s="29" t="s">
        <v>1667</v>
      </c>
      <c r="L381" s="19">
        <v>61826744</v>
      </c>
      <c r="M381" s="18">
        <f t="shared" si="23"/>
        <v>247306976</v>
      </c>
      <c r="N381" s="17">
        <v>45044</v>
      </c>
      <c r="O381" s="20" t="s">
        <v>1160</v>
      </c>
      <c r="P381" s="22"/>
      <c r="Q381" s="38" t="s">
        <v>2651</v>
      </c>
      <c r="R381" s="19"/>
      <c r="S381" s="19"/>
    </row>
    <row r="382" spans="2:19" s="20" customFormat="1" ht="17.100000000000001" hidden="1" customHeight="1" x14ac:dyDescent="0.3">
      <c r="B382" s="17">
        <v>45013</v>
      </c>
      <c r="C382" s="17">
        <v>45063</v>
      </c>
      <c r="D382" s="20" t="s">
        <v>1593</v>
      </c>
      <c r="E382" s="15" t="s">
        <v>1657</v>
      </c>
      <c r="F382" s="15" t="s">
        <v>25</v>
      </c>
      <c r="G382" s="15" t="s">
        <v>26</v>
      </c>
      <c r="H382" s="16" t="s">
        <v>549</v>
      </c>
      <c r="I382" s="15">
        <v>1</v>
      </c>
      <c r="J382" s="15" t="s">
        <v>1122</v>
      </c>
      <c r="K382" s="29" t="s">
        <v>1123</v>
      </c>
      <c r="L382" s="19">
        <v>23107497</v>
      </c>
      <c r="M382" s="18">
        <f t="shared" si="23"/>
        <v>23107497</v>
      </c>
      <c r="N382" s="17">
        <v>45077</v>
      </c>
      <c r="O382" s="20" t="s">
        <v>1124</v>
      </c>
      <c r="P382" s="22"/>
      <c r="Q382" s="38" t="s">
        <v>2650</v>
      </c>
      <c r="R382" s="19"/>
      <c r="S382" s="19"/>
    </row>
    <row r="383" spans="2:19" s="20" customFormat="1" ht="17.100000000000001" hidden="1" customHeight="1" x14ac:dyDescent="0.3">
      <c r="B383" s="17">
        <v>45013</v>
      </c>
      <c r="C383" s="17">
        <v>45016</v>
      </c>
      <c r="D383" s="20" t="s">
        <v>1594</v>
      </c>
      <c r="E383" s="15" t="s">
        <v>1595</v>
      </c>
      <c r="F383" s="15" t="s">
        <v>25</v>
      </c>
      <c r="G383" s="15" t="s">
        <v>21</v>
      </c>
      <c r="H383" s="16" t="s">
        <v>1596</v>
      </c>
      <c r="I383" s="15">
        <v>1</v>
      </c>
      <c r="J383" s="15" t="s">
        <v>1597</v>
      </c>
      <c r="K383" s="29" t="s">
        <v>1599</v>
      </c>
      <c r="L383" s="19">
        <v>28000000</v>
      </c>
      <c r="M383" s="18">
        <f t="shared" si="23"/>
        <v>28000000</v>
      </c>
      <c r="N383" s="17">
        <v>45044</v>
      </c>
      <c r="O383" s="20" t="s">
        <v>1598</v>
      </c>
      <c r="P383" s="22"/>
      <c r="Q383" s="38" t="s">
        <v>2686</v>
      </c>
      <c r="R383" s="19"/>
      <c r="S383" s="19"/>
    </row>
    <row r="384" spans="2:19" s="20" customFormat="1" ht="17.100000000000001" hidden="1" customHeight="1" x14ac:dyDescent="0.3">
      <c r="B384" s="17">
        <v>45022</v>
      </c>
      <c r="C384" s="17">
        <v>45028</v>
      </c>
      <c r="D384" s="20" t="s">
        <v>1614</v>
      </c>
      <c r="E384" s="15" t="s">
        <v>1639</v>
      </c>
      <c r="F384" s="15" t="s">
        <v>46</v>
      </c>
      <c r="G384" s="15" t="s">
        <v>21</v>
      </c>
      <c r="H384" s="16">
        <v>700</v>
      </c>
      <c r="I384" s="15">
        <v>2</v>
      </c>
      <c r="J384" s="15" t="s">
        <v>1159</v>
      </c>
      <c r="K384" s="29" t="s">
        <v>188</v>
      </c>
      <c r="L384" s="19">
        <v>48965934</v>
      </c>
      <c r="M384" s="18">
        <f t="shared" ref="M384:M447" si="24">(L384*I384)+S384</f>
        <v>97931868</v>
      </c>
      <c r="N384" s="17">
        <v>45036</v>
      </c>
      <c r="O384" s="20" t="s">
        <v>1160</v>
      </c>
      <c r="P384" s="22"/>
      <c r="Q384" s="38" t="s">
        <v>2651</v>
      </c>
      <c r="R384" s="19"/>
      <c r="S384" s="19"/>
    </row>
    <row r="385" spans="2:19" s="20" customFormat="1" ht="16.5" hidden="1" customHeight="1" x14ac:dyDescent="0.3">
      <c r="B385" s="17">
        <v>45023</v>
      </c>
      <c r="C385" s="17">
        <v>45029</v>
      </c>
      <c r="D385" s="20" t="s">
        <v>1616</v>
      </c>
      <c r="E385" s="15" t="s">
        <v>1615</v>
      </c>
      <c r="F385" s="15" t="s">
        <v>25</v>
      </c>
      <c r="G385" s="15" t="s">
        <v>26</v>
      </c>
      <c r="H385" s="16" t="s">
        <v>169</v>
      </c>
      <c r="I385" s="15">
        <v>1</v>
      </c>
      <c r="J385" s="15" t="s">
        <v>278</v>
      </c>
      <c r="K385" s="29" t="s">
        <v>279</v>
      </c>
      <c r="L385" s="19">
        <v>11000000</v>
      </c>
      <c r="M385" s="18">
        <f t="shared" si="24"/>
        <v>11000000</v>
      </c>
      <c r="N385" s="17">
        <v>45041</v>
      </c>
      <c r="O385" s="20" t="s">
        <v>277</v>
      </c>
      <c r="P385" s="22"/>
      <c r="Q385" s="38" t="s">
        <v>2687</v>
      </c>
      <c r="R385" s="19"/>
      <c r="S385" s="19"/>
    </row>
    <row r="386" spans="2:19" s="20" customFormat="1" ht="17.100000000000001" hidden="1" customHeight="1" x14ac:dyDescent="0.3">
      <c r="B386" s="17">
        <v>45026</v>
      </c>
      <c r="C386" s="17">
        <v>45028</v>
      </c>
      <c r="D386" s="20" t="s">
        <v>1618</v>
      </c>
      <c r="E386" s="15" t="s">
        <v>1617</v>
      </c>
      <c r="F386" s="15" t="s">
        <v>25</v>
      </c>
      <c r="G386" s="15" t="s">
        <v>21</v>
      </c>
      <c r="H386" s="16" t="s">
        <v>1619</v>
      </c>
      <c r="I386" s="15">
        <v>1</v>
      </c>
      <c r="J386" s="15" t="s">
        <v>1621</v>
      </c>
      <c r="K386" s="29" t="s">
        <v>1622</v>
      </c>
      <c r="L386" s="19">
        <v>13800000</v>
      </c>
      <c r="M386" s="18">
        <f t="shared" si="24"/>
        <v>13800000</v>
      </c>
      <c r="N386" s="17">
        <v>45086</v>
      </c>
      <c r="O386" s="20" t="s">
        <v>1620</v>
      </c>
      <c r="P386" s="22"/>
      <c r="Q386" s="38" t="s">
        <v>2688</v>
      </c>
      <c r="R386" s="19"/>
      <c r="S386" s="19"/>
    </row>
    <row r="387" spans="2:19" s="20" customFormat="1" ht="17.100000000000001" hidden="1" customHeight="1" x14ac:dyDescent="0.3">
      <c r="B387" s="17">
        <v>45026</v>
      </c>
      <c r="C387" s="17">
        <v>45033</v>
      </c>
      <c r="D387" s="20" t="s">
        <v>1628</v>
      </c>
      <c r="E387" s="15" t="s">
        <v>1626</v>
      </c>
      <c r="F387" s="15" t="s">
        <v>25</v>
      </c>
      <c r="G387" s="15" t="s">
        <v>21</v>
      </c>
      <c r="H387" s="16" t="s">
        <v>1634</v>
      </c>
      <c r="I387" s="15">
        <v>1</v>
      </c>
      <c r="J387" s="15" t="s">
        <v>1633</v>
      </c>
      <c r="K387" s="29" t="s">
        <v>1631</v>
      </c>
      <c r="L387" s="19">
        <f>12500000*2</f>
        <v>25000000</v>
      </c>
      <c r="M387" s="18">
        <f t="shared" si="24"/>
        <v>25000000</v>
      </c>
      <c r="N387" s="17">
        <v>45044</v>
      </c>
      <c r="O387" s="20" t="s">
        <v>1632</v>
      </c>
      <c r="P387" s="22"/>
      <c r="Q387" s="38" t="s">
        <v>2689</v>
      </c>
      <c r="R387" s="19"/>
      <c r="S387" s="19"/>
    </row>
    <row r="388" spans="2:19" s="20" customFormat="1" ht="17.100000000000001" hidden="1" customHeight="1" x14ac:dyDescent="0.3">
      <c r="B388" s="17">
        <v>45027</v>
      </c>
      <c r="C388" s="17">
        <v>45034</v>
      </c>
      <c r="D388" s="20" t="s">
        <v>1629</v>
      </c>
      <c r="E388" s="15" t="s">
        <v>1627</v>
      </c>
      <c r="F388" s="15" t="s">
        <v>25</v>
      </c>
      <c r="G388" s="15" t="s">
        <v>21</v>
      </c>
      <c r="H388" s="16" t="s">
        <v>1630</v>
      </c>
      <c r="I388" s="15">
        <v>1</v>
      </c>
      <c r="J388" s="15" t="s">
        <v>1633</v>
      </c>
      <c r="K388" s="29" t="s">
        <v>1631</v>
      </c>
      <c r="L388" s="19">
        <v>21500000</v>
      </c>
      <c r="M388" s="18">
        <f t="shared" si="24"/>
        <v>21500000</v>
      </c>
      <c r="N388" s="17">
        <v>45044</v>
      </c>
      <c r="O388" s="20" t="s">
        <v>1632</v>
      </c>
      <c r="P388" s="22"/>
      <c r="Q388" s="38" t="s">
        <v>2689</v>
      </c>
      <c r="R388" s="19"/>
      <c r="S388" s="19"/>
    </row>
    <row r="389" spans="2:19" s="20" customFormat="1" ht="17.100000000000001" hidden="1" customHeight="1" x14ac:dyDescent="0.3">
      <c r="B389" s="17">
        <v>45027</v>
      </c>
      <c r="C389" s="17">
        <v>45030</v>
      </c>
      <c r="D389" s="20" t="s">
        <v>1767</v>
      </c>
      <c r="E389" s="15" t="s">
        <v>1641</v>
      </c>
      <c r="F389" s="15" t="s">
        <v>25</v>
      </c>
      <c r="G389" s="15" t="s">
        <v>21</v>
      </c>
      <c r="H389" s="16" t="s">
        <v>1642</v>
      </c>
      <c r="I389" s="15">
        <v>1</v>
      </c>
      <c r="J389" s="15" t="s">
        <v>1643</v>
      </c>
      <c r="K389" s="29" t="s">
        <v>1769</v>
      </c>
      <c r="L389" s="19">
        <v>120738000</v>
      </c>
      <c r="M389" s="18">
        <f t="shared" si="24"/>
        <v>120738000</v>
      </c>
      <c r="N389" s="17">
        <v>45138</v>
      </c>
      <c r="O389" s="20" t="s">
        <v>1768</v>
      </c>
      <c r="P389" s="22"/>
      <c r="Q389" s="38" t="s">
        <v>2690</v>
      </c>
      <c r="R389" s="19"/>
      <c r="S389" s="19"/>
    </row>
    <row r="390" spans="2:19" s="20" customFormat="1" ht="17.100000000000001" hidden="1" customHeight="1" x14ac:dyDescent="0.3">
      <c r="B390" s="17">
        <v>45031</v>
      </c>
      <c r="C390" s="17">
        <v>45031</v>
      </c>
      <c r="D390" s="20" t="s">
        <v>1635</v>
      </c>
      <c r="E390" s="15" t="s">
        <v>1636</v>
      </c>
      <c r="F390" s="15" t="s">
        <v>25</v>
      </c>
      <c r="G390" s="15" t="s">
        <v>21</v>
      </c>
      <c r="H390" s="16">
        <v>600</v>
      </c>
      <c r="I390" s="15">
        <v>1</v>
      </c>
      <c r="J390" s="15" t="s">
        <v>1638</v>
      </c>
      <c r="K390" s="29" t="s">
        <v>1637</v>
      </c>
      <c r="L390" s="19">
        <v>10500000</v>
      </c>
      <c r="M390" s="18">
        <f t="shared" si="24"/>
        <v>10500000</v>
      </c>
      <c r="N390" s="17">
        <v>45077</v>
      </c>
      <c r="P390" s="22"/>
      <c r="Q390" s="38" t="s">
        <v>2691</v>
      </c>
      <c r="R390" s="19"/>
      <c r="S390" s="19"/>
    </row>
    <row r="391" spans="2:19" s="20" customFormat="1" ht="17.100000000000001" hidden="1" customHeight="1" x14ac:dyDescent="0.3">
      <c r="B391" s="17">
        <v>45033</v>
      </c>
      <c r="C391" s="17">
        <v>45055</v>
      </c>
      <c r="D391" s="20" t="s">
        <v>1826</v>
      </c>
      <c r="E391" s="15" t="s">
        <v>1670</v>
      </c>
      <c r="F391" s="15" t="s">
        <v>25</v>
      </c>
      <c r="G391" s="15" t="s">
        <v>21</v>
      </c>
      <c r="H391" s="16" t="s">
        <v>1623</v>
      </c>
      <c r="I391" s="15">
        <v>1</v>
      </c>
      <c r="J391" s="15" t="s">
        <v>1770</v>
      </c>
      <c r="K391" s="29" t="s">
        <v>1691</v>
      </c>
      <c r="L391" s="19">
        <v>250000000</v>
      </c>
      <c r="M391" s="18">
        <f t="shared" si="24"/>
        <v>250000000</v>
      </c>
      <c r="N391" s="17">
        <v>45169</v>
      </c>
      <c r="O391" s="20" t="s">
        <v>1625</v>
      </c>
      <c r="P391" s="22"/>
      <c r="Q391" s="38" t="s">
        <v>2692</v>
      </c>
      <c r="R391" s="19"/>
      <c r="S391" s="19"/>
    </row>
    <row r="392" spans="2:19" s="20" customFormat="1" ht="17.100000000000001" hidden="1" customHeight="1" x14ac:dyDescent="0.3">
      <c r="B392" s="17">
        <v>45035</v>
      </c>
      <c r="C392" s="17">
        <v>45240</v>
      </c>
      <c r="D392" s="20" t="s">
        <v>1645</v>
      </c>
      <c r="E392" s="15" t="s">
        <v>1644</v>
      </c>
      <c r="F392" s="15" t="s">
        <v>128</v>
      </c>
      <c r="G392" s="15" t="s">
        <v>21</v>
      </c>
      <c r="H392" s="16" t="s">
        <v>1939</v>
      </c>
      <c r="I392" s="15">
        <v>1</v>
      </c>
      <c r="J392" s="15" t="s">
        <v>131</v>
      </c>
      <c r="K392" s="29" t="s">
        <v>130</v>
      </c>
      <c r="L392" s="18">
        <v>20640000</v>
      </c>
      <c r="M392" s="18">
        <f t="shared" si="24"/>
        <v>20640000</v>
      </c>
      <c r="N392" s="17">
        <v>45260</v>
      </c>
      <c r="O392" s="23" t="s">
        <v>132</v>
      </c>
      <c r="P392" s="41" t="s">
        <v>1698</v>
      </c>
      <c r="Q392" s="38" t="s">
        <v>2693</v>
      </c>
      <c r="R392" s="19"/>
      <c r="S392" s="19"/>
    </row>
    <row r="393" spans="2:19" s="20" customFormat="1" ht="17.100000000000001" hidden="1" customHeight="1" x14ac:dyDescent="0.3">
      <c r="B393" s="17">
        <v>45040</v>
      </c>
      <c r="C393" s="17">
        <v>45155</v>
      </c>
      <c r="D393" s="20" t="s">
        <v>1646</v>
      </c>
      <c r="E393" s="15" t="s">
        <v>1765</v>
      </c>
      <c r="F393" s="15" t="s">
        <v>25</v>
      </c>
      <c r="G393" s="15" t="s">
        <v>21</v>
      </c>
      <c r="H393" s="16" t="s">
        <v>1648</v>
      </c>
      <c r="I393" s="15">
        <v>1</v>
      </c>
      <c r="J393" s="15" t="s">
        <v>347</v>
      </c>
      <c r="K393" s="29" t="s">
        <v>1771</v>
      </c>
      <c r="L393" s="19">
        <v>32000000</v>
      </c>
      <c r="M393" s="18">
        <f t="shared" si="24"/>
        <v>32000000</v>
      </c>
      <c r="N393" s="17">
        <v>45260</v>
      </c>
      <c r="O393" s="20" t="s">
        <v>1772</v>
      </c>
      <c r="P393" s="22"/>
      <c r="Q393" s="38" t="s">
        <v>2694</v>
      </c>
      <c r="R393" s="19"/>
      <c r="S393" s="19"/>
    </row>
    <row r="394" spans="2:19" s="20" customFormat="1" ht="17.100000000000001" hidden="1" customHeight="1" x14ac:dyDescent="0.3">
      <c r="B394" s="17">
        <v>45041</v>
      </c>
      <c r="C394" s="17">
        <v>45100</v>
      </c>
      <c r="D394" s="20" t="s">
        <v>1647</v>
      </c>
      <c r="E394" s="15" t="s">
        <v>1576</v>
      </c>
      <c r="F394" s="15" t="s">
        <v>25</v>
      </c>
      <c r="G394" s="15" t="s">
        <v>21</v>
      </c>
      <c r="H394" s="16" t="s">
        <v>1649</v>
      </c>
      <c r="I394" s="15">
        <v>1</v>
      </c>
      <c r="J394" s="15" t="s">
        <v>347</v>
      </c>
      <c r="K394" s="29" t="s">
        <v>1650</v>
      </c>
      <c r="L394" s="19">
        <v>21600000</v>
      </c>
      <c r="M394" s="18">
        <f t="shared" si="24"/>
        <v>21600000</v>
      </c>
      <c r="N394" s="17">
        <v>45260</v>
      </c>
      <c r="O394" s="20" t="s">
        <v>1651</v>
      </c>
      <c r="P394" s="22"/>
      <c r="Q394" s="38" t="s">
        <v>2694</v>
      </c>
      <c r="R394" s="19"/>
      <c r="S394" s="19"/>
    </row>
    <row r="395" spans="2:19" s="20" customFormat="1" ht="17.100000000000001" hidden="1" customHeight="1" x14ac:dyDescent="0.3">
      <c r="B395" s="17">
        <v>45041</v>
      </c>
      <c r="C395" s="17">
        <v>45050</v>
      </c>
      <c r="D395" s="20" t="s">
        <v>1971</v>
      </c>
      <c r="E395" s="15" t="s">
        <v>1652</v>
      </c>
      <c r="F395" s="15" t="s">
        <v>1653</v>
      </c>
      <c r="G395" s="15" t="s">
        <v>1654</v>
      </c>
      <c r="H395" s="16">
        <v>80</v>
      </c>
      <c r="I395" s="15">
        <v>1</v>
      </c>
      <c r="J395" s="15" t="s">
        <v>1656</v>
      </c>
      <c r="K395" s="29" t="s">
        <v>1655</v>
      </c>
      <c r="L395" s="19">
        <v>10500000</v>
      </c>
      <c r="M395" s="18">
        <f t="shared" si="24"/>
        <v>10500000</v>
      </c>
      <c r="N395" s="17">
        <v>45077</v>
      </c>
      <c r="P395" s="22"/>
      <c r="Q395" s="22"/>
      <c r="R395" s="19"/>
      <c r="S395" s="19"/>
    </row>
    <row r="396" spans="2:19" s="20" customFormat="1" ht="17.100000000000001" hidden="1" customHeight="1" x14ac:dyDescent="0.3">
      <c r="B396" s="17">
        <v>45042</v>
      </c>
      <c r="C396" s="17">
        <v>45043</v>
      </c>
      <c r="D396" s="20" t="s">
        <v>1660</v>
      </c>
      <c r="E396" s="15" t="s">
        <v>1659</v>
      </c>
      <c r="F396" s="15" t="s">
        <v>25</v>
      </c>
      <c r="G396" s="15" t="s">
        <v>1654</v>
      </c>
      <c r="H396" s="16">
        <v>900</v>
      </c>
      <c r="I396" s="15">
        <v>1</v>
      </c>
      <c r="J396" s="15" t="s">
        <v>246</v>
      </c>
      <c r="K396" s="29" t="s">
        <v>222</v>
      </c>
      <c r="L396" s="19">
        <v>24500000</v>
      </c>
      <c r="M396" s="18">
        <f t="shared" si="24"/>
        <v>24500000</v>
      </c>
      <c r="N396" s="17">
        <v>45077</v>
      </c>
      <c r="O396" s="20" t="s">
        <v>441</v>
      </c>
      <c r="P396" s="22"/>
      <c r="Q396" s="38" t="s">
        <v>2695</v>
      </c>
      <c r="R396" s="19"/>
      <c r="S396" s="19"/>
    </row>
    <row r="397" spans="2:19" s="20" customFormat="1" ht="17.100000000000001" hidden="1" customHeight="1" x14ac:dyDescent="0.3">
      <c r="B397" s="17">
        <v>45043</v>
      </c>
      <c r="C397" s="17">
        <v>45049</v>
      </c>
      <c r="D397" s="20" t="s">
        <v>1661</v>
      </c>
      <c r="E397" s="15" t="s">
        <v>1662</v>
      </c>
      <c r="F397" s="15" t="s">
        <v>46</v>
      </c>
      <c r="G397" s="15" t="s">
        <v>21</v>
      </c>
      <c r="H397" s="16">
        <v>400</v>
      </c>
      <c r="I397" s="15">
        <v>2</v>
      </c>
      <c r="J397" s="15" t="s">
        <v>1213</v>
      </c>
      <c r="K397" s="29" t="s">
        <v>1663</v>
      </c>
      <c r="L397" s="19">
        <v>22776885</v>
      </c>
      <c r="M397" s="18">
        <f t="shared" si="24"/>
        <v>45553770</v>
      </c>
      <c r="N397" s="17">
        <v>45177</v>
      </c>
      <c r="O397" s="20" t="s">
        <v>1160</v>
      </c>
      <c r="P397" s="22"/>
      <c r="Q397" s="38" t="s">
        <v>2651</v>
      </c>
      <c r="R397" s="19"/>
      <c r="S397" s="19"/>
    </row>
    <row r="398" spans="2:19" s="20" customFormat="1" ht="17.100000000000001" hidden="1" customHeight="1" x14ac:dyDescent="0.3">
      <c r="B398" s="17">
        <v>45044</v>
      </c>
      <c r="C398" s="17">
        <v>45070</v>
      </c>
      <c r="D398" s="20" t="s">
        <v>1645</v>
      </c>
      <c r="E398" s="15" t="s">
        <v>1658</v>
      </c>
      <c r="F398" s="15" t="s">
        <v>128</v>
      </c>
      <c r="G398" s="15" t="s">
        <v>21</v>
      </c>
      <c r="H398" s="16">
        <v>400</v>
      </c>
      <c r="I398" s="15">
        <v>2</v>
      </c>
      <c r="J398" s="15" t="s">
        <v>131</v>
      </c>
      <c r="K398" s="29" t="s">
        <v>1697</v>
      </c>
      <c r="L398" s="18">
        <v>10320000</v>
      </c>
      <c r="M398" s="18">
        <f t="shared" si="24"/>
        <v>20640000</v>
      </c>
      <c r="N398" s="17">
        <v>45077</v>
      </c>
      <c r="O398" s="23" t="s">
        <v>132</v>
      </c>
      <c r="P398" s="41"/>
      <c r="Q398" s="38" t="s">
        <v>2693</v>
      </c>
      <c r="R398" s="19"/>
      <c r="S398" s="19"/>
    </row>
    <row r="399" spans="2:19" s="20" customFormat="1" ht="17.100000000000001" hidden="1" customHeight="1" x14ac:dyDescent="0.3">
      <c r="B399" s="17">
        <v>45050</v>
      </c>
      <c r="C399" s="17">
        <v>45059</v>
      </c>
      <c r="D399" s="20" t="s">
        <v>1664</v>
      </c>
      <c r="E399" s="15" t="s">
        <v>1671</v>
      </c>
      <c r="F399" s="15" t="s">
        <v>46</v>
      </c>
      <c r="G399" s="15" t="s">
        <v>21</v>
      </c>
      <c r="H399" s="16">
        <v>700</v>
      </c>
      <c r="I399" s="15">
        <v>4</v>
      </c>
      <c r="J399" s="15" t="s">
        <v>1213</v>
      </c>
      <c r="K399" s="29" t="s">
        <v>1214</v>
      </c>
      <c r="L399" s="19">
        <v>48965934</v>
      </c>
      <c r="M399" s="18">
        <f t="shared" si="24"/>
        <v>195863736</v>
      </c>
      <c r="N399" s="17">
        <v>45177</v>
      </c>
      <c r="O399" s="20" t="s">
        <v>1160</v>
      </c>
      <c r="P399" s="22"/>
      <c r="Q399" s="38" t="s">
        <v>2651</v>
      </c>
      <c r="R399" s="19"/>
      <c r="S399" s="19"/>
    </row>
    <row r="400" spans="2:19" s="20" customFormat="1" ht="17.100000000000001" hidden="1" customHeight="1" x14ac:dyDescent="0.3">
      <c r="B400" s="17">
        <v>45055</v>
      </c>
      <c r="C400" s="17">
        <v>45055</v>
      </c>
      <c r="D400" s="20" t="s">
        <v>1669</v>
      </c>
      <c r="E400" s="15" t="s">
        <v>1668</v>
      </c>
      <c r="F400" s="15" t="s">
        <v>46</v>
      </c>
      <c r="G400" s="15" t="s">
        <v>21</v>
      </c>
      <c r="H400" s="16">
        <v>50</v>
      </c>
      <c r="I400" s="15">
        <v>3</v>
      </c>
      <c r="J400" s="15" t="s">
        <v>1213</v>
      </c>
      <c r="K400" s="29" t="s">
        <v>1214</v>
      </c>
      <c r="L400" s="19">
        <v>763873</v>
      </c>
      <c r="M400" s="18">
        <f t="shared" si="24"/>
        <v>2291619</v>
      </c>
      <c r="N400" s="17">
        <v>45177</v>
      </c>
      <c r="O400" s="20" t="s">
        <v>1160</v>
      </c>
      <c r="P400" s="22"/>
      <c r="Q400" s="38" t="s">
        <v>2651</v>
      </c>
      <c r="R400" s="19"/>
      <c r="S400" s="19"/>
    </row>
    <row r="401" spans="2:20" s="20" customFormat="1" ht="17.100000000000001" hidden="1" customHeight="1" x14ac:dyDescent="0.3">
      <c r="B401" s="17">
        <v>45058</v>
      </c>
      <c r="C401" s="17">
        <v>45058</v>
      </c>
      <c r="D401" s="20" t="s">
        <v>1672</v>
      </c>
      <c r="E401" s="15" t="s">
        <v>1673</v>
      </c>
      <c r="F401" s="15" t="s">
        <v>46</v>
      </c>
      <c r="G401" s="15" t="s">
        <v>21</v>
      </c>
      <c r="H401" s="16">
        <v>50</v>
      </c>
      <c r="I401" s="15">
        <v>1</v>
      </c>
      <c r="J401" s="15" t="s">
        <v>131</v>
      </c>
      <c r="K401" s="29" t="s">
        <v>130</v>
      </c>
      <c r="L401" s="18">
        <v>800000</v>
      </c>
      <c r="M401" s="18">
        <f t="shared" si="24"/>
        <v>800000</v>
      </c>
      <c r="N401" s="17">
        <v>45077</v>
      </c>
      <c r="O401" s="23" t="s">
        <v>132</v>
      </c>
      <c r="P401" s="41"/>
      <c r="Q401" s="38" t="s">
        <v>2693</v>
      </c>
      <c r="R401" s="19"/>
      <c r="S401" s="19"/>
    </row>
    <row r="402" spans="2:20" s="20" customFormat="1" ht="17.100000000000001" hidden="1" customHeight="1" x14ac:dyDescent="0.3">
      <c r="B402" s="17">
        <v>45061</v>
      </c>
      <c r="C402" s="17">
        <v>45062</v>
      </c>
      <c r="D402" s="20" t="s">
        <v>1679</v>
      </c>
      <c r="E402" s="15" t="s">
        <v>1680</v>
      </c>
      <c r="F402" s="15" t="s">
        <v>25</v>
      </c>
      <c r="G402" s="15" t="s">
        <v>47</v>
      </c>
      <c r="H402" s="16" t="s">
        <v>1681</v>
      </c>
      <c r="I402" s="15">
        <v>1</v>
      </c>
      <c r="J402" s="15" t="s">
        <v>1682</v>
      </c>
      <c r="K402" s="29" t="s">
        <v>1683</v>
      </c>
      <c r="L402" s="18">
        <v>24800000</v>
      </c>
      <c r="M402" s="18">
        <f t="shared" si="24"/>
        <v>25600000</v>
      </c>
      <c r="N402" s="17">
        <v>45076</v>
      </c>
      <c r="O402" s="23" t="s">
        <v>1684</v>
      </c>
      <c r="P402" s="41"/>
      <c r="Q402" s="38" t="s">
        <v>2696</v>
      </c>
      <c r="R402" s="19">
        <v>800000</v>
      </c>
      <c r="S402" s="19">
        <f>800000</f>
        <v>800000</v>
      </c>
      <c r="T402" s="20">
        <f>S402-R402</f>
        <v>0</v>
      </c>
    </row>
    <row r="403" spans="2:20" s="20" customFormat="1" ht="17.100000000000001" hidden="1" customHeight="1" x14ac:dyDescent="0.3">
      <c r="B403" s="17">
        <v>45061</v>
      </c>
      <c r="C403" s="17">
        <v>45070</v>
      </c>
      <c r="D403" s="20" t="s">
        <v>1675</v>
      </c>
      <c r="E403" s="15" t="s">
        <v>1674</v>
      </c>
      <c r="F403" s="15" t="s">
        <v>46</v>
      </c>
      <c r="G403" s="15" t="s">
        <v>21</v>
      </c>
      <c r="H403" s="16">
        <v>750</v>
      </c>
      <c r="I403" s="15">
        <v>2</v>
      </c>
      <c r="J403" s="15" t="s">
        <v>1159</v>
      </c>
      <c r="K403" s="29" t="s">
        <v>1678</v>
      </c>
      <c r="L403" s="19">
        <v>58123089</v>
      </c>
      <c r="M403" s="18">
        <f t="shared" si="24"/>
        <v>116246178</v>
      </c>
      <c r="N403" s="17">
        <v>45177</v>
      </c>
      <c r="O403" s="20" t="s">
        <v>1160</v>
      </c>
      <c r="P403" s="22"/>
      <c r="Q403" s="38" t="s">
        <v>2651</v>
      </c>
      <c r="R403" s="19"/>
      <c r="S403" s="19"/>
    </row>
    <row r="404" spans="2:20" s="20" customFormat="1" ht="17.100000000000001" hidden="1" customHeight="1" x14ac:dyDescent="0.3">
      <c r="B404" s="17">
        <v>45062</v>
      </c>
      <c r="C404" s="17">
        <v>45070</v>
      </c>
      <c r="D404" s="20" t="s">
        <v>1676</v>
      </c>
      <c r="E404" s="15" t="s">
        <v>1677</v>
      </c>
      <c r="F404" s="15" t="s">
        <v>46</v>
      </c>
      <c r="G404" s="15" t="s">
        <v>21</v>
      </c>
      <c r="H404" s="16">
        <v>600</v>
      </c>
      <c r="I404" s="15">
        <v>2</v>
      </c>
      <c r="J404" s="15" t="s">
        <v>1159</v>
      </c>
      <c r="K404" s="29" t="s">
        <v>1678</v>
      </c>
      <c r="L404" s="19">
        <v>41162866</v>
      </c>
      <c r="M404" s="18">
        <f t="shared" si="24"/>
        <v>82325732</v>
      </c>
      <c r="N404" s="17">
        <v>45177</v>
      </c>
      <c r="O404" s="20" t="s">
        <v>1160</v>
      </c>
      <c r="P404" s="22"/>
      <c r="Q404" s="38" t="s">
        <v>2651</v>
      </c>
      <c r="R404" s="19"/>
      <c r="S404" s="19"/>
    </row>
    <row r="405" spans="2:20" s="20" customFormat="1" ht="17.100000000000001" hidden="1" customHeight="1" x14ac:dyDescent="0.3">
      <c r="B405" s="17">
        <v>45063</v>
      </c>
      <c r="C405" s="17">
        <v>45068</v>
      </c>
      <c r="D405" s="20" t="s">
        <v>1686</v>
      </c>
      <c r="E405" s="15" t="s">
        <v>1685</v>
      </c>
      <c r="F405" s="15" t="s">
        <v>46</v>
      </c>
      <c r="G405" s="15" t="s">
        <v>21</v>
      </c>
      <c r="H405" s="16">
        <v>800</v>
      </c>
      <c r="I405" s="15">
        <v>2</v>
      </c>
      <c r="J405" s="15" t="s">
        <v>1285</v>
      </c>
      <c r="K405" s="29" t="s">
        <v>1687</v>
      </c>
      <c r="L405" s="19">
        <v>61826744</v>
      </c>
      <c r="M405" s="18">
        <f t="shared" si="24"/>
        <v>123653488</v>
      </c>
      <c r="N405" s="17">
        <v>45177</v>
      </c>
      <c r="O405" s="20" t="s">
        <v>1766</v>
      </c>
      <c r="P405" s="22"/>
      <c r="Q405" s="38" t="s">
        <v>2651</v>
      </c>
      <c r="R405" s="19"/>
      <c r="S405" s="19"/>
    </row>
    <row r="406" spans="2:20" s="20" customFormat="1" ht="17.100000000000001" hidden="1" customHeight="1" x14ac:dyDescent="0.3">
      <c r="B406" s="17">
        <v>45068</v>
      </c>
      <c r="C406" s="17">
        <v>45117</v>
      </c>
      <c r="D406" s="20" t="s">
        <v>1689</v>
      </c>
      <c r="E406" s="15" t="s">
        <v>1688</v>
      </c>
      <c r="F406" s="15" t="s">
        <v>25</v>
      </c>
      <c r="G406" s="15" t="s">
        <v>47</v>
      </c>
      <c r="H406" s="16" t="s">
        <v>1690</v>
      </c>
      <c r="I406" s="15">
        <v>1</v>
      </c>
      <c r="J406" s="15" t="s">
        <v>1624</v>
      </c>
      <c r="K406" s="29" t="s">
        <v>1691</v>
      </c>
      <c r="L406" s="19"/>
      <c r="M406" s="18">
        <f t="shared" si="24"/>
        <v>0</v>
      </c>
      <c r="N406" s="17">
        <v>45199</v>
      </c>
      <c r="O406" s="20" t="s">
        <v>1625</v>
      </c>
      <c r="P406" s="22"/>
      <c r="Q406" s="38" t="s">
        <v>2692</v>
      </c>
      <c r="R406" s="19"/>
      <c r="S406" s="19"/>
    </row>
    <row r="407" spans="2:20" s="20" customFormat="1" ht="17.100000000000001" hidden="1" customHeight="1" x14ac:dyDescent="0.3">
      <c r="B407" s="17">
        <v>45072</v>
      </c>
      <c r="C407" s="17">
        <v>45077</v>
      </c>
      <c r="D407" s="20" t="s">
        <v>1693</v>
      </c>
      <c r="E407" s="15" t="s">
        <v>1692</v>
      </c>
      <c r="F407" s="15" t="s">
        <v>46</v>
      </c>
      <c r="G407" s="15" t="s">
        <v>21</v>
      </c>
      <c r="H407" s="16">
        <v>600</v>
      </c>
      <c r="I407" s="15">
        <v>4</v>
      </c>
      <c r="J407" s="15" t="s">
        <v>1217</v>
      </c>
      <c r="K407" s="29" t="s">
        <v>1694</v>
      </c>
      <c r="L407" s="19">
        <v>41162866</v>
      </c>
      <c r="M407" s="18">
        <f t="shared" si="24"/>
        <v>164651464</v>
      </c>
      <c r="N407" s="17">
        <v>45177</v>
      </c>
      <c r="O407" s="20" t="s">
        <v>1160</v>
      </c>
      <c r="P407" s="22"/>
      <c r="Q407" s="38" t="s">
        <v>2651</v>
      </c>
      <c r="R407" s="19"/>
      <c r="S407" s="19"/>
    </row>
    <row r="408" spans="2:20" s="20" customFormat="1" ht="17.100000000000001" hidden="1" customHeight="1" x14ac:dyDescent="0.3">
      <c r="B408" s="17">
        <v>45076</v>
      </c>
      <c r="C408" s="17">
        <v>45084</v>
      </c>
      <c r="D408" s="20" t="s">
        <v>1827</v>
      </c>
      <c r="E408" s="15" t="s">
        <v>1695</v>
      </c>
      <c r="F408" s="15" t="s">
        <v>25</v>
      </c>
      <c r="G408" s="15" t="s">
        <v>47</v>
      </c>
      <c r="H408" s="16" t="s">
        <v>1696</v>
      </c>
      <c r="I408" s="15">
        <v>1</v>
      </c>
      <c r="J408" s="15" t="s">
        <v>1624</v>
      </c>
      <c r="K408" s="29" t="s">
        <v>1691</v>
      </c>
      <c r="L408" s="19"/>
      <c r="M408" s="18">
        <f t="shared" si="24"/>
        <v>0</v>
      </c>
      <c r="N408" s="17">
        <v>45169</v>
      </c>
      <c r="O408" s="20" t="s">
        <v>1625</v>
      </c>
      <c r="P408" s="22"/>
      <c r="Q408" s="38" t="s">
        <v>2692</v>
      </c>
      <c r="R408" s="19"/>
      <c r="S408" s="19"/>
    </row>
    <row r="409" spans="2:20" s="20" customFormat="1" ht="17.100000000000001" hidden="1" customHeight="1" x14ac:dyDescent="0.3">
      <c r="B409" s="17">
        <v>45091</v>
      </c>
      <c r="C409" s="17">
        <v>45098</v>
      </c>
      <c r="D409" s="20" t="s">
        <v>1703</v>
      </c>
      <c r="E409" s="15" t="s">
        <v>1704</v>
      </c>
      <c r="F409" s="15" t="s">
        <v>46</v>
      </c>
      <c r="G409" s="15" t="s">
        <v>21</v>
      </c>
      <c r="H409" s="16" t="s">
        <v>1707</v>
      </c>
      <c r="I409" s="15">
        <v>1</v>
      </c>
      <c r="J409" s="15" t="s">
        <v>1705</v>
      </c>
      <c r="K409" s="29" t="s">
        <v>1706</v>
      </c>
      <c r="L409" s="19">
        <v>195000000</v>
      </c>
      <c r="M409" s="18">
        <f t="shared" si="24"/>
        <v>195000000</v>
      </c>
      <c r="N409" s="17">
        <v>45107</v>
      </c>
      <c r="O409" s="20" t="s">
        <v>1708</v>
      </c>
      <c r="P409" s="22"/>
      <c r="Q409" s="38" t="s">
        <v>2697</v>
      </c>
      <c r="R409" s="19">
        <f>4431000*4</f>
        <v>17724000</v>
      </c>
      <c r="S409" s="19"/>
    </row>
    <row r="410" spans="2:20" s="20" customFormat="1" ht="17.100000000000001" hidden="1" customHeight="1" x14ac:dyDescent="0.3">
      <c r="B410" s="17">
        <v>45092</v>
      </c>
      <c r="C410" s="17">
        <v>45093</v>
      </c>
      <c r="D410" s="20" t="s">
        <v>1710</v>
      </c>
      <c r="E410" s="15" t="s">
        <v>1709</v>
      </c>
      <c r="F410" s="15" t="s">
        <v>25</v>
      </c>
      <c r="G410" s="15" t="s">
        <v>47</v>
      </c>
      <c r="H410" s="16" t="s">
        <v>1711</v>
      </c>
      <c r="I410" s="15">
        <v>1</v>
      </c>
      <c r="J410" s="15" t="s">
        <v>1713</v>
      </c>
      <c r="K410" s="29" t="s">
        <v>1712</v>
      </c>
      <c r="L410" s="19">
        <v>6000000</v>
      </c>
      <c r="M410" s="18">
        <f t="shared" si="24"/>
        <v>6000000</v>
      </c>
      <c r="N410" s="17">
        <v>45107</v>
      </c>
      <c r="O410" s="20" t="s">
        <v>1714</v>
      </c>
      <c r="P410" s="22"/>
      <c r="Q410" s="38" t="s">
        <v>2698</v>
      </c>
      <c r="R410" s="19"/>
      <c r="S410" s="19"/>
    </row>
    <row r="411" spans="2:20" s="20" customFormat="1" ht="17.100000000000001" hidden="1" customHeight="1" x14ac:dyDescent="0.3">
      <c r="B411" s="17">
        <v>45096</v>
      </c>
      <c r="C411" s="17">
        <v>45204</v>
      </c>
      <c r="D411" s="20" t="s">
        <v>1773</v>
      </c>
      <c r="E411" s="15" t="s">
        <v>1715</v>
      </c>
      <c r="F411" s="15" t="s">
        <v>25</v>
      </c>
      <c r="G411" s="15" t="s">
        <v>21</v>
      </c>
      <c r="H411" s="16" t="s">
        <v>1716</v>
      </c>
      <c r="I411" s="15">
        <v>1</v>
      </c>
      <c r="J411" s="15" t="s">
        <v>1713</v>
      </c>
      <c r="K411" s="29" t="s">
        <v>1775</v>
      </c>
      <c r="L411" s="19"/>
      <c r="M411" s="18">
        <f t="shared" si="24"/>
        <v>0</v>
      </c>
      <c r="N411" s="17">
        <v>45271</v>
      </c>
      <c r="O411" s="20" t="s">
        <v>1774</v>
      </c>
      <c r="P411" s="22"/>
      <c r="Q411" s="38" t="s">
        <v>2699</v>
      </c>
      <c r="R411" s="19"/>
      <c r="S411" s="19"/>
    </row>
    <row r="412" spans="2:20" s="20" customFormat="1" ht="17.100000000000001" hidden="1" customHeight="1" x14ac:dyDescent="0.3">
      <c r="B412" s="17">
        <v>45097</v>
      </c>
      <c r="C412" s="17">
        <v>45097</v>
      </c>
      <c r="D412" s="20" t="s">
        <v>1811</v>
      </c>
      <c r="E412" s="15" t="s">
        <v>1717</v>
      </c>
      <c r="F412" s="15" t="s">
        <v>46</v>
      </c>
      <c r="G412" s="15" t="s">
        <v>21</v>
      </c>
      <c r="H412" s="16">
        <v>50</v>
      </c>
      <c r="I412" s="15">
        <v>2</v>
      </c>
      <c r="J412" s="15" t="s">
        <v>1285</v>
      </c>
      <c r="K412" s="29" t="s">
        <v>1718</v>
      </c>
      <c r="L412" s="19">
        <v>997153</v>
      </c>
      <c r="M412" s="18">
        <f t="shared" si="24"/>
        <v>1994306</v>
      </c>
      <c r="N412" s="17">
        <v>45177</v>
      </c>
      <c r="O412" s="20" t="s">
        <v>1160</v>
      </c>
      <c r="P412" s="22"/>
      <c r="Q412" s="38" t="s">
        <v>2651</v>
      </c>
      <c r="R412" s="19"/>
      <c r="S412" s="19"/>
    </row>
    <row r="413" spans="2:20" s="20" customFormat="1" ht="17.100000000000001" hidden="1" customHeight="1" x14ac:dyDescent="0.3">
      <c r="B413" s="17">
        <v>45099</v>
      </c>
      <c r="C413" s="17">
        <v>45101</v>
      </c>
      <c r="D413" s="20" t="s">
        <v>1720</v>
      </c>
      <c r="E413" s="15" t="s">
        <v>1719</v>
      </c>
      <c r="F413" s="15" t="s">
        <v>46</v>
      </c>
      <c r="G413" s="15" t="s">
        <v>21</v>
      </c>
      <c r="H413" s="16">
        <v>400</v>
      </c>
      <c r="I413" s="15">
        <v>2</v>
      </c>
      <c r="J413" s="15" t="s">
        <v>1213</v>
      </c>
      <c r="K413" s="29" t="s">
        <v>1214</v>
      </c>
      <c r="L413" s="19">
        <v>22776885</v>
      </c>
      <c r="M413" s="18">
        <f t="shared" si="24"/>
        <v>45553770</v>
      </c>
      <c r="N413" s="17">
        <v>45177</v>
      </c>
      <c r="O413" s="20" t="s">
        <v>1160</v>
      </c>
      <c r="P413" s="22"/>
      <c r="Q413" s="38" t="s">
        <v>2651</v>
      </c>
      <c r="R413" s="19"/>
      <c r="S413" s="19"/>
    </row>
    <row r="414" spans="2:20" s="20" customFormat="1" ht="17.100000000000001" hidden="1" customHeight="1" x14ac:dyDescent="0.3">
      <c r="B414" s="17">
        <v>45100</v>
      </c>
      <c r="C414" s="17">
        <v>45104</v>
      </c>
      <c r="D414" s="20" t="s">
        <v>1722</v>
      </c>
      <c r="E414" s="15" t="s">
        <v>1721</v>
      </c>
      <c r="F414" s="15" t="s">
        <v>46</v>
      </c>
      <c r="G414" s="15" t="s">
        <v>21</v>
      </c>
      <c r="H414" s="16">
        <v>250</v>
      </c>
      <c r="I414" s="15">
        <v>2</v>
      </c>
      <c r="J414" s="15" t="s">
        <v>1159</v>
      </c>
      <c r="K414" s="29" t="s">
        <v>1723</v>
      </c>
      <c r="L414" s="19">
        <v>11820668</v>
      </c>
      <c r="M414" s="18">
        <f t="shared" si="24"/>
        <v>23641336</v>
      </c>
      <c r="N414" s="17">
        <v>45177</v>
      </c>
      <c r="O414" s="20" t="s">
        <v>1160</v>
      </c>
      <c r="P414" s="22"/>
      <c r="Q414" s="38" t="s">
        <v>2651</v>
      </c>
      <c r="R414" s="19"/>
      <c r="S414" s="19"/>
    </row>
    <row r="415" spans="2:20" s="20" customFormat="1" ht="17.100000000000001" hidden="1" customHeight="1" x14ac:dyDescent="0.3">
      <c r="B415" s="17">
        <v>45104</v>
      </c>
      <c r="C415" s="17">
        <v>45107</v>
      </c>
      <c r="D415" s="20" t="s">
        <v>1724</v>
      </c>
      <c r="E415" s="15" t="s">
        <v>1725</v>
      </c>
      <c r="F415" s="15" t="s">
        <v>46</v>
      </c>
      <c r="G415" s="15" t="s">
        <v>21</v>
      </c>
      <c r="H415" s="16">
        <v>250</v>
      </c>
      <c r="I415" s="15">
        <v>4</v>
      </c>
      <c r="J415" s="15" t="s">
        <v>1178</v>
      </c>
      <c r="K415" s="29" t="s">
        <v>1694</v>
      </c>
      <c r="L415" s="19">
        <v>11820668</v>
      </c>
      <c r="M415" s="18">
        <f t="shared" si="24"/>
        <v>47282672</v>
      </c>
      <c r="N415" s="17">
        <v>45177</v>
      </c>
      <c r="O415" s="20" t="s">
        <v>1160</v>
      </c>
      <c r="P415" s="22"/>
      <c r="Q415" s="38" t="s">
        <v>2651</v>
      </c>
      <c r="R415" s="19"/>
      <c r="S415" s="19"/>
    </row>
    <row r="416" spans="2:20" s="20" customFormat="1" ht="17.100000000000001" hidden="1" customHeight="1" x14ac:dyDescent="0.3">
      <c r="B416" s="17">
        <v>45110</v>
      </c>
      <c r="C416" s="17">
        <v>45111</v>
      </c>
      <c r="D416" s="20" t="s">
        <v>1777</v>
      </c>
      <c r="E416" s="15" t="s">
        <v>1734</v>
      </c>
      <c r="F416" s="15" t="s">
        <v>25</v>
      </c>
      <c r="G416" s="15" t="s">
        <v>21</v>
      </c>
      <c r="H416" s="16" t="s">
        <v>1735</v>
      </c>
      <c r="I416" s="15">
        <v>1</v>
      </c>
      <c r="J416" s="15"/>
      <c r="K416" s="29" t="s">
        <v>1736</v>
      </c>
      <c r="L416" s="19"/>
      <c r="M416" s="18">
        <f t="shared" si="24"/>
        <v>0</v>
      </c>
      <c r="N416" s="17">
        <v>45288</v>
      </c>
      <c r="O416" s="20" t="s">
        <v>1737</v>
      </c>
      <c r="P416" s="22"/>
      <c r="Q416" s="22"/>
      <c r="R416" s="19"/>
      <c r="S416" s="19"/>
    </row>
    <row r="417" spans="2:19" s="20" customFormat="1" ht="17.100000000000001" hidden="1" customHeight="1" x14ac:dyDescent="0.3">
      <c r="B417" s="17">
        <v>45110</v>
      </c>
      <c r="C417" s="17">
        <v>45114</v>
      </c>
      <c r="D417" s="20" t="s">
        <v>1738</v>
      </c>
      <c r="E417" s="15" t="s">
        <v>1739</v>
      </c>
      <c r="F417" s="15" t="s">
        <v>46</v>
      </c>
      <c r="G417" s="15" t="s">
        <v>21</v>
      </c>
      <c r="H417" s="16">
        <v>300</v>
      </c>
      <c r="I417" s="15">
        <v>2</v>
      </c>
      <c r="J417" s="15" t="s">
        <v>1213</v>
      </c>
      <c r="K417" s="29" t="s">
        <v>1214</v>
      </c>
      <c r="L417" s="19">
        <v>14533401</v>
      </c>
      <c r="M417" s="18">
        <f t="shared" si="24"/>
        <v>29066802</v>
      </c>
      <c r="N417" s="17">
        <v>45177</v>
      </c>
      <c r="O417" s="20" t="s">
        <v>1160</v>
      </c>
      <c r="P417" s="22"/>
      <c r="Q417" s="38" t="s">
        <v>2651</v>
      </c>
      <c r="R417" s="19"/>
      <c r="S417" s="19"/>
    </row>
    <row r="418" spans="2:19" s="20" customFormat="1" ht="17.100000000000001" hidden="1" customHeight="1" x14ac:dyDescent="0.3">
      <c r="B418" s="17">
        <v>45117</v>
      </c>
      <c r="C418" s="17">
        <v>45183</v>
      </c>
      <c r="D418" s="20" t="s">
        <v>1740</v>
      </c>
      <c r="E418" s="15" t="s">
        <v>1741</v>
      </c>
      <c r="F418" s="15" t="s">
        <v>25</v>
      </c>
      <c r="G418" s="15" t="s">
        <v>548</v>
      </c>
      <c r="H418" s="16">
        <v>1350</v>
      </c>
      <c r="I418" s="15">
        <v>1</v>
      </c>
      <c r="J418" s="15" t="s">
        <v>246</v>
      </c>
      <c r="K418" s="15" t="s">
        <v>245</v>
      </c>
      <c r="L418" s="19">
        <v>84000000</v>
      </c>
      <c r="M418" s="18">
        <f t="shared" si="24"/>
        <v>84000000</v>
      </c>
      <c r="N418" s="17">
        <v>45194</v>
      </c>
      <c r="O418" s="20" t="s">
        <v>1776</v>
      </c>
      <c r="P418" s="22"/>
      <c r="Q418" s="38" t="s">
        <v>2681</v>
      </c>
      <c r="R418" s="19"/>
      <c r="S418" s="19"/>
    </row>
    <row r="419" spans="2:19" s="20" customFormat="1" ht="17.100000000000001" hidden="1" customHeight="1" x14ac:dyDescent="0.3">
      <c r="B419" s="17">
        <v>45118</v>
      </c>
      <c r="C419" s="17">
        <v>45174</v>
      </c>
      <c r="D419" s="20" t="s">
        <v>1743</v>
      </c>
      <c r="E419" s="15" t="s">
        <v>1742</v>
      </c>
      <c r="F419" s="15" t="s">
        <v>25</v>
      </c>
      <c r="G419" s="15" t="s">
        <v>21</v>
      </c>
      <c r="H419" s="16">
        <v>800</v>
      </c>
      <c r="I419" s="15">
        <v>1</v>
      </c>
      <c r="J419" s="15" t="s">
        <v>354</v>
      </c>
      <c r="K419" s="29" t="s">
        <v>62</v>
      </c>
      <c r="L419" s="19">
        <v>34130886</v>
      </c>
      <c r="M419" s="18">
        <f t="shared" si="24"/>
        <v>34130886</v>
      </c>
      <c r="N419" s="17">
        <v>45169</v>
      </c>
      <c r="O419" s="20" t="s">
        <v>353</v>
      </c>
      <c r="P419" s="22"/>
      <c r="Q419" s="38" t="s">
        <v>2680</v>
      </c>
      <c r="R419" s="19"/>
      <c r="S419" s="19"/>
    </row>
    <row r="420" spans="2:19" s="20" customFormat="1" ht="17.100000000000001" hidden="1" customHeight="1" x14ac:dyDescent="0.3">
      <c r="B420" s="17">
        <v>45119</v>
      </c>
      <c r="C420" s="17">
        <v>45174</v>
      </c>
      <c r="D420" s="20" t="s">
        <v>1744</v>
      </c>
      <c r="E420" s="15" t="s">
        <v>1746</v>
      </c>
      <c r="F420" s="15" t="s">
        <v>25</v>
      </c>
      <c r="G420" s="15" t="s">
        <v>21</v>
      </c>
      <c r="H420" s="16">
        <v>900</v>
      </c>
      <c r="I420" s="15">
        <v>1</v>
      </c>
      <c r="J420" s="15" t="s">
        <v>354</v>
      </c>
      <c r="K420" s="29" t="s">
        <v>62</v>
      </c>
      <c r="L420" s="19">
        <v>22277196</v>
      </c>
      <c r="M420" s="18">
        <f t="shared" si="24"/>
        <v>22277196</v>
      </c>
      <c r="N420" s="17">
        <v>45169</v>
      </c>
      <c r="O420" s="20" t="s">
        <v>353</v>
      </c>
      <c r="P420" s="22"/>
      <c r="Q420" s="38" t="s">
        <v>2680</v>
      </c>
      <c r="R420" s="19"/>
      <c r="S420" s="19"/>
    </row>
    <row r="421" spans="2:19" s="20" customFormat="1" ht="17.100000000000001" hidden="1" customHeight="1" x14ac:dyDescent="0.3">
      <c r="B421" s="17">
        <v>45120</v>
      </c>
      <c r="C421" s="17">
        <v>45147</v>
      </c>
      <c r="D421" s="20" t="s">
        <v>1745</v>
      </c>
      <c r="E421" s="15" t="s">
        <v>1747</v>
      </c>
      <c r="F421" s="15" t="s">
        <v>25</v>
      </c>
      <c r="G421" s="15" t="s">
        <v>21</v>
      </c>
      <c r="H421" s="16" t="s">
        <v>1748</v>
      </c>
      <c r="I421" s="15">
        <v>1</v>
      </c>
      <c r="J421" s="15" t="s">
        <v>354</v>
      </c>
      <c r="K421" s="29" t="s">
        <v>62</v>
      </c>
      <c r="L421" s="19">
        <v>11861216</v>
      </c>
      <c r="M421" s="18">
        <f t="shared" si="24"/>
        <v>11861216</v>
      </c>
      <c r="N421" s="17">
        <v>45169</v>
      </c>
      <c r="O421" s="20" t="s">
        <v>353</v>
      </c>
      <c r="P421" s="22"/>
      <c r="Q421" s="38" t="s">
        <v>2680</v>
      </c>
      <c r="R421" s="19"/>
      <c r="S421" s="19"/>
    </row>
    <row r="422" spans="2:19" s="20" customFormat="1" ht="17.100000000000001" hidden="1" customHeight="1" x14ac:dyDescent="0.3">
      <c r="B422" s="17">
        <v>45125</v>
      </c>
      <c r="C422" s="17">
        <v>45129</v>
      </c>
      <c r="D422" s="20" t="s">
        <v>1750</v>
      </c>
      <c r="E422" s="15" t="s">
        <v>1749</v>
      </c>
      <c r="F422" s="15" t="s">
        <v>46</v>
      </c>
      <c r="G422" s="15" t="s">
        <v>21</v>
      </c>
      <c r="H422" s="16">
        <v>700</v>
      </c>
      <c r="I422" s="15">
        <v>4</v>
      </c>
      <c r="J422" s="15" t="s">
        <v>1159</v>
      </c>
      <c r="K422" s="29" t="s">
        <v>1183</v>
      </c>
      <c r="L422" s="19">
        <v>48965934</v>
      </c>
      <c r="M422" s="18">
        <f t="shared" si="24"/>
        <v>195863736</v>
      </c>
      <c r="N422" s="17">
        <v>45177</v>
      </c>
      <c r="O422" s="20" t="s">
        <v>1160</v>
      </c>
      <c r="P422" s="22"/>
      <c r="Q422" s="38" t="s">
        <v>2651</v>
      </c>
      <c r="R422" s="19"/>
      <c r="S422" s="19"/>
    </row>
    <row r="423" spans="2:19" s="20" customFormat="1" ht="17.100000000000001" hidden="1" customHeight="1" x14ac:dyDescent="0.3">
      <c r="B423" s="17">
        <v>45126</v>
      </c>
      <c r="C423" s="17">
        <v>45134</v>
      </c>
      <c r="D423" s="20" t="s">
        <v>1752</v>
      </c>
      <c r="E423" s="15" t="s">
        <v>1751</v>
      </c>
      <c r="F423" s="15" t="s">
        <v>25</v>
      </c>
      <c r="G423" s="15" t="s">
        <v>26</v>
      </c>
      <c r="H423" s="16">
        <v>600</v>
      </c>
      <c r="I423" s="15">
        <v>1</v>
      </c>
      <c r="J423" s="15" t="s">
        <v>1445</v>
      </c>
      <c r="K423" s="29" t="s">
        <v>1446</v>
      </c>
      <c r="L423" s="19">
        <v>13000000</v>
      </c>
      <c r="M423" s="18">
        <f t="shared" si="24"/>
        <v>13000000</v>
      </c>
      <c r="N423" s="17">
        <v>45138</v>
      </c>
      <c r="O423" s="20" t="s">
        <v>1447</v>
      </c>
      <c r="P423" s="22"/>
      <c r="Q423" s="38" t="s">
        <v>2672</v>
      </c>
      <c r="R423" s="19"/>
      <c r="S423" s="19"/>
    </row>
    <row r="424" spans="2:19" s="20" customFormat="1" ht="17.100000000000001" hidden="1" customHeight="1" x14ac:dyDescent="0.3">
      <c r="B424" s="17">
        <v>45127</v>
      </c>
      <c r="C424" s="17">
        <v>45194</v>
      </c>
      <c r="D424" s="20" t="s">
        <v>1754</v>
      </c>
      <c r="E424" s="15" t="s">
        <v>1753</v>
      </c>
      <c r="F424" s="15" t="s">
        <v>25</v>
      </c>
      <c r="G424" s="15" t="s">
        <v>21</v>
      </c>
      <c r="H424" s="16" t="s">
        <v>1759</v>
      </c>
      <c r="I424" s="15">
        <v>1</v>
      </c>
      <c r="J424" s="15" t="s">
        <v>1760</v>
      </c>
      <c r="K424" s="29" t="s">
        <v>1761</v>
      </c>
      <c r="L424" s="19">
        <v>105540000</v>
      </c>
      <c r="M424" s="18">
        <f t="shared" si="24"/>
        <v>105540000</v>
      </c>
      <c r="N424" s="17">
        <v>45260</v>
      </c>
      <c r="O424" s="20" t="s">
        <v>1757</v>
      </c>
      <c r="P424" s="22"/>
      <c r="Q424" s="38" t="s">
        <v>2700</v>
      </c>
      <c r="R424" s="19"/>
      <c r="S424" s="19"/>
    </row>
    <row r="425" spans="2:19" s="20" customFormat="1" ht="17.100000000000001" hidden="1" customHeight="1" x14ac:dyDescent="0.3">
      <c r="B425" s="17">
        <v>45128</v>
      </c>
      <c r="C425" s="17">
        <v>45194</v>
      </c>
      <c r="D425" s="20" t="s">
        <v>1755</v>
      </c>
      <c r="E425" s="15" t="s">
        <v>1756</v>
      </c>
      <c r="F425" s="15" t="s">
        <v>25</v>
      </c>
      <c r="G425" s="15" t="s">
        <v>21</v>
      </c>
      <c r="H425" s="16" t="s">
        <v>1758</v>
      </c>
      <c r="I425" s="15">
        <v>1</v>
      </c>
      <c r="J425" s="15" t="s">
        <v>1760</v>
      </c>
      <c r="K425" s="29" t="s">
        <v>1761</v>
      </c>
      <c r="L425" s="19">
        <v>100348000</v>
      </c>
      <c r="M425" s="18">
        <f t="shared" si="24"/>
        <v>100348000</v>
      </c>
      <c r="N425" s="17">
        <v>45260</v>
      </c>
      <c r="O425" s="20" t="s">
        <v>1757</v>
      </c>
      <c r="P425" s="22"/>
      <c r="Q425" s="38" t="s">
        <v>2700</v>
      </c>
      <c r="R425" s="19"/>
      <c r="S425" s="19"/>
    </row>
    <row r="426" spans="2:19" s="20" customFormat="1" ht="17.100000000000001" hidden="1" customHeight="1" x14ac:dyDescent="0.3">
      <c r="B426" s="17">
        <v>45128</v>
      </c>
      <c r="C426" s="17">
        <v>45133</v>
      </c>
      <c r="D426" s="20" t="s">
        <v>1762</v>
      </c>
      <c r="E426" s="15" t="s">
        <v>1763</v>
      </c>
      <c r="F426" s="15" t="s">
        <v>46</v>
      </c>
      <c r="G426" s="15" t="s">
        <v>21</v>
      </c>
      <c r="H426" s="16" t="s">
        <v>1764</v>
      </c>
      <c r="I426" s="15">
        <v>1</v>
      </c>
      <c r="J426" s="15" t="s">
        <v>1029</v>
      </c>
      <c r="K426" s="29" t="s">
        <v>1133</v>
      </c>
      <c r="L426" s="19">
        <v>84000000</v>
      </c>
      <c r="M426" s="18">
        <f t="shared" si="24"/>
        <v>105000000</v>
      </c>
      <c r="N426" s="17">
        <v>45138</v>
      </c>
      <c r="P426" s="22"/>
      <c r="Q426" s="38" t="s">
        <v>2701</v>
      </c>
      <c r="R426" s="19">
        <v>20526000</v>
      </c>
      <c r="S426" s="19">
        <v>21000000</v>
      </c>
    </row>
    <row r="427" spans="2:19" s="20" customFormat="1" ht="17.100000000000001" hidden="1" customHeight="1" x14ac:dyDescent="0.3">
      <c r="B427" s="17">
        <v>45134</v>
      </c>
      <c r="C427" s="17">
        <v>45134</v>
      </c>
      <c r="D427" s="20" t="s">
        <v>1779</v>
      </c>
      <c r="E427" s="15" t="s">
        <v>1778</v>
      </c>
      <c r="F427" s="15" t="s">
        <v>25</v>
      </c>
      <c r="G427" s="15" t="s">
        <v>21</v>
      </c>
      <c r="H427" s="16" t="s">
        <v>1780</v>
      </c>
      <c r="I427" s="15">
        <v>1</v>
      </c>
      <c r="J427" s="15" t="s">
        <v>1781</v>
      </c>
      <c r="K427" s="29" t="s">
        <v>1783</v>
      </c>
      <c r="L427" s="19">
        <v>4200000</v>
      </c>
      <c r="M427" s="18">
        <f t="shared" si="24"/>
        <v>4200000</v>
      </c>
      <c r="N427" s="17">
        <v>45184</v>
      </c>
      <c r="O427" s="20" t="s">
        <v>1782</v>
      </c>
      <c r="P427" s="22"/>
      <c r="Q427" s="38" t="s">
        <v>2702</v>
      </c>
      <c r="R427" s="19"/>
      <c r="S427" s="19"/>
    </row>
    <row r="428" spans="2:19" s="20" customFormat="1" ht="17.100000000000001" hidden="1" customHeight="1" x14ac:dyDescent="0.3">
      <c r="B428" s="17">
        <v>45146</v>
      </c>
      <c r="C428" s="17">
        <v>45174</v>
      </c>
      <c r="D428" s="20" t="s">
        <v>1784</v>
      </c>
      <c r="E428" s="15" t="s">
        <v>1785</v>
      </c>
      <c r="F428" s="15" t="s">
        <v>25</v>
      </c>
      <c r="G428" s="15" t="s">
        <v>21</v>
      </c>
      <c r="H428" s="16">
        <v>900</v>
      </c>
      <c r="I428" s="15">
        <v>1</v>
      </c>
      <c r="J428" s="15" t="s">
        <v>354</v>
      </c>
      <c r="K428" s="29" t="s">
        <v>62</v>
      </c>
      <c r="L428" s="19"/>
      <c r="M428" s="18">
        <f t="shared" si="24"/>
        <v>0</v>
      </c>
      <c r="N428" s="17">
        <v>45169</v>
      </c>
      <c r="O428" s="20" t="s">
        <v>353</v>
      </c>
      <c r="P428" s="22"/>
      <c r="Q428" s="38" t="s">
        <v>2680</v>
      </c>
      <c r="R428" s="19"/>
      <c r="S428" s="19"/>
    </row>
    <row r="429" spans="2:19" s="20" customFormat="1" ht="17.100000000000001" hidden="1" customHeight="1" x14ac:dyDescent="0.3">
      <c r="B429" s="17">
        <v>45152</v>
      </c>
      <c r="C429" s="17">
        <v>45240</v>
      </c>
      <c r="D429" s="20" t="s">
        <v>1786</v>
      </c>
      <c r="E429" s="15" t="s">
        <v>1787</v>
      </c>
      <c r="F429" s="15" t="s">
        <v>25</v>
      </c>
      <c r="G429" s="15" t="s">
        <v>21</v>
      </c>
      <c r="H429" s="16" t="s">
        <v>1788</v>
      </c>
      <c r="I429" s="15">
        <v>1</v>
      </c>
      <c r="J429" s="15" t="s">
        <v>1793</v>
      </c>
      <c r="K429" s="29" t="s">
        <v>1794</v>
      </c>
      <c r="L429" s="19"/>
      <c r="M429" s="18">
        <f t="shared" si="24"/>
        <v>0</v>
      </c>
      <c r="N429" s="17">
        <v>45679</v>
      </c>
      <c r="O429" s="20" t="s">
        <v>1792</v>
      </c>
      <c r="P429" s="22"/>
      <c r="Q429" s="38" t="s">
        <v>2703</v>
      </c>
      <c r="R429" s="19"/>
      <c r="S429" s="19"/>
    </row>
    <row r="430" spans="2:19" s="20" customFormat="1" ht="17.100000000000001" hidden="1" customHeight="1" x14ac:dyDescent="0.3">
      <c r="B430" s="17">
        <v>45156</v>
      </c>
      <c r="C430" s="17">
        <v>45240</v>
      </c>
      <c r="D430" s="20" t="s">
        <v>1789</v>
      </c>
      <c r="E430" s="15" t="s">
        <v>1790</v>
      </c>
      <c r="F430" s="15" t="s">
        <v>25</v>
      </c>
      <c r="G430" s="15" t="s">
        <v>21</v>
      </c>
      <c r="H430" s="16" t="s">
        <v>1791</v>
      </c>
      <c r="I430" s="15">
        <v>1</v>
      </c>
      <c r="J430" s="15" t="s">
        <v>1793</v>
      </c>
      <c r="K430" s="29" t="s">
        <v>1794</v>
      </c>
      <c r="L430" s="19"/>
      <c r="M430" s="18">
        <f t="shared" si="24"/>
        <v>0</v>
      </c>
      <c r="N430" s="17">
        <v>45679</v>
      </c>
      <c r="O430" s="20" t="s">
        <v>1792</v>
      </c>
      <c r="P430" s="22"/>
      <c r="Q430" s="38" t="s">
        <v>2703</v>
      </c>
      <c r="R430" s="19"/>
      <c r="S430" s="19"/>
    </row>
    <row r="431" spans="2:19" s="20" customFormat="1" ht="17.100000000000001" hidden="1" customHeight="1" x14ac:dyDescent="0.3">
      <c r="B431" s="17">
        <v>45154</v>
      </c>
      <c r="C431" s="17">
        <v>45183</v>
      </c>
      <c r="D431" s="22" t="s">
        <v>1972</v>
      </c>
      <c r="E431" s="15" t="s">
        <v>1795</v>
      </c>
      <c r="F431" s="15" t="s">
        <v>1420</v>
      </c>
      <c r="G431" s="15" t="s">
        <v>21</v>
      </c>
      <c r="H431" s="16">
        <v>2000</v>
      </c>
      <c r="I431" s="15">
        <v>1</v>
      </c>
      <c r="J431" s="15" t="s">
        <v>1796</v>
      </c>
      <c r="K431" s="29" t="s">
        <v>1797</v>
      </c>
      <c r="L431" s="19">
        <v>169690000</v>
      </c>
      <c r="M431" s="18">
        <f t="shared" si="24"/>
        <v>169690000</v>
      </c>
      <c r="N431" s="17">
        <v>45194</v>
      </c>
      <c r="O431" s="20" t="s">
        <v>1955</v>
      </c>
      <c r="P431" s="22"/>
      <c r="Q431" s="38" t="s">
        <v>2704</v>
      </c>
      <c r="R431" s="19"/>
      <c r="S431" s="19"/>
    </row>
    <row r="432" spans="2:19" s="20" customFormat="1" ht="17.100000000000001" hidden="1" customHeight="1" x14ac:dyDescent="0.3">
      <c r="B432" s="17">
        <v>45161</v>
      </c>
      <c r="C432" s="17">
        <v>45176</v>
      </c>
      <c r="D432" s="20" t="s">
        <v>1798</v>
      </c>
      <c r="E432" s="15" t="s">
        <v>1800</v>
      </c>
      <c r="F432" s="15" t="s">
        <v>25</v>
      </c>
      <c r="G432" s="15" t="s">
        <v>26</v>
      </c>
      <c r="H432" s="16" t="s">
        <v>1802</v>
      </c>
      <c r="I432" s="15">
        <v>1</v>
      </c>
      <c r="J432" s="15" t="s">
        <v>1805</v>
      </c>
      <c r="K432" s="29" t="s">
        <v>1804</v>
      </c>
      <c r="L432" s="19">
        <f>33576463*2</f>
        <v>67152926</v>
      </c>
      <c r="M432" s="18">
        <f t="shared" si="24"/>
        <v>67152926</v>
      </c>
      <c r="N432" s="17">
        <v>45245</v>
      </c>
      <c r="O432" s="20" t="s">
        <v>1806</v>
      </c>
      <c r="P432" s="22"/>
      <c r="Q432" s="38" t="s">
        <v>2705</v>
      </c>
      <c r="R432" s="19"/>
      <c r="S432" s="19"/>
    </row>
    <row r="433" spans="2:19" s="20" customFormat="1" ht="17.100000000000001" hidden="1" customHeight="1" x14ac:dyDescent="0.3">
      <c r="B433" s="17">
        <v>45161</v>
      </c>
      <c r="C433" s="17">
        <v>45176</v>
      </c>
      <c r="D433" s="20" t="s">
        <v>1799</v>
      </c>
      <c r="E433" s="15" t="s">
        <v>1801</v>
      </c>
      <c r="F433" s="15" t="s">
        <v>25</v>
      </c>
      <c r="G433" s="15" t="s">
        <v>26</v>
      </c>
      <c r="H433" s="16" t="s">
        <v>1803</v>
      </c>
      <c r="I433" s="15">
        <v>1</v>
      </c>
      <c r="J433" s="15" t="s">
        <v>1805</v>
      </c>
      <c r="K433" s="29" t="s">
        <v>1804</v>
      </c>
      <c r="L433" s="19">
        <v>0</v>
      </c>
      <c r="M433" s="18">
        <f t="shared" si="24"/>
        <v>0</v>
      </c>
      <c r="N433" s="17">
        <v>45245</v>
      </c>
      <c r="O433" s="20" t="s">
        <v>1806</v>
      </c>
      <c r="P433" s="22"/>
      <c r="Q433" s="38" t="s">
        <v>2705</v>
      </c>
      <c r="R433" s="19"/>
      <c r="S433" s="19"/>
    </row>
    <row r="434" spans="2:19" s="20" customFormat="1" ht="17.100000000000001" hidden="1" customHeight="1" x14ac:dyDescent="0.3">
      <c r="B434" s="17">
        <v>45173</v>
      </c>
      <c r="C434" s="17">
        <v>45175</v>
      </c>
      <c r="D434" s="20" t="s">
        <v>1807</v>
      </c>
      <c r="E434" s="15" t="s">
        <v>1808</v>
      </c>
      <c r="F434" s="15" t="s">
        <v>46</v>
      </c>
      <c r="G434" s="15" t="s">
        <v>21</v>
      </c>
      <c r="H434" s="16">
        <v>200</v>
      </c>
      <c r="I434" s="15">
        <v>2</v>
      </c>
      <c r="J434" s="15" t="s">
        <v>1809</v>
      </c>
      <c r="K434" s="29" t="s">
        <v>1810</v>
      </c>
      <c r="L434" s="19">
        <v>9184558</v>
      </c>
      <c r="M434" s="18">
        <f t="shared" si="24"/>
        <v>18369116</v>
      </c>
      <c r="N434" s="17">
        <v>45177</v>
      </c>
      <c r="O434" s="20" t="s">
        <v>1160</v>
      </c>
      <c r="P434" s="22"/>
      <c r="Q434" s="38" t="s">
        <v>2651</v>
      </c>
      <c r="R434" s="19"/>
      <c r="S434" s="19"/>
    </row>
    <row r="435" spans="2:19" s="20" customFormat="1" ht="17.100000000000001" hidden="1" customHeight="1" x14ac:dyDescent="0.3">
      <c r="B435" s="17">
        <v>45173</v>
      </c>
      <c r="C435" s="17">
        <v>45193</v>
      </c>
      <c r="D435" s="20" t="s">
        <v>1814</v>
      </c>
      <c r="E435" s="15" t="s">
        <v>1813</v>
      </c>
      <c r="F435" s="15" t="s">
        <v>46</v>
      </c>
      <c r="G435" s="15" t="s">
        <v>21</v>
      </c>
      <c r="H435" s="16" t="s">
        <v>1815</v>
      </c>
      <c r="I435" s="15">
        <v>1</v>
      </c>
      <c r="J435" s="15" t="s">
        <v>1816</v>
      </c>
      <c r="K435" s="29" t="s">
        <v>1817</v>
      </c>
      <c r="L435" s="19">
        <v>93000000</v>
      </c>
      <c r="M435" s="18">
        <f t="shared" si="24"/>
        <v>102766000</v>
      </c>
      <c r="N435" s="17">
        <v>45222</v>
      </c>
      <c r="O435" s="20" t="s">
        <v>1818</v>
      </c>
      <c r="P435" s="22"/>
      <c r="Q435" s="38" t="s">
        <v>2706</v>
      </c>
      <c r="R435" s="19">
        <v>9300000</v>
      </c>
      <c r="S435" s="19">
        <v>9766000</v>
      </c>
    </row>
    <row r="436" spans="2:19" s="20" customFormat="1" ht="17.100000000000001" hidden="1" customHeight="1" x14ac:dyDescent="0.3">
      <c r="B436" s="17">
        <v>45180</v>
      </c>
      <c r="C436" s="17">
        <v>45184</v>
      </c>
      <c r="D436" s="20" t="s">
        <v>1820</v>
      </c>
      <c r="E436" s="15" t="s">
        <v>1819</v>
      </c>
      <c r="F436" s="15" t="s">
        <v>46</v>
      </c>
      <c r="G436" s="15" t="s">
        <v>21</v>
      </c>
      <c r="H436" s="16" t="s">
        <v>1821</v>
      </c>
      <c r="I436" s="15">
        <v>1</v>
      </c>
      <c r="J436" s="15" t="s">
        <v>1822</v>
      </c>
      <c r="K436" s="29" t="s">
        <v>66</v>
      </c>
      <c r="L436" s="19">
        <v>72240000</v>
      </c>
      <c r="M436" s="18">
        <f t="shared" si="24"/>
        <v>80000000</v>
      </c>
      <c r="N436" s="17">
        <v>45230</v>
      </c>
      <c r="O436" s="20" t="s">
        <v>1823</v>
      </c>
      <c r="P436" s="22"/>
      <c r="Q436" s="38" t="s">
        <v>2707</v>
      </c>
      <c r="R436" s="19">
        <v>8460000</v>
      </c>
      <c r="S436" s="19">
        <v>7760000</v>
      </c>
    </row>
    <row r="437" spans="2:19" s="20" customFormat="1" ht="17.100000000000001" hidden="1" customHeight="1" x14ac:dyDescent="0.3">
      <c r="B437" s="17">
        <v>45182</v>
      </c>
      <c r="C437" s="17">
        <v>45222</v>
      </c>
      <c r="D437" s="20" t="s">
        <v>1825</v>
      </c>
      <c r="E437" s="15" t="s">
        <v>1824</v>
      </c>
      <c r="F437" s="15" t="s">
        <v>25</v>
      </c>
      <c r="G437" s="15" t="s">
        <v>21</v>
      </c>
      <c r="H437" s="16">
        <v>1100</v>
      </c>
      <c r="I437" s="15">
        <v>1</v>
      </c>
      <c r="J437" s="15" t="s">
        <v>347</v>
      </c>
      <c r="K437" s="29" t="s">
        <v>1650</v>
      </c>
      <c r="L437" s="19">
        <v>32000000</v>
      </c>
      <c r="M437" s="18">
        <f t="shared" si="24"/>
        <v>32000000</v>
      </c>
      <c r="N437" s="17">
        <v>45260</v>
      </c>
      <c r="O437" s="20" t="s">
        <v>1651</v>
      </c>
      <c r="P437" s="22"/>
      <c r="Q437" s="38" t="s">
        <v>2694</v>
      </c>
      <c r="R437" s="19"/>
      <c r="S437" s="19"/>
    </row>
    <row r="438" spans="2:19" s="20" customFormat="1" ht="17.100000000000001" hidden="1" customHeight="1" x14ac:dyDescent="0.3">
      <c r="B438" s="17">
        <v>45187</v>
      </c>
      <c r="C438" s="17">
        <v>45188</v>
      </c>
      <c r="D438" s="20" t="s">
        <v>1831</v>
      </c>
      <c r="E438" s="15" t="s">
        <v>1830</v>
      </c>
      <c r="F438" s="15" t="s">
        <v>1832</v>
      </c>
      <c r="G438" s="15" t="s">
        <v>21</v>
      </c>
      <c r="H438" s="16" t="s">
        <v>1833</v>
      </c>
      <c r="I438" s="15">
        <v>1</v>
      </c>
      <c r="J438" s="15" t="s">
        <v>131</v>
      </c>
      <c r="K438" s="29" t="s">
        <v>130</v>
      </c>
      <c r="L438" s="18">
        <v>7000000</v>
      </c>
      <c r="M438" s="18">
        <f t="shared" si="24"/>
        <v>7000000</v>
      </c>
      <c r="N438" s="17">
        <v>45194</v>
      </c>
      <c r="O438" s="23" t="s">
        <v>132</v>
      </c>
      <c r="P438" s="41"/>
      <c r="Q438" s="38" t="s">
        <v>2693</v>
      </c>
      <c r="R438" s="19"/>
      <c r="S438" s="19"/>
    </row>
    <row r="439" spans="2:19" s="20" customFormat="1" ht="17.100000000000001" hidden="1" customHeight="1" x14ac:dyDescent="0.3">
      <c r="B439" s="17">
        <v>45190</v>
      </c>
      <c r="C439" s="17">
        <v>45190</v>
      </c>
      <c r="D439" s="20" t="s">
        <v>1831</v>
      </c>
      <c r="E439" s="15" t="s">
        <v>1834</v>
      </c>
      <c r="F439" s="15" t="s">
        <v>1832</v>
      </c>
      <c r="G439" s="15" t="s">
        <v>21</v>
      </c>
      <c r="H439" s="16" t="s">
        <v>1833</v>
      </c>
      <c r="I439" s="15">
        <v>1</v>
      </c>
      <c r="J439" s="15" t="s">
        <v>131</v>
      </c>
      <c r="K439" s="29" t="s">
        <v>130</v>
      </c>
      <c r="L439" s="18">
        <v>7000000</v>
      </c>
      <c r="M439" s="18">
        <f t="shared" si="24"/>
        <v>7000000</v>
      </c>
      <c r="N439" s="17">
        <v>45194</v>
      </c>
      <c r="O439" s="23" t="s">
        <v>132</v>
      </c>
      <c r="P439" s="41"/>
      <c r="Q439" s="38" t="s">
        <v>2693</v>
      </c>
      <c r="R439" s="19"/>
      <c r="S439" s="19"/>
    </row>
    <row r="440" spans="2:19" s="20" customFormat="1" ht="17.100000000000001" hidden="1" customHeight="1" x14ac:dyDescent="0.3">
      <c r="B440" s="17">
        <v>45190</v>
      </c>
      <c r="C440" s="17">
        <v>45190</v>
      </c>
      <c r="D440" s="20" t="s">
        <v>1831</v>
      </c>
      <c r="E440" s="15" t="s">
        <v>1835</v>
      </c>
      <c r="F440" s="15" t="s">
        <v>1832</v>
      </c>
      <c r="G440" s="15" t="s">
        <v>21</v>
      </c>
      <c r="H440" s="16" t="s">
        <v>1833</v>
      </c>
      <c r="I440" s="15">
        <v>1</v>
      </c>
      <c r="J440" s="15" t="s">
        <v>131</v>
      </c>
      <c r="K440" s="29" t="s">
        <v>130</v>
      </c>
      <c r="L440" s="18">
        <v>7000000</v>
      </c>
      <c r="M440" s="18">
        <f t="shared" si="24"/>
        <v>7000000</v>
      </c>
      <c r="N440" s="17">
        <v>45194</v>
      </c>
      <c r="O440" s="23" t="s">
        <v>132</v>
      </c>
      <c r="P440" s="41"/>
      <c r="Q440" s="38" t="s">
        <v>2693</v>
      </c>
      <c r="R440" s="19"/>
      <c r="S440" s="19"/>
    </row>
    <row r="441" spans="2:19" s="20" customFormat="1" ht="17.100000000000001" hidden="1" customHeight="1" x14ac:dyDescent="0.3">
      <c r="B441" s="17">
        <v>45191</v>
      </c>
      <c r="C441" s="17">
        <v>45191</v>
      </c>
      <c r="D441" s="20" t="s">
        <v>1831</v>
      </c>
      <c r="E441" s="15" t="s">
        <v>1836</v>
      </c>
      <c r="F441" s="15" t="s">
        <v>1832</v>
      </c>
      <c r="G441" s="15" t="s">
        <v>21</v>
      </c>
      <c r="H441" s="16" t="s">
        <v>1833</v>
      </c>
      <c r="I441" s="15">
        <v>1</v>
      </c>
      <c r="J441" s="15" t="s">
        <v>131</v>
      </c>
      <c r="K441" s="29" t="s">
        <v>130</v>
      </c>
      <c r="L441" s="18">
        <v>7000000</v>
      </c>
      <c r="M441" s="18">
        <f t="shared" si="24"/>
        <v>7000000</v>
      </c>
      <c r="N441" s="17">
        <v>45194</v>
      </c>
      <c r="O441" s="23" t="s">
        <v>132</v>
      </c>
      <c r="P441" s="41"/>
      <c r="Q441" s="38" t="s">
        <v>2693</v>
      </c>
      <c r="R441" s="19"/>
      <c r="S441" s="19"/>
    </row>
    <row r="442" spans="2:19" s="20" customFormat="1" ht="17.100000000000001" hidden="1" customHeight="1" x14ac:dyDescent="0.3">
      <c r="B442" s="17">
        <v>45191</v>
      </c>
      <c r="C442" s="17">
        <v>45191</v>
      </c>
      <c r="D442" s="20" t="s">
        <v>1831</v>
      </c>
      <c r="E442" s="15" t="s">
        <v>1837</v>
      </c>
      <c r="F442" s="15" t="s">
        <v>1832</v>
      </c>
      <c r="G442" s="15" t="s">
        <v>21</v>
      </c>
      <c r="H442" s="16" t="s">
        <v>1833</v>
      </c>
      <c r="I442" s="15">
        <v>1</v>
      </c>
      <c r="J442" s="15" t="s">
        <v>131</v>
      </c>
      <c r="K442" s="29" t="s">
        <v>130</v>
      </c>
      <c r="L442" s="18">
        <v>7000000</v>
      </c>
      <c r="M442" s="18">
        <f t="shared" si="24"/>
        <v>7000000</v>
      </c>
      <c r="N442" s="17">
        <v>45194</v>
      </c>
      <c r="O442" s="23" t="s">
        <v>132</v>
      </c>
      <c r="P442" s="41"/>
      <c r="Q442" s="38" t="s">
        <v>2693</v>
      </c>
      <c r="R442" s="19"/>
      <c r="S442" s="19"/>
    </row>
    <row r="443" spans="2:19" s="20" customFormat="1" ht="17.100000000000001" hidden="1" customHeight="1" x14ac:dyDescent="0.3">
      <c r="B443" s="17">
        <v>45192</v>
      </c>
      <c r="C443" s="17">
        <v>45192</v>
      </c>
      <c r="D443" s="20" t="s">
        <v>1839</v>
      </c>
      <c r="E443" s="15" t="s">
        <v>1838</v>
      </c>
      <c r="F443" s="15" t="s">
        <v>25</v>
      </c>
      <c r="G443" s="15" t="s">
        <v>21</v>
      </c>
      <c r="H443" s="16">
        <v>400</v>
      </c>
      <c r="I443" s="15">
        <v>1</v>
      </c>
      <c r="J443" s="15" t="s">
        <v>1638</v>
      </c>
      <c r="K443" s="29" t="s">
        <v>1637</v>
      </c>
      <c r="L443" s="19">
        <v>16000000</v>
      </c>
      <c r="M443" s="18">
        <f t="shared" si="24"/>
        <v>16000000</v>
      </c>
      <c r="N443" s="17">
        <v>45231</v>
      </c>
      <c r="P443" s="22"/>
      <c r="Q443" s="38" t="s">
        <v>2691</v>
      </c>
      <c r="R443" s="19"/>
      <c r="S443" s="19"/>
    </row>
    <row r="444" spans="2:19" s="20" customFormat="1" ht="17.100000000000001" hidden="1" customHeight="1" x14ac:dyDescent="0.3">
      <c r="B444" s="17">
        <v>45205</v>
      </c>
      <c r="C444" s="17">
        <v>45273</v>
      </c>
      <c r="D444" s="22" t="s">
        <v>1844</v>
      </c>
      <c r="E444" s="15" t="s">
        <v>1845</v>
      </c>
      <c r="F444" s="15" t="s">
        <v>25</v>
      </c>
      <c r="G444" s="15" t="s">
        <v>21</v>
      </c>
      <c r="H444" s="16" t="s">
        <v>1846</v>
      </c>
      <c r="I444" s="15">
        <v>1</v>
      </c>
      <c r="J444" s="15" t="s">
        <v>626</v>
      </c>
      <c r="K444" s="29" t="s">
        <v>1847</v>
      </c>
      <c r="L444" s="19">
        <v>269103710</v>
      </c>
      <c r="M444" s="18">
        <f t="shared" si="24"/>
        <v>269103710</v>
      </c>
      <c r="N444" s="17">
        <v>45469</v>
      </c>
      <c r="O444" s="20" t="s">
        <v>1848</v>
      </c>
      <c r="P444" s="22"/>
      <c r="Q444" s="38" t="s">
        <v>2708</v>
      </c>
      <c r="R444" s="19"/>
      <c r="S444" s="19"/>
    </row>
    <row r="445" spans="2:19" s="20" customFormat="1" ht="17.100000000000001" hidden="1" customHeight="1" x14ac:dyDescent="0.3">
      <c r="B445" s="17">
        <v>45205</v>
      </c>
      <c r="C445" s="17">
        <v>45227</v>
      </c>
      <c r="D445" s="20" t="s">
        <v>1849</v>
      </c>
      <c r="E445" s="15" t="s">
        <v>1850</v>
      </c>
      <c r="F445" s="15" t="s">
        <v>25</v>
      </c>
      <c r="G445" s="15" t="s">
        <v>21</v>
      </c>
      <c r="H445" s="16" t="s">
        <v>1851</v>
      </c>
      <c r="I445" s="15">
        <v>1</v>
      </c>
      <c r="J445" s="15"/>
      <c r="K445" s="29" t="s">
        <v>1736</v>
      </c>
      <c r="L445" s="19"/>
      <c r="M445" s="18">
        <f t="shared" si="24"/>
        <v>0</v>
      </c>
      <c r="N445" s="17">
        <v>45288</v>
      </c>
      <c r="P445" s="22"/>
      <c r="Q445" s="22"/>
      <c r="R445" s="19"/>
      <c r="S445" s="19"/>
    </row>
    <row r="446" spans="2:19" s="20" customFormat="1" ht="17.100000000000001" hidden="1" customHeight="1" x14ac:dyDescent="0.3">
      <c r="B446" s="17">
        <v>45209</v>
      </c>
      <c r="C446" s="17">
        <v>45210</v>
      </c>
      <c r="D446" s="20" t="s">
        <v>1853</v>
      </c>
      <c r="E446" s="15" t="s">
        <v>1852</v>
      </c>
      <c r="F446" s="15" t="s">
        <v>46</v>
      </c>
      <c r="G446" s="15" t="s">
        <v>21</v>
      </c>
      <c r="H446" s="16" t="s">
        <v>1854</v>
      </c>
      <c r="I446" s="15">
        <v>1</v>
      </c>
      <c r="J446" s="15" t="s">
        <v>1856</v>
      </c>
      <c r="K446" s="29" t="s">
        <v>1857</v>
      </c>
      <c r="L446" s="19">
        <v>6400000</v>
      </c>
      <c r="M446" s="18">
        <f t="shared" si="24"/>
        <v>11300000</v>
      </c>
      <c r="N446" s="17">
        <v>45230</v>
      </c>
      <c r="O446" s="20" t="s">
        <v>1855</v>
      </c>
      <c r="P446" s="22"/>
      <c r="Q446" s="38" t="s">
        <v>2709</v>
      </c>
      <c r="R446" s="19">
        <v>4680000</v>
      </c>
      <c r="S446" s="19">
        <v>4900000</v>
      </c>
    </row>
    <row r="447" spans="2:19" s="20" customFormat="1" ht="17.100000000000001" hidden="1" customHeight="1" x14ac:dyDescent="0.3">
      <c r="B447" s="17">
        <v>45216</v>
      </c>
      <c r="C447" s="17">
        <v>45258</v>
      </c>
      <c r="D447" s="20" t="s">
        <v>1859</v>
      </c>
      <c r="E447" s="15" t="s">
        <v>1858</v>
      </c>
      <c r="F447" s="15" t="s">
        <v>25</v>
      </c>
      <c r="G447" s="15" t="s">
        <v>548</v>
      </c>
      <c r="H447" s="16">
        <v>1000</v>
      </c>
      <c r="I447" s="15">
        <v>1</v>
      </c>
      <c r="J447" s="15" t="s">
        <v>246</v>
      </c>
      <c r="K447" s="15" t="s">
        <v>245</v>
      </c>
      <c r="L447" s="19">
        <v>61400000</v>
      </c>
      <c r="M447" s="18">
        <f t="shared" si="24"/>
        <v>61400000</v>
      </c>
      <c r="N447" s="17">
        <v>45287</v>
      </c>
      <c r="O447" s="20" t="s">
        <v>1776</v>
      </c>
      <c r="P447" s="22"/>
      <c r="Q447" s="38" t="s">
        <v>2681</v>
      </c>
      <c r="R447" s="19"/>
      <c r="S447" s="19"/>
    </row>
    <row r="448" spans="2:19" s="20" customFormat="1" ht="17.100000000000001" hidden="1" customHeight="1" x14ac:dyDescent="0.3">
      <c r="B448" s="17">
        <v>45216</v>
      </c>
      <c r="C448" s="17">
        <v>45259</v>
      </c>
      <c r="D448" s="20" t="s">
        <v>1860</v>
      </c>
      <c r="E448" s="15" t="s">
        <v>1861</v>
      </c>
      <c r="F448" s="15" t="s">
        <v>25</v>
      </c>
      <c r="G448" s="15" t="s">
        <v>1862</v>
      </c>
      <c r="H448" s="16" t="s">
        <v>1863</v>
      </c>
      <c r="I448" s="15">
        <v>1</v>
      </c>
      <c r="J448" s="15" t="s">
        <v>1865</v>
      </c>
      <c r="K448" s="29" t="s">
        <v>1866</v>
      </c>
      <c r="L448" s="19">
        <v>44000000</v>
      </c>
      <c r="M448" s="18">
        <f t="shared" ref="M448:M479" si="25">(L448*I448)+S448</f>
        <v>44000000</v>
      </c>
      <c r="N448" s="17">
        <v>45230</v>
      </c>
      <c r="O448" s="20" t="s">
        <v>1864</v>
      </c>
      <c r="P448" s="22"/>
      <c r="Q448" s="38" t="s">
        <v>2710</v>
      </c>
      <c r="R448" s="19"/>
      <c r="S448" s="19"/>
    </row>
    <row r="449" spans="2:19" s="20" customFormat="1" ht="17.100000000000001" hidden="1" customHeight="1" x14ac:dyDescent="0.3">
      <c r="B449" s="17">
        <v>45217</v>
      </c>
      <c r="C449" s="17">
        <v>45219</v>
      </c>
      <c r="D449" s="20" t="s">
        <v>1867</v>
      </c>
      <c r="E449" s="15" t="s">
        <v>1868</v>
      </c>
      <c r="F449" s="15" t="s">
        <v>46</v>
      </c>
      <c r="G449" s="15" t="s">
        <v>21</v>
      </c>
      <c r="H449" s="16" t="s">
        <v>1869</v>
      </c>
      <c r="I449" s="15">
        <v>1</v>
      </c>
      <c r="J449" s="15" t="s">
        <v>1856</v>
      </c>
      <c r="K449" s="29" t="s">
        <v>1857</v>
      </c>
      <c r="L449" s="19">
        <v>23000000</v>
      </c>
      <c r="M449" s="18">
        <f t="shared" si="25"/>
        <v>31000000</v>
      </c>
      <c r="N449" s="17">
        <v>45230</v>
      </c>
      <c r="O449" s="20" t="s">
        <v>1855</v>
      </c>
      <c r="P449" s="22"/>
      <c r="Q449" s="38" t="s">
        <v>2709</v>
      </c>
      <c r="R449" s="19">
        <v>7740000</v>
      </c>
      <c r="S449" s="19">
        <v>8000000</v>
      </c>
    </row>
    <row r="450" spans="2:19" s="20" customFormat="1" ht="17.100000000000001" hidden="1" customHeight="1" x14ac:dyDescent="0.3">
      <c r="B450" s="17">
        <v>45218</v>
      </c>
      <c r="C450" s="17">
        <v>45219</v>
      </c>
      <c r="D450" s="22" t="s">
        <v>1870</v>
      </c>
      <c r="E450" s="15" t="s">
        <v>1871</v>
      </c>
      <c r="F450" s="15" t="s">
        <v>46</v>
      </c>
      <c r="G450" s="15" t="s">
        <v>21</v>
      </c>
      <c r="H450" s="16" t="s">
        <v>1872</v>
      </c>
      <c r="I450" s="15">
        <v>1</v>
      </c>
      <c r="J450" s="15" t="s">
        <v>1856</v>
      </c>
      <c r="K450" s="30" t="s">
        <v>85</v>
      </c>
      <c r="L450" s="19">
        <f>13390000</f>
        <v>13390000</v>
      </c>
      <c r="M450" s="18">
        <f t="shared" si="25"/>
        <v>15530000</v>
      </c>
      <c r="N450" s="17">
        <v>45230</v>
      </c>
      <c r="O450" s="23"/>
      <c r="P450" s="22"/>
      <c r="Q450" s="38" t="s">
        <v>2711</v>
      </c>
      <c r="R450" s="19">
        <v>2140000</v>
      </c>
      <c r="S450" s="19">
        <v>2140000</v>
      </c>
    </row>
    <row r="451" spans="2:19" s="20" customFormat="1" ht="17.100000000000001" hidden="1" customHeight="1" x14ac:dyDescent="0.3">
      <c r="B451" s="17">
        <v>45222</v>
      </c>
      <c r="C451" s="17">
        <v>45257</v>
      </c>
      <c r="D451" s="20" t="s">
        <v>1873</v>
      </c>
      <c r="E451" s="15" t="s">
        <v>1874</v>
      </c>
      <c r="F451" s="15" t="s">
        <v>25</v>
      </c>
      <c r="G451" s="15" t="s">
        <v>21</v>
      </c>
      <c r="H451" s="16">
        <v>1650</v>
      </c>
      <c r="I451" s="15">
        <v>1</v>
      </c>
      <c r="J451" s="15" t="s">
        <v>626</v>
      </c>
      <c r="K451" s="29" t="s">
        <v>1775</v>
      </c>
      <c r="L451" s="19">
        <v>116670571</v>
      </c>
      <c r="M451" s="18">
        <f t="shared" si="25"/>
        <v>116670571</v>
      </c>
      <c r="N451" s="86">
        <v>45322</v>
      </c>
      <c r="O451" s="20" t="s">
        <v>1774</v>
      </c>
      <c r="P451" s="22"/>
      <c r="Q451" s="38" t="s">
        <v>2699</v>
      </c>
      <c r="R451" s="19"/>
      <c r="S451" s="19"/>
    </row>
    <row r="452" spans="2:19" s="20" customFormat="1" ht="17.100000000000001" hidden="1" customHeight="1" x14ac:dyDescent="0.3">
      <c r="B452" s="17">
        <v>45223</v>
      </c>
      <c r="C452" s="17">
        <v>45226</v>
      </c>
      <c r="D452" s="20" t="s">
        <v>1876</v>
      </c>
      <c r="E452" s="15" t="s">
        <v>1875</v>
      </c>
      <c r="F452" s="15" t="s">
        <v>25</v>
      </c>
      <c r="G452" s="15" t="s">
        <v>21</v>
      </c>
      <c r="H452" s="16" t="s">
        <v>1878</v>
      </c>
      <c r="I452" s="15">
        <v>1</v>
      </c>
      <c r="J452" s="15"/>
      <c r="K452" s="29" t="s">
        <v>1877</v>
      </c>
      <c r="L452" s="19">
        <v>43000000</v>
      </c>
      <c r="M452" s="18">
        <f t="shared" si="25"/>
        <v>43000000</v>
      </c>
      <c r="N452" s="17">
        <v>45230</v>
      </c>
      <c r="P452" s="22"/>
      <c r="Q452" s="38" t="s">
        <v>2712</v>
      </c>
      <c r="R452" s="19"/>
      <c r="S452" s="19"/>
    </row>
    <row r="453" spans="2:19" s="20" customFormat="1" ht="17.100000000000001" hidden="1" customHeight="1" x14ac:dyDescent="0.3">
      <c r="B453" s="17">
        <v>45224</v>
      </c>
      <c r="C453" s="17">
        <v>45224</v>
      </c>
      <c r="D453" s="20" t="s">
        <v>1879</v>
      </c>
      <c r="E453" s="15" t="s">
        <v>1880</v>
      </c>
      <c r="F453" s="15" t="s">
        <v>25</v>
      </c>
      <c r="G453" s="15" t="s">
        <v>21</v>
      </c>
      <c r="H453" s="16" t="s">
        <v>1881</v>
      </c>
      <c r="I453" s="15">
        <v>1</v>
      </c>
      <c r="J453" s="15" t="s">
        <v>1883</v>
      </c>
      <c r="K453" s="29" t="s">
        <v>1882</v>
      </c>
      <c r="L453" s="19">
        <v>16000000</v>
      </c>
      <c r="M453" s="18">
        <f t="shared" si="25"/>
        <v>16000000</v>
      </c>
      <c r="N453" s="17">
        <v>45231</v>
      </c>
      <c r="P453" s="22"/>
      <c r="Q453" s="38" t="s">
        <v>2691</v>
      </c>
      <c r="R453" s="19"/>
      <c r="S453" s="19"/>
    </row>
    <row r="454" spans="2:19" s="20" customFormat="1" ht="17.100000000000001" hidden="1" customHeight="1" x14ac:dyDescent="0.3">
      <c r="B454" s="17">
        <v>45229</v>
      </c>
      <c r="C454" s="17">
        <v>45245</v>
      </c>
      <c r="D454" s="20" t="s">
        <v>1885</v>
      </c>
      <c r="E454" s="15" t="s">
        <v>1884</v>
      </c>
      <c r="F454" s="15" t="s">
        <v>25</v>
      </c>
      <c r="G454" s="15" t="s">
        <v>21</v>
      </c>
      <c r="H454" s="16" t="s">
        <v>1843</v>
      </c>
      <c r="I454" s="15">
        <v>1</v>
      </c>
      <c r="J454" s="15" t="s">
        <v>1841</v>
      </c>
      <c r="K454" s="29" t="s">
        <v>1840</v>
      </c>
      <c r="L454" s="19">
        <v>95000000</v>
      </c>
      <c r="M454" s="18">
        <f t="shared" si="25"/>
        <v>95000000</v>
      </c>
      <c r="N454" s="17">
        <v>45195</v>
      </c>
      <c r="O454" s="20" t="s">
        <v>1842</v>
      </c>
      <c r="P454" s="22"/>
      <c r="Q454" s="38" t="s">
        <v>2713</v>
      </c>
      <c r="R454" s="19"/>
      <c r="S454" s="19"/>
    </row>
    <row r="455" spans="2:19" s="20" customFormat="1" ht="17.100000000000001" hidden="1" customHeight="1" x14ac:dyDescent="0.3">
      <c r="B455" s="17">
        <v>45233</v>
      </c>
      <c r="C455" s="17">
        <v>45238</v>
      </c>
      <c r="D455" s="20" t="s">
        <v>1887</v>
      </c>
      <c r="E455" s="15" t="s">
        <v>1886</v>
      </c>
      <c r="F455" s="15" t="s">
        <v>46</v>
      </c>
      <c r="G455" s="15" t="s">
        <v>21</v>
      </c>
      <c r="H455" s="16" t="s">
        <v>1888</v>
      </c>
      <c r="I455" s="15">
        <v>1</v>
      </c>
      <c r="J455" s="15" t="s">
        <v>49</v>
      </c>
      <c r="K455" s="29" t="s">
        <v>1214</v>
      </c>
      <c r="L455" s="19">
        <f>6400000*2</f>
        <v>12800000</v>
      </c>
      <c r="M455" s="18">
        <f t="shared" ref="M455:M456" si="26">(L455*I455)+S455</f>
        <v>18800000</v>
      </c>
      <c r="N455" s="17">
        <v>45260</v>
      </c>
      <c r="O455" s="20" t="s">
        <v>1855</v>
      </c>
      <c r="P455" s="22"/>
      <c r="Q455" s="38" t="s">
        <v>2709</v>
      </c>
      <c r="R455" s="19">
        <v>6300000</v>
      </c>
      <c r="S455" s="19">
        <v>6000000</v>
      </c>
    </row>
    <row r="456" spans="2:19" s="20" customFormat="1" ht="16.5" hidden="1" customHeight="1" x14ac:dyDescent="0.3">
      <c r="B456" s="17">
        <v>45233</v>
      </c>
      <c r="C456" s="17">
        <v>45236</v>
      </c>
      <c r="D456" s="20" t="s">
        <v>1889</v>
      </c>
      <c r="E456" s="15" t="s">
        <v>1890</v>
      </c>
      <c r="F456" s="15" t="s">
        <v>46</v>
      </c>
      <c r="G456" s="15" t="s">
        <v>21</v>
      </c>
      <c r="H456" s="16" t="s">
        <v>1891</v>
      </c>
      <c r="I456" s="15">
        <v>1</v>
      </c>
      <c r="J456" s="15" t="s">
        <v>1369</v>
      </c>
      <c r="K456" s="29"/>
      <c r="L456" s="19">
        <v>122617000</v>
      </c>
      <c r="M456" s="18">
        <f t="shared" si="26"/>
        <v>131161000</v>
      </c>
      <c r="N456" s="17">
        <v>45288</v>
      </c>
      <c r="O456" s="20" t="s">
        <v>1414</v>
      </c>
      <c r="P456" s="22"/>
      <c r="Q456" s="38" t="s">
        <v>1415</v>
      </c>
      <c r="R456" s="19">
        <f>2136000*4</f>
        <v>8544000</v>
      </c>
      <c r="S456" s="19">
        <f>2136000*4</f>
        <v>8544000</v>
      </c>
    </row>
    <row r="457" spans="2:19" s="20" customFormat="1" ht="16.5" hidden="1" customHeight="1" x14ac:dyDescent="0.3">
      <c r="B457" s="17">
        <v>45233</v>
      </c>
      <c r="C457" s="17">
        <v>45234</v>
      </c>
      <c r="D457" s="22" t="s">
        <v>1892</v>
      </c>
      <c r="E457" s="15" t="s">
        <v>1893</v>
      </c>
      <c r="F457" s="15" t="s">
        <v>46</v>
      </c>
      <c r="G457" s="15" t="s">
        <v>21</v>
      </c>
      <c r="H457" s="16">
        <v>450</v>
      </c>
      <c r="I457" s="15">
        <v>1</v>
      </c>
      <c r="J457" s="15" t="s">
        <v>49</v>
      </c>
      <c r="K457" s="29" t="s">
        <v>1894</v>
      </c>
      <c r="L457" s="19">
        <v>19535000</v>
      </c>
      <c r="M457" s="18">
        <f t="shared" ref="M457:M458" si="27">(L457*I457)+S457</f>
        <v>21671000</v>
      </c>
      <c r="N457" s="17">
        <v>45260</v>
      </c>
      <c r="O457" s="23"/>
      <c r="P457" s="22"/>
      <c r="Q457" s="38" t="s">
        <v>2711</v>
      </c>
      <c r="R457" s="19">
        <v>2136000</v>
      </c>
      <c r="S457" s="19">
        <v>2136000</v>
      </c>
    </row>
    <row r="458" spans="2:19" s="20" customFormat="1" ht="17.100000000000001" hidden="1" customHeight="1" x14ac:dyDescent="0.3">
      <c r="B458" s="17">
        <v>45240</v>
      </c>
      <c r="C458" s="17">
        <v>45240</v>
      </c>
      <c r="D458" s="22" t="s">
        <v>1895</v>
      </c>
      <c r="E458" s="15" t="s">
        <v>1896</v>
      </c>
      <c r="F458" s="15" t="s">
        <v>46</v>
      </c>
      <c r="G458" s="15" t="s">
        <v>21</v>
      </c>
      <c r="H458" s="16" t="s">
        <v>1897</v>
      </c>
      <c r="I458" s="15">
        <v>1</v>
      </c>
      <c r="J458" s="15" t="s">
        <v>1369</v>
      </c>
      <c r="K458" s="29" t="s">
        <v>1898</v>
      </c>
      <c r="L458" s="19">
        <v>6474000</v>
      </c>
      <c r="M458" s="18">
        <f t="shared" si="27"/>
        <v>6474000</v>
      </c>
      <c r="N458" s="17">
        <v>45288</v>
      </c>
      <c r="O458" s="20" t="s">
        <v>1414</v>
      </c>
      <c r="P458" s="22"/>
      <c r="Q458" s="38" t="s">
        <v>1415</v>
      </c>
      <c r="R458" s="19"/>
      <c r="S458" s="19"/>
    </row>
    <row r="459" spans="2:19" s="20" customFormat="1" ht="17.100000000000001" hidden="1" customHeight="1" x14ac:dyDescent="0.3">
      <c r="B459" s="17">
        <v>45246</v>
      </c>
      <c r="C459" s="17">
        <v>45247</v>
      </c>
      <c r="D459" s="20" t="s">
        <v>1900</v>
      </c>
      <c r="E459" s="15" t="s">
        <v>1899</v>
      </c>
      <c r="F459" s="15" t="s">
        <v>25</v>
      </c>
      <c r="G459" s="15" t="s">
        <v>21</v>
      </c>
      <c r="H459" s="16" t="s">
        <v>1901</v>
      </c>
      <c r="I459" s="15">
        <v>1</v>
      </c>
      <c r="J459" s="15" t="s">
        <v>1902</v>
      </c>
      <c r="K459" s="29" t="s">
        <v>1903</v>
      </c>
      <c r="L459" s="19">
        <v>16500000</v>
      </c>
      <c r="M459" s="18">
        <f t="shared" si="25"/>
        <v>16500000</v>
      </c>
      <c r="N459" s="17">
        <v>45260</v>
      </c>
      <c r="O459" s="20" t="s">
        <v>1904</v>
      </c>
      <c r="P459" s="22"/>
      <c r="Q459" s="38" t="s">
        <v>2714</v>
      </c>
      <c r="R459" s="19"/>
      <c r="S459" s="19"/>
    </row>
    <row r="460" spans="2:19" s="20" customFormat="1" ht="17.100000000000001" hidden="1" customHeight="1" x14ac:dyDescent="0.3">
      <c r="B460" s="17">
        <v>45246</v>
      </c>
      <c r="C460" s="17">
        <v>45269</v>
      </c>
      <c r="D460" s="20" t="s">
        <v>1906</v>
      </c>
      <c r="E460" s="15" t="s">
        <v>1905</v>
      </c>
      <c r="F460" s="15" t="s">
        <v>46</v>
      </c>
      <c r="G460" s="15" t="s">
        <v>21</v>
      </c>
      <c r="H460" s="16" t="s">
        <v>1907</v>
      </c>
      <c r="I460" s="15">
        <v>1</v>
      </c>
      <c r="J460" s="15" t="s">
        <v>1908</v>
      </c>
      <c r="K460" s="29" t="s">
        <v>66</v>
      </c>
      <c r="L460" s="19">
        <v>193850000</v>
      </c>
      <c r="M460" s="18">
        <f t="shared" si="25"/>
        <v>205610000</v>
      </c>
      <c r="N460" s="17">
        <v>45287</v>
      </c>
      <c r="O460" s="20" t="s">
        <v>1818</v>
      </c>
      <c r="P460" s="22"/>
      <c r="Q460" s="38" t="s">
        <v>2706</v>
      </c>
      <c r="R460" s="19"/>
      <c r="S460" s="19">
        <v>11760000</v>
      </c>
    </row>
    <row r="461" spans="2:19" s="20" customFormat="1" ht="17.100000000000001" hidden="1" customHeight="1" x14ac:dyDescent="0.3">
      <c r="B461" s="17">
        <v>45248</v>
      </c>
      <c r="C461" s="17">
        <v>45310</v>
      </c>
      <c r="D461" s="20" t="s">
        <v>1910</v>
      </c>
      <c r="E461" s="15" t="s">
        <v>1909</v>
      </c>
      <c r="F461" s="15" t="s">
        <v>25</v>
      </c>
      <c r="G461" s="15" t="s">
        <v>21</v>
      </c>
      <c r="H461" s="16" t="s">
        <v>1914</v>
      </c>
      <c r="I461" s="15">
        <v>1</v>
      </c>
      <c r="J461" s="15" t="s">
        <v>1915</v>
      </c>
      <c r="K461" s="29" t="s">
        <v>1916</v>
      </c>
      <c r="L461" s="85">
        <v>157214000</v>
      </c>
      <c r="M461" s="133">
        <v>94328400</v>
      </c>
      <c r="N461" s="86">
        <v>45287</v>
      </c>
      <c r="O461" s="20" t="s">
        <v>1917</v>
      </c>
      <c r="P461" s="22"/>
      <c r="Q461" s="38" t="s">
        <v>2715</v>
      </c>
      <c r="R461" s="19"/>
      <c r="S461" s="19"/>
    </row>
    <row r="462" spans="2:19" s="20" customFormat="1" ht="17.100000000000001" hidden="1" customHeight="1" x14ac:dyDescent="0.3">
      <c r="B462" s="17">
        <v>45246</v>
      </c>
      <c r="C462" s="17">
        <v>45310</v>
      </c>
      <c r="D462" s="20" t="s">
        <v>1912</v>
      </c>
      <c r="E462" s="15" t="s">
        <v>1911</v>
      </c>
      <c r="F462" s="15" t="s">
        <v>25</v>
      </c>
      <c r="G462" s="15" t="s">
        <v>21</v>
      </c>
      <c r="H462" s="16" t="s">
        <v>1913</v>
      </c>
      <c r="I462" s="15">
        <v>1</v>
      </c>
      <c r="J462" s="15" t="s">
        <v>1915</v>
      </c>
      <c r="K462" s="29" t="s">
        <v>1916</v>
      </c>
      <c r="L462" s="85">
        <v>140786000</v>
      </c>
      <c r="M462" s="133">
        <v>105671600</v>
      </c>
      <c r="N462" s="86">
        <v>45287</v>
      </c>
      <c r="O462" s="20" t="s">
        <v>1917</v>
      </c>
      <c r="P462" s="22"/>
      <c r="Q462" s="38" t="s">
        <v>2715</v>
      </c>
      <c r="R462" s="19">
        <v>87500000</v>
      </c>
      <c r="S462" s="19"/>
    </row>
    <row r="463" spans="2:19" s="20" customFormat="1" ht="17.100000000000001" hidden="1" customHeight="1" x14ac:dyDescent="0.3">
      <c r="B463" s="17">
        <v>45251</v>
      </c>
      <c r="C463" s="17">
        <v>45268</v>
      </c>
      <c r="D463" s="20" t="s">
        <v>1925</v>
      </c>
      <c r="E463" s="15" t="s">
        <v>1918</v>
      </c>
      <c r="F463" s="15" t="s">
        <v>25</v>
      </c>
      <c r="G463" s="15" t="s">
        <v>21</v>
      </c>
      <c r="H463" s="16">
        <v>1650</v>
      </c>
      <c r="I463" s="15">
        <v>1</v>
      </c>
      <c r="J463" s="15" t="s">
        <v>776</v>
      </c>
      <c r="K463" s="29" t="s">
        <v>952</v>
      </c>
      <c r="L463" s="19">
        <v>118300000</v>
      </c>
      <c r="M463" s="18">
        <f t="shared" si="25"/>
        <v>118300000</v>
      </c>
      <c r="N463" s="17">
        <v>45291</v>
      </c>
      <c r="O463" s="20" t="s">
        <v>953</v>
      </c>
      <c r="P463" s="22"/>
      <c r="Q463" s="38" t="s">
        <v>2716</v>
      </c>
      <c r="R463" s="19"/>
      <c r="S463" s="19"/>
    </row>
    <row r="464" spans="2:19" s="20" customFormat="1" ht="17.100000000000001" hidden="1" customHeight="1" x14ac:dyDescent="0.3">
      <c r="B464" s="17">
        <v>45253</v>
      </c>
      <c r="C464" s="17">
        <v>45287</v>
      </c>
      <c r="D464" s="20" t="s">
        <v>1919</v>
      </c>
      <c r="E464" s="15" t="s">
        <v>1980</v>
      </c>
      <c r="F464" s="15" t="s">
        <v>25</v>
      </c>
      <c r="G464" s="15" t="s">
        <v>21</v>
      </c>
      <c r="H464" s="16" t="s">
        <v>1921</v>
      </c>
      <c r="I464" s="15">
        <v>1</v>
      </c>
      <c r="J464" s="15" t="s">
        <v>1920</v>
      </c>
      <c r="K464" s="29" t="s">
        <v>1736</v>
      </c>
      <c r="L464" s="19">
        <v>74700000</v>
      </c>
      <c r="M464" s="18">
        <f t="shared" si="25"/>
        <v>74700000</v>
      </c>
      <c r="N464" s="17">
        <v>45765</v>
      </c>
      <c r="P464" s="22" t="s">
        <v>2209</v>
      </c>
      <c r="Q464" s="38" t="s">
        <v>2717</v>
      </c>
      <c r="R464" s="19"/>
      <c r="S464" s="19"/>
    </row>
    <row r="465" spans="2:19" s="20" customFormat="1" ht="17.100000000000001" hidden="1" customHeight="1" x14ac:dyDescent="0.3">
      <c r="B465" s="17">
        <v>45253</v>
      </c>
      <c r="C465" s="17">
        <v>45253</v>
      </c>
      <c r="D465" s="20" t="s">
        <v>1923</v>
      </c>
      <c r="E465" s="15" t="s">
        <v>1922</v>
      </c>
      <c r="F465" s="15" t="s">
        <v>46</v>
      </c>
      <c r="G465" s="15" t="s">
        <v>21</v>
      </c>
      <c r="H465" s="16" t="s">
        <v>1924</v>
      </c>
      <c r="I465" s="15">
        <v>1</v>
      </c>
      <c r="J465" s="15" t="s">
        <v>561</v>
      </c>
      <c r="K465" s="29" t="s">
        <v>1214</v>
      </c>
      <c r="L465" s="19">
        <v>12800000</v>
      </c>
      <c r="M465" s="18">
        <f t="shared" ref="M465" si="28">(L465*I465)+S465</f>
        <v>18300000</v>
      </c>
      <c r="N465" s="17">
        <v>45260</v>
      </c>
      <c r="O465" s="20" t="s">
        <v>1855</v>
      </c>
      <c r="P465" s="22"/>
      <c r="Q465" s="38" t="s">
        <v>2709</v>
      </c>
      <c r="R465" s="19">
        <v>5326000</v>
      </c>
      <c r="S465" s="19">
        <v>5500000</v>
      </c>
    </row>
    <row r="466" spans="2:19" s="20" customFormat="1" ht="17.100000000000001" hidden="1" customHeight="1" x14ac:dyDescent="0.3">
      <c r="B466" s="17">
        <v>45257</v>
      </c>
      <c r="C466" s="17">
        <v>45295</v>
      </c>
      <c r="D466" s="20" t="s">
        <v>1930</v>
      </c>
      <c r="E466" s="15" t="s">
        <v>1931</v>
      </c>
      <c r="F466" s="15" t="s">
        <v>25</v>
      </c>
      <c r="G466" s="15" t="s">
        <v>21</v>
      </c>
      <c r="H466" s="16" t="s">
        <v>1932</v>
      </c>
      <c r="I466" s="15">
        <v>1</v>
      </c>
      <c r="J466" s="15" t="s">
        <v>1933</v>
      </c>
      <c r="K466" s="29" t="s">
        <v>1935</v>
      </c>
      <c r="L466" s="19">
        <v>96050759</v>
      </c>
      <c r="M466" s="18">
        <f t="shared" si="25"/>
        <v>96050759</v>
      </c>
      <c r="N466" s="17">
        <v>45321</v>
      </c>
      <c r="O466" s="20" t="s">
        <v>1934</v>
      </c>
      <c r="P466" s="22"/>
      <c r="Q466" s="38" t="s">
        <v>2718</v>
      </c>
      <c r="R466" s="19"/>
      <c r="S466" s="19"/>
    </row>
    <row r="467" spans="2:19" s="20" customFormat="1" ht="17.100000000000001" hidden="1" customHeight="1" x14ac:dyDescent="0.3">
      <c r="B467" s="17">
        <v>45259</v>
      </c>
      <c r="C467" s="17">
        <v>45261</v>
      </c>
      <c r="D467" s="20" t="s">
        <v>1937</v>
      </c>
      <c r="E467" s="15" t="s">
        <v>1936</v>
      </c>
      <c r="F467" s="15" t="s">
        <v>46</v>
      </c>
      <c r="G467" s="15" t="s">
        <v>21</v>
      </c>
      <c r="H467" s="16" t="s">
        <v>1938</v>
      </c>
      <c r="I467" s="15">
        <v>1</v>
      </c>
      <c r="J467" s="15" t="s">
        <v>49</v>
      </c>
      <c r="K467" s="30" t="s">
        <v>85</v>
      </c>
      <c r="L467" s="19">
        <v>17230000</v>
      </c>
      <c r="M467" s="18">
        <f t="shared" ref="M467:M468" si="29">(L467*I467)+S467</f>
        <v>19752000</v>
      </c>
      <c r="N467" s="17">
        <v>45260</v>
      </c>
      <c r="O467" s="23"/>
      <c r="P467" s="22"/>
      <c r="Q467" s="38" t="s">
        <v>2711</v>
      </c>
      <c r="R467" s="19">
        <v>2522000</v>
      </c>
      <c r="S467" s="19">
        <v>2522000</v>
      </c>
    </row>
    <row r="468" spans="2:19" s="20" customFormat="1" ht="17.100000000000001" hidden="1" customHeight="1" x14ac:dyDescent="0.3">
      <c r="B468" s="17">
        <v>45260</v>
      </c>
      <c r="C468" s="17">
        <v>45296</v>
      </c>
      <c r="D468" s="20" t="s">
        <v>1978</v>
      </c>
      <c r="E468" s="15" t="s">
        <v>1979</v>
      </c>
      <c r="F468" s="15" t="s">
        <v>25</v>
      </c>
      <c r="G468" s="15" t="s">
        <v>21</v>
      </c>
      <c r="H468" s="16">
        <v>1650</v>
      </c>
      <c r="I468" s="15">
        <v>1</v>
      </c>
      <c r="J468" s="15" t="s">
        <v>626</v>
      </c>
      <c r="K468" s="29" t="s">
        <v>1775</v>
      </c>
      <c r="L468" s="136">
        <v>84920000</v>
      </c>
      <c r="M468" s="137">
        <f t="shared" si="29"/>
        <v>84920000</v>
      </c>
      <c r="N468" s="134">
        <v>45546</v>
      </c>
      <c r="O468" s="20" t="s">
        <v>1774</v>
      </c>
      <c r="P468" s="22" t="s">
        <v>2243</v>
      </c>
      <c r="Q468" s="38" t="s">
        <v>2699</v>
      </c>
      <c r="R468" s="19"/>
      <c r="S468" s="19"/>
    </row>
    <row r="469" spans="2:19" s="20" customFormat="1" ht="17.100000000000001" hidden="1" customHeight="1" x14ac:dyDescent="0.3">
      <c r="B469" s="17">
        <v>45264</v>
      </c>
      <c r="C469" s="17">
        <v>45323</v>
      </c>
      <c r="D469" s="20" t="s">
        <v>1940</v>
      </c>
      <c r="E469" s="15" t="s">
        <v>1942</v>
      </c>
      <c r="F469" s="15" t="s">
        <v>25</v>
      </c>
      <c r="G469" s="15" t="s">
        <v>21</v>
      </c>
      <c r="H469" s="16" t="s">
        <v>1944</v>
      </c>
      <c r="I469" s="15">
        <v>1</v>
      </c>
      <c r="J469" s="15" t="s">
        <v>566</v>
      </c>
      <c r="K469" s="29" t="s">
        <v>1946</v>
      </c>
      <c r="L469" s="136">
        <v>95536000</v>
      </c>
      <c r="M469" s="137">
        <f t="shared" si="25"/>
        <v>95536000</v>
      </c>
      <c r="N469" s="134">
        <v>45406</v>
      </c>
      <c r="O469" s="20" t="s">
        <v>1947</v>
      </c>
      <c r="P469" s="22"/>
      <c r="Q469" s="38" t="s">
        <v>2719</v>
      </c>
      <c r="R469" s="19"/>
      <c r="S469" s="19"/>
    </row>
    <row r="470" spans="2:19" s="20" customFormat="1" ht="17.100000000000001" hidden="1" customHeight="1" x14ac:dyDescent="0.3">
      <c r="B470" s="17">
        <v>45264</v>
      </c>
      <c r="C470" s="17">
        <v>45323</v>
      </c>
      <c r="D470" s="20" t="s">
        <v>1941</v>
      </c>
      <c r="E470" s="15" t="s">
        <v>1943</v>
      </c>
      <c r="F470" s="15" t="s">
        <v>25</v>
      </c>
      <c r="G470" s="15" t="s">
        <v>21</v>
      </c>
      <c r="H470" s="16" t="s">
        <v>1945</v>
      </c>
      <c r="I470" s="15">
        <v>1</v>
      </c>
      <c r="J470" s="15" t="s">
        <v>566</v>
      </c>
      <c r="K470" s="29" t="s">
        <v>1946</v>
      </c>
      <c r="L470" s="136">
        <v>41594000</v>
      </c>
      <c r="M470" s="137">
        <f t="shared" si="25"/>
        <v>41594000</v>
      </c>
      <c r="N470" s="134">
        <v>45406</v>
      </c>
      <c r="O470" s="20" t="s">
        <v>1947</v>
      </c>
      <c r="P470" s="22"/>
      <c r="Q470" s="38" t="s">
        <v>2719</v>
      </c>
      <c r="R470" s="19"/>
      <c r="S470" s="19"/>
    </row>
    <row r="471" spans="2:19" s="20" customFormat="1" ht="17.100000000000001" hidden="1" customHeight="1" x14ac:dyDescent="0.3">
      <c r="B471" s="17">
        <v>45265</v>
      </c>
      <c r="C471" s="17">
        <v>45338</v>
      </c>
      <c r="D471" s="20" t="s">
        <v>1926</v>
      </c>
      <c r="E471" s="15" t="s">
        <v>2958</v>
      </c>
      <c r="F471" s="15" t="s">
        <v>25</v>
      </c>
      <c r="G471" s="15" t="s">
        <v>21</v>
      </c>
      <c r="H471" s="16" t="s">
        <v>1927</v>
      </c>
      <c r="I471" s="15">
        <v>1</v>
      </c>
      <c r="J471" s="15" t="s">
        <v>776</v>
      </c>
      <c r="K471" s="29" t="s">
        <v>952</v>
      </c>
      <c r="L471" s="19">
        <v>119750000</v>
      </c>
      <c r="M471" s="18">
        <f t="shared" si="25"/>
        <v>119750000</v>
      </c>
      <c r="N471" s="17">
        <v>45351</v>
      </c>
      <c r="O471" s="20" t="s">
        <v>953</v>
      </c>
      <c r="P471" s="22"/>
      <c r="Q471" s="38" t="s">
        <v>2720</v>
      </c>
      <c r="R471" s="19"/>
      <c r="S471" s="19"/>
    </row>
    <row r="472" spans="2:19" s="20" customFormat="1" ht="17.100000000000001" hidden="1" customHeight="1" x14ac:dyDescent="0.3">
      <c r="B472" s="17">
        <v>45271</v>
      </c>
      <c r="C472" s="17">
        <v>45273</v>
      </c>
      <c r="D472" s="20" t="s">
        <v>1949</v>
      </c>
      <c r="E472" s="15" t="s">
        <v>1948</v>
      </c>
      <c r="F472" s="15" t="s">
        <v>25</v>
      </c>
      <c r="G472" s="15" t="s">
        <v>21</v>
      </c>
      <c r="H472" s="16" t="s">
        <v>1950</v>
      </c>
      <c r="I472" s="15">
        <v>1</v>
      </c>
      <c r="J472" s="15" t="s">
        <v>1951</v>
      </c>
      <c r="K472" s="29" t="s">
        <v>1952</v>
      </c>
      <c r="L472" s="19">
        <v>24000000</v>
      </c>
      <c r="M472" s="18">
        <f t="shared" si="25"/>
        <v>24000000</v>
      </c>
      <c r="N472" s="17">
        <v>45654</v>
      </c>
      <c r="O472" s="20" t="s">
        <v>1953</v>
      </c>
      <c r="P472" s="22"/>
      <c r="Q472" s="38" t="s">
        <v>2721</v>
      </c>
      <c r="R472" s="19"/>
      <c r="S472" s="19"/>
    </row>
    <row r="473" spans="2:19" s="20" customFormat="1" ht="17.100000000000001" hidden="1" customHeight="1" x14ac:dyDescent="0.3">
      <c r="B473" s="17">
        <v>45276</v>
      </c>
      <c r="C473" s="17">
        <v>45313</v>
      </c>
      <c r="D473" s="20" t="s">
        <v>1957</v>
      </c>
      <c r="E473" s="15" t="s">
        <v>1958</v>
      </c>
      <c r="F473" s="15" t="s">
        <v>25</v>
      </c>
      <c r="G473" s="15" t="s">
        <v>1959</v>
      </c>
      <c r="H473" s="16" t="s">
        <v>1960</v>
      </c>
      <c r="I473" s="15">
        <v>1</v>
      </c>
      <c r="J473" s="15" t="s">
        <v>1962</v>
      </c>
      <c r="K473" s="29" t="s">
        <v>1961</v>
      </c>
      <c r="L473" s="19">
        <v>94800000</v>
      </c>
      <c r="M473" s="18">
        <f t="shared" si="25"/>
        <v>94800000</v>
      </c>
      <c r="N473" s="17">
        <v>45322</v>
      </c>
      <c r="O473" s="20" t="s">
        <v>1963</v>
      </c>
      <c r="P473" s="22"/>
      <c r="Q473" s="38" t="s">
        <v>1964</v>
      </c>
      <c r="R473" s="19"/>
      <c r="S473" s="19"/>
    </row>
    <row r="474" spans="2:19" s="20" customFormat="1" ht="17.100000000000001" hidden="1" customHeight="1" x14ac:dyDescent="0.3">
      <c r="B474" s="17">
        <v>45278</v>
      </c>
      <c r="C474" s="17">
        <v>45336</v>
      </c>
      <c r="D474" s="20" t="s">
        <v>1965</v>
      </c>
      <c r="E474" s="15" t="s">
        <v>1966</v>
      </c>
      <c r="F474" s="15" t="s">
        <v>25</v>
      </c>
      <c r="G474" s="15" t="s">
        <v>21</v>
      </c>
      <c r="H474" s="16" t="s">
        <v>1970</v>
      </c>
      <c r="I474" s="15">
        <v>2</v>
      </c>
      <c r="J474" s="15" t="s">
        <v>1967</v>
      </c>
      <c r="K474" s="29" t="s">
        <v>1968</v>
      </c>
      <c r="L474" s="19">
        <v>25000000</v>
      </c>
      <c r="M474" s="18">
        <f t="shared" si="25"/>
        <v>50000000</v>
      </c>
      <c r="N474" s="17">
        <v>45351</v>
      </c>
      <c r="O474" s="20" t="s">
        <v>1969</v>
      </c>
      <c r="P474" s="22"/>
      <c r="Q474" s="38" t="s">
        <v>2722</v>
      </c>
      <c r="R474" s="19">
        <v>2000000</v>
      </c>
      <c r="S474" s="19"/>
    </row>
    <row r="475" spans="2:19" s="20" customFormat="1" ht="17.100000000000001" hidden="1" customHeight="1" x14ac:dyDescent="0.3">
      <c r="B475" s="17">
        <v>45278</v>
      </c>
      <c r="C475" s="17">
        <v>45279</v>
      </c>
      <c r="D475" s="20" t="s">
        <v>1973</v>
      </c>
      <c r="E475" s="15" t="s">
        <v>1974</v>
      </c>
      <c r="F475" s="15" t="s">
        <v>46</v>
      </c>
      <c r="G475" s="15" t="s">
        <v>21</v>
      </c>
      <c r="H475" s="16" t="s">
        <v>1938</v>
      </c>
      <c r="I475" s="15">
        <v>1</v>
      </c>
      <c r="J475" s="15" t="s">
        <v>49</v>
      </c>
      <c r="K475" s="30" t="s">
        <v>85</v>
      </c>
      <c r="L475" s="19">
        <v>17230000</v>
      </c>
      <c r="M475" s="18">
        <f t="shared" si="25"/>
        <v>19752000</v>
      </c>
      <c r="N475" s="17">
        <v>45291</v>
      </c>
      <c r="P475" s="22"/>
      <c r="Q475" s="38" t="s">
        <v>2711</v>
      </c>
      <c r="R475" s="19">
        <v>2522000</v>
      </c>
      <c r="S475" s="19">
        <v>2522000</v>
      </c>
    </row>
    <row r="476" spans="2:19" s="20" customFormat="1" ht="17.100000000000001" hidden="1" customHeight="1" x14ac:dyDescent="0.3">
      <c r="B476" s="17">
        <v>45293</v>
      </c>
      <c r="C476" s="17">
        <v>45391</v>
      </c>
      <c r="D476" s="20" t="s">
        <v>1975</v>
      </c>
      <c r="E476" s="15" t="s">
        <v>1976</v>
      </c>
      <c r="F476" s="15" t="s">
        <v>25</v>
      </c>
      <c r="G476" s="15" t="s">
        <v>21</v>
      </c>
      <c r="H476" s="16" t="s">
        <v>1977</v>
      </c>
      <c r="I476" s="15">
        <v>1</v>
      </c>
      <c r="J476" s="15" t="s">
        <v>776</v>
      </c>
      <c r="K476" s="29" t="s">
        <v>952</v>
      </c>
      <c r="L476" s="136">
        <v>165770000</v>
      </c>
      <c r="M476" s="137">
        <f t="shared" ref="M476:M477" si="30">(L476*I476)+S476</f>
        <v>165770000</v>
      </c>
      <c r="N476" s="134">
        <v>45412</v>
      </c>
      <c r="O476" s="20" t="s">
        <v>953</v>
      </c>
      <c r="P476" s="22"/>
      <c r="Q476" s="38" t="s">
        <v>2720</v>
      </c>
      <c r="R476" s="19"/>
      <c r="S476" s="19"/>
    </row>
    <row r="477" spans="2:19" s="20" customFormat="1" ht="17.100000000000001" hidden="1" customHeight="1" x14ac:dyDescent="0.3">
      <c r="B477" s="17">
        <v>45298</v>
      </c>
      <c r="C477" s="17">
        <v>45300</v>
      </c>
      <c r="D477" s="20" t="s">
        <v>1981</v>
      </c>
      <c r="E477" s="15" t="s">
        <v>1982</v>
      </c>
      <c r="F477" s="15" t="s">
        <v>46</v>
      </c>
      <c r="G477" s="15" t="s">
        <v>21</v>
      </c>
      <c r="H477" s="16">
        <v>150</v>
      </c>
      <c r="I477" s="15">
        <v>1</v>
      </c>
      <c r="J477" s="15" t="s">
        <v>49</v>
      </c>
      <c r="K477" s="30" t="s">
        <v>85</v>
      </c>
      <c r="L477" s="19">
        <v>4380000</v>
      </c>
      <c r="M477" s="18">
        <f t="shared" si="30"/>
        <v>5291000</v>
      </c>
      <c r="N477" s="17">
        <v>45351</v>
      </c>
      <c r="O477" s="23"/>
      <c r="P477" s="22"/>
      <c r="Q477" s="38" t="s">
        <v>2723</v>
      </c>
      <c r="R477" s="19">
        <v>911000</v>
      </c>
      <c r="S477" s="19">
        <v>911000</v>
      </c>
    </row>
    <row r="478" spans="2:19" s="20" customFormat="1" ht="17.100000000000001" hidden="1" customHeight="1" x14ac:dyDescent="0.3">
      <c r="B478" s="17">
        <v>45301</v>
      </c>
      <c r="C478" s="17">
        <v>45302</v>
      </c>
      <c r="D478" s="20" t="s">
        <v>1984</v>
      </c>
      <c r="E478" s="15" t="s">
        <v>1983</v>
      </c>
      <c r="F478" s="15" t="s">
        <v>25</v>
      </c>
      <c r="G478" s="15" t="s">
        <v>21</v>
      </c>
      <c r="H478" s="16" t="s">
        <v>1985</v>
      </c>
      <c r="I478" s="15">
        <v>1</v>
      </c>
      <c r="J478" s="15" t="s">
        <v>1986</v>
      </c>
      <c r="K478" s="29" t="s">
        <v>1987</v>
      </c>
      <c r="L478" s="19">
        <v>28000000</v>
      </c>
      <c r="M478" s="18">
        <f t="shared" si="25"/>
        <v>28000000</v>
      </c>
      <c r="N478" s="17">
        <v>45322</v>
      </c>
      <c r="P478" s="22"/>
      <c r="Q478" s="38" t="s">
        <v>2724</v>
      </c>
      <c r="R478" s="19"/>
      <c r="S478" s="19"/>
    </row>
    <row r="479" spans="2:19" s="20" customFormat="1" ht="17.100000000000001" hidden="1" customHeight="1" x14ac:dyDescent="0.3">
      <c r="B479" s="17">
        <v>45306</v>
      </c>
      <c r="C479" s="17">
        <v>45320</v>
      </c>
      <c r="D479" s="22" t="s">
        <v>1989</v>
      </c>
      <c r="E479" s="15" t="s">
        <v>1988</v>
      </c>
      <c r="F479" s="15" t="s">
        <v>25</v>
      </c>
      <c r="G479" s="15" t="s">
        <v>1990</v>
      </c>
      <c r="H479" s="16" t="s">
        <v>1991</v>
      </c>
      <c r="I479" s="15">
        <v>1</v>
      </c>
      <c r="J479" s="15" t="s">
        <v>1993</v>
      </c>
      <c r="K479" s="29" t="s">
        <v>1992</v>
      </c>
      <c r="L479" s="19">
        <v>34780000</v>
      </c>
      <c r="M479" s="18">
        <f t="shared" si="25"/>
        <v>34780000</v>
      </c>
      <c r="N479" s="86">
        <v>45379</v>
      </c>
      <c r="O479" s="20" t="s">
        <v>1994</v>
      </c>
      <c r="P479" s="22"/>
      <c r="Q479" s="38"/>
      <c r="R479" s="19"/>
      <c r="S479" s="19"/>
    </row>
    <row r="480" spans="2:19" s="20" customFormat="1" ht="17.100000000000001" hidden="1" customHeight="1" x14ac:dyDescent="0.3">
      <c r="B480" s="17">
        <v>45306</v>
      </c>
      <c r="C480" s="17">
        <v>45360</v>
      </c>
      <c r="D480" s="139" t="s">
        <v>1999</v>
      </c>
      <c r="E480" s="83" t="s">
        <v>1995</v>
      </c>
      <c r="F480" s="83" t="s">
        <v>25</v>
      </c>
      <c r="G480" s="83" t="s">
        <v>21</v>
      </c>
      <c r="H480" s="128">
        <v>1500</v>
      </c>
      <c r="I480" s="83">
        <v>1</v>
      </c>
      <c r="J480" s="83" t="s">
        <v>2005</v>
      </c>
      <c r="K480" s="84" t="s">
        <v>2006</v>
      </c>
      <c r="L480" s="19"/>
      <c r="M480" s="18">
        <f t="shared" ref="M480:M833" si="31">(L480*I480)+S480</f>
        <v>0</v>
      </c>
      <c r="N480" s="17">
        <v>45469</v>
      </c>
      <c r="O480" s="20" t="s">
        <v>2007</v>
      </c>
      <c r="P480" s="22"/>
      <c r="Q480" s="38" t="s">
        <v>2725</v>
      </c>
      <c r="R480" s="19"/>
      <c r="S480" s="19"/>
    </row>
    <row r="481" spans="2:19" s="20" customFormat="1" ht="17.100000000000001" hidden="1" customHeight="1" x14ac:dyDescent="0.3">
      <c r="B481" s="17">
        <v>45306</v>
      </c>
      <c r="C481" s="17">
        <v>45360</v>
      </c>
      <c r="D481" s="139" t="s">
        <v>2000</v>
      </c>
      <c r="E481" s="83" t="s">
        <v>1996</v>
      </c>
      <c r="F481" s="83" t="s">
        <v>25</v>
      </c>
      <c r="G481" s="83" t="s">
        <v>21</v>
      </c>
      <c r="H481" s="128" t="s">
        <v>2003</v>
      </c>
      <c r="I481" s="83">
        <v>1</v>
      </c>
      <c r="J481" s="83" t="s">
        <v>2005</v>
      </c>
      <c r="K481" s="84" t="s">
        <v>2006</v>
      </c>
      <c r="L481" s="19">
        <v>20000000</v>
      </c>
      <c r="M481" s="18">
        <f t="shared" si="31"/>
        <v>20000000</v>
      </c>
      <c r="N481" s="17">
        <v>45351</v>
      </c>
      <c r="O481" s="20" t="s">
        <v>2007</v>
      </c>
      <c r="P481" s="22"/>
      <c r="Q481" s="38" t="s">
        <v>2725</v>
      </c>
      <c r="R481" s="19"/>
      <c r="S481" s="19"/>
    </row>
    <row r="482" spans="2:19" s="20" customFormat="1" ht="17.100000000000001" hidden="1" customHeight="1" x14ac:dyDescent="0.3">
      <c r="B482" s="17">
        <v>45308</v>
      </c>
      <c r="C482" s="17">
        <v>45360</v>
      </c>
      <c r="D482" s="139" t="s">
        <v>2001</v>
      </c>
      <c r="E482" s="83" t="s">
        <v>1997</v>
      </c>
      <c r="F482" s="83" t="s">
        <v>25</v>
      </c>
      <c r="G482" s="83" t="s">
        <v>21</v>
      </c>
      <c r="H482" s="128">
        <v>1350</v>
      </c>
      <c r="I482" s="83">
        <v>1</v>
      </c>
      <c r="J482" s="83" t="s">
        <v>2005</v>
      </c>
      <c r="K482" s="165" t="s">
        <v>2006</v>
      </c>
      <c r="L482" s="136">
        <v>63840000</v>
      </c>
      <c r="M482" s="137">
        <f t="shared" si="31"/>
        <v>63840000</v>
      </c>
      <c r="N482" s="134">
        <v>45649</v>
      </c>
      <c r="O482" s="20" t="s">
        <v>2007</v>
      </c>
      <c r="P482" s="22" t="s">
        <v>2207</v>
      </c>
      <c r="Q482" s="38" t="s">
        <v>2725</v>
      </c>
      <c r="R482" s="19"/>
      <c r="S482" s="19"/>
    </row>
    <row r="483" spans="2:19" s="20" customFormat="1" ht="17.100000000000001" hidden="1" customHeight="1" x14ac:dyDescent="0.3">
      <c r="B483" s="17">
        <v>45308</v>
      </c>
      <c r="C483" s="17">
        <v>45360</v>
      </c>
      <c r="D483" s="22" t="s">
        <v>2002</v>
      </c>
      <c r="E483" s="15" t="s">
        <v>1998</v>
      </c>
      <c r="F483" s="15" t="s">
        <v>25</v>
      </c>
      <c r="G483" s="15" t="s">
        <v>21</v>
      </c>
      <c r="H483" s="16" t="s">
        <v>2004</v>
      </c>
      <c r="I483" s="15">
        <v>1</v>
      </c>
      <c r="J483" s="15" t="s">
        <v>2005</v>
      </c>
      <c r="K483" s="29" t="s">
        <v>2006</v>
      </c>
      <c r="L483" s="19">
        <v>22000000</v>
      </c>
      <c r="M483" s="18">
        <f t="shared" si="31"/>
        <v>22000000</v>
      </c>
      <c r="N483" s="17">
        <v>45351</v>
      </c>
      <c r="O483" s="20" t="s">
        <v>2007</v>
      </c>
      <c r="P483" s="22"/>
      <c r="Q483" s="38" t="s">
        <v>2725</v>
      </c>
      <c r="R483" s="19"/>
      <c r="S483" s="19"/>
    </row>
    <row r="484" spans="2:19" s="20" customFormat="1" ht="17.100000000000001" hidden="1" customHeight="1" x14ac:dyDescent="0.3">
      <c r="B484" s="17">
        <v>45316</v>
      </c>
      <c r="C484" s="17">
        <v>45317</v>
      </c>
      <c r="D484" s="22" t="s">
        <v>2008</v>
      </c>
      <c r="E484" s="15" t="s">
        <v>2009</v>
      </c>
      <c r="F484" s="15" t="s">
        <v>25</v>
      </c>
      <c r="G484" s="15" t="s">
        <v>21</v>
      </c>
      <c r="H484" s="16" t="s">
        <v>2010</v>
      </c>
      <c r="I484" s="15">
        <v>1</v>
      </c>
      <c r="J484" s="15" t="s">
        <v>1597</v>
      </c>
      <c r="K484" s="29" t="s">
        <v>2011</v>
      </c>
      <c r="L484" s="19">
        <v>19500000</v>
      </c>
      <c r="M484" s="18">
        <f t="shared" si="31"/>
        <v>19500000</v>
      </c>
      <c r="N484" s="86">
        <v>45391</v>
      </c>
      <c r="O484" s="20" t="s">
        <v>2012</v>
      </c>
      <c r="P484" s="22"/>
      <c r="Q484" s="38" t="s">
        <v>2726</v>
      </c>
      <c r="R484" s="19"/>
      <c r="S484" s="19"/>
    </row>
    <row r="485" spans="2:19" s="20" customFormat="1" ht="17.100000000000001" hidden="1" customHeight="1" x14ac:dyDescent="0.3">
      <c r="B485" s="17">
        <v>45317</v>
      </c>
      <c r="C485" s="17">
        <v>45345</v>
      </c>
      <c r="D485" s="22" t="s">
        <v>2014</v>
      </c>
      <c r="E485" s="15" t="s">
        <v>2013</v>
      </c>
      <c r="F485" s="15" t="s">
        <v>25</v>
      </c>
      <c r="G485" s="15" t="s">
        <v>21</v>
      </c>
      <c r="H485" s="16" t="s">
        <v>2015</v>
      </c>
      <c r="I485" s="15">
        <v>1</v>
      </c>
      <c r="J485" s="15" t="s">
        <v>2016</v>
      </c>
      <c r="K485" s="29" t="s">
        <v>2017</v>
      </c>
      <c r="L485" s="19">
        <v>49280000</v>
      </c>
      <c r="M485" s="18">
        <f t="shared" si="31"/>
        <v>49280000</v>
      </c>
      <c r="N485" s="86">
        <v>45351</v>
      </c>
      <c r="O485" s="20" t="s">
        <v>2018</v>
      </c>
      <c r="P485" s="22"/>
      <c r="Q485" s="38" t="s">
        <v>2727</v>
      </c>
      <c r="R485" s="19"/>
      <c r="S485" s="19"/>
    </row>
    <row r="486" spans="2:19" s="20" customFormat="1" ht="17.100000000000001" hidden="1" customHeight="1" x14ac:dyDescent="0.3">
      <c r="B486" s="17">
        <v>45314</v>
      </c>
      <c r="C486" s="17">
        <v>45328</v>
      </c>
      <c r="D486" s="22" t="s">
        <v>1989</v>
      </c>
      <c r="E486" s="15" t="s">
        <v>2019</v>
      </c>
      <c r="F486" s="15" t="s">
        <v>25</v>
      </c>
      <c r="G486" s="15" t="s">
        <v>1471</v>
      </c>
      <c r="H486" s="16" t="s">
        <v>544</v>
      </c>
      <c r="I486" s="15">
        <v>1</v>
      </c>
      <c r="J486" s="15" t="s">
        <v>1993</v>
      </c>
      <c r="K486" s="29" t="s">
        <v>1992</v>
      </c>
      <c r="L486" s="85">
        <v>29780000</v>
      </c>
      <c r="M486" s="133">
        <f t="shared" si="31"/>
        <v>29780000</v>
      </c>
      <c r="N486" s="86">
        <v>45379</v>
      </c>
      <c r="O486" s="20" t="s">
        <v>1994</v>
      </c>
      <c r="P486" s="22"/>
      <c r="Q486" s="38" t="s">
        <v>2728</v>
      </c>
      <c r="R486" s="19"/>
      <c r="S486" s="19"/>
    </row>
    <row r="487" spans="2:19" s="20" customFormat="1" ht="17.100000000000001" hidden="1" customHeight="1" x14ac:dyDescent="0.3">
      <c r="B487" s="17">
        <v>45337</v>
      </c>
      <c r="C487" s="17">
        <v>45337</v>
      </c>
      <c r="D487" s="22" t="s">
        <v>2021</v>
      </c>
      <c r="E487" s="15" t="s">
        <v>2020</v>
      </c>
      <c r="F487" s="15" t="s">
        <v>25</v>
      </c>
      <c r="G487" s="15" t="s">
        <v>21</v>
      </c>
      <c r="H487" s="16" t="s">
        <v>2022</v>
      </c>
      <c r="I487" s="15">
        <v>1</v>
      </c>
      <c r="J487" s="15"/>
      <c r="K487" s="29" t="s">
        <v>2023</v>
      </c>
      <c r="L487" s="19">
        <v>2000000</v>
      </c>
      <c r="M487" s="18">
        <f t="shared" si="31"/>
        <v>2000000</v>
      </c>
      <c r="N487" s="86">
        <v>45350</v>
      </c>
      <c r="O487" s="20" t="s">
        <v>2034</v>
      </c>
      <c r="P487" s="22"/>
      <c r="Q487" s="38"/>
      <c r="R487" s="19"/>
      <c r="S487" s="19"/>
    </row>
    <row r="488" spans="2:19" s="20" customFormat="1" ht="17.100000000000001" hidden="1" customHeight="1" x14ac:dyDescent="0.3">
      <c r="B488" s="17">
        <v>45345</v>
      </c>
      <c r="C488" s="17">
        <v>45355</v>
      </c>
      <c r="D488" s="22" t="s">
        <v>2024</v>
      </c>
      <c r="E488" s="15" t="s">
        <v>2025</v>
      </c>
      <c r="F488" s="15" t="s">
        <v>46</v>
      </c>
      <c r="G488" s="15" t="s">
        <v>21</v>
      </c>
      <c r="H488" s="16">
        <v>800</v>
      </c>
      <c r="I488" s="15">
        <v>1</v>
      </c>
      <c r="J488" s="15" t="s">
        <v>49</v>
      </c>
      <c r="K488" s="30" t="s">
        <v>85</v>
      </c>
      <c r="L488" s="19">
        <v>45210000</v>
      </c>
      <c r="M488" s="18">
        <f t="shared" si="31"/>
        <v>50093000</v>
      </c>
      <c r="N488" s="86">
        <v>45351</v>
      </c>
      <c r="O488" s="23"/>
      <c r="P488" s="22"/>
      <c r="Q488" s="38" t="s">
        <v>2723</v>
      </c>
      <c r="R488" s="19">
        <v>4883000</v>
      </c>
      <c r="S488" s="19">
        <v>4883000</v>
      </c>
    </row>
    <row r="489" spans="2:19" s="20" customFormat="1" ht="17.100000000000001" hidden="1" customHeight="1" x14ac:dyDescent="0.3">
      <c r="B489" s="17">
        <v>45355</v>
      </c>
      <c r="C489" s="17">
        <v>45377</v>
      </c>
      <c r="D489" s="22" t="s">
        <v>2027</v>
      </c>
      <c r="E489" s="15" t="s">
        <v>2026</v>
      </c>
      <c r="F489" s="15" t="s">
        <v>25</v>
      </c>
      <c r="G489" s="15" t="s">
        <v>21</v>
      </c>
      <c r="H489" s="16">
        <v>1200</v>
      </c>
      <c r="I489" s="15">
        <v>1</v>
      </c>
      <c r="J489" s="15" t="s">
        <v>1920</v>
      </c>
      <c r="K489" s="29" t="s">
        <v>1736</v>
      </c>
      <c r="L489" s="19">
        <v>65300000</v>
      </c>
      <c r="M489" s="18">
        <f t="shared" si="31"/>
        <v>65300000</v>
      </c>
      <c r="N489" s="86">
        <v>45765</v>
      </c>
      <c r="P489" s="22" t="s">
        <v>2209</v>
      </c>
      <c r="Q489" s="38" t="s">
        <v>2717</v>
      </c>
      <c r="R489" s="19"/>
      <c r="S489" s="19"/>
    </row>
    <row r="490" spans="2:19" s="20" customFormat="1" ht="17.100000000000001" hidden="1" customHeight="1" x14ac:dyDescent="0.3">
      <c r="B490" s="17">
        <v>45355</v>
      </c>
      <c r="C490" s="17">
        <v>45380</v>
      </c>
      <c r="D490" s="22" t="s">
        <v>2030</v>
      </c>
      <c r="E490" s="15" t="s">
        <v>2028</v>
      </c>
      <c r="F490" s="15" t="s">
        <v>25</v>
      </c>
      <c r="G490" s="15" t="s">
        <v>21</v>
      </c>
      <c r="H490" s="16" t="s">
        <v>2029</v>
      </c>
      <c r="I490" s="15">
        <v>1</v>
      </c>
      <c r="J490" s="15" t="s">
        <v>2031</v>
      </c>
      <c r="K490" s="29" t="s">
        <v>1968</v>
      </c>
      <c r="L490" s="19">
        <v>185009196</v>
      </c>
      <c r="M490" s="18">
        <f t="shared" si="31"/>
        <v>185009196</v>
      </c>
      <c r="N490" s="86">
        <v>45382</v>
      </c>
      <c r="O490" s="20" t="s">
        <v>1969</v>
      </c>
      <c r="P490" s="22"/>
      <c r="Q490" s="38" t="s">
        <v>2729</v>
      </c>
      <c r="R490" s="19"/>
      <c r="S490" s="19"/>
    </row>
    <row r="491" spans="2:19" s="20" customFormat="1" ht="17.100000000000001" hidden="1" customHeight="1" x14ac:dyDescent="0.3">
      <c r="B491" s="17">
        <v>45357</v>
      </c>
      <c r="C491" s="17">
        <v>45399</v>
      </c>
      <c r="D491" s="22" t="s">
        <v>2040</v>
      </c>
      <c r="E491" s="15" t="s">
        <v>2036</v>
      </c>
      <c r="F491" s="15" t="s">
        <v>25</v>
      </c>
      <c r="G491" s="15" t="s">
        <v>21</v>
      </c>
      <c r="H491" s="16" t="s">
        <v>2038</v>
      </c>
      <c r="I491" s="15">
        <v>1</v>
      </c>
      <c r="J491" s="15" t="s">
        <v>1920</v>
      </c>
      <c r="K491" s="29" t="s">
        <v>2041</v>
      </c>
      <c r="L491" s="19">
        <f>152100000*2</f>
        <v>304200000</v>
      </c>
      <c r="M491" s="18">
        <f t="shared" si="31"/>
        <v>304200000</v>
      </c>
      <c r="N491" s="17">
        <v>45412</v>
      </c>
      <c r="P491" s="22"/>
      <c r="Q491" s="38" t="s">
        <v>2730</v>
      </c>
      <c r="R491" s="19"/>
      <c r="S491" s="19"/>
    </row>
    <row r="492" spans="2:19" s="20" customFormat="1" ht="17.100000000000001" hidden="1" customHeight="1" x14ac:dyDescent="0.3">
      <c r="B492" s="17">
        <v>45357</v>
      </c>
      <c r="C492" s="17">
        <v>45399</v>
      </c>
      <c r="D492" s="22" t="s">
        <v>2035</v>
      </c>
      <c r="E492" s="15" t="s">
        <v>2037</v>
      </c>
      <c r="F492" s="15" t="s">
        <v>25</v>
      </c>
      <c r="G492" s="15" t="s">
        <v>21</v>
      </c>
      <c r="H492" s="16" t="s">
        <v>2039</v>
      </c>
      <c r="I492" s="15">
        <v>1</v>
      </c>
      <c r="J492" s="15" t="s">
        <v>1920</v>
      </c>
      <c r="K492" s="29" t="s">
        <v>1736</v>
      </c>
      <c r="L492" s="19">
        <f>145200000+40100000</f>
        <v>185300000</v>
      </c>
      <c r="M492" s="18">
        <f t="shared" si="31"/>
        <v>185300000</v>
      </c>
      <c r="N492" s="17">
        <v>45765</v>
      </c>
      <c r="P492" s="22" t="s">
        <v>2209</v>
      </c>
      <c r="Q492" s="38" t="s">
        <v>2717</v>
      </c>
      <c r="R492" s="19"/>
      <c r="S492" s="19"/>
    </row>
    <row r="493" spans="2:19" s="20" customFormat="1" ht="17.100000000000001" hidden="1" customHeight="1" x14ac:dyDescent="0.3">
      <c r="B493" s="17">
        <v>45365</v>
      </c>
      <c r="C493" s="17">
        <v>45368</v>
      </c>
      <c r="D493" s="22" t="s">
        <v>2042</v>
      </c>
      <c r="E493" s="15" t="s">
        <v>2043</v>
      </c>
      <c r="F493" s="15" t="s">
        <v>46</v>
      </c>
      <c r="G493" s="15" t="s">
        <v>21</v>
      </c>
      <c r="H493" s="16" t="s">
        <v>2044</v>
      </c>
      <c r="I493" s="15">
        <v>1</v>
      </c>
      <c r="J493" s="15" t="s">
        <v>2046</v>
      </c>
      <c r="K493" s="15" t="s">
        <v>2045</v>
      </c>
      <c r="L493" s="19">
        <v>13800000</v>
      </c>
      <c r="M493" s="18">
        <f t="shared" si="31"/>
        <v>23000000</v>
      </c>
      <c r="N493" s="86">
        <v>45378</v>
      </c>
      <c r="O493" s="20" t="s">
        <v>2047</v>
      </c>
      <c r="P493" s="22"/>
      <c r="Q493" s="38" t="s">
        <v>2731</v>
      </c>
      <c r="R493" s="19">
        <v>9108000</v>
      </c>
      <c r="S493" s="19">
        <v>9200000</v>
      </c>
    </row>
    <row r="494" spans="2:19" s="20" customFormat="1" ht="17.100000000000001" hidden="1" customHeight="1" x14ac:dyDescent="0.3">
      <c r="B494" s="17">
        <v>45365</v>
      </c>
      <c r="C494" s="17">
        <v>45366</v>
      </c>
      <c r="D494" s="22" t="s">
        <v>2048</v>
      </c>
      <c r="E494" s="15" t="s">
        <v>2049</v>
      </c>
      <c r="F494" s="15" t="s">
        <v>25</v>
      </c>
      <c r="G494" s="15" t="s">
        <v>26</v>
      </c>
      <c r="H494" s="16" t="s">
        <v>556</v>
      </c>
      <c r="I494" s="15">
        <v>1</v>
      </c>
      <c r="J494" s="15" t="s">
        <v>626</v>
      </c>
      <c r="K494" s="29" t="s">
        <v>1515</v>
      </c>
      <c r="L494" s="19">
        <v>15100000</v>
      </c>
      <c r="M494" s="18">
        <f t="shared" si="31"/>
        <v>15100000</v>
      </c>
      <c r="N494" s="86">
        <v>45382</v>
      </c>
      <c r="O494" s="20" t="s">
        <v>1527</v>
      </c>
      <c r="P494" s="22"/>
      <c r="Q494" s="38" t="s">
        <v>2732</v>
      </c>
      <c r="R494" s="19"/>
      <c r="S494" s="19"/>
    </row>
    <row r="495" spans="2:19" s="20" customFormat="1" ht="17.100000000000001" hidden="1" customHeight="1" x14ac:dyDescent="0.3">
      <c r="B495" s="17">
        <v>45369</v>
      </c>
      <c r="C495" s="17">
        <v>45373</v>
      </c>
      <c r="D495" s="22" t="s">
        <v>2050</v>
      </c>
      <c r="E495" s="15" t="s">
        <v>2051</v>
      </c>
      <c r="F495" s="15" t="s">
        <v>25</v>
      </c>
      <c r="G495" s="15" t="s">
        <v>21</v>
      </c>
      <c r="H495" s="16" t="s">
        <v>2052</v>
      </c>
      <c r="I495" s="15">
        <v>1</v>
      </c>
      <c r="J495" s="15" t="s">
        <v>626</v>
      </c>
      <c r="K495" s="29" t="s">
        <v>2053</v>
      </c>
      <c r="L495" s="19">
        <v>17000000</v>
      </c>
      <c r="M495" s="18">
        <f t="shared" si="31"/>
        <v>17000000</v>
      </c>
      <c r="N495" s="134">
        <v>45657</v>
      </c>
      <c r="P495" s="22" t="s">
        <v>2367</v>
      </c>
      <c r="Q495" s="38" t="s">
        <v>2733</v>
      </c>
      <c r="R495" s="19"/>
      <c r="S495" s="19"/>
    </row>
    <row r="496" spans="2:19" s="20" customFormat="1" ht="17.100000000000001" hidden="1" customHeight="1" x14ac:dyDescent="0.3">
      <c r="B496" s="17">
        <v>45372</v>
      </c>
      <c r="C496" s="17">
        <v>45400</v>
      </c>
      <c r="D496" s="22" t="s">
        <v>2058</v>
      </c>
      <c r="E496" s="15" t="s">
        <v>2054</v>
      </c>
      <c r="F496" s="15" t="s">
        <v>25</v>
      </c>
      <c r="G496" s="15" t="s">
        <v>21</v>
      </c>
      <c r="H496" s="16" t="s">
        <v>2059</v>
      </c>
      <c r="I496" s="15">
        <v>1</v>
      </c>
      <c r="J496" s="15" t="s">
        <v>2005</v>
      </c>
      <c r="K496" s="29" t="s">
        <v>2006</v>
      </c>
      <c r="L496" s="136">
        <v>41000000</v>
      </c>
      <c r="M496" s="137">
        <f t="shared" ref="M496:M501" si="32">(L496*I496)+S496</f>
        <v>41000000</v>
      </c>
      <c r="N496" s="134">
        <v>45412</v>
      </c>
      <c r="O496" s="20" t="s">
        <v>2007</v>
      </c>
      <c r="P496" s="22"/>
      <c r="Q496" s="38" t="s">
        <v>2725</v>
      </c>
      <c r="R496" s="19"/>
      <c r="S496" s="19"/>
    </row>
    <row r="497" spans="2:19" s="20" customFormat="1" ht="17.100000000000001" hidden="1" customHeight="1" x14ac:dyDescent="0.3">
      <c r="B497" s="17">
        <v>45373</v>
      </c>
      <c r="C497" s="17">
        <v>45401</v>
      </c>
      <c r="D497" s="22" t="s">
        <v>2055</v>
      </c>
      <c r="E497" s="15" t="s">
        <v>2056</v>
      </c>
      <c r="F497" s="15" t="s">
        <v>25</v>
      </c>
      <c r="G497" s="15" t="s">
        <v>21</v>
      </c>
      <c r="H497" s="16" t="s">
        <v>2060</v>
      </c>
      <c r="I497" s="15">
        <v>1</v>
      </c>
      <c r="J497" s="15" t="s">
        <v>2005</v>
      </c>
      <c r="K497" s="29" t="s">
        <v>2006</v>
      </c>
      <c r="L497" s="136">
        <v>37000000</v>
      </c>
      <c r="M497" s="137">
        <f t="shared" si="32"/>
        <v>37000000</v>
      </c>
      <c r="N497" s="134">
        <v>45412</v>
      </c>
      <c r="O497" s="20" t="s">
        <v>2007</v>
      </c>
      <c r="P497" s="22"/>
      <c r="Q497" s="38" t="s">
        <v>2725</v>
      </c>
      <c r="R497" s="19"/>
      <c r="S497" s="19"/>
    </row>
    <row r="498" spans="2:19" s="20" customFormat="1" ht="17.100000000000001" hidden="1" customHeight="1" x14ac:dyDescent="0.3">
      <c r="B498" s="17">
        <v>45373</v>
      </c>
      <c r="C498" s="17">
        <v>45450</v>
      </c>
      <c r="D498" s="139" t="s">
        <v>2061</v>
      </c>
      <c r="E498" s="83" t="s">
        <v>2057</v>
      </c>
      <c r="F498" s="83" t="s">
        <v>25</v>
      </c>
      <c r="G498" s="83" t="s">
        <v>21</v>
      </c>
      <c r="H498" s="128">
        <v>1500</v>
      </c>
      <c r="I498" s="83">
        <v>1</v>
      </c>
      <c r="J498" s="83" t="s">
        <v>2005</v>
      </c>
      <c r="K498" s="84" t="s">
        <v>2006</v>
      </c>
      <c r="L498" s="85"/>
      <c r="M498" s="18">
        <f t="shared" si="32"/>
        <v>0</v>
      </c>
      <c r="N498" s="17">
        <v>45469</v>
      </c>
      <c r="O498" s="20" t="s">
        <v>2007</v>
      </c>
      <c r="P498" s="22"/>
      <c r="Q498" s="38" t="s">
        <v>2725</v>
      </c>
      <c r="R498" s="19"/>
      <c r="S498" s="19"/>
    </row>
    <row r="499" spans="2:19" s="20" customFormat="1" ht="17.100000000000001" hidden="1" customHeight="1" x14ac:dyDescent="0.3">
      <c r="B499" s="17">
        <v>45380</v>
      </c>
      <c r="C499" s="17">
        <v>45384</v>
      </c>
      <c r="D499" s="22" t="s">
        <v>2065</v>
      </c>
      <c r="E499" s="15" t="s">
        <v>2064</v>
      </c>
      <c r="F499" s="15" t="s">
        <v>46</v>
      </c>
      <c r="G499" s="15" t="s">
        <v>21</v>
      </c>
      <c r="H499" s="16" t="s">
        <v>2112</v>
      </c>
      <c r="I499" s="15">
        <v>1</v>
      </c>
      <c r="J499" s="15" t="s">
        <v>49</v>
      </c>
      <c r="K499" s="30" t="s">
        <v>85</v>
      </c>
      <c r="L499" s="19">
        <v>12700000</v>
      </c>
      <c r="M499" s="18">
        <f t="shared" si="32"/>
        <v>22000000</v>
      </c>
      <c r="N499" s="17">
        <v>45439</v>
      </c>
      <c r="O499" s="23"/>
      <c r="P499" s="22"/>
      <c r="Q499" s="38" t="s">
        <v>2723</v>
      </c>
      <c r="R499" s="19">
        <v>8356000</v>
      </c>
      <c r="S499" s="19">
        <v>9300000</v>
      </c>
    </row>
    <row r="500" spans="2:19" s="20" customFormat="1" ht="17.100000000000001" hidden="1" customHeight="1" x14ac:dyDescent="0.3">
      <c r="B500" s="17">
        <v>45385</v>
      </c>
      <c r="C500" s="17">
        <v>45401</v>
      </c>
      <c r="D500" s="22" t="s">
        <v>2077</v>
      </c>
      <c r="E500" s="15" t="s">
        <v>2078</v>
      </c>
      <c r="F500" s="15" t="s">
        <v>95</v>
      </c>
      <c r="G500" s="15" t="s">
        <v>21</v>
      </c>
      <c r="H500" s="16" t="s">
        <v>2079</v>
      </c>
      <c r="I500" s="15">
        <v>1</v>
      </c>
      <c r="J500" s="15" t="s">
        <v>626</v>
      </c>
      <c r="K500" s="29" t="s">
        <v>2080</v>
      </c>
      <c r="L500" s="19">
        <v>32500000</v>
      </c>
      <c r="M500" s="18">
        <f t="shared" ref="M500" si="33">(L500*I500)+S500</f>
        <v>32500000</v>
      </c>
      <c r="N500" s="134">
        <v>45419</v>
      </c>
      <c r="O500" s="20" t="s">
        <v>2081</v>
      </c>
      <c r="P500" s="22"/>
      <c r="Q500" s="38"/>
      <c r="R500" s="19"/>
      <c r="S500" s="19"/>
    </row>
    <row r="501" spans="2:19" s="20" customFormat="1" ht="17.100000000000001" hidden="1" customHeight="1" x14ac:dyDescent="0.3">
      <c r="B501" s="17">
        <v>45387</v>
      </c>
      <c r="C501" s="17">
        <v>45370</v>
      </c>
      <c r="D501" s="139" t="s">
        <v>2074</v>
      </c>
      <c r="E501" s="83" t="s">
        <v>2075</v>
      </c>
      <c r="F501" s="83" t="s">
        <v>25</v>
      </c>
      <c r="G501" s="83" t="s">
        <v>21</v>
      </c>
      <c r="H501" s="128" t="s">
        <v>2076</v>
      </c>
      <c r="I501" s="83">
        <v>1</v>
      </c>
      <c r="J501" s="83" t="s">
        <v>2005</v>
      </c>
      <c r="K501" s="84" t="s">
        <v>2006</v>
      </c>
      <c r="L501" s="19"/>
      <c r="M501" s="18">
        <f t="shared" si="32"/>
        <v>0</v>
      </c>
      <c r="N501" s="17">
        <v>45469</v>
      </c>
      <c r="O501" s="20" t="s">
        <v>2007</v>
      </c>
      <c r="P501" s="22"/>
      <c r="Q501" s="38" t="s">
        <v>2725</v>
      </c>
      <c r="R501" s="19"/>
      <c r="S501" s="19"/>
    </row>
    <row r="502" spans="2:19" s="20" customFormat="1" ht="17.100000000000001" hidden="1" customHeight="1" x14ac:dyDescent="0.3">
      <c r="B502" s="17">
        <v>45390</v>
      </c>
      <c r="C502" s="17">
        <v>45394</v>
      </c>
      <c r="D502" s="22" t="s">
        <v>2082</v>
      </c>
      <c r="E502" s="15" t="s">
        <v>2088</v>
      </c>
      <c r="F502" s="15" t="s">
        <v>2083</v>
      </c>
      <c r="G502" s="15" t="s">
        <v>21</v>
      </c>
      <c r="H502" s="16" t="s">
        <v>2084</v>
      </c>
      <c r="I502" s="15">
        <v>1</v>
      </c>
      <c r="J502" s="15"/>
      <c r="K502" s="29" t="s">
        <v>2085</v>
      </c>
      <c r="L502" s="19"/>
      <c r="M502" s="18">
        <f t="shared" si="31"/>
        <v>0</v>
      </c>
      <c r="N502" s="17">
        <v>45765</v>
      </c>
      <c r="P502" s="22"/>
      <c r="Q502" s="38"/>
      <c r="R502" s="19"/>
      <c r="S502" s="19"/>
    </row>
    <row r="503" spans="2:19" s="20" customFormat="1" ht="17.100000000000001" hidden="1" customHeight="1" x14ac:dyDescent="0.3">
      <c r="B503" s="17">
        <v>45397</v>
      </c>
      <c r="C503" s="17">
        <v>45421</v>
      </c>
      <c r="D503" s="22" t="s">
        <v>2090</v>
      </c>
      <c r="E503" s="15" t="s">
        <v>2089</v>
      </c>
      <c r="F503" s="15" t="s">
        <v>95</v>
      </c>
      <c r="G503" s="15" t="s">
        <v>21</v>
      </c>
      <c r="H503" s="16" t="s">
        <v>2091</v>
      </c>
      <c r="I503" s="15">
        <v>1</v>
      </c>
      <c r="J503" s="15" t="s">
        <v>626</v>
      </c>
      <c r="K503" s="29" t="s">
        <v>2092</v>
      </c>
      <c r="L503" s="19">
        <v>43000000</v>
      </c>
      <c r="M503" s="18">
        <f t="shared" si="31"/>
        <v>43000000</v>
      </c>
      <c r="N503" s="134">
        <v>45463</v>
      </c>
      <c r="O503" s="20" t="s">
        <v>2093</v>
      </c>
      <c r="P503" s="22"/>
      <c r="Q503" s="38" t="s">
        <v>2734</v>
      </c>
      <c r="R503" s="19"/>
      <c r="S503" s="19"/>
    </row>
    <row r="504" spans="2:19" s="20" customFormat="1" ht="17.100000000000001" hidden="1" customHeight="1" x14ac:dyDescent="0.3">
      <c r="B504" s="17">
        <v>45397</v>
      </c>
      <c r="C504" s="17">
        <v>45404</v>
      </c>
      <c r="D504" s="22" t="s">
        <v>2095</v>
      </c>
      <c r="E504" s="15" t="s">
        <v>2094</v>
      </c>
      <c r="F504" s="15" t="s">
        <v>46</v>
      </c>
      <c r="G504" s="15" t="s">
        <v>21</v>
      </c>
      <c r="H504" s="16" t="s">
        <v>2096</v>
      </c>
      <c r="I504" s="15">
        <v>1</v>
      </c>
      <c r="J504" s="15" t="s">
        <v>2097</v>
      </c>
      <c r="K504" s="29" t="s">
        <v>2098</v>
      </c>
      <c r="L504" s="19">
        <v>11482000</v>
      </c>
      <c r="M504" s="18">
        <f t="shared" si="31"/>
        <v>25826000</v>
      </c>
      <c r="N504" s="134">
        <v>45412</v>
      </c>
      <c r="P504" s="22"/>
      <c r="Q504" s="38" t="s">
        <v>2735</v>
      </c>
      <c r="R504" s="19">
        <v>13980000</v>
      </c>
      <c r="S504" s="19">
        <v>14344000</v>
      </c>
    </row>
    <row r="505" spans="2:19" s="20" customFormat="1" ht="17.100000000000001" hidden="1" customHeight="1" x14ac:dyDescent="0.3">
      <c r="B505" s="17">
        <v>45401</v>
      </c>
      <c r="C505" s="17">
        <v>45420</v>
      </c>
      <c r="D505" s="22" t="s">
        <v>2099</v>
      </c>
      <c r="E505" s="15" t="s">
        <v>2100</v>
      </c>
      <c r="F505" s="15" t="s">
        <v>25</v>
      </c>
      <c r="G505" s="15" t="s">
        <v>21</v>
      </c>
      <c r="H505" s="16" t="s">
        <v>1356</v>
      </c>
      <c r="I505" s="15">
        <v>1</v>
      </c>
      <c r="J505" s="15" t="s">
        <v>626</v>
      </c>
      <c r="K505" s="29" t="s">
        <v>2092</v>
      </c>
      <c r="L505" s="19">
        <v>43000000</v>
      </c>
      <c r="M505" s="18">
        <f t="shared" ref="M505" si="34">(L505*I505)+S505</f>
        <v>43000000</v>
      </c>
      <c r="N505" s="134">
        <v>45463</v>
      </c>
      <c r="O505" s="20" t="s">
        <v>2093</v>
      </c>
      <c r="P505" s="22"/>
      <c r="Q505" s="38" t="s">
        <v>2734</v>
      </c>
      <c r="R505" s="19"/>
      <c r="S505" s="19"/>
    </row>
    <row r="506" spans="2:19" s="20" customFormat="1" ht="17.100000000000001" hidden="1" customHeight="1" x14ac:dyDescent="0.3">
      <c r="B506" s="17">
        <v>45405</v>
      </c>
      <c r="C506" s="17">
        <v>45422</v>
      </c>
      <c r="D506" s="22" t="s">
        <v>2101</v>
      </c>
      <c r="E506" s="15" t="s">
        <v>2102</v>
      </c>
      <c r="F506" s="15" t="s">
        <v>25</v>
      </c>
      <c r="G506" s="15" t="s">
        <v>21</v>
      </c>
      <c r="H506" s="16" t="s">
        <v>2103</v>
      </c>
      <c r="I506" s="15">
        <v>1</v>
      </c>
      <c r="J506" s="15" t="s">
        <v>2105</v>
      </c>
      <c r="K506" s="29" t="s">
        <v>2104</v>
      </c>
      <c r="L506" s="19">
        <v>39000000</v>
      </c>
      <c r="M506" s="18">
        <f t="shared" ref="M506:M582" si="35">(L506*I506)+S506</f>
        <v>39000000</v>
      </c>
      <c r="N506" s="134">
        <v>45443</v>
      </c>
      <c r="O506" s="20" t="s">
        <v>2106</v>
      </c>
      <c r="P506" s="22"/>
      <c r="Q506" s="38" t="s">
        <v>2736</v>
      </c>
      <c r="R506" s="19"/>
      <c r="S506" s="19"/>
    </row>
    <row r="507" spans="2:19" s="20" customFormat="1" ht="17.100000000000001" hidden="1" customHeight="1" x14ac:dyDescent="0.3">
      <c r="B507" s="17">
        <v>45408</v>
      </c>
      <c r="C507" s="17">
        <v>45422</v>
      </c>
      <c r="D507" s="22" t="s">
        <v>2108</v>
      </c>
      <c r="E507" s="15" t="s">
        <v>2107</v>
      </c>
      <c r="F507" s="15" t="s">
        <v>46</v>
      </c>
      <c r="G507" s="15" t="s">
        <v>21</v>
      </c>
      <c r="H507" s="16" t="s">
        <v>2109</v>
      </c>
      <c r="I507" s="15">
        <v>1</v>
      </c>
      <c r="J507" s="15" t="s">
        <v>561</v>
      </c>
      <c r="K507" s="29" t="s">
        <v>2110</v>
      </c>
      <c r="L507" s="19">
        <v>22000000</v>
      </c>
      <c r="M507" s="18">
        <f t="shared" si="35"/>
        <v>22000000</v>
      </c>
      <c r="N507" s="134">
        <v>45443</v>
      </c>
      <c r="O507" s="20" t="s">
        <v>2111</v>
      </c>
      <c r="P507" s="22"/>
      <c r="Q507" s="38" t="s">
        <v>2737</v>
      </c>
      <c r="R507" s="19"/>
      <c r="S507" s="19"/>
    </row>
    <row r="508" spans="2:19" s="20" customFormat="1" ht="17.100000000000001" hidden="1" customHeight="1" x14ac:dyDescent="0.3">
      <c r="B508" s="17">
        <v>45414</v>
      </c>
      <c r="C508" s="17">
        <v>45422</v>
      </c>
      <c r="D508" s="22" t="s">
        <v>2114</v>
      </c>
      <c r="E508" s="15" t="s">
        <v>2113</v>
      </c>
      <c r="F508" s="15" t="s">
        <v>46</v>
      </c>
      <c r="G508" s="15" t="s">
        <v>21</v>
      </c>
      <c r="H508" s="16" t="s">
        <v>2115</v>
      </c>
      <c r="I508" s="15">
        <v>1</v>
      </c>
      <c r="J508" s="15" t="s">
        <v>561</v>
      </c>
      <c r="K508" s="29" t="s">
        <v>2110</v>
      </c>
      <c r="L508" s="19">
        <v>65152000</v>
      </c>
      <c r="M508" s="18">
        <f t="shared" ref="M508" si="36">(L508*I508)+S508</f>
        <v>73000000</v>
      </c>
      <c r="N508" s="134">
        <v>45443</v>
      </c>
      <c r="O508" s="20" t="s">
        <v>2111</v>
      </c>
      <c r="P508" s="22"/>
      <c r="Q508" s="38" t="s">
        <v>2737</v>
      </c>
      <c r="R508" s="19">
        <v>7848000</v>
      </c>
      <c r="S508" s="19">
        <v>7848000</v>
      </c>
    </row>
    <row r="509" spans="2:19" s="20" customFormat="1" ht="17.100000000000001" hidden="1" customHeight="1" x14ac:dyDescent="0.3">
      <c r="B509" s="17">
        <v>45419</v>
      </c>
      <c r="C509" s="17">
        <v>45420</v>
      </c>
      <c r="D509" s="22" t="s">
        <v>2119</v>
      </c>
      <c r="E509" s="15" t="s">
        <v>2120</v>
      </c>
      <c r="F509" s="15" t="s">
        <v>2121</v>
      </c>
      <c r="G509" s="15" t="s">
        <v>21</v>
      </c>
      <c r="H509" s="16" t="s">
        <v>2122</v>
      </c>
      <c r="I509" s="15">
        <v>1</v>
      </c>
      <c r="J509" s="15" t="s">
        <v>2123</v>
      </c>
      <c r="K509" s="29" t="s">
        <v>2172</v>
      </c>
      <c r="L509" s="19">
        <v>10000000</v>
      </c>
      <c r="M509" s="18">
        <f t="shared" si="35"/>
        <v>10000000</v>
      </c>
      <c r="N509" s="134">
        <v>45443</v>
      </c>
      <c r="P509" s="22"/>
      <c r="Q509" s="38" t="s">
        <v>2738</v>
      </c>
      <c r="R509" s="19"/>
      <c r="S509" s="19"/>
    </row>
    <row r="510" spans="2:19" s="20" customFormat="1" ht="17.100000000000001" hidden="1" customHeight="1" x14ac:dyDescent="0.3">
      <c r="B510" s="17">
        <v>45421</v>
      </c>
      <c r="C510" s="17">
        <v>45421</v>
      </c>
      <c r="D510" s="22" t="s">
        <v>2124</v>
      </c>
      <c r="E510" s="15" t="s">
        <v>2125</v>
      </c>
      <c r="F510" s="15" t="s">
        <v>46</v>
      </c>
      <c r="G510" s="15" t="s">
        <v>21</v>
      </c>
      <c r="H510" s="16" t="s">
        <v>2126</v>
      </c>
      <c r="I510" s="15">
        <v>1</v>
      </c>
      <c r="J510" s="15"/>
      <c r="K510" s="29" t="s">
        <v>2127</v>
      </c>
      <c r="L510" s="19">
        <v>3662000</v>
      </c>
      <c r="M510" s="18">
        <f t="shared" si="35"/>
        <v>3662000</v>
      </c>
      <c r="N510" s="134">
        <v>45443</v>
      </c>
      <c r="P510" s="22"/>
      <c r="Q510" s="38" t="s">
        <v>2739</v>
      </c>
      <c r="R510" s="19"/>
      <c r="S510" s="19"/>
    </row>
    <row r="511" spans="2:19" s="20" customFormat="1" ht="17.100000000000001" hidden="1" customHeight="1" x14ac:dyDescent="0.3">
      <c r="B511" s="17">
        <v>45424</v>
      </c>
      <c r="C511" s="17">
        <v>45429</v>
      </c>
      <c r="D511" s="22" t="s">
        <v>2138</v>
      </c>
      <c r="E511" s="15" t="s">
        <v>2139</v>
      </c>
      <c r="F511" s="15" t="s">
        <v>46</v>
      </c>
      <c r="G511" s="15" t="s">
        <v>21</v>
      </c>
      <c r="H511" s="16" t="s">
        <v>2140</v>
      </c>
      <c r="I511" s="15">
        <v>1</v>
      </c>
      <c r="J511" s="15" t="s">
        <v>2141</v>
      </c>
      <c r="K511" s="29" t="s">
        <v>84</v>
      </c>
      <c r="L511" s="19">
        <v>24000000</v>
      </c>
      <c r="M511" s="18">
        <f t="shared" ref="M511" si="37">(L511*I511)+S511</f>
        <v>24000000</v>
      </c>
      <c r="N511" s="134">
        <v>45560</v>
      </c>
      <c r="P511" s="119" t="s">
        <v>2268</v>
      </c>
      <c r="Q511" s="38"/>
      <c r="R511" s="19"/>
      <c r="S511" s="19"/>
    </row>
    <row r="512" spans="2:19" s="20" customFormat="1" ht="17.100000000000001" hidden="1" customHeight="1" x14ac:dyDescent="0.3">
      <c r="B512" s="17">
        <v>45425</v>
      </c>
      <c r="C512" s="17">
        <v>45427</v>
      </c>
      <c r="D512" s="22" t="s">
        <v>2129</v>
      </c>
      <c r="E512" s="15" t="s">
        <v>2128</v>
      </c>
      <c r="F512" s="15" t="s">
        <v>25</v>
      </c>
      <c r="G512" s="15" t="s">
        <v>548</v>
      </c>
      <c r="H512" s="16" t="s">
        <v>2130</v>
      </c>
      <c r="I512" s="15">
        <v>1</v>
      </c>
      <c r="J512" s="15" t="s">
        <v>1351</v>
      </c>
      <c r="K512" s="29" t="s">
        <v>2131</v>
      </c>
      <c r="L512" s="19">
        <v>11000000</v>
      </c>
      <c r="M512" s="18">
        <f t="shared" si="35"/>
        <v>11000000</v>
      </c>
      <c r="N512" s="134">
        <v>45443</v>
      </c>
      <c r="P512" s="22"/>
      <c r="Q512" s="38" t="s">
        <v>2740</v>
      </c>
      <c r="R512" s="19"/>
      <c r="S512" s="19"/>
    </row>
    <row r="513" spans="2:19" s="20" customFormat="1" ht="17.100000000000001" hidden="1" customHeight="1" x14ac:dyDescent="0.3">
      <c r="B513" s="17">
        <v>45425</v>
      </c>
      <c r="C513" s="17">
        <v>45427</v>
      </c>
      <c r="D513" s="22" t="s">
        <v>2132</v>
      </c>
      <c r="E513" s="15" t="s">
        <v>2133</v>
      </c>
      <c r="F513" s="15" t="s">
        <v>25</v>
      </c>
      <c r="G513" s="15" t="s">
        <v>548</v>
      </c>
      <c r="H513" s="16" t="s">
        <v>2136</v>
      </c>
      <c r="I513" s="15">
        <v>1</v>
      </c>
      <c r="J513" s="15" t="s">
        <v>1351</v>
      </c>
      <c r="K513" s="29" t="s">
        <v>2131</v>
      </c>
      <c r="L513" s="19">
        <v>10000000</v>
      </c>
      <c r="M513" s="18">
        <f t="shared" si="35"/>
        <v>10000000</v>
      </c>
      <c r="N513" s="134">
        <v>45443</v>
      </c>
      <c r="P513" s="22"/>
      <c r="Q513" s="38" t="s">
        <v>2740</v>
      </c>
      <c r="R513" s="19"/>
      <c r="S513" s="19"/>
    </row>
    <row r="514" spans="2:19" s="20" customFormat="1" ht="17.100000000000001" hidden="1" customHeight="1" x14ac:dyDescent="0.3">
      <c r="B514" s="17">
        <v>45426</v>
      </c>
      <c r="C514" s="17">
        <v>45426</v>
      </c>
      <c r="D514" s="22" t="s">
        <v>2134</v>
      </c>
      <c r="E514" s="15" t="s">
        <v>2135</v>
      </c>
      <c r="F514" s="15" t="s">
        <v>25</v>
      </c>
      <c r="G514" s="15" t="s">
        <v>548</v>
      </c>
      <c r="H514" s="16" t="s">
        <v>2137</v>
      </c>
      <c r="I514" s="15">
        <v>1</v>
      </c>
      <c r="J514" s="15" t="s">
        <v>1351</v>
      </c>
      <c r="K514" s="29" t="s">
        <v>2131</v>
      </c>
      <c r="L514" s="19">
        <v>4000000</v>
      </c>
      <c r="M514" s="18">
        <f t="shared" si="35"/>
        <v>4000000</v>
      </c>
      <c r="N514" s="134">
        <v>45443</v>
      </c>
      <c r="P514" s="22"/>
      <c r="Q514" s="38" t="s">
        <v>2740</v>
      </c>
      <c r="R514" s="19"/>
      <c r="S514" s="19"/>
    </row>
    <row r="515" spans="2:19" s="20" customFormat="1" ht="17.100000000000001" hidden="1" customHeight="1" x14ac:dyDescent="0.3">
      <c r="B515" s="17">
        <v>45428</v>
      </c>
      <c r="C515" s="17">
        <v>45433</v>
      </c>
      <c r="D515" s="22" t="s">
        <v>2143</v>
      </c>
      <c r="E515" s="15" t="s">
        <v>2142</v>
      </c>
      <c r="F515" s="15" t="s">
        <v>25</v>
      </c>
      <c r="G515" s="15" t="s">
        <v>26</v>
      </c>
      <c r="H515" s="16" t="s">
        <v>2144</v>
      </c>
      <c r="I515" s="15">
        <v>1</v>
      </c>
      <c r="J515" s="15"/>
      <c r="K515" s="29" t="s">
        <v>2145</v>
      </c>
      <c r="L515" s="19"/>
      <c r="M515" s="18">
        <f t="shared" si="35"/>
        <v>0</v>
      </c>
      <c r="N515" s="17">
        <v>45765</v>
      </c>
      <c r="P515" s="22"/>
      <c r="Q515" s="38"/>
      <c r="R515" s="19"/>
      <c r="S515" s="19"/>
    </row>
    <row r="516" spans="2:19" s="20" customFormat="1" ht="17.100000000000001" hidden="1" customHeight="1" x14ac:dyDescent="0.3">
      <c r="B516" s="17">
        <v>45429</v>
      </c>
      <c r="C516" s="17">
        <v>45429</v>
      </c>
      <c r="D516" s="22" t="s">
        <v>2147</v>
      </c>
      <c r="E516" s="15" t="s">
        <v>2146</v>
      </c>
      <c r="F516" s="15" t="s">
        <v>46</v>
      </c>
      <c r="G516" s="15" t="s">
        <v>21</v>
      </c>
      <c r="H516" s="16" t="s">
        <v>2148</v>
      </c>
      <c r="I516" s="15">
        <v>1</v>
      </c>
      <c r="J516" s="15" t="s">
        <v>1822</v>
      </c>
      <c r="K516" s="29" t="s">
        <v>2098</v>
      </c>
      <c r="L516" s="19">
        <f>6395000*2</f>
        <v>12790000</v>
      </c>
      <c r="M516" s="18">
        <f t="shared" si="35"/>
        <v>19174000</v>
      </c>
      <c r="N516" s="134">
        <v>45443</v>
      </c>
      <c r="P516" s="22"/>
      <c r="Q516" s="38" t="s">
        <v>2735</v>
      </c>
      <c r="R516" s="19">
        <v>5566000</v>
      </c>
      <c r="S516" s="19">
        <v>6384000</v>
      </c>
    </row>
    <row r="517" spans="2:19" s="20" customFormat="1" ht="17.100000000000001" hidden="1" customHeight="1" x14ac:dyDescent="0.3">
      <c r="B517" s="17">
        <v>45430</v>
      </c>
      <c r="C517" s="17">
        <v>45430</v>
      </c>
      <c r="D517" s="22" t="s">
        <v>2149</v>
      </c>
      <c r="E517" s="15" t="s">
        <v>2150</v>
      </c>
      <c r="F517" s="15" t="s">
        <v>25</v>
      </c>
      <c r="G517" s="15" t="s">
        <v>21</v>
      </c>
      <c r="H517" s="16" t="s">
        <v>2151</v>
      </c>
      <c r="I517" s="15">
        <v>1</v>
      </c>
      <c r="J517" s="15"/>
      <c r="K517" s="29" t="s">
        <v>2152</v>
      </c>
      <c r="L517" s="19">
        <v>20000000</v>
      </c>
      <c r="M517" s="18">
        <f t="shared" si="35"/>
        <v>20000000</v>
      </c>
      <c r="N517" s="134">
        <v>45443</v>
      </c>
      <c r="P517" s="22"/>
      <c r="Q517" s="38"/>
      <c r="R517" s="19"/>
      <c r="S517" s="19"/>
    </row>
    <row r="518" spans="2:19" s="20" customFormat="1" ht="17.100000000000001" hidden="1" customHeight="1" x14ac:dyDescent="0.3">
      <c r="B518" s="17">
        <v>45430</v>
      </c>
      <c r="C518" s="17">
        <v>45440</v>
      </c>
      <c r="D518" s="22" t="s">
        <v>2154</v>
      </c>
      <c r="E518" s="15" t="s">
        <v>2153</v>
      </c>
      <c r="F518" s="15" t="s">
        <v>25</v>
      </c>
      <c r="G518" s="15" t="s">
        <v>21</v>
      </c>
      <c r="H518" s="16" t="s">
        <v>2155</v>
      </c>
      <c r="I518" s="15">
        <v>1</v>
      </c>
      <c r="J518" s="15"/>
      <c r="K518" s="29" t="s">
        <v>2131</v>
      </c>
      <c r="L518" s="19">
        <v>38000000</v>
      </c>
      <c r="M518" s="18">
        <f t="shared" si="35"/>
        <v>38000000</v>
      </c>
      <c r="N518" s="134">
        <v>45443</v>
      </c>
      <c r="P518" s="22"/>
      <c r="Q518" s="38" t="s">
        <v>2741</v>
      </c>
      <c r="R518" s="19"/>
      <c r="S518" s="19"/>
    </row>
    <row r="519" spans="2:19" s="20" customFormat="1" ht="17.100000000000001" hidden="1" customHeight="1" x14ac:dyDescent="0.3">
      <c r="B519" s="17">
        <v>45433</v>
      </c>
      <c r="C519" s="17">
        <v>45442</v>
      </c>
      <c r="D519" s="22" t="s">
        <v>2211</v>
      </c>
      <c r="E519" s="15" t="s">
        <v>2177</v>
      </c>
      <c r="F519" s="15" t="s">
        <v>46</v>
      </c>
      <c r="G519" s="15" t="s">
        <v>21</v>
      </c>
      <c r="H519" s="16" t="s">
        <v>553</v>
      </c>
      <c r="I519" s="15">
        <v>1</v>
      </c>
      <c r="J519" s="15" t="s">
        <v>49</v>
      </c>
      <c r="K519" s="29" t="s">
        <v>84</v>
      </c>
      <c r="L519" s="19">
        <v>98000000</v>
      </c>
      <c r="M519" s="18">
        <f t="shared" si="35"/>
        <v>98000000</v>
      </c>
      <c r="N519" s="134">
        <v>45471</v>
      </c>
      <c r="O519" s="20" t="s">
        <v>2111</v>
      </c>
      <c r="P519" s="119" t="s">
        <v>2196</v>
      </c>
      <c r="Q519" s="38" t="s">
        <v>2742</v>
      </c>
      <c r="R519" s="19"/>
      <c r="S519" s="19"/>
    </row>
    <row r="520" spans="2:19" s="20" customFormat="1" ht="17.100000000000001" hidden="1" customHeight="1" x14ac:dyDescent="0.3">
      <c r="B520" s="17">
        <v>45435</v>
      </c>
      <c r="C520" s="17">
        <v>45442</v>
      </c>
      <c r="D520" s="22" t="s">
        <v>2157</v>
      </c>
      <c r="E520" s="15" t="s">
        <v>2156</v>
      </c>
      <c r="F520" s="15" t="s">
        <v>2158</v>
      </c>
      <c r="G520" s="15" t="s">
        <v>2159</v>
      </c>
      <c r="H520" s="16">
        <v>600</v>
      </c>
      <c r="I520" s="15">
        <v>1</v>
      </c>
      <c r="J520" s="15" t="s">
        <v>1033</v>
      </c>
      <c r="K520" s="29" t="s">
        <v>2160</v>
      </c>
      <c r="L520" s="19">
        <v>47000000</v>
      </c>
      <c r="M520" s="18">
        <f t="shared" si="35"/>
        <v>53000000</v>
      </c>
      <c r="N520" s="134">
        <v>45471</v>
      </c>
      <c r="P520" s="22" t="s">
        <v>2203</v>
      </c>
      <c r="Q520" s="38" t="s">
        <v>2743</v>
      </c>
      <c r="R520" s="19">
        <v>6000000</v>
      </c>
      <c r="S520" s="19">
        <v>6000000</v>
      </c>
    </row>
    <row r="521" spans="2:19" s="20" customFormat="1" ht="17.100000000000001" hidden="1" customHeight="1" x14ac:dyDescent="0.3">
      <c r="B521" s="17">
        <v>45439</v>
      </c>
      <c r="C521" s="17">
        <v>45446</v>
      </c>
      <c r="D521" s="22" t="s">
        <v>2161</v>
      </c>
      <c r="E521" s="15" t="s">
        <v>2162</v>
      </c>
      <c r="F521" s="15" t="s">
        <v>46</v>
      </c>
      <c r="G521" s="15" t="s">
        <v>21</v>
      </c>
      <c r="H521" s="16" t="s">
        <v>2163</v>
      </c>
      <c r="I521" s="15">
        <v>1</v>
      </c>
      <c r="J521" s="15" t="s">
        <v>2164</v>
      </c>
      <c r="K521" s="29" t="s">
        <v>272</v>
      </c>
      <c r="L521" s="19">
        <f>14754000*4</f>
        <v>59016000</v>
      </c>
      <c r="M521" s="18">
        <f t="shared" ref="M521" si="38">(L521*I521)+S521</f>
        <v>59016000</v>
      </c>
      <c r="N521" s="134">
        <v>45504</v>
      </c>
      <c r="O521" s="20" t="s">
        <v>2237</v>
      </c>
      <c r="P521" s="119" t="s">
        <v>2206</v>
      </c>
      <c r="Q521" s="38" t="s">
        <v>2739</v>
      </c>
      <c r="R521" s="19"/>
      <c r="S521" s="19"/>
    </row>
    <row r="522" spans="2:19" s="20" customFormat="1" ht="17.100000000000001" hidden="1" customHeight="1" x14ac:dyDescent="0.3">
      <c r="B522" s="149">
        <v>45439</v>
      </c>
      <c r="C522" s="149"/>
      <c r="D522" s="150" t="s">
        <v>2165</v>
      </c>
      <c r="E522" s="151" t="s">
        <v>2166</v>
      </c>
      <c r="F522" s="151" t="s">
        <v>2158</v>
      </c>
      <c r="G522" s="151" t="s">
        <v>2159</v>
      </c>
      <c r="H522" s="152" t="s">
        <v>2168</v>
      </c>
      <c r="I522" s="151">
        <v>1</v>
      </c>
      <c r="J522" s="151" t="s">
        <v>2171</v>
      </c>
      <c r="K522" s="153" t="s">
        <v>2170</v>
      </c>
      <c r="L522" s="154">
        <f>31500000*2</f>
        <v>63000000</v>
      </c>
      <c r="M522" s="155">
        <f t="shared" si="35"/>
        <v>63000000</v>
      </c>
      <c r="N522" s="17" t="s">
        <v>2946</v>
      </c>
      <c r="P522" s="22" t="s">
        <v>2204</v>
      </c>
      <c r="Q522" s="38" t="s">
        <v>2744</v>
      </c>
      <c r="R522" s="19"/>
      <c r="S522" s="19"/>
    </row>
    <row r="523" spans="2:19" s="20" customFormat="1" ht="17.100000000000001" hidden="1" customHeight="1" x14ac:dyDescent="0.3">
      <c r="B523" s="17">
        <v>45440</v>
      </c>
      <c r="C523" s="17">
        <v>45442</v>
      </c>
      <c r="D523" s="22" t="s">
        <v>2539</v>
      </c>
      <c r="E523" s="15" t="s">
        <v>2167</v>
      </c>
      <c r="F523" s="15" t="s">
        <v>2158</v>
      </c>
      <c r="G523" s="15" t="s">
        <v>2159</v>
      </c>
      <c r="H523" s="16" t="s">
        <v>2169</v>
      </c>
      <c r="I523" s="15">
        <v>1</v>
      </c>
      <c r="J523" s="15" t="s">
        <v>2171</v>
      </c>
      <c r="K523" s="29" t="s">
        <v>2170</v>
      </c>
      <c r="L523" s="19">
        <v>2000000</v>
      </c>
      <c r="M523" s="18">
        <f t="shared" si="35"/>
        <v>2000000</v>
      </c>
      <c r="N523" s="134">
        <v>45638</v>
      </c>
      <c r="P523" s="22" t="s">
        <v>2204</v>
      </c>
      <c r="Q523" s="38" t="s">
        <v>2744</v>
      </c>
      <c r="R523" s="19"/>
      <c r="S523" s="19"/>
    </row>
    <row r="524" spans="2:19" s="20" customFormat="1" ht="17.100000000000001" hidden="1" customHeight="1" x14ac:dyDescent="0.3">
      <c r="B524" s="17">
        <v>45450</v>
      </c>
      <c r="C524" s="17">
        <v>45450</v>
      </c>
      <c r="D524" s="22" t="s">
        <v>2175</v>
      </c>
      <c r="E524" s="15" t="s">
        <v>2174</v>
      </c>
      <c r="F524" s="15" t="s">
        <v>46</v>
      </c>
      <c r="G524" s="15" t="s">
        <v>21</v>
      </c>
      <c r="H524" s="16" t="s">
        <v>2176</v>
      </c>
      <c r="I524" s="15">
        <v>1</v>
      </c>
      <c r="J524" s="15" t="s">
        <v>2236</v>
      </c>
      <c r="K524" s="29" t="s">
        <v>272</v>
      </c>
      <c r="L524" s="19">
        <v>1736000</v>
      </c>
      <c r="M524" s="18">
        <f t="shared" ref="M524:M528" si="39">(L524*I524)+S524</f>
        <v>1736000</v>
      </c>
      <c r="N524" s="134">
        <v>45492</v>
      </c>
      <c r="O524" s="20" t="s">
        <v>2238</v>
      </c>
      <c r="P524" s="22"/>
      <c r="Q524" s="38" t="s">
        <v>2739</v>
      </c>
      <c r="R524" s="19"/>
      <c r="S524" s="19"/>
    </row>
    <row r="525" spans="2:19" s="20" customFormat="1" ht="17.100000000000001" hidden="1" customHeight="1" x14ac:dyDescent="0.3">
      <c r="B525" s="86">
        <v>45454</v>
      </c>
      <c r="C525" s="86">
        <v>45454</v>
      </c>
      <c r="D525" s="139" t="s">
        <v>2066</v>
      </c>
      <c r="E525" s="83" t="s">
        <v>2069</v>
      </c>
      <c r="F525" s="83" t="s">
        <v>25</v>
      </c>
      <c r="G525" s="83" t="s">
        <v>21</v>
      </c>
      <c r="H525" s="128" t="s">
        <v>414</v>
      </c>
      <c r="I525" s="83">
        <v>1</v>
      </c>
      <c r="J525" s="83" t="s">
        <v>1597</v>
      </c>
      <c r="K525" s="84" t="s">
        <v>1599</v>
      </c>
      <c r="L525" s="85">
        <v>3700000</v>
      </c>
      <c r="M525" s="18">
        <f t="shared" si="39"/>
        <v>3700000</v>
      </c>
      <c r="N525" s="134">
        <v>45471</v>
      </c>
      <c r="O525" s="20" t="s">
        <v>2012</v>
      </c>
      <c r="P525" s="22"/>
      <c r="Q525" s="38" t="s">
        <v>2726</v>
      </c>
      <c r="R525" s="19"/>
      <c r="S525" s="19"/>
    </row>
    <row r="526" spans="2:19" s="20" customFormat="1" ht="17.100000000000001" hidden="1" customHeight="1" x14ac:dyDescent="0.3">
      <c r="B526" s="86">
        <v>45454</v>
      </c>
      <c r="C526" s="86">
        <v>45455</v>
      </c>
      <c r="D526" s="139" t="s">
        <v>2067</v>
      </c>
      <c r="E526" s="83" t="s">
        <v>2070</v>
      </c>
      <c r="F526" s="83" t="s">
        <v>25</v>
      </c>
      <c r="G526" s="83" t="s">
        <v>21</v>
      </c>
      <c r="H526" s="128" t="s">
        <v>2072</v>
      </c>
      <c r="I526" s="83">
        <v>1</v>
      </c>
      <c r="J526" s="83" t="s">
        <v>1597</v>
      </c>
      <c r="K526" s="84" t="s">
        <v>1599</v>
      </c>
      <c r="L526" s="85">
        <v>3200000</v>
      </c>
      <c r="M526" s="18">
        <f t="shared" si="39"/>
        <v>3200000</v>
      </c>
      <c r="N526" s="134">
        <v>45471</v>
      </c>
      <c r="O526" s="20" t="s">
        <v>2012</v>
      </c>
      <c r="P526" s="22"/>
      <c r="Q526" s="38" t="s">
        <v>2726</v>
      </c>
      <c r="R526" s="19"/>
      <c r="S526" s="19"/>
    </row>
    <row r="527" spans="2:19" s="20" customFormat="1" ht="17.100000000000001" hidden="1" customHeight="1" x14ac:dyDescent="0.3">
      <c r="B527" s="86">
        <v>45454</v>
      </c>
      <c r="C527" s="86">
        <v>45454</v>
      </c>
      <c r="D527" s="139" t="s">
        <v>2068</v>
      </c>
      <c r="E527" s="83" t="s">
        <v>2071</v>
      </c>
      <c r="F527" s="83" t="s">
        <v>25</v>
      </c>
      <c r="G527" s="83" t="s">
        <v>21</v>
      </c>
      <c r="H527" s="128" t="s">
        <v>2073</v>
      </c>
      <c r="I527" s="83">
        <v>1</v>
      </c>
      <c r="J527" s="83" t="s">
        <v>1597</v>
      </c>
      <c r="K527" s="84" t="s">
        <v>1599</v>
      </c>
      <c r="L527" s="85">
        <v>1500000</v>
      </c>
      <c r="M527" s="18">
        <f t="shared" si="39"/>
        <v>1500000</v>
      </c>
      <c r="N527" s="134">
        <v>45471</v>
      </c>
      <c r="O527" s="20" t="s">
        <v>2012</v>
      </c>
      <c r="P527" s="22"/>
      <c r="Q527" s="38" t="s">
        <v>2726</v>
      </c>
      <c r="R527" s="19"/>
      <c r="S527" s="19"/>
    </row>
    <row r="528" spans="2:19" s="20" customFormat="1" ht="17.100000000000001" hidden="1" customHeight="1" x14ac:dyDescent="0.3">
      <c r="B528" s="17">
        <v>45455</v>
      </c>
      <c r="C528" s="17">
        <v>45457</v>
      </c>
      <c r="D528" s="22" t="s">
        <v>2210</v>
      </c>
      <c r="E528" s="15" t="s">
        <v>2177</v>
      </c>
      <c r="F528" s="15" t="s">
        <v>46</v>
      </c>
      <c r="G528" s="15" t="s">
        <v>21</v>
      </c>
      <c r="H528" s="16" t="s">
        <v>553</v>
      </c>
      <c r="I528" s="15">
        <v>1</v>
      </c>
      <c r="J528" s="15" t="s">
        <v>49</v>
      </c>
      <c r="K528" s="29" t="s">
        <v>84</v>
      </c>
      <c r="L528" s="19">
        <v>53000000</v>
      </c>
      <c r="M528" s="18">
        <f t="shared" si="39"/>
        <v>53000000</v>
      </c>
      <c r="N528" s="134">
        <v>45471</v>
      </c>
      <c r="O528" s="20" t="s">
        <v>2111</v>
      </c>
      <c r="P528" s="119" t="s">
        <v>2196</v>
      </c>
      <c r="Q528" s="38" t="s">
        <v>2742</v>
      </c>
      <c r="R528" s="19"/>
      <c r="S528" s="19"/>
    </row>
    <row r="529" spans="2:19" s="20" customFormat="1" ht="17.100000000000001" hidden="1" customHeight="1" x14ac:dyDescent="0.3">
      <c r="B529" s="17">
        <v>45461</v>
      </c>
      <c r="C529" s="17">
        <v>45492</v>
      </c>
      <c r="D529" s="22" t="s">
        <v>2179</v>
      </c>
      <c r="E529" s="15" t="s">
        <v>2178</v>
      </c>
      <c r="F529" s="83" t="s">
        <v>25</v>
      </c>
      <c r="G529" s="83" t="s">
        <v>21</v>
      </c>
      <c r="H529" s="16">
        <v>2400</v>
      </c>
      <c r="I529" s="15">
        <v>1</v>
      </c>
      <c r="J529" s="15" t="s">
        <v>2197</v>
      </c>
      <c r="K529" s="29" t="s">
        <v>2180</v>
      </c>
      <c r="L529" s="19">
        <v>205000000</v>
      </c>
      <c r="M529" s="18">
        <f t="shared" ref="M529:M564" si="40">(L529*I529)+S529</f>
        <v>205000000</v>
      </c>
      <c r="N529" s="134">
        <v>45504</v>
      </c>
      <c r="O529" s="20" t="s">
        <v>2194</v>
      </c>
      <c r="P529" s="119" t="s">
        <v>2240</v>
      </c>
      <c r="Q529" s="38" t="s">
        <v>2745</v>
      </c>
      <c r="R529" s="19"/>
      <c r="S529" s="19"/>
    </row>
    <row r="530" spans="2:19" s="20" customFormat="1" ht="17.100000000000001" hidden="1" customHeight="1" x14ac:dyDescent="0.3">
      <c r="B530" s="17">
        <v>45461</v>
      </c>
      <c r="C530" s="17">
        <v>45461</v>
      </c>
      <c r="D530" s="22" t="s">
        <v>2182</v>
      </c>
      <c r="E530" s="15" t="s">
        <v>2181</v>
      </c>
      <c r="F530" s="83" t="s">
        <v>25</v>
      </c>
      <c r="G530" s="83" t="s">
        <v>21</v>
      </c>
      <c r="H530" s="16" t="s">
        <v>2183</v>
      </c>
      <c r="I530" s="15">
        <v>1</v>
      </c>
      <c r="J530" s="15" t="s">
        <v>278</v>
      </c>
      <c r="K530" s="29" t="s">
        <v>2184</v>
      </c>
      <c r="L530" s="19">
        <v>4500000</v>
      </c>
      <c r="M530" s="18">
        <f t="shared" si="40"/>
        <v>4500000</v>
      </c>
      <c r="N530" s="134">
        <v>45471</v>
      </c>
      <c r="P530" s="22"/>
      <c r="Q530" s="38" t="s">
        <v>2687</v>
      </c>
      <c r="R530" s="19"/>
      <c r="S530" s="19"/>
    </row>
    <row r="531" spans="2:19" s="20" customFormat="1" ht="17.100000000000001" hidden="1" customHeight="1" x14ac:dyDescent="0.3">
      <c r="B531" s="17">
        <v>45463</v>
      </c>
      <c r="C531" s="17">
        <v>45492</v>
      </c>
      <c r="D531" s="22" t="s">
        <v>2185</v>
      </c>
      <c r="E531" s="15" t="s">
        <v>2186</v>
      </c>
      <c r="F531" s="83" t="s">
        <v>25</v>
      </c>
      <c r="G531" s="15" t="s">
        <v>26</v>
      </c>
      <c r="H531" s="16" t="s">
        <v>2187</v>
      </c>
      <c r="I531" s="15">
        <v>1</v>
      </c>
      <c r="J531" s="15" t="s">
        <v>2188</v>
      </c>
      <c r="K531" s="113" t="s">
        <v>2189</v>
      </c>
      <c r="L531" s="19">
        <v>65836364</v>
      </c>
      <c r="M531" s="18">
        <f t="shared" si="40"/>
        <v>67836364</v>
      </c>
      <c r="N531" s="134">
        <v>45649</v>
      </c>
      <c r="O531" s="20" t="s">
        <v>2195</v>
      </c>
      <c r="P531" s="22" t="s">
        <v>2208</v>
      </c>
      <c r="Q531" s="38" t="s">
        <v>2746</v>
      </c>
      <c r="R531" s="19">
        <v>2000000</v>
      </c>
      <c r="S531" s="19">
        <v>2000000</v>
      </c>
    </row>
    <row r="532" spans="2:19" s="20" customFormat="1" ht="17.100000000000001" hidden="1" customHeight="1" x14ac:dyDescent="0.3">
      <c r="B532" s="17">
        <v>45468</v>
      </c>
      <c r="C532" s="17">
        <v>45471</v>
      </c>
      <c r="D532" s="22" t="s">
        <v>2198</v>
      </c>
      <c r="E532" s="15" t="s">
        <v>2199</v>
      </c>
      <c r="F532" s="15" t="s">
        <v>46</v>
      </c>
      <c r="G532" s="83" t="s">
        <v>21</v>
      </c>
      <c r="H532" s="16" t="s">
        <v>2200</v>
      </c>
      <c r="I532" s="15">
        <v>1</v>
      </c>
      <c r="J532" s="15" t="s">
        <v>1029</v>
      </c>
      <c r="K532" s="29" t="s">
        <v>2201</v>
      </c>
      <c r="L532" s="19">
        <v>54400000</v>
      </c>
      <c r="M532" s="18">
        <f t="shared" si="40"/>
        <v>62000000</v>
      </c>
      <c r="N532" s="134">
        <v>45471</v>
      </c>
      <c r="O532" s="20" t="s">
        <v>2202</v>
      </c>
      <c r="P532" s="22" t="s">
        <v>2205</v>
      </c>
      <c r="Q532" s="38" t="s">
        <v>2747</v>
      </c>
      <c r="R532" s="85">
        <v>7428000</v>
      </c>
      <c r="S532" s="19">
        <v>7600000</v>
      </c>
    </row>
    <row r="533" spans="2:19" s="20" customFormat="1" ht="17.100000000000001" hidden="1" customHeight="1" x14ac:dyDescent="0.3">
      <c r="B533" s="17">
        <v>45470</v>
      </c>
      <c r="C533" s="17">
        <v>45477</v>
      </c>
      <c r="D533" s="22" t="s">
        <v>2190</v>
      </c>
      <c r="E533" s="15" t="s">
        <v>2191</v>
      </c>
      <c r="F533" s="83" t="s">
        <v>25</v>
      </c>
      <c r="G533" s="83" t="s">
        <v>21</v>
      </c>
      <c r="H533" s="16">
        <v>700</v>
      </c>
      <c r="I533" s="15">
        <v>1</v>
      </c>
      <c r="J533" s="15" t="s">
        <v>2188</v>
      </c>
      <c r="K533" s="29" t="s">
        <v>2192</v>
      </c>
      <c r="L533" s="136">
        <v>20000000</v>
      </c>
      <c r="M533" s="137">
        <f t="shared" si="40"/>
        <v>22000000</v>
      </c>
      <c r="N533" s="134">
        <v>45478</v>
      </c>
      <c r="P533" s="22"/>
      <c r="Q533" s="38" t="s">
        <v>2193</v>
      </c>
      <c r="R533" s="19">
        <v>2000000</v>
      </c>
      <c r="S533" s="19">
        <v>2000000</v>
      </c>
    </row>
    <row r="534" spans="2:19" s="20" customFormat="1" ht="17.100000000000001" hidden="1" customHeight="1" x14ac:dyDescent="0.3">
      <c r="B534" s="17">
        <v>45484</v>
      </c>
      <c r="C534" s="17">
        <v>45504</v>
      </c>
      <c r="D534" s="22" t="s">
        <v>2216</v>
      </c>
      <c r="E534" s="15" t="s">
        <v>2217</v>
      </c>
      <c r="F534" s="15" t="s">
        <v>46</v>
      </c>
      <c r="G534" s="83" t="s">
        <v>21</v>
      </c>
      <c r="H534" s="16" t="s">
        <v>2218</v>
      </c>
      <c r="I534" s="15">
        <v>1</v>
      </c>
      <c r="J534" s="15" t="s">
        <v>2219</v>
      </c>
      <c r="K534" s="29" t="s">
        <v>2220</v>
      </c>
      <c r="L534" s="156">
        <v>219600000</v>
      </c>
      <c r="M534" s="18">
        <f t="shared" si="40"/>
        <v>243120000</v>
      </c>
      <c r="N534" s="134">
        <v>45534</v>
      </c>
      <c r="O534" s="20" t="s">
        <v>2221</v>
      </c>
      <c r="P534" s="119" t="s">
        <v>2241</v>
      </c>
      <c r="Q534" s="38" t="s">
        <v>2750</v>
      </c>
      <c r="R534" s="19">
        <f>6033000*4+1300000</f>
        <v>25432000</v>
      </c>
      <c r="S534" s="19">
        <f>5880000*4</f>
        <v>23520000</v>
      </c>
    </row>
    <row r="535" spans="2:19" s="20" customFormat="1" ht="17.100000000000001" hidden="1" customHeight="1" x14ac:dyDescent="0.3">
      <c r="B535" s="17">
        <v>45487</v>
      </c>
      <c r="C535" s="17">
        <v>45488</v>
      </c>
      <c r="D535" s="22" t="s">
        <v>2222</v>
      </c>
      <c r="E535" s="15" t="s">
        <v>2223</v>
      </c>
      <c r="F535" s="15" t="s">
        <v>46</v>
      </c>
      <c r="G535" s="83" t="s">
        <v>21</v>
      </c>
      <c r="H535" s="16">
        <v>250</v>
      </c>
      <c r="I535" s="15">
        <v>1</v>
      </c>
      <c r="J535" s="15" t="s">
        <v>49</v>
      </c>
      <c r="K535" s="30" t="s">
        <v>85</v>
      </c>
      <c r="L535" s="19">
        <v>8615000</v>
      </c>
      <c r="M535" s="18">
        <f t="shared" si="40"/>
        <v>9876000</v>
      </c>
      <c r="N535" s="134">
        <v>45504</v>
      </c>
      <c r="P535" s="22"/>
      <c r="Q535" s="38" t="s">
        <v>2723</v>
      </c>
      <c r="R535" s="19">
        <v>1436000</v>
      </c>
      <c r="S535" s="19">
        <v>1261000</v>
      </c>
    </row>
    <row r="536" spans="2:19" s="20" customFormat="1" ht="17.100000000000001" hidden="1" customHeight="1" x14ac:dyDescent="0.3">
      <c r="B536" s="17">
        <v>45495</v>
      </c>
      <c r="C536" s="17">
        <v>45498</v>
      </c>
      <c r="D536" s="22" t="s">
        <v>2224</v>
      </c>
      <c r="E536" s="15" t="s">
        <v>2225</v>
      </c>
      <c r="F536" s="15" t="s">
        <v>46</v>
      </c>
      <c r="G536" s="83" t="s">
        <v>21</v>
      </c>
      <c r="H536" s="16" t="s">
        <v>2226</v>
      </c>
      <c r="I536" s="15">
        <v>1</v>
      </c>
      <c r="J536" s="15" t="s">
        <v>2230</v>
      </c>
      <c r="K536" s="29" t="s">
        <v>2227</v>
      </c>
      <c r="L536" s="19">
        <f>7232000*4</f>
        <v>28928000</v>
      </c>
      <c r="M536" s="18">
        <f t="shared" si="40"/>
        <v>28928000</v>
      </c>
      <c r="N536" s="134">
        <v>45504</v>
      </c>
      <c r="O536" s="20" t="s">
        <v>2239</v>
      </c>
      <c r="P536" s="22"/>
      <c r="Q536" s="38" t="s">
        <v>2739</v>
      </c>
      <c r="R536" s="19"/>
      <c r="S536" s="19"/>
    </row>
    <row r="537" spans="2:19" s="20" customFormat="1" ht="17.100000000000001" hidden="1" customHeight="1" x14ac:dyDescent="0.3">
      <c r="B537" s="17">
        <v>45517</v>
      </c>
      <c r="C537" s="17">
        <v>45539</v>
      </c>
      <c r="D537" s="22" t="s">
        <v>2306</v>
      </c>
      <c r="E537" s="15" t="s">
        <v>2307</v>
      </c>
      <c r="F537" s="15" t="s">
        <v>2121</v>
      </c>
      <c r="G537" s="83" t="s">
        <v>21</v>
      </c>
      <c r="H537" s="16" t="s">
        <v>684</v>
      </c>
      <c r="I537" s="15">
        <v>1</v>
      </c>
      <c r="J537" s="15" t="s">
        <v>1073</v>
      </c>
      <c r="K537" s="29" t="s">
        <v>1173</v>
      </c>
      <c r="L537" s="19">
        <v>23000000</v>
      </c>
      <c r="M537" s="18">
        <f t="shared" si="40"/>
        <v>23000000</v>
      </c>
      <c r="N537" s="134">
        <v>45534</v>
      </c>
      <c r="P537" s="22"/>
      <c r="Q537" s="38"/>
      <c r="R537" s="19"/>
      <c r="S537" s="19"/>
    </row>
    <row r="538" spans="2:19" s="20" customFormat="1" ht="17.100000000000001" hidden="1" customHeight="1" x14ac:dyDescent="0.3">
      <c r="B538" s="17">
        <v>45497</v>
      </c>
      <c r="C538" s="17">
        <v>45502</v>
      </c>
      <c r="D538" s="22" t="s">
        <v>2231</v>
      </c>
      <c r="E538" s="15" t="s">
        <v>2232</v>
      </c>
      <c r="F538" s="15" t="s">
        <v>2233</v>
      </c>
      <c r="G538" s="83" t="s">
        <v>21</v>
      </c>
      <c r="H538" s="16" t="s">
        <v>2234</v>
      </c>
      <c r="I538" s="15">
        <v>1</v>
      </c>
      <c r="J538" s="15"/>
      <c r="K538" s="29" t="s">
        <v>1173</v>
      </c>
      <c r="L538" s="19">
        <v>31600000</v>
      </c>
      <c r="M538" s="18">
        <f t="shared" si="40"/>
        <v>31600000</v>
      </c>
      <c r="N538" s="134">
        <v>45534</v>
      </c>
      <c r="P538" s="119" t="s">
        <v>2242</v>
      </c>
      <c r="Q538" s="38" t="s">
        <v>2751</v>
      </c>
      <c r="R538" s="19"/>
      <c r="S538" s="19"/>
    </row>
    <row r="539" spans="2:19" s="20" customFormat="1" ht="17.100000000000001" hidden="1" customHeight="1" x14ac:dyDescent="0.3">
      <c r="B539" s="86">
        <v>45503</v>
      </c>
      <c r="C539" s="86">
        <v>45504</v>
      </c>
      <c r="D539" s="139" t="s">
        <v>2229</v>
      </c>
      <c r="E539" s="83" t="s">
        <v>2228</v>
      </c>
      <c r="F539" s="83" t="s">
        <v>46</v>
      </c>
      <c r="G539" s="83" t="s">
        <v>21</v>
      </c>
      <c r="H539" s="128" t="s">
        <v>2126</v>
      </c>
      <c r="I539" s="83">
        <v>1</v>
      </c>
      <c r="J539" s="83" t="s">
        <v>2235</v>
      </c>
      <c r="K539" s="84" t="s">
        <v>1337</v>
      </c>
      <c r="L539" s="85">
        <v>3900000</v>
      </c>
      <c r="M539" s="133">
        <f t="shared" si="40"/>
        <v>5000000</v>
      </c>
      <c r="N539" s="86">
        <v>45504</v>
      </c>
      <c r="P539" s="22"/>
      <c r="Q539" s="38" t="s">
        <v>2752</v>
      </c>
      <c r="R539" s="19">
        <v>1091000</v>
      </c>
      <c r="S539" s="19">
        <v>1100000</v>
      </c>
    </row>
    <row r="540" spans="2:19" s="20" customFormat="1" ht="17.100000000000001" hidden="1" customHeight="1" x14ac:dyDescent="0.3">
      <c r="B540" s="149">
        <v>45506</v>
      </c>
      <c r="C540" s="149">
        <v>45506</v>
      </c>
      <c r="D540" s="150" t="s">
        <v>2271</v>
      </c>
      <c r="E540" s="151" t="s">
        <v>2272</v>
      </c>
      <c r="F540" s="151" t="s">
        <v>2121</v>
      </c>
      <c r="G540" s="151" t="s">
        <v>21</v>
      </c>
      <c r="H540" s="152" t="s">
        <v>2273</v>
      </c>
      <c r="I540" s="151">
        <v>1</v>
      </c>
      <c r="J540" s="151" t="s">
        <v>2274</v>
      </c>
      <c r="K540" s="153"/>
      <c r="L540" s="154">
        <v>8000000</v>
      </c>
      <c r="M540" s="155">
        <f t="shared" si="40"/>
        <v>8000000</v>
      </c>
      <c r="N540" s="134" t="s">
        <v>2946</v>
      </c>
      <c r="P540" s="22"/>
      <c r="Q540" s="38" t="s">
        <v>2753</v>
      </c>
      <c r="R540" s="19"/>
      <c r="S540" s="19"/>
    </row>
    <row r="541" spans="2:19" s="20" customFormat="1" ht="17.100000000000001" hidden="1" customHeight="1" x14ac:dyDescent="0.3">
      <c r="B541" s="17">
        <v>45509</v>
      </c>
      <c r="C541" s="17">
        <v>45510</v>
      </c>
      <c r="D541" s="22" t="s">
        <v>2247</v>
      </c>
      <c r="E541" s="15" t="s">
        <v>2246</v>
      </c>
      <c r="F541" s="83" t="s">
        <v>46</v>
      </c>
      <c r="G541" s="83" t="s">
        <v>21</v>
      </c>
      <c r="H541" s="16" t="s">
        <v>2248</v>
      </c>
      <c r="I541" s="15">
        <v>1</v>
      </c>
      <c r="J541" s="15" t="s">
        <v>2249</v>
      </c>
      <c r="K541" s="29" t="s">
        <v>1337</v>
      </c>
      <c r="L541" s="19">
        <v>9000000</v>
      </c>
      <c r="M541" s="18">
        <f t="shared" si="40"/>
        <v>15624000</v>
      </c>
      <c r="N541" s="86">
        <v>45534</v>
      </c>
      <c r="P541" s="22"/>
      <c r="Q541" s="38" t="s">
        <v>2754</v>
      </c>
      <c r="R541" s="19">
        <v>6506000</v>
      </c>
      <c r="S541" s="19">
        <v>6624000</v>
      </c>
    </row>
    <row r="542" spans="2:19" s="20" customFormat="1" ht="17.100000000000001" hidden="1" customHeight="1" x14ac:dyDescent="0.3">
      <c r="B542" s="17">
        <v>45509</v>
      </c>
      <c r="C542" s="17">
        <v>45512</v>
      </c>
      <c r="D542" s="22" t="s">
        <v>2250</v>
      </c>
      <c r="E542" s="15" t="s">
        <v>2251</v>
      </c>
      <c r="F542" s="83" t="s">
        <v>46</v>
      </c>
      <c r="G542" s="83" t="s">
        <v>21</v>
      </c>
      <c r="H542" s="16" t="s">
        <v>2252</v>
      </c>
      <c r="I542" s="15">
        <v>1</v>
      </c>
      <c r="J542" s="15" t="s">
        <v>49</v>
      </c>
      <c r="K542" s="29" t="s">
        <v>500</v>
      </c>
      <c r="L542" s="19">
        <v>21170000</v>
      </c>
      <c r="M542" s="18">
        <f t="shared" ref="M542" si="41">(L542*I542)+S542</f>
        <v>23972000</v>
      </c>
      <c r="N542" s="134">
        <v>45565</v>
      </c>
      <c r="P542" s="22"/>
      <c r="Q542" s="38" t="s">
        <v>2723</v>
      </c>
      <c r="R542" s="19">
        <v>3190000</v>
      </c>
      <c r="S542" s="19">
        <v>2802000</v>
      </c>
    </row>
    <row r="543" spans="2:19" s="20" customFormat="1" ht="17.100000000000001" hidden="1" customHeight="1" x14ac:dyDescent="0.3">
      <c r="B543" s="17">
        <v>45510</v>
      </c>
      <c r="C543" s="17">
        <v>45524</v>
      </c>
      <c r="D543" s="22" t="s">
        <v>2254</v>
      </c>
      <c r="E543" s="15" t="s">
        <v>2253</v>
      </c>
      <c r="F543" s="83" t="s">
        <v>46</v>
      </c>
      <c r="G543" s="83" t="s">
        <v>21</v>
      </c>
      <c r="H543" s="16" t="s">
        <v>2255</v>
      </c>
      <c r="I543" s="15">
        <v>1</v>
      </c>
      <c r="J543" s="15" t="s">
        <v>2256</v>
      </c>
      <c r="K543" s="29" t="s">
        <v>2257</v>
      </c>
      <c r="L543" s="19">
        <f>185600000+3800000</f>
        <v>189400000</v>
      </c>
      <c r="M543" s="18">
        <f t="shared" si="40"/>
        <v>200000000</v>
      </c>
      <c r="N543" s="134">
        <v>45534</v>
      </c>
      <c r="O543" s="20" t="s">
        <v>2258</v>
      </c>
      <c r="P543" s="22"/>
      <c r="Q543" s="38" t="s">
        <v>2755</v>
      </c>
      <c r="R543" s="19">
        <v>10596000</v>
      </c>
      <c r="S543" s="19">
        <f>21200000/2</f>
        <v>10600000</v>
      </c>
    </row>
    <row r="544" spans="2:19" s="20" customFormat="1" ht="17.100000000000001" hidden="1" customHeight="1" x14ac:dyDescent="0.3">
      <c r="B544" s="17">
        <v>45514</v>
      </c>
      <c r="C544" s="17">
        <v>45517</v>
      </c>
      <c r="D544" s="22" t="s">
        <v>2259</v>
      </c>
      <c r="E544" s="15" t="s">
        <v>2260</v>
      </c>
      <c r="F544" s="83" t="s">
        <v>46</v>
      </c>
      <c r="G544" s="83" t="s">
        <v>21</v>
      </c>
      <c r="H544" s="16" t="s">
        <v>2261</v>
      </c>
      <c r="I544" s="15">
        <v>1</v>
      </c>
      <c r="J544" s="15" t="s">
        <v>2262</v>
      </c>
      <c r="K544" s="29" t="s">
        <v>272</v>
      </c>
      <c r="L544" s="19">
        <f>33029000*2</f>
        <v>66058000</v>
      </c>
      <c r="M544" s="18">
        <f t="shared" si="40"/>
        <v>66058000</v>
      </c>
      <c r="N544" s="134">
        <v>45534</v>
      </c>
      <c r="O544" s="20" t="s">
        <v>2263</v>
      </c>
      <c r="P544" s="22"/>
      <c r="Q544" s="38" t="s">
        <v>2739</v>
      </c>
      <c r="R544" s="19"/>
      <c r="S544" s="19"/>
    </row>
    <row r="545" spans="2:19" s="20" customFormat="1" ht="17.100000000000001" hidden="1" customHeight="1" x14ac:dyDescent="0.3">
      <c r="B545" s="17">
        <v>45518</v>
      </c>
      <c r="C545" s="17">
        <v>45526</v>
      </c>
      <c r="D545" s="22" t="s">
        <v>2264</v>
      </c>
      <c r="E545" s="15" t="s">
        <v>2265</v>
      </c>
      <c r="F545" s="83" t="s">
        <v>25</v>
      </c>
      <c r="G545" s="83" t="s">
        <v>21</v>
      </c>
      <c r="H545" s="16">
        <v>600</v>
      </c>
      <c r="I545" s="15">
        <v>1</v>
      </c>
      <c r="J545" s="15" t="s">
        <v>2266</v>
      </c>
      <c r="K545" s="29"/>
      <c r="L545" s="136">
        <v>17185091</v>
      </c>
      <c r="M545" s="137">
        <f t="shared" si="40"/>
        <v>17185091</v>
      </c>
      <c r="N545" s="134">
        <v>45547</v>
      </c>
      <c r="O545" s="20" t="s">
        <v>2267</v>
      </c>
      <c r="P545" s="22"/>
      <c r="Q545" s="38" t="s">
        <v>2756</v>
      </c>
      <c r="R545" s="19"/>
      <c r="S545" s="19"/>
    </row>
    <row r="546" spans="2:19" s="20" customFormat="1" ht="17.100000000000001" hidden="1" customHeight="1" x14ac:dyDescent="0.3">
      <c r="B546" s="17">
        <v>45520</v>
      </c>
      <c r="C546" s="17">
        <v>45525</v>
      </c>
      <c r="D546" s="22" t="s">
        <v>2269</v>
      </c>
      <c r="E546" s="15" t="s">
        <v>2270</v>
      </c>
      <c r="F546" s="15" t="s">
        <v>2276</v>
      </c>
      <c r="G546" s="83" t="s">
        <v>21</v>
      </c>
      <c r="H546" s="16" t="s">
        <v>2277</v>
      </c>
      <c r="I546" s="15">
        <v>1</v>
      </c>
      <c r="J546" s="15" t="s">
        <v>2275</v>
      </c>
      <c r="K546" s="29"/>
      <c r="L546" s="19">
        <v>8000000</v>
      </c>
      <c r="M546" s="18">
        <f t="shared" si="40"/>
        <v>8000000</v>
      </c>
      <c r="N546" s="134">
        <v>45586</v>
      </c>
      <c r="P546" s="22"/>
      <c r="Q546" s="38" t="s">
        <v>2753</v>
      </c>
      <c r="R546" s="19"/>
      <c r="S546" s="19"/>
    </row>
    <row r="547" spans="2:19" s="20" customFormat="1" ht="17.100000000000001" hidden="1" customHeight="1" x14ac:dyDescent="0.3">
      <c r="B547" s="17">
        <v>45524</v>
      </c>
      <c r="C547" s="17">
        <v>45537</v>
      </c>
      <c r="D547" s="22" t="s">
        <v>2278</v>
      </c>
      <c r="E547" s="15" t="s">
        <v>2279</v>
      </c>
      <c r="F547" s="15" t="s">
        <v>128</v>
      </c>
      <c r="G547" s="83" t="s">
        <v>21</v>
      </c>
      <c r="H547" s="16" t="s">
        <v>2280</v>
      </c>
      <c r="I547" s="15">
        <v>1</v>
      </c>
      <c r="J547" s="15" t="s">
        <v>1369</v>
      </c>
      <c r="K547" s="29" t="s">
        <v>2281</v>
      </c>
      <c r="L547" s="19">
        <v>32000000</v>
      </c>
      <c r="M547" s="18">
        <f t="shared" si="40"/>
        <v>40000000</v>
      </c>
      <c r="N547" s="134">
        <v>45534</v>
      </c>
      <c r="O547" s="20" t="s">
        <v>2282</v>
      </c>
      <c r="P547" s="22"/>
      <c r="Q547" s="38" t="s">
        <v>2757</v>
      </c>
      <c r="R547" s="19"/>
      <c r="S547" s="19">
        <v>8000000</v>
      </c>
    </row>
    <row r="548" spans="2:19" s="20" customFormat="1" ht="17.100000000000001" hidden="1" customHeight="1" x14ac:dyDescent="0.3">
      <c r="B548" s="17">
        <v>45524</v>
      </c>
      <c r="C548" s="17">
        <v>45532</v>
      </c>
      <c r="D548" s="22" t="s">
        <v>2284</v>
      </c>
      <c r="E548" s="15" t="s">
        <v>2283</v>
      </c>
      <c r="F548" s="83" t="s">
        <v>46</v>
      </c>
      <c r="G548" s="83" t="s">
        <v>21</v>
      </c>
      <c r="H548" s="16" t="s">
        <v>2285</v>
      </c>
      <c r="I548" s="15">
        <v>1</v>
      </c>
      <c r="J548" s="15" t="s">
        <v>2249</v>
      </c>
      <c r="K548" s="29" t="s">
        <v>1337</v>
      </c>
      <c r="L548" s="19">
        <v>5000000</v>
      </c>
      <c r="M548" s="18">
        <f t="shared" ref="M548" si="42">(L548*I548)+S548</f>
        <v>9886000</v>
      </c>
      <c r="N548" s="86">
        <v>45534</v>
      </c>
      <c r="P548" s="22"/>
      <c r="Q548" s="38" t="s">
        <v>2754</v>
      </c>
      <c r="R548" s="19">
        <v>4802000</v>
      </c>
      <c r="S548" s="19">
        <v>4886000</v>
      </c>
    </row>
    <row r="549" spans="2:19" s="20" customFormat="1" ht="17.100000000000001" hidden="1" customHeight="1" x14ac:dyDescent="0.3">
      <c r="B549" s="17">
        <v>45531</v>
      </c>
      <c r="C549" s="17">
        <v>45533</v>
      </c>
      <c r="D549" s="22" t="s">
        <v>2286</v>
      </c>
      <c r="E549" s="15" t="s">
        <v>2287</v>
      </c>
      <c r="F549" s="83" t="s">
        <v>46</v>
      </c>
      <c r="G549" s="83" t="s">
        <v>21</v>
      </c>
      <c r="H549" s="16" t="s">
        <v>2288</v>
      </c>
      <c r="I549" s="15">
        <v>1</v>
      </c>
      <c r="J549" s="15" t="s">
        <v>1081</v>
      </c>
      <c r="K549" s="29" t="s">
        <v>272</v>
      </c>
      <c r="L549" s="19">
        <f>5614000*4</f>
        <v>22456000</v>
      </c>
      <c r="M549" s="18">
        <f>(L549*I549)+S549</f>
        <v>22456000</v>
      </c>
      <c r="N549" s="134">
        <v>45534</v>
      </c>
      <c r="O549" s="20" t="s">
        <v>2263</v>
      </c>
      <c r="P549" s="22"/>
      <c r="Q549" s="38" t="s">
        <v>2739</v>
      </c>
      <c r="R549" s="19"/>
      <c r="S549" s="19"/>
    </row>
    <row r="550" spans="2:19" s="20" customFormat="1" ht="17.100000000000001" hidden="1" customHeight="1" x14ac:dyDescent="0.3">
      <c r="B550" s="17">
        <v>45531</v>
      </c>
      <c r="C550" s="17">
        <v>45534</v>
      </c>
      <c r="D550" s="22" t="s">
        <v>2295</v>
      </c>
      <c r="E550" s="15" t="s">
        <v>2364</v>
      </c>
      <c r="F550" s="83" t="s">
        <v>46</v>
      </c>
      <c r="G550" s="83" t="s">
        <v>21</v>
      </c>
      <c r="H550" s="16" t="s">
        <v>2296</v>
      </c>
      <c r="I550" s="15">
        <v>1</v>
      </c>
      <c r="J550" s="15" t="s">
        <v>2297</v>
      </c>
      <c r="K550" s="29" t="s">
        <v>2299</v>
      </c>
      <c r="L550" s="19">
        <v>10882000</v>
      </c>
      <c r="M550" s="18">
        <f>(L550*I550)+S550</f>
        <v>25142000</v>
      </c>
      <c r="N550" s="17">
        <v>45565</v>
      </c>
      <c r="O550" s="20" t="s">
        <v>2298</v>
      </c>
      <c r="P550" s="22"/>
      <c r="Q550" s="38" t="s">
        <v>2758</v>
      </c>
      <c r="R550" s="19">
        <v>12914000</v>
      </c>
      <c r="S550" s="19">
        <v>14260000</v>
      </c>
    </row>
    <row r="551" spans="2:19" s="20" customFormat="1" ht="17.100000000000001" hidden="1" customHeight="1" x14ac:dyDescent="0.3">
      <c r="B551" s="17">
        <v>45532</v>
      </c>
      <c r="C551" s="17">
        <v>45544</v>
      </c>
      <c r="D551" s="22" t="s">
        <v>2294</v>
      </c>
      <c r="E551" s="15" t="s">
        <v>2300</v>
      </c>
      <c r="F551" s="83" t="s">
        <v>46</v>
      </c>
      <c r="G551" s="83" t="s">
        <v>21</v>
      </c>
      <c r="H551" s="16">
        <v>900</v>
      </c>
      <c r="I551" s="15">
        <v>1</v>
      </c>
      <c r="J551" s="15" t="s">
        <v>1029</v>
      </c>
      <c r="K551" s="29" t="s">
        <v>2301</v>
      </c>
      <c r="L551" s="136">
        <v>47950000</v>
      </c>
      <c r="M551" s="18">
        <f>(L551*I551)+S551</f>
        <v>54000000</v>
      </c>
      <c r="N551" s="134">
        <v>45566</v>
      </c>
      <c r="O551" s="20" t="s">
        <v>2303</v>
      </c>
      <c r="P551" s="22" t="s">
        <v>2302</v>
      </c>
      <c r="Q551" s="38" t="s">
        <v>2759</v>
      </c>
      <c r="R551" s="19">
        <v>6033000</v>
      </c>
      <c r="S551" s="19">
        <v>6050000</v>
      </c>
    </row>
    <row r="552" spans="2:19" s="20" customFormat="1" ht="17.100000000000001" hidden="1" customHeight="1" x14ac:dyDescent="0.3">
      <c r="B552" s="17">
        <v>45533</v>
      </c>
      <c r="C552" s="17">
        <v>45595</v>
      </c>
      <c r="D552" s="22" t="s">
        <v>2289</v>
      </c>
      <c r="E552" s="15" t="s">
        <v>2290</v>
      </c>
      <c r="F552" s="83" t="s">
        <v>25</v>
      </c>
      <c r="G552" s="83" t="s">
        <v>21</v>
      </c>
      <c r="H552" s="16" t="s">
        <v>2291</v>
      </c>
      <c r="I552" s="15">
        <v>1</v>
      </c>
      <c r="J552" s="15" t="s">
        <v>2292</v>
      </c>
      <c r="K552" s="29" t="s">
        <v>2293</v>
      </c>
      <c r="L552" s="136">
        <v>66915000</v>
      </c>
      <c r="M552" s="137">
        <f t="shared" si="40"/>
        <v>66915000</v>
      </c>
      <c r="N552" s="134">
        <v>45565</v>
      </c>
      <c r="P552" s="22"/>
      <c r="Q552" s="38"/>
      <c r="R552" s="19"/>
      <c r="S552" s="19"/>
    </row>
    <row r="553" spans="2:19" s="20" customFormat="1" ht="17.100000000000001" hidden="1" customHeight="1" x14ac:dyDescent="0.3">
      <c r="B553" s="17">
        <v>45534</v>
      </c>
      <c r="C553" s="17">
        <v>45552</v>
      </c>
      <c r="D553" s="22" t="s">
        <v>2319</v>
      </c>
      <c r="E553" s="15" t="s">
        <v>2304</v>
      </c>
      <c r="F553" s="83" t="s">
        <v>25</v>
      </c>
      <c r="G553" s="83" t="s">
        <v>21</v>
      </c>
      <c r="H553" s="16" t="s">
        <v>2305</v>
      </c>
      <c r="I553" s="15">
        <v>1</v>
      </c>
      <c r="J553" s="15" t="s">
        <v>2292</v>
      </c>
      <c r="K553" s="29"/>
      <c r="L553" s="136">
        <v>50700000</v>
      </c>
      <c r="M553" s="137">
        <f t="shared" si="40"/>
        <v>50700000</v>
      </c>
      <c r="N553" s="134">
        <v>45646</v>
      </c>
      <c r="P553" s="22"/>
      <c r="Q553" s="38" t="s">
        <v>2760</v>
      </c>
      <c r="R553" s="19"/>
      <c r="S553" s="19"/>
    </row>
    <row r="554" spans="2:19" s="20" customFormat="1" ht="17.100000000000001" hidden="1" customHeight="1" x14ac:dyDescent="0.3">
      <c r="B554" s="17">
        <v>45540</v>
      </c>
      <c r="C554" s="17">
        <v>45593</v>
      </c>
      <c r="D554" s="22" t="s">
        <v>2308</v>
      </c>
      <c r="E554" s="15" t="s">
        <v>2310</v>
      </c>
      <c r="F554" s="83" t="s">
        <v>25</v>
      </c>
      <c r="G554" s="83" t="s">
        <v>21</v>
      </c>
      <c r="H554" s="16" t="s">
        <v>2312</v>
      </c>
      <c r="I554" s="15">
        <v>1</v>
      </c>
      <c r="J554" s="15" t="s">
        <v>557</v>
      </c>
      <c r="K554" s="29" t="s">
        <v>2314</v>
      </c>
      <c r="L554" s="19">
        <v>59000000</v>
      </c>
      <c r="M554" s="18">
        <f t="shared" si="40"/>
        <v>59000000</v>
      </c>
      <c r="N554" s="17">
        <v>45596</v>
      </c>
      <c r="O554" s="20" t="s">
        <v>2315</v>
      </c>
      <c r="P554" s="22"/>
      <c r="Q554" s="38" t="s">
        <v>2761</v>
      </c>
      <c r="R554" s="19"/>
      <c r="S554" s="19"/>
    </row>
    <row r="555" spans="2:19" s="20" customFormat="1" ht="17.100000000000001" hidden="1" customHeight="1" x14ac:dyDescent="0.3">
      <c r="B555" s="17">
        <v>45541</v>
      </c>
      <c r="C555" s="17">
        <v>45561</v>
      </c>
      <c r="D555" s="22" t="s">
        <v>2309</v>
      </c>
      <c r="E555" s="15" t="s">
        <v>2311</v>
      </c>
      <c r="F555" s="83" t="s">
        <v>25</v>
      </c>
      <c r="G555" s="83" t="s">
        <v>21</v>
      </c>
      <c r="H555" s="16" t="s">
        <v>2313</v>
      </c>
      <c r="I555" s="15">
        <v>1</v>
      </c>
      <c r="J555" s="15" t="s">
        <v>557</v>
      </c>
      <c r="K555" s="29" t="s">
        <v>2314</v>
      </c>
      <c r="L555" s="19">
        <v>28000000</v>
      </c>
      <c r="M555" s="18">
        <f t="shared" si="40"/>
        <v>28000000</v>
      </c>
      <c r="N555" s="17">
        <v>45596</v>
      </c>
      <c r="O555" s="20" t="s">
        <v>2315</v>
      </c>
      <c r="P555" s="22"/>
      <c r="Q555" s="38" t="s">
        <v>2761</v>
      </c>
      <c r="R555" s="19"/>
      <c r="S555" s="19"/>
    </row>
    <row r="556" spans="2:19" s="20" customFormat="1" ht="17.100000000000001" hidden="1" customHeight="1" x14ac:dyDescent="0.3">
      <c r="B556" s="17">
        <v>45544</v>
      </c>
      <c r="C556" s="17">
        <v>45546</v>
      </c>
      <c r="D556" s="22" t="s">
        <v>2317</v>
      </c>
      <c r="E556" s="15" t="s">
        <v>2316</v>
      </c>
      <c r="F556" s="83" t="s">
        <v>46</v>
      </c>
      <c r="G556" s="83" t="s">
        <v>21</v>
      </c>
      <c r="H556" s="16" t="s">
        <v>2318</v>
      </c>
      <c r="I556" s="15">
        <v>1</v>
      </c>
      <c r="J556" s="15" t="s">
        <v>418</v>
      </c>
      <c r="K556" s="29" t="s">
        <v>500</v>
      </c>
      <c r="L556" s="19">
        <v>13056000</v>
      </c>
      <c r="M556" s="18">
        <f t="shared" si="40"/>
        <v>19420000</v>
      </c>
      <c r="N556" s="17">
        <v>45565</v>
      </c>
      <c r="O556" s="20" t="s">
        <v>2298</v>
      </c>
      <c r="P556" s="22"/>
      <c r="Q556" s="38" t="s">
        <v>2758</v>
      </c>
      <c r="R556" s="19">
        <v>6556200</v>
      </c>
      <c r="S556" s="19">
        <v>6364000</v>
      </c>
    </row>
    <row r="557" spans="2:19" s="20" customFormat="1" ht="17.100000000000001" hidden="1" customHeight="1" x14ac:dyDescent="0.3">
      <c r="B557" s="17">
        <v>45545</v>
      </c>
      <c r="C557" s="17">
        <v>45545</v>
      </c>
      <c r="D557" s="22" t="s">
        <v>2320</v>
      </c>
      <c r="E557" s="15" t="s">
        <v>2366</v>
      </c>
      <c r="F557" s="83" t="s">
        <v>25</v>
      </c>
      <c r="G557" s="83" t="s">
        <v>21</v>
      </c>
      <c r="H557" s="16" t="s">
        <v>2321</v>
      </c>
      <c r="I557" s="15">
        <v>1</v>
      </c>
      <c r="J557" s="15" t="s">
        <v>2292</v>
      </c>
      <c r="K557" s="29" t="s">
        <v>2322</v>
      </c>
      <c r="L557" s="136">
        <v>2000000</v>
      </c>
      <c r="M557" s="137">
        <f t="shared" si="40"/>
        <v>2000000</v>
      </c>
      <c r="N557" s="134">
        <v>45576</v>
      </c>
      <c r="P557" s="22"/>
      <c r="Q557" s="38" t="s">
        <v>2762</v>
      </c>
      <c r="R557" s="19"/>
      <c r="S557" s="19"/>
    </row>
    <row r="558" spans="2:19" s="20" customFormat="1" ht="17.100000000000001" hidden="1" customHeight="1" x14ac:dyDescent="0.3">
      <c r="B558" s="17">
        <v>45558</v>
      </c>
      <c r="C558" s="17">
        <v>45587</v>
      </c>
      <c r="D558" s="22" t="s">
        <v>2331</v>
      </c>
      <c r="E558" s="15" t="s">
        <v>2332</v>
      </c>
      <c r="F558" s="83" t="s">
        <v>25</v>
      </c>
      <c r="G558" s="83" t="s">
        <v>21</v>
      </c>
      <c r="H558" s="16" t="s">
        <v>2333</v>
      </c>
      <c r="I558" s="15">
        <v>1</v>
      </c>
      <c r="J558" s="15" t="s">
        <v>2334</v>
      </c>
      <c r="K558" s="29" t="s">
        <v>2335</v>
      </c>
      <c r="L558" s="19">
        <v>125000000</v>
      </c>
      <c r="M558" s="18">
        <f t="shared" si="40"/>
        <v>125000000</v>
      </c>
      <c r="N558" s="134">
        <v>45596</v>
      </c>
      <c r="P558" s="22" t="s">
        <v>2336</v>
      </c>
      <c r="Q558" s="38"/>
      <c r="R558" s="19"/>
      <c r="S558" s="19"/>
    </row>
    <row r="559" spans="2:19" s="20" customFormat="1" ht="17.100000000000001" hidden="1" customHeight="1" x14ac:dyDescent="0.3">
      <c r="B559" s="17">
        <v>45559</v>
      </c>
      <c r="C559" s="17">
        <v>45562</v>
      </c>
      <c r="D559" s="22" t="s">
        <v>2337</v>
      </c>
      <c r="E559" s="15" t="s">
        <v>2338</v>
      </c>
      <c r="F559" s="83" t="s">
        <v>25</v>
      </c>
      <c r="G559" s="83" t="s">
        <v>21</v>
      </c>
      <c r="H559" s="16">
        <v>900</v>
      </c>
      <c r="I559" s="15">
        <v>1</v>
      </c>
      <c r="J559" s="15" t="s">
        <v>626</v>
      </c>
      <c r="K559" s="29" t="s">
        <v>2339</v>
      </c>
      <c r="L559" s="136">
        <v>22454546</v>
      </c>
      <c r="M559" s="137">
        <f t="shared" si="40"/>
        <v>22454546</v>
      </c>
      <c r="N559" s="134">
        <v>45607</v>
      </c>
      <c r="P559" s="119" t="s">
        <v>2418</v>
      </c>
      <c r="Q559" s="38" t="s">
        <v>2763</v>
      </c>
      <c r="R559" s="19"/>
      <c r="S559" s="19"/>
    </row>
    <row r="560" spans="2:19" s="20" customFormat="1" ht="17.100000000000001" hidden="1" customHeight="1" x14ac:dyDescent="0.3">
      <c r="B560" s="17">
        <v>45560</v>
      </c>
      <c r="C560" s="17">
        <v>45590</v>
      </c>
      <c r="D560" s="22" t="s">
        <v>2340</v>
      </c>
      <c r="E560" s="15" t="s">
        <v>2341</v>
      </c>
      <c r="F560" s="83" t="s">
        <v>25</v>
      </c>
      <c r="G560" s="83" t="s">
        <v>21</v>
      </c>
      <c r="H560" s="16" t="s">
        <v>2342</v>
      </c>
      <c r="I560" s="15">
        <v>1</v>
      </c>
      <c r="J560" s="15" t="s">
        <v>626</v>
      </c>
      <c r="K560" s="29" t="s">
        <v>2343</v>
      </c>
      <c r="L560" s="19">
        <v>15900000</v>
      </c>
      <c r="M560" s="18">
        <f t="shared" si="40"/>
        <v>15900000</v>
      </c>
      <c r="N560" s="134">
        <v>45596</v>
      </c>
      <c r="P560" s="22"/>
      <c r="Q560" s="38" t="s">
        <v>2764</v>
      </c>
      <c r="R560" s="19"/>
      <c r="S560" s="19"/>
    </row>
    <row r="561" spans="2:19" s="20" customFormat="1" ht="17.100000000000001" hidden="1" customHeight="1" x14ac:dyDescent="0.3">
      <c r="B561" s="17">
        <v>45561</v>
      </c>
      <c r="C561" s="17">
        <v>45562</v>
      </c>
      <c r="D561" s="22" t="s">
        <v>2344</v>
      </c>
      <c r="E561" s="15" t="s">
        <v>2345</v>
      </c>
      <c r="F561" s="83" t="s">
        <v>46</v>
      </c>
      <c r="G561" s="83" t="s">
        <v>21</v>
      </c>
      <c r="H561" s="16" t="s">
        <v>2346</v>
      </c>
      <c r="I561" s="15">
        <v>1</v>
      </c>
      <c r="J561" s="15" t="s">
        <v>2347</v>
      </c>
      <c r="K561" s="29" t="s">
        <v>1214</v>
      </c>
      <c r="L561" s="19">
        <v>8200000</v>
      </c>
      <c r="M561" s="18">
        <f>(L561*I561)+S561</f>
        <v>13400000</v>
      </c>
      <c r="N561" s="134">
        <v>45596</v>
      </c>
      <c r="P561" s="22" t="s">
        <v>2365</v>
      </c>
      <c r="Q561" s="38" t="s">
        <v>2765</v>
      </c>
      <c r="R561" s="19">
        <f>5914000+700000</f>
        <v>6614000</v>
      </c>
      <c r="S561" s="19">
        <v>5200000</v>
      </c>
    </row>
    <row r="562" spans="2:19" s="20" customFormat="1" ht="17.100000000000001" hidden="1" customHeight="1" x14ac:dyDescent="0.3">
      <c r="B562" s="17">
        <v>45562</v>
      </c>
      <c r="C562" s="17">
        <v>45611</v>
      </c>
      <c r="D562" s="22" t="s">
        <v>2356</v>
      </c>
      <c r="E562" s="15" t="s">
        <v>2357</v>
      </c>
      <c r="F562" s="15" t="s">
        <v>128</v>
      </c>
      <c r="G562" s="83" t="s">
        <v>21</v>
      </c>
      <c r="H562" s="16" t="s">
        <v>250</v>
      </c>
      <c r="I562" s="15">
        <v>1</v>
      </c>
      <c r="J562" s="15" t="s">
        <v>1369</v>
      </c>
      <c r="K562" s="29" t="s">
        <v>130</v>
      </c>
      <c r="L562" s="136">
        <v>40000000</v>
      </c>
      <c r="M562" s="137">
        <f t="shared" ref="M562" si="43">(L562*I562)+S562</f>
        <v>40000000</v>
      </c>
      <c r="N562" s="134">
        <v>45626</v>
      </c>
      <c r="P562" s="22"/>
      <c r="Q562" s="38" t="s">
        <v>2757</v>
      </c>
      <c r="R562" s="19"/>
      <c r="S562" s="19"/>
    </row>
    <row r="563" spans="2:19" s="20" customFormat="1" ht="17.100000000000001" hidden="1" customHeight="1" x14ac:dyDescent="0.3">
      <c r="B563" s="17">
        <v>45562</v>
      </c>
      <c r="C563" s="17">
        <v>45567</v>
      </c>
      <c r="D563" s="120" t="s">
        <v>2348</v>
      </c>
      <c r="E563" s="15" t="s">
        <v>2350</v>
      </c>
      <c r="F563" s="83" t="s">
        <v>46</v>
      </c>
      <c r="G563" s="83" t="s">
        <v>21</v>
      </c>
      <c r="H563" s="16">
        <v>250</v>
      </c>
      <c r="I563" s="15">
        <v>4</v>
      </c>
      <c r="J563" s="15" t="s">
        <v>2352</v>
      </c>
      <c r="K563" s="29" t="s">
        <v>2354</v>
      </c>
      <c r="L563" s="19">
        <v>13170101</v>
      </c>
      <c r="M563" s="18">
        <f t="shared" si="40"/>
        <v>52680404</v>
      </c>
      <c r="N563" s="17">
        <v>45652</v>
      </c>
      <c r="O563" s="20" t="s">
        <v>2355</v>
      </c>
      <c r="P563" s="22"/>
      <c r="Q563" s="38" t="s">
        <v>2766</v>
      </c>
      <c r="R563" s="19"/>
      <c r="S563" s="19"/>
    </row>
    <row r="564" spans="2:19" s="20" customFormat="1" ht="17.100000000000001" hidden="1" customHeight="1" x14ac:dyDescent="0.3">
      <c r="B564" s="17">
        <v>45563</v>
      </c>
      <c r="C564" s="17">
        <v>45563</v>
      </c>
      <c r="D564" s="22" t="s">
        <v>2349</v>
      </c>
      <c r="E564" s="15" t="s">
        <v>2351</v>
      </c>
      <c r="F564" s="83" t="s">
        <v>46</v>
      </c>
      <c r="G564" s="83" t="s">
        <v>21</v>
      </c>
      <c r="H564" s="16">
        <v>100</v>
      </c>
      <c r="I564" s="15">
        <v>1</v>
      </c>
      <c r="J564" s="15" t="s">
        <v>2353</v>
      </c>
      <c r="K564" s="84" t="s">
        <v>585</v>
      </c>
      <c r="L564" s="19">
        <v>4788917</v>
      </c>
      <c r="M564" s="18">
        <f t="shared" si="40"/>
        <v>4788917</v>
      </c>
      <c r="N564" s="134">
        <v>45644</v>
      </c>
      <c r="O564" s="20" t="s">
        <v>2355</v>
      </c>
      <c r="P564" s="22" t="s">
        <v>2540</v>
      </c>
      <c r="Q564" s="38" t="s">
        <v>2766</v>
      </c>
      <c r="R564" s="19"/>
      <c r="S564" s="19"/>
    </row>
    <row r="565" spans="2:19" s="20" customFormat="1" ht="17.100000000000001" hidden="1" customHeight="1" x14ac:dyDescent="0.3">
      <c r="B565" s="17">
        <v>45565</v>
      </c>
      <c r="C565" s="17">
        <v>45568</v>
      </c>
      <c r="D565" s="22" t="s">
        <v>2359</v>
      </c>
      <c r="E565" s="15" t="s">
        <v>2358</v>
      </c>
      <c r="F565" s="83" t="s">
        <v>46</v>
      </c>
      <c r="G565" s="83" t="s">
        <v>21</v>
      </c>
      <c r="H565" s="16" t="s">
        <v>2360</v>
      </c>
      <c r="I565" s="15">
        <v>1</v>
      </c>
      <c r="J565" s="15" t="s">
        <v>83</v>
      </c>
      <c r="K565" s="29" t="s">
        <v>500</v>
      </c>
      <c r="L565" s="136">
        <v>12718000</v>
      </c>
      <c r="M565" s="137">
        <f t="shared" ref="M565:M567" si="44">(L565*I565)+S565</f>
        <v>12718000</v>
      </c>
      <c r="N565" s="134">
        <v>45596</v>
      </c>
      <c r="O565" s="20" t="s">
        <v>2298</v>
      </c>
      <c r="P565" s="22"/>
      <c r="Q565" s="38" t="s">
        <v>2758</v>
      </c>
      <c r="R565" s="19">
        <v>5400000</v>
      </c>
      <c r="S565" s="19"/>
    </row>
    <row r="566" spans="2:19" s="20" customFormat="1" ht="17.100000000000001" hidden="1" customHeight="1" x14ac:dyDescent="0.3">
      <c r="B566" s="17">
        <v>45568</v>
      </c>
      <c r="C566" s="17">
        <v>45590</v>
      </c>
      <c r="D566" s="22" t="s">
        <v>2362</v>
      </c>
      <c r="E566" s="15" t="s">
        <v>2361</v>
      </c>
      <c r="F566" s="83" t="s">
        <v>25</v>
      </c>
      <c r="G566" s="83" t="s">
        <v>21</v>
      </c>
      <c r="H566" s="16" t="s">
        <v>2363</v>
      </c>
      <c r="I566" s="15">
        <v>1</v>
      </c>
      <c r="J566" s="15" t="s">
        <v>626</v>
      </c>
      <c r="K566" s="29" t="s">
        <v>2343</v>
      </c>
      <c r="L566" s="136">
        <v>18150000</v>
      </c>
      <c r="M566" s="137">
        <f t="shared" si="44"/>
        <v>18150000</v>
      </c>
      <c r="N566" s="134">
        <v>45596</v>
      </c>
      <c r="P566" s="22"/>
      <c r="Q566" s="38" t="s">
        <v>2764</v>
      </c>
      <c r="R566" s="19"/>
      <c r="S566" s="19"/>
    </row>
    <row r="567" spans="2:19" s="20" customFormat="1" ht="17.100000000000001" hidden="1" customHeight="1" x14ac:dyDescent="0.3">
      <c r="B567" s="17">
        <v>45575</v>
      </c>
      <c r="C567" s="17">
        <v>45576</v>
      </c>
      <c r="D567" s="22" t="s">
        <v>2368</v>
      </c>
      <c r="E567" s="15" t="s">
        <v>2369</v>
      </c>
      <c r="F567" s="83" t="s">
        <v>46</v>
      </c>
      <c r="G567" s="83" t="s">
        <v>21</v>
      </c>
      <c r="H567" s="16" t="s">
        <v>2370</v>
      </c>
      <c r="I567" s="15">
        <v>1</v>
      </c>
      <c r="J567" s="15" t="s">
        <v>83</v>
      </c>
      <c r="K567" s="29" t="s">
        <v>461</v>
      </c>
      <c r="L567" s="19">
        <v>12784000</v>
      </c>
      <c r="M567" s="18">
        <f t="shared" si="44"/>
        <v>27180000</v>
      </c>
      <c r="N567" s="134">
        <v>45596</v>
      </c>
      <c r="O567" s="20" t="s">
        <v>2298</v>
      </c>
      <c r="P567" s="22"/>
      <c r="Q567" s="38" t="s">
        <v>2758</v>
      </c>
      <c r="R567" s="19">
        <v>13590000</v>
      </c>
      <c r="S567" s="19">
        <v>14396000</v>
      </c>
    </row>
    <row r="568" spans="2:19" s="20" customFormat="1" ht="17.100000000000001" hidden="1" customHeight="1" x14ac:dyDescent="0.3">
      <c r="B568" s="17">
        <v>45577</v>
      </c>
      <c r="C568" s="17">
        <v>45582</v>
      </c>
      <c r="D568" s="120" t="s">
        <v>2371</v>
      </c>
      <c r="E568" s="15" t="s">
        <v>2372</v>
      </c>
      <c r="F568" s="83" t="s">
        <v>46</v>
      </c>
      <c r="G568" s="83" t="s">
        <v>21</v>
      </c>
      <c r="H568" s="16">
        <v>300</v>
      </c>
      <c r="I568" s="15">
        <v>4</v>
      </c>
      <c r="J568" s="15" t="s">
        <v>2453</v>
      </c>
      <c r="K568" s="84" t="s">
        <v>2354</v>
      </c>
      <c r="L568" s="19">
        <v>16193727</v>
      </c>
      <c r="M568" s="18">
        <f t="shared" si="35"/>
        <v>64774908</v>
      </c>
      <c r="N568" s="17">
        <v>45652</v>
      </c>
      <c r="O568" s="20" t="s">
        <v>2355</v>
      </c>
      <c r="P568" s="22"/>
      <c r="Q568" s="38" t="s">
        <v>2766</v>
      </c>
      <c r="R568" s="19"/>
      <c r="S568" s="19"/>
    </row>
    <row r="569" spans="2:19" s="20" customFormat="1" ht="17.100000000000001" hidden="1" customHeight="1" x14ac:dyDescent="0.3">
      <c r="B569" s="17">
        <v>45579</v>
      </c>
      <c r="C569" s="17">
        <v>45581</v>
      </c>
      <c r="D569" s="22" t="s">
        <v>2373</v>
      </c>
      <c r="E569" s="15" t="s">
        <v>2374</v>
      </c>
      <c r="F569" s="83" t="s">
        <v>46</v>
      </c>
      <c r="G569" s="83" t="s">
        <v>21</v>
      </c>
      <c r="H569" s="16">
        <v>250</v>
      </c>
      <c r="I569" s="15">
        <v>2</v>
      </c>
      <c r="J569" s="15" t="s">
        <v>2353</v>
      </c>
      <c r="K569" s="84" t="s">
        <v>2375</v>
      </c>
      <c r="L569" s="19">
        <v>13170101</v>
      </c>
      <c r="M569" s="18">
        <f t="shared" si="35"/>
        <v>26340202</v>
      </c>
      <c r="N569" s="134">
        <v>45644</v>
      </c>
      <c r="O569" s="20" t="s">
        <v>2355</v>
      </c>
      <c r="P569" s="22" t="s">
        <v>2540</v>
      </c>
      <c r="Q569" s="38" t="s">
        <v>2766</v>
      </c>
      <c r="R569" s="19"/>
      <c r="S569" s="19"/>
    </row>
    <row r="570" spans="2:19" s="20" customFormat="1" ht="17.100000000000001" hidden="1" customHeight="1" x14ac:dyDescent="0.3">
      <c r="B570" s="17">
        <v>45579</v>
      </c>
      <c r="C570" s="17">
        <v>45580</v>
      </c>
      <c r="D570" s="22" t="s">
        <v>2376</v>
      </c>
      <c r="E570" s="15" t="s">
        <v>2377</v>
      </c>
      <c r="F570" s="83" t="s">
        <v>46</v>
      </c>
      <c r="G570" s="83" t="s">
        <v>21</v>
      </c>
      <c r="H570" s="16" t="s">
        <v>2378</v>
      </c>
      <c r="I570" s="15">
        <v>1</v>
      </c>
      <c r="J570" s="15" t="s">
        <v>561</v>
      </c>
      <c r="K570" s="29" t="s">
        <v>512</v>
      </c>
      <c r="L570" s="19">
        <v>3840000</v>
      </c>
      <c r="M570" s="18">
        <f t="shared" si="35"/>
        <v>10576000</v>
      </c>
      <c r="N570" s="17">
        <v>45596</v>
      </c>
      <c r="O570" s="20" t="s">
        <v>2380</v>
      </c>
      <c r="P570" s="22"/>
      <c r="Q570" s="38" t="s">
        <v>2767</v>
      </c>
      <c r="R570" s="19">
        <v>3856000</v>
      </c>
      <c r="S570" s="19">
        <v>6736000</v>
      </c>
    </row>
    <row r="571" spans="2:19" s="20" customFormat="1" ht="17.100000000000001" hidden="1" customHeight="1" x14ac:dyDescent="0.3">
      <c r="B571" s="17">
        <v>45580</v>
      </c>
      <c r="C571" s="17">
        <v>45584</v>
      </c>
      <c r="D571" s="22" t="s">
        <v>2461</v>
      </c>
      <c r="E571" s="15" t="s">
        <v>2379</v>
      </c>
      <c r="F571" s="83" t="s">
        <v>46</v>
      </c>
      <c r="G571" s="83" t="s">
        <v>21</v>
      </c>
      <c r="H571" s="16">
        <v>400</v>
      </c>
      <c r="I571" s="15">
        <v>2</v>
      </c>
      <c r="J571" s="15" t="s">
        <v>2460</v>
      </c>
      <c r="K571" s="84" t="s">
        <v>2381</v>
      </c>
      <c r="L571" s="19">
        <v>25319213</v>
      </c>
      <c r="M571" s="18">
        <f t="shared" si="35"/>
        <v>50638426</v>
      </c>
      <c r="N571" s="134">
        <v>45645</v>
      </c>
      <c r="O571" s="20" t="s">
        <v>2355</v>
      </c>
      <c r="P571" s="22"/>
      <c r="Q571" s="38" t="s">
        <v>2766</v>
      </c>
      <c r="R571" s="19"/>
      <c r="S571" s="19"/>
    </row>
    <row r="572" spans="2:19" s="20" customFormat="1" ht="17.100000000000001" hidden="1" customHeight="1" x14ac:dyDescent="0.3">
      <c r="B572" s="17">
        <v>45582</v>
      </c>
      <c r="C572" s="17">
        <v>45586</v>
      </c>
      <c r="D572" s="22" t="s">
        <v>2382</v>
      </c>
      <c r="E572" s="15" t="s">
        <v>2383</v>
      </c>
      <c r="F572" s="83" t="s">
        <v>46</v>
      </c>
      <c r="G572" s="83" t="s">
        <v>21</v>
      </c>
      <c r="H572" s="16" t="s">
        <v>2384</v>
      </c>
      <c r="I572" s="15">
        <v>1</v>
      </c>
      <c r="J572" s="15" t="s">
        <v>2385</v>
      </c>
      <c r="K572" s="29" t="s">
        <v>2386</v>
      </c>
      <c r="L572" s="136">
        <v>45800000</v>
      </c>
      <c r="M572" s="137">
        <f t="shared" si="35"/>
        <v>45800000</v>
      </c>
      <c r="N572" s="134">
        <v>45596</v>
      </c>
      <c r="O572" s="20" t="s">
        <v>2387</v>
      </c>
      <c r="P572" s="22"/>
      <c r="Q572" s="38" t="s">
        <v>2768</v>
      </c>
      <c r="R572" s="19"/>
      <c r="S572" s="19"/>
    </row>
    <row r="573" spans="2:19" s="20" customFormat="1" ht="17.100000000000001" hidden="1" customHeight="1" x14ac:dyDescent="0.3">
      <c r="B573" s="17">
        <v>45588</v>
      </c>
      <c r="C573" s="17">
        <v>45624</v>
      </c>
      <c r="D573" s="22" t="s">
        <v>2389</v>
      </c>
      <c r="E573" s="15" t="s">
        <v>2388</v>
      </c>
      <c r="F573" s="15" t="s">
        <v>2390</v>
      </c>
      <c r="G573" s="83" t="s">
        <v>21</v>
      </c>
      <c r="H573" s="16" t="s">
        <v>2391</v>
      </c>
      <c r="I573" s="15">
        <v>1</v>
      </c>
      <c r="J573" s="15" t="s">
        <v>2392</v>
      </c>
      <c r="K573" s="29" t="s">
        <v>2393</v>
      </c>
      <c r="L573" s="19">
        <v>32000000</v>
      </c>
      <c r="M573" s="137">
        <v>34000000</v>
      </c>
      <c r="N573" s="134">
        <v>45626</v>
      </c>
      <c r="O573" s="20" t="s">
        <v>2394</v>
      </c>
      <c r="P573" s="22"/>
      <c r="Q573" s="38" t="s">
        <v>2769</v>
      </c>
      <c r="R573" s="19"/>
      <c r="S573" s="19"/>
    </row>
    <row r="574" spans="2:19" s="20" customFormat="1" ht="17.100000000000001" hidden="1" customHeight="1" x14ac:dyDescent="0.3">
      <c r="B574" s="17">
        <v>45586</v>
      </c>
      <c r="C574" s="17">
        <v>45589</v>
      </c>
      <c r="D574" s="22" t="s">
        <v>2396</v>
      </c>
      <c r="E574" s="15" t="s">
        <v>2395</v>
      </c>
      <c r="F574" s="83" t="s">
        <v>46</v>
      </c>
      <c r="G574" s="83" t="s">
        <v>21</v>
      </c>
      <c r="H574" s="16" t="s">
        <v>2397</v>
      </c>
      <c r="I574" s="15">
        <v>1</v>
      </c>
      <c r="J574" s="15" t="s">
        <v>2398</v>
      </c>
      <c r="K574" s="29"/>
      <c r="L574" s="19">
        <v>22940000</v>
      </c>
      <c r="M574" s="18">
        <f t="shared" si="35"/>
        <v>22940000</v>
      </c>
      <c r="N574" s="134">
        <v>45608</v>
      </c>
      <c r="O574" s="20" t="s">
        <v>2399</v>
      </c>
      <c r="P574" s="22"/>
      <c r="Q574" s="38" t="s">
        <v>2770</v>
      </c>
      <c r="R574" s="19">
        <v>2428000</v>
      </c>
      <c r="S574" s="19">
        <v>0</v>
      </c>
    </row>
    <row r="575" spans="2:19" s="20" customFormat="1" ht="17.100000000000001" hidden="1" customHeight="1" x14ac:dyDescent="0.3">
      <c r="B575" s="17">
        <v>45589</v>
      </c>
      <c r="C575" s="17">
        <v>45596</v>
      </c>
      <c r="D575" s="22" t="s">
        <v>2401</v>
      </c>
      <c r="E575" s="15" t="s">
        <v>2400</v>
      </c>
      <c r="F575" s="83" t="s">
        <v>46</v>
      </c>
      <c r="G575" s="83" t="s">
        <v>21</v>
      </c>
      <c r="H575" s="16">
        <v>700</v>
      </c>
      <c r="I575" s="15">
        <v>4</v>
      </c>
      <c r="J575" s="15" t="s">
        <v>2402</v>
      </c>
      <c r="K575" s="84" t="s">
        <v>1810</v>
      </c>
      <c r="L575" s="19">
        <v>54510168</v>
      </c>
      <c r="M575" s="18">
        <f t="shared" ref="M575" si="45">(L575*I575)+S575</f>
        <v>218040672</v>
      </c>
      <c r="N575" s="134">
        <v>45644</v>
      </c>
      <c r="O575" s="20" t="s">
        <v>2355</v>
      </c>
      <c r="P575" s="22" t="s">
        <v>2540</v>
      </c>
      <c r="Q575" s="38" t="s">
        <v>2766</v>
      </c>
      <c r="R575" s="19"/>
      <c r="S575" s="19"/>
    </row>
    <row r="576" spans="2:19" s="20" customFormat="1" ht="17.100000000000001" hidden="1" customHeight="1" x14ac:dyDescent="0.3">
      <c r="B576" s="17">
        <v>45591</v>
      </c>
      <c r="C576" s="17">
        <v>45599</v>
      </c>
      <c r="D576" s="22" t="s">
        <v>2404</v>
      </c>
      <c r="E576" s="15" t="s">
        <v>2405</v>
      </c>
      <c r="F576" s="83" t="s">
        <v>25</v>
      </c>
      <c r="G576" s="83" t="s">
        <v>21</v>
      </c>
      <c r="H576" s="16" t="s">
        <v>2406</v>
      </c>
      <c r="I576" s="15">
        <v>1</v>
      </c>
      <c r="J576" s="15"/>
      <c r="K576" s="29" t="s">
        <v>2407</v>
      </c>
      <c r="L576" s="136">
        <v>30000000</v>
      </c>
      <c r="M576" s="137">
        <f t="shared" si="35"/>
        <v>30000000</v>
      </c>
      <c r="N576" s="134">
        <v>45596</v>
      </c>
      <c r="P576" s="22"/>
      <c r="Q576" s="38"/>
      <c r="R576" s="19"/>
      <c r="S576" s="19"/>
    </row>
    <row r="577" spans="2:19" s="20" customFormat="1" ht="17.100000000000001" hidden="1" customHeight="1" x14ac:dyDescent="0.3">
      <c r="B577" s="17">
        <v>45591</v>
      </c>
      <c r="C577" s="17">
        <v>45594</v>
      </c>
      <c r="D577" s="22" t="s">
        <v>2408</v>
      </c>
      <c r="E577" s="15" t="s">
        <v>2409</v>
      </c>
      <c r="F577" s="83" t="s">
        <v>46</v>
      </c>
      <c r="G577" s="83" t="s">
        <v>21</v>
      </c>
      <c r="H577" s="16">
        <v>200</v>
      </c>
      <c r="I577" s="15">
        <v>4</v>
      </c>
      <c r="J577" s="15" t="s">
        <v>2402</v>
      </c>
      <c r="K577" s="84" t="s">
        <v>585</v>
      </c>
      <c r="L577" s="19">
        <v>10235655</v>
      </c>
      <c r="M577" s="18">
        <f t="shared" si="35"/>
        <v>40942620</v>
      </c>
      <c r="N577" s="134">
        <v>45644</v>
      </c>
      <c r="O577" s="20" t="s">
        <v>2355</v>
      </c>
      <c r="P577" s="22" t="s">
        <v>2540</v>
      </c>
      <c r="Q577" s="38" t="s">
        <v>2766</v>
      </c>
      <c r="R577" s="19"/>
      <c r="S577" s="19"/>
    </row>
    <row r="578" spans="2:19" s="20" customFormat="1" ht="17.100000000000001" hidden="1" customHeight="1" x14ac:dyDescent="0.3">
      <c r="B578" s="17">
        <v>45593</v>
      </c>
      <c r="C578" s="17">
        <v>45653</v>
      </c>
      <c r="D578" s="22" t="s">
        <v>2403</v>
      </c>
      <c r="E578" s="15" t="s">
        <v>2411</v>
      </c>
      <c r="F578" s="83" t="s">
        <v>25</v>
      </c>
      <c r="G578" s="83" t="s">
        <v>21</v>
      </c>
      <c r="H578" s="16" t="s">
        <v>2413</v>
      </c>
      <c r="I578" s="15">
        <v>1</v>
      </c>
      <c r="J578" s="15" t="s">
        <v>2416</v>
      </c>
      <c r="K578" s="29" t="s">
        <v>2415</v>
      </c>
      <c r="L578" s="19"/>
      <c r="M578" s="18">
        <f t="shared" si="35"/>
        <v>0</v>
      </c>
      <c r="N578" s="81">
        <v>45626</v>
      </c>
      <c r="O578" s="20" t="s">
        <v>2417</v>
      </c>
      <c r="P578" s="22"/>
      <c r="Q578" s="38" t="s">
        <v>2748</v>
      </c>
      <c r="R578" s="19"/>
      <c r="S578" s="19"/>
    </row>
    <row r="579" spans="2:19" s="20" customFormat="1" ht="17.100000000000001" hidden="1" customHeight="1" x14ac:dyDescent="0.3">
      <c r="B579" s="17">
        <v>45593</v>
      </c>
      <c r="C579" s="17">
        <v>45653</v>
      </c>
      <c r="D579" s="22" t="s">
        <v>2410</v>
      </c>
      <c r="E579" s="15" t="s">
        <v>2412</v>
      </c>
      <c r="F579" s="83" t="s">
        <v>25</v>
      </c>
      <c r="G579" s="83" t="s">
        <v>21</v>
      </c>
      <c r="H579" s="16" t="s">
        <v>2414</v>
      </c>
      <c r="I579" s="15">
        <v>1</v>
      </c>
      <c r="J579" s="15" t="s">
        <v>2416</v>
      </c>
      <c r="K579" s="29" t="s">
        <v>2415</v>
      </c>
      <c r="L579" s="19"/>
      <c r="M579" s="18">
        <f t="shared" si="35"/>
        <v>0</v>
      </c>
      <c r="N579" s="81">
        <v>45626</v>
      </c>
      <c r="O579" s="20" t="s">
        <v>2417</v>
      </c>
      <c r="P579" s="22"/>
      <c r="Q579" s="38" t="s">
        <v>2748</v>
      </c>
      <c r="R579" s="19"/>
      <c r="S579" s="19"/>
    </row>
    <row r="580" spans="2:19" s="20" customFormat="1" ht="17.100000000000001" hidden="1" customHeight="1" x14ac:dyDescent="0.3">
      <c r="B580" s="17">
        <v>45595</v>
      </c>
      <c r="C580" s="17">
        <v>45653</v>
      </c>
      <c r="D580" s="22" t="s">
        <v>2419</v>
      </c>
      <c r="E580" s="15" t="s">
        <v>2421</v>
      </c>
      <c r="F580" s="83" t="s">
        <v>25</v>
      </c>
      <c r="G580" s="15" t="s">
        <v>2423</v>
      </c>
      <c r="H580" s="16" t="s">
        <v>2424</v>
      </c>
      <c r="I580" s="15">
        <v>1</v>
      </c>
      <c r="J580" s="15" t="s">
        <v>2416</v>
      </c>
      <c r="K580" s="29" t="s">
        <v>2415</v>
      </c>
      <c r="L580" s="19"/>
      <c r="M580" s="18">
        <f t="shared" si="35"/>
        <v>0</v>
      </c>
      <c r="N580" s="81">
        <v>45626</v>
      </c>
      <c r="O580" s="20" t="s">
        <v>2417</v>
      </c>
      <c r="P580" s="22"/>
      <c r="Q580" s="38" t="s">
        <v>2748</v>
      </c>
      <c r="R580" s="19"/>
      <c r="S580" s="19"/>
    </row>
    <row r="581" spans="2:19" s="20" customFormat="1" ht="17.100000000000001" hidden="1" customHeight="1" x14ac:dyDescent="0.3">
      <c r="B581" s="17">
        <v>45595</v>
      </c>
      <c r="C581" s="17">
        <v>45653</v>
      </c>
      <c r="D581" s="22" t="s">
        <v>2420</v>
      </c>
      <c r="E581" s="15" t="s">
        <v>2422</v>
      </c>
      <c r="F581" s="83" t="s">
        <v>25</v>
      </c>
      <c r="G581" s="15" t="s">
        <v>2423</v>
      </c>
      <c r="H581" s="16" t="s">
        <v>2425</v>
      </c>
      <c r="I581" s="15">
        <v>1</v>
      </c>
      <c r="J581" s="15" t="s">
        <v>2416</v>
      </c>
      <c r="K581" s="29" t="s">
        <v>2415</v>
      </c>
      <c r="L581" s="19">
        <v>396000000</v>
      </c>
      <c r="M581" s="18">
        <f t="shared" si="35"/>
        <v>396000000</v>
      </c>
      <c r="N581" s="81">
        <v>45626</v>
      </c>
      <c r="O581" s="20" t="s">
        <v>2417</v>
      </c>
      <c r="P581" s="22"/>
      <c r="Q581" s="38" t="s">
        <v>2748</v>
      </c>
      <c r="R581" s="19"/>
      <c r="S581" s="19"/>
    </row>
    <row r="582" spans="2:19" s="20" customFormat="1" ht="17.100000000000001" hidden="1" customHeight="1" x14ac:dyDescent="0.3">
      <c r="B582" s="17">
        <v>45595</v>
      </c>
      <c r="C582" s="17">
        <v>45603</v>
      </c>
      <c r="D582" s="22" t="s">
        <v>2426</v>
      </c>
      <c r="E582" s="15" t="s">
        <v>2427</v>
      </c>
      <c r="F582" s="83" t="s">
        <v>25</v>
      </c>
      <c r="G582" s="83" t="s">
        <v>21</v>
      </c>
      <c r="H582" s="16" t="s">
        <v>2428</v>
      </c>
      <c r="I582" s="15">
        <v>1</v>
      </c>
      <c r="J582" s="15" t="s">
        <v>776</v>
      </c>
      <c r="K582" s="113" t="s">
        <v>952</v>
      </c>
      <c r="L582" s="19">
        <v>23400000</v>
      </c>
      <c r="M582" s="18">
        <f t="shared" si="35"/>
        <v>23400000</v>
      </c>
      <c r="N582" s="134">
        <v>45657</v>
      </c>
      <c r="O582" s="20" t="s">
        <v>953</v>
      </c>
      <c r="P582" s="22"/>
      <c r="Q582" s="38" t="s">
        <v>2720</v>
      </c>
      <c r="R582" s="19"/>
      <c r="S582" s="19"/>
    </row>
    <row r="583" spans="2:19" s="20" customFormat="1" ht="17.100000000000001" hidden="1" customHeight="1" x14ac:dyDescent="0.3">
      <c r="B583" s="17">
        <v>45596</v>
      </c>
      <c r="C583" s="17">
        <v>45602</v>
      </c>
      <c r="D583" s="22" t="s">
        <v>2429</v>
      </c>
      <c r="E583" s="15" t="s">
        <v>2430</v>
      </c>
      <c r="F583" s="83" t="s">
        <v>25</v>
      </c>
      <c r="G583" s="83" t="s">
        <v>21</v>
      </c>
      <c r="H583" s="16" t="s">
        <v>2431</v>
      </c>
      <c r="I583" s="15">
        <v>1</v>
      </c>
      <c r="J583" s="15" t="s">
        <v>776</v>
      </c>
      <c r="K583" s="113" t="s">
        <v>952</v>
      </c>
      <c r="L583" s="19">
        <v>27600000</v>
      </c>
      <c r="M583" s="18">
        <f t="shared" ref="M583:M586" si="46">(L583*I583)+S583</f>
        <v>27600000</v>
      </c>
      <c r="N583" s="134">
        <v>45657</v>
      </c>
      <c r="O583" s="20" t="s">
        <v>953</v>
      </c>
      <c r="P583" s="22"/>
      <c r="Q583" s="38" t="s">
        <v>2720</v>
      </c>
      <c r="R583" s="19"/>
      <c r="S583" s="19"/>
    </row>
    <row r="584" spans="2:19" s="20" customFormat="1" ht="17.100000000000001" hidden="1" customHeight="1" x14ac:dyDescent="0.3">
      <c r="B584" s="17">
        <v>45597</v>
      </c>
      <c r="C584" s="17">
        <v>45604</v>
      </c>
      <c r="D584" s="22" t="s">
        <v>2432</v>
      </c>
      <c r="E584" s="15" t="s">
        <v>2433</v>
      </c>
      <c r="F584" s="83" t="s">
        <v>46</v>
      </c>
      <c r="G584" s="83" t="s">
        <v>21</v>
      </c>
      <c r="H584" s="16" t="s">
        <v>2112</v>
      </c>
      <c r="I584" s="15">
        <v>1</v>
      </c>
      <c r="J584" s="15" t="s">
        <v>49</v>
      </c>
      <c r="K584" s="29" t="s">
        <v>512</v>
      </c>
      <c r="L584" s="136">
        <v>10308000</v>
      </c>
      <c r="M584" s="137">
        <f t="shared" si="46"/>
        <v>25626000</v>
      </c>
      <c r="N584" s="158">
        <v>45626</v>
      </c>
      <c r="O584" s="20" t="s">
        <v>2380</v>
      </c>
      <c r="P584" s="22"/>
      <c r="Q584" s="38" t="s">
        <v>2767</v>
      </c>
      <c r="R584" s="19">
        <v>8842000</v>
      </c>
      <c r="S584" s="19">
        <v>15318000</v>
      </c>
    </row>
    <row r="585" spans="2:19" s="20" customFormat="1" ht="17.100000000000001" hidden="1" customHeight="1" x14ac:dyDescent="0.3">
      <c r="B585" s="17">
        <v>45601</v>
      </c>
      <c r="C585" s="17">
        <v>45604</v>
      </c>
      <c r="D585" s="22" t="s">
        <v>2437</v>
      </c>
      <c r="E585" s="15" t="s">
        <v>2434</v>
      </c>
      <c r="F585" s="83" t="s">
        <v>46</v>
      </c>
      <c r="G585" s="83" t="s">
        <v>21</v>
      </c>
      <c r="H585" s="16">
        <v>450</v>
      </c>
      <c r="I585" s="15">
        <v>2</v>
      </c>
      <c r="J585" s="15" t="s">
        <v>2435</v>
      </c>
      <c r="K585" s="84" t="s">
        <v>2436</v>
      </c>
      <c r="L585" s="43">
        <v>34117687</v>
      </c>
      <c r="M585" s="18">
        <f t="shared" si="46"/>
        <v>68235374</v>
      </c>
      <c r="N585" s="134">
        <v>45649</v>
      </c>
      <c r="O585" s="20" t="s">
        <v>2355</v>
      </c>
      <c r="P585" s="22"/>
      <c r="Q585" s="38" t="s">
        <v>2766</v>
      </c>
      <c r="R585" s="19"/>
      <c r="S585" s="19"/>
    </row>
    <row r="586" spans="2:19" s="20" customFormat="1" ht="17.100000000000001" hidden="1" customHeight="1" x14ac:dyDescent="0.3">
      <c r="B586" s="17">
        <v>45602</v>
      </c>
      <c r="C586" s="17">
        <v>45604</v>
      </c>
      <c r="D586" s="22" t="s">
        <v>2438</v>
      </c>
      <c r="E586" s="15" t="s">
        <v>2439</v>
      </c>
      <c r="F586" s="83" t="s">
        <v>46</v>
      </c>
      <c r="G586" s="83" t="s">
        <v>21</v>
      </c>
      <c r="H586" s="16" t="s">
        <v>2442</v>
      </c>
      <c r="I586" s="15">
        <v>1</v>
      </c>
      <c r="J586" s="15" t="s">
        <v>2440</v>
      </c>
      <c r="K586" s="113" t="s">
        <v>2441</v>
      </c>
      <c r="L586" s="19">
        <v>14464000</v>
      </c>
      <c r="M586" s="18">
        <f t="shared" si="46"/>
        <v>14464000</v>
      </c>
      <c r="N586" s="134">
        <v>45649</v>
      </c>
      <c r="P586" s="22"/>
      <c r="Q586" s="38" t="s">
        <v>2739</v>
      </c>
      <c r="R586" s="19"/>
      <c r="S586" s="19"/>
    </row>
    <row r="587" spans="2:19" s="20" customFormat="1" ht="17.100000000000001" hidden="1" customHeight="1" x14ac:dyDescent="0.3">
      <c r="B587" s="17">
        <v>45603</v>
      </c>
      <c r="C587" s="17">
        <v>45622</v>
      </c>
      <c r="D587" s="22" t="s">
        <v>2443</v>
      </c>
      <c r="E587" s="15" t="s">
        <v>2459</v>
      </c>
      <c r="F587" s="83" t="s">
        <v>46</v>
      </c>
      <c r="G587" s="83" t="s">
        <v>21</v>
      </c>
      <c r="H587" s="16">
        <v>550</v>
      </c>
      <c r="I587" s="15">
        <v>2</v>
      </c>
      <c r="J587" s="15" t="s">
        <v>2444</v>
      </c>
      <c r="K587" s="84" t="s">
        <v>2445</v>
      </c>
      <c r="L587" s="19">
        <v>36894205</v>
      </c>
      <c r="M587" s="18">
        <f t="shared" ref="M587" si="47">(L587*I587)+S587</f>
        <v>73788410</v>
      </c>
      <c r="N587" s="134">
        <v>45649</v>
      </c>
      <c r="O587" s="20" t="s">
        <v>2355</v>
      </c>
      <c r="P587" s="22"/>
      <c r="Q587" s="38" t="s">
        <v>2766</v>
      </c>
      <c r="R587" s="19"/>
      <c r="S587" s="19"/>
    </row>
    <row r="588" spans="2:19" s="20" customFormat="1" ht="17.100000000000001" hidden="1" customHeight="1" x14ac:dyDescent="0.3">
      <c r="B588" s="17">
        <v>45604</v>
      </c>
      <c r="C588" s="17">
        <v>45622</v>
      </c>
      <c r="D588" s="22" t="s">
        <v>2446</v>
      </c>
      <c r="E588" s="15" t="s">
        <v>2448</v>
      </c>
      <c r="F588" s="83" t="s">
        <v>46</v>
      </c>
      <c r="G588" s="83" t="s">
        <v>21</v>
      </c>
      <c r="H588" s="16">
        <v>500</v>
      </c>
      <c r="I588" s="15">
        <v>2</v>
      </c>
      <c r="J588" s="15" t="s">
        <v>2444</v>
      </c>
      <c r="K588" s="84" t="s">
        <v>2445</v>
      </c>
      <c r="L588" s="19">
        <v>34346759</v>
      </c>
      <c r="M588" s="18">
        <f t="shared" ref="M588:M589" si="48">(L588*I588)+S588</f>
        <v>68693518</v>
      </c>
      <c r="N588" s="134">
        <v>45649</v>
      </c>
      <c r="O588" s="20" t="s">
        <v>2355</v>
      </c>
      <c r="P588" s="22"/>
      <c r="Q588" s="38" t="s">
        <v>2766</v>
      </c>
      <c r="R588" s="19"/>
      <c r="S588" s="19"/>
    </row>
    <row r="589" spans="2:19" s="20" customFormat="1" ht="17.100000000000001" hidden="1" customHeight="1" x14ac:dyDescent="0.3">
      <c r="B589" s="17">
        <v>45604</v>
      </c>
      <c r="C589" s="17">
        <v>45622</v>
      </c>
      <c r="D589" s="22" t="s">
        <v>2447</v>
      </c>
      <c r="E589" s="15" t="s">
        <v>2449</v>
      </c>
      <c r="F589" s="83" t="s">
        <v>46</v>
      </c>
      <c r="G589" s="83" t="s">
        <v>21</v>
      </c>
      <c r="H589" s="16">
        <v>150</v>
      </c>
      <c r="I589" s="15">
        <v>2</v>
      </c>
      <c r="J589" s="15" t="s">
        <v>2444</v>
      </c>
      <c r="K589" s="84" t="s">
        <v>2445</v>
      </c>
      <c r="L589" s="43">
        <v>6820394</v>
      </c>
      <c r="M589" s="18">
        <f t="shared" si="48"/>
        <v>13640788</v>
      </c>
      <c r="N589" s="134">
        <v>45649</v>
      </c>
      <c r="O589" s="20" t="s">
        <v>2355</v>
      </c>
      <c r="P589" s="22"/>
      <c r="Q589" s="38" t="s">
        <v>2766</v>
      </c>
      <c r="R589" s="19"/>
      <c r="S589" s="19"/>
    </row>
    <row r="590" spans="2:19" s="20" customFormat="1" ht="17.100000000000001" hidden="1" customHeight="1" x14ac:dyDescent="0.3">
      <c r="B590" s="17">
        <v>45605</v>
      </c>
      <c r="C590" s="17">
        <v>45615</v>
      </c>
      <c r="D590" s="120" t="s">
        <v>2450</v>
      </c>
      <c r="E590" s="15" t="s">
        <v>2451</v>
      </c>
      <c r="F590" s="83" t="s">
        <v>46</v>
      </c>
      <c r="G590" s="83" t="s">
        <v>21</v>
      </c>
      <c r="H590" s="16">
        <v>400</v>
      </c>
      <c r="I590" s="15">
        <v>4</v>
      </c>
      <c r="J590" s="15" t="s">
        <v>1336</v>
      </c>
      <c r="K590" s="84" t="s">
        <v>2354</v>
      </c>
      <c r="L590" s="19">
        <v>25319213</v>
      </c>
      <c r="M590" s="18">
        <f t="shared" ref="M590:M828" si="49">(L590*I590)+S590</f>
        <v>101276852</v>
      </c>
      <c r="N590" s="17">
        <v>45652</v>
      </c>
      <c r="O590" s="20" t="s">
        <v>2355</v>
      </c>
      <c r="P590" s="22"/>
      <c r="Q590" s="38" t="s">
        <v>2766</v>
      </c>
      <c r="R590" s="19"/>
      <c r="S590" s="19"/>
    </row>
    <row r="591" spans="2:19" s="20" customFormat="1" ht="17.100000000000001" hidden="1" customHeight="1" x14ac:dyDescent="0.3">
      <c r="B591" s="17">
        <v>45607</v>
      </c>
      <c r="C591" s="17">
        <v>45618</v>
      </c>
      <c r="D591" s="22" t="s">
        <v>2401</v>
      </c>
      <c r="E591" s="15" t="s">
        <v>2452</v>
      </c>
      <c r="F591" s="83" t="s">
        <v>46</v>
      </c>
      <c r="G591" s="83" t="s">
        <v>21</v>
      </c>
      <c r="H591" s="16">
        <v>700</v>
      </c>
      <c r="I591" s="15">
        <v>4</v>
      </c>
      <c r="J591" s="15" t="s">
        <v>1213</v>
      </c>
      <c r="K591" s="84" t="s">
        <v>1810</v>
      </c>
      <c r="L591" s="19">
        <v>54510168</v>
      </c>
      <c r="M591" s="18">
        <f t="shared" si="49"/>
        <v>218040672</v>
      </c>
      <c r="N591" s="134">
        <v>45644</v>
      </c>
      <c r="O591" s="20" t="s">
        <v>2355</v>
      </c>
      <c r="P591" s="22" t="s">
        <v>2540</v>
      </c>
      <c r="Q591" s="38" t="s">
        <v>2766</v>
      </c>
      <c r="R591" s="19"/>
      <c r="S591" s="19"/>
    </row>
    <row r="592" spans="2:19" s="20" customFormat="1" ht="17.100000000000001" hidden="1" customHeight="1" x14ac:dyDescent="0.3">
      <c r="B592" s="17">
        <v>45609</v>
      </c>
      <c r="C592" s="17">
        <v>45611</v>
      </c>
      <c r="D592" s="22" t="s">
        <v>2454</v>
      </c>
      <c r="E592" s="15" t="s">
        <v>2455</v>
      </c>
      <c r="F592" s="83" t="s">
        <v>46</v>
      </c>
      <c r="G592" s="83" t="s">
        <v>21</v>
      </c>
      <c r="H592" s="16">
        <v>300</v>
      </c>
      <c r="I592" s="15">
        <v>2</v>
      </c>
      <c r="J592" s="15" t="s">
        <v>1213</v>
      </c>
      <c r="K592" s="84" t="s">
        <v>585</v>
      </c>
      <c r="L592" s="19">
        <v>16193727</v>
      </c>
      <c r="M592" s="18">
        <f t="shared" ref="M592" si="50">(L592*I592)+S592</f>
        <v>32387454</v>
      </c>
      <c r="N592" s="134">
        <v>45644</v>
      </c>
      <c r="O592" s="20" t="s">
        <v>2355</v>
      </c>
      <c r="P592" s="22" t="s">
        <v>2540</v>
      </c>
      <c r="Q592" s="38" t="s">
        <v>2766</v>
      </c>
      <c r="R592" s="19"/>
      <c r="S592" s="19"/>
    </row>
    <row r="593" spans="2:19" s="20" customFormat="1" ht="17.100000000000001" hidden="1" customHeight="1" x14ac:dyDescent="0.3">
      <c r="B593" s="17">
        <v>45609</v>
      </c>
      <c r="C593" s="17">
        <v>45616</v>
      </c>
      <c r="D593" s="22" t="s">
        <v>2456</v>
      </c>
      <c r="E593" s="15" t="s">
        <v>2470</v>
      </c>
      <c r="F593" s="15" t="s">
        <v>217</v>
      </c>
      <c r="G593" s="83" t="s">
        <v>21</v>
      </c>
      <c r="H593" s="16">
        <v>200</v>
      </c>
      <c r="I593" s="15">
        <v>1</v>
      </c>
      <c r="J593" s="15" t="s">
        <v>2457</v>
      </c>
      <c r="K593" s="29" t="s">
        <v>1322</v>
      </c>
      <c r="L593" s="136">
        <v>9100000</v>
      </c>
      <c r="M593" s="137">
        <f t="shared" si="49"/>
        <v>9100000</v>
      </c>
      <c r="N593" s="134">
        <v>45626</v>
      </c>
      <c r="O593" s="20" t="s">
        <v>2458</v>
      </c>
      <c r="P593" s="22" t="s">
        <v>2502</v>
      </c>
      <c r="Q593" s="38" t="s">
        <v>2771</v>
      </c>
      <c r="R593" s="19">
        <v>1500000</v>
      </c>
      <c r="S593" s="19"/>
    </row>
    <row r="594" spans="2:19" s="20" customFormat="1" ht="17.100000000000001" hidden="1" customHeight="1" x14ac:dyDescent="0.3">
      <c r="B594" s="17">
        <v>45615</v>
      </c>
      <c r="C594" s="17">
        <v>45621</v>
      </c>
      <c r="D594" s="22" t="s">
        <v>2462</v>
      </c>
      <c r="E594" s="15" t="s">
        <v>2463</v>
      </c>
      <c r="F594" s="83" t="s">
        <v>46</v>
      </c>
      <c r="G594" s="83" t="s">
        <v>21</v>
      </c>
      <c r="H594" s="16">
        <v>450</v>
      </c>
      <c r="I594" s="15">
        <v>2</v>
      </c>
      <c r="J594" s="15" t="s">
        <v>1159</v>
      </c>
      <c r="K594" s="84" t="s">
        <v>2464</v>
      </c>
      <c r="L594" s="19">
        <v>29956412</v>
      </c>
      <c r="M594" s="18">
        <f t="shared" si="49"/>
        <v>59912824</v>
      </c>
      <c r="N594" s="134">
        <v>45649</v>
      </c>
      <c r="O594" s="20" t="s">
        <v>2355</v>
      </c>
      <c r="P594" s="22"/>
      <c r="Q594" s="38" t="s">
        <v>2766</v>
      </c>
      <c r="R594" s="19"/>
      <c r="S594" s="19"/>
    </row>
    <row r="595" spans="2:19" s="20" customFormat="1" ht="17.100000000000001" hidden="1" customHeight="1" x14ac:dyDescent="0.3">
      <c r="B595" s="17">
        <v>45615</v>
      </c>
      <c r="C595" s="17">
        <v>45729</v>
      </c>
      <c r="D595" s="22" t="s">
        <v>2468</v>
      </c>
      <c r="E595" s="15" t="s">
        <v>2506</v>
      </c>
      <c r="F595" s="15" t="s">
        <v>25</v>
      </c>
      <c r="G595" s="15" t="s">
        <v>21</v>
      </c>
      <c r="H595" s="16" t="s">
        <v>2469</v>
      </c>
      <c r="I595" s="15">
        <v>1</v>
      </c>
      <c r="J595" s="15" t="s">
        <v>1486</v>
      </c>
      <c r="K595" s="113" t="s">
        <v>1968</v>
      </c>
      <c r="L595" s="19">
        <v>20420112</v>
      </c>
      <c r="M595" s="18">
        <f t="shared" si="49"/>
        <v>20420112</v>
      </c>
      <c r="N595" s="86">
        <v>45657</v>
      </c>
      <c r="O595" s="20" t="s">
        <v>1969</v>
      </c>
      <c r="P595" s="22"/>
      <c r="Q595" s="38" t="s">
        <v>2729</v>
      </c>
      <c r="R595" s="19"/>
      <c r="S595" s="19"/>
    </row>
    <row r="596" spans="2:19" s="20" customFormat="1" ht="17.100000000000001" hidden="1" customHeight="1" x14ac:dyDescent="0.3">
      <c r="B596" s="17">
        <v>45616</v>
      </c>
      <c r="C596" s="17">
        <v>45622</v>
      </c>
      <c r="D596" s="22" t="s">
        <v>2465</v>
      </c>
      <c r="E596" s="15" t="s">
        <v>2466</v>
      </c>
      <c r="F596" s="83" t="s">
        <v>46</v>
      </c>
      <c r="G596" s="83" t="s">
        <v>21</v>
      </c>
      <c r="H596" s="16" t="s">
        <v>2467</v>
      </c>
      <c r="I596" s="15">
        <v>1</v>
      </c>
      <c r="J596" s="15" t="s">
        <v>83</v>
      </c>
      <c r="K596" s="29" t="s">
        <v>461</v>
      </c>
      <c r="L596" s="19">
        <v>66350000</v>
      </c>
      <c r="M596" s="18">
        <f>(L596*I596)+S596-17000</f>
        <v>75800000</v>
      </c>
      <c r="N596" s="158">
        <v>45626</v>
      </c>
      <c r="O596" s="20" t="s">
        <v>2298</v>
      </c>
      <c r="P596" s="22"/>
      <c r="Q596" s="38" t="s">
        <v>2758</v>
      </c>
      <c r="R596" s="19">
        <v>9736000</v>
      </c>
      <c r="S596" s="19">
        <v>9467000</v>
      </c>
    </row>
    <row r="597" spans="2:19" s="20" customFormat="1" ht="17.100000000000001" hidden="1" customHeight="1" x14ac:dyDescent="0.3">
      <c r="B597" s="17">
        <v>45616</v>
      </c>
      <c r="C597" s="17">
        <v>45621</v>
      </c>
      <c r="D597" s="22" t="s">
        <v>2504</v>
      </c>
      <c r="E597" s="15" t="s">
        <v>2505</v>
      </c>
      <c r="F597" s="83" t="s">
        <v>46</v>
      </c>
      <c r="G597" s="83" t="s">
        <v>21</v>
      </c>
      <c r="H597" s="16" t="s">
        <v>2474</v>
      </c>
      <c r="I597" s="15">
        <v>1</v>
      </c>
      <c r="J597" s="15" t="s">
        <v>83</v>
      </c>
      <c r="K597" s="29" t="s">
        <v>461</v>
      </c>
      <c r="L597" s="136">
        <v>14432000</v>
      </c>
      <c r="M597" s="137">
        <f t="shared" ref="M597" si="51">(L597*I597)+S597</f>
        <v>21766000</v>
      </c>
      <c r="N597" s="158">
        <v>45626</v>
      </c>
      <c r="O597" s="20" t="s">
        <v>2298</v>
      </c>
      <c r="P597" s="22"/>
      <c r="Q597" s="38" t="s">
        <v>2758</v>
      </c>
      <c r="R597" s="19">
        <v>7545300</v>
      </c>
      <c r="S597" s="19">
        <v>7334000</v>
      </c>
    </row>
    <row r="598" spans="2:19" s="20" customFormat="1" ht="17.100000000000001" hidden="1" customHeight="1" x14ac:dyDescent="0.3">
      <c r="B598" s="17">
        <v>45617</v>
      </c>
      <c r="C598" s="17">
        <v>45632</v>
      </c>
      <c r="D598" s="22" t="s">
        <v>2471</v>
      </c>
      <c r="E598" s="15" t="s">
        <v>2472</v>
      </c>
      <c r="F598" s="83" t="s">
        <v>46</v>
      </c>
      <c r="G598" s="83" t="s">
        <v>21</v>
      </c>
      <c r="H598" s="16">
        <v>250</v>
      </c>
      <c r="I598" s="15">
        <v>4</v>
      </c>
      <c r="J598" s="15" t="s">
        <v>1159</v>
      </c>
      <c r="K598" s="84" t="s">
        <v>1278</v>
      </c>
      <c r="L598" s="19">
        <v>13170101</v>
      </c>
      <c r="M598" s="18">
        <f t="shared" ref="M598:M599" si="52">(L598*I598)+S598</f>
        <v>52680404</v>
      </c>
      <c r="N598" s="134">
        <v>45649</v>
      </c>
      <c r="O598" s="20" t="s">
        <v>2355</v>
      </c>
      <c r="P598" s="22"/>
      <c r="Q598" s="38" t="s">
        <v>2766</v>
      </c>
      <c r="R598" s="19"/>
      <c r="S598" s="19"/>
    </row>
    <row r="599" spans="2:19" s="20" customFormat="1" ht="17.100000000000001" hidden="1" customHeight="1" x14ac:dyDescent="0.3">
      <c r="B599" s="17">
        <v>45621</v>
      </c>
      <c r="C599" s="17">
        <v>45629</v>
      </c>
      <c r="D599" s="22" t="s">
        <v>2450</v>
      </c>
      <c r="E599" s="15" t="s">
        <v>2503</v>
      </c>
      <c r="F599" s="83" t="s">
        <v>46</v>
      </c>
      <c r="G599" s="83" t="s">
        <v>21</v>
      </c>
      <c r="H599" s="16">
        <v>400</v>
      </c>
      <c r="I599" s="15">
        <v>4</v>
      </c>
      <c r="J599" s="15" t="s">
        <v>1336</v>
      </c>
      <c r="K599" s="84" t="s">
        <v>2493</v>
      </c>
      <c r="L599" s="19">
        <v>25319213</v>
      </c>
      <c r="M599" s="18">
        <f t="shared" si="52"/>
        <v>101276852</v>
      </c>
      <c r="N599" s="17">
        <v>45652</v>
      </c>
      <c r="O599" s="20" t="s">
        <v>2355</v>
      </c>
      <c r="P599" s="22"/>
      <c r="Q599" s="38" t="s">
        <v>2766</v>
      </c>
      <c r="R599" s="19"/>
      <c r="S599" s="19"/>
    </row>
    <row r="600" spans="2:19" s="20" customFormat="1" ht="17.100000000000001" hidden="1" customHeight="1" x14ac:dyDescent="0.3">
      <c r="B600" s="17">
        <v>45621</v>
      </c>
      <c r="C600" s="17">
        <v>45638</v>
      </c>
      <c r="D600" s="22" t="s">
        <v>2475</v>
      </c>
      <c r="E600" s="15" t="s">
        <v>2489</v>
      </c>
      <c r="F600" s="15" t="s">
        <v>25</v>
      </c>
      <c r="G600" s="15" t="s">
        <v>21</v>
      </c>
      <c r="H600" s="16" t="s">
        <v>2476</v>
      </c>
      <c r="I600" s="15">
        <v>1</v>
      </c>
      <c r="J600" s="15" t="s">
        <v>2477</v>
      </c>
      <c r="K600" s="113" t="s">
        <v>2478</v>
      </c>
      <c r="L600" s="19">
        <v>97063000</v>
      </c>
      <c r="M600" s="18">
        <f>(L600*I600)+S600</f>
        <v>106063000</v>
      </c>
      <c r="N600" s="134">
        <v>45653</v>
      </c>
      <c r="O600" s="20" t="s">
        <v>2479</v>
      </c>
      <c r="P600" s="22"/>
      <c r="Q600" s="38" t="s">
        <v>2772</v>
      </c>
      <c r="R600" s="19"/>
      <c r="S600" s="19">
        <v>9000000</v>
      </c>
    </row>
    <row r="601" spans="2:19" s="20" customFormat="1" ht="17.100000000000001" hidden="1" customHeight="1" x14ac:dyDescent="0.3">
      <c r="B601" s="17">
        <v>45624</v>
      </c>
      <c r="C601" s="17">
        <v>45625</v>
      </c>
      <c r="D601" s="22" t="s">
        <v>2486</v>
      </c>
      <c r="E601" s="15" t="s">
        <v>2487</v>
      </c>
      <c r="F601" s="83" t="s">
        <v>46</v>
      </c>
      <c r="G601" s="83" t="s">
        <v>21</v>
      </c>
      <c r="H601" s="16">
        <v>150</v>
      </c>
      <c r="I601" s="15">
        <v>2</v>
      </c>
      <c r="J601" s="15" t="s">
        <v>1213</v>
      </c>
      <c r="K601" s="84" t="s">
        <v>585</v>
      </c>
      <c r="L601" s="19">
        <v>6820394</v>
      </c>
      <c r="M601" s="18">
        <f t="shared" si="49"/>
        <v>13640788</v>
      </c>
      <c r="N601" s="134">
        <v>45644</v>
      </c>
      <c r="O601" s="20" t="s">
        <v>2355</v>
      </c>
      <c r="P601" s="22" t="s">
        <v>2540</v>
      </c>
      <c r="Q601" s="38" t="s">
        <v>2766</v>
      </c>
      <c r="R601" s="19"/>
      <c r="S601" s="19"/>
    </row>
    <row r="602" spans="2:19" s="20" customFormat="1" ht="17.100000000000001" hidden="1" customHeight="1" x14ac:dyDescent="0.3">
      <c r="B602" s="17">
        <v>45628</v>
      </c>
      <c r="C602" s="17">
        <v>45631</v>
      </c>
      <c r="D602" s="22" t="s">
        <v>2488</v>
      </c>
      <c r="E602" s="15" t="s">
        <v>2490</v>
      </c>
      <c r="F602" s="83" t="s">
        <v>46</v>
      </c>
      <c r="G602" s="83" t="s">
        <v>21</v>
      </c>
      <c r="H602" s="16" t="s">
        <v>2491</v>
      </c>
      <c r="I602" s="15">
        <v>1</v>
      </c>
      <c r="J602" s="15" t="s">
        <v>2492</v>
      </c>
      <c r="K602" s="29" t="s">
        <v>512</v>
      </c>
      <c r="L602" s="136">
        <v>4224000</v>
      </c>
      <c r="M602" s="137">
        <f>(L602*I602)+S602</f>
        <v>11048000</v>
      </c>
      <c r="N602" s="134">
        <v>45626</v>
      </c>
      <c r="O602" s="20" t="s">
        <v>2380</v>
      </c>
      <c r="P602" s="22"/>
      <c r="Q602" s="38" t="s">
        <v>2767</v>
      </c>
      <c r="R602" s="19">
        <v>4092000</v>
      </c>
      <c r="S602" s="19">
        <v>6824000</v>
      </c>
    </row>
    <row r="603" spans="2:19" s="20" customFormat="1" ht="17.100000000000001" hidden="1" customHeight="1" x14ac:dyDescent="0.3">
      <c r="B603" s="17">
        <v>45635</v>
      </c>
      <c r="C603" s="17">
        <v>45642</v>
      </c>
      <c r="D603" s="22" t="s">
        <v>2507</v>
      </c>
      <c r="E603" s="15" t="s">
        <v>2508</v>
      </c>
      <c r="F603" s="83" t="s">
        <v>46</v>
      </c>
      <c r="G603" s="83" t="s">
        <v>21</v>
      </c>
      <c r="H603" s="16">
        <v>600</v>
      </c>
      <c r="I603" s="15">
        <v>4</v>
      </c>
      <c r="J603" s="15" t="s">
        <v>1336</v>
      </c>
      <c r="K603" s="84" t="s">
        <v>2493</v>
      </c>
      <c r="L603" s="19">
        <v>45724082</v>
      </c>
      <c r="M603" s="18">
        <f t="shared" ref="M603:M606" si="53">(L603*I603)+S603</f>
        <v>182896328</v>
      </c>
      <c r="N603" s="17">
        <v>45652</v>
      </c>
      <c r="O603" s="20" t="s">
        <v>2355</v>
      </c>
      <c r="P603" s="22"/>
      <c r="Q603" s="38" t="s">
        <v>2766</v>
      </c>
      <c r="R603" s="19"/>
      <c r="S603" s="19"/>
    </row>
    <row r="604" spans="2:19" s="20" customFormat="1" ht="17.100000000000001" hidden="1" customHeight="1" x14ac:dyDescent="0.3">
      <c r="B604" s="17">
        <v>45637</v>
      </c>
      <c r="C604" s="17">
        <v>45665</v>
      </c>
      <c r="D604" s="22" t="s">
        <v>2518</v>
      </c>
      <c r="E604" s="15" t="s">
        <v>2545</v>
      </c>
      <c r="F604" s="83" t="s">
        <v>46</v>
      </c>
      <c r="G604" s="83" t="s">
        <v>21</v>
      </c>
      <c r="H604" s="16">
        <v>800</v>
      </c>
      <c r="I604" s="15">
        <v>4</v>
      </c>
      <c r="J604" s="15" t="s">
        <v>1285</v>
      </c>
      <c r="K604" s="84" t="s">
        <v>2497</v>
      </c>
      <c r="L604" s="19">
        <v>68305936</v>
      </c>
      <c r="M604" s="18">
        <f t="shared" si="53"/>
        <v>273223744</v>
      </c>
      <c r="N604" s="134">
        <v>45645</v>
      </c>
      <c r="O604" s="20" t="s">
        <v>2355</v>
      </c>
      <c r="P604" s="22"/>
      <c r="Q604" s="38" t="s">
        <v>2766</v>
      </c>
      <c r="R604" s="19"/>
      <c r="S604" s="19"/>
    </row>
    <row r="605" spans="2:19" s="20" customFormat="1" ht="17.100000000000001" hidden="1" customHeight="1" x14ac:dyDescent="0.3">
      <c r="B605" s="17">
        <v>45638</v>
      </c>
      <c r="C605" s="17">
        <v>45649</v>
      </c>
      <c r="D605" s="22" t="s">
        <v>2494</v>
      </c>
      <c r="E605" s="15" t="s">
        <v>2523</v>
      </c>
      <c r="F605" s="83" t="s">
        <v>46</v>
      </c>
      <c r="G605" s="83" t="s">
        <v>21</v>
      </c>
      <c r="H605" s="16">
        <v>700</v>
      </c>
      <c r="I605" s="15">
        <v>4</v>
      </c>
      <c r="J605" s="15" t="s">
        <v>2495</v>
      </c>
      <c r="K605" s="84" t="s">
        <v>2201</v>
      </c>
      <c r="L605" s="19">
        <v>54510168</v>
      </c>
      <c r="M605" s="18">
        <f t="shared" si="53"/>
        <v>218040672</v>
      </c>
      <c r="N605" s="134">
        <v>45649</v>
      </c>
      <c r="O605" s="20" t="s">
        <v>2355</v>
      </c>
      <c r="P605" s="22"/>
      <c r="Q605" s="38" t="s">
        <v>2766</v>
      </c>
      <c r="R605" s="19"/>
      <c r="S605" s="19"/>
    </row>
    <row r="606" spans="2:19" s="20" customFormat="1" ht="17.100000000000001" hidden="1" customHeight="1" x14ac:dyDescent="0.3">
      <c r="B606" s="17">
        <v>45638</v>
      </c>
      <c r="C606" s="17">
        <v>45640</v>
      </c>
      <c r="D606" s="22" t="s">
        <v>2486</v>
      </c>
      <c r="E606" s="15" t="s">
        <v>2526</v>
      </c>
      <c r="F606" s="83" t="s">
        <v>46</v>
      </c>
      <c r="G606" s="83" t="s">
        <v>21</v>
      </c>
      <c r="H606" s="16">
        <v>150</v>
      </c>
      <c r="I606" s="15">
        <v>2</v>
      </c>
      <c r="J606" s="15" t="s">
        <v>1213</v>
      </c>
      <c r="K606" s="84" t="s">
        <v>1810</v>
      </c>
      <c r="L606" s="19">
        <v>6820394</v>
      </c>
      <c r="M606" s="18">
        <f t="shared" si="53"/>
        <v>13640788</v>
      </c>
      <c r="N606" s="134">
        <v>45644</v>
      </c>
      <c r="O606" s="20" t="s">
        <v>2355</v>
      </c>
      <c r="P606" s="22" t="s">
        <v>2540</v>
      </c>
      <c r="Q606" s="38" t="s">
        <v>2766</v>
      </c>
      <c r="R606" s="19"/>
      <c r="S606" s="19"/>
    </row>
    <row r="607" spans="2:19" s="20" customFormat="1" ht="17.100000000000001" hidden="1" customHeight="1" x14ac:dyDescent="0.3">
      <c r="B607" s="17">
        <v>45639</v>
      </c>
      <c r="C607" s="17">
        <v>45640</v>
      </c>
      <c r="D607" s="22" t="s">
        <v>2509</v>
      </c>
      <c r="E607" s="15" t="s">
        <v>2522</v>
      </c>
      <c r="F607" s="83" t="s">
        <v>46</v>
      </c>
      <c r="G607" s="83" t="s">
        <v>21</v>
      </c>
      <c r="H607" s="16">
        <v>200</v>
      </c>
      <c r="I607" s="15">
        <v>2</v>
      </c>
      <c r="J607" s="15" t="s">
        <v>2510</v>
      </c>
      <c r="K607" s="84" t="s">
        <v>3436</v>
      </c>
      <c r="L607" s="19">
        <v>10235655</v>
      </c>
      <c r="M607" s="18">
        <f t="shared" ref="M607:M609" si="54">(L607*I607)+S607</f>
        <v>20471310</v>
      </c>
      <c r="N607" s="134">
        <v>45649</v>
      </c>
      <c r="O607" s="20" t="s">
        <v>2355</v>
      </c>
      <c r="P607" s="22"/>
      <c r="Q607" s="38" t="s">
        <v>2766</v>
      </c>
      <c r="R607" s="19"/>
      <c r="S607" s="19"/>
    </row>
    <row r="608" spans="2:19" s="20" customFormat="1" ht="17.100000000000001" hidden="1" customHeight="1" x14ac:dyDescent="0.3">
      <c r="B608" s="17">
        <v>45640</v>
      </c>
      <c r="C608" s="17">
        <v>45646</v>
      </c>
      <c r="D608" s="22" t="s">
        <v>1335</v>
      </c>
      <c r="E608" s="15" t="s">
        <v>2524</v>
      </c>
      <c r="F608" s="83" t="s">
        <v>46</v>
      </c>
      <c r="G608" s="83" t="s">
        <v>21</v>
      </c>
      <c r="H608" s="16">
        <v>200</v>
      </c>
      <c r="I608" s="15">
        <v>2</v>
      </c>
      <c r="J608" s="15" t="s">
        <v>1336</v>
      </c>
      <c r="K608" s="84" t="s">
        <v>2493</v>
      </c>
      <c r="L608" s="19">
        <v>10235655</v>
      </c>
      <c r="M608" s="18">
        <f t="shared" si="54"/>
        <v>20471310</v>
      </c>
      <c r="N608" s="17">
        <v>45652</v>
      </c>
      <c r="O608" s="20" t="s">
        <v>2355</v>
      </c>
      <c r="P608" s="22"/>
      <c r="Q608" s="38" t="s">
        <v>2766</v>
      </c>
      <c r="R608" s="19"/>
      <c r="S608" s="19"/>
    </row>
    <row r="609" spans="2:27" s="20" customFormat="1" ht="17.100000000000001" hidden="1" customHeight="1" x14ac:dyDescent="0.3">
      <c r="B609" s="17">
        <v>45641</v>
      </c>
      <c r="C609" s="17">
        <v>45646</v>
      </c>
      <c r="D609" s="22" t="s">
        <v>2511</v>
      </c>
      <c r="E609" s="15" t="s">
        <v>2525</v>
      </c>
      <c r="F609" s="83" t="s">
        <v>46</v>
      </c>
      <c r="G609" s="83" t="s">
        <v>21</v>
      </c>
      <c r="H609" s="16">
        <v>400</v>
      </c>
      <c r="I609" s="15">
        <v>4</v>
      </c>
      <c r="J609" s="15" t="s">
        <v>1336</v>
      </c>
      <c r="K609" s="84" t="s">
        <v>2493</v>
      </c>
      <c r="L609" s="19">
        <v>25319213</v>
      </c>
      <c r="M609" s="18">
        <f t="shared" si="54"/>
        <v>101276852</v>
      </c>
      <c r="N609" s="17">
        <v>45652</v>
      </c>
      <c r="O609" s="20" t="s">
        <v>2355</v>
      </c>
      <c r="P609" s="22"/>
      <c r="Q609" s="38" t="s">
        <v>2766</v>
      </c>
      <c r="R609" s="19"/>
      <c r="S609" s="19"/>
    </row>
    <row r="610" spans="2:27" s="20" customFormat="1" ht="17.100000000000001" hidden="1" customHeight="1" x14ac:dyDescent="0.3">
      <c r="B610" s="81">
        <v>45644</v>
      </c>
      <c r="C610" s="81">
        <v>45648</v>
      </c>
      <c r="D610" s="59" t="s">
        <v>2528</v>
      </c>
      <c r="E610" s="15" t="s">
        <v>2527</v>
      </c>
      <c r="F610" s="83" t="s">
        <v>46</v>
      </c>
      <c r="G610" s="83" t="s">
        <v>21</v>
      </c>
      <c r="H610" s="16" t="s">
        <v>2532</v>
      </c>
      <c r="I610" s="15">
        <v>2</v>
      </c>
      <c r="J610" s="15" t="s">
        <v>2530</v>
      </c>
      <c r="K610" s="165" t="s">
        <v>2531</v>
      </c>
      <c r="L610" s="19">
        <v>15960000</v>
      </c>
      <c r="M610" s="18">
        <f t="shared" ref="M610:M613" si="55">(L610*I610)+S610</f>
        <v>34920000</v>
      </c>
      <c r="N610" s="134">
        <v>45688</v>
      </c>
      <c r="O610" s="20" t="s">
        <v>2534</v>
      </c>
      <c r="P610" s="22"/>
      <c r="Q610" s="38" t="s">
        <v>2773</v>
      </c>
      <c r="R610" s="19">
        <v>3102000</v>
      </c>
      <c r="S610" s="19">
        <v>3000000</v>
      </c>
    </row>
    <row r="611" spans="2:27" s="20" customFormat="1" ht="17.100000000000001" hidden="1" customHeight="1" x14ac:dyDescent="0.3">
      <c r="B611" s="81">
        <v>45644</v>
      </c>
      <c r="C611" s="81">
        <v>45648</v>
      </c>
      <c r="D611" s="59" t="s">
        <v>2529</v>
      </c>
      <c r="E611" s="15" t="s">
        <v>2527</v>
      </c>
      <c r="F611" s="83" t="s">
        <v>46</v>
      </c>
      <c r="G611" s="83" t="s">
        <v>21</v>
      </c>
      <c r="H611" s="16" t="s">
        <v>2533</v>
      </c>
      <c r="I611" s="15">
        <v>2</v>
      </c>
      <c r="J611" s="15" t="s">
        <v>2530</v>
      </c>
      <c r="K611" s="165" t="s">
        <v>2531</v>
      </c>
      <c r="L611" s="19">
        <v>7480000</v>
      </c>
      <c r="M611" s="18">
        <f t="shared" si="55"/>
        <v>16960000</v>
      </c>
      <c r="N611" s="134">
        <v>45688</v>
      </c>
      <c r="O611" s="20" t="s">
        <v>2534</v>
      </c>
      <c r="P611" s="22"/>
      <c r="Q611" s="38" t="s">
        <v>2773</v>
      </c>
      <c r="R611" s="19">
        <v>2078000</v>
      </c>
      <c r="S611" s="19">
        <v>2000000</v>
      </c>
    </row>
    <row r="612" spans="2:27" s="20" customFormat="1" ht="17.100000000000001" hidden="1" customHeight="1" x14ac:dyDescent="0.3">
      <c r="B612" s="81">
        <v>45646</v>
      </c>
      <c r="C612" s="81">
        <v>45654</v>
      </c>
      <c r="D612" s="59" t="s">
        <v>2549</v>
      </c>
      <c r="E612" s="15" t="s">
        <v>2535</v>
      </c>
      <c r="F612" s="83" t="s">
        <v>46</v>
      </c>
      <c r="G612" s="83" t="s">
        <v>21</v>
      </c>
      <c r="H612" s="16" t="s">
        <v>2536</v>
      </c>
      <c r="I612" s="15">
        <v>2</v>
      </c>
      <c r="J612" s="15" t="s">
        <v>2530</v>
      </c>
      <c r="K612" s="165" t="s">
        <v>2531</v>
      </c>
      <c r="L612" s="19">
        <v>82920000</v>
      </c>
      <c r="M612" s="18">
        <f t="shared" si="55"/>
        <v>176640000</v>
      </c>
      <c r="N612" s="134">
        <v>45688</v>
      </c>
      <c r="O612" s="20" t="s">
        <v>2534</v>
      </c>
      <c r="P612" s="22"/>
      <c r="Q612" s="38" t="s">
        <v>2773</v>
      </c>
      <c r="R612" s="19">
        <v>11444000</v>
      </c>
      <c r="S612" s="19">
        <v>10800000</v>
      </c>
    </row>
    <row r="613" spans="2:27" s="20" customFormat="1" ht="17.100000000000001" hidden="1" customHeight="1" x14ac:dyDescent="0.3">
      <c r="B613" s="81">
        <v>45646</v>
      </c>
      <c r="C613" s="17">
        <v>45652</v>
      </c>
      <c r="D613" s="22" t="s">
        <v>2537</v>
      </c>
      <c r="E613" s="15" t="s">
        <v>2538</v>
      </c>
      <c r="F613" s="83" t="s">
        <v>46</v>
      </c>
      <c r="G613" s="83" t="s">
        <v>21</v>
      </c>
      <c r="H613" s="16">
        <v>700</v>
      </c>
      <c r="I613" s="15">
        <v>4</v>
      </c>
      <c r="J613" s="15" t="s">
        <v>1213</v>
      </c>
      <c r="K613" s="84" t="s">
        <v>1810</v>
      </c>
      <c r="L613" s="19">
        <v>54510168</v>
      </c>
      <c r="M613" s="18">
        <f t="shared" si="55"/>
        <v>218040672</v>
      </c>
      <c r="N613" s="134">
        <v>45644</v>
      </c>
      <c r="O613" s="20" t="s">
        <v>2355</v>
      </c>
      <c r="P613" s="22" t="s">
        <v>2540</v>
      </c>
      <c r="Q613" s="38" t="s">
        <v>2766</v>
      </c>
      <c r="R613" s="19"/>
      <c r="S613" s="19"/>
    </row>
    <row r="614" spans="2:27" s="20" customFormat="1" ht="17.100000000000001" hidden="1" customHeight="1" x14ac:dyDescent="0.3">
      <c r="B614" s="17">
        <v>45645</v>
      </c>
      <c r="C614" s="17">
        <v>45659</v>
      </c>
      <c r="D614" s="22" t="s">
        <v>2542</v>
      </c>
      <c r="E614" s="15" t="s">
        <v>2543</v>
      </c>
      <c r="F614" s="15" t="s">
        <v>25</v>
      </c>
      <c r="G614" s="15" t="s">
        <v>21</v>
      </c>
      <c r="H614" s="16" t="s">
        <v>2544</v>
      </c>
      <c r="I614" s="15">
        <v>1</v>
      </c>
      <c r="J614" s="15" t="s">
        <v>1486</v>
      </c>
      <c r="K614" s="173" t="s">
        <v>2992</v>
      </c>
      <c r="L614" s="19">
        <v>113825000</v>
      </c>
      <c r="M614" s="18">
        <f t="shared" si="49"/>
        <v>113825000</v>
      </c>
      <c r="N614" s="134">
        <v>45840</v>
      </c>
      <c r="P614" s="22" t="s">
        <v>2860</v>
      </c>
      <c r="Q614" s="38" t="s">
        <v>2774</v>
      </c>
      <c r="R614" s="19"/>
      <c r="S614" s="19"/>
      <c r="V614" s="20" t="s">
        <v>2888</v>
      </c>
      <c r="W614" s="20" t="s">
        <v>2886</v>
      </c>
      <c r="X614" s="20" t="s">
        <v>2887</v>
      </c>
      <c r="Y614" s="20" t="s">
        <v>2900</v>
      </c>
      <c r="Z614" s="20" t="s">
        <v>2919</v>
      </c>
      <c r="AA614" s="20" t="s">
        <v>2960</v>
      </c>
    </row>
    <row r="615" spans="2:27" s="20" customFormat="1" ht="17.100000000000001" hidden="1" customHeight="1" x14ac:dyDescent="0.3">
      <c r="B615" s="17">
        <v>45659</v>
      </c>
      <c r="C615" s="17">
        <v>45659</v>
      </c>
      <c r="D615" s="22" t="s">
        <v>2546</v>
      </c>
      <c r="E615" s="15" t="s">
        <v>2547</v>
      </c>
      <c r="F615" s="15" t="s">
        <v>25</v>
      </c>
      <c r="G615" s="15" t="s">
        <v>21</v>
      </c>
      <c r="H615" s="16" t="s">
        <v>189</v>
      </c>
      <c r="I615" s="15">
        <v>1</v>
      </c>
      <c r="J615" s="15" t="s">
        <v>2548</v>
      </c>
      <c r="K615" s="29" t="s">
        <v>2872</v>
      </c>
      <c r="L615" s="19">
        <v>22170000</v>
      </c>
      <c r="M615" s="18">
        <f t="shared" si="49"/>
        <v>22170000</v>
      </c>
      <c r="N615" s="134">
        <v>45747</v>
      </c>
      <c r="P615" s="22"/>
      <c r="Q615" s="38" t="s">
        <v>2775</v>
      </c>
      <c r="R615" s="19"/>
      <c r="S615" s="19"/>
    </row>
    <row r="616" spans="2:27" s="20" customFormat="1" ht="17.100000000000001" hidden="1" customHeight="1" x14ac:dyDescent="0.3">
      <c r="B616" s="17">
        <v>45667</v>
      </c>
      <c r="C616" s="17">
        <v>45766</v>
      </c>
      <c r="D616" s="22" t="s">
        <v>2550</v>
      </c>
      <c r="E616" s="15" t="s">
        <v>2552</v>
      </c>
      <c r="F616" s="15" t="s">
        <v>25</v>
      </c>
      <c r="G616" s="15" t="s">
        <v>21</v>
      </c>
      <c r="H616" s="16" t="s">
        <v>2554</v>
      </c>
      <c r="I616" s="15">
        <v>1</v>
      </c>
      <c r="J616" s="15" t="s">
        <v>2557</v>
      </c>
      <c r="K616" s="29" t="s">
        <v>2556</v>
      </c>
      <c r="L616" s="19">
        <v>321000000</v>
      </c>
      <c r="M616" s="18">
        <f t="shared" si="49"/>
        <v>321000000</v>
      </c>
      <c r="N616" s="134">
        <v>45777</v>
      </c>
      <c r="O616" s="20" t="s">
        <v>2558</v>
      </c>
      <c r="P616" s="22"/>
      <c r="Q616" s="38" t="s">
        <v>2776</v>
      </c>
      <c r="R616" s="19"/>
      <c r="S616" s="19"/>
    </row>
    <row r="617" spans="2:27" s="20" customFormat="1" ht="17.100000000000001" hidden="1" customHeight="1" x14ac:dyDescent="0.3">
      <c r="B617" s="17">
        <v>45667</v>
      </c>
      <c r="C617" s="17">
        <v>45766</v>
      </c>
      <c r="D617" s="119" t="s">
        <v>2551</v>
      </c>
      <c r="E617" s="15" t="s">
        <v>2553</v>
      </c>
      <c r="F617" s="15" t="s">
        <v>25</v>
      </c>
      <c r="G617" s="15" t="s">
        <v>21</v>
      </c>
      <c r="H617" s="16" t="s">
        <v>2555</v>
      </c>
      <c r="I617" s="15">
        <v>1</v>
      </c>
      <c r="J617" s="15" t="s">
        <v>2557</v>
      </c>
      <c r="K617" s="29" t="s">
        <v>2556</v>
      </c>
      <c r="L617" s="19">
        <v>320000000</v>
      </c>
      <c r="M617" s="18">
        <f t="shared" si="49"/>
        <v>320000000</v>
      </c>
      <c r="N617" s="134">
        <v>45777</v>
      </c>
      <c r="O617" s="20" t="s">
        <v>2558</v>
      </c>
      <c r="P617" s="22"/>
      <c r="Q617" s="38" t="s">
        <v>2776</v>
      </c>
      <c r="R617" s="19"/>
      <c r="S617" s="19"/>
    </row>
    <row r="618" spans="2:27" s="20" customFormat="1" ht="17.100000000000001" hidden="1" customHeight="1" x14ac:dyDescent="0.3">
      <c r="B618" s="17">
        <v>45670</v>
      </c>
      <c r="C618" s="17">
        <v>45677</v>
      </c>
      <c r="D618" s="22" t="s">
        <v>2559</v>
      </c>
      <c r="E618" s="15" t="s">
        <v>2560</v>
      </c>
      <c r="F618" s="83" t="s">
        <v>46</v>
      </c>
      <c r="G618" s="83" t="s">
        <v>21</v>
      </c>
      <c r="H618" s="16">
        <v>600</v>
      </c>
      <c r="I618" s="15">
        <v>2</v>
      </c>
      <c r="J618" s="15" t="s">
        <v>1285</v>
      </c>
      <c r="K618" s="84" t="s">
        <v>2496</v>
      </c>
      <c r="L618" s="19">
        <v>45724082</v>
      </c>
      <c r="M618" s="18">
        <f t="shared" si="49"/>
        <v>91448164</v>
      </c>
      <c r="N618" s="205">
        <v>45741</v>
      </c>
      <c r="O618" s="20" t="s">
        <v>2355</v>
      </c>
      <c r="P618" s="22" t="s">
        <v>2846</v>
      </c>
      <c r="Q618" s="38" t="s">
        <v>2766</v>
      </c>
      <c r="R618" s="19"/>
      <c r="S618" s="19"/>
    </row>
    <row r="619" spans="2:27" s="20" customFormat="1" ht="17.100000000000001" hidden="1" customHeight="1" x14ac:dyDescent="0.3">
      <c r="B619" s="17">
        <v>45674</v>
      </c>
      <c r="C619" s="17">
        <v>45699</v>
      </c>
      <c r="D619" s="22" t="s">
        <v>2561</v>
      </c>
      <c r="E619" s="15" t="s">
        <v>2563</v>
      </c>
      <c r="F619" s="15" t="s">
        <v>25</v>
      </c>
      <c r="G619" s="15" t="s">
        <v>106</v>
      </c>
      <c r="H619" s="16" t="s">
        <v>2564</v>
      </c>
      <c r="I619" s="15">
        <v>1</v>
      </c>
      <c r="J619" s="15" t="s">
        <v>2566</v>
      </c>
      <c r="K619" s="29" t="s">
        <v>2567</v>
      </c>
      <c r="L619" s="19">
        <v>22800000</v>
      </c>
      <c r="M619" s="18">
        <f t="shared" si="49"/>
        <v>22800000</v>
      </c>
      <c r="N619" s="17">
        <v>45716</v>
      </c>
      <c r="O619" s="20" t="s">
        <v>2568</v>
      </c>
      <c r="P619" s="22"/>
      <c r="Q619" s="38" t="s">
        <v>2777</v>
      </c>
      <c r="R619" s="19"/>
      <c r="S619" s="19"/>
    </row>
    <row r="620" spans="2:27" s="20" customFormat="1" ht="17.100000000000001" hidden="1" customHeight="1" x14ac:dyDescent="0.3">
      <c r="B620" s="17">
        <v>45674</v>
      </c>
      <c r="C620" s="81">
        <v>45702</v>
      </c>
      <c r="D620" s="59" t="s">
        <v>2562</v>
      </c>
      <c r="E620" s="15" t="s">
        <v>2926</v>
      </c>
      <c r="F620" s="15" t="s">
        <v>25</v>
      </c>
      <c r="G620" s="15" t="s">
        <v>106</v>
      </c>
      <c r="H620" s="16" t="s">
        <v>2565</v>
      </c>
      <c r="I620" s="15">
        <v>1</v>
      </c>
      <c r="J620" s="15" t="s">
        <v>2566</v>
      </c>
      <c r="K620" s="29" t="s">
        <v>2567</v>
      </c>
      <c r="L620" s="19">
        <v>15000000</v>
      </c>
      <c r="M620" s="18">
        <f t="shared" si="49"/>
        <v>15000000</v>
      </c>
      <c r="N620" s="17">
        <v>45716</v>
      </c>
      <c r="O620" s="20" t="s">
        <v>2568</v>
      </c>
      <c r="P620" s="22"/>
      <c r="Q620" s="38" t="s">
        <v>2777</v>
      </c>
      <c r="R620" s="19"/>
      <c r="S620" s="19"/>
    </row>
    <row r="621" spans="2:27" s="20" customFormat="1" ht="17.100000000000001" hidden="1" customHeight="1" x14ac:dyDescent="0.3">
      <c r="B621" s="81">
        <v>45675</v>
      </c>
      <c r="C621" s="81">
        <v>45676</v>
      </c>
      <c r="D621" s="59" t="s">
        <v>2569</v>
      </c>
      <c r="E621" s="15" t="s">
        <v>2570</v>
      </c>
      <c r="F621" s="83" t="s">
        <v>46</v>
      </c>
      <c r="G621" s="83" t="s">
        <v>21</v>
      </c>
      <c r="H621" s="16">
        <v>125</v>
      </c>
      <c r="I621" s="15">
        <v>4</v>
      </c>
      <c r="J621" s="15" t="s">
        <v>1285</v>
      </c>
      <c r="K621" s="84" t="s">
        <v>2092</v>
      </c>
      <c r="L621" s="19">
        <v>5563634</v>
      </c>
      <c r="M621" s="18">
        <f t="shared" si="49"/>
        <v>22254536</v>
      </c>
      <c r="N621" s="205">
        <v>45741</v>
      </c>
      <c r="O621" s="20" t="s">
        <v>2355</v>
      </c>
      <c r="P621" s="22" t="s">
        <v>2846</v>
      </c>
      <c r="Q621" s="38" t="s">
        <v>2766</v>
      </c>
      <c r="R621" s="19"/>
      <c r="S621" s="19"/>
    </row>
    <row r="622" spans="2:27" s="20" customFormat="1" ht="17.100000000000001" hidden="1" customHeight="1" x14ac:dyDescent="0.3">
      <c r="B622" s="81">
        <v>45679</v>
      </c>
      <c r="C622" s="81">
        <v>45713</v>
      </c>
      <c r="D622" s="59" t="s">
        <v>2818</v>
      </c>
      <c r="E622" s="15" t="s">
        <v>2571</v>
      </c>
      <c r="F622" s="15" t="s">
        <v>25</v>
      </c>
      <c r="G622" s="15" t="s">
        <v>21</v>
      </c>
      <c r="H622" s="16">
        <v>1650</v>
      </c>
      <c r="I622" s="15">
        <v>1</v>
      </c>
      <c r="J622" s="15" t="s">
        <v>776</v>
      </c>
      <c r="K622" s="29" t="s">
        <v>952</v>
      </c>
      <c r="L622" s="19">
        <v>59059000</v>
      </c>
      <c r="M622" s="18">
        <f t="shared" si="49"/>
        <v>59059000</v>
      </c>
      <c r="N622" s="134">
        <v>45747</v>
      </c>
      <c r="O622" s="20" t="s">
        <v>953</v>
      </c>
      <c r="P622" s="22"/>
      <c r="Q622" s="38" t="s">
        <v>2720</v>
      </c>
      <c r="R622" s="19"/>
      <c r="S622" s="19"/>
    </row>
    <row r="623" spans="2:27" s="20" customFormat="1" ht="17.100000000000001" hidden="1" customHeight="1" x14ac:dyDescent="0.3">
      <c r="B623" s="81">
        <v>45692</v>
      </c>
      <c r="C623" s="17">
        <v>45758</v>
      </c>
      <c r="D623" s="119" t="s">
        <v>2575</v>
      </c>
      <c r="E623" s="15" t="s">
        <v>2947</v>
      </c>
      <c r="F623" s="15" t="s">
        <v>25</v>
      </c>
      <c r="G623" s="83" t="s">
        <v>2578</v>
      </c>
      <c r="H623" s="16" t="s">
        <v>2579</v>
      </c>
      <c r="I623" s="15">
        <v>1</v>
      </c>
      <c r="J623" s="15" t="s">
        <v>820</v>
      </c>
      <c r="K623" s="29" t="s">
        <v>2415</v>
      </c>
      <c r="L623" s="19"/>
      <c r="M623" s="18">
        <f t="shared" si="49"/>
        <v>0</v>
      </c>
      <c r="N623" s="134">
        <v>45777</v>
      </c>
      <c r="O623" s="20" t="s">
        <v>2417</v>
      </c>
      <c r="P623" s="22"/>
      <c r="Q623" s="38" t="s">
        <v>2748</v>
      </c>
      <c r="R623" s="19"/>
      <c r="S623" s="19"/>
    </row>
    <row r="624" spans="2:27" s="20" customFormat="1" ht="17.100000000000001" hidden="1" customHeight="1" x14ac:dyDescent="0.3">
      <c r="B624" s="81">
        <v>45692</v>
      </c>
      <c r="C624" s="17">
        <v>45758</v>
      </c>
      <c r="D624" s="119" t="s">
        <v>2576</v>
      </c>
      <c r="E624" s="15" t="s">
        <v>2577</v>
      </c>
      <c r="F624" s="15" t="s">
        <v>25</v>
      </c>
      <c r="G624" s="83" t="s">
        <v>2578</v>
      </c>
      <c r="H624" s="16" t="s">
        <v>2579</v>
      </c>
      <c r="I624" s="15">
        <v>1</v>
      </c>
      <c r="J624" s="15" t="s">
        <v>820</v>
      </c>
      <c r="K624" s="29" t="s">
        <v>2415</v>
      </c>
      <c r="L624" s="19">
        <v>496000000</v>
      </c>
      <c r="M624" s="18">
        <f t="shared" si="49"/>
        <v>496000000</v>
      </c>
      <c r="N624" s="134">
        <v>45777</v>
      </c>
      <c r="O624" s="20" t="s">
        <v>2417</v>
      </c>
      <c r="P624" s="22"/>
      <c r="Q624" s="38" t="s">
        <v>2748</v>
      </c>
      <c r="R624" s="19"/>
      <c r="S624" s="19"/>
    </row>
    <row r="625" spans="2:19" s="20" customFormat="1" ht="17.100000000000001" hidden="1" customHeight="1" x14ac:dyDescent="0.3">
      <c r="B625" s="17">
        <v>45699</v>
      </c>
      <c r="C625" s="17">
        <v>45699</v>
      </c>
      <c r="D625" s="22" t="s">
        <v>2778</v>
      </c>
      <c r="E625" s="15" t="s">
        <v>2924</v>
      </c>
      <c r="F625" s="15" t="s">
        <v>25</v>
      </c>
      <c r="G625" s="15" t="s">
        <v>26</v>
      </c>
      <c r="H625" s="16" t="s">
        <v>2780</v>
      </c>
      <c r="I625" s="15">
        <v>1</v>
      </c>
      <c r="J625" s="15" t="s">
        <v>2334</v>
      </c>
      <c r="K625" s="29" t="s">
        <v>2567</v>
      </c>
      <c r="L625" s="19">
        <v>2200000</v>
      </c>
      <c r="M625" s="18">
        <f t="shared" ref="M625:M626" si="56">(L625*I625)+S625</f>
        <v>2200000</v>
      </c>
      <c r="N625" s="17">
        <v>45716</v>
      </c>
      <c r="O625" s="20" t="s">
        <v>2568</v>
      </c>
      <c r="P625" s="22"/>
      <c r="Q625" s="38" t="s">
        <v>2777</v>
      </c>
      <c r="R625" s="19"/>
      <c r="S625" s="19"/>
    </row>
    <row r="626" spans="2:19" s="20" customFormat="1" ht="17.100000000000001" customHeight="1" x14ac:dyDescent="0.3">
      <c r="B626" s="17">
        <v>45700</v>
      </c>
      <c r="C626" s="17">
        <v>45705</v>
      </c>
      <c r="D626" s="22" t="s">
        <v>2781</v>
      </c>
      <c r="E626" s="15" t="s">
        <v>2782</v>
      </c>
      <c r="F626" s="83" t="s">
        <v>46</v>
      </c>
      <c r="G626" s="83" t="s">
        <v>21</v>
      </c>
      <c r="H626" s="16">
        <v>50</v>
      </c>
      <c r="I626" s="15">
        <v>2</v>
      </c>
      <c r="J626" s="15" t="s">
        <v>1285</v>
      </c>
      <c r="K626" s="84" t="s">
        <v>2381</v>
      </c>
      <c r="L626" s="19">
        <v>864910</v>
      </c>
      <c r="M626" s="18">
        <f t="shared" si="56"/>
        <v>1729820</v>
      </c>
      <c r="N626" s="205">
        <v>46001</v>
      </c>
      <c r="O626" s="20" t="s">
        <v>2355</v>
      </c>
      <c r="P626" s="119" t="s">
        <v>2980</v>
      </c>
      <c r="Q626" s="38" t="s">
        <v>2766</v>
      </c>
      <c r="R626" s="19"/>
      <c r="S626" s="19"/>
    </row>
    <row r="627" spans="2:19" s="20" customFormat="1" ht="17.100000000000001" hidden="1" customHeight="1" x14ac:dyDescent="0.3">
      <c r="B627" s="17">
        <v>45705</v>
      </c>
      <c r="C627" s="17">
        <v>45716</v>
      </c>
      <c r="D627" s="22" t="s">
        <v>2783</v>
      </c>
      <c r="E627" s="15" t="s">
        <v>2784</v>
      </c>
      <c r="F627" s="83" t="s">
        <v>46</v>
      </c>
      <c r="G627" s="83" t="s">
        <v>21</v>
      </c>
      <c r="H627" s="16">
        <v>700</v>
      </c>
      <c r="I627" s="15">
        <v>2</v>
      </c>
      <c r="J627" s="15" t="s">
        <v>2785</v>
      </c>
      <c r="K627" s="29" t="s">
        <v>2786</v>
      </c>
      <c r="L627" s="19">
        <v>54510168</v>
      </c>
      <c r="M627" s="18">
        <f t="shared" si="49"/>
        <v>109020336</v>
      </c>
      <c r="N627" s="205">
        <v>45749</v>
      </c>
      <c r="O627" s="20" t="s">
        <v>2355</v>
      </c>
      <c r="P627" s="22"/>
      <c r="Q627" s="38" t="s">
        <v>2766</v>
      </c>
      <c r="R627" s="19"/>
      <c r="S627" s="19"/>
    </row>
    <row r="628" spans="2:19" s="20" customFormat="1" ht="17.100000000000001" hidden="1" customHeight="1" x14ac:dyDescent="0.3">
      <c r="B628" s="86">
        <v>45709</v>
      </c>
      <c r="C628" s="86">
        <v>45714</v>
      </c>
      <c r="D628" s="139" t="s">
        <v>2787</v>
      </c>
      <c r="E628" s="83" t="s">
        <v>2788</v>
      </c>
      <c r="F628" s="83" t="s">
        <v>46</v>
      </c>
      <c r="G628" s="83" t="s">
        <v>21</v>
      </c>
      <c r="H628" s="128">
        <v>400</v>
      </c>
      <c r="I628" s="83">
        <v>4</v>
      </c>
      <c r="J628" s="83" t="s">
        <v>1285</v>
      </c>
      <c r="K628" s="84" t="s">
        <v>2092</v>
      </c>
      <c r="L628" s="85">
        <v>25319213</v>
      </c>
      <c r="M628" s="133">
        <f t="shared" ref="M628:M671" si="57">(L628*I628)+S628</f>
        <v>101276852</v>
      </c>
      <c r="N628" s="206">
        <v>45741</v>
      </c>
      <c r="O628" s="20" t="s">
        <v>2355</v>
      </c>
      <c r="P628" s="22" t="s">
        <v>2846</v>
      </c>
      <c r="Q628" s="38" t="s">
        <v>2766</v>
      </c>
      <c r="R628" s="19"/>
      <c r="S628" s="19"/>
    </row>
    <row r="629" spans="2:19" s="20" customFormat="1" ht="17.100000000000001" hidden="1" customHeight="1" x14ac:dyDescent="0.3">
      <c r="B629" s="86">
        <v>45709</v>
      </c>
      <c r="C629" s="86">
        <v>45716</v>
      </c>
      <c r="D629" s="139" t="s">
        <v>2789</v>
      </c>
      <c r="E629" s="83" t="s">
        <v>2790</v>
      </c>
      <c r="F629" s="83" t="s">
        <v>46</v>
      </c>
      <c r="G629" s="83" t="s">
        <v>21</v>
      </c>
      <c r="H629" s="128">
        <v>125</v>
      </c>
      <c r="I629" s="83">
        <v>1</v>
      </c>
      <c r="J629" s="83" t="s">
        <v>2785</v>
      </c>
      <c r="K629" s="84" t="s">
        <v>2786</v>
      </c>
      <c r="L629" s="85">
        <v>5563634</v>
      </c>
      <c r="M629" s="133">
        <f t="shared" si="57"/>
        <v>5563634</v>
      </c>
      <c r="N629" s="206">
        <v>45749</v>
      </c>
      <c r="O629" s="20" t="s">
        <v>2355</v>
      </c>
      <c r="P629" s="22"/>
      <c r="Q629" s="38" t="s">
        <v>2766</v>
      </c>
      <c r="R629" s="19"/>
      <c r="S629" s="19"/>
    </row>
    <row r="630" spans="2:19" s="20" customFormat="1" ht="17.100000000000001" customHeight="1" x14ac:dyDescent="0.3">
      <c r="B630" s="174">
        <v>45716</v>
      </c>
      <c r="C630" s="174">
        <v>45721</v>
      </c>
      <c r="D630" s="60" t="s">
        <v>2791</v>
      </c>
      <c r="E630" s="83" t="s">
        <v>2792</v>
      </c>
      <c r="F630" s="83" t="s">
        <v>46</v>
      </c>
      <c r="G630" s="83" t="s">
        <v>21</v>
      </c>
      <c r="H630" s="128">
        <v>250</v>
      </c>
      <c r="I630" s="83">
        <v>2</v>
      </c>
      <c r="J630" s="83" t="s">
        <v>1178</v>
      </c>
      <c r="K630" s="84" t="s">
        <v>2793</v>
      </c>
      <c r="L630" s="85">
        <v>13170101</v>
      </c>
      <c r="M630" s="133">
        <f t="shared" si="57"/>
        <v>26340202</v>
      </c>
      <c r="N630" s="206">
        <v>46001</v>
      </c>
      <c r="O630" s="20" t="s">
        <v>2355</v>
      </c>
      <c r="P630" s="22"/>
      <c r="Q630" s="38" t="s">
        <v>2766</v>
      </c>
      <c r="R630" s="19"/>
      <c r="S630" s="19"/>
    </row>
    <row r="631" spans="2:19" s="20" customFormat="1" ht="17.100000000000001" customHeight="1" x14ac:dyDescent="0.3">
      <c r="B631" s="174">
        <v>45716</v>
      </c>
      <c r="C631" s="174">
        <v>45720</v>
      </c>
      <c r="D631" s="60" t="s">
        <v>2794</v>
      </c>
      <c r="E631" s="83" t="s">
        <v>2796</v>
      </c>
      <c r="F631" s="83" t="s">
        <v>46</v>
      </c>
      <c r="G631" s="83" t="s">
        <v>21</v>
      </c>
      <c r="H631" s="128">
        <v>700</v>
      </c>
      <c r="I631" s="83">
        <v>1</v>
      </c>
      <c r="J631" s="83" t="s">
        <v>1213</v>
      </c>
      <c r="K631" s="84" t="s">
        <v>3413</v>
      </c>
      <c r="L631" s="85">
        <v>54510168</v>
      </c>
      <c r="M631" s="133">
        <f t="shared" si="57"/>
        <v>54510168</v>
      </c>
      <c r="N631" s="206">
        <v>46001</v>
      </c>
      <c r="O631" s="20" t="s">
        <v>2355</v>
      </c>
      <c r="P631" s="22"/>
      <c r="Q631" s="38" t="s">
        <v>2766</v>
      </c>
      <c r="R631" s="19"/>
      <c r="S631" s="19"/>
    </row>
    <row r="632" spans="2:19" s="20" customFormat="1" ht="17.100000000000001" customHeight="1" x14ac:dyDescent="0.3">
      <c r="B632" s="174">
        <v>45716</v>
      </c>
      <c r="C632" s="174">
        <v>45720</v>
      </c>
      <c r="D632" s="60" t="s">
        <v>2795</v>
      </c>
      <c r="E632" s="83" t="s">
        <v>2797</v>
      </c>
      <c r="F632" s="83" t="s">
        <v>46</v>
      </c>
      <c r="G632" s="83" t="s">
        <v>21</v>
      </c>
      <c r="H632" s="128">
        <v>200</v>
      </c>
      <c r="I632" s="83">
        <v>1</v>
      </c>
      <c r="J632" s="83" t="s">
        <v>1213</v>
      </c>
      <c r="K632" s="84" t="s">
        <v>3413</v>
      </c>
      <c r="L632" s="85">
        <v>10235655</v>
      </c>
      <c r="M632" s="133">
        <f t="shared" si="57"/>
        <v>10235655</v>
      </c>
      <c r="N632" s="206">
        <v>46001</v>
      </c>
      <c r="O632" s="20" t="s">
        <v>2355</v>
      </c>
      <c r="P632" s="22"/>
      <c r="Q632" s="38" t="s">
        <v>2766</v>
      </c>
      <c r="R632" s="19"/>
      <c r="S632" s="19"/>
    </row>
    <row r="633" spans="2:19" s="20" customFormat="1" ht="17.100000000000001" hidden="1" customHeight="1" x14ac:dyDescent="0.3">
      <c r="B633" s="174">
        <v>45720</v>
      </c>
      <c r="C633" s="174">
        <v>45736</v>
      </c>
      <c r="D633" s="60" t="s">
        <v>2798</v>
      </c>
      <c r="E633" s="83" t="s">
        <v>2799</v>
      </c>
      <c r="F633" s="83" t="s">
        <v>25</v>
      </c>
      <c r="G633" s="83" t="s">
        <v>21</v>
      </c>
      <c r="H633" s="128" t="s">
        <v>2800</v>
      </c>
      <c r="I633" s="83">
        <v>1</v>
      </c>
      <c r="J633" s="83" t="s">
        <v>2802</v>
      </c>
      <c r="K633" s="84" t="s">
        <v>2801</v>
      </c>
      <c r="L633" s="85">
        <v>20000000</v>
      </c>
      <c r="M633" s="133">
        <f t="shared" si="57"/>
        <v>20000000</v>
      </c>
      <c r="N633" s="86">
        <v>45747</v>
      </c>
      <c r="P633" s="22"/>
      <c r="Q633" s="38" t="s">
        <v>2803</v>
      </c>
      <c r="R633" s="19"/>
      <c r="S633" s="19"/>
    </row>
    <row r="634" spans="2:19" s="20" customFormat="1" ht="17.100000000000001" hidden="1" customHeight="1" x14ac:dyDescent="0.3">
      <c r="B634" s="174">
        <v>45729</v>
      </c>
      <c r="C634" s="174">
        <v>45826</v>
      </c>
      <c r="D634" s="60" t="s">
        <v>2809</v>
      </c>
      <c r="E634" s="83" t="s">
        <v>2925</v>
      </c>
      <c r="F634" s="83" t="s">
        <v>25</v>
      </c>
      <c r="G634" s="83" t="s">
        <v>21</v>
      </c>
      <c r="H634" s="128" t="s">
        <v>2812</v>
      </c>
      <c r="I634" s="83">
        <v>2</v>
      </c>
      <c r="J634" s="83" t="s">
        <v>2816</v>
      </c>
      <c r="K634" s="84" t="s">
        <v>2817</v>
      </c>
      <c r="L634" s="85">
        <v>829216868</v>
      </c>
      <c r="M634" s="133">
        <f t="shared" si="57"/>
        <v>1658433736</v>
      </c>
      <c r="N634" s="86">
        <v>45838</v>
      </c>
      <c r="O634" s="20" t="s">
        <v>2814</v>
      </c>
      <c r="P634" s="22" t="s">
        <v>2993</v>
      </c>
      <c r="Q634" s="38" t="s">
        <v>2815</v>
      </c>
      <c r="R634" s="19"/>
      <c r="S634" s="19"/>
    </row>
    <row r="635" spans="2:19" s="20" customFormat="1" ht="17.100000000000001" hidden="1" customHeight="1" x14ac:dyDescent="0.3">
      <c r="B635" s="174">
        <v>45729</v>
      </c>
      <c r="C635" s="174">
        <v>45826</v>
      </c>
      <c r="D635" s="60" t="s">
        <v>2810</v>
      </c>
      <c r="E635" s="83" t="s">
        <v>2811</v>
      </c>
      <c r="F635" s="83" t="s">
        <v>25</v>
      </c>
      <c r="G635" s="83" t="s">
        <v>21</v>
      </c>
      <c r="H635" s="128" t="s">
        <v>2813</v>
      </c>
      <c r="I635" s="83">
        <v>1</v>
      </c>
      <c r="J635" s="83" t="s">
        <v>2816</v>
      </c>
      <c r="K635" s="84" t="s">
        <v>2817</v>
      </c>
      <c r="L635" s="85"/>
      <c r="M635" s="133">
        <f t="shared" si="57"/>
        <v>0</v>
      </c>
      <c r="N635" s="86">
        <v>45838</v>
      </c>
      <c r="O635" s="20" t="s">
        <v>2814</v>
      </c>
      <c r="P635" s="22"/>
      <c r="Q635" s="38" t="s">
        <v>2815</v>
      </c>
      <c r="R635" s="19"/>
      <c r="S635" s="19"/>
    </row>
    <row r="636" spans="2:19" s="20" customFormat="1" ht="17.100000000000001" hidden="1" customHeight="1" x14ac:dyDescent="0.3">
      <c r="B636" s="174">
        <v>45730</v>
      </c>
      <c r="C636" s="174">
        <v>45732</v>
      </c>
      <c r="D636" s="60" t="s">
        <v>2861</v>
      </c>
      <c r="E636" s="83" t="s">
        <v>2822</v>
      </c>
      <c r="F636" s="83" t="s">
        <v>46</v>
      </c>
      <c r="G636" s="83" t="s">
        <v>21</v>
      </c>
      <c r="H636" s="128" t="s">
        <v>2823</v>
      </c>
      <c r="I636" s="83">
        <v>1</v>
      </c>
      <c r="J636" s="83" t="s">
        <v>2824</v>
      </c>
      <c r="K636" s="84" t="s">
        <v>1898</v>
      </c>
      <c r="L636" s="85">
        <v>75880000</v>
      </c>
      <c r="M636" s="133">
        <f t="shared" si="57"/>
        <v>75880000</v>
      </c>
      <c r="N636" s="86">
        <v>45747</v>
      </c>
      <c r="P636" s="22"/>
      <c r="Q636" s="38" t="s">
        <v>2871</v>
      </c>
      <c r="R636" s="19"/>
      <c r="S636" s="19"/>
    </row>
    <row r="637" spans="2:19" s="20" customFormat="1" ht="17.100000000000001" hidden="1" customHeight="1" x14ac:dyDescent="0.3">
      <c r="B637" s="174">
        <v>45733</v>
      </c>
      <c r="C637" s="174">
        <v>45763</v>
      </c>
      <c r="D637" s="60" t="s">
        <v>2819</v>
      </c>
      <c r="E637" s="83" t="s">
        <v>2820</v>
      </c>
      <c r="F637" s="83" t="s">
        <v>46</v>
      </c>
      <c r="G637" s="83" t="s">
        <v>21</v>
      </c>
      <c r="H637" s="128" t="s">
        <v>2821</v>
      </c>
      <c r="I637" s="83">
        <v>1</v>
      </c>
      <c r="J637" s="83" t="s">
        <v>49</v>
      </c>
      <c r="K637" s="84" t="s">
        <v>66</v>
      </c>
      <c r="L637" s="85">
        <v>193850000</v>
      </c>
      <c r="M637" s="133">
        <f t="shared" ref="M637" si="58">(L637*I637)+S637</f>
        <v>217370000</v>
      </c>
      <c r="N637" s="86">
        <v>45777</v>
      </c>
      <c r="O637" s="20" t="s">
        <v>1818</v>
      </c>
      <c r="P637" s="22"/>
      <c r="Q637" s="38" t="s">
        <v>2706</v>
      </c>
      <c r="R637" s="19"/>
      <c r="S637" s="19">
        <v>23520000</v>
      </c>
    </row>
    <row r="638" spans="2:19" s="20" customFormat="1" ht="17.100000000000001" hidden="1" customHeight="1" x14ac:dyDescent="0.3">
      <c r="B638" s="174">
        <v>45733</v>
      </c>
      <c r="C638" s="174">
        <v>45737</v>
      </c>
      <c r="D638" s="60" t="s">
        <v>2825</v>
      </c>
      <c r="E638" s="83" t="s">
        <v>2826</v>
      </c>
      <c r="F638" s="83" t="s">
        <v>46</v>
      </c>
      <c r="G638" s="83" t="s">
        <v>21</v>
      </c>
      <c r="H638" s="128">
        <v>250</v>
      </c>
      <c r="I638" s="83">
        <v>4</v>
      </c>
      <c r="J638" s="83" t="s">
        <v>2827</v>
      </c>
      <c r="K638" s="84" t="s">
        <v>2828</v>
      </c>
      <c r="L638" s="85">
        <v>13170101</v>
      </c>
      <c r="M638" s="133">
        <f t="shared" si="57"/>
        <v>52680404</v>
      </c>
      <c r="N638" s="206">
        <v>45749</v>
      </c>
      <c r="O638" s="20" t="s">
        <v>2355</v>
      </c>
      <c r="P638" s="22"/>
      <c r="Q638" s="38" t="s">
        <v>2766</v>
      </c>
      <c r="R638" s="19"/>
      <c r="S638" s="19"/>
    </row>
    <row r="639" spans="2:19" s="20" customFormat="1" ht="17.100000000000001" hidden="1" customHeight="1" x14ac:dyDescent="0.3">
      <c r="B639" s="174">
        <v>45735</v>
      </c>
      <c r="C639" s="174">
        <v>45776</v>
      </c>
      <c r="D639" s="60" t="s">
        <v>2829</v>
      </c>
      <c r="E639" s="83" t="s">
        <v>2830</v>
      </c>
      <c r="F639" s="83" t="s">
        <v>46</v>
      </c>
      <c r="G639" s="83" t="s">
        <v>21</v>
      </c>
      <c r="H639" s="128" t="s">
        <v>2831</v>
      </c>
      <c r="I639" s="83">
        <v>1</v>
      </c>
      <c r="J639" s="83" t="s">
        <v>1029</v>
      </c>
      <c r="K639" s="84" t="s">
        <v>2832</v>
      </c>
      <c r="L639" s="85">
        <f>105472500*2</f>
        <v>210945000</v>
      </c>
      <c r="M639" s="133">
        <f t="shared" si="57"/>
        <v>210945000</v>
      </c>
      <c r="N639" s="86">
        <v>45777</v>
      </c>
      <c r="O639" s="20" t="s">
        <v>2834</v>
      </c>
      <c r="P639" s="22"/>
      <c r="Q639" s="38" t="s">
        <v>2833</v>
      </c>
      <c r="R639" s="19"/>
      <c r="S639" s="19"/>
    </row>
    <row r="640" spans="2:19" s="20" customFormat="1" ht="17.100000000000001" customHeight="1" x14ac:dyDescent="0.3">
      <c r="B640" s="174">
        <v>45736</v>
      </c>
      <c r="C640" s="174">
        <v>45737</v>
      </c>
      <c r="D640" s="60" t="s">
        <v>2842</v>
      </c>
      <c r="E640" s="83" t="s">
        <v>2875</v>
      </c>
      <c r="F640" s="83" t="s">
        <v>46</v>
      </c>
      <c r="G640" s="83" t="s">
        <v>21</v>
      </c>
      <c r="H640" s="128">
        <v>200</v>
      </c>
      <c r="I640" s="83">
        <v>2</v>
      </c>
      <c r="J640" s="83" t="s">
        <v>1213</v>
      </c>
      <c r="K640" s="84" t="s">
        <v>3413</v>
      </c>
      <c r="L640" s="85">
        <v>10235655</v>
      </c>
      <c r="M640" s="133">
        <f t="shared" si="57"/>
        <v>20471310</v>
      </c>
      <c r="N640" s="206">
        <v>46001</v>
      </c>
      <c r="O640" s="20" t="s">
        <v>2355</v>
      </c>
      <c r="P640" s="22"/>
      <c r="Q640" s="38" t="s">
        <v>2766</v>
      </c>
      <c r="R640" s="19"/>
      <c r="S640" s="19"/>
    </row>
    <row r="641" spans="2:19" s="20" customFormat="1" ht="17.100000000000001" hidden="1" customHeight="1" x14ac:dyDescent="0.3">
      <c r="B641" s="174">
        <v>45737</v>
      </c>
      <c r="C641" s="174">
        <v>45740</v>
      </c>
      <c r="D641" s="60" t="s">
        <v>2843</v>
      </c>
      <c r="E641" s="83" t="s">
        <v>2844</v>
      </c>
      <c r="F641" s="83" t="s">
        <v>46</v>
      </c>
      <c r="G641" s="83" t="s">
        <v>21</v>
      </c>
      <c r="H641" s="128">
        <v>125</v>
      </c>
      <c r="I641" s="83">
        <v>2</v>
      </c>
      <c r="J641" s="83" t="s">
        <v>1159</v>
      </c>
      <c r="K641" s="84" t="s">
        <v>2201</v>
      </c>
      <c r="L641" s="85">
        <v>5563634</v>
      </c>
      <c r="M641" s="133">
        <f t="shared" ref="M641" si="59">(L641*I641)+S641</f>
        <v>11127268</v>
      </c>
      <c r="N641" s="206">
        <v>45839</v>
      </c>
      <c r="O641" s="20" t="s">
        <v>2355</v>
      </c>
      <c r="P641" s="22"/>
      <c r="Q641" s="38" t="s">
        <v>2766</v>
      </c>
      <c r="R641" s="19"/>
      <c r="S641" s="19"/>
    </row>
    <row r="642" spans="2:19" s="20" customFormat="1" ht="17.100000000000001" hidden="1" customHeight="1" x14ac:dyDescent="0.3">
      <c r="B642" s="174">
        <v>45738</v>
      </c>
      <c r="C642" s="174">
        <v>45799</v>
      </c>
      <c r="D642" s="60" t="s">
        <v>2572</v>
      </c>
      <c r="E642" s="83" t="s">
        <v>2835</v>
      </c>
      <c r="F642" s="83" t="s">
        <v>25</v>
      </c>
      <c r="G642" s="83" t="s">
        <v>26</v>
      </c>
      <c r="H642" s="128" t="s">
        <v>553</v>
      </c>
      <c r="I642" s="83">
        <v>1</v>
      </c>
      <c r="J642" s="83" t="s">
        <v>2573</v>
      </c>
      <c r="K642" s="84" t="s">
        <v>2574</v>
      </c>
      <c r="L642" s="85">
        <v>50000000</v>
      </c>
      <c r="M642" s="133">
        <f t="shared" si="57"/>
        <v>50000000</v>
      </c>
      <c r="N642" s="86">
        <v>45807</v>
      </c>
      <c r="O642" s="20" t="s">
        <v>2840</v>
      </c>
      <c r="P642" s="22"/>
      <c r="Q642" s="38" t="s">
        <v>2841</v>
      </c>
      <c r="R642" s="19"/>
      <c r="S642" s="19"/>
    </row>
    <row r="643" spans="2:19" s="20" customFormat="1" ht="17.100000000000001" hidden="1" customHeight="1" x14ac:dyDescent="0.3">
      <c r="B643" s="174">
        <v>45738</v>
      </c>
      <c r="C643" s="174">
        <v>45756</v>
      </c>
      <c r="D643" s="60" t="s">
        <v>2836</v>
      </c>
      <c r="E643" s="83" t="s">
        <v>2837</v>
      </c>
      <c r="F643" s="83" t="s">
        <v>25</v>
      </c>
      <c r="G643" s="83" t="s">
        <v>26</v>
      </c>
      <c r="H643" s="128" t="s">
        <v>2838</v>
      </c>
      <c r="I643" s="83">
        <v>1</v>
      </c>
      <c r="J643" s="83"/>
      <c r="K643" s="84" t="s">
        <v>2839</v>
      </c>
      <c r="L643" s="85">
        <v>11860000</v>
      </c>
      <c r="M643" s="133">
        <f t="shared" si="57"/>
        <v>11860000</v>
      </c>
      <c r="N643" s="86">
        <v>45807</v>
      </c>
      <c r="O643" s="20" t="s">
        <v>2840</v>
      </c>
      <c r="P643" s="22"/>
      <c r="Q643" s="38" t="s">
        <v>2841</v>
      </c>
      <c r="R643" s="19"/>
      <c r="S643" s="19"/>
    </row>
    <row r="644" spans="2:19" s="20" customFormat="1" ht="17.100000000000001" hidden="1" customHeight="1" x14ac:dyDescent="0.3">
      <c r="B644" s="174">
        <v>45740</v>
      </c>
      <c r="C644" s="174">
        <v>45775</v>
      </c>
      <c r="D644" s="60" t="s">
        <v>2829</v>
      </c>
      <c r="E644" s="83" t="s">
        <v>2845</v>
      </c>
      <c r="F644" s="83" t="s">
        <v>46</v>
      </c>
      <c r="G644" s="83" t="s">
        <v>21</v>
      </c>
      <c r="H644" s="128" t="s">
        <v>2831</v>
      </c>
      <c r="I644" s="83">
        <v>1</v>
      </c>
      <c r="J644" s="83" t="s">
        <v>1029</v>
      </c>
      <c r="K644" s="84" t="s">
        <v>2832</v>
      </c>
      <c r="L644" s="85">
        <f>105472500*2</f>
        <v>210945000</v>
      </c>
      <c r="M644" s="133">
        <f t="shared" ref="M644:M646" si="60">(L644*I644)+S644</f>
        <v>210945000</v>
      </c>
      <c r="N644" s="86">
        <v>45777</v>
      </c>
      <c r="O644" s="20" t="s">
        <v>2834</v>
      </c>
      <c r="P644" s="22"/>
      <c r="Q644" s="38" t="s">
        <v>2833</v>
      </c>
      <c r="R644" s="19"/>
      <c r="S644" s="19"/>
    </row>
    <row r="645" spans="2:19" s="20" customFormat="1" ht="17.100000000000001" hidden="1" customHeight="1" x14ac:dyDescent="0.3">
      <c r="B645" s="174">
        <v>45741</v>
      </c>
      <c r="C645" s="174">
        <v>45747</v>
      </c>
      <c r="D645" s="60" t="s">
        <v>2850</v>
      </c>
      <c r="E645" s="83" t="s">
        <v>2859</v>
      </c>
      <c r="F645" s="83" t="s">
        <v>2851</v>
      </c>
      <c r="G645" s="83" t="s">
        <v>21</v>
      </c>
      <c r="H645" s="128">
        <v>700</v>
      </c>
      <c r="I645" s="83">
        <v>2</v>
      </c>
      <c r="J645" s="83" t="s">
        <v>2852</v>
      </c>
      <c r="K645" s="84" t="s">
        <v>1173</v>
      </c>
      <c r="L645" s="85">
        <v>25000000</v>
      </c>
      <c r="M645" s="133">
        <f t="shared" si="60"/>
        <v>50000000</v>
      </c>
      <c r="N645" s="86">
        <v>45747</v>
      </c>
      <c r="O645" s="20" t="s">
        <v>2853</v>
      </c>
      <c r="P645" s="22"/>
      <c r="Q645" s="38" t="s">
        <v>2854</v>
      </c>
      <c r="R645" s="19"/>
      <c r="S645" s="19"/>
    </row>
    <row r="646" spans="2:19" s="20" customFormat="1" ht="17.100000000000001" hidden="1" customHeight="1" x14ac:dyDescent="0.3">
      <c r="B646" s="174">
        <v>45743</v>
      </c>
      <c r="C646" s="174">
        <v>45876</v>
      </c>
      <c r="D646" s="60" t="s">
        <v>2849</v>
      </c>
      <c r="E646" s="83" t="s">
        <v>3063</v>
      </c>
      <c r="F646" s="83" t="s">
        <v>25</v>
      </c>
      <c r="G646" s="83" t="s">
        <v>26</v>
      </c>
      <c r="H646" s="128">
        <v>800</v>
      </c>
      <c r="I646" s="83">
        <v>1</v>
      </c>
      <c r="J646" s="83"/>
      <c r="K646" s="84" t="s">
        <v>2839</v>
      </c>
      <c r="L646" s="85">
        <v>22200000</v>
      </c>
      <c r="M646" s="133">
        <f t="shared" si="60"/>
        <v>22200000</v>
      </c>
      <c r="N646" s="86">
        <v>46001</v>
      </c>
      <c r="O646" s="20" t="s">
        <v>2840</v>
      </c>
      <c r="P646" s="22"/>
      <c r="Q646" s="38" t="s">
        <v>2841</v>
      </c>
      <c r="R646" s="19"/>
      <c r="S646" s="19"/>
    </row>
    <row r="647" spans="2:19" s="20" customFormat="1" ht="17.100000000000001" hidden="1" customHeight="1" x14ac:dyDescent="0.3">
      <c r="B647" s="174">
        <v>45745</v>
      </c>
      <c r="C647" s="174">
        <v>45773</v>
      </c>
      <c r="D647" s="60" t="s">
        <v>2847</v>
      </c>
      <c r="E647" s="83" t="s">
        <v>2848</v>
      </c>
      <c r="F647" s="83" t="s">
        <v>46</v>
      </c>
      <c r="G647" s="83" t="s">
        <v>21</v>
      </c>
      <c r="H647" s="128" t="s">
        <v>2917</v>
      </c>
      <c r="I647" s="83">
        <v>1</v>
      </c>
      <c r="J647" s="83" t="s">
        <v>1029</v>
      </c>
      <c r="K647" s="84" t="s">
        <v>2793</v>
      </c>
      <c r="L647" s="85">
        <f>61897500*2</f>
        <v>123795000</v>
      </c>
      <c r="M647" s="133">
        <f t="shared" si="57"/>
        <v>123795000</v>
      </c>
      <c r="N647" s="86">
        <v>45777</v>
      </c>
      <c r="O647" s="20" t="s">
        <v>2834</v>
      </c>
      <c r="P647" s="22"/>
      <c r="Q647" s="38" t="s">
        <v>2833</v>
      </c>
      <c r="R647" s="19"/>
      <c r="S647" s="19"/>
    </row>
    <row r="648" spans="2:19" s="20" customFormat="1" ht="17.100000000000001" customHeight="1" x14ac:dyDescent="0.3">
      <c r="B648" s="174">
        <v>45745</v>
      </c>
      <c r="C648" s="174">
        <v>45748</v>
      </c>
      <c r="D648" s="60" t="s">
        <v>2855</v>
      </c>
      <c r="E648" s="83" t="s">
        <v>2856</v>
      </c>
      <c r="F648" s="83" t="s">
        <v>46</v>
      </c>
      <c r="G648" s="83" t="s">
        <v>21</v>
      </c>
      <c r="H648" s="128">
        <v>300</v>
      </c>
      <c r="I648" s="83">
        <v>2</v>
      </c>
      <c r="J648" s="83" t="s">
        <v>1213</v>
      </c>
      <c r="K648" s="84" t="s">
        <v>3413</v>
      </c>
      <c r="L648" s="85">
        <v>16193727</v>
      </c>
      <c r="M648" s="133">
        <f t="shared" ref="M648:M649" si="61">(L648*I648)+S648</f>
        <v>32387454</v>
      </c>
      <c r="N648" s="206">
        <v>46001</v>
      </c>
      <c r="O648" s="20" t="s">
        <v>2355</v>
      </c>
      <c r="P648" s="22"/>
      <c r="Q648" s="38" t="s">
        <v>2766</v>
      </c>
      <c r="R648" s="19"/>
      <c r="S648" s="19"/>
    </row>
    <row r="649" spans="2:19" s="20" customFormat="1" ht="17.100000000000001" hidden="1" customHeight="1" x14ac:dyDescent="0.3">
      <c r="B649" s="174">
        <v>45747</v>
      </c>
      <c r="C649" s="174">
        <v>45750</v>
      </c>
      <c r="D649" s="60" t="s">
        <v>2857</v>
      </c>
      <c r="E649" s="83" t="s">
        <v>2858</v>
      </c>
      <c r="F649" s="83" t="s">
        <v>46</v>
      </c>
      <c r="G649" s="83" t="s">
        <v>21</v>
      </c>
      <c r="H649" s="128">
        <v>450</v>
      </c>
      <c r="I649" s="83">
        <v>2</v>
      </c>
      <c r="J649" s="83" t="s">
        <v>1285</v>
      </c>
      <c r="K649" s="84" t="s">
        <v>2381</v>
      </c>
      <c r="L649" s="85">
        <v>29956412</v>
      </c>
      <c r="M649" s="133">
        <f t="shared" si="61"/>
        <v>59912824</v>
      </c>
      <c r="N649" s="206">
        <v>45741</v>
      </c>
      <c r="O649" s="20" t="s">
        <v>2355</v>
      </c>
      <c r="P649" s="22"/>
      <c r="Q649" s="38" t="s">
        <v>2766</v>
      </c>
      <c r="R649" s="19"/>
      <c r="S649" s="19"/>
    </row>
    <row r="650" spans="2:19" s="20" customFormat="1" ht="17.100000000000001" hidden="1" customHeight="1" x14ac:dyDescent="0.3">
      <c r="B650" s="174">
        <v>45755</v>
      </c>
      <c r="C650" s="174">
        <v>45759</v>
      </c>
      <c r="D650" s="60" t="s">
        <v>2862</v>
      </c>
      <c r="E650" s="83" t="s">
        <v>2863</v>
      </c>
      <c r="F650" s="83" t="s">
        <v>46</v>
      </c>
      <c r="G650" s="83" t="s">
        <v>21</v>
      </c>
      <c r="H650" s="128">
        <v>500</v>
      </c>
      <c r="I650" s="83">
        <v>2</v>
      </c>
      <c r="J650" s="83" t="s">
        <v>2864</v>
      </c>
      <c r="K650" s="84" t="s">
        <v>2865</v>
      </c>
      <c r="L650" s="85">
        <v>34346759</v>
      </c>
      <c r="M650" s="133">
        <f t="shared" si="57"/>
        <v>68693518</v>
      </c>
      <c r="N650" s="206">
        <v>45839</v>
      </c>
      <c r="O650" s="20" t="s">
        <v>2355</v>
      </c>
      <c r="P650" s="22"/>
      <c r="Q650" s="38" t="s">
        <v>2766</v>
      </c>
      <c r="R650" s="19"/>
      <c r="S650" s="19"/>
    </row>
    <row r="651" spans="2:19" s="20" customFormat="1" ht="17.100000000000001" hidden="1" customHeight="1" x14ac:dyDescent="0.3">
      <c r="B651" s="174">
        <v>45755</v>
      </c>
      <c r="C651" s="174">
        <v>45755</v>
      </c>
      <c r="D651" s="60" t="s">
        <v>2866</v>
      </c>
      <c r="E651" s="83" t="s">
        <v>2897</v>
      </c>
      <c r="F651" s="83" t="s">
        <v>46</v>
      </c>
      <c r="G651" s="83" t="s">
        <v>21</v>
      </c>
      <c r="H651" s="128" t="s">
        <v>2867</v>
      </c>
      <c r="I651" s="83">
        <v>1</v>
      </c>
      <c r="J651" s="83" t="s">
        <v>2868</v>
      </c>
      <c r="K651" s="84" t="s">
        <v>2870</v>
      </c>
      <c r="L651" s="85">
        <v>5878000</v>
      </c>
      <c r="M651" s="133">
        <f t="shared" si="57"/>
        <v>11350000</v>
      </c>
      <c r="N651" s="86">
        <v>45777</v>
      </c>
      <c r="O651" s="20" t="s">
        <v>2869</v>
      </c>
      <c r="P651" s="22"/>
      <c r="Q651" s="38" t="s">
        <v>2758</v>
      </c>
      <c r="R651" s="19"/>
      <c r="S651" s="19">
        <v>5472000</v>
      </c>
    </row>
    <row r="652" spans="2:19" s="20" customFormat="1" ht="17.100000000000001" customHeight="1" x14ac:dyDescent="0.3">
      <c r="B652" s="174">
        <v>45757</v>
      </c>
      <c r="C652" s="174">
        <v>45758</v>
      </c>
      <c r="D652" s="60" t="s">
        <v>2873</v>
      </c>
      <c r="E652" s="83" t="s">
        <v>2874</v>
      </c>
      <c r="F652" s="83" t="s">
        <v>46</v>
      </c>
      <c r="G652" s="83" t="s">
        <v>21</v>
      </c>
      <c r="H652" s="128">
        <v>200</v>
      </c>
      <c r="I652" s="83">
        <v>2</v>
      </c>
      <c r="J652" s="83" t="s">
        <v>1213</v>
      </c>
      <c r="K652" s="84" t="s">
        <v>3413</v>
      </c>
      <c r="L652" s="85">
        <v>10235655</v>
      </c>
      <c r="M652" s="133">
        <f t="shared" ref="M652" si="62">(L652*I652)+S652</f>
        <v>20471310</v>
      </c>
      <c r="N652" s="206">
        <v>46001</v>
      </c>
      <c r="O652" s="20" t="s">
        <v>2355</v>
      </c>
      <c r="P652" s="22"/>
      <c r="Q652" s="38" t="s">
        <v>2766</v>
      </c>
      <c r="R652" s="19"/>
      <c r="S652" s="19"/>
    </row>
    <row r="653" spans="2:19" s="20" customFormat="1" ht="17.100000000000001" hidden="1" customHeight="1" x14ac:dyDescent="0.3">
      <c r="B653" s="86">
        <v>45758</v>
      </c>
      <c r="C653" s="86">
        <v>45763</v>
      </c>
      <c r="D653" s="139" t="s">
        <v>2461</v>
      </c>
      <c r="E653" s="83" t="s">
        <v>2889</v>
      </c>
      <c r="F653" s="83" t="s">
        <v>46</v>
      </c>
      <c r="G653" s="83" t="s">
        <v>21</v>
      </c>
      <c r="H653" s="128">
        <v>400</v>
      </c>
      <c r="I653" s="83">
        <v>2</v>
      </c>
      <c r="J653" s="83" t="s">
        <v>1285</v>
      </c>
      <c r="K653" s="84" t="s">
        <v>2381</v>
      </c>
      <c r="L653" s="85">
        <v>25319213</v>
      </c>
      <c r="M653" s="133">
        <f t="shared" si="57"/>
        <v>50638426</v>
      </c>
      <c r="N653" s="206">
        <v>45741</v>
      </c>
      <c r="O653" s="20" t="s">
        <v>2355</v>
      </c>
      <c r="P653" s="22" t="s">
        <v>2846</v>
      </c>
      <c r="Q653" s="38" t="s">
        <v>2766</v>
      </c>
      <c r="R653" s="19"/>
      <c r="S653" s="19"/>
    </row>
    <row r="654" spans="2:19" s="20" customFormat="1" ht="17.100000000000001" customHeight="1" x14ac:dyDescent="0.3">
      <c r="B654" s="86">
        <v>45758</v>
      </c>
      <c r="C654" s="86">
        <v>45761</v>
      </c>
      <c r="D654" s="139" t="s">
        <v>2883</v>
      </c>
      <c r="E654" s="83" t="s">
        <v>2884</v>
      </c>
      <c r="F654" s="83" t="s">
        <v>46</v>
      </c>
      <c r="G654" s="83" t="s">
        <v>21</v>
      </c>
      <c r="H654" s="128">
        <v>65</v>
      </c>
      <c r="I654" s="83">
        <v>1</v>
      </c>
      <c r="J654" s="83" t="s">
        <v>1285</v>
      </c>
      <c r="K654" s="84" t="s">
        <v>2092</v>
      </c>
      <c r="L654" s="85">
        <v>3375111</v>
      </c>
      <c r="M654" s="133">
        <f t="shared" ref="M654" si="63">(L654*I654)+S654</f>
        <v>3375111</v>
      </c>
      <c r="N654" s="206">
        <v>46001</v>
      </c>
      <c r="O654" s="20" t="s">
        <v>2355</v>
      </c>
      <c r="P654" s="119" t="s">
        <v>2980</v>
      </c>
      <c r="Q654" s="38" t="s">
        <v>2766</v>
      </c>
      <c r="R654" s="19"/>
      <c r="S654" s="19"/>
    </row>
    <row r="655" spans="2:19" s="20" customFormat="1" ht="17.100000000000001" hidden="1" customHeight="1" x14ac:dyDescent="0.3">
      <c r="B655" s="174">
        <v>45759</v>
      </c>
      <c r="C655" s="174">
        <v>45760</v>
      </c>
      <c r="D655" s="60" t="s">
        <v>2876</v>
      </c>
      <c r="E655" s="83" t="s">
        <v>2878</v>
      </c>
      <c r="F655" s="83" t="s">
        <v>46</v>
      </c>
      <c r="G655" s="83" t="s">
        <v>21</v>
      </c>
      <c r="H655" s="128" t="s">
        <v>2880</v>
      </c>
      <c r="I655" s="83">
        <v>1</v>
      </c>
      <c r="J655" s="83" t="s">
        <v>1033</v>
      </c>
      <c r="K655" s="84" t="s">
        <v>2098</v>
      </c>
      <c r="L655" s="85">
        <v>13700000</v>
      </c>
      <c r="M655" s="133">
        <f>(L655*I655)+S655</f>
        <v>16500000</v>
      </c>
      <c r="N655" s="86">
        <v>45777</v>
      </c>
      <c r="P655" s="22"/>
      <c r="Q655" s="38" t="s">
        <v>2882</v>
      </c>
      <c r="R655" s="19"/>
      <c r="S655" s="19">
        <v>2800000</v>
      </c>
    </row>
    <row r="656" spans="2:19" s="20" customFormat="1" ht="17.100000000000001" hidden="1" customHeight="1" x14ac:dyDescent="0.3">
      <c r="B656" s="174">
        <v>45760</v>
      </c>
      <c r="C656" s="174">
        <v>45760</v>
      </c>
      <c r="D656" s="60" t="s">
        <v>2877</v>
      </c>
      <c r="E656" s="83" t="s">
        <v>2879</v>
      </c>
      <c r="F656" s="83" t="s">
        <v>46</v>
      </c>
      <c r="G656" s="83" t="s">
        <v>21</v>
      </c>
      <c r="H656" s="128" t="s">
        <v>2881</v>
      </c>
      <c r="I656" s="83">
        <v>1</v>
      </c>
      <c r="J656" s="83" t="s">
        <v>1033</v>
      </c>
      <c r="K656" s="84" t="s">
        <v>2098</v>
      </c>
      <c r="L656" s="85">
        <v>16600000</v>
      </c>
      <c r="M656" s="133">
        <f t="shared" si="57"/>
        <v>24420000</v>
      </c>
      <c r="N656" s="86">
        <v>45777</v>
      </c>
      <c r="P656" s="22"/>
      <c r="Q656" s="38" t="s">
        <v>2882</v>
      </c>
      <c r="R656" s="19"/>
      <c r="S656" s="19">
        <v>7820000</v>
      </c>
    </row>
    <row r="657" spans="2:19" s="20" customFormat="1" ht="17.100000000000001" hidden="1" customHeight="1" x14ac:dyDescent="0.3">
      <c r="B657" s="174">
        <v>45762</v>
      </c>
      <c r="C657" s="174">
        <v>45779</v>
      </c>
      <c r="D657" s="60" t="s">
        <v>2890</v>
      </c>
      <c r="E657" s="83" t="s">
        <v>2891</v>
      </c>
      <c r="F657" s="83" t="s">
        <v>25</v>
      </c>
      <c r="G657" s="83" t="s">
        <v>26</v>
      </c>
      <c r="H657" s="128" t="s">
        <v>2892</v>
      </c>
      <c r="I657" s="83">
        <v>1</v>
      </c>
      <c r="J657" s="83" t="s">
        <v>2895</v>
      </c>
      <c r="K657" s="84" t="s">
        <v>2894</v>
      </c>
      <c r="L657" s="85">
        <v>56000000</v>
      </c>
      <c r="M657" s="133">
        <f t="shared" si="57"/>
        <v>56000000</v>
      </c>
      <c r="N657" s="86">
        <v>45777</v>
      </c>
      <c r="O657" s="20" t="s">
        <v>2893</v>
      </c>
      <c r="P657" s="22"/>
      <c r="Q657" s="38" t="s">
        <v>2896</v>
      </c>
      <c r="R657" s="19"/>
      <c r="S657" s="19"/>
    </row>
    <row r="658" spans="2:19" s="20" customFormat="1" ht="17.100000000000001" hidden="1" customHeight="1" x14ac:dyDescent="0.3">
      <c r="B658" s="174">
        <v>45764</v>
      </c>
      <c r="C658" s="174">
        <v>45775</v>
      </c>
      <c r="D658" s="60" t="s">
        <v>2898</v>
      </c>
      <c r="E658" s="83" t="s">
        <v>2899</v>
      </c>
      <c r="F658" s="83" t="s">
        <v>46</v>
      </c>
      <c r="G658" s="83" t="s">
        <v>21</v>
      </c>
      <c r="H658" s="128">
        <v>700</v>
      </c>
      <c r="I658" s="83">
        <v>4</v>
      </c>
      <c r="J658" s="83" t="s">
        <v>1285</v>
      </c>
      <c r="K658" s="84" t="s">
        <v>2916</v>
      </c>
      <c r="L658" s="85">
        <v>54510168</v>
      </c>
      <c r="M658" s="133">
        <f t="shared" si="57"/>
        <v>218040672</v>
      </c>
      <c r="N658" s="206">
        <v>45834</v>
      </c>
      <c r="O658" s="20" t="s">
        <v>2355</v>
      </c>
      <c r="P658" s="22" t="s">
        <v>2981</v>
      </c>
      <c r="Q658" s="38" t="s">
        <v>2766</v>
      </c>
      <c r="R658" s="19"/>
      <c r="S658" s="19"/>
    </row>
    <row r="659" spans="2:19" s="20" customFormat="1" ht="17.100000000000001" hidden="1" customHeight="1" x14ac:dyDescent="0.3">
      <c r="B659" s="174">
        <v>45770</v>
      </c>
      <c r="C659" s="174">
        <v>45776</v>
      </c>
      <c r="D659" s="60" t="s">
        <v>2904</v>
      </c>
      <c r="E659" s="83" t="s">
        <v>2905</v>
      </c>
      <c r="F659" s="83" t="s">
        <v>46</v>
      </c>
      <c r="G659" s="83" t="s">
        <v>21</v>
      </c>
      <c r="H659" s="128">
        <v>600</v>
      </c>
      <c r="I659" s="83">
        <v>4</v>
      </c>
      <c r="J659" s="83" t="s">
        <v>2906</v>
      </c>
      <c r="K659" s="84" t="s">
        <v>2907</v>
      </c>
      <c r="L659" s="85">
        <v>45724082</v>
      </c>
      <c r="M659" s="133">
        <f t="shared" si="57"/>
        <v>182896328</v>
      </c>
      <c r="N659" s="206">
        <v>45903</v>
      </c>
      <c r="O659" s="20" t="s">
        <v>2355</v>
      </c>
      <c r="P659" s="22"/>
      <c r="Q659" s="38" t="s">
        <v>2766</v>
      </c>
      <c r="R659" s="19"/>
      <c r="S659" s="19"/>
    </row>
    <row r="660" spans="2:19" s="20" customFormat="1" ht="17.100000000000001" hidden="1" customHeight="1" x14ac:dyDescent="0.3">
      <c r="B660" s="174">
        <v>45771</v>
      </c>
      <c r="C660" s="174">
        <v>45772</v>
      </c>
      <c r="D660" s="60" t="s">
        <v>2908</v>
      </c>
      <c r="E660" s="83" t="s">
        <v>2909</v>
      </c>
      <c r="F660" s="83" t="s">
        <v>25</v>
      </c>
      <c r="G660" s="83" t="s">
        <v>21</v>
      </c>
      <c r="H660" s="128" t="s">
        <v>2910</v>
      </c>
      <c r="I660" s="83">
        <v>1</v>
      </c>
      <c r="J660" s="83" t="s">
        <v>2913</v>
      </c>
      <c r="K660" s="84" t="s">
        <v>2911</v>
      </c>
      <c r="L660" s="85">
        <v>9200000</v>
      </c>
      <c r="M660" s="133">
        <f t="shared" si="57"/>
        <v>9200000</v>
      </c>
      <c r="N660" s="86">
        <v>45808</v>
      </c>
      <c r="P660" s="119" t="s">
        <v>2920</v>
      </c>
      <c r="Q660" s="38" t="s">
        <v>2912</v>
      </c>
      <c r="R660" s="19"/>
      <c r="S660" s="19"/>
    </row>
    <row r="661" spans="2:19" s="20" customFormat="1" ht="17.100000000000001" hidden="1" customHeight="1" x14ac:dyDescent="0.3">
      <c r="B661" s="174">
        <v>45772</v>
      </c>
      <c r="C661" s="174">
        <v>45784</v>
      </c>
      <c r="D661" s="60" t="s">
        <v>2914</v>
      </c>
      <c r="E661" s="83" t="s">
        <v>2915</v>
      </c>
      <c r="F661" s="83" t="s">
        <v>46</v>
      </c>
      <c r="G661" s="83" t="s">
        <v>21</v>
      </c>
      <c r="H661" s="128">
        <v>800</v>
      </c>
      <c r="I661" s="83">
        <v>4</v>
      </c>
      <c r="J661" s="83" t="s">
        <v>1285</v>
      </c>
      <c r="K661" s="84" t="s">
        <v>2916</v>
      </c>
      <c r="L661" s="85">
        <v>68305936</v>
      </c>
      <c r="M661" s="133">
        <f t="shared" si="57"/>
        <v>273223744</v>
      </c>
      <c r="N661" s="206">
        <v>45834</v>
      </c>
      <c r="O661" s="20" t="s">
        <v>2355</v>
      </c>
      <c r="P661" s="22" t="s">
        <v>2981</v>
      </c>
      <c r="Q661" s="38" t="s">
        <v>2766</v>
      </c>
      <c r="R661" s="19"/>
      <c r="S661" s="19"/>
    </row>
    <row r="662" spans="2:19" s="20" customFormat="1" ht="17.100000000000001" customHeight="1" x14ac:dyDescent="0.3">
      <c r="B662" s="174">
        <v>45774</v>
      </c>
      <c r="C662" s="174">
        <v>45777</v>
      </c>
      <c r="D662" s="60" t="s">
        <v>2486</v>
      </c>
      <c r="E662" s="83" t="s">
        <v>2918</v>
      </c>
      <c r="F662" s="83" t="s">
        <v>46</v>
      </c>
      <c r="G662" s="83" t="s">
        <v>21</v>
      </c>
      <c r="H662" s="128">
        <v>150</v>
      </c>
      <c r="I662" s="83">
        <v>2</v>
      </c>
      <c r="J662" s="83" t="s">
        <v>1213</v>
      </c>
      <c r="K662" s="84" t="s">
        <v>3413</v>
      </c>
      <c r="L662" s="85">
        <v>6820394</v>
      </c>
      <c r="M662" s="133">
        <f t="shared" si="57"/>
        <v>13640788</v>
      </c>
      <c r="N662" s="206">
        <v>46001</v>
      </c>
      <c r="O662" s="20" t="s">
        <v>2355</v>
      </c>
      <c r="P662" s="22"/>
      <c r="Q662" s="38" t="s">
        <v>2766</v>
      </c>
      <c r="R662" s="19"/>
      <c r="S662" s="19"/>
    </row>
    <row r="663" spans="2:19" s="20" customFormat="1" ht="17.100000000000001" hidden="1" customHeight="1" x14ac:dyDescent="0.3">
      <c r="B663" s="174">
        <v>45787</v>
      </c>
      <c r="C663" s="174">
        <v>45798</v>
      </c>
      <c r="D663" s="60" t="s">
        <v>2921</v>
      </c>
      <c r="E663" s="83" t="s">
        <v>2922</v>
      </c>
      <c r="F663" s="83" t="s">
        <v>46</v>
      </c>
      <c r="G663" s="83" t="s">
        <v>21</v>
      </c>
      <c r="H663" s="128">
        <v>700</v>
      </c>
      <c r="I663" s="83">
        <v>4</v>
      </c>
      <c r="J663" s="83" t="s">
        <v>1159</v>
      </c>
      <c r="K663" s="84" t="s">
        <v>2201</v>
      </c>
      <c r="L663" s="85">
        <v>54510168</v>
      </c>
      <c r="M663" s="133">
        <f t="shared" si="57"/>
        <v>218040672</v>
      </c>
      <c r="N663" s="206">
        <v>45839</v>
      </c>
      <c r="O663" s="20" t="s">
        <v>2355</v>
      </c>
      <c r="P663" s="22"/>
      <c r="Q663" s="38" t="s">
        <v>2766</v>
      </c>
      <c r="R663" s="19"/>
      <c r="S663" s="19"/>
    </row>
    <row r="664" spans="2:19" s="20" customFormat="1" ht="17.100000000000001" customHeight="1" x14ac:dyDescent="0.3">
      <c r="B664" s="174">
        <v>45789</v>
      </c>
      <c r="C664" s="174">
        <v>45804</v>
      </c>
      <c r="D664" s="60" t="s">
        <v>1661</v>
      </c>
      <c r="E664" s="83" t="s">
        <v>2923</v>
      </c>
      <c r="F664" s="83" t="s">
        <v>46</v>
      </c>
      <c r="G664" s="83" t="s">
        <v>21</v>
      </c>
      <c r="H664" s="128">
        <v>400</v>
      </c>
      <c r="I664" s="83">
        <v>2</v>
      </c>
      <c r="J664" s="83" t="s">
        <v>1213</v>
      </c>
      <c r="K664" s="84" t="s">
        <v>3413</v>
      </c>
      <c r="L664" s="85">
        <v>25319213</v>
      </c>
      <c r="M664" s="133">
        <f t="shared" ref="M664:M666" si="64">(L664*I664)+S664</f>
        <v>50638426</v>
      </c>
      <c r="N664" s="206">
        <v>46001</v>
      </c>
      <c r="O664" s="20" t="s">
        <v>2355</v>
      </c>
      <c r="P664" s="22"/>
      <c r="Q664" s="38" t="s">
        <v>2766</v>
      </c>
      <c r="R664" s="19"/>
      <c r="S664" s="19"/>
    </row>
    <row r="665" spans="2:19" s="20" customFormat="1" ht="17.100000000000001" hidden="1" customHeight="1" x14ac:dyDescent="0.3">
      <c r="B665" s="174">
        <v>45789</v>
      </c>
      <c r="C665" s="174">
        <v>45793</v>
      </c>
      <c r="D665" s="60" t="s">
        <v>2930</v>
      </c>
      <c r="E665" s="83" t="s">
        <v>2931</v>
      </c>
      <c r="F665" s="83" t="s">
        <v>46</v>
      </c>
      <c r="G665" s="83" t="s">
        <v>21</v>
      </c>
      <c r="H665" s="128">
        <v>65</v>
      </c>
      <c r="I665" s="83">
        <v>1</v>
      </c>
      <c r="J665" s="83" t="s">
        <v>299</v>
      </c>
      <c r="K665" s="84" t="s">
        <v>272</v>
      </c>
      <c r="L665" s="85">
        <v>1736000</v>
      </c>
      <c r="M665" s="133">
        <f t="shared" si="64"/>
        <v>1736000</v>
      </c>
      <c r="N665" s="86">
        <v>45818</v>
      </c>
      <c r="P665" s="22"/>
      <c r="Q665" s="38" t="s">
        <v>3105</v>
      </c>
      <c r="R665" s="19"/>
      <c r="S665" s="19"/>
    </row>
    <row r="666" spans="2:19" s="20" customFormat="1" ht="17.100000000000001" hidden="1" customHeight="1" x14ac:dyDescent="0.3">
      <c r="B666" s="174">
        <v>45792</v>
      </c>
      <c r="C666" s="174">
        <v>45850</v>
      </c>
      <c r="D666" s="60" t="s">
        <v>2929</v>
      </c>
      <c r="E666" s="83" t="s">
        <v>2927</v>
      </c>
      <c r="F666" s="83" t="s">
        <v>25</v>
      </c>
      <c r="G666" s="83" t="s">
        <v>21</v>
      </c>
      <c r="H666" s="128" t="s">
        <v>2928</v>
      </c>
      <c r="I666" s="83">
        <v>1</v>
      </c>
      <c r="J666" s="83" t="s">
        <v>776</v>
      </c>
      <c r="K666" s="165" t="s">
        <v>952</v>
      </c>
      <c r="L666" s="85">
        <v>199000000</v>
      </c>
      <c r="M666" s="133">
        <f t="shared" si="64"/>
        <v>199000000</v>
      </c>
      <c r="N666" s="86">
        <v>45869</v>
      </c>
      <c r="O666" s="20" t="s">
        <v>953</v>
      </c>
      <c r="P666" s="171" t="s">
        <v>2959</v>
      </c>
      <c r="Q666" s="38" t="s">
        <v>2957</v>
      </c>
      <c r="R666" s="19"/>
      <c r="S666" s="19"/>
    </row>
    <row r="667" spans="2:19" s="20" customFormat="1" ht="17.100000000000001" customHeight="1" x14ac:dyDescent="0.3">
      <c r="B667" s="174">
        <v>45798</v>
      </c>
      <c r="C667" s="174">
        <v>45804</v>
      </c>
      <c r="D667" s="60" t="s">
        <v>2934</v>
      </c>
      <c r="E667" s="83" t="s">
        <v>2932</v>
      </c>
      <c r="F667" s="83" t="s">
        <v>46</v>
      </c>
      <c r="G667" s="83" t="s">
        <v>21</v>
      </c>
      <c r="H667" s="128">
        <v>200</v>
      </c>
      <c r="I667" s="83">
        <v>2</v>
      </c>
      <c r="J667" s="83" t="s">
        <v>1213</v>
      </c>
      <c r="K667" s="84" t="s">
        <v>3413</v>
      </c>
      <c r="L667" s="85">
        <v>10235655</v>
      </c>
      <c r="M667" s="133">
        <f t="shared" ref="M667:M668" si="65">(L667*I667)+S667</f>
        <v>20471310</v>
      </c>
      <c r="N667" s="206">
        <v>46001</v>
      </c>
      <c r="O667" s="20" t="s">
        <v>2355</v>
      </c>
      <c r="P667" s="22"/>
      <c r="Q667" s="38" t="s">
        <v>2766</v>
      </c>
      <c r="R667" s="19"/>
      <c r="S667" s="19"/>
    </row>
    <row r="668" spans="2:19" s="20" customFormat="1" ht="17.100000000000001" hidden="1" customHeight="1" x14ac:dyDescent="0.3">
      <c r="B668" s="174">
        <v>45799</v>
      </c>
      <c r="C668" s="174">
        <v>45803</v>
      </c>
      <c r="D668" s="60" t="s">
        <v>2933</v>
      </c>
      <c r="E668" s="83" t="s">
        <v>2935</v>
      </c>
      <c r="F668" s="83" t="s">
        <v>46</v>
      </c>
      <c r="G668" s="83" t="s">
        <v>21</v>
      </c>
      <c r="H668" s="128">
        <v>250</v>
      </c>
      <c r="I668" s="83">
        <v>2</v>
      </c>
      <c r="J668" s="83" t="s">
        <v>1285</v>
      </c>
      <c r="K668" s="84" t="s">
        <v>2936</v>
      </c>
      <c r="L668" s="85">
        <v>13170101</v>
      </c>
      <c r="M668" s="133">
        <f t="shared" si="65"/>
        <v>26340202</v>
      </c>
      <c r="N668" s="206">
        <v>45834</v>
      </c>
      <c r="O668" s="20" t="s">
        <v>2355</v>
      </c>
      <c r="P668" s="22" t="s">
        <v>2981</v>
      </c>
      <c r="Q668" s="38" t="s">
        <v>2766</v>
      </c>
      <c r="R668" s="19"/>
      <c r="S668" s="19"/>
    </row>
    <row r="669" spans="2:19" s="20" customFormat="1" ht="17.100000000000001" hidden="1" customHeight="1" x14ac:dyDescent="0.3">
      <c r="B669" s="174">
        <v>45800</v>
      </c>
      <c r="C669" s="174">
        <v>45807</v>
      </c>
      <c r="D669" s="60" t="s">
        <v>2937</v>
      </c>
      <c r="E669" s="83" t="s">
        <v>2938</v>
      </c>
      <c r="F669" s="83" t="s">
        <v>46</v>
      </c>
      <c r="G669" s="83" t="s">
        <v>21</v>
      </c>
      <c r="H669" s="128">
        <v>250</v>
      </c>
      <c r="I669" s="83">
        <v>2</v>
      </c>
      <c r="J669" s="83" t="s">
        <v>2939</v>
      </c>
      <c r="K669" s="84" t="s">
        <v>3436</v>
      </c>
      <c r="L669" s="85">
        <v>13170101</v>
      </c>
      <c r="M669" s="133">
        <f t="shared" si="57"/>
        <v>26340202</v>
      </c>
      <c r="N669" s="206">
        <v>45832</v>
      </c>
      <c r="O669" s="20" t="s">
        <v>2355</v>
      </c>
      <c r="P669" s="22"/>
      <c r="Q669" s="38" t="s">
        <v>2766</v>
      </c>
      <c r="R669" s="19"/>
      <c r="S669" s="19"/>
    </row>
    <row r="670" spans="2:19" s="20" customFormat="1" ht="17.100000000000001" hidden="1" customHeight="1" x14ac:dyDescent="0.3">
      <c r="B670" s="174">
        <v>45801</v>
      </c>
      <c r="C670" s="174">
        <v>45810</v>
      </c>
      <c r="D670" s="60" t="s">
        <v>2940</v>
      </c>
      <c r="E670" s="83" t="s">
        <v>2941</v>
      </c>
      <c r="F670" s="83" t="s">
        <v>46</v>
      </c>
      <c r="G670" s="83" t="s">
        <v>21</v>
      </c>
      <c r="H670" s="128">
        <v>300</v>
      </c>
      <c r="I670" s="83">
        <v>1</v>
      </c>
      <c r="J670" s="83" t="s">
        <v>83</v>
      </c>
      <c r="K670" s="84" t="s">
        <v>419</v>
      </c>
      <c r="L670" s="85">
        <v>13500000</v>
      </c>
      <c r="M670" s="133">
        <f t="shared" si="57"/>
        <v>13500000</v>
      </c>
      <c r="N670" s="86">
        <v>45833</v>
      </c>
      <c r="O670" s="20" t="s">
        <v>2994</v>
      </c>
      <c r="P670" s="22"/>
      <c r="Q670" s="38" t="s">
        <v>3497</v>
      </c>
      <c r="R670" s="19"/>
      <c r="S670" s="19"/>
    </row>
    <row r="671" spans="2:19" s="20" customFormat="1" ht="17.100000000000001" hidden="1" customHeight="1" x14ac:dyDescent="0.3">
      <c r="B671" s="174">
        <v>45805</v>
      </c>
      <c r="C671" s="174">
        <v>45819</v>
      </c>
      <c r="D671" s="60" t="s">
        <v>2943</v>
      </c>
      <c r="E671" s="83" t="s">
        <v>2942</v>
      </c>
      <c r="F671" s="83" t="s">
        <v>46</v>
      </c>
      <c r="G671" s="83" t="s">
        <v>21</v>
      </c>
      <c r="H671" s="128">
        <v>750</v>
      </c>
      <c r="I671" s="83">
        <v>1</v>
      </c>
      <c r="J671" s="83" t="s">
        <v>83</v>
      </c>
      <c r="K671" s="84" t="s">
        <v>2944</v>
      </c>
      <c r="L671" s="85">
        <v>41000000</v>
      </c>
      <c r="M671" s="133">
        <f t="shared" si="57"/>
        <v>41000000</v>
      </c>
      <c r="N671" s="86">
        <v>45819</v>
      </c>
      <c r="P671" s="22"/>
      <c r="Q671" s="38" t="s">
        <v>2945</v>
      </c>
      <c r="R671" s="19"/>
      <c r="S671" s="19"/>
    </row>
    <row r="672" spans="2:19" s="20" customFormat="1" ht="17.100000000000001" hidden="1" customHeight="1" x14ac:dyDescent="0.3">
      <c r="B672" s="174">
        <v>45807</v>
      </c>
      <c r="C672" s="174">
        <v>45876</v>
      </c>
      <c r="D672" s="60" t="s">
        <v>2950</v>
      </c>
      <c r="E672" s="83" t="s">
        <v>3086</v>
      </c>
      <c r="F672" s="83" t="s">
        <v>25</v>
      </c>
      <c r="G672" s="83" t="s">
        <v>21</v>
      </c>
      <c r="H672" s="128">
        <v>1350</v>
      </c>
      <c r="I672" s="83">
        <v>1</v>
      </c>
      <c r="J672" s="83" t="s">
        <v>2951</v>
      </c>
      <c r="K672" s="84" t="s">
        <v>2952</v>
      </c>
      <c r="L672" s="85">
        <v>43451650</v>
      </c>
      <c r="M672" s="133">
        <f t="shared" ref="M672:M824" si="66">(L672*I672)+S672</f>
        <v>43451650</v>
      </c>
      <c r="N672" s="86">
        <v>45838</v>
      </c>
      <c r="O672" s="20" t="s">
        <v>2953</v>
      </c>
      <c r="P672" s="22" t="s">
        <v>3003</v>
      </c>
      <c r="Q672" s="38" t="s">
        <v>2954</v>
      </c>
      <c r="R672" s="19"/>
      <c r="S672" s="19"/>
    </row>
    <row r="673" spans="2:19" s="20" customFormat="1" ht="17.100000000000001" hidden="1" customHeight="1" x14ac:dyDescent="0.3">
      <c r="B673" s="174">
        <v>45807</v>
      </c>
      <c r="C673" s="174">
        <v>45876</v>
      </c>
      <c r="D673" s="60" t="s">
        <v>2955</v>
      </c>
      <c r="E673" s="83" t="s">
        <v>2956</v>
      </c>
      <c r="F673" s="83" t="s">
        <v>25</v>
      </c>
      <c r="G673" s="83" t="s">
        <v>21</v>
      </c>
      <c r="H673" s="128">
        <v>700</v>
      </c>
      <c r="I673" s="83">
        <v>1</v>
      </c>
      <c r="J673" s="83" t="s">
        <v>2951</v>
      </c>
      <c r="K673" s="84" t="s">
        <v>2952</v>
      </c>
      <c r="L673" s="85">
        <v>19563017</v>
      </c>
      <c r="M673" s="133">
        <f t="shared" si="66"/>
        <v>19563017</v>
      </c>
      <c r="N673" s="86">
        <v>45838</v>
      </c>
      <c r="O673" s="20" t="s">
        <v>2953</v>
      </c>
      <c r="P673" s="22"/>
      <c r="Q673" s="38" t="s">
        <v>2954</v>
      </c>
      <c r="R673" s="19"/>
      <c r="S673" s="19"/>
    </row>
    <row r="674" spans="2:19" s="20" customFormat="1" ht="17.100000000000001" hidden="1" customHeight="1" x14ac:dyDescent="0.3">
      <c r="B674" s="174">
        <v>45818</v>
      </c>
      <c r="C674" s="174">
        <v>45821</v>
      </c>
      <c r="D674" s="60" t="s">
        <v>3128</v>
      </c>
      <c r="E674" s="83" t="s">
        <v>3064</v>
      </c>
      <c r="F674" s="83" t="s">
        <v>46</v>
      </c>
      <c r="G674" s="83" t="s">
        <v>21</v>
      </c>
      <c r="H674" s="128" t="s">
        <v>2963</v>
      </c>
      <c r="I674" s="83">
        <v>1</v>
      </c>
      <c r="J674" s="83" t="s">
        <v>83</v>
      </c>
      <c r="K674" s="84" t="s">
        <v>461</v>
      </c>
      <c r="L674" s="85">
        <v>12318000</v>
      </c>
      <c r="M674" s="133">
        <f t="shared" si="66"/>
        <v>18256000</v>
      </c>
      <c r="N674" s="86">
        <v>45898</v>
      </c>
      <c r="O674" s="20" t="s">
        <v>2298</v>
      </c>
      <c r="P674" s="22"/>
      <c r="Q674" s="178" t="s">
        <v>3126</v>
      </c>
      <c r="R674" s="19">
        <v>6114000</v>
      </c>
      <c r="S674" s="19">
        <v>5938000</v>
      </c>
    </row>
    <row r="675" spans="2:19" s="20" customFormat="1" ht="17.100000000000001" customHeight="1" x14ac:dyDescent="0.3">
      <c r="B675" s="174">
        <v>45819</v>
      </c>
      <c r="C675" s="174">
        <v>45822</v>
      </c>
      <c r="D675" s="60" t="s">
        <v>2961</v>
      </c>
      <c r="E675" s="83" t="s">
        <v>2962</v>
      </c>
      <c r="F675" s="83" t="s">
        <v>46</v>
      </c>
      <c r="G675" s="83" t="s">
        <v>21</v>
      </c>
      <c r="H675" s="128">
        <v>300</v>
      </c>
      <c r="I675" s="83">
        <v>4</v>
      </c>
      <c r="J675" s="83" t="s">
        <v>1285</v>
      </c>
      <c r="K675" s="84" t="s">
        <v>2381</v>
      </c>
      <c r="L675" s="85">
        <v>16193727</v>
      </c>
      <c r="M675" s="133">
        <f t="shared" si="66"/>
        <v>64774908</v>
      </c>
      <c r="N675" s="206">
        <v>46001</v>
      </c>
      <c r="O675" s="20" t="s">
        <v>2355</v>
      </c>
      <c r="P675" s="168" t="s">
        <v>2980</v>
      </c>
      <c r="Q675" s="38" t="s">
        <v>2766</v>
      </c>
      <c r="R675" s="19"/>
      <c r="S675" s="19"/>
    </row>
    <row r="676" spans="2:19" s="20" customFormat="1" ht="17.100000000000001" customHeight="1" x14ac:dyDescent="0.3">
      <c r="B676" s="86">
        <v>45820</v>
      </c>
      <c r="C676" s="86">
        <v>45826</v>
      </c>
      <c r="D676" s="139" t="s">
        <v>2914</v>
      </c>
      <c r="E676" s="83" t="s">
        <v>2965</v>
      </c>
      <c r="F676" s="83" t="s">
        <v>46</v>
      </c>
      <c r="G676" s="83" t="s">
        <v>21</v>
      </c>
      <c r="H676" s="128">
        <v>800</v>
      </c>
      <c r="I676" s="83">
        <v>4</v>
      </c>
      <c r="J676" s="83" t="s">
        <v>1285</v>
      </c>
      <c r="K676" s="84" t="s">
        <v>2967</v>
      </c>
      <c r="L676" s="85">
        <v>68305936</v>
      </c>
      <c r="M676" s="133">
        <f t="shared" si="66"/>
        <v>273223744</v>
      </c>
      <c r="N676" s="206">
        <v>46001</v>
      </c>
      <c r="O676" s="20" t="s">
        <v>2355</v>
      </c>
      <c r="P676" s="168" t="s">
        <v>2984</v>
      </c>
      <c r="Q676" s="38" t="s">
        <v>2766</v>
      </c>
      <c r="R676" s="19"/>
      <c r="S676" s="19"/>
    </row>
    <row r="677" spans="2:19" s="20" customFormat="1" ht="17.100000000000001" customHeight="1" x14ac:dyDescent="0.3">
      <c r="B677" s="174">
        <v>45824</v>
      </c>
      <c r="C677" s="174">
        <v>45836</v>
      </c>
      <c r="D677" s="60" t="s">
        <v>2968</v>
      </c>
      <c r="E677" s="83" t="s">
        <v>2969</v>
      </c>
      <c r="F677" s="83" t="s">
        <v>46</v>
      </c>
      <c r="G677" s="83" t="s">
        <v>21</v>
      </c>
      <c r="H677" s="128">
        <v>400</v>
      </c>
      <c r="I677" s="83">
        <v>4</v>
      </c>
      <c r="J677" s="83" t="s">
        <v>1213</v>
      </c>
      <c r="K677" s="84" t="s">
        <v>3414</v>
      </c>
      <c r="L677" s="85">
        <v>25319213</v>
      </c>
      <c r="M677" s="133">
        <f t="shared" si="66"/>
        <v>101276852</v>
      </c>
      <c r="N677" s="206">
        <v>46001</v>
      </c>
      <c r="O677" s="20" t="s">
        <v>2355</v>
      </c>
      <c r="P677" s="22"/>
      <c r="Q677" s="38" t="s">
        <v>2766</v>
      </c>
      <c r="R677" s="19"/>
      <c r="S677" s="19"/>
    </row>
    <row r="678" spans="2:19" s="20" customFormat="1" ht="17.100000000000001" hidden="1" customHeight="1" x14ac:dyDescent="0.3">
      <c r="B678" s="174">
        <v>45826</v>
      </c>
      <c r="C678" s="174">
        <v>45836</v>
      </c>
      <c r="D678" s="60" t="s">
        <v>2966</v>
      </c>
      <c r="E678" s="83" t="s">
        <v>2970</v>
      </c>
      <c r="F678" s="83" t="s">
        <v>46</v>
      </c>
      <c r="G678" s="83" t="s">
        <v>21</v>
      </c>
      <c r="H678" s="128">
        <v>800</v>
      </c>
      <c r="I678" s="83">
        <v>4</v>
      </c>
      <c r="J678" s="83" t="s">
        <v>1159</v>
      </c>
      <c r="K678" s="84" t="s">
        <v>2201</v>
      </c>
      <c r="L678" s="85">
        <v>68305936</v>
      </c>
      <c r="M678" s="133">
        <f t="shared" si="66"/>
        <v>273223744</v>
      </c>
      <c r="N678" s="206">
        <v>45839</v>
      </c>
      <c r="O678" s="20" t="s">
        <v>2355</v>
      </c>
      <c r="P678" s="22"/>
      <c r="Q678" s="38" t="s">
        <v>2766</v>
      </c>
      <c r="R678" s="19"/>
      <c r="S678" s="19"/>
    </row>
    <row r="679" spans="2:19" s="20" customFormat="1" ht="17.100000000000001" hidden="1" customHeight="1" x14ac:dyDescent="0.3">
      <c r="B679" s="86">
        <v>45827</v>
      </c>
      <c r="C679" s="86">
        <v>45829</v>
      </c>
      <c r="D679" s="60" t="s">
        <v>2373</v>
      </c>
      <c r="E679" s="83" t="s">
        <v>2972</v>
      </c>
      <c r="F679" s="83" t="s">
        <v>46</v>
      </c>
      <c r="G679" s="83" t="s">
        <v>21</v>
      </c>
      <c r="H679" s="128">
        <v>250</v>
      </c>
      <c r="I679" s="83">
        <v>2</v>
      </c>
      <c r="J679" s="83" t="s">
        <v>3002</v>
      </c>
      <c r="K679" s="84" t="s">
        <v>606</v>
      </c>
      <c r="L679" s="85">
        <v>13170101</v>
      </c>
      <c r="M679" s="133">
        <f t="shared" si="66"/>
        <v>26340202</v>
      </c>
      <c r="N679" s="206">
        <v>45852</v>
      </c>
      <c r="O679" s="20" t="s">
        <v>2355</v>
      </c>
      <c r="P679" s="22"/>
      <c r="Q679" s="38" t="s">
        <v>2766</v>
      </c>
      <c r="R679" s="19"/>
      <c r="S679" s="19"/>
    </row>
    <row r="680" spans="2:19" s="20" customFormat="1" ht="17.100000000000001" hidden="1" customHeight="1" x14ac:dyDescent="0.3">
      <c r="B680" s="174">
        <v>45831</v>
      </c>
      <c r="C680" s="174">
        <v>45835</v>
      </c>
      <c r="D680" s="60" t="s">
        <v>2974</v>
      </c>
      <c r="E680" s="83" t="s">
        <v>2975</v>
      </c>
      <c r="F680" s="83" t="s">
        <v>46</v>
      </c>
      <c r="G680" s="83" t="s">
        <v>21</v>
      </c>
      <c r="H680" s="128">
        <v>500</v>
      </c>
      <c r="I680" s="83">
        <v>4</v>
      </c>
      <c r="J680" s="83" t="s">
        <v>2978</v>
      </c>
      <c r="K680" s="84" t="s">
        <v>2907</v>
      </c>
      <c r="L680" s="85">
        <v>34346759</v>
      </c>
      <c r="M680" s="133">
        <f t="shared" si="66"/>
        <v>137387036</v>
      </c>
      <c r="N680" s="206">
        <v>45903</v>
      </c>
      <c r="O680" s="20" t="s">
        <v>2355</v>
      </c>
      <c r="P680" s="22"/>
      <c r="Q680" s="38" t="s">
        <v>2766</v>
      </c>
      <c r="R680" s="19"/>
      <c r="S680" s="19"/>
    </row>
    <row r="681" spans="2:19" s="20" customFormat="1" ht="17.100000000000001" customHeight="1" x14ac:dyDescent="0.3">
      <c r="B681" s="174">
        <v>45831</v>
      </c>
      <c r="C681" s="174">
        <v>45834</v>
      </c>
      <c r="D681" s="60" t="s">
        <v>2976</v>
      </c>
      <c r="E681" s="83" t="s">
        <v>2977</v>
      </c>
      <c r="F681" s="83" t="s">
        <v>46</v>
      </c>
      <c r="G681" s="83" t="s">
        <v>21</v>
      </c>
      <c r="H681" s="128">
        <v>125</v>
      </c>
      <c r="I681" s="83">
        <v>2</v>
      </c>
      <c r="J681" s="83" t="s">
        <v>2979</v>
      </c>
      <c r="K681" s="84" t="s">
        <v>2301</v>
      </c>
      <c r="L681" s="85">
        <v>5563634</v>
      </c>
      <c r="M681" s="133">
        <f t="shared" si="66"/>
        <v>11127268</v>
      </c>
      <c r="N681" s="206">
        <v>46001</v>
      </c>
      <c r="O681" s="20" t="s">
        <v>2355</v>
      </c>
      <c r="P681" s="22" t="s">
        <v>3348</v>
      </c>
      <c r="Q681" s="38" t="s">
        <v>2766</v>
      </c>
      <c r="R681" s="19"/>
      <c r="S681" s="19"/>
    </row>
    <row r="682" spans="2:19" s="20" customFormat="1" ht="17.100000000000001" hidden="1" customHeight="1" x14ac:dyDescent="0.3">
      <c r="B682" s="174">
        <v>45833</v>
      </c>
      <c r="C682" s="174">
        <v>45835</v>
      </c>
      <c r="D682" s="60" t="s">
        <v>2982</v>
      </c>
      <c r="E682" s="83" t="s">
        <v>2983</v>
      </c>
      <c r="F682" s="83" t="s">
        <v>46</v>
      </c>
      <c r="G682" s="83" t="s">
        <v>21</v>
      </c>
      <c r="H682" s="128" t="s">
        <v>2995</v>
      </c>
      <c r="I682" s="83">
        <v>1</v>
      </c>
      <c r="J682" s="83" t="s">
        <v>49</v>
      </c>
      <c r="K682" s="84" t="s">
        <v>512</v>
      </c>
      <c r="L682" s="85">
        <v>17128000</v>
      </c>
      <c r="M682" s="133">
        <f t="shared" si="66"/>
        <v>20000000</v>
      </c>
      <c r="N682" s="86">
        <v>45838</v>
      </c>
      <c r="O682" s="20" t="s">
        <v>2380</v>
      </c>
      <c r="P682" s="22"/>
      <c r="Q682" s="38" t="s">
        <v>2767</v>
      </c>
      <c r="R682" s="19">
        <v>2872000</v>
      </c>
      <c r="S682" s="19">
        <v>2872000</v>
      </c>
    </row>
    <row r="683" spans="2:19" s="20" customFormat="1" ht="17.100000000000001" customHeight="1" x14ac:dyDescent="0.3">
      <c r="B683" s="174">
        <v>45834</v>
      </c>
      <c r="C683" s="174">
        <v>45835</v>
      </c>
      <c r="D683" s="60" t="s">
        <v>2985</v>
      </c>
      <c r="E683" s="83" t="s">
        <v>2986</v>
      </c>
      <c r="F683" s="83" t="s">
        <v>46</v>
      </c>
      <c r="G683" s="83" t="s">
        <v>21</v>
      </c>
      <c r="H683" s="128">
        <v>250</v>
      </c>
      <c r="I683" s="83">
        <v>2</v>
      </c>
      <c r="J683" s="83" t="s">
        <v>2987</v>
      </c>
      <c r="K683" s="84" t="s">
        <v>2793</v>
      </c>
      <c r="L683" s="85">
        <v>13170101</v>
      </c>
      <c r="M683" s="133">
        <f t="shared" si="66"/>
        <v>26340202</v>
      </c>
      <c r="N683" s="206">
        <v>46001</v>
      </c>
      <c r="O683" s="20" t="s">
        <v>2355</v>
      </c>
      <c r="P683" s="22"/>
      <c r="Q683" s="38" t="s">
        <v>2766</v>
      </c>
      <c r="R683" s="19"/>
      <c r="S683" s="19"/>
    </row>
    <row r="684" spans="2:19" s="20" customFormat="1" ht="16.5" hidden="1" customHeight="1" x14ac:dyDescent="0.3">
      <c r="B684" s="174">
        <v>45834</v>
      </c>
      <c r="C684" s="174">
        <v>45889</v>
      </c>
      <c r="D684" s="60" t="s">
        <v>2988</v>
      </c>
      <c r="E684" s="83" t="s">
        <v>2989</v>
      </c>
      <c r="F684" s="83" t="s">
        <v>25</v>
      </c>
      <c r="G684" s="83" t="s">
        <v>21</v>
      </c>
      <c r="H684" s="128" t="s">
        <v>2990</v>
      </c>
      <c r="I684" s="83">
        <v>1</v>
      </c>
      <c r="J684" s="83" t="s">
        <v>2951</v>
      </c>
      <c r="K684" s="84" t="s">
        <v>2991</v>
      </c>
      <c r="L684" s="85">
        <v>33100000</v>
      </c>
      <c r="M684" s="133">
        <f t="shared" si="66"/>
        <v>33100000</v>
      </c>
      <c r="N684" s="86">
        <v>45865</v>
      </c>
      <c r="O684" s="20" t="s">
        <v>2953</v>
      </c>
      <c r="P684" s="22"/>
      <c r="Q684" s="38" t="s">
        <v>2954</v>
      </c>
      <c r="R684" s="19"/>
      <c r="S684" s="19"/>
    </row>
    <row r="685" spans="2:19" s="20" customFormat="1" ht="16.5" hidden="1" customHeight="1" x14ac:dyDescent="0.3">
      <c r="B685" s="174">
        <v>45838</v>
      </c>
      <c r="C685" s="174">
        <v>45922</v>
      </c>
      <c r="D685" s="60" t="s">
        <v>2996</v>
      </c>
      <c r="E685" s="83" t="s">
        <v>2997</v>
      </c>
      <c r="F685" s="83" t="s">
        <v>25</v>
      </c>
      <c r="G685" s="83" t="s">
        <v>21</v>
      </c>
      <c r="H685" s="128" t="s">
        <v>2998</v>
      </c>
      <c r="I685" s="83">
        <v>1</v>
      </c>
      <c r="J685" s="83" t="s">
        <v>2999</v>
      </c>
      <c r="K685" s="84" t="s">
        <v>952</v>
      </c>
      <c r="L685" s="85">
        <v>104000000</v>
      </c>
      <c r="M685" s="133">
        <f t="shared" si="66"/>
        <v>104000000</v>
      </c>
      <c r="N685" s="86">
        <v>45961</v>
      </c>
      <c r="P685" s="22"/>
      <c r="Q685" s="38" t="s">
        <v>2957</v>
      </c>
      <c r="R685" s="19"/>
      <c r="S685" s="19"/>
    </row>
    <row r="686" spans="2:19" s="20" customFormat="1" ht="16.5" hidden="1" customHeight="1" x14ac:dyDescent="0.3">
      <c r="B686" s="174">
        <v>45839</v>
      </c>
      <c r="C686" s="174">
        <v>45913</v>
      </c>
      <c r="D686" s="60" t="s">
        <v>3036</v>
      </c>
      <c r="E686" s="83" t="s">
        <v>3037</v>
      </c>
      <c r="F686" s="83" t="s">
        <v>25</v>
      </c>
      <c r="G686" s="83" t="s">
        <v>21</v>
      </c>
      <c r="H686" s="128" t="s">
        <v>3038</v>
      </c>
      <c r="I686" s="83">
        <v>1</v>
      </c>
      <c r="J686" s="83" t="s">
        <v>2951</v>
      </c>
      <c r="K686" s="84" t="s">
        <v>2991</v>
      </c>
      <c r="L686" s="85">
        <v>184823780</v>
      </c>
      <c r="M686" s="133">
        <f t="shared" ref="M686" si="67">(L686*I686)+S686</f>
        <v>184823780</v>
      </c>
      <c r="N686" s="86">
        <v>45930</v>
      </c>
      <c r="O686" s="20" t="s">
        <v>2953</v>
      </c>
      <c r="P686" s="119" t="s">
        <v>3251</v>
      </c>
      <c r="Q686" s="38" t="s">
        <v>2954</v>
      </c>
      <c r="R686" s="19"/>
      <c r="S686" s="19"/>
    </row>
    <row r="687" spans="2:19" s="20" customFormat="1" ht="16.5" customHeight="1" x14ac:dyDescent="0.3">
      <c r="B687" s="174">
        <v>45840</v>
      </c>
      <c r="C687" s="174">
        <v>45843</v>
      </c>
      <c r="D687" s="60" t="s">
        <v>3034</v>
      </c>
      <c r="E687" s="83" t="s">
        <v>3035</v>
      </c>
      <c r="F687" s="83" t="s">
        <v>46</v>
      </c>
      <c r="G687" s="83" t="s">
        <v>21</v>
      </c>
      <c r="H687" s="128">
        <v>700</v>
      </c>
      <c r="I687" s="83">
        <v>2</v>
      </c>
      <c r="J687" s="83" t="s">
        <v>1213</v>
      </c>
      <c r="K687" s="84" t="s">
        <v>3413</v>
      </c>
      <c r="L687" s="85">
        <v>54510168</v>
      </c>
      <c r="M687" s="133">
        <f t="shared" si="66"/>
        <v>109020336</v>
      </c>
      <c r="N687" s="206">
        <v>46001</v>
      </c>
      <c r="O687" s="20" t="s">
        <v>2355</v>
      </c>
      <c r="P687" s="22"/>
      <c r="Q687" s="38" t="s">
        <v>2766</v>
      </c>
      <c r="R687" s="19"/>
      <c r="S687" s="19"/>
    </row>
    <row r="688" spans="2:19" s="20" customFormat="1" ht="16.5" hidden="1" customHeight="1" x14ac:dyDescent="0.3">
      <c r="B688" s="174">
        <v>45841</v>
      </c>
      <c r="C688" s="174">
        <v>45958</v>
      </c>
      <c r="D688" s="60" t="s">
        <v>3032</v>
      </c>
      <c r="E688" s="83" t="s">
        <v>2779</v>
      </c>
      <c r="F688" s="83" t="s">
        <v>25</v>
      </c>
      <c r="G688" s="83" t="s">
        <v>26</v>
      </c>
      <c r="H688" s="128">
        <v>700</v>
      </c>
      <c r="I688" s="83">
        <v>1</v>
      </c>
      <c r="J688" s="83"/>
      <c r="K688" s="84" t="s">
        <v>2964</v>
      </c>
      <c r="L688" s="85">
        <v>64000000</v>
      </c>
      <c r="M688" s="133">
        <f t="shared" si="66"/>
        <v>64000000</v>
      </c>
      <c r="N688" s="86">
        <v>45961</v>
      </c>
      <c r="O688" s="20" t="s">
        <v>2971</v>
      </c>
      <c r="P688" s="22"/>
      <c r="Q688" s="38" t="s">
        <v>3033</v>
      </c>
      <c r="R688" s="19"/>
      <c r="S688" s="19"/>
    </row>
    <row r="689" spans="2:19" s="20" customFormat="1" ht="16.5" hidden="1" customHeight="1" x14ac:dyDescent="0.3">
      <c r="B689" s="174">
        <v>45845</v>
      </c>
      <c r="C689" s="174">
        <v>45846</v>
      </c>
      <c r="D689" s="60" t="s">
        <v>3039</v>
      </c>
      <c r="E689" s="83" t="s">
        <v>3040</v>
      </c>
      <c r="F689" s="83" t="s">
        <v>46</v>
      </c>
      <c r="G689" s="83" t="s">
        <v>21</v>
      </c>
      <c r="H689" s="128" t="s">
        <v>3121</v>
      </c>
      <c r="I689" s="83">
        <v>1</v>
      </c>
      <c r="J689" s="83"/>
      <c r="K689" s="84" t="s">
        <v>3041</v>
      </c>
      <c r="L689" s="85">
        <v>29792000</v>
      </c>
      <c r="M689" s="133">
        <f t="shared" si="66"/>
        <v>29792000</v>
      </c>
      <c r="N689" s="86">
        <v>45896</v>
      </c>
      <c r="P689" s="22"/>
      <c r="Q689" s="38" t="s">
        <v>3105</v>
      </c>
      <c r="R689" s="19"/>
      <c r="S689" s="19"/>
    </row>
    <row r="690" spans="2:19" s="20" customFormat="1" ht="16.5" hidden="1" customHeight="1" x14ac:dyDescent="0.3">
      <c r="B690" s="174">
        <v>45846</v>
      </c>
      <c r="C690" s="174">
        <v>45852</v>
      </c>
      <c r="D690" s="60" t="s">
        <v>3042</v>
      </c>
      <c r="E690" s="83" t="s">
        <v>3043</v>
      </c>
      <c r="F690" s="83" t="s">
        <v>46</v>
      </c>
      <c r="G690" s="83" t="s">
        <v>21</v>
      </c>
      <c r="H690" s="128">
        <v>850</v>
      </c>
      <c r="I690" s="83">
        <v>2</v>
      </c>
      <c r="J690" s="83" t="s">
        <v>3044</v>
      </c>
      <c r="K690" s="84" t="s">
        <v>3045</v>
      </c>
      <c r="L690" s="85">
        <v>80224811</v>
      </c>
      <c r="M690" s="133">
        <f t="shared" ref="M690" si="68">(L690*I690)+S690</f>
        <v>160449622</v>
      </c>
      <c r="N690" s="206">
        <v>45925</v>
      </c>
      <c r="O690" s="20" t="s">
        <v>2355</v>
      </c>
      <c r="P690" s="22"/>
      <c r="Q690" s="38" t="s">
        <v>2766</v>
      </c>
      <c r="R690" s="19"/>
      <c r="S690" s="19"/>
    </row>
    <row r="691" spans="2:19" s="20" customFormat="1" ht="16.5" customHeight="1" x14ac:dyDescent="0.3">
      <c r="B691" s="174">
        <v>45847</v>
      </c>
      <c r="C691" s="174">
        <v>45850</v>
      </c>
      <c r="D691" s="60" t="s">
        <v>3046</v>
      </c>
      <c r="E691" s="83" t="s">
        <v>3047</v>
      </c>
      <c r="F691" s="83" t="s">
        <v>46</v>
      </c>
      <c r="G691" s="83" t="s">
        <v>21</v>
      </c>
      <c r="H691" s="128">
        <v>600</v>
      </c>
      <c r="I691" s="83">
        <v>2</v>
      </c>
      <c r="J691" s="83" t="s">
        <v>3048</v>
      </c>
      <c r="K691" s="84" t="s">
        <v>3049</v>
      </c>
      <c r="L691" s="85">
        <v>45724082</v>
      </c>
      <c r="M691" s="133">
        <f t="shared" si="66"/>
        <v>91448164</v>
      </c>
      <c r="N691" s="206">
        <v>46001</v>
      </c>
      <c r="O691" s="20" t="s">
        <v>2355</v>
      </c>
      <c r="P691" s="22" t="s">
        <v>3350</v>
      </c>
      <c r="Q691" s="38" t="s">
        <v>2766</v>
      </c>
      <c r="R691" s="19"/>
      <c r="S691" s="19"/>
    </row>
    <row r="692" spans="2:19" s="20" customFormat="1" ht="16.5" customHeight="1" x14ac:dyDescent="0.3">
      <c r="B692" s="174">
        <v>45849</v>
      </c>
      <c r="C692" s="174">
        <v>45854</v>
      </c>
      <c r="D692" s="60" t="s">
        <v>3558</v>
      </c>
      <c r="E692" s="83" t="s">
        <v>3052</v>
      </c>
      <c r="F692" s="83" t="s">
        <v>46</v>
      </c>
      <c r="G692" s="83" t="s">
        <v>21</v>
      </c>
      <c r="H692" s="128">
        <v>500</v>
      </c>
      <c r="I692" s="83">
        <v>4</v>
      </c>
      <c r="J692" s="83" t="s">
        <v>1285</v>
      </c>
      <c r="K692" s="84" t="s">
        <v>3053</v>
      </c>
      <c r="L692" s="85">
        <v>39312147</v>
      </c>
      <c r="M692" s="133">
        <f t="shared" si="66"/>
        <v>157248588</v>
      </c>
      <c r="N692" s="206">
        <v>46001</v>
      </c>
      <c r="O692" s="20" t="s">
        <v>2355</v>
      </c>
      <c r="P692" s="22"/>
      <c r="Q692" s="38" t="s">
        <v>2766</v>
      </c>
      <c r="R692" s="19"/>
      <c r="S692" s="19"/>
    </row>
    <row r="693" spans="2:19" s="20" customFormat="1" ht="16.5" customHeight="1" x14ac:dyDescent="0.3">
      <c r="B693" s="174">
        <v>45849</v>
      </c>
      <c r="C693" s="174">
        <v>45849</v>
      </c>
      <c r="D693" s="60" t="s">
        <v>3054</v>
      </c>
      <c r="E693" s="83" t="s">
        <v>3055</v>
      </c>
      <c r="F693" s="83" t="s">
        <v>46</v>
      </c>
      <c r="G693" s="83" t="s">
        <v>21</v>
      </c>
      <c r="H693" s="128">
        <v>50</v>
      </c>
      <c r="I693" s="83">
        <v>2</v>
      </c>
      <c r="J693" s="83" t="s">
        <v>1285</v>
      </c>
      <c r="K693" s="84" t="s">
        <v>3056</v>
      </c>
      <c r="L693" s="85">
        <v>864910</v>
      </c>
      <c r="M693" s="133">
        <f t="shared" si="66"/>
        <v>1729820</v>
      </c>
      <c r="N693" s="206">
        <v>46001</v>
      </c>
      <c r="O693" s="20" t="s">
        <v>2355</v>
      </c>
      <c r="P693" s="22"/>
      <c r="Q693" s="38" t="s">
        <v>2766</v>
      </c>
      <c r="R693" s="19"/>
      <c r="S693" s="19"/>
    </row>
    <row r="694" spans="2:19" s="20" customFormat="1" ht="16.5" hidden="1" customHeight="1" x14ac:dyDescent="0.3">
      <c r="B694" s="174">
        <v>45853</v>
      </c>
      <c r="C694" s="174">
        <v>45862</v>
      </c>
      <c r="D694" s="60" t="s">
        <v>3057</v>
      </c>
      <c r="E694" s="83" t="s">
        <v>3058</v>
      </c>
      <c r="F694" s="83" t="s">
        <v>46</v>
      </c>
      <c r="G694" s="83" t="s">
        <v>21</v>
      </c>
      <c r="H694" s="128" t="s">
        <v>3059</v>
      </c>
      <c r="I694" s="83">
        <v>1</v>
      </c>
      <c r="J694" s="83" t="s">
        <v>3060</v>
      </c>
      <c r="K694" s="84" t="s">
        <v>682</v>
      </c>
      <c r="L694" s="85">
        <f>9380000*4+6220000</f>
        <v>43740000</v>
      </c>
      <c r="M694" s="133">
        <f t="shared" si="66"/>
        <v>50340000</v>
      </c>
      <c r="N694" s="86">
        <v>45869</v>
      </c>
      <c r="O694" s="20" t="s">
        <v>3062</v>
      </c>
      <c r="P694" s="22"/>
      <c r="Q694" s="38" t="s">
        <v>3061</v>
      </c>
      <c r="R694" s="19">
        <v>6380000</v>
      </c>
      <c r="S694" s="19">
        <f>1650000*4</f>
        <v>6600000</v>
      </c>
    </row>
    <row r="695" spans="2:19" s="20" customFormat="1" ht="16.5" hidden="1" customHeight="1" x14ac:dyDescent="0.3">
      <c r="B695" s="174">
        <v>45853</v>
      </c>
      <c r="C695" s="174">
        <v>45853</v>
      </c>
      <c r="D695" s="60" t="s">
        <v>3065</v>
      </c>
      <c r="E695" s="83" t="s">
        <v>3114</v>
      </c>
      <c r="F695" s="83" t="s">
        <v>46</v>
      </c>
      <c r="G695" s="83" t="s">
        <v>21</v>
      </c>
      <c r="H695" s="128" t="s">
        <v>3066</v>
      </c>
      <c r="I695" s="83">
        <v>1</v>
      </c>
      <c r="J695" s="83" t="s">
        <v>83</v>
      </c>
      <c r="K695" s="84" t="s">
        <v>461</v>
      </c>
      <c r="L695" s="85">
        <v>7138000</v>
      </c>
      <c r="M695" s="133">
        <f t="shared" ref="M695:M720" si="69">(L695*I695)+S695</f>
        <v>13386000</v>
      </c>
      <c r="N695" s="86">
        <v>45869</v>
      </c>
      <c r="O695" s="20" t="s">
        <v>3087</v>
      </c>
      <c r="P695" s="22"/>
      <c r="Q695" s="178" t="s">
        <v>3030</v>
      </c>
      <c r="R695" s="19">
        <v>6428000</v>
      </c>
      <c r="S695" s="19">
        <v>6248000</v>
      </c>
    </row>
    <row r="696" spans="2:19" s="20" customFormat="1" ht="16.5" hidden="1" customHeight="1" x14ac:dyDescent="0.3">
      <c r="B696" s="174">
        <v>45854</v>
      </c>
      <c r="C696" s="174">
        <v>45855</v>
      </c>
      <c r="D696" s="60" t="s">
        <v>3067</v>
      </c>
      <c r="E696" s="83" t="s">
        <v>3069</v>
      </c>
      <c r="F696" s="83" t="s">
        <v>25</v>
      </c>
      <c r="G696" s="83" t="s">
        <v>21</v>
      </c>
      <c r="H696" s="128">
        <v>600</v>
      </c>
      <c r="I696" s="83">
        <v>1</v>
      </c>
      <c r="J696" s="83" t="s">
        <v>3073</v>
      </c>
      <c r="K696" s="84" t="s">
        <v>3071</v>
      </c>
      <c r="L696" s="85"/>
      <c r="M696" s="133">
        <f t="shared" si="69"/>
        <v>0</v>
      </c>
      <c r="N696" s="86">
        <v>45869</v>
      </c>
      <c r="P696" s="22"/>
      <c r="Q696" s="38" t="s">
        <v>3072</v>
      </c>
      <c r="R696" s="19"/>
      <c r="S696" s="19"/>
    </row>
    <row r="697" spans="2:19" s="20" customFormat="1" ht="16.5" hidden="1" customHeight="1" x14ac:dyDescent="0.3">
      <c r="B697" s="81">
        <v>45854</v>
      </c>
      <c r="C697" s="81">
        <v>45855</v>
      </c>
      <c r="D697" s="59" t="s">
        <v>3068</v>
      </c>
      <c r="E697" s="15" t="s">
        <v>3070</v>
      </c>
      <c r="F697" s="15" t="s">
        <v>25</v>
      </c>
      <c r="G697" s="83" t="s">
        <v>21</v>
      </c>
      <c r="H697" s="16">
        <v>600</v>
      </c>
      <c r="I697" s="15">
        <v>1</v>
      </c>
      <c r="J697" s="15" t="s">
        <v>3073</v>
      </c>
      <c r="K697" s="84" t="s">
        <v>3071</v>
      </c>
      <c r="L697" s="19">
        <v>34700000</v>
      </c>
      <c r="M697" s="18">
        <f t="shared" si="69"/>
        <v>34700000</v>
      </c>
      <c r="N697" s="17">
        <v>45869</v>
      </c>
      <c r="P697" s="22"/>
      <c r="Q697" s="38" t="s">
        <v>3072</v>
      </c>
      <c r="R697" s="19"/>
      <c r="S697" s="19"/>
    </row>
    <row r="698" spans="2:19" s="20" customFormat="1" ht="16.5" hidden="1" customHeight="1" x14ac:dyDescent="0.3">
      <c r="B698" s="81">
        <v>45859</v>
      </c>
      <c r="C698" s="81">
        <v>45860</v>
      </c>
      <c r="D698" s="59" t="s">
        <v>3074</v>
      </c>
      <c r="E698" s="15" t="s">
        <v>3075</v>
      </c>
      <c r="F698" s="15" t="s">
        <v>25</v>
      </c>
      <c r="G698" s="83" t="s">
        <v>106</v>
      </c>
      <c r="H698" s="16" t="s">
        <v>3076</v>
      </c>
      <c r="I698" s="15">
        <v>1</v>
      </c>
      <c r="J698" s="15"/>
      <c r="K698" s="84" t="s">
        <v>3077</v>
      </c>
      <c r="L698" s="19">
        <v>28500000</v>
      </c>
      <c r="M698" s="18">
        <f t="shared" si="69"/>
        <v>28500000</v>
      </c>
      <c r="N698" s="17">
        <v>46009</v>
      </c>
      <c r="P698" s="22"/>
      <c r="Q698" s="38" t="s">
        <v>3113</v>
      </c>
      <c r="R698" s="19"/>
      <c r="S698" s="19"/>
    </row>
    <row r="699" spans="2:19" s="20" customFormat="1" ht="16.5" customHeight="1" x14ac:dyDescent="0.3">
      <c r="B699" s="81">
        <v>45861</v>
      </c>
      <c r="C699" s="81">
        <v>45867</v>
      </c>
      <c r="D699" s="59" t="s">
        <v>3080</v>
      </c>
      <c r="E699" s="15" t="s">
        <v>3081</v>
      </c>
      <c r="F699" s="83" t="s">
        <v>46</v>
      </c>
      <c r="G699" s="83" t="s">
        <v>21</v>
      </c>
      <c r="H699" s="16">
        <v>300</v>
      </c>
      <c r="I699" s="15">
        <v>2</v>
      </c>
      <c r="J699" s="15" t="s">
        <v>1213</v>
      </c>
      <c r="K699" s="84" t="s">
        <v>3413</v>
      </c>
      <c r="L699" s="19">
        <v>16193727</v>
      </c>
      <c r="M699" s="18">
        <f t="shared" si="69"/>
        <v>32387454</v>
      </c>
      <c r="N699" s="176">
        <v>46001</v>
      </c>
      <c r="O699" s="20" t="s">
        <v>3433</v>
      </c>
      <c r="P699" s="22"/>
      <c r="Q699" s="38" t="s">
        <v>2766</v>
      </c>
      <c r="R699" s="19"/>
      <c r="S699" s="19"/>
    </row>
    <row r="700" spans="2:19" s="20" customFormat="1" ht="16.5" customHeight="1" x14ac:dyDescent="0.3">
      <c r="B700" s="81">
        <v>45861</v>
      </c>
      <c r="C700" s="81">
        <v>45867</v>
      </c>
      <c r="D700" s="59" t="s">
        <v>3082</v>
      </c>
      <c r="E700" s="15" t="s">
        <v>3081</v>
      </c>
      <c r="F700" s="83" t="s">
        <v>46</v>
      </c>
      <c r="G700" s="83" t="s">
        <v>21</v>
      </c>
      <c r="H700" s="16">
        <v>50</v>
      </c>
      <c r="I700" s="15">
        <v>4</v>
      </c>
      <c r="J700" s="15" t="s">
        <v>1213</v>
      </c>
      <c r="K700" s="84" t="s">
        <v>3413</v>
      </c>
      <c r="L700" s="19">
        <v>864910</v>
      </c>
      <c r="M700" s="18">
        <f t="shared" si="69"/>
        <v>3459640</v>
      </c>
      <c r="N700" s="176">
        <v>46001</v>
      </c>
      <c r="O700" s="20" t="s">
        <v>2355</v>
      </c>
      <c r="P700" s="22"/>
      <c r="Q700" s="38" t="s">
        <v>2766</v>
      </c>
      <c r="R700" s="19"/>
      <c r="S700" s="19"/>
    </row>
    <row r="701" spans="2:19" s="20" customFormat="1" ht="16.5" hidden="1" customHeight="1" x14ac:dyDescent="0.3">
      <c r="B701" s="81">
        <v>45863</v>
      </c>
      <c r="C701" s="81">
        <v>45864</v>
      </c>
      <c r="D701" s="59" t="s">
        <v>3083</v>
      </c>
      <c r="E701" s="15" t="s">
        <v>3141</v>
      </c>
      <c r="F701" s="83" t="s">
        <v>46</v>
      </c>
      <c r="G701" s="83" t="s">
        <v>21</v>
      </c>
      <c r="H701" s="16">
        <v>100</v>
      </c>
      <c r="I701" s="15">
        <v>2</v>
      </c>
      <c r="J701" s="15" t="s">
        <v>3044</v>
      </c>
      <c r="K701" s="84" t="s">
        <v>3084</v>
      </c>
      <c r="L701" s="19">
        <v>4788917</v>
      </c>
      <c r="M701" s="18">
        <f t="shared" si="69"/>
        <v>9577834</v>
      </c>
      <c r="N701" s="176">
        <v>45925</v>
      </c>
      <c r="O701" s="20" t="s">
        <v>2355</v>
      </c>
      <c r="P701" s="22"/>
      <c r="Q701" s="38" t="s">
        <v>2766</v>
      </c>
      <c r="R701" s="19"/>
      <c r="S701" s="19"/>
    </row>
    <row r="702" spans="2:19" s="20" customFormat="1" ht="16.5" customHeight="1" x14ac:dyDescent="0.3">
      <c r="B702" s="81">
        <v>45867</v>
      </c>
      <c r="C702" s="81">
        <v>45869</v>
      </c>
      <c r="D702" s="59" t="s">
        <v>3085</v>
      </c>
      <c r="E702" s="15" t="s">
        <v>3106</v>
      </c>
      <c r="F702" s="83" t="s">
        <v>46</v>
      </c>
      <c r="G702" s="83" t="s">
        <v>21</v>
      </c>
      <c r="H702" s="16">
        <v>150</v>
      </c>
      <c r="I702" s="15">
        <v>2</v>
      </c>
      <c r="J702" s="15" t="s">
        <v>1213</v>
      </c>
      <c r="K702" s="84" t="s">
        <v>3413</v>
      </c>
      <c r="L702" s="19">
        <v>6820394</v>
      </c>
      <c r="M702" s="18">
        <f t="shared" ref="M702" si="70">(L702*I702)+S702</f>
        <v>13640788</v>
      </c>
      <c r="N702" s="176">
        <v>46001</v>
      </c>
      <c r="O702" s="20" t="s">
        <v>2355</v>
      </c>
      <c r="P702" s="22"/>
      <c r="Q702" s="38" t="s">
        <v>2766</v>
      </c>
      <c r="R702" s="19"/>
      <c r="S702" s="19"/>
    </row>
    <row r="703" spans="2:19" s="20" customFormat="1" ht="16.5" hidden="1" customHeight="1" x14ac:dyDescent="0.3">
      <c r="B703" s="81">
        <v>45874</v>
      </c>
      <c r="C703" s="81">
        <v>45918</v>
      </c>
      <c r="D703" s="59" t="s">
        <v>3088</v>
      </c>
      <c r="E703" s="15" t="s">
        <v>3089</v>
      </c>
      <c r="F703" s="15" t="s">
        <v>25</v>
      </c>
      <c r="G703" s="83" t="s">
        <v>21</v>
      </c>
      <c r="H703" s="16" t="s">
        <v>3090</v>
      </c>
      <c r="I703" s="15">
        <v>1</v>
      </c>
      <c r="J703" s="15" t="s">
        <v>2802</v>
      </c>
      <c r="K703" s="84" t="s">
        <v>3093</v>
      </c>
      <c r="L703" s="19">
        <v>102836500</v>
      </c>
      <c r="M703" s="18">
        <f t="shared" si="69"/>
        <v>102836500</v>
      </c>
      <c r="N703" s="17">
        <v>45971</v>
      </c>
      <c r="O703" s="20" t="s">
        <v>3091</v>
      </c>
      <c r="P703" s="22" t="s">
        <v>3274</v>
      </c>
      <c r="Q703" s="38" t="s">
        <v>3092</v>
      </c>
      <c r="R703" s="19"/>
      <c r="S703" s="19"/>
    </row>
    <row r="704" spans="2:19" s="20" customFormat="1" ht="16.5" hidden="1" customHeight="1" x14ac:dyDescent="0.3">
      <c r="B704" s="81">
        <v>45874</v>
      </c>
      <c r="C704" s="81">
        <v>45954</v>
      </c>
      <c r="D704" s="59" t="s">
        <v>3094</v>
      </c>
      <c r="E704" s="15" t="s">
        <v>3095</v>
      </c>
      <c r="F704" s="15" t="s">
        <v>25</v>
      </c>
      <c r="G704" s="83" t="s">
        <v>26</v>
      </c>
      <c r="H704" s="16" t="s">
        <v>3096</v>
      </c>
      <c r="I704" s="15">
        <v>1</v>
      </c>
      <c r="J704" s="15" t="s">
        <v>2802</v>
      </c>
      <c r="K704" s="84" t="s">
        <v>2322</v>
      </c>
      <c r="L704" s="19">
        <v>44560000</v>
      </c>
      <c r="M704" s="18">
        <f t="shared" si="69"/>
        <v>44560000</v>
      </c>
      <c r="N704" s="17">
        <v>45981</v>
      </c>
      <c r="O704" s="20" t="s">
        <v>3097</v>
      </c>
      <c r="P704" s="22"/>
      <c r="Q704" s="38"/>
      <c r="R704" s="19"/>
      <c r="S704" s="19"/>
    </row>
    <row r="705" spans="2:19" s="20" customFormat="1" ht="16.5" hidden="1" customHeight="1" x14ac:dyDescent="0.3">
      <c r="B705" s="81">
        <v>45877</v>
      </c>
      <c r="C705" s="81">
        <v>45878</v>
      </c>
      <c r="D705" s="59" t="s">
        <v>3098</v>
      </c>
      <c r="E705" s="15" t="s">
        <v>3099</v>
      </c>
      <c r="F705" s="83" t="s">
        <v>46</v>
      </c>
      <c r="G705" s="83" t="s">
        <v>21</v>
      </c>
      <c r="H705" s="16">
        <v>200</v>
      </c>
      <c r="I705" s="15">
        <v>2</v>
      </c>
      <c r="J705" s="15" t="s">
        <v>3044</v>
      </c>
      <c r="K705" s="84" t="s">
        <v>2201</v>
      </c>
      <c r="L705" s="19">
        <v>10235655</v>
      </c>
      <c r="M705" s="18">
        <f t="shared" si="69"/>
        <v>20471310</v>
      </c>
      <c r="N705" s="176">
        <v>45925</v>
      </c>
      <c r="O705" s="20" t="s">
        <v>2355</v>
      </c>
      <c r="P705" s="22"/>
      <c r="Q705" s="38" t="s">
        <v>2766</v>
      </c>
      <c r="R705" s="19"/>
      <c r="S705" s="19"/>
    </row>
    <row r="706" spans="2:19" s="20" customFormat="1" ht="16.5" hidden="1" customHeight="1" x14ac:dyDescent="0.3">
      <c r="B706" s="81">
        <v>45878</v>
      </c>
      <c r="C706" s="81">
        <v>45880</v>
      </c>
      <c r="D706" s="59" t="s">
        <v>3100</v>
      </c>
      <c r="E706" s="15" t="s">
        <v>3101</v>
      </c>
      <c r="F706" s="83" t="s">
        <v>46</v>
      </c>
      <c r="G706" s="83" t="s">
        <v>21</v>
      </c>
      <c r="H706" s="16" t="s">
        <v>3102</v>
      </c>
      <c r="I706" s="15">
        <v>1</v>
      </c>
      <c r="J706" s="15" t="s">
        <v>3103</v>
      </c>
      <c r="K706" s="84" t="s">
        <v>3104</v>
      </c>
      <c r="L706" s="19">
        <f>8896000*4</f>
        <v>35584000</v>
      </c>
      <c r="M706" s="18">
        <f t="shared" si="69"/>
        <v>35584000</v>
      </c>
      <c r="N706" s="17">
        <v>45896</v>
      </c>
      <c r="O706" s="20" t="s">
        <v>3109</v>
      </c>
      <c r="P706" s="22"/>
      <c r="Q706" s="38" t="s">
        <v>3105</v>
      </c>
      <c r="R706" s="19"/>
      <c r="S706" s="19"/>
    </row>
    <row r="707" spans="2:19" s="20" customFormat="1" ht="16.5" hidden="1" customHeight="1" x14ac:dyDescent="0.3">
      <c r="B707" s="81">
        <v>45881</v>
      </c>
      <c r="C707" s="81">
        <v>45890</v>
      </c>
      <c r="D707" s="59" t="s">
        <v>3110</v>
      </c>
      <c r="E707" s="15" t="s">
        <v>3111</v>
      </c>
      <c r="F707" s="83" t="s">
        <v>46</v>
      </c>
      <c r="G707" s="83" t="s">
        <v>21</v>
      </c>
      <c r="H707" s="16">
        <v>300</v>
      </c>
      <c r="I707" s="15">
        <v>2</v>
      </c>
      <c r="J707" s="15" t="s">
        <v>3044</v>
      </c>
      <c r="K707" s="84" t="s">
        <v>3112</v>
      </c>
      <c r="L707" s="19">
        <v>16193727</v>
      </c>
      <c r="M707" s="18">
        <f t="shared" ref="M707" si="71">(L707*I707)+S707</f>
        <v>32387454</v>
      </c>
      <c r="N707" s="176">
        <v>45925</v>
      </c>
      <c r="O707" s="20" t="s">
        <v>2355</v>
      </c>
      <c r="P707" s="22"/>
      <c r="Q707" s="38" t="s">
        <v>2766</v>
      </c>
      <c r="R707" s="19"/>
      <c r="S707" s="19"/>
    </row>
    <row r="708" spans="2:19" s="20" customFormat="1" ht="16.5" hidden="1" customHeight="1" x14ac:dyDescent="0.3">
      <c r="B708" s="81">
        <v>45887</v>
      </c>
      <c r="C708" s="81">
        <v>45890</v>
      </c>
      <c r="D708" s="59" t="s">
        <v>3115</v>
      </c>
      <c r="E708" s="15" t="s">
        <v>3116</v>
      </c>
      <c r="F708" s="83" t="s">
        <v>46</v>
      </c>
      <c r="G708" s="83" t="s">
        <v>21</v>
      </c>
      <c r="H708" s="16" t="s">
        <v>2044</v>
      </c>
      <c r="I708" s="15">
        <v>1</v>
      </c>
      <c r="J708" s="15" t="s">
        <v>83</v>
      </c>
      <c r="K708" s="84" t="s">
        <v>461</v>
      </c>
      <c r="L708" s="19">
        <v>11698000</v>
      </c>
      <c r="M708" s="18">
        <f t="shared" si="69"/>
        <v>20564000</v>
      </c>
      <c r="N708" s="17">
        <v>45898</v>
      </c>
      <c r="O708" s="20" t="s">
        <v>2298</v>
      </c>
      <c r="P708" s="22"/>
      <c r="Q708" s="178" t="s">
        <v>3127</v>
      </c>
      <c r="R708" s="19">
        <v>9138000</v>
      </c>
      <c r="S708" s="19">
        <v>8866000</v>
      </c>
    </row>
    <row r="709" spans="2:19" s="20" customFormat="1" ht="16.5" hidden="1" customHeight="1" x14ac:dyDescent="0.3">
      <c r="B709" s="81">
        <v>45890</v>
      </c>
      <c r="C709" s="81">
        <v>45897</v>
      </c>
      <c r="D709" s="59" t="s">
        <v>3136</v>
      </c>
      <c r="E709" s="15" t="s">
        <v>3117</v>
      </c>
      <c r="F709" s="83" t="s">
        <v>46</v>
      </c>
      <c r="G709" s="83" t="s">
        <v>21</v>
      </c>
      <c r="H709" s="16">
        <v>700</v>
      </c>
      <c r="I709" s="15">
        <v>4</v>
      </c>
      <c r="J709" s="15" t="s">
        <v>3044</v>
      </c>
      <c r="K709" s="84" t="s">
        <v>2464</v>
      </c>
      <c r="L709" s="19">
        <v>54510168</v>
      </c>
      <c r="M709" s="18">
        <f t="shared" si="69"/>
        <v>218040672</v>
      </c>
      <c r="N709" s="176">
        <v>45925</v>
      </c>
      <c r="O709" s="20" t="s">
        <v>3240</v>
      </c>
      <c r="P709" s="22"/>
      <c r="Q709" s="38" t="s">
        <v>2766</v>
      </c>
      <c r="R709" s="19"/>
      <c r="S709" s="19"/>
    </row>
    <row r="710" spans="2:19" s="20" customFormat="1" ht="16.5" hidden="1" customHeight="1" x14ac:dyDescent="0.3">
      <c r="B710" s="81">
        <v>45894</v>
      </c>
      <c r="C710" s="81">
        <v>45894</v>
      </c>
      <c r="D710" s="59" t="s">
        <v>3145</v>
      </c>
      <c r="E710" s="15" t="s">
        <v>3144</v>
      </c>
      <c r="F710" s="15" t="s">
        <v>25</v>
      </c>
      <c r="G710" s="83" t="s">
        <v>21</v>
      </c>
      <c r="H710" s="16" t="s">
        <v>3118</v>
      </c>
      <c r="I710" s="15">
        <v>1</v>
      </c>
      <c r="J710" s="15" t="s">
        <v>3120</v>
      </c>
      <c r="K710" s="84" t="s">
        <v>3119</v>
      </c>
      <c r="L710" s="19">
        <v>2900000</v>
      </c>
      <c r="M710" s="18">
        <f t="shared" si="69"/>
        <v>2900000</v>
      </c>
      <c r="N710" s="17">
        <v>45930</v>
      </c>
      <c r="P710" s="22"/>
      <c r="Q710" s="38"/>
      <c r="R710" s="19"/>
      <c r="S710" s="19"/>
    </row>
    <row r="711" spans="2:19" s="20" customFormat="1" ht="16.5" customHeight="1" x14ac:dyDescent="0.3">
      <c r="B711" s="81">
        <v>45895</v>
      </c>
      <c r="C711" s="81">
        <v>45899</v>
      </c>
      <c r="D711" s="59" t="s">
        <v>3122</v>
      </c>
      <c r="E711" s="15" t="s">
        <v>3123</v>
      </c>
      <c r="F711" s="83" t="s">
        <v>46</v>
      </c>
      <c r="G711" s="83" t="s">
        <v>21</v>
      </c>
      <c r="H711" s="16">
        <v>600</v>
      </c>
      <c r="I711" s="15">
        <v>4</v>
      </c>
      <c r="J711" s="15" t="s">
        <v>3124</v>
      </c>
      <c r="K711" s="84" t="s">
        <v>3436</v>
      </c>
      <c r="L711" s="19">
        <v>45724082</v>
      </c>
      <c r="M711" s="18">
        <f t="shared" ref="M711:M717" si="72">(L711*I711)+S711</f>
        <v>182896328</v>
      </c>
      <c r="N711" s="176">
        <v>46001</v>
      </c>
      <c r="O711" s="20" t="s">
        <v>2355</v>
      </c>
      <c r="P711" s="22"/>
      <c r="Q711" s="38" t="s">
        <v>2766</v>
      </c>
      <c r="R711" s="19"/>
      <c r="S711" s="19"/>
    </row>
    <row r="712" spans="2:19" s="20" customFormat="1" ht="16.5" hidden="1" customHeight="1" x14ac:dyDescent="0.3">
      <c r="B712" s="81">
        <v>45896</v>
      </c>
      <c r="C712" s="81">
        <v>45903</v>
      </c>
      <c r="D712" s="60" t="s">
        <v>3129</v>
      </c>
      <c r="E712" s="15" t="s">
        <v>3130</v>
      </c>
      <c r="F712" s="15" t="s">
        <v>3131</v>
      </c>
      <c r="G712" s="83" t="s">
        <v>3132</v>
      </c>
      <c r="H712" s="16">
        <v>1650</v>
      </c>
      <c r="I712" s="15">
        <v>1</v>
      </c>
      <c r="J712" s="15" t="s">
        <v>3133</v>
      </c>
      <c r="K712" s="84" t="s">
        <v>3134</v>
      </c>
      <c r="L712" s="19"/>
      <c r="M712" s="18">
        <f t="shared" ref="M712" si="73">(L712*I712)+S712</f>
        <v>0</v>
      </c>
      <c r="N712" s="17"/>
      <c r="P712" s="22"/>
      <c r="Q712" s="38" t="s">
        <v>2720</v>
      </c>
      <c r="R712" s="19"/>
      <c r="S712" s="19"/>
    </row>
    <row r="713" spans="2:19" s="20" customFormat="1" ht="16.5" customHeight="1" x14ac:dyDescent="0.3">
      <c r="B713" s="81">
        <v>45897</v>
      </c>
      <c r="C713" s="81">
        <v>45898</v>
      </c>
      <c r="D713" s="59" t="s">
        <v>3137</v>
      </c>
      <c r="E713" s="15" t="s">
        <v>3135</v>
      </c>
      <c r="F713" s="83" t="s">
        <v>46</v>
      </c>
      <c r="G713" s="83" t="s">
        <v>21</v>
      </c>
      <c r="H713" s="16">
        <v>100</v>
      </c>
      <c r="I713" s="15">
        <v>2</v>
      </c>
      <c r="J713" s="15" t="s">
        <v>1336</v>
      </c>
      <c r="K713" s="84" t="s">
        <v>2301</v>
      </c>
      <c r="L713" s="19">
        <v>5833183</v>
      </c>
      <c r="M713" s="18">
        <f t="shared" si="72"/>
        <v>11666366</v>
      </c>
      <c r="N713" s="176">
        <v>46001</v>
      </c>
      <c r="O713" s="20" t="s">
        <v>2355</v>
      </c>
      <c r="P713" s="22" t="s">
        <v>3349</v>
      </c>
      <c r="Q713" s="38" t="s">
        <v>2766</v>
      </c>
      <c r="R713" s="19"/>
      <c r="S713" s="19"/>
    </row>
    <row r="714" spans="2:19" s="20" customFormat="1" ht="16.5" hidden="1" customHeight="1" x14ac:dyDescent="0.3">
      <c r="B714" s="81">
        <v>45898</v>
      </c>
      <c r="C714" s="81">
        <v>45962</v>
      </c>
      <c r="D714" s="59" t="s">
        <v>3138</v>
      </c>
      <c r="E714" s="15" t="s">
        <v>3139</v>
      </c>
      <c r="F714" s="15" t="s">
        <v>25</v>
      </c>
      <c r="G714" s="83" t="s">
        <v>21</v>
      </c>
      <c r="H714" s="16" t="s">
        <v>3140</v>
      </c>
      <c r="I714" s="15">
        <v>1</v>
      </c>
      <c r="J714" s="15"/>
      <c r="K714" s="84" t="s">
        <v>2839</v>
      </c>
      <c r="L714" s="19">
        <v>48224000</v>
      </c>
      <c r="M714" s="18">
        <f t="shared" si="72"/>
        <v>48224000</v>
      </c>
      <c r="N714" s="17">
        <v>46001</v>
      </c>
      <c r="O714" s="20" t="s">
        <v>2840</v>
      </c>
      <c r="P714" s="119" t="s">
        <v>3338</v>
      </c>
      <c r="Q714" s="38" t="s">
        <v>2841</v>
      </c>
      <c r="R714" s="19"/>
      <c r="S714" s="19"/>
    </row>
    <row r="715" spans="2:19" s="20" customFormat="1" ht="16.5" customHeight="1" x14ac:dyDescent="0.3">
      <c r="B715" s="81">
        <v>45904</v>
      </c>
      <c r="C715" s="81">
        <v>45910</v>
      </c>
      <c r="D715" s="59" t="s">
        <v>3175</v>
      </c>
      <c r="E715" s="15" t="s">
        <v>3174</v>
      </c>
      <c r="F715" s="83" t="s">
        <v>46</v>
      </c>
      <c r="G715" s="83" t="s">
        <v>21</v>
      </c>
      <c r="H715" s="16">
        <v>300</v>
      </c>
      <c r="I715" s="15">
        <v>2</v>
      </c>
      <c r="J715" s="15" t="s">
        <v>1213</v>
      </c>
      <c r="K715" s="84" t="s">
        <v>559</v>
      </c>
      <c r="L715" s="19">
        <v>16193727</v>
      </c>
      <c r="M715" s="18">
        <f t="shared" si="72"/>
        <v>32387454</v>
      </c>
      <c r="N715" s="176">
        <v>46001</v>
      </c>
      <c r="O715" s="20" t="s">
        <v>2355</v>
      </c>
      <c r="P715" s="22"/>
      <c r="Q715" s="38" t="s">
        <v>2766</v>
      </c>
      <c r="R715" s="19"/>
      <c r="S715" s="19"/>
    </row>
    <row r="716" spans="2:19" s="20" customFormat="1" ht="16.5" hidden="1" customHeight="1" x14ac:dyDescent="0.3">
      <c r="B716" s="81">
        <v>45905</v>
      </c>
      <c r="C716" s="81">
        <v>45915</v>
      </c>
      <c r="D716" s="59" t="s">
        <v>3161</v>
      </c>
      <c r="E716" s="15" t="s">
        <v>3162</v>
      </c>
      <c r="F716" s="83" t="s">
        <v>46</v>
      </c>
      <c r="G716" s="83" t="s">
        <v>21</v>
      </c>
      <c r="H716" s="16" t="s">
        <v>3163</v>
      </c>
      <c r="I716" s="15">
        <v>1</v>
      </c>
      <c r="J716" s="15" t="s">
        <v>3164</v>
      </c>
      <c r="K716" s="84" t="s">
        <v>3165</v>
      </c>
      <c r="L716" s="19">
        <v>205800000</v>
      </c>
      <c r="M716" s="18">
        <f t="shared" si="72"/>
        <v>205800000</v>
      </c>
      <c r="N716" s="17">
        <v>45960</v>
      </c>
      <c r="O716" s="20" t="s">
        <v>3166</v>
      </c>
      <c r="P716" s="22"/>
      <c r="Q716" s="38" t="s">
        <v>3167</v>
      </c>
      <c r="R716" s="19"/>
      <c r="S716" s="19"/>
    </row>
    <row r="717" spans="2:19" s="20" customFormat="1" ht="16.5" hidden="1" customHeight="1" x14ac:dyDescent="0.3">
      <c r="B717" s="81">
        <v>45905</v>
      </c>
      <c r="C717" s="81">
        <v>45905</v>
      </c>
      <c r="D717" s="59" t="s">
        <v>3168</v>
      </c>
      <c r="E717" s="15" t="s">
        <v>3169</v>
      </c>
      <c r="F717" s="15" t="s">
        <v>25</v>
      </c>
      <c r="G717" s="83" t="s">
        <v>21</v>
      </c>
      <c r="H717" s="16" t="s">
        <v>3170</v>
      </c>
      <c r="I717" s="15">
        <v>1</v>
      </c>
      <c r="J717" s="15" t="s">
        <v>3173</v>
      </c>
      <c r="K717" s="84" t="s">
        <v>3171</v>
      </c>
      <c r="L717" s="19">
        <v>6500000</v>
      </c>
      <c r="M717" s="18">
        <f t="shared" si="72"/>
        <v>6500000</v>
      </c>
      <c r="N717" s="17">
        <v>45900</v>
      </c>
      <c r="O717" s="20" t="s">
        <v>3239</v>
      </c>
      <c r="P717" s="22"/>
      <c r="Q717" s="38" t="s">
        <v>3172</v>
      </c>
      <c r="R717" s="19"/>
      <c r="S717" s="19"/>
    </row>
    <row r="718" spans="2:19" s="20" customFormat="1" ht="16.5" hidden="1" customHeight="1" x14ac:dyDescent="0.3">
      <c r="B718" s="81">
        <v>45909</v>
      </c>
      <c r="C718" s="81">
        <v>45911</v>
      </c>
      <c r="D718" s="59" t="s">
        <v>3154</v>
      </c>
      <c r="E718" s="15" t="s">
        <v>3155</v>
      </c>
      <c r="F718" s="83" t="s">
        <v>46</v>
      </c>
      <c r="G718" s="83" t="s">
        <v>21</v>
      </c>
      <c r="H718" s="16" t="s">
        <v>3156</v>
      </c>
      <c r="I718" s="15">
        <v>1</v>
      </c>
      <c r="J718" s="15" t="s">
        <v>3158</v>
      </c>
      <c r="K718" s="84" t="s">
        <v>3157</v>
      </c>
      <c r="L718" s="19">
        <v>6800000</v>
      </c>
      <c r="M718" s="18">
        <f t="shared" si="69"/>
        <v>12296000</v>
      </c>
      <c r="N718" s="17">
        <v>45929</v>
      </c>
      <c r="O718" s="20" t="s">
        <v>3159</v>
      </c>
      <c r="P718" s="22"/>
      <c r="Q718" s="38" t="s">
        <v>3160</v>
      </c>
      <c r="R718" s="19">
        <v>5496000</v>
      </c>
      <c r="S718" s="19">
        <v>5496000</v>
      </c>
    </row>
    <row r="719" spans="2:19" s="20" customFormat="1" ht="16.5" customHeight="1" x14ac:dyDescent="0.3">
      <c r="B719" s="81">
        <v>45909</v>
      </c>
      <c r="C719" s="81">
        <v>45911</v>
      </c>
      <c r="D719" s="59" t="s">
        <v>3183</v>
      </c>
      <c r="E719" s="15" t="s">
        <v>3184</v>
      </c>
      <c r="F719" s="83" t="s">
        <v>46</v>
      </c>
      <c r="G719" s="83" t="s">
        <v>21</v>
      </c>
      <c r="H719" s="16">
        <v>200</v>
      </c>
      <c r="I719" s="15">
        <v>4</v>
      </c>
      <c r="J719" s="15" t="s">
        <v>1213</v>
      </c>
      <c r="K719" s="84" t="s">
        <v>585</v>
      </c>
      <c r="L719" s="19">
        <v>10235655</v>
      </c>
      <c r="M719" s="18">
        <f t="shared" si="69"/>
        <v>40942620</v>
      </c>
      <c r="N719" s="176">
        <v>46001</v>
      </c>
      <c r="O719" s="20" t="s">
        <v>2355</v>
      </c>
      <c r="P719" s="22"/>
      <c r="Q719" s="38" t="s">
        <v>2766</v>
      </c>
      <c r="R719" s="19"/>
      <c r="S719" s="19"/>
    </row>
    <row r="720" spans="2:19" s="20" customFormat="1" ht="16.5" hidden="1" customHeight="1" x14ac:dyDescent="0.3">
      <c r="B720" s="81">
        <v>45910</v>
      </c>
      <c r="C720" s="81">
        <v>45916</v>
      </c>
      <c r="D720" s="59" t="s">
        <v>3176</v>
      </c>
      <c r="E720" s="15" t="s">
        <v>3177</v>
      </c>
      <c r="F720" s="83" t="s">
        <v>46</v>
      </c>
      <c r="G720" s="83" t="s">
        <v>21</v>
      </c>
      <c r="H720" s="16" t="s">
        <v>3178</v>
      </c>
      <c r="I720" s="15">
        <v>1</v>
      </c>
      <c r="J720" s="15" t="s">
        <v>3180</v>
      </c>
      <c r="K720" s="84" t="s">
        <v>3179</v>
      </c>
      <c r="L720" s="19">
        <v>43620000</v>
      </c>
      <c r="M720" s="18">
        <f t="shared" si="69"/>
        <v>50000000</v>
      </c>
      <c r="N720" s="17">
        <v>45929</v>
      </c>
      <c r="O720" s="20" t="s">
        <v>3182</v>
      </c>
      <c r="P720" s="22"/>
      <c r="Q720" s="38" t="s">
        <v>3181</v>
      </c>
      <c r="R720" s="19">
        <v>6380000</v>
      </c>
      <c r="S720" s="19">
        <v>6380000</v>
      </c>
    </row>
    <row r="721" spans="2:19" s="20" customFormat="1" ht="16.5" customHeight="1" x14ac:dyDescent="0.3">
      <c r="B721" s="81">
        <v>45910</v>
      </c>
      <c r="C721" s="81">
        <v>45911</v>
      </c>
      <c r="D721" s="59" t="s">
        <v>3351</v>
      </c>
      <c r="E721" s="15" t="s">
        <v>3185</v>
      </c>
      <c r="F721" s="83" t="s">
        <v>46</v>
      </c>
      <c r="G721" s="83" t="s">
        <v>21</v>
      </c>
      <c r="H721" s="16">
        <v>500</v>
      </c>
      <c r="I721" s="15">
        <v>2</v>
      </c>
      <c r="J721" s="15" t="s">
        <v>1336</v>
      </c>
      <c r="K721" s="84" t="s">
        <v>3186</v>
      </c>
      <c r="L721" s="19">
        <v>39312147</v>
      </c>
      <c r="M721" s="18">
        <f t="shared" ref="M721:M738" si="74">(L721*I721)+S721</f>
        <v>78624294</v>
      </c>
      <c r="N721" s="176">
        <v>46001</v>
      </c>
      <c r="O721" s="20" t="s">
        <v>2355</v>
      </c>
      <c r="P721" s="22" t="s">
        <v>3348</v>
      </c>
      <c r="Q721" s="38" t="s">
        <v>2766</v>
      </c>
      <c r="R721" s="19"/>
      <c r="S721" s="19"/>
    </row>
    <row r="722" spans="2:19" s="20" customFormat="1" ht="16.5" hidden="1" customHeight="1" x14ac:dyDescent="0.3">
      <c r="B722" s="81">
        <v>45911</v>
      </c>
      <c r="C722" s="81">
        <v>45927</v>
      </c>
      <c r="D722" s="59" t="s">
        <v>3189</v>
      </c>
      <c r="E722" s="15" t="s">
        <v>3191</v>
      </c>
      <c r="F722" s="15" t="s">
        <v>25</v>
      </c>
      <c r="G722" s="83" t="s">
        <v>981</v>
      </c>
      <c r="H722" s="16" t="s">
        <v>3193</v>
      </c>
      <c r="I722" s="15">
        <v>1</v>
      </c>
      <c r="J722" s="15" t="s">
        <v>3195</v>
      </c>
      <c r="K722" s="84" t="s">
        <v>2322</v>
      </c>
      <c r="L722" s="19"/>
      <c r="M722" s="18">
        <f t="shared" ref="M722:M726" si="75">(L722*I722)+S722</f>
        <v>0</v>
      </c>
      <c r="N722" s="17">
        <v>45929</v>
      </c>
      <c r="P722" s="22"/>
      <c r="Q722" s="38" t="s">
        <v>3196</v>
      </c>
      <c r="R722" s="19"/>
      <c r="S722" s="19"/>
    </row>
    <row r="723" spans="2:19" s="20" customFormat="1" ht="16.5" hidden="1" customHeight="1" x14ac:dyDescent="0.3">
      <c r="B723" s="81">
        <v>45911</v>
      </c>
      <c r="C723" s="81">
        <v>45918</v>
      </c>
      <c r="D723" s="59" t="s">
        <v>3190</v>
      </c>
      <c r="E723" s="15" t="s">
        <v>3192</v>
      </c>
      <c r="F723" s="15" t="s">
        <v>25</v>
      </c>
      <c r="G723" s="83" t="s">
        <v>981</v>
      </c>
      <c r="H723" s="16" t="s">
        <v>3194</v>
      </c>
      <c r="I723" s="15">
        <v>1</v>
      </c>
      <c r="J723" s="15" t="s">
        <v>3195</v>
      </c>
      <c r="K723" s="84" t="s">
        <v>2322</v>
      </c>
      <c r="L723" s="19"/>
      <c r="M723" s="18">
        <f t="shared" si="75"/>
        <v>0</v>
      </c>
      <c r="N723" s="17">
        <v>45929</v>
      </c>
      <c r="P723" s="22"/>
      <c r="Q723" s="38" t="s">
        <v>3196</v>
      </c>
      <c r="R723" s="19"/>
      <c r="S723" s="19"/>
    </row>
    <row r="724" spans="2:19" s="20" customFormat="1" ht="16.5" customHeight="1" x14ac:dyDescent="0.3">
      <c r="B724" s="81">
        <v>45912</v>
      </c>
      <c r="C724" s="81">
        <v>45915</v>
      </c>
      <c r="D724" s="59" t="s">
        <v>3187</v>
      </c>
      <c r="E724" s="15" t="s">
        <v>3188</v>
      </c>
      <c r="F724" s="83" t="s">
        <v>46</v>
      </c>
      <c r="G724" s="83" t="s">
        <v>21</v>
      </c>
      <c r="H724" s="16">
        <v>125</v>
      </c>
      <c r="I724" s="15">
        <v>2</v>
      </c>
      <c r="J724" s="15" t="s">
        <v>1213</v>
      </c>
      <c r="K724" s="84" t="s">
        <v>585</v>
      </c>
      <c r="L724" s="19">
        <v>5563634</v>
      </c>
      <c r="M724" s="18">
        <f t="shared" si="74"/>
        <v>11127268</v>
      </c>
      <c r="N724" s="176">
        <v>46001</v>
      </c>
      <c r="O724" s="20" t="s">
        <v>2355</v>
      </c>
      <c r="P724" s="22"/>
      <c r="Q724" s="38" t="s">
        <v>2766</v>
      </c>
      <c r="R724" s="19"/>
      <c r="S724" s="19"/>
    </row>
    <row r="725" spans="2:19" s="20" customFormat="1" ht="16.5" hidden="1" customHeight="1" x14ac:dyDescent="0.3">
      <c r="B725" s="81">
        <v>45912</v>
      </c>
      <c r="C725" s="81">
        <v>45921</v>
      </c>
      <c r="D725" s="59" t="s">
        <v>3205</v>
      </c>
      <c r="E725" s="15" t="s">
        <v>3248</v>
      </c>
      <c r="F725" s="83" t="s">
        <v>46</v>
      </c>
      <c r="G725" s="83" t="s">
        <v>21</v>
      </c>
      <c r="H725" s="16" t="s">
        <v>3206</v>
      </c>
      <c r="I725" s="15">
        <v>1</v>
      </c>
      <c r="J725" s="15" t="s">
        <v>3207</v>
      </c>
      <c r="K725" s="84" t="s">
        <v>3198</v>
      </c>
      <c r="L725" s="19">
        <v>204880000</v>
      </c>
      <c r="M725" s="18">
        <f t="shared" si="75"/>
        <v>204880000</v>
      </c>
      <c r="N725" s="17">
        <v>45961</v>
      </c>
      <c r="P725" s="22"/>
      <c r="Q725" s="38" t="s">
        <v>3199</v>
      </c>
      <c r="R725" s="19"/>
      <c r="S725" s="19"/>
    </row>
    <row r="726" spans="2:19" s="20" customFormat="1" ht="16.5" hidden="1" customHeight="1" x14ac:dyDescent="0.3">
      <c r="B726" s="81">
        <v>45915</v>
      </c>
      <c r="C726" s="81">
        <v>45921</v>
      </c>
      <c r="D726" s="59" t="s">
        <v>3208</v>
      </c>
      <c r="E726" s="15" t="s">
        <v>3209</v>
      </c>
      <c r="F726" s="83" t="s">
        <v>46</v>
      </c>
      <c r="G726" s="83" t="s">
        <v>21</v>
      </c>
      <c r="H726" s="16" t="s">
        <v>3210</v>
      </c>
      <c r="I726" s="15">
        <v>1</v>
      </c>
      <c r="J726" s="15" t="s">
        <v>3207</v>
      </c>
      <c r="K726" s="84" t="s">
        <v>3198</v>
      </c>
      <c r="L726" s="19">
        <v>48560000</v>
      </c>
      <c r="M726" s="18">
        <f t="shared" si="75"/>
        <v>48560000</v>
      </c>
      <c r="N726" s="17">
        <v>45961</v>
      </c>
      <c r="P726" s="22"/>
      <c r="Q726" s="38" t="s">
        <v>3199</v>
      </c>
      <c r="R726" s="19"/>
      <c r="S726" s="19"/>
    </row>
    <row r="727" spans="2:19" s="20" customFormat="1" ht="16.5" hidden="1" customHeight="1" x14ac:dyDescent="0.3">
      <c r="B727" s="81">
        <v>45915</v>
      </c>
      <c r="C727" s="81">
        <v>45929</v>
      </c>
      <c r="D727" s="59" t="s">
        <v>3200</v>
      </c>
      <c r="E727" s="15" t="s">
        <v>3249</v>
      </c>
      <c r="F727" s="83" t="s">
        <v>46</v>
      </c>
      <c r="G727" s="83" t="s">
        <v>21</v>
      </c>
      <c r="H727" s="16" t="s">
        <v>3201</v>
      </c>
      <c r="I727" s="15">
        <v>1</v>
      </c>
      <c r="J727" s="15" t="s">
        <v>3202</v>
      </c>
      <c r="K727" s="84" t="s">
        <v>419</v>
      </c>
      <c r="L727" s="19">
        <v>83980000</v>
      </c>
      <c r="M727" s="18">
        <f t="shared" si="74"/>
        <v>83980000</v>
      </c>
      <c r="N727" s="17">
        <v>45955</v>
      </c>
      <c r="O727" s="20" t="s">
        <v>3203</v>
      </c>
      <c r="P727" s="22"/>
      <c r="Q727" s="38" t="s">
        <v>3204</v>
      </c>
      <c r="R727" s="19"/>
      <c r="S727" s="19"/>
    </row>
    <row r="728" spans="2:19" s="20" customFormat="1" ht="16.5" hidden="1" customHeight="1" x14ac:dyDescent="0.3">
      <c r="B728" s="81">
        <v>45916</v>
      </c>
      <c r="C728" s="81">
        <v>45927</v>
      </c>
      <c r="D728" s="59" t="s">
        <v>2498</v>
      </c>
      <c r="E728" s="15" t="s">
        <v>3197</v>
      </c>
      <c r="F728" s="83" t="s">
        <v>46</v>
      </c>
      <c r="G728" s="83" t="s">
        <v>21</v>
      </c>
      <c r="H728" s="16" t="s">
        <v>3227</v>
      </c>
      <c r="I728" s="15">
        <v>1</v>
      </c>
      <c r="J728" s="15" t="s">
        <v>3228</v>
      </c>
      <c r="K728" s="84" t="s">
        <v>3198</v>
      </c>
      <c r="L728" s="19">
        <v>163200000</v>
      </c>
      <c r="M728" s="18">
        <f t="shared" si="74"/>
        <v>163200000</v>
      </c>
      <c r="N728" s="17">
        <v>45960</v>
      </c>
      <c r="P728" s="22"/>
      <c r="Q728" s="38" t="s">
        <v>3199</v>
      </c>
      <c r="R728" s="19"/>
      <c r="S728" s="19"/>
    </row>
    <row r="729" spans="2:19" s="20" customFormat="1" ht="16.5" customHeight="1" x14ac:dyDescent="0.3">
      <c r="B729" s="81">
        <v>45920</v>
      </c>
      <c r="C729" s="81">
        <v>45925</v>
      </c>
      <c r="D729" s="59" t="s">
        <v>3213</v>
      </c>
      <c r="E729" s="15" t="s">
        <v>3214</v>
      </c>
      <c r="F729" s="83" t="s">
        <v>46</v>
      </c>
      <c r="G729" s="83" t="s">
        <v>21</v>
      </c>
      <c r="H729" s="16">
        <v>600</v>
      </c>
      <c r="I729" s="15">
        <v>4</v>
      </c>
      <c r="J729" s="15" t="s">
        <v>3215</v>
      </c>
      <c r="K729" s="84" t="s">
        <v>3436</v>
      </c>
      <c r="L729" s="19">
        <v>45724082</v>
      </c>
      <c r="M729" s="18">
        <f t="shared" ref="M729:M733" si="76">(L729*I729)+S729</f>
        <v>182896328</v>
      </c>
      <c r="N729" s="176">
        <v>46001</v>
      </c>
      <c r="O729" s="20" t="s">
        <v>2355</v>
      </c>
      <c r="P729" s="22"/>
      <c r="Q729" s="38" t="s">
        <v>2766</v>
      </c>
      <c r="R729" s="19"/>
      <c r="S729" s="19"/>
    </row>
    <row r="730" spans="2:19" s="20" customFormat="1" ht="16.5" hidden="1" customHeight="1" x14ac:dyDescent="0.3">
      <c r="B730" s="81">
        <v>45920</v>
      </c>
      <c r="C730" s="81">
        <v>45962</v>
      </c>
      <c r="D730" s="59" t="s">
        <v>3216</v>
      </c>
      <c r="E730" s="15" t="s">
        <v>3217</v>
      </c>
      <c r="F730" s="15" t="s">
        <v>25</v>
      </c>
      <c r="G730" s="83" t="s">
        <v>26</v>
      </c>
      <c r="H730" s="16" t="s">
        <v>3218</v>
      </c>
      <c r="I730" s="15">
        <v>1</v>
      </c>
      <c r="J730" s="15"/>
      <c r="K730" s="84" t="s">
        <v>2839</v>
      </c>
      <c r="L730" s="19">
        <v>74608000</v>
      </c>
      <c r="M730" s="18">
        <f t="shared" si="76"/>
        <v>74608000</v>
      </c>
      <c r="N730" s="17">
        <v>46001</v>
      </c>
      <c r="O730" s="20" t="s">
        <v>2840</v>
      </c>
      <c r="P730" s="119" t="s">
        <v>3338</v>
      </c>
      <c r="Q730" s="38" t="s">
        <v>2841</v>
      </c>
      <c r="R730" s="19"/>
      <c r="S730" s="19"/>
    </row>
    <row r="731" spans="2:19" s="20" customFormat="1" ht="16.5" customHeight="1" x14ac:dyDescent="0.3">
      <c r="B731" s="81">
        <v>45921</v>
      </c>
      <c r="C731" s="81">
        <v>45927</v>
      </c>
      <c r="D731" s="59" t="s">
        <v>3219</v>
      </c>
      <c r="E731" s="15" t="s">
        <v>3220</v>
      </c>
      <c r="F731" s="83" t="s">
        <v>46</v>
      </c>
      <c r="G731" s="83" t="s">
        <v>21</v>
      </c>
      <c r="H731" s="16">
        <v>400</v>
      </c>
      <c r="I731" s="15">
        <v>4</v>
      </c>
      <c r="J731" s="15" t="s">
        <v>1213</v>
      </c>
      <c r="K731" s="84" t="s">
        <v>585</v>
      </c>
      <c r="L731" s="19">
        <v>25319213</v>
      </c>
      <c r="M731" s="18">
        <f t="shared" si="76"/>
        <v>101276852</v>
      </c>
      <c r="N731" s="176">
        <v>46001</v>
      </c>
      <c r="O731" s="20" t="s">
        <v>2355</v>
      </c>
      <c r="P731" s="22"/>
      <c r="Q731" s="38" t="s">
        <v>2766</v>
      </c>
      <c r="R731" s="19"/>
      <c r="S731" s="19"/>
    </row>
    <row r="732" spans="2:19" s="20" customFormat="1" ht="16.5" customHeight="1" x14ac:dyDescent="0.3">
      <c r="B732" s="81">
        <v>45921</v>
      </c>
      <c r="C732" s="81">
        <v>45927</v>
      </c>
      <c r="D732" s="59" t="s">
        <v>3415</v>
      </c>
      <c r="E732" s="15" t="s">
        <v>3221</v>
      </c>
      <c r="F732" s="83" t="s">
        <v>46</v>
      </c>
      <c r="G732" s="83" t="s">
        <v>21</v>
      </c>
      <c r="H732" s="16">
        <v>300</v>
      </c>
      <c r="I732" s="15">
        <v>2</v>
      </c>
      <c r="J732" s="15" t="s">
        <v>1213</v>
      </c>
      <c r="K732" s="84" t="s">
        <v>585</v>
      </c>
      <c r="L732" s="19">
        <v>16193727</v>
      </c>
      <c r="M732" s="18">
        <f t="shared" si="76"/>
        <v>32387454</v>
      </c>
      <c r="N732" s="176">
        <v>46001</v>
      </c>
      <c r="O732" s="20" t="s">
        <v>2355</v>
      </c>
      <c r="P732" s="22"/>
      <c r="Q732" s="38" t="s">
        <v>2766</v>
      </c>
      <c r="R732" s="19"/>
      <c r="S732" s="19"/>
    </row>
    <row r="733" spans="2:19" s="20" customFormat="1" ht="16.5" hidden="1" customHeight="1" x14ac:dyDescent="0.3">
      <c r="B733" s="81">
        <v>45922</v>
      </c>
      <c r="C733" s="81">
        <v>45930</v>
      </c>
      <c r="D733" s="60" t="s">
        <v>3223</v>
      </c>
      <c r="E733" s="15" t="s">
        <v>3224</v>
      </c>
      <c r="F733" s="15" t="s">
        <v>25</v>
      </c>
      <c r="G733" s="83" t="s">
        <v>21</v>
      </c>
      <c r="H733" s="16">
        <v>1100</v>
      </c>
      <c r="I733" s="15">
        <v>1</v>
      </c>
      <c r="J733" s="15" t="s">
        <v>3225</v>
      </c>
      <c r="K733" s="29" t="s">
        <v>1650</v>
      </c>
      <c r="L733" s="19"/>
      <c r="M733" s="18">
        <f t="shared" si="76"/>
        <v>0</v>
      </c>
      <c r="N733" s="17"/>
      <c r="O733" s="20" t="s">
        <v>1651</v>
      </c>
      <c r="P733" s="22" t="s">
        <v>3275</v>
      </c>
      <c r="Q733" s="38" t="s">
        <v>3226</v>
      </c>
      <c r="R733" s="19"/>
      <c r="S733" s="19"/>
    </row>
    <row r="734" spans="2:19" s="20" customFormat="1" ht="16.5" customHeight="1" x14ac:dyDescent="0.3">
      <c r="B734" s="81">
        <v>45922</v>
      </c>
      <c r="C734" s="81">
        <v>45926</v>
      </c>
      <c r="D734" s="59" t="s">
        <v>3212</v>
      </c>
      <c r="E734" s="15" t="s">
        <v>3222</v>
      </c>
      <c r="F734" s="83" t="s">
        <v>46</v>
      </c>
      <c r="G734" s="83" t="s">
        <v>21</v>
      </c>
      <c r="H734" s="16">
        <v>300</v>
      </c>
      <c r="I734" s="15">
        <v>2</v>
      </c>
      <c r="J734" s="15" t="s">
        <v>1182</v>
      </c>
      <c r="K734" s="84" t="s">
        <v>1133</v>
      </c>
      <c r="L734" s="19">
        <v>16193727</v>
      </c>
      <c r="M734" s="18">
        <f t="shared" si="74"/>
        <v>32387454</v>
      </c>
      <c r="N734" s="176">
        <v>46001</v>
      </c>
      <c r="O734" s="20" t="s">
        <v>2355</v>
      </c>
      <c r="P734" s="22"/>
      <c r="Q734" s="38" t="s">
        <v>2766</v>
      </c>
      <c r="R734" s="19"/>
      <c r="S734" s="19"/>
    </row>
    <row r="735" spans="2:19" s="20" customFormat="1" ht="16.5" hidden="1" customHeight="1" x14ac:dyDescent="0.3">
      <c r="B735" s="81">
        <v>45922</v>
      </c>
      <c r="C735" s="81">
        <v>45959</v>
      </c>
      <c r="D735" s="59" t="s">
        <v>3302</v>
      </c>
      <c r="E735" s="15" t="s">
        <v>3303</v>
      </c>
      <c r="F735" s="15" t="s">
        <v>25</v>
      </c>
      <c r="G735" s="83" t="s">
        <v>26</v>
      </c>
      <c r="H735" s="16" t="s">
        <v>551</v>
      </c>
      <c r="I735" s="15">
        <v>1</v>
      </c>
      <c r="J735" s="15"/>
      <c r="K735" s="84" t="s">
        <v>2839</v>
      </c>
      <c r="L735" s="19">
        <v>41234000</v>
      </c>
      <c r="M735" s="18">
        <f t="shared" si="74"/>
        <v>41234000</v>
      </c>
      <c r="N735" s="17">
        <v>46001</v>
      </c>
      <c r="O735" s="20" t="s">
        <v>2840</v>
      </c>
      <c r="P735" s="119" t="s">
        <v>3338</v>
      </c>
      <c r="Q735" s="38" t="s">
        <v>2841</v>
      </c>
      <c r="R735" s="19"/>
      <c r="S735" s="19"/>
    </row>
    <row r="736" spans="2:19" s="20" customFormat="1" ht="16.5" hidden="1" customHeight="1" x14ac:dyDescent="0.3">
      <c r="B736" s="81">
        <v>45923</v>
      </c>
      <c r="C736" s="81">
        <v>45929</v>
      </c>
      <c r="D736" s="167" t="s">
        <v>3229</v>
      </c>
      <c r="E736" s="15" t="s">
        <v>3231</v>
      </c>
      <c r="F736" s="83" t="s">
        <v>46</v>
      </c>
      <c r="G736" s="83" t="s">
        <v>21</v>
      </c>
      <c r="H736" s="16" t="s">
        <v>3233</v>
      </c>
      <c r="I736" s="15">
        <v>1</v>
      </c>
      <c r="J736" s="15" t="s">
        <v>3235</v>
      </c>
      <c r="K736" s="84" t="s">
        <v>3236</v>
      </c>
      <c r="L736" s="19">
        <f>124900000/2</f>
        <v>62450000</v>
      </c>
      <c r="M736" s="18">
        <f t="shared" si="74"/>
        <v>66374000</v>
      </c>
      <c r="N736" s="17">
        <v>46041</v>
      </c>
      <c r="O736" s="20" t="s">
        <v>3238</v>
      </c>
      <c r="P736" s="22"/>
      <c r="Q736" s="38" t="s">
        <v>3237</v>
      </c>
      <c r="R736" s="19">
        <v>3924000</v>
      </c>
      <c r="S736" s="19">
        <v>3924000</v>
      </c>
    </row>
    <row r="737" spans="2:19" s="20" customFormat="1" ht="16.5" hidden="1" customHeight="1" x14ac:dyDescent="0.3">
      <c r="B737" s="81">
        <v>45923</v>
      </c>
      <c r="C737" s="81">
        <v>45927</v>
      </c>
      <c r="D737" s="167" t="s">
        <v>3230</v>
      </c>
      <c r="E737" s="15" t="s">
        <v>3232</v>
      </c>
      <c r="F737" s="83" t="s">
        <v>46</v>
      </c>
      <c r="G737" s="83" t="s">
        <v>21</v>
      </c>
      <c r="H737" s="16" t="s">
        <v>3234</v>
      </c>
      <c r="I737" s="15">
        <v>1</v>
      </c>
      <c r="J737" s="15" t="s">
        <v>3235</v>
      </c>
      <c r="K737" s="84" t="s">
        <v>3236</v>
      </c>
      <c r="L737" s="19">
        <v>21000000</v>
      </c>
      <c r="M737" s="18">
        <f t="shared" si="74"/>
        <v>21000000</v>
      </c>
      <c r="N737" s="17">
        <v>46041</v>
      </c>
      <c r="O737" s="20" t="s">
        <v>3238</v>
      </c>
      <c r="P737" s="22"/>
      <c r="Q737" s="38" t="s">
        <v>3237</v>
      </c>
      <c r="R737" s="19"/>
      <c r="S737" s="19"/>
    </row>
    <row r="738" spans="2:19" s="20" customFormat="1" ht="16.5" hidden="1" customHeight="1" x14ac:dyDescent="0.3">
      <c r="B738" s="81">
        <v>45926</v>
      </c>
      <c r="C738" s="81"/>
      <c r="D738" s="60" t="s">
        <v>3242</v>
      </c>
      <c r="E738" s="15" t="s">
        <v>3241</v>
      </c>
      <c r="F738" s="15" t="s">
        <v>25</v>
      </c>
      <c r="G738" s="83" t="s">
        <v>26</v>
      </c>
      <c r="H738" s="16" t="s">
        <v>3243</v>
      </c>
      <c r="I738" s="15">
        <v>1</v>
      </c>
      <c r="J738" s="15" t="s">
        <v>3244</v>
      </c>
      <c r="K738" s="84" t="s">
        <v>3245</v>
      </c>
      <c r="L738" s="19">
        <v>104121817</v>
      </c>
      <c r="M738" s="18">
        <f t="shared" si="74"/>
        <v>104121817</v>
      </c>
      <c r="N738" s="17"/>
      <c r="O738" s="20" t="s">
        <v>3246</v>
      </c>
      <c r="P738" s="22"/>
      <c r="Q738" s="38" t="s">
        <v>3247</v>
      </c>
      <c r="R738" s="19"/>
      <c r="S738" s="19"/>
    </row>
    <row r="739" spans="2:19" s="20" customFormat="1" ht="16.5" customHeight="1" x14ac:dyDescent="0.3">
      <c r="B739" s="81">
        <v>45946</v>
      </c>
      <c r="C739" s="81">
        <v>45949</v>
      </c>
      <c r="D739" s="59" t="s">
        <v>3257</v>
      </c>
      <c r="E739" s="15" t="s">
        <v>3258</v>
      </c>
      <c r="F739" s="83" t="s">
        <v>46</v>
      </c>
      <c r="G739" s="83" t="s">
        <v>21</v>
      </c>
      <c r="H739" s="16">
        <v>300</v>
      </c>
      <c r="I739" s="15">
        <v>2</v>
      </c>
      <c r="J739" s="15" t="s">
        <v>1182</v>
      </c>
      <c r="K739" s="84" t="s">
        <v>3259</v>
      </c>
      <c r="L739" s="19">
        <v>16193727</v>
      </c>
      <c r="M739" s="18">
        <f t="shared" ref="M739" si="77">(L739*I739)+S739</f>
        <v>32387454</v>
      </c>
      <c r="N739" s="176">
        <v>46001</v>
      </c>
      <c r="O739" s="20" t="s">
        <v>2355</v>
      </c>
      <c r="P739" s="22"/>
      <c r="Q739" s="38" t="s">
        <v>2766</v>
      </c>
      <c r="R739" s="19"/>
      <c r="S739" s="19"/>
    </row>
    <row r="740" spans="2:19" s="20" customFormat="1" ht="16.5" hidden="1" customHeight="1" x14ac:dyDescent="0.3">
      <c r="B740" s="81">
        <v>45947</v>
      </c>
      <c r="C740" s="81">
        <v>45947</v>
      </c>
      <c r="D740" s="59" t="s">
        <v>3260</v>
      </c>
      <c r="E740" s="15" t="s">
        <v>3261</v>
      </c>
      <c r="F740" s="15" t="s">
        <v>25</v>
      </c>
      <c r="G740" s="83" t="s">
        <v>26</v>
      </c>
      <c r="H740" s="16" t="s">
        <v>3262</v>
      </c>
      <c r="I740" s="15">
        <v>1</v>
      </c>
      <c r="J740" s="15"/>
      <c r="K740" s="84" t="s">
        <v>3339</v>
      </c>
      <c r="L740" s="19">
        <f>8000000*2</f>
        <v>16000000</v>
      </c>
      <c r="M740" s="18">
        <f t="shared" ref="M740:M752" si="78">(L740*I740)+S740</f>
        <v>16000000</v>
      </c>
      <c r="N740" s="17">
        <v>45961</v>
      </c>
      <c r="P740" s="22"/>
      <c r="Q740" s="38" t="s">
        <v>3263</v>
      </c>
      <c r="R740" s="19"/>
      <c r="S740" s="19"/>
    </row>
    <row r="741" spans="2:19" s="20" customFormat="1" ht="16.5" customHeight="1" x14ac:dyDescent="0.3">
      <c r="B741" s="81">
        <v>45950</v>
      </c>
      <c r="C741" s="81">
        <v>45966</v>
      </c>
      <c r="D741" s="59" t="s">
        <v>3264</v>
      </c>
      <c r="E741" s="15" t="s">
        <v>3266</v>
      </c>
      <c r="F741" s="83" t="s">
        <v>46</v>
      </c>
      <c r="G741" s="83" t="s">
        <v>21</v>
      </c>
      <c r="H741" s="16">
        <v>800</v>
      </c>
      <c r="I741" s="15">
        <v>4</v>
      </c>
      <c r="J741" s="15" t="s">
        <v>3269</v>
      </c>
      <c r="K741" s="84" t="s">
        <v>3270</v>
      </c>
      <c r="L741" s="19">
        <v>68305936</v>
      </c>
      <c r="M741" s="18">
        <f t="shared" si="78"/>
        <v>273223744</v>
      </c>
      <c r="N741" s="206">
        <v>46001</v>
      </c>
      <c r="O741" s="20" t="s">
        <v>2355</v>
      </c>
      <c r="P741" s="22"/>
      <c r="Q741" s="38" t="s">
        <v>2766</v>
      </c>
      <c r="R741" s="19"/>
      <c r="S741" s="19"/>
    </row>
    <row r="742" spans="2:19" s="20" customFormat="1" ht="16.5" customHeight="1" x14ac:dyDescent="0.3">
      <c r="B742" s="81">
        <v>45950</v>
      </c>
      <c r="C742" s="81">
        <v>45961</v>
      </c>
      <c r="D742" s="59" t="s">
        <v>3257</v>
      </c>
      <c r="E742" s="15" t="s">
        <v>3267</v>
      </c>
      <c r="F742" s="83" t="s">
        <v>46</v>
      </c>
      <c r="G742" s="83" t="s">
        <v>21</v>
      </c>
      <c r="H742" s="16">
        <v>300</v>
      </c>
      <c r="I742" s="15">
        <v>2</v>
      </c>
      <c r="J742" s="15" t="s">
        <v>1182</v>
      </c>
      <c r="K742" s="84" t="s">
        <v>3271</v>
      </c>
      <c r="L742" s="19">
        <v>16193727</v>
      </c>
      <c r="M742" s="18">
        <f t="shared" si="78"/>
        <v>32387454</v>
      </c>
      <c r="N742" s="176">
        <v>46001</v>
      </c>
      <c r="O742" s="20" t="s">
        <v>2355</v>
      </c>
      <c r="P742" s="22"/>
      <c r="Q742" s="38" t="s">
        <v>2766</v>
      </c>
      <c r="R742" s="19"/>
      <c r="S742" s="19"/>
    </row>
    <row r="743" spans="2:19" s="20" customFormat="1" ht="16.5" customHeight="1" x14ac:dyDescent="0.3">
      <c r="B743" s="81">
        <v>45950</v>
      </c>
      <c r="C743" s="81">
        <v>45952</v>
      </c>
      <c r="D743" s="59" t="s">
        <v>3265</v>
      </c>
      <c r="E743" s="15" t="s">
        <v>3268</v>
      </c>
      <c r="F743" s="83" t="s">
        <v>46</v>
      </c>
      <c r="G743" s="83" t="s">
        <v>21</v>
      </c>
      <c r="H743" s="16">
        <v>400</v>
      </c>
      <c r="I743" s="15">
        <v>2</v>
      </c>
      <c r="J743" s="15" t="s">
        <v>1213</v>
      </c>
      <c r="K743" s="84" t="s">
        <v>585</v>
      </c>
      <c r="L743" s="19">
        <v>25319213</v>
      </c>
      <c r="M743" s="18">
        <f t="shared" si="78"/>
        <v>50638426</v>
      </c>
      <c r="N743" s="176">
        <v>46001</v>
      </c>
      <c r="O743" s="20" t="s">
        <v>2355</v>
      </c>
      <c r="P743" s="22"/>
      <c r="Q743" s="38" t="s">
        <v>2766</v>
      </c>
      <c r="R743" s="19"/>
      <c r="S743" s="19"/>
    </row>
    <row r="744" spans="2:19" s="20" customFormat="1" ht="16.5" hidden="1" customHeight="1" x14ac:dyDescent="0.3">
      <c r="B744" s="81">
        <v>45953</v>
      </c>
      <c r="C744" s="81">
        <v>45959</v>
      </c>
      <c r="D744" s="59" t="s">
        <v>3278</v>
      </c>
      <c r="E744" s="15" t="s">
        <v>3279</v>
      </c>
      <c r="F744" s="83" t="s">
        <v>46</v>
      </c>
      <c r="G744" s="83" t="s">
        <v>21</v>
      </c>
      <c r="H744" s="16" t="s">
        <v>3280</v>
      </c>
      <c r="I744" s="15">
        <v>1</v>
      </c>
      <c r="J744" s="15" t="s">
        <v>3158</v>
      </c>
      <c r="K744" s="84" t="s">
        <v>3281</v>
      </c>
      <c r="L744" s="19">
        <v>6100000</v>
      </c>
      <c r="M744" s="18">
        <f t="shared" si="78"/>
        <v>11198000</v>
      </c>
      <c r="N744" s="17">
        <v>45961</v>
      </c>
      <c r="P744" s="22"/>
      <c r="Q744" s="38" t="s">
        <v>3332</v>
      </c>
      <c r="R744" s="19">
        <v>5096000</v>
      </c>
      <c r="S744" s="19">
        <v>5098000</v>
      </c>
    </row>
    <row r="745" spans="2:19" s="20" customFormat="1" ht="16.5" hidden="1" customHeight="1" x14ac:dyDescent="0.3">
      <c r="B745" s="81">
        <v>45953</v>
      </c>
      <c r="C745" s="81">
        <v>45959</v>
      </c>
      <c r="D745" s="59" t="s">
        <v>3304</v>
      </c>
      <c r="E745" s="15" t="s">
        <v>3305</v>
      </c>
      <c r="F745" s="83" t="s">
        <v>46</v>
      </c>
      <c r="G745" s="83" t="s">
        <v>21</v>
      </c>
      <c r="H745" s="16" t="s">
        <v>3306</v>
      </c>
      <c r="I745" s="15">
        <v>1</v>
      </c>
      <c r="J745" s="15" t="s">
        <v>3307</v>
      </c>
      <c r="K745" s="84" t="s">
        <v>3308</v>
      </c>
      <c r="L745" s="19">
        <v>17200000</v>
      </c>
      <c r="M745" s="18">
        <f t="shared" si="78"/>
        <v>33000000</v>
      </c>
      <c r="N745" s="17">
        <v>45989</v>
      </c>
      <c r="P745" s="22" t="s">
        <v>3336</v>
      </c>
      <c r="Q745" s="38" t="s">
        <v>3334</v>
      </c>
      <c r="R745" s="19">
        <v>13584000</v>
      </c>
      <c r="S745" s="19">
        <v>15800000</v>
      </c>
    </row>
    <row r="746" spans="2:19" s="20" customFormat="1" ht="16.5" hidden="1" customHeight="1" x14ac:dyDescent="0.3">
      <c r="B746" s="81">
        <v>45954</v>
      </c>
      <c r="C746" s="81">
        <v>45960</v>
      </c>
      <c r="D746" s="167" t="s">
        <v>3309</v>
      </c>
      <c r="E746" s="15" t="s">
        <v>3310</v>
      </c>
      <c r="F746" s="83" t="s">
        <v>46</v>
      </c>
      <c r="G746" s="83" t="s">
        <v>21</v>
      </c>
      <c r="H746" s="16" t="s">
        <v>3311</v>
      </c>
      <c r="I746" s="15">
        <v>1</v>
      </c>
      <c r="J746" s="15" t="s">
        <v>3307</v>
      </c>
      <c r="K746" s="84" t="s">
        <v>3236</v>
      </c>
      <c r="L746" s="19">
        <v>40000000</v>
      </c>
      <c r="M746" s="18">
        <f t="shared" si="78"/>
        <v>46380000</v>
      </c>
      <c r="N746" s="17">
        <v>46041</v>
      </c>
      <c r="P746" s="182" t="s">
        <v>3333</v>
      </c>
      <c r="Q746" s="38"/>
      <c r="R746" s="19">
        <v>6380000</v>
      </c>
      <c r="S746" s="19">
        <v>6380000</v>
      </c>
    </row>
    <row r="747" spans="2:19" s="20" customFormat="1" ht="16.5" customHeight="1" x14ac:dyDescent="0.3">
      <c r="B747" s="81">
        <v>45954</v>
      </c>
      <c r="C747" s="81">
        <v>45971</v>
      </c>
      <c r="D747" s="59" t="s">
        <v>3312</v>
      </c>
      <c r="E747" s="15" t="s">
        <v>3435</v>
      </c>
      <c r="F747" s="83" t="s">
        <v>46</v>
      </c>
      <c r="G747" s="83" t="s">
        <v>21</v>
      </c>
      <c r="H747" s="16">
        <v>250</v>
      </c>
      <c r="I747" s="15">
        <v>2</v>
      </c>
      <c r="J747" s="15" t="s">
        <v>1336</v>
      </c>
      <c r="K747" s="84" t="s">
        <v>2301</v>
      </c>
      <c r="L747" s="19">
        <v>13170101</v>
      </c>
      <c r="M747" s="18">
        <f t="shared" si="78"/>
        <v>26340202</v>
      </c>
      <c r="N747" s="176">
        <v>46001</v>
      </c>
      <c r="O747" s="20" t="s">
        <v>2355</v>
      </c>
      <c r="P747" s="22" t="s">
        <v>3348</v>
      </c>
      <c r="Q747" s="38" t="s">
        <v>2766</v>
      </c>
      <c r="R747" s="19"/>
      <c r="S747" s="19"/>
    </row>
    <row r="748" spans="2:19" s="20" customFormat="1" ht="16.5" customHeight="1" x14ac:dyDescent="0.3">
      <c r="B748" s="81">
        <v>45954</v>
      </c>
      <c r="C748" s="81">
        <v>45971</v>
      </c>
      <c r="D748" s="59" t="s">
        <v>3313</v>
      </c>
      <c r="E748" s="15" t="s">
        <v>3315</v>
      </c>
      <c r="F748" s="83" t="s">
        <v>46</v>
      </c>
      <c r="G748" s="83" t="s">
        <v>21</v>
      </c>
      <c r="H748" s="16">
        <v>150</v>
      </c>
      <c r="I748" s="15">
        <v>2</v>
      </c>
      <c r="J748" s="15" t="s">
        <v>1336</v>
      </c>
      <c r="K748" s="84" t="s">
        <v>2301</v>
      </c>
      <c r="L748" s="19">
        <v>6820394</v>
      </c>
      <c r="M748" s="18">
        <f t="shared" si="78"/>
        <v>13640788</v>
      </c>
      <c r="N748" s="176">
        <v>46001</v>
      </c>
      <c r="O748" s="20" t="s">
        <v>2355</v>
      </c>
      <c r="P748" s="22" t="s">
        <v>3348</v>
      </c>
      <c r="Q748" s="38" t="s">
        <v>2766</v>
      </c>
      <c r="R748" s="19"/>
      <c r="S748" s="19"/>
    </row>
    <row r="749" spans="2:19" s="20" customFormat="1" ht="16.5" customHeight="1" x14ac:dyDescent="0.3">
      <c r="B749" s="81">
        <v>45954</v>
      </c>
      <c r="C749" s="81">
        <v>45971</v>
      </c>
      <c r="D749" s="59" t="s">
        <v>3314</v>
      </c>
      <c r="E749" s="15" t="s">
        <v>3316</v>
      </c>
      <c r="F749" s="83" t="s">
        <v>46</v>
      </c>
      <c r="G749" s="83" t="s">
        <v>21</v>
      </c>
      <c r="H749" s="16">
        <v>300</v>
      </c>
      <c r="I749" s="15">
        <v>2</v>
      </c>
      <c r="J749" s="15" t="s">
        <v>1336</v>
      </c>
      <c r="K749" s="84" t="s">
        <v>2301</v>
      </c>
      <c r="L749" s="19">
        <v>16193727</v>
      </c>
      <c r="M749" s="18">
        <f t="shared" si="78"/>
        <v>32387454</v>
      </c>
      <c r="N749" s="176">
        <v>46001</v>
      </c>
      <c r="O749" s="20" t="s">
        <v>2355</v>
      </c>
      <c r="P749" s="22" t="s">
        <v>3348</v>
      </c>
      <c r="Q749" s="38" t="s">
        <v>2766</v>
      </c>
      <c r="R749" s="19"/>
      <c r="S749" s="19"/>
    </row>
    <row r="750" spans="2:19" s="20" customFormat="1" ht="16.5" hidden="1" customHeight="1" x14ac:dyDescent="0.3">
      <c r="B750" s="81">
        <v>45957</v>
      </c>
      <c r="C750" s="81">
        <v>46027</v>
      </c>
      <c r="D750" s="59" t="s">
        <v>3282</v>
      </c>
      <c r="E750" s="15" t="s">
        <v>3283</v>
      </c>
      <c r="F750" s="15" t="s">
        <v>25</v>
      </c>
      <c r="G750" s="83" t="s">
        <v>3284</v>
      </c>
      <c r="H750" s="16" t="s">
        <v>3285</v>
      </c>
      <c r="I750" s="15">
        <v>1</v>
      </c>
      <c r="J750" s="15" t="s">
        <v>3287</v>
      </c>
      <c r="K750" s="84" t="s">
        <v>3286</v>
      </c>
      <c r="L750" s="19">
        <f>227880000+31680000+33480000</f>
        <v>293040000</v>
      </c>
      <c r="M750" s="18">
        <f>(L750*I750)+S750</f>
        <v>293040000</v>
      </c>
      <c r="N750" s="17">
        <v>46032</v>
      </c>
      <c r="O750" s="20" t="s">
        <v>3288</v>
      </c>
      <c r="P750" s="22"/>
      <c r="Q750" s="38" t="s">
        <v>3289</v>
      </c>
      <c r="R750" s="19"/>
      <c r="S750" s="19"/>
    </row>
    <row r="751" spans="2:19" s="20" customFormat="1" ht="16.5" hidden="1" customHeight="1" x14ac:dyDescent="0.3">
      <c r="B751" s="81">
        <v>45958</v>
      </c>
      <c r="C751" s="81">
        <v>46015</v>
      </c>
      <c r="D751" s="59" t="s">
        <v>3290</v>
      </c>
      <c r="E751" s="15" t="s">
        <v>3291</v>
      </c>
      <c r="F751" s="15" t="s">
        <v>25</v>
      </c>
      <c r="G751" s="83" t="s">
        <v>548</v>
      </c>
      <c r="H751" s="16" t="s">
        <v>3292</v>
      </c>
      <c r="I751" s="15">
        <v>1</v>
      </c>
      <c r="J751" s="15" t="s">
        <v>3287</v>
      </c>
      <c r="K751" s="84" t="s">
        <v>3286</v>
      </c>
      <c r="L751" s="19">
        <f>139320000+23760000+23760000</f>
        <v>186840000</v>
      </c>
      <c r="M751" s="18">
        <f>(L751*I751)+S751</f>
        <v>186840000</v>
      </c>
      <c r="N751" s="17">
        <v>46032</v>
      </c>
      <c r="O751" s="20" t="s">
        <v>3288</v>
      </c>
      <c r="P751" s="22"/>
      <c r="Q751" s="38" t="s">
        <v>3289</v>
      </c>
      <c r="R751" s="19"/>
      <c r="S751" s="19"/>
    </row>
    <row r="752" spans="2:19" s="20" customFormat="1" ht="16.5" hidden="1" customHeight="1" x14ac:dyDescent="0.3">
      <c r="B752" s="81">
        <v>45961</v>
      </c>
      <c r="C752" s="81">
        <v>45972</v>
      </c>
      <c r="D752" s="59" t="s">
        <v>3293</v>
      </c>
      <c r="E752" s="15" t="s">
        <v>3295</v>
      </c>
      <c r="F752" s="15" t="s">
        <v>25</v>
      </c>
      <c r="G752" s="83" t="s">
        <v>26</v>
      </c>
      <c r="H752" s="16" t="s">
        <v>3296</v>
      </c>
      <c r="I752" s="15">
        <v>1</v>
      </c>
      <c r="J752" s="15" t="s">
        <v>3299</v>
      </c>
      <c r="K752" s="84" t="s">
        <v>3301</v>
      </c>
      <c r="L752" s="19">
        <v>43260000</v>
      </c>
      <c r="M752" s="18">
        <f t="shared" si="78"/>
        <v>43260000</v>
      </c>
      <c r="N752" s="17">
        <v>46015</v>
      </c>
      <c r="O752" s="20" t="s">
        <v>3300</v>
      </c>
      <c r="P752" s="22"/>
      <c r="Q752" s="38" t="s">
        <v>3298</v>
      </c>
      <c r="R752" s="19"/>
      <c r="S752" s="19"/>
    </row>
    <row r="753" spans="2:19" s="20" customFormat="1" ht="16.5" hidden="1" customHeight="1" x14ac:dyDescent="0.3">
      <c r="B753" s="81">
        <v>45961</v>
      </c>
      <c r="C753" s="81"/>
      <c r="D753" s="59" t="s">
        <v>3294</v>
      </c>
      <c r="E753" s="15" t="s">
        <v>3412</v>
      </c>
      <c r="F753" s="15" t="s">
        <v>25</v>
      </c>
      <c r="G753" s="83" t="s">
        <v>26</v>
      </c>
      <c r="H753" s="16" t="s">
        <v>3297</v>
      </c>
      <c r="I753" s="15">
        <v>1</v>
      </c>
      <c r="J753" s="15" t="s">
        <v>3299</v>
      </c>
      <c r="K753" s="84" t="s">
        <v>3301</v>
      </c>
      <c r="L753" s="19"/>
      <c r="M753" s="18">
        <f t="shared" ref="M753:M766" si="79">(L753*I753)+S753</f>
        <v>0</v>
      </c>
      <c r="N753" s="17">
        <v>46015</v>
      </c>
      <c r="O753" s="20" t="s">
        <v>3300</v>
      </c>
      <c r="P753" s="22"/>
      <c r="Q753" s="38" t="s">
        <v>3298</v>
      </c>
      <c r="R753" s="19"/>
      <c r="S753" s="19"/>
    </row>
    <row r="754" spans="2:19" s="20" customFormat="1" ht="16.5" hidden="1" customHeight="1" x14ac:dyDescent="0.3">
      <c r="B754" s="81">
        <v>45964</v>
      </c>
      <c r="C754" s="81">
        <v>45966</v>
      </c>
      <c r="D754" s="59" t="s">
        <v>3317</v>
      </c>
      <c r="E754" s="15" t="s">
        <v>3318</v>
      </c>
      <c r="F754" s="83" t="s">
        <v>46</v>
      </c>
      <c r="G754" s="83" t="s">
        <v>21</v>
      </c>
      <c r="H754" s="16">
        <v>250</v>
      </c>
      <c r="I754" s="15">
        <v>1</v>
      </c>
      <c r="J754" s="15" t="s">
        <v>3322</v>
      </c>
      <c r="K754" s="84" t="s">
        <v>3323</v>
      </c>
      <c r="L754" s="19">
        <v>11200000</v>
      </c>
      <c r="M754" s="18">
        <f t="shared" si="79"/>
        <v>12700000</v>
      </c>
      <c r="N754" s="17">
        <v>45961</v>
      </c>
      <c r="P754" s="22"/>
      <c r="Q754" s="38" t="s">
        <v>3337</v>
      </c>
      <c r="R754" s="19">
        <v>1436000</v>
      </c>
      <c r="S754" s="19">
        <v>1500000</v>
      </c>
    </row>
    <row r="755" spans="2:19" s="20" customFormat="1" ht="16.5" hidden="1" customHeight="1" x14ac:dyDescent="0.3">
      <c r="B755" s="81">
        <v>45964</v>
      </c>
      <c r="C755" s="81">
        <v>46078</v>
      </c>
      <c r="D755" s="60" t="s">
        <v>3324</v>
      </c>
      <c r="E755" s="15" t="s">
        <v>3326</v>
      </c>
      <c r="F755" s="15" t="s">
        <v>25</v>
      </c>
      <c r="G755" s="83" t="s">
        <v>21</v>
      </c>
      <c r="H755" s="16" t="s">
        <v>3328</v>
      </c>
      <c r="I755" s="15">
        <v>1</v>
      </c>
      <c r="J755" s="15" t="s">
        <v>3330</v>
      </c>
      <c r="K755" s="84" t="s">
        <v>3331</v>
      </c>
      <c r="L755" s="19">
        <v>220000000</v>
      </c>
      <c r="M755" s="18">
        <f t="shared" si="79"/>
        <v>220000000</v>
      </c>
      <c r="N755" s="17"/>
      <c r="P755" s="22"/>
      <c r="Q755" s="38" t="s">
        <v>3335</v>
      </c>
      <c r="R755" s="19"/>
      <c r="S755" s="19"/>
    </row>
    <row r="756" spans="2:19" s="20" customFormat="1" ht="16.5" hidden="1" customHeight="1" x14ac:dyDescent="0.3">
      <c r="B756" s="81">
        <v>45964</v>
      </c>
      <c r="C756" s="81">
        <v>46078</v>
      </c>
      <c r="D756" s="60" t="s">
        <v>3325</v>
      </c>
      <c r="E756" s="15" t="s">
        <v>3327</v>
      </c>
      <c r="F756" s="15" t="s">
        <v>25</v>
      </c>
      <c r="G756" s="83" t="s">
        <v>21</v>
      </c>
      <c r="H756" s="16" t="s">
        <v>3329</v>
      </c>
      <c r="I756" s="15">
        <v>1</v>
      </c>
      <c r="J756" s="15" t="s">
        <v>3330</v>
      </c>
      <c r="K756" s="84" t="s">
        <v>3331</v>
      </c>
      <c r="L756" s="19"/>
      <c r="M756" s="18">
        <f t="shared" si="79"/>
        <v>0</v>
      </c>
      <c r="N756" s="17"/>
      <c r="P756" s="22"/>
      <c r="Q756" s="38" t="s">
        <v>3335</v>
      </c>
      <c r="R756" s="19"/>
      <c r="S756" s="19"/>
    </row>
    <row r="757" spans="2:19" s="20" customFormat="1" ht="16.5" hidden="1" customHeight="1" x14ac:dyDescent="0.3">
      <c r="B757" s="81">
        <v>45966</v>
      </c>
      <c r="C757" s="81">
        <v>45967</v>
      </c>
      <c r="D757" s="59" t="s">
        <v>3352</v>
      </c>
      <c r="E757" s="15" t="s">
        <v>3319</v>
      </c>
      <c r="F757" s="83" t="s">
        <v>46</v>
      </c>
      <c r="G757" s="83" t="s">
        <v>21</v>
      </c>
      <c r="H757" s="16" t="s">
        <v>3320</v>
      </c>
      <c r="I757" s="15">
        <v>1</v>
      </c>
      <c r="J757" s="15" t="s">
        <v>3321</v>
      </c>
      <c r="K757" s="84" t="s">
        <v>586</v>
      </c>
      <c r="L757" s="19">
        <v>2042000</v>
      </c>
      <c r="M757" s="18">
        <f t="shared" si="79"/>
        <v>2042000</v>
      </c>
      <c r="N757" s="17">
        <v>46010</v>
      </c>
      <c r="P757" s="22"/>
      <c r="Q757" s="38"/>
      <c r="R757" s="19"/>
      <c r="S757" s="19"/>
    </row>
    <row r="758" spans="2:19" s="20" customFormat="1" ht="16.5" customHeight="1" x14ac:dyDescent="0.3">
      <c r="B758" s="81">
        <v>45966</v>
      </c>
      <c r="C758" s="81">
        <v>45971</v>
      </c>
      <c r="D758" s="59" t="s">
        <v>3344</v>
      </c>
      <c r="E758" s="15" t="s">
        <v>3345</v>
      </c>
      <c r="F758" s="83" t="s">
        <v>46</v>
      </c>
      <c r="G758" s="83" t="s">
        <v>21</v>
      </c>
      <c r="H758" s="16">
        <v>300</v>
      </c>
      <c r="I758" s="15">
        <v>4</v>
      </c>
      <c r="J758" s="15" t="s">
        <v>3346</v>
      </c>
      <c r="K758" s="84" t="s">
        <v>3347</v>
      </c>
      <c r="L758" s="19">
        <v>16193727</v>
      </c>
      <c r="M758" s="18">
        <f t="shared" si="79"/>
        <v>64774908</v>
      </c>
      <c r="N758" s="206">
        <v>46001</v>
      </c>
      <c r="O758" s="20" t="s">
        <v>2355</v>
      </c>
      <c r="P758" s="22"/>
      <c r="Q758" s="38" t="s">
        <v>2766</v>
      </c>
      <c r="R758" s="19"/>
      <c r="S758" s="19"/>
    </row>
    <row r="759" spans="2:19" s="20" customFormat="1" ht="16.5" hidden="1" customHeight="1" x14ac:dyDescent="0.3">
      <c r="B759" s="81">
        <v>45967</v>
      </c>
      <c r="C759" s="81">
        <v>46022</v>
      </c>
      <c r="D759" s="59" t="s">
        <v>3341</v>
      </c>
      <c r="E759" s="15" t="s">
        <v>3342</v>
      </c>
      <c r="F759" s="15" t="s">
        <v>25</v>
      </c>
      <c r="G759" s="83" t="s">
        <v>21</v>
      </c>
      <c r="H759" s="16" t="s">
        <v>3343</v>
      </c>
      <c r="I759" s="15">
        <v>1</v>
      </c>
      <c r="J759" s="15" t="s">
        <v>2951</v>
      </c>
      <c r="K759" s="84" t="s">
        <v>1300</v>
      </c>
      <c r="L759" s="19">
        <v>252406886</v>
      </c>
      <c r="M759" s="18">
        <f t="shared" si="79"/>
        <v>252406886</v>
      </c>
      <c r="N759" s="17">
        <v>45991</v>
      </c>
      <c r="O759" s="20" t="s">
        <v>2953</v>
      </c>
      <c r="P759" s="119"/>
      <c r="Q759" s="38" t="s">
        <v>2954</v>
      </c>
      <c r="R759" s="19"/>
      <c r="S759" s="19"/>
    </row>
    <row r="760" spans="2:19" s="20" customFormat="1" ht="16.5" hidden="1" customHeight="1" x14ac:dyDescent="0.3">
      <c r="B760" s="81">
        <v>45972</v>
      </c>
      <c r="C760" s="81">
        <v>45974</v>
      </c>
      <c r="D760" s="59" t="s">
        <v>3353</v>
      </c>
      <c r="E760" s="15" t="s">
        <v>3354</v>
      </c>
      <c r="F760" s="83" t="s">
        <v>46</v>
      </c>
      <c r="G760" s="83" t="s">
        <v>21</v>
      </c>
      <c r="H760" s="16" t="s">
        <v>3355</v>
      </c>
      <c r="I760" s="15">
        <v>1</v>
      </c>
      <c r="J760" s="15" t="s">
        <v>3158</v>
      </c>
      <c r="K760" s="84" t="s">
        <v>3157</v>
      </c>
      <c r="L760" s="19">
        <v>8100000</v>
      </c>
      <c r="M760" s="18">
        <f t="shared" si="79"/>
        <v>13714000</v>
      </c>
      <c r="N760" s="17">
        <v>45991</v>
      </c>
      <c r="P760" s="22"/>
      <c r="Q760" s="38" t="s">
        <v>3332</v>
      </c>
      <c r="R760" s="19">
        <v>5742000</v>
      </c>
      <c r="S760" s="19">
        <v>5614000</v>
      </c>
    </row>
    <row r="761" spans="2:19" s="20" customFormat="1" ht="16.5" hidden="1" customHeight="1" x14ac:dyDescent="0.3">
      <c r="B761" s="81">
        <v>45971</v>
      </c>
      <c r="C761" s="81">
        <v>45971</v>
      </c>
      <c r="D761" s="59" t="s">
        <v>3357</v>
      </c>
      <c r="E761" s="15" t="s">
        <v>3358</v>
      </c>
      <c r="F761" s="83" t="s">
        <v>46</v>
      </c>
      <c r="G761" s="83" t="s">
        <v>21</v>
      </c>
      <c r="H761" s="16" t="s">
        <v>3359</v>
      </c>
      <c r="I761" s="15">
        <v>1</v>
      </c>
      <c r="J761" s="15" t="s">
        <v>3360</v>
      </c>
      <c r="K761" s="84" t="s">
        <v>512</v>
      </c>
      <c r="L761" s="19">
        <v>4800000</v>
      </c>
      <c r="M761" s="18">
        <f t="shared" si="79"/>
        <v>12486000</v>
      </c>
      <c r="N761" s="17">
        <v>45989</v>
      </c>
      <c r="P761" s="22"/>
      <c r="Q761" s="38" t="s">
        <v>3334</v>
      </c>
      <c r="R761" s="19">
        <v>4372000</v>
      </c>
      <c r="S761" s="19">
        <v>7686000</v>
      </c>
    </row>
    <row r="762" spans="2:19" s="20" customFormat="1" ht="16.5" hidden="1" customHeight="1" x14ac:dyDescent="0.3">
      <c r="B762" s="81">
        <v>45973</v>
      </c>
      <c r="C762" s="81">
        <v>45992</v>
      </c>
      <c r="D762" s="59" t="s">
        <v>3356</v>
      </c>
      <c r="E762" s="15" t="s">
        <v>3362</v>
      </c>
      <c r="F762" s="83" t="s">
        <v>128</v>
      </c>
      <c r="G762" s="83" t="s">
        <v>21</v>
      </c>
      <c r="H762" s="16" t="s">
        <v>3364</v>
      </c>
      <c r="I762" s="15">
        <v>1</v>
      </c>
      <c r="J762" s="15" t="s">
        <v>3367</v>
      </c>
      <c r="K762" s="84" t="s">
        <v>3366</v>
      </c>
      <c r="L762" s="19">
        <v>38000000</v>
      </c>
      <c r="M762" s="18">
        <f t="shared" si="79"/>
        <v>38000000</v>
      </c>
      <c r="N762" s="17">
        <v>45994</v>
      </c>
      <c r="P762" s="22"/>
      <c r="Q762" s="38" t="s">
        <v>3368</v>
      </c>
      <c r="R762" s="19"/>
      <c r="S762" s="19"/>
    </row>
    <row r="763" spans="2:19" s="20" customFormat="1" ht="16.5" hidden="1" customHeight="1" x14ac:dyDescent="0.3">
      <c r="B763" s="81">
        <v>45973</v>
      </c>
      <c r="C763" s="81">
        <v>45977</v>
      </c>
      <c r="D763" s="59" t="s">
        <v>3361</v>
      </c>
      <c r="E763" s="15" t="s">
        <v>3363</v>
      </c>
      <c r="F763" s="83" t="s">
        <v>128</v>
      </c>
      <c r="G763" s="83" t="s">
        <v>21</v>
      </c>
      <c r="H763" s="16" t="s">
        <v>3365</v>
      </c>
      <c r="I763" s="15">
        <v>1</v>
      </c>
      <c r="J763" s="15" t="s">
        <v>3367</v>
      </c>
      <c r="K763" s="84" t="s">
        <v>3366</v>
      </c>
      <c r="L763" s="19">
        <v>12000000</v>
      </c>
      <c r="M763" s="18">
        <f t="shared" si="79"/>
        <v>12000000</v>
      </c>
      <c r="N763" s="17">
        <v>45994</v>
      </c>
      <c r="P763" s="22"/>
      <c r="Q763" s="38" t="s">
        <v>3368</v>
      </c>
      <c r="R763" s="19"/>
      <c r="S763" s="19"/>
    </row>
    <row r="764" spans="2:19" s="20" customFormat="1" ht="16.5" hidden="1" customHeight="1" x14ac:dyDescent="0.3">
      <c r="B764" s="81">
        <v>45975</v>
      </c>
      <c r="C764" s="81">
        <v>45997</v>
      </c>
      <c r="D764" s="59" t="s">
        <v>3369</v>
      </c>
      <c r="E764" s="15" t="s">
        <v>3370</v>
      </c>
      <c r="F764" s="15" t="s">
        <v>25</v>
      </c>
      <c r="G764" s="83" t="s">
        <v>26</v>
      </c>
      <c r="H764" s="16" t="s">
        <v>3371</v>
      </c>
      <c r="I764" s="15">
        <v>1</v>
      </c>
      <c r="J764" s="15" t="s">
        <v>3372</v>
      </c>
      <c r="K764" s="84" t="s">
        <v>3373</v>
      </c>
      <c r="L764" s="19">
        <f>106000000-12000000</f>
        <v>94000000</v>
      </c>
      <c r="M764" s="18">
        <f t="shared" si="79"/>
        <v>106000000</v>
      </c>
      <c r="N764" s="17">
        <v>46022</v>
      </c>
      <c r="O764" s="20" t="s">
        <v>3374</v>
      </c>
      <c r="P764" s="22"/>
      <c r="Q764" s="38" t="s">
        <v>3375</v>
      </c>
      <c r="R764" s="19"/>
      <c r="S764" s="19">
        <v>12000000</v>
      </c>
    </row>
    <row r="765" spans="2:19" s="20" customFormat="1" ht="16.5" customHeight="1" x14ac:dyDescent="0.3">
      <c r="B765" s="81">
        <v>45976</v>
      </c>
      <c r="C765" s="81">
        <v>45981</v>
      </c>
      <c r="D765" s="59" t="s">
        <v>3376</v>
      </c>
      <c r="E765" s="15" t="s">
        <v>3377</v>
      </c>
      <c r="F765" s="83" t="s">
        <v>46</v>
      </c>
      <c r="G765" s="83" t="s">
        <v>21</v>
      </c>
      <c r="H765" s="16">
        <v>450</v>
      </c>
      <c r="I765" s="15">
        <v>4</v>
      </c>
      <c r="J765" s="15" t="s">
        <v>2939</v>
      </c>
      <c r="K765" s="84" t="s">
        <v>3436</v>
      </c>
      <c r="L765" s="19">
        <v>29956412</v>
      </c>
      <c r="M765" s="18">
        <f t="shared" si="79"/>
        <v>119825648</v>
      </c>
      <c r="N765" s="176">
        <v>46001</v>
      </c>
      <c r="O765" s="20" t="s">
        <v>2355</v>
      </c>
      <c r="P765" s="22"/>
      <c r="Q765" s="38" t="s">
        <v>2766</v>
      </c>
      <c r="R765" s="19"/>
      <c r="S765" s="19"/>
    </row>
    <row r="766" spans="2:19" s="20" customFormat="1" ht="16.5" customHeight="1" x14ac:dyDescent="0.3">
      <c r="B766" s="81">
        <v>45978</v>
      </c>
      <c r="C766" s="81">
        <v>45983</v>
      </c>
      <c r="D766" s="59" t="s">
        <v>3403</v>
      </c>
      <c r="E766" s="15" t="s">
        <v>3421</v>
      </c>
      <c r="F766" s="83" t="s">
        <v>46</v>
      </c>
      <c r="G766" s="83" t="s">
        <v>21</v>
      </c>
      <c r="H766" s="16">
        <v>125</v>
      </c>
      <c r="I766" s="15">
        <v>4</v>
      </c>
      <c r="J766" s="15" t="s">
        <v>1159</v>
      </c>
      <c r="K766" s="84" t="s">
        <v>2201</v>
      </c>
      <c r="L766" s="19">
        <v>5563634</v>
      </c>
      <c r="M766" s="18">
        <f t="shared" si="79"/>
        <v>22254536</v>
      </c>
      <c r="N766" s="176">
        <v>46001</v>
      </c>
      <c r="O766" s="20" t="s">
        <v>2355</v>
      </c>
      <c r="P766" s="22" t="s">
        <v>3434</v>
      </c>
      <c r="Q766" s="38" t="s">
        <v>2766</v>
      </c>
      <c r="R766" s="19"/>
      <c r="S766" s="19"/>
    </row>
    <row r="767" spans="2:19" s="20" customFormat="1" ht="16.5" hidden="1" customHeight="1" x14ac:dyDescent="0.3">
      <c r="B767" s="81">
        <v>45979</v>
      </c>
      <c r="C767" s="81">
        <v>45990</v>
      </c>
      <c r="D767" s="59" t="s">
        <v>3378</v>
      </c>
      <c r="E767" s="15" t="s">
        <v>3379</v>
      </c>
      <c r="F767" s="15" t="s">
        <v>25</v>
      </c>
      <c r="G767" s="83" t="s">
        <v>21</v>
      </c>
      <c r="H767" s="16" t="s">
        <v>3380</v>
      </c>
      <c r="I767" s="15">
        <v>1</v>
      </c>
      <c r="J767" s="15" t="s">
        <v>3383</v>
      </c>
      <c r="K767" s="84" t="s">
        <v>3381</v>
      </c>
      <c r="L767" s="19"/>
      <c r="M767" s="18">
        <f t="shared" ref="M767:M770" si="80">(L767*I767)+S767</f>
        <v>0</v>
      </c>
      <c r="N767" s="17">
        <v>46022</v>
      </c>
      <c r="O767" s="20" t="s">
        <v>3382</v>
      </c>
      <c r="P767" s="22"/>
      <c r="Q767" s="38" t="s">
        <v>3384</v>
      </c>
      <c r="R767" s="19"/>
      <c r="S767" s="19"/>
    </row>
    <row r="768" spans="2:19" s="20" customFormat="1" ht="16.5" hidden="1" customHeight="1" x14ac:dyDescent="0.3">
      <c r="B768" s="81">
        <v>45979</v>
      </c>
      <c r="C768" s="81">
        <v>45989</v>
      </c>
      <c r="D768" s="59" t="s">
        <v>3385</v>
      </c>
      <c r="E768" s="15" t="s">
        <v>3386</v>
      </c>
      <c r="F768" s="83" t="s">
        <v>46</v>
      </c>
      <c r="G768" s="83" t="s">
        <v>21</v>
      </c>
      <c r="H768" s="16" t="s">
        <v>3387</v>
      </c>
      <c r="I768" s="15">
        <v>1</v>
      </c>
      <c r="J768" s="15" t="s">
        <v>3360</v>
      </c>
      <c r="K768" s="84" t="s">
        <v>3388</v>
      </c>
      <c r="L768" s="19">
        <v>52810000</v>
      </c>
      <c r="M768" s="18">
        <f t="shared" si="80"/>
        <v>60238000</v>
      </c>
      <c r="N768" s="17">
        <v>46022</v>
      </c>
      <c r="O768" s="20" t="s">
        <v>3389</v>
      </c>
      <c r="P768" s="22"/>
      <c r="Q768" s="38" t="s">
        <v>3390</v>
      </c>
      <c r="R768" s="19"/>
      <c r="S768" s="19">
        <v>7428000</v>
      </c>
    </row>
    <row r="769" spans="2:19" s="20" customFormat="1" ht="16.5" customHeight="1" x14ac:dyDescent="0.3">
      <c r="B769" s="81">
        <v>45980</v>
      </c>
      <c r="C769" s="81">
        <v>45986</v>
      </c>
      <c r="D769" s="59" t="s">
        <v>3404</v>
      </c>
      <c r="E769" s="15" t="s">
        <v>3406</v>
      </c>
      <c r="F769" s="83" t="s">
        <v>46</v>
      </c>
      <c r="G769" s="83" t="s">
        <v>21</v>
      </c>
      <c r="H769" s="16">
        <v>400</v>
      </c>
      <c r="I769" s="15">
        <v>4</v>
      </c>
      <c r="J769" s="15" t="s">
        <v>1213</v>
      </c>
      <c r="K769" s="84" t="s">
        <v>585</v>
      </c>
      <c r="L769" s="19">
        <v>25319213</v>
      </c>
      <c r="M769" s="18">
        <f t="shared" si="80"/>
        <v>101276852</v>
      </c>
      <c r="N769" s="176">
        <v>46001</v>
      </c>
      <c r="O769" s="20" t="s">
        <v>2355</v>
      </c>
      <c r="P769" s="22"/>
      <c r="Q769" s="38" t="s">
        <v>2766</v>
      </c>
      <c r="R769" s="19"/>
      <c r="S769" s="19"/>
    </row>
    <row r="770" spans="2:19" s="20" customFormat="1" ht="16.5" customHeight="1" x14ac:dyDescent="0.3">
      <c r="B770" s="81">
        <v>45980</v>
      </c>
      <c r="C770" s="81">
        <v>45990</v>
      </c>
      <c r="D770" s="59" t="s">
        <v>3405</v>
      </c>
      <c r="E770" s="15" t="s">
        <v>3407</v>
      </c>
      <c r="F770" s="83" t="s">
        <v>46</v>
      </c>
      <c r="G770" s="83" t="s">
        <v>21</v>
      </c>
      <c r="H770" s="16">
        <v>250</v>
      </c>
      <c r="I770" s="15">
        <v>4</v>
      </c>
      <c r="J770" s="15" t="s">
        <v>1213</v>
      </c>
      <c r="K770" s="84" t="s">
        <v>585</v>
      </c>
      <c r="L770" s="19">
        <v>13170101</v>
      </c>
      <c r="M770" s="18">
        <f t="shared" si="80"/>
        <v>52680404</v>
      </c>
      <c r="N770" s="176">
        <v>46001</v>
      </c>
      <c r="O770" s="20" t="s">
        <v>2355</v>
      </c>
      <c r="P770" s="22"/>
      <c r="Q770" s="38" t="s">
        <v>2766</v>
      </c>
      <c r="R770" s="19"/>
      <c r="S770" s="19"/>
    </row>
    <row r="771" spans="2:19" s="20" customFormat="1" ht="16.5" hidden="1" customHeight="1" x14ac:dyDescent="0.3">
      <c r="B771" s="81">
        <v>45980</v>
      </c>
      <c r="C771" s="81">
        <v>45987</v>
      </c>
      <c r="D771" s="59" t="s">
        <v>3391</v>
      </c>
      <c r="E771" s="15" t="s">
        <v>3392</v>
      </c>
      <c r="F771" s="83" t="s">
        <v>46</v>
      </c>
      <c r="G771" s="83" t="s">
        <v>21</v>
      </c>
      <c r="H771" s="16" t="s">
        <v>3393</v>
      </c>
      <c r="I771" s="15">
        <v>1</v>
      </c>
      <c r="J771" s="15" t="s">
        <v>3394</v>
      </c>
      <c r="K771" s="84"/>
      <c r="L771" s="19">
        <f>40572000*2</f>
        <v>81144000</v>
      </c>
      <c r="M771" s="18">
        <f t="shared" ref="M771:M774" si="81">(L771*I771)+S771</f>
        <v>81144000</v>
      </c>
      <c r="N771" s="17">
        <v>46008</v>
      </c>
      <c r="O771" s="20" t="s">
        <v>3395</v>
      </c>
      <c r="P771" s="22"/>
      <c r="Q771" s="38" t="s">
        <v>3396</v>
      </c>
      <c r="R771" s="19"/>
      <c r="S771" s="19"/>
    </row>
    <row r="772" spans="2:19" s="20" customFormat="1" ht="16.5" hidden="1" customHeight="1" x14ac:dyDescent="0.3">
      <c r="B772" s="81">
        <v>45981</v>
      </c>
      <c r="C772" s="81">
        <v>45987</v>
      </c>
      <c r="D772" s="59" t="s">
        <v>3397</v>
      </c>
      <c r="E772" s="15" t="s">
        <v>3398</v>
      </c>
      <c r="F772" s="83" t="s">
        <v>46</v>
      </c>
      <c r="G772" s="83" t="s">
        <v>21</v>
      </c>
      <c r="H772" s="16" t="s">
        <v>3399</v>
      </c>
      <c r="I772" s="15">
        <v>1</v>
      </c>
      <c r="J772" s="15" t="s">
        <v>3394</v>
      </c>
      <c r="K772" s="84"/>
      <c r="L772" s="19">
        <f>30122640*2</f>
        <v>60245280</v>
      </c>
      <c r="M772" s="18">
        <f t="shared" si="81"/>
        <v>60245280</v>
      </c>
      <c r="N772" s="17">
        <v>46008</v>
      </c>
      <c r="O772" s="20" t="s">
        <v>3460</v>
      </c>
      <c r="P772" s="22"/>
      <c r="Q772" s="38" t="s">
        <v>3396</v>
      </c>
      <c r="R772" s="19"/>
      <c r="S772" s="19"/>
    </row>
    <row r="773" spans="2:19" s="20" customFormat="1" ht="16.5" hidden="1" customHeight="1" x14ac:dyDescent="0.3">
      <c r="B773" s="81">
        <v>45982</v>
      </c>
      <c r="C773" s="81">
        <v>45987</v>
      </c>
      <c r="D773" s="59" t="s">
        <v>3400</v>
      </c>
      <c r="E773" s="15" t="s">
        <v>3401</v>
      </c>
      <c r="F773" s="83" t="s">
        <v>46</v>
      </c>
      <c r="G773" s="83" t="s">
        <v>21</v>
      </c>
      <c r="H773" s="16" t="s">
        <v>3402</v>
      </c>
      <c r="I773" s="15">
        <v>1</v>
      </c>
      <c r="J773" s="15" t="s">
        <v>2249</v>
      </c>
      <c r="K773" s="29" t="s">
        <v>1337</v>
      </c>
      <c r="L773" s="19">
        <f>20998000-1775000</f>
        <v>19223000</v>
      </c>
      <c r="M773" s="18">
        <f t="shared" si="81"/>
        <v>30915000</v>
      </c>
      <c r="N773" s="86">
        <v>45991</v>
      </c>
      <c r="P773" s="22"/>
      <c r="Q773" s="38" t="s">
        <v>2754</v>
      </c>
      <c r="R773" s="19">
        <v>11692000</v>
      </c>
      <c r="S773" s="19">
        <v>11692000</v>
      </c>
    </row>
    <row r="774" spans="2:19" s="20" customFormat="1" ht="16.5" customHeight="1" x14ac:dyDescent="0.3">
      <c r="B774" s="81">
        <v>45985</v>
      </c>
      <c r="C774" s="81">
        <v>45994</v>
      </c>
      <c r="D774" s="59" t="s">
        <v>3408</v>
      </c>
      <c r="E774" s="15" t="s">
        <v>3427</v>
      </c>
      <c r="F774" s="83" t="s">
        <v>46</v>
      </c>
      <c r="G774" s="83" t="s">
        <v>21</v>
      </c>
      <c r="H774" s="16">
        <v>500</v>
      </c>
      <c r="I774" s="15">
        <v>4</v>
      </c>
      <c r="J774" s="15" t="s">
        <v>1159</v>
      </c>
      <c r="K774" s="84" t="s">
        <v>2201</v>
      </c>
      <c r="L774" s="19">
        <v>34346759</v>
      </c>
      <c r="M774" s="18">
        <f t="shared" si="81"/>
        <v>137387036</v>
      </c>
      <c r="N774" s="176">
        <v>46001</v>
      </c>
      <c r="O774" s="20" t="s">
        <v>2355</v>
      </c>
      <c r="P774" s="22"/>
      <c r="Q774" s="38" t="s">
        <v>2766</v>
      </c>
      <c r="R774" s="19"/>
      <c r="S774" s="19"/>
    </row>
    <row r="775" spans="2:19" s="20" customFormat="1" ht="16.5" customHeight="1" x14ac:dyDescent="0.3">
      <c r="B775" s="81">
        <v>45988</v>
      </c>
      <c r="C775" s="81">
        <v>45990</v>
      </c>
      <c r="D775" s="59" t="s">
        <v>3411</v>
      </c>
      <c r="E775" s="15" t="s">
        <v>3409</v>
      </c>
      <c r="F775" s="83" t="s">
        <v>46</v>
      </c>
      <c r="G775" s="83" t="s">
        <v>21</v>
      </c>
      <c r="H775" s="16">
        <v>150</v>
      </c>
      <c r="I775" s="15">
        <v>4</v>
      </c>
      <c r="J775" s="15" t="s">
        <v>1336</v>
      </c>
      <c r="K775" s="84" t="s">
        <v>3410</v>
      </c>
      <c r="L775" s="19">
        <v>8005257</v>
      </c>
      <c r="M775" s="18">
        <f t="shared" ref="M775:M778" si="82">(L775*I775)+S775</f>
        <v>32021028</v>
      </c>
      <c r="N775" s="176">
        <v>46001</v>
      </c>
      <c r="O775" s="20" t="s">
        <v>2355</v>
      </c>
      <c r="P775" s="22"/>
      <c r="Q775" s="38" t="s">
        <v>2766</v>
      </c>
      <c r="R775" s="19"/>
      <c r="S775" s="19"/>
    </row>
    <row r="776" spans="2:19" s="20" customFormat="1" ht="16.5" customHeight="1" x14ac:dyDescent="0.3">
      <c r="B776" s="81">
        <v>45992</v>
      </c>
      <c r="C776" s="81">
        <v>45993</v>
      </c>
      <c r="D776" s="59" t="s">
        <v>3422</v>
      </c>
      <c r="E776" s="15" t="s">
        <v>3423</v>
      </c>
      <c r="F776" s="83" t="s">
        <v>46</v>
      </c>
      <c r="G776" s="83" t="s">
        <v>21</v>
      </c>
      <c r="H776" s="16">
        <v>250</v>
      </c>
      <c r="I776" s="15">
        <v>2</v>
      </c>
      <c r="J776" s="15" t="s">
        <v>1213</v>
      </c>
      <c r="K776" s="84" t="s">
        <v>585</v>
      </c>
      <c r="L776" s="19">
        <v>13170101</v>
      </c>
      <c r="M776" s="18">
        <f t="shared" si="82"/>
        <v>26340202</v>
      </c>
      <c r="N776" s="176">
        <v>46001</v>
      </c>
      <c r="O776" s="20" t="s">
        <v>2355</v>
      </c>
      <c r="P776" s="22"/>
      <c r="Q776" s="38" t="s">
        <v>2766</v>
      </c>
      <c r="R776" s="19"/>
      <c r="S776" s="19"/>
    </row>
    <row r="777" spans="2:19" s="20" customFormat="1" ht="16.5" hidden="1" customHeight="1" x14ac:dyDescent="0.3">
      <c r="B777" s="81">
        <v>45993</v>
      </c>
      <c r="C777" s="81">
        <v>45996</v>
      </c>
      <c r="D777" s="59" t="s">
        <v>3424</v>
      </c>
      <c r="E777" s="15" t="s">
        <v>3425</v>
      </c>
      <c r="F777" s="83" t="s">
        <v>46</v>
      </c>
      <c r="G777" s="83" t="s">
        <v>21</v>
      </c>
      <c r="H777" s="16" t="s">
        <v>3479</v>
      </c>
      <c r="I777" s="15">
        <v>1</v>
      </c>
      <c r="J777" s="15" t="s">
        <v>3360</v>
      </c>
      <c r="K777" s="84" t="s">
        <v>3426</v>
      </c>
      <c r="L777" s="19">
        <v>6000000</v>
      </c>
      <c r="M777" s="18">
        <f t="shared" si="82"/>
        <v>10200000</v>
      </c>
      <c r="N777" s="17">
        <v>46013</v>
      </c>
      <c r="P777" s="22"/>
      <c r="Q777" s="38"/>
      <c r="R777" s="19">
        <v>4030000</v>
      </c>
      <c r="S777" s="19">
        <v>4200000</v>
      </c>
    </row>
    <row r="778" spans="2:19" s="20" customFormat="1" ht="16.5" hidden="1" customHeight="1" x14ac:dyDescent="0.3">
      <c r="B778" s="81">
        <v>45994</v>
      </c>
      <c r="C778" s="81">
        <v>46001</v>
      </c>
      <c r="D778" s="59" t="s">
        <v>3418</v>
      </c>
      <c r="E778" s="15" t="s">
        <v>3419</v>
      </c>
      <c r="F778" s="83" t="s">
        <v>46</v>
      </c>
      <c r="G778" s="83" t="s">
        <v>21</v>
      </c>
      <c r="H778" s="16" t="s">
        <v>3420</v>
      </c>
      <c r="I778" s="15">
        <v>1</v>
      </c>
      <c r="J778" s="15" t="s">
        <v>3360</v>
      </c>
      <c r="K778" s="84" t="s">
        <v>493</v>
      </c>
      <c r="L778" s="19">
        <v>36210000</v>
      </c>
      <c r="M778" s="18">
        <f t="shared" si="82"/>
        <v>42590000</v>
      </c>
      <c r="N778" s="17">
        <v>46022</v>
      </c>
      <c r="O778" s="20" t="s">
        <v>3389</v>
      </c>
      <c r="P778" s="22"/>
      <c r="Q778" s="38" t="s">
        <v>3390</v>
      </c>
      <c r="R778" s="19">
        <v>6380000</v>
      </c>
      <c r="S778" s="19">
        <v>6380000</v>
      </c>
    </row>
    <row r="779" spans="2:19" s="20" customFormat="1" ht="16.5" customHeight="1" x14ac:dyDescent="0.3">
      <c r="B779" s="81">
        <v>45995</v>
      </c>
      <c r="C779" s="81">
        <v>46001</v>
      </c>
      <c r="D779" s="59" t="s">
        <v>3428</v>
      </c>
      <c r="E779" s="15" t="s">
        <v>3430</v>
      </c>
      <c r="F779" s="83" t="s">
        <v>46</v>
      </c>
      <c r="G779" s="83" t="s">
        <v>21</v>
      </c>
      <c r="H779" s="16">
        <v>600</v>
      </c>
      <c r="I779" s="15">
        <v>4</v>
      </c>
      <c r="J779" s="15" t="s">
        <v>2939</v>
      </c>
      <c r="K779" s="84" t="s">
        <v>3436</v>
      </c>
      <c r="L779" s="19">
        <v>45724082</v>
      </c>
      <c r="M779" s="18">
        <f t="shared" ref="M779" si="83">(L779*I779)+S779</f>
        <v>182896328</v>
      </c>
      <c r="N779" s="176">
        <v>46001</v>
      </c>
      <c r="O779" s="20" t="s">
        <v>2355</v>
      </c>
      <c r="P779" s="22"/>
      <c r="Q779" s="38" t="s">
        <v>2766</v>
      </c>
      <c r="R779" s="19"/>
      <c r="S779" s="19"/>
    </row>
    <row r="780" spans="2:19" s="20" customFormat="1" ht="16.5" customHeight="1" x14ac:dyDescent="0.3">
      <c r="B780" s="81">
        <v>45995</v>
      </c>
      <c r="C780" s="81">
        <v>45999</v>
      </c>
      <c r="D780" s="59" t="s">
        <v>3429</v>
      </c>
      <c r="E780" s="15" t="s">
        <v>3431</v>
      </c>
      <c r="F780" s="83" t="s">
        <v>46</v>
      </c>
      <c r="G780" s="83" t="s">
        <v>21</v>
      </c>
      <c r="H780" s="16">
        <v>250</v>
      </c>
      <c r="I780" s="15">
        <v>2</v>
      </c>
      <c r="J780" s="15" t="s">
        <v>3044</v>
      </c>
      <c r="K780" s="84" t="s">
        <v>2464</v>
      </c>
      <c r="L780" s="19">
        <v>13170101</v>
      </c>
      <c r="M780" s="18">
        <f t="shared" ref="M780:M784" si="84">(L780*I780)+S780</f>
        <v>26340202</v>
      </c>
      <c r="N780" s="176">
        <v>46001</v>
      </c>
      <c r="O780" s="20" t="s">
        <v>2355</v>
      </c>
      <c r="P780" s="22"/>
      <c r="Q780" s="38" t="s">
        <v>2766</v>
      </c>
      <c r="R780" s="19"/>
      <c r="S780" s="19"/>
    </row>
    <row r="781" spans="2:19" s="20" customFormat="1" ht="16.5" hidden="1" customHeight="1" x14ac:dyDescent="0.3">
      <c r="B781" s="81">
        <v>46000</v>
      </c>
      <c r="C781" s="81">
        <v>46075</v>
      </c>
      <c r="D781" s="59" t="s">
        <v>3449</v>
      </c>
      <c r="E781" s="15" t="s">
        <v>3451</v>
      </c>
      <c r="F781" s="15" t="s">
        <v>25</v>
      </c>
      <c r="G781" s="83" t="s">
        <v>21</v>
      </c>
      <c r="H781" s="16" t="s">
        <v>3453</v>
      </c>
      <c r="I781" s="15">
        <v>1</v>
      </c>
      <c r="J781" s="15" t="s">
        <v>3454</v>
      </c>
      <c r="K781" s="84" t="s">
        <v>3455</v>
      </c>
      <c r="L781" s="19">
        <v>442750000</v>
      </c>
      <c r="M781" s="18">
        <f t="shared" si="84"/>
        <v>442750000</v>
      </c>
      <c r="N781" s="17"/>
      <c r="O781" s="20" t="s">
        <v>3456</v>
      </c>
      <c r="P781" s="22"/>
      <c r="Q781" s="38" t="s">
        <v>3457</v>
      </c>
      <c r="R781" s="19"/>
      <c r="S781" s="19"/>
    </row>
    <row r="782" spans="2:19" s="20" customFormat="1" ht="16.5" hidden="1" customHeight="1" x14ac:dyDescent="0.3">
      <c r="B782" s="81">
        <v>46001</v>
      </c>
      <c r="C782" s="81">
        <v>46075</v>
      </c>
      <c r="D782" s="59" t="s">
        <v>3450</v>
      </c>
      <c r="E782" s="15" t="s">
        <v>3452</v>
      </c>
      <c r="F782" s="15" t="s">
        <v>25</v>
      </c>
      <c r="G782" s="83" t="s">
        <v>21</v>
      </c>
      <c r="H782" s="16" t="s">
        <v>3453</v>
      </c>
      <c r="I782" s="15">
        <v>1</v>
      </c>
      <c r="J782" s="15" t="s">
        <v>3454</v>
      </c>
      <c r="K782" s="84" t="s">
        <v>3455</v>
      </c>
      <c r="L782" s="19"/>
      <c r="M782" s="18">
        <f t="shared" si="84"/>
        <v>0</v>
      </c>
      <c r="N782" s="17"/>
      <c r="O782" s="20" t="s">
        <v>3456</v>
      </c>
      <c r="P782" s="22"/>
      <c r="Q782" s="38" t="s">
        <v>3457</v>
      </c>
      <c r="R782" s="19"/>
      <c r="S782" s="19"/>
    </row>
    <row r="783" spans="2:19" s="20" customFormat="1" ht="16.5" hidden="1" customHeight="1" x14ac:dyDescent="0.3">
      <c r="B783" s="81">
        <v>46007</v>
      </c>
      <c r="C783" s="81">
        <v>46018</v>
      </c>
      <c r="D783" s="59" t="s">
        <v>3498</v>
      </c>
      <c r="E783" s="15" t="s">
        <v>3499</v>
      </c>
      <c r="F783" s="83" t="s">
        <v>46</v>
      </c>
      <c r="G783" s="83" t="s">
        <v>21</v>
      </c>
      <c r="H783" s="16" t="s">
        <v>3500</v>
      </c>
      <c r="I783" s="15">
        <v>1</v>
      </c>
      <c r="J783" s="15" t="s">
        <v>856</v>
      </c>
      <c r="K783" s="84" t="s">
        <v>3236</v>
      </c>
      <c r="L783" s="85">
        <v>83000000</v>
      </c>
      <c r="M783" s="133">
        <f t="shared" si="84"/>
        <v>87600000</v>
      </c>
      <c r="N783" s="86">
        <v>46047</v>
      </c>
      <c r="P783" s="22"/>
      <c r="Q783" s="38" t="s">
        <v>3501</v>
      </c>
      <c r="R783" s="19">
        <v>4597000</v>
      </c>
      <c r="S783" s="19">
        <v>4600000</v>
      </c>
    </row>
    <row r="784" spans="2:19" s="20" customFormat="1" ht="16.5" hidden="1" customHeight="1" x14ac:dyDescent="0.3">
      <c r="B784" s="81">
        <v>46009</v>
      </c>
      <c r="C784" s="81">
        <v>46020</v>
      </c>
      <c r="D784" s="59" t="s">
        <v>3502</v>
      </c>
      <c r="E784" s="15" t="s">
        <v>3503</v>
      </c>
      <c r="F784" s="83" t="s">
        <v>46</v>
      </c>
      <c r="G784" s="83" t="s">
        <v>21</v>
      </c>
      <c r="H784" s="16" t="s">
        <v>3504</v>
      </c>
      <c r="I784" s="15">
        <v>1</v>
      </c>
      <c r="J784" s="15" t="s">
        <v>1369</v>
      </c>
      <c r="K784" s="29" t="s">
        <v>3517</v>
      </c>
      <c r="L784" s="85">
        <v>64000000</v>
      </c>
      <c r="M784" s="133">
        <f t="shared" si="84"/>
        <v>64000000</v>
      </c>
      <c r="N784" s="86">
        <v>46024</v>
      </c>
      <c r="P784" s="22" t="s">
        <v>3518</v>
      </c>
      <c r="Q784" s="38" t="s">
        <v>3505</v>
      </c>
      <c r="R784" s="19"/>
      <c r="S784" s="19"/>
    </row>
    <row r="785" spans="2:19" s="20" customFormat="1" ht="16.5" hidden="1" customHeight="1" x14ac:dyDescent="0.3">
      <c r="B785" s="81">
        <v>46009</v>
      </c>
      <c r="C785" s="81">
        <v>46014</v>
      </c>
      <c r="D785" s="59" t="s">
        <v>3506</v>
      </c>
      <c r="E785" s="15" t="s">
        <v>3507</v>
      </c>
      <c r="F785" s="83" t="s">
        <v>46</v>
      </c>
      <c r="G785" s="83" t="s">
        <v>21</v>
      </c>
      <c r="H785" s="16">
        <v>100</v>
      </c>
      <c r="I785" s="15">
        <v>4</v>
      </c>
      <c r="J785" s="15" t="s">
        <v>3508</v>
      </c>
      <c r="K785" s="84" t="s">
        <v>3236</v>
      </c>
      <c r="L785" s="19">
        <v>4788917</v>
      </c>
      <c r="M785" s="18">
        <f t="shared" ref="M785:M787" si="85">(L785*I785)+S785</f>
        <v>19155668</v>
      </c>
      <c r="N785" s="17">
        <v>46092</v>
      </c>
      <c r="O785" s="20" t="s">
        <v>3509</v>
      </c>
      <c r="P785" s="22"/>
      <c r="Q785" s="38" t="s">
        <v>3510</v>
      </c>
      <c r="R785" s="19"/>
      <c r="S785" s="19"/>
    </row>
    <row r="786" spans="2:19" s="20" customFormat="1" ht="16.5" hidden="1" customHeight="1" x14ac:dyDescent="0.3">
      <c r="B786" s="81">
        <v>46017</v>
      </c>
      <c r="C786" s="81">
        <v>46020</v>
      </c>
      <c r="D786" s="59" t="s">
        <v>3513</v>
      </c>
      <c r="E786" s="15" t="s">
        <v>3514</v>
      </c>
      <c r="F786" s="83" t="s">
        <v>46</v>
      </c>
      <c r="G786" s="83" t="s">
        <v>21</v>
      </c>
      <c r="H786" s="16">
        <v>150</v>
      </c>
      <c r="I786" s="15">
        <v>4</v>
      </c>
      <c r="J786" s="15" t="s">
        <v>2460</v>
      </c>
      <c r="K786" s="84" t="s">
        <v>3515</v>
      </c>
      <c r="L786" s="19">
        <v>6713859</v>
      </c>
      <c r="M786" s="18">
        <f t="shared" si="85"/>
        <v>26855436</v>
      </c>
      <c r="N786" s="17"/>
      <c r="O786" s="20" t="s">
        <v>3509</v>
      </c>
      <c r="P786" s="22"/>
      <c r="Q786" s="38" t="s">
        <v>3510</v>
      </c>
      <c r="R786" s="19"/>
      <c r="S786" s="19"/>
    </row>
    <row r="787" spans="2:19" s="20" customFormat="1" ht="16.5" hidden="1" customHeight="1" x14ac:dyDescent="0.3">
      <c r="B787" s="81">
        <v>46383</v>
      </c>
      <c r="C787" s="81">
        <v>46065</v>
      </c>
      <c r="D787" s="59" t="s">
        <v>3526</v>
      </c>
      <c r="E787" s="15" t="s">
        <v>3525</v>
      </c>
      <c r="F787" s="15" t="s">
        <v>25</v>
      </c>
      <c r="G787" s="83" t="s">
        <v>3527</v>
      </c>
      <c r="H787" s="16">
        <v>1000</v>
      </c>
      <c r="I787" s="15">
        <v>1</v>
      </c>
      <c r="J787" s="15" t="s">
        <v>3530</v>
      </c>
      <c r="K787" s="84" t="s">
        <v>3529</v>
      </c>
      <c r="L787" s="19">
        <v>31150000</v>
      </c>
      <c r="M787" s="18">
        <f t="shared" si="85"/>
        <v>31150000</v>
      </c>
      <c r="N787" s="17">
        <v>46059</v>
      </c>
      <c r="O787" s="20" t="s">
        <v>3528</v>
      </c>
      <c r="P787" s="22"/>
      <c r="Q787" s="38" t="s">
        <v>3531</v>
      </c>
      <c r="R787" s="19"/>
      <c r="S787" s="19"/>
    </row>
    <row r="788" spans="2:19" s="20" customFormat="1" ht="16.5" hidden="1" customHeight="1" x14ac:dyDescent="0.3">
      <c r="B788" s="81">
        <v>46029</v>
      </c>
      <c r="C788" s="81">
        <v>46032</v>
      </c>
      <c r="D788" s="59" t="s">
        <v>3533</v>
      </c>
      <c r="E788" s="15" t="s">
        <v>3532</v>
      </c>
      <c r="F788" s="83" t="s">
        <v>46</v>
      </c>
      <c r="G788" s="83" t="s">
        <v>21</v>
      </c>
      <c r="H788" s="16">
        <v>65</v>
      </c>
      <c r="I788" s="15">
        <v>2</v>
      </c>
      <c r="J788" s="15" t="s">
        <v>3508</v>
      </c>
      <c r="K788" s="84" t="s">
        <v>3236</v>
      </c>
      <c r="L788" s="19">
        <v>2808567</v>
      </c>
      <c r="M788" s="18">
        <f t="shared" ref="M788:M791" si="86">(L788*I788)+S788</f>
        <v>5617134</v>
      </c>
      <c r="N788" s="17">
        <v>46092</v>
      </c>
      <c r="O788" s="20" t="s">
        <v>3509</v>
      </c>
      <c r="P788" s="22"/>
      <c r="Q788" s="38" t="s">
        <v>3510</v>
      </c>
      <c r="R788" s="19"/>
      <c r="S788" s="19"/>
    </row>
    <row r="789" spans="2:19" s="20" customFormat="1" ht="16.5" hidden="1" customHeight="1" x14ac:dyDescent="0.3">
      <c r="B789" s="81">
        <v>46034</v>
      </c>
      <c r="C789" s="81">
        <v>46073</v>
      </c>
      <c r="D789" s="59" t="s">
        <v>3534</v>
      </c>
      <c r="E789" s="15" t="s">
        <v>3535</v>
      </c>
      <c r="F789" s="15" t="s">
        <v>25</v>
      </c>
      <c r="G789" s="83" t="s">
        <v>21</v>
      </c>
      <c r="H789" s="16">
        <v>1000</v>
      </c>
      <c r="I789" s="15">
        <v>1</v>
      </c>
      <c r="J789" s="15" t="s">
        <v>3530</v>
      </c>
      <c r="K789" s="84" t="s">
        <v>3529</v>
      </c>
      <c r="L789" s="19"/>
      <c r="M789" s="18">
        <f t="shared" si="86"/>
        <v>0</v>
      </c>
      <c r="N789" s="17">
        <v>46059</v>
      </c>
      <c r="O789" s="20" t="s">
        <v>3528</v>
      </c>
      <c r="P789" s="22"/>
      <c r="Q789" s="38" t="s">
        <v>3531</v>
      </c>
      <c r="R789" s="19"/>
      <c r="S789" s="19"/>
    </row>
    <row r="790" spans="2:19" s="20" customFormat="1" ht="16.5" hidden="1" customHeight="1" x14ac:dyDescent="0.3">
      <c r="B790" s="81">
        <v>46036</v>
      </c>
      <c r="C790" s="81">
        <v>46088</v>
      </c>
      <c r="D790" s="59" t="s">
        <v>3537</v>
      </c>
      <c r="E790" s="15" t="s">
        <v>3538</v>
      </c>
      <c r="F790" s="15" t="s">
        <v>25</v>
      </c>
      <c r="G790" s="83" t="s">
        <v>3527</v>
      </c>
      <c r="H790" s="16">
        <v>1000</v>
      </c>
      <c r="I790" s="15">
        <v>1</v>
      </c>
      <c r="J790" s="15" t="s">
        <v>3530</v>
      </c>
      <c r="K790" s="84" t="s">
        <v>567</v>
      </c>
      <c r="L790" s="19">
        <v>31150000</v>
      </c>
      <c r="M790" s="18">
        <f t="shared" si="86"/>
        <v>31150000</v>
      </c>
      <c r="N790" s="17">
        <v>46081</v>
      </c>
      <c r="O790" s="20" t="s">
        <v>3528</v>
      </c>
      <c r="P790" s="22"/>
      <c r="Q790" s="38" t="s">
        <v>3531</v>
      </c>
      <c r="R790" s="19"/>
      <c r="S790" s="19"/>
    </row>
    <row r="791" spans="2:19" s="20" customFormat="1" ht="16.5" hidden="1" customHeight="1" x14ac:dyDescent="0.3">
      <c r="B791" s="81">
        <v>46035</v>
      </c>
      <c r="C791" s="81">
        <v>46038</v>
      </c>
      <c r="D791" s="59" t="s">
        <v>3540</v>
      </c>
      <c r="E791" s="15" t="s">
        <v>3539</v>
      </c>
      <c r="F791" s="83" t="s">
        <v>46</v>
      </c>
      <c r="G791" s="83" t="s">
        <v>21</v>
      </c>
      <c r="H791" s="16">
        <v>400</v>
      </c>
      <c r="I791" s="15">
        <v>4</v>
      </c>
      <c r="J791" s="15" t="s">
        <v>3508</v>
      </c>
      <c r="K791" s="84" t="s">
        <v>3541</v>
      </c>
      <c r="L791" s="19">
        <v>21749251</v>
      </c>
      <c r="M791" s="18">
        <f t="shared" si="86"/>
        <v>86997004</v>
      </c>
      <c r="N791" s="17">
        <v>46092</v>
      </c>
      <c r="O791" s="20" t="s">
        <v>3509</v>
      </c>
      <c r="P791" s="22"/>
      <c r="Q791" s="38" t="s">
        <v>3510</v>
      </c>
      <c r="R791" s="19"/>
      <c r="S791" s="19"/>
    </row>
    <row r="792" spans="2:19" s="20" customFormat="1" ht="16.5" hidden="1" customHeight="1" x14ac:dyDescent="0.3">
      <c r="B792" s="81">
        <v>46041</v>
      </c>
      <c r="C792" s="81">
        <v>46043</v>
      </c>
      <c r="D792" s="59" t="s">
        <v>3547</v>
      </c>
      <c r="E792" s="15" t="s">
        <v>3546</v>
      </c>
      <c r="F792" s="83" t="s">
        <v>46</v>
      </c>
      <c r="G792" s="83" t="s">
        <v>21</v>
      </c>
      <c r="H792" s="16" t="s">
        <v>3548</v>
      </c>
      <c r="I792" s="15">
        <v>1</v>
      </c>
      <c r="J792" s="15" t="s">
        <v>3549</v>
      </c>
      <c r="K792" s="84" t="s">
        <v>3550</v>
      </c>
      <c r="L792" s="19">
        <v>4600000</v>
      </c>
      <c r="M792" s="18">
        <f t="shared" si="66"/>
        <v>4600000</v>
      </c>
      <c r="N792" s="17">
        <v>46085</v>
      </c>
      <c r="P792" s="22"/>
      <c r="Q792" s="38"/>
      <c r="R792" s="19"/>
      <c r="S792" s="19"/>
    </row>
    <row r="793" spans="2:19" s="20" customFormat="1" ht="16.5" hidden="1" customHeight="1" x14ac:dyDescent="0.3">
      <c r="B793" s="81">
        <v>46043</v>
      </c>
      <c r="C793" s="81">
        <v>46048</v>
      </c>
      <c r="D793" s="59" t="s">
        <v>3506</v>
      </c>
      <c r="E793" s="15" t="s">
        <v>3551</v>
      </c>
      <c r="F793" s="83" t="s">
        <v>46</v>
      </c>
      <c r="G793" s="83" t="s">
        <v>21</v>
      </c>
      <c r="H793" s="16">
        <v>100</v>
      </c>
      <c r="I793" s="15">
        <v>4</v>
      </c>
      <c r="J793" s="15" t="s">
        <v>3508</v>
      </c>
      <c r="K793" s="84" t="s">
        <v>3236</v>
      </c>
      <c r="L793" s="19">
        <v>4103409</v>
      </c>
      <c r="M793" s="18">
        <f t="shared" ref="M793" si="87">(L793*I793)+S793</f>
        <v>16413636</v>
      </c>
      <c r="N793" s="17">
        <v>46092</v>
      </c>
      <c r="O793" s="20" t="s">
        <v>3509</v>
      </c>
      <c r="P793" s="22"/>
      <c r="Q793" s="38" t="s">
        <v>3510</v>
      </c>
      <c r="R793" s="19"/>
      <c r="S793" s="19"/>
    </row>
    <row r="794" spans="2:19" s="20" customFormat="1" ht="16.5" hidden="1" customHeight="1" x14ac:dyDescent="0.3">
      <c r="B794" s="81">
        <v>46044</v>
      </c>
      <c r="C794" s="81">
        <v>46065</v>
      </c>
      <c r="D794" s="59" t="s">
        <v>3552</v>
      </c>
      <c r="E794" s="15" t="s">
        <v>3553</v>
      </c>
      <c r="F794" s="83" t="s">
        <v>46</v>
      </c>
      <c r="G794" s="83" t="s">
        <v>21</v>
      </c>
      <c r="H794" s="16">
        <v>700</v>
      </c>
      <c r="I794" s="15">
        <v>4</v>
      </c>
      <c r="J794" s="15" t="s">
        <v>3554</v>
      </c>
      <c r="K794" s="84" t="s">
        <v>3555</v>
      </c>
      <c r="L794" s="19">
        <v>47404740</v>
      </c>
      <c r="M794" s="18">
        <f t="shared" si="66"/>
        <v>189618960</v>
      </c>
      <c r="N794" s="17"/>
      <c r="O794" s="20" t="s">
        <v>3509</v>
      </c>
      <c r="P794" s="22"/>
      <c r="Q794" s="38" t="s">
        <v>3510</v>
      </c>
      <c r="R794" s="19"/>
      <c r="S794" s="19"/>
    </row>
    <row r="795" spans="2:19" s="20" customFormat="1" ht="16.5" hidden="1" customHeight="1" x14ac:dyDescent="0.3">
      <c r="B795" s="81">
        <v>46048</v>
      </c>
      <c r="C795" s="81">
        <v>46049</v>
      </c>
      <c r="D795" s="59" t="s">
        <v>3556</v>
      </c>
      <c r="E795" s="15" t="s">
        <v>3557</v>
      </c>
      <c r="F795" s="83" t="s">
        <v>46</v>
      </c>
      <c r="G795" s="83" t="s">
        <v>21</v>
      </c>
      <c r="H795" s="16">
        <v>80</v>
      </c>
      <c r="I795" s="15">
        <v>2</v>
      </c>
      <c r="J795" s="15" t="s">
        <v>267</v>
      </c>
      <c r="K795" s="84" t="s">
        <v>3236</v>
      </c>
      <c r="L795" s="19">
        <v>3322411</v>
      </c>
      <c r="M795" s="18">
        <f t="shared" si="66"/>
        <v>6644822</v>
      </c>
      <c r="N795" s="17">
        <v>46092</v>
      </c>
      <c r="O795" s="20" t="s">
        <v>3509</v>
      </c>
      <c r="P795" s="22"/>
      <c r="Q795" s="38" t="s">
        <v>3510</v>
      </c>
      <c r="R795" s="19"/>
      <c r="S795" s="19"/>
    </row>
    <row r="796" spans="2:19" s="20" customFormat="1" ht="16.5" hidden="1" customHeight="1" x14ac:dyDescent="0.3">
      <c r="B796" s="81">
        <v>46066</v>
      </c>
      <c r="C796" s="81">
        <v>46078</v>
      </c>
      <c r="D796" s="59" t="s">
        <v>3561</v>
      </c>
      <c r="E796" s="15" t="s">
        <v>3564</v>
      </c>
      <c r="F796" s="83" t="s">
        <v>46</v>
      </c>
      <c r="G796" s="83" t="s">
        <v>21</v>
      </c>
      <c r="H796" s="16">
        <v>150</v>
      </c>
      <c r="I796" s="15">
        <v>2</v>
      </c>
      <c r="J796" s="15" t="s">
        <v>267</v>
      </c>
      <c r="K796" s="84" t="s">
        <v>84</v>
      </c>
      <c r="L796" s="19">
        <v>5760152</v>
      </c>
      <c r="M796" s="18">
        <f t="shared" si="66"/>
        <v>11520304</v>
      </c>
      <c r="N796" s="17">
        <v>46092</v>
      </c>
      <c r="O796" s="20" t="s">
        <v>3509</v>
      </c>
      <c r="P796" s="22"/>
      <c r="Q796" s="38" t="s">
        <v>3510</v>
      </c>
      <c r="R796" s="19"/>
      <c r="S796" s="19"/>
    </row>
    <row r="797" spans="2:19" s="20" customFormat="1" ht="16.5" hidden="1" customHeight="1" x14ac:dyDescent="0.3">
      <c r="B797" s="81">
        <v>46066</v>
      </c>
      <c r="C797" s="81">
        <v>46078</v>
      </c>
      <c r="D797" s="59" t="s">
        <v>3562</v>
      </c>
      <c r="E797" s="15" t="s">
        <v>3565</v>
      </c>
      <c r="F797" s="83" t="s">
        <v>46</v>
      </c>
      <c r="G797" s="83" t="s">
        <v>21</v>
      </c>
      <c r="H797" s="16">
        <v>125</v>
      </c>
      <c r="I797" s="15">
        <v>2</v>
      </c>
      <c r="J797" s="15" t="s">
        <v>267</v>
      </c>
      <c r="K797" s="84" t="s">
        <v>84</v>
      </c>
      <c r="L797" s="19">
        <v>4728620</v>
      </c>
      <c r="M797" s="18">
        <f t="shared" si="66"/>
        <v>9457240</v>
      </c>
      <c r="N797" s="17">
        <v>46092</v>
      </c>
      <c r="O797" s="20" t="s">
        <v>3509</v>
      </c>
      <c r="P797" s="22"/>
      <c r="Q797" s="38" t="s">
        <v>3510</v>
      </c>
      <c r="R797" s="19"/>
      <c r="S797" s="19"/>
    </row>
    <row r="798" spans="2:19" s="20" customFormat="1" ht="16.5" hidden="1" customHeight="1" x14ac:dyDescent="0.3">
      <c r="B798" s="81">
        <v>46066</v>
      </c>
      <c r="C798" s="81">
        <v>46078</v>
      </c>
      <c r="D798" s="59" t="s">
        <v>3563</v>
      </c>
      <c r="E798" s="15" t="s">
        <v>3566</v>
      </c>
      <c r="F798" s="83" t="s">
        <v>46</v>
      </c>
      <c r="G798" s="83" t="s">
        <v>21</v>
      </c>
      <c r="H798" s="16">
        <v>100</v>
      </c>
      <c r="I798" s="15">
        <v>2</v>
      </c>
      <c r="J798" s="15" t="s">
        <v>267</v>
      </c>
      <c r="K798" s="84" t="s">
        <v>84</v>
      </c>
      <c r="L798" s="19">
        <v>4103409</v>
      </c>
      <c r="M798" s="18">
        <f t="shared" si="66"/>
        <v>8206818</v>
      </c>
      <c r="N798" s="17">
        <v>46092</v>
      </c>
      <c r="O798" s="20" t="s">
        <v>3509</v>
      </c>
      <c r="P798" s="22"/>
      <c r="Q798" s="38" t="s">
        <v>3510</v>
      </c>
      <c r="R798" s="19"/>
      <c r="S798" s="19"/>
    </row>
    <row r="799" spans="2:19" s="20" customFormat="1" ht="16.5" hidden="1" customHeight="1" x14ac:dyDescent="0.3">
      <c r="B799" s="81">
        <v>46076</v>
      </c>
      <c r="C799" s="81">
        <v>46082</v>
      </c>
      <c r="D799" s="59" t="s">
        <v>3567</v>
      </c>
      <c r="E799" s="15" t="s">
        <v>3568</v>
      </c>
      <c r="F799" s="83" t="s">
        <v>46</v>
      </c>
      <c r="G799" s="83" t="s">
        <v>21</v>
      </c>
      <c r="H799" s="16">
        <v>600</v>
      </c>
      <c r="I799" s="15">
        <v>2</v>
      </c>
      <c r="J799" s="15" t="s">
        <v>267</v>
      </c>
      <c r="K799" s="84" t="s">
        <v>84</v>
      </c>
      <c r="L799" s="19">
        <v>39994404</v>
      </c>
      <c r="M799" s="18">
        <f t="shared" si="66"/>
        <v>79988808</v>
      </c>
      <c r="N799" s="17">
        <v>46092</v>
      </c>
      <c r="O799" s="20" t="s">
        <v>3509</v>
      </c>
      <c r="P799" s="22"/>
      <c r="Q799" s="38" t="s">
        <v>3510</v>
      </c>
      <c r="R799" s="19"/>
      <c r="S799" s="19"/>
    </row>
    <row r="800" spans="2:19" s="20" customFormat="1" ht="16.5" hidden="1" customHeight="1" x14ac:dyDescent="0.3">
      <c r="B800" s="81">
        <v>46076</v>
      </c>
      <c r="C800" s="81">
        <v>46086</v>
      </c>
      <c r="D800" s="59" t="s">
        <v>3577</v>
      </c>
      <c r="E800" s="15" t="s">
        <v>3578</v>
      </c>
      <c r="F800" s="83" t="s">
        <v>46</v>
      </c>
      <c r="G800" s="83" t="s">
        <v>21</v>
      </c>
      <c r="H800" s="16">
        <v>450</v>
      </c>
      <c r="I800" s="15">
        <v>2</v>
      </c>
      <c r="J800" s="15" t="s">
        <v>3579</v>
      </c>
      <c r="K800" s="84"/>
      <c r="L800" s="19">
        <v>25578231</v>
      </c>
      <c r="M800" s="18">
        <f t="shared" si="66"/>
        <v>51156462</v>
      </c>
      <c r="N800" s="17"/>
      <c r="O800" s="20" t="s">
        <v>3509</v>
      </c>
      <c r="P800" s="22"/>
      <c r="Q800" s="38" t="s">
        <v>3510</v>
      </c>
      <c r="R800" s="19"/>
      <c r="S800" s="19"/>
    </row>
    <row r="801" spans="2:19" s="20" customFormat="1" ht="16.5" hidden="1" customHeight="1" x14ac:dyDescent="0.3">
      <c r="B801" s="81">
        <v>46079</v>
      </c>
      <c r="C801" s="81">
        <v>46085</v>
      </c>
      <c r="D801" s="59" t="s">
        <v>3569</v>
      </c>
      <c r="E801" s="15" t="s">
        <v>3570</v>
      </c>
      <c r="F801" s="83" t="s">
        <v>46</v>
      </c>
      <c r="G801" s="83" t="s">
        <v>21</v>
      </c>
      <c r="H801" s="16">
        <v>700</v>
      </c>
      <c r="I801" s="15">
        <v>4</v>
      </c>
      <c r="J801" s="15" t="s">
        <v>267</v>
      </c>
      <c r="K801" s="84" t="s">
        <v>84</v>
      </c>
      <c r="L801" s="19">
        <v>47404740</v>
      </c>
      <c r="M801" s="18">
        <f t="shared" si="66"/>
        <v>189618960</v>
      </c>
      <c r="N801" s="17">
        <v>46092</v>
      </c>
      <c r="O801" s="20" t="s">
        <v>3509</v>
      </c>
      <c r="P801" s="22"/>
      <c r="Q801" s="38" t="s">
        <v>3510</v>
      </c>
      <c r="R801" s="19"/>
      <c r="S801" s="19"/>
    </row>
    <row r="802" spans="2:19" s="20" customFormat="1" ht="16.5" hidden="1" customHeight="1" x14ac:dyDescent="0.3">
      <c r="B802" s="81">
        <v>46080</v>
      </c>
      <c r="C802" s="81"/>
      <c r="D802" s="59" t="s">
        <v>3580</v>
      </c>
      <c r="E802" s="15" t="s">
        <v>3581</v>
      </c>
      <c r="F802" s="15" t="s">
        <v>25</v>
      </c>
      <c r="G802" s="83" t="s">
        <v>21</v>
      </c>
      <c r="H802" s="16" t="s">
        <v>3582</v>
      </c>
      <c r="I802" s="15">
        <v>1</v>
      </c>
      <c r="J802" s="15" t="s">
        <v>2802</v>
      </c>
      <c r="K802" s="84" t="s">
        <v>3583</v>
      </c>
      <c r="L802" s="19">
        <f>370000000/2</f>
        <v>185000000</v>
      </c>
      <c r="M802" s="18">
        <f t="shared" si="66"/>
        <v>185000000</v>
      </c>
      <c r="N802" s="17"/>
      <c r="O802" s="20" t="s">
        <v>3584</v>
      </c>
      <c r="P802" s="22"/>
      <c r="Q802" s="38" t="s">
        <v>3604</v>
      </c>
      <c r="R802" s="19"/>
      <c r="S802" s="19"/>
    </row>
    <row r="803" spans="2:19" s="20" customFormat="1" ht="16.5" hidden="1" customHeight="1" x14ac:dyDescent="0.3">
      <c r="B803" s="81">
        <v>46084</v>
      </c>
      <c r="C803" s="81"/>
      <c r="D803" s="59" t="s">
        <v>3573</v>
      </c>
      <c r="E803" s="15" t="s">
        <v>3589</v>
      </c>
      <c r="F803" s="83" t="s">
        <v>46</v>
      </c>
      <c r="G803" s="83" t="s">
        <v>21</v>
      </c>
      <c r="H803" s="16">
        <v>700</v>
      </c>
      <c r="I803" s="15">
        <v>6</v>
      </c>
      <c r="J803" s="15" t="s">
        <v>3571</v>
      </c>
      <c r="K803" s="84" t="s">
        <v>3572</v>
      </c>
      <c r="L803" s="19">
        <v>47404740</v>
      </c>
      <c r="M803" s="18">
        <f t="shared" si="66"/>
        <v>284428440</v>
      </c>
      <c r="N803" s="17"/>
      <c r="O803" s="20" t="s">
        <v>3509</v>
      </c>
      <c r="P803" s="22"/>
      <c r="Q803" s="38" t="s">
        <v>3510</v>
      </c>
      <c r="R803" s="19"/>
      <c r="S803" s="19"/>
    </row>
    <row r="804" spans="2:19" s="20" customFormat="1" ht="16.5" hidden="1" customHeight="1" x14ac:dyDescent="0.3">
      <c r="B804" s="81">
        <v>46087</v>
      </c>
      <c r="C804" s="81">
        <v>46091</v>
      </c>
      <c r="D804" s="59" t="s">
        <v>3586</v>
      </c>
      <c r="E804" s="15" t="s">
        <v>3587</v>
      </c>
      <c r="F804" s="83" t="s">
        <v>46</v>
      </c>
      <c r="G804" s="83" t="s">
        <v>21</v>
      </c>
      <c r="H804" s="16">
        <v>200</v>
      </c>
      <c r="I804" s="15">
        <v>2</v>
      </c>
      <c r="J804" s="15" t="s">
        <v>299</v>
      </c>
      <c r="K804" s="84" t="s">
        <v>3588</v>
      </c>
      <c r="L804" s="19">
        <v>8775745</v>
      </c>
      <c r="M804" s="18">
        <f t="shared" si="66"/>
        <v>17551490</v>
      </c>
      <c r="N804" s="17"/>
      <c r="O804" s="20" t="s">
        <v>3509</v>
      </c>
      <c r="P804" s="22"/>
      <c r="Q804" s="38" t="s">
        <v>3510</v>
      </c>
      <c r="R804" s="19"/>
      <c r="S804" s="19"/>
    </row>
    <row r="805" spans="2:19" s="20" customFormat="1" ht="16.5" hidden="1" customHeight="1" x14ac:dyDescent="0.3">
      <c r="B805" s="81">
        <v>46087</v>
      </c>
      <c r="C805" s="81"/>
      <c r="D805" s="59" t="s">
        <v>3602</v>
      </c>
      <c r="E805" s="15" t="s">
        <v>3592</v>
      </c>
      <c r="F805" s="15" t="s">
        <v>25</v>
      </c>
      <c r="G805" s="83" t="s">
        <v>21</v>
      </c>
      <c r="H805" s="16" t="s">
        <v>3593</v>
      </c>
      <c r="I805" s="15">
        <v>1</v>
      </c>
      <c r="J805" s="15" t="s">
        <v>2557</v>
      </c>
      <c r="K805" s="29" t="s">
        <v>2556</v>
      </c>
      <c r="L805" s="19">
        <v>46950000</v>
      </c>
      <c r="M805" s="18">
        <f t="shared" si="66"/>
        <v>46950000</v>
      </c>
      <c r="N805" s="17"/>
      <c r="O805" s="20" t="s">
        <v>2558</v>
      </c>
      <c r="P805" s="22"/>
      <c r="Q805" s="38" t="s">
        <v>2776</v>
      </c>
      <c r="R805" s="19"/>
      <c r="S805" s="19"/>
    </row>
    <row r="806" spans="2:19" s="20" customFormat="1" ht="16.5" hidden="1" customHeight="1" x14ac:dyDescent="0.3">
      <c r="B806" s="81">
        <v>46087</v>
      </c>
      <c r="C806" s="81"/>
      <c r="D806" s="59" t="s">
        <v>3590</v>
      </c>
      <c r="E806" s="15" t="s">
        <v>3591</v>
      </c>
      <c r="F806" s="15" t="s">
        <v>25</v>
      </c>
      <c r="G806" s="83" t="s">
        <v>21</v>
      </c>
      <c r="H806" s="16" t="s">
        <v>3593</v>
      </c>
      <c r="I806" s="15">
        <v>1</v>
      </c>
      <c r="J806" s="15" t="s">
        <v>2557</v>
      </c>
      <c r="K806" s="84" t="s">
        <v>3594</v>
      </c>
      <c r="L806" s="19">
        <v>46950000</v>
      </c>
      <c r="M806" s="18">
        <f t="shared" si="66"/>
        <v>46950000</v>
      </c>
      <c r="N806" s="17"/>
      <c r="O806" s="20" t="s">
        <v>2558</v>
      </c>
      <c r="P806" s="22"/>
      <c r="Q806" s="38" t="s">
        <v>2776</v>
      </c>
      <c r="R806" s="19"/>
      <c r="S806" s="19"/>
    </row>
    <row r="807" spans="2:19" s="20" customFormat="1" ht="16.5" hidden="1" customHeight="1" x14ac:dyDescent="0.3">
      <c r="B807" s="81">
        <v>46090</v>
      </c>
      <c r="C807" s="81"/>
      <c r="D807" s="59" t="s">
        <v>3595</v>
      </c>
      <c r="E807" s="15" t="s">
        <v>3596</v>
      </c>
      <c r="F807" s="15" t="s">
        <v>25</v>
      </c>
      <c r="G807" s="83" t="s">
        <v>21</v>
      </c>
      <c r="H807" s="16" t="s">
        <v>3597</v>
      </c>
      <c r="I807" s="15">
        <v>1</v>
      </c>
      <c r="J807" s="15" t="s">
        <v>3073</v>
      </c>
      <c r="K807" s="84" t="s">
        <v>1300</v>
      </c>
      <c r="L807" s="19">
        <v>34000000</v>
      </c>
      <c r="M807" s="18">
        <f t="shared" si="66"/>
        <v>34000000</v>
      </c>
      <c r="N807" s="17"/>
      <c r="P807" s="22"/>
      <c r="Q807" s="38" t="s">
        <v>3603</v>
      </c>
      <c r="R807" s="19"/>
      <c r="S807" s="19"/>
    </row>
    <row r="808" spans="2:19" s="20" customFormat="1" ht="16.5" hidden="1" customHeight="1" x14ac:dyDescent="0.3">
      <c r="B808" s="81">
        <v>46090</v>
      </c>
      <c r="C808" s="81"/>
      <c r="D808" s="59" t="s">
        <v>3598</v>
      </c>
      <c r="E808" s="15" t="s">
        <v>3599</v>
      </c>
      <c r="F808" s="15" t="s">
        <v>25</v>
      </c>
      <c r="G808" s="83" t="s">
        <v>21</v>
      </c>
      <c r="H808" s="16">
        <v>1650</v>
      </c>
      <c r="I808" s="15">
        <v>1</v>
      </c>
      <c r="J808" s="15" t="s">
        <v>3600</v>
      </c>
      <c r="K808" s="84" t="s">
        <v>3601</v>
      </c>
      <c r="L808" s="19"/>
      <c r="M808" s="18">
        <f t="shared" si="66"/>
        <v>0</v>
      </c>
      <c r="N808" s="17"/>
      <c r="P808" s="22"/>
      <c r="Q808" s="38"/>
      <c r="R808" s="19"/>
      <c r="S808" s="19"/>
    </row>
    <row r="809" spans="2:19" s="20" customFormat="1" ht="16.5" hidden="1" customHeight="1" x14ac:dyDescent="0.3">
      <c r="B809" s="81">
        <v>46093</v>
      </c>
      <c r="C809" s="81"/>
      <c r="D809" s="59" t="s">
        <v>3609</v>
      </c>
      <c r="E809" s="15" t="s">
        <v>3610</v>
      </c>
      <c r="F809" s="83" t="s">
        <v>46</v>
      </c>
      <c r="G809" s="83" t="s">
        <v>21</v>
      </c>
      <c r="H809" s="16">
        <v>150</v>
      </c>
      <c r="I809" s="15">
        <v>2</v>
      </c>
      <c r="J809" s="15" t="s">
        <v>299</v>
      </c>
      <c r="K809" s="84" t="s">
        <v>3588</v>
      </c>
      <c r="L809" s="19">
        <v>5760152</v>
      </c>
      <c r="M809" s="18">
        <f t="shared" ref="M809" si="88">(L809*I809)+S809</f>
        <v>11520304</v>
      </c>
      <c r="N809" s="17"/>
      <c r="O809" s="20" t="s">
        <v>3509</v>
      </c>
      <c r="P809" s="22"/>
      <c r="Q809" s="38" t="s">
        <v>3510</v>
      </c>
      <c r="R809" s="19"/>
      <c r="S809" s="19"/>
    </row>
    <row r="810" spans="2:19" s="20" customFormat="1" ht="16.5" hidden="1" customHeight="1" x14ac:dyDescent="0.3">
      <c r="B810" s="81">
        <v>46093</v>
      </c>
      <c r="C810" s="81"/>
      <c r="D810" s="59" t="s">
        <v>3611</v>
      </c>
      <c r="E810" s="15" t="s">
        <v>3612</v>
      </c>
      <c r="F810" s="15" t="s">
        <v>25</v>
      </c>
      <c r="G810" s="83" t="s">
        <v>21</v>
      </c>
      <c r="H810" s="16" t="s">
        <v>3613</v>
      </c>
      <c r="I810" s="15">
        <v>1</v>
      </c>
      <c r="J810" s="15" t="s">
        <v>3615</v>
      </c>
      <c r="K810" s="84" t="s">
        <v>3614</v>
      </c>
      <c r="L810" s="19"/>
      <c r="M810" s="18">
        <f t="shared" si="66"/>
        <v>0</v>
      </c>
      <c r="N810" s="17"/>
      <c r="P810" s="22"/>
      <c r="Q810" s="38"/>
      <c r="R810" s="19"/>
      <c r="S810" s="19"/>
    </row>
    <row r="811" spans="2:19" s="20" customFormat="1" ht="16.5" hidden="1" customHeight="1" x14ac:dyDescent="0.3">
      <c r="B811" s="81"/>
      <c r="C811" s="81"/>
      <c r="D811" s="59"/>
      <c r="E811" s="15"/>
      <c r="F811" s="83"/>
      <c r="G811" s="83"/>
      <c r="H811" s="16"/>
      <c r="I811" s="15"/>
      <c r="J811" s="15"/>
      <c r="K811" s="84"/>
      <c r="L811" s="19"/>
      <c r="M811" s="18">
        <f t="shared" si="66"/>
        <v>0</v>
      </c>
      <c r="N811" s="17"/>
      <c r="P811" s="22"/>
      <c r="Q811" s="38"/>
      <c r="R811" s="19"/>
      <c r="S811" s="19"/>
    </row>
    <row r="812" spans="2:19" s="20" customFormat="1" ht="16.5" hidden="1" customHeight="1" x14ac:dyDescent="0.3">
      <c r="B812" s="81"/>
      <c r="C812" s="81"/>
      <c r="D812" s="59"/>
      <c r="E812" s="15"/>
      <c r="F812" s="83"/>
      <c r="G812" s="83"/>
      <c r="H812" s="16"/>
      <c r="I812" s="15"/>
      <c r="J812" s="15"/>
      <c r="K812" s="84"/>
      <c r="L812" s="19"/>
      <c r="M812" s="18">
        <f t="shared" si="66"/>
        <v>0</v>
      </c>
      <c r="N812" s="17"/>
      <c r="P812" s="22"/>
      <c r="Q812" s="38"/>
      <c r="R812" s="19"/>
      <c r="S812" s="19"/>
    </row>
    <row r="813" spans="2:19" s="20" customFormat="1" ht="16.5" hidden="1" customHeight="1" x14ac:dyDescent="0.3">
      <c r="B813" s="81"/>
      <c r="C813" s="81"/>
      <c r="D813" s="59"/>
      <c r="E813" s="15"/>
      <c r="F813" s="83"/>
      <c r="G813" s="83"/>
      <c r="H813" s="16"/>
      <c r="I813" s="15"/>
      <c r="J813" s="15"/>
      <c r="K813" s="84"/>
      <c r="L813" s="19"/>
      <c r="M813" s="18">
        <f t="shared" si="66"/>
        <v>0</v>
      </c>
      <c r="N813" s="17"/>
      <c r="P813" s="22"/>
      <c r="Q813" s="38"/>
      <c r="R813" s="19"/>
      <c r="S813" s="19"/>
    </row>
    <row r="814" spans="2:19" s="20" customFormat="1" ht="16.5" hidden="1" customHeight="1" x14ac:dyDescent="0.3">
      <c r="B814" s="81"/>
      <c r="C814" s="81"/>
      <c r="D814" s="59"/>
      <c r="E814" s="15"/>
      <c r="F814" s="83"/>
      <c r="G814" s="83"/>
      <c r="H814" s="16"/>
      <c r="I814" s="15"/>
      <c r="J814" s="15"/>
      <c r="K814" s="84"/>
      <c r="L814" s="19"/>
      <c r="M814" s="18">
        <f t="shared" si="66"/>
        <v>0</v>
      </c>
      <c r="N814" s="17"/>
      <c r="P814" s="22"/>
      <c r="Q814" s="38"/>
      <c r="R814" s="19"/>
      <c r="S814" s="19"/>
    </row>
    <row r="815" spans="2:19" s="20" customFormat="1" ht="16.5" hidden="1" customHeight="1" x14ac:dyDescent="0.3">
      <c r="B815" s="81">
        <v>46097</v>
      </c>
      <c r="C815" s="81"/>
      <c r="D815" s="59" t="s">
        <v>3616</v>
      </c>
      <c r="E815" s="15" t="s">
        <v>3617</v>
      </c>
      <c r="F815" s="83" t="s">
        <v>46</v>
      </c>
      <c r="G815" s="83" t="s">
        <v>21</v>
      </c>
      <c r="H815" s="16">
        <v>500</v>
      </c>
      <c r="I815" s="15">
        <v>2</v>
      </c>
      <c r="J815" s="15" t="s">
        <v>1178</v>
      </c>
      <c r="K815" s="84" t="s">
        <v>3618</v>
      </c>
      <c r="L815" s="19">
        <v>29546894</v>
      </c>
      <c r="M815" s="18">
        <f t="shared" si="66"/>
        <v>59093788</v>
      </c>
      <c r="N815" s="17"/>
      <c r="O815" s="20" t="s">
        <v>3509</v>
      </c>
      <c r="P815" s="22"/>
      <c r="Q815" s="38" t="s">
        <v>3510</v>
      </c>
      <c r="R815" s="19"/>
      <c r="S815" s="19"/>
    </row>
    <row r="816" spans="2:19" s="20" customFormat="1" ht="16.5" hidden="1" customHeight="1" x14ac:dyDescent="0.3">
      <c r="B816" s="81"/>
      <c r="C816" s="81"/>
      <c r="D816" s="59"/>
      <c r="E816" s="15"/>
      <c r="F816" s="83"/>
      <c r="G816" s="83"/>
      <c r="H816" s="16"/>
      <c r="I816" s="15"/>
      <c r="J816" s="15"/>
      <c r="K816" s="84"/>
      <c r="L816" s="19"/>
      <c r="M816" s="18">
        <f t="shared" si="66"/>
        <v>0</v>
      </c>
      <c r="N816" s="17"/>
      <c r="P816" s="22"/>
      <c r="Q816" s="38"/>
      <c r="R816" s="19"/>
      <c r="S816" s="19"/>
    </row>
    <row r="817" spans="2:19" s="20" customFormat="1" ht="16.5" hidden="1" customHeight="1" x14ac:dyDescent="0.3">
      <c r="B817" s="81"/>
      <c r="C817" s="81"/>
      <c r="D817" s="59"/>
      <c r="E817" s="15"/>
      <c r="F817" s="83"/>
      <c r="G817" s="83"/>
      <c r="H817" s="16"/>
      <c r="I817" s="15"/>
      <c r="J817" s="15"/>
      <c r="K817" s="84"/>
      <c r="L817" s="19"/>
      <c r="M817" s="18">
        <f t="shared" si="66"/>
        <v>0</v>
      </c>
      <c r="N817" s="17"/>
      <c r="P817" s="22"/>
      <c r="Q817" s="38"/>
      <c r="R817" s="19"/>
      <c r="S817" s="19"/>
    </row>
    <row r="818" spans="2:19" s="20" customFormat="1" ht="16.5" hidden="1" customHeight="1" x14ac:dyDescent="0.3">
      <c r="B818" s="81"/>
      <c r="C818" s="81"/>
      <c r="D818" s="59"/>
      <c r="E818" s="15"/>
      <c r="F818" s="83"/>
      <c r="G818" s="83"/>
      <c r="H818" s="16"/>
      <c r="I818" s="15"/>
      <c r="J818" s="15"/>
      <c r="K818" s="84"/>
      <c r="L818" s="19"/>
      <c r="M818" s="18">
        <f t="shared" si="66"/>
        <v>0</v>
      </c>
      <c r="N818" s="17"/>
      <c r="P818" s="22"/>
      <c r="Q818" s="38"/>
      <c r="R818" s="19"/>
      <c r="S818" s="19"/>
    </row>
    <row r="819" spans="2:19" s="20" customFormat="1" ht="16.5" hidden="1" customHeight="1" x14ac:dyDescent="0.3">
      <c r="B819" s="81"/>
      <c r="C819" s="81"/>
      <c r="D819" s="59"/>
      <c r="E819" s="15"/>
      <c r="F819" s="83"/>
      <c r="G819" s="83"/>
      <c r="H819" s="16"/>
      <c r="I819" s="15"/>
      <c r="J819" s="15"/>
      <c r="K819" s="84"/>
      <c r="L819" s="19"/>
      <c r="M819" s="18">
        <f t="shared" si="66"/>
        <v>0</v>
      </c>
      <c r="N819" s="17"/>
      <c r="P819" s="22"/>
      <c r="Q819" s="38"/>
      <c r="R819" s="19"/>
      <c r="S819" s="19"/>
    </row>
    <row r="820" spans="2:19" s="20" customFormat="1" ht="16.5" hidden="1" customHeight="1" x14ac:dyDescent="0.3">
      <c r="B820" s="81"/>
      <c r="C820" s="81"/>
      <c r="D820" s="59"/>
      <c r="E820" s="15"/>
      <c r="F820" s="83"/>
      <c r="G820" s="83"/>
      <c r="H820" s="16"/>
      <c r="I820" s="15"/>
      <c r="J820" s="15"/>
      <c r="K820" s="84"/>
      <c r="L820" s="19"/>
      <c r="M820" s="18">
        <f t="shared" si="66"/>
        <v>0</v>
      </c>
      <c r="N820" s="17"/>
      <c r="P820" s="22"/>
      <c r="Q820" s="38"/>
      <c r="R820" s="19"/>
      <c r="S820" s="19"/>
    </row>
    <row r="821" spans="2:19" s="20" customFormat="1" ht="16.5" hidden="1" customHeight="1" x14ac:dyDescent="0.3">
      <c r="B821" s="81"/>
      <c r="C821" s="81"/>
      <c r="D821" s="59"/>
      <c r="E821" s="15"/>
      <c r="F821" s="83"/>
      <c r="G821" s="83"/>
      <c r="H821" s="16"/>
      <c r="I821" s="15"/>
      <c r="J821" s="15"/>
      <c r="K821" s="84"/>
      <c r="L821" s="19"/>
      <c r="M821" s="18">
        <f t="shared" si="66"/>
        <v>0</v>
      </c>
      <c r="N821" s="17"/>
      <c r="P821" s="22"/>
      <c r="Q821" s="38"/>
      <c r="R821" s="19"/>
      <c r="S821" s="19"/>
    </row>
    <row r="822" spans="2:19" s="20" customFormat="1" ht="16.5" hidden="1" customHeight="1" x14ac:dyDescent="0.3">
      <c r="B822" s="81"/>
      <c r="C822" s="81"/>
      <c r="D822" s="59"/>
      <c r="E822" s="15"/>
      <c r="F822" s="83"/>
      <c r="G822" s="83"/>
      <c r="H822" s="16"/>
      <c r="I822" s="15"/>
      <c r="J822" s="15"/>
      <c r="K822" s="84"/>
      <c r="L822" s="19"/>
      <c r="M822" s="18">
        <f t="shared" si="66"/>
        <v>0</v>
      </c>
      <c r="N822" s="17"/>
      <c r="P822" s="22"/>
      <c r="Q822" s="38"/>
      <c r="R822" s="19"/>
      <c r="S822" s="19"/>
    </row>
    <row r="823" spans="2:19" s="20" customFormat="1" ht="16.5" hidden="1" customHeight="1" x14ac:dyDescent="0.3">
      <c r="B823" s="81"/>
      <c r="C823" s="81"/>
      <c r="D823" s="59"/>
      <c r="E823" s="15"/>
      <c r="F823" s="83"/>
      <c r="G823" s="83"/>
      <c r="H823" s="16"/>
      <c r="I823" s="15"/>
      <c r="J823" s="15"/>
      <c r="K823" s="84"/>
      <c r="L823" s="19"/>
      <c r="M823" s="18">
        <f t="shared" si="66"/>
        <v>0</v>
      </c>
      <c r="N823" s="17"/>
      <c r="P823" s="22"/>
      <c r="Q823" s="38"/>
      <c r="R823" s="19"/>
      <c r="S823" s="19"/>
    </row>
    <row r="824" spans="2:19" s="20" customFormat="1" ht="16.5" hidden="1" customHeight="1" x14ac:dyDescent="0.3">
      <c r="B824" s="81"/>
      <c r="C824" s="81"/>
      <c r="D824" s="59"/>
      <c r="E824" s="15"/>
      <c r="F824" s="83"/>
      <c r="G824" s="83"/>
      <c r="H824" s="16"/>
      <c r="I824" s="15"/>
      <c r="J824" s="15"/>
      <c r="K824" s="84"/>
      <c r="L824" s="19"/>
      <c r="M824" s="18">
        <f t="shared" si="66"/>
        <v>0</v>
      </c>
      <c r="N824" s="17"/>
      <c r="P824" s="22"/>
      <c r="Q824" s="38"/>
      <c r="R824" s="19"/>
      <c r="S824" s="19"/>
    </row>
    <row r="825" spans="2:19" s="20" customFormat="1" ht="16.5" hidden="1" customHeight="1" x14ac:dyDescent="0.3">
      <c r="B825" s="81"/>
      <c r="C825" s="81"/>
      <c r="D825" s="59"/>
      <c r="E825" s="15"/>
      <c r="F825" s="83"/>
      <c r="G825" s="83"/>
      <c r="H825" s="16"/>
      <c r="I825" s="15"/>
      <c r="J825" s="15"/>
      <c r="K825" s="84"/>
      <c r="L825" s="19"/>
      <c r="M825" s="18">
        <f>(L825*I825)+S825</f>
        <v>0</v>
      </c>
      <c r="N825" s="17"/>
      <c r="P825" s="22"/>
      <c r="Q825" s="38"/>
      <c r="R825" s="19"/>
      <c r="S825" s="19"/>
    </row>
    <row r="826" spans="2:19" s="20" customFormat="1" ht="16.5" hidden="1" customHeight="1" x14ac:dyDescent="0.3">
      <c r="B826" s="158"/>
      <c r="C826" s="81"/>
      <c r="D826" s="172"/>
      <c r="E826" s="15"/>
      <c r="F826" s="15"/>
      <c r="G826" s="83"/>
      <c r="H826" s="16"/>
      <c r="I826" s="15"/>
      <c r="J826" s="15"/>
      <c r="K826" s="84"/>
      <c r="L826" s="136"/>
      <c r="M826" s="18"/>
      <c r="N826" s="17"/>
      <c r="P826" s="22"/>
      <c r="Q826" s="38"/>
      <c r="R826" s="19"/>
      <c r="S826" s="19"/>
    </row>
    <row r="827" spans="2:19" s="20" customFormat="1" ht="16.5" hidden="1" customHeight="1" x14ac:dyDescent="0.3">
      <c r="B827" s="17"/>
      <c r="C827" s="17"/>
      <c r="D827" s="22"/>
      <c r="E827" s="15"/>
      <c r="F827" s="15"/>
      <c r="G827" s="15"/>
      <c r="H827" s="16"/>
      <c r="I827" s="15"/>
      <c r="J827" s="15"/>
      <c r="K827" s="29"/>
      <c r="L827" s="19"/>
      <c r="M827" s="18">
        <f t="shared" si="49"/>
        <v>0</v>
      </c>
      <c r="N827" s="17"/>
      <c r="P827" s="22"/>
      <c r="Q827" s="38"/>
      <c r="R827" s="19"/>
      <c r="S827" s="19"/>
    </row>
    <row r="828" spans="2:19" s="20" customFormat="1" ht="16.5" hidden="1" customHeight="1" x14ac:dyDescent="0.3">
      <c r="B828" s="17"/>
      <c r="C828" s="17"/>
      <c r="D828" s="22"/>
      <c r="E828" s="15"/>
      <c r="F828" s="15"/>
      <c r="G828" s="15"/>
      <c r="H828" s="16"/>
      <c r="I828" s="15"/>
      <c r="J828" s="15"/>
      <c r="K828" s="29"/>
      <c r="L828" s="19"/>
      <c r="M828" s="18">
        <f t="shared" si="49"/>
        <v>0</v>
      </c>
      <c r="N828" s="17"/>
      <c r="P828" s="22"/>
      <c r="Q828" s="38"/>
      <c r="R828" s="19"/>
      <c r="S828" s="19"/>
    </row>
    <row r="829" spans="2:19" s="20" customFormat="1" ht="16.5" hidden="1" customHeight="1" x14ac:dyDescent="0.3">
      <c r="B829" s="17"/>
      <c r="C829" s="17"/>
      <c r="D829" s="22"/>
      <c r="E829" s="15"/>
      <c r="F829" s="15"/>
      <c r="G829" s="15"/>
      <c r="H829" s="16"/>
      <c r="I829" s="15"/>
      <c r="J829" s="15"/>
      <c r="K829" s="29"/>
      <c r="L829" s="19"/>
      <c r="M829" s="18">
        <f t="shared" si="31"/>
        <v>0</v>
      </c>
      <c r="N829" s="17"/>
      <c r="P829" s="22"/>
      <c r="Q829" s="38"/>
      <c r="R829" s="19"/>
      <c r="S829" s="19"/>
    </row>
    <row r="830" spans="2:19" s="20" customFormat="1" ht="16.5" hidden="1" customHeight="1" x14ac:dyDescent="0.3">
      <c r="B830" s="17"/>
      <c r="C830" s="17"/>
      <c r="D830" s="22"/>
      <c r="E830" s="15"/>
      <c r="F830" s="15"/>
      <c r="G830" s="15"/>
      <c r="H830" s="16"/>
      <c r="I830" s="15"/>
      <c r="J830" s="15"/>
      <c r="K830" s="29"/>
      <c r="L830" s="19"/>
      <c r="M830" s="18">
        <f t="shared" si="31"/>
        <v>0</v>
      </c>
      <c r="N830" s="17"/>
      <c r="P830" s="22"/>
      <c r="Q830" s="38"/>
      <c r="R830" s="19"/>
      <c r="S830" s="19"/>
    </row>
    <row r="831" spans="2:19" s="20" customFormat="1" ht="16.5" hidden="1" customHeight="1" x14ac:dyDescent="0.3">
      <c r="B831" s="17"/>
      <c r="C831" s="17"/>
      <c r="D831" s="22"/>
      <c r="E831" s="15"/>
      <c r="F831" s="15"/>
      <c r="G831" s="15"/>
      <c r="H831" s="16"/>
      <c r="I831" s="15"/>
      <c r="J831" s="15"/>
      <c r="K831" s="29"/>
      <c r="L831" s="19"/>
      <c r="M831" s="18">
        <f t="shared" si="31"/>
        <v>0</v>
      </c>
      <c r="N831" s="17"/>
      <c r="P831" s="22"/>
      <c r="Q831" s="38"/>
      <c r="R831" s="19"/>
      <c r="S831" s="19"/>
    </row>
    <row r="832" spans="2:19" s="20" customFormat="1" ht="17.100000000000001" hidden="1" customHeight="1" x14ac:dyDescent="0.3">
      <c r="B832" s="17"/>
      <c r="C832" s="17"/>
      <c r="D832" s="22"/>
      <c r="E832" s="15"/>
      <c r="F832" s="15"/>
      <c r="G832" s="15"/>
      <c r="H832" s="16"/>
      <c r="I832" s="15"/>
      <c r="J832" s="15"/>
      <c r="K832" s="29"/>
      <c r="L832" s="19"/>
      <c r="M832" s="18">
        <f t="shared" si="31"/>
        <v>0</v>
      </c>
      <c r="N832" s="17"/>
      <c r="P832" s="22"/>
      <c r="Q832" s="38"/>
      <c r="R832" s="19"/>
      <c r="S832" s="19"/>
    </row>
    <row r="833" spans="2:19" s="20" customFormat="1" ht="17.100000000000001" customHeight="1" x14ac:dyDescent="0.3">
      <c r="B833" s="17"/>
      <c r="C833" s="17"/>
      <c r="D833" s="22"/>
      <c r="E833" s="15"/>
      <c r="F833" s="15"/>
      <c r="G833" s="15"/>
      <c r="H833" s="16"/>
      <c r="I833" s="15"/>
      <c r="J833" s="15"/>
      <c r="K833" s="29"/>
      <c r="L833" s="19"/>
      <c r="M833" s="18">
        <f t="shared" si="31"/>
        <v>0</v>
      </c>
      <c r="N833" s="176"/>
      <c r="P833" s="22"/>
      <c r="Q833" s="38"/>
      <c r="R833" s="19"/>
      <c r="S833" s="19"/>
    </row>
    <row r="834" spans="2:19" s="9" customFormat="1" ht="13.5" x14ac:dyDescent="0.3">
      <c r="B834" s="7"/>
      <c r="C834" s="7"/>
      <c r="E834" s="5"/>
      <c r="F834" s="5"/>
      <c r="G834" s="5"/>
      <c r="H834" s="6"/>
      <c r="I834" s="5"/>
      <c r="J834" s="5"/>
      <c r="K834" s="32"/>
      <c r="L834" s="8"/>
      <c r="M834" s="8"/>
      <c r="N834" s="207"/>
      <c r="P834" s="40"/>
      <c r="Q834" s="40"/>
      <c r="R834" s="8"/>
      <c r="S834" s="8"/>
    </row>
    <row r="835" spans="2:19" s="9" customFormat="1" ht="13.5" x14ac:dyDescent="0.3">
      <c r="B835" s="7"/>
      <c r="C835" s="7"/>
      <c r="E835" s="5"/>
      <c r="F835" s="5"/>
      <c r="G835" s="5"/>
      <c r="H835" s="6"/>
      <c r="I835" s="5"/>
      <c r="J835" s="5"/>
      <c r="K835" s="32"/>
      <c r="L835" s="8"/>
      <c r="M835" s="8"/>
      <c r="N835" s="207"/>
      <c r="P835" s="40"/>
      <c r="Q835" s="40"/>
      <c r="R835" s="8"/>
      <c r="S835" s="8"/>
    </row>
    <row r="836" spans="2:19" s="9" customFormat="1" ht="13.5" x14ac:dyDescent="0.3">
      <c r="B836" s="7"/>
      <c r="C836" s="7"/>
      <c r="E836" s="5"/>
      <c r="F836" s="5"/>
      <c r="G836" s="5"/>
      <c r="H836" s="6"/>
      <c r="I836" s="5"/>
      <c r="J836" s="5"/>
      <c r="K836" s="32"/>
      <c r="L836" s="8"/>
      <c r="M836" s="8"/>
      <c r="N836" s="207"/>
      <c r="P836" s="40"/>
      <c r="Q836" s="40"/>
      <c r="R836" s="8"/>
      <c r="S836" s="8">
        <v>1365650</v>
      </c>
    </row>
    <row r="837" spans="2:19" s="9" customFormat="1" ht="27" customHeight="1" x14ac:dyDescent="0.3">
      <c r="B837" s="255" t="s">
        <v>2521</v>
      </c>
      <c r="C837" s="255"/>
      <c r="D837" s="255"/>
      <c r="E837" s="5"/>
      <c r="F837" s="5"/>
      <c r="G837" s="5"/>
      <c r="H837" s="6"/>
      <c r="I837" s="8">
        <f>SUBTOTAL(9,I4:I836)</f>
        <v>133</v>
      </c>
      <c r="J837" s="162"/>
      <c r="K837" s="163"/>
      <c r="L837" s="164"/>
      <c r="M837" s="164">
        <f>SUBTOTAL(9,M4:M836)</f>
        <v>3073344402</v>
      </c>
      <c r="N837" s="207"/>
      <c r="P837" s="40"/>
      <c r="Q837" s="40"/>
      <c r="R837" s="8"/>
      <c r="S837" s="8">
        <f>S836*2</f>
        <v>2731300</v>
      </c>
    </row>
    <row r="838" spans="2:19" x14ac:dyDescent="0.3">
      <c r="B838" s="256" t="s">
        <v>2519</v>
      </c>
      <c r="C838" s="256"/>
      <c r="D838" s="256"/>
      <c r="I838" s="1">
        <v>112</v>
      </c>
      <c r="M838" s="160">
        <v>3526217564</v>
      </c>
    </row>
    <row r="839" spans="2:19" x14ac:dyDescent="0.3">
      <c r="B839" s="256" t="s">
        <v>2520</v>
      </c>
      <c r="C839" s="256"/>
      <c r="D839" s="256"/>
      <c r="I839" s="109"/>
      <c r="L839" s="159"/>
      <c r="M839" s="161">
        <f>M837/M838</f>
        <v>0.87156970499395992</v>
      </c>
    </row>
    <row r="840" spans="2:19" x14ac:dyDescent="0.3">
      <c r="L840" s="159"/>
      <c r="M840" s="8"/>
    </row>
    <row r="841" spans="2:19" x14ac:dyDescent="0.3">
      <c r="L841" s="4">
        <f>L686*0.8</f>
        <v>147859024</v>
      </c>
      <c r="M841" s="8"/>
    </row>
    <row r="842" spans="2:19" x14ac:dyDescent="0.3">
      <c r="M842" s="8"/>
    </row>
    <row r="843" spans="2:19" x14ac:dyDescent="0.3">
      <c r="M843" s="8"/>
    </row>
    <row r="845" spans="2:19" x14ac:dyDescent="0.3">
      <c r="L845" s="28"/>
      <c r="M845" s="8"/>
    </row>
    <row r="846" spans="2:19" x14ac:dyDescent="0.3">
      <c r="K846" s="179"/>
    </row>
    <row r="847" spans="2:19" x14ac:dyDescent="0.3">
      <c r="J847" s="179"/>
      <c r="K847" s="179"/>
    </row>
    <row r="848" spans="2:19" x14ac:dyDescent="0.3">
      <c r="K848" s="4"/>
    </row>
    <row r="849" spans="11:11" x14ac:dyDescent="0.3">
      <c r="K849" s="179"/>
    </row>
    <row r="851" spans="11:11" x14ac:dyDescent="0.3">
      <c r="K851" s="179"/>
    </row>
    <row r="852" spans="11:11" x14ac:dyDescent="0.3">
      <c r="K852" s="179"/>
    </row>
  </sheetData>
  <sheetProtection formatCells="0" formatColumns="0" formatRows="0" insertColumns="0"/>
  <autoFilter ref="A3:U832" xr:uid="{00000000-0009-0000-0000-000000000000}">
    <filterColumn colId="13">
      <filters>
        <dateGroupItem year="2025" month="12" dateTimeGrouping="month"/>
      </filters>
    </filterColumn>
    <filterColumn colId="14">
      <filters>
        <filter val="2024년 열수송관 천공 및 차단공사(2권역)"/>
      </filters>
    </filterColumn>
  </autoFilter>
  <mergeCells count="28">
    <mergeCell ref="B837:D837"/>
    <mergeCell ref="B838:D838"/>
    <mergeCell ref="B839:D839"/>
    <mergeCell ref="U2:U3"/>
    <mergeCell ref="D2:D3"/>
    <mergeCell ref="J36:J37"/>
    <mergeCell ref="F2:G2"/>
    <mergeCell ref="P2:P3"/>
    <mergeCell ref="J2:J3"/>
    <mergeCell ref="K2:K3"/>
    <mergeCell ref="N2:N3"/>
    <mergeCell ref="L2:M2"/>
    <mergeCell ref="T2:T3"/>
    <mergeCell ref="S2:S3"/>
    <mergeCell ref="K36:K37"/>
    <mergeCell ref="P36:P37"/>
    <mergeCell ref="R2:R3"/>
    <mergeCell ref="Q36:Q37"/>
    <mergeCell ref="Q2:Q3"/>
    <mergeCell ref="A2:A3"/>
    <mergeCell ref="H2:I2"/>
    <mergeCell ref="L36:L37"/>
    <mergeCell ref="M36:M37"/>
    <mergeCell ref="O36:O37"/>
    <mergeCell ref="B2:B3"/>
    <mergeCell ref="C2:C3"/>
    <mergeCell ref="O2:O3"/>
    <mergeCell ref="E2:E3"/>
  </mergeCells>
  <phoneticPr fontId="2" type="noConversion"/>
  <conditionalFormatting sqref="F619:F620 G657:G673 F816:G1048576 F790 F792:G792 F811:G814">
    <cfRule type="containsText" dxfId="179" priority="204" operator="containsText" text="상수도">
      <formula>NOT(ISERROR(SEARCH("상수도",F619)))</formula>
    </cfRule>
  </conditionalFormatting>
  <conditionalFormatting sqref="F625">
    <cfRule type="containsText" dxfId="178" priority="193" operator="containsText" text="상수도">
      <formula>NOT(ISERROR(SEARCH("상수도",F625)))</formula>
    </cfRule>
  </conditionalFormatting>
  <conditionalFormatting sqref="F636">
    <cfRule type="containsText" dxfId="177" priority="173" operator="containsText" text="상수도">
      <formula>NOT(ISERROR(SEARCH("상수도",F636)))</formula>
    </cfRule>
  </conditionalFormatting>
  <conditionalFormatting sqref="F638:F641 F643">
    <cfRule type="containsText" dxfId="176" priority="167" operator="containsText" text="상수도">
      <formula>NOT(ISERROR(SEARCH("상수도",F638)))</formula>
    </cfRule>
  </conditionalFormatting>
  <conditionalFormatting sqref="F660">
    <cfRule type="containsText" dxfId="175" priority="136" operator="containsText" text="상수도">
      <formula>NOT(ISERROR(SEARCH("상수도",F660)))</formula>
    </cfRule>
  </conditionalFormatting>
  <conditionalFormatting sqref="F666">
    <cfRule type="containsText" dxfId="174" priority="131" operator="containsText" text="상수도">
      <formula>NOT(ISERROR(SEARCH("상수도",F666)))</formula>
    </cfRule>
  </conditionalFormatting>
  <conditionalFormatting sqref="F672:F674">
    <cfRule type="containsText" dxfId="173" priority="124" operator="containsText" text="상수도">
      <formula>NOT(ISERROR(SEARCH("상수도",F672)))</formula>
    </cfRule>
  </conditionalFormatting>
  <conditionalFormatting sqref="F684:F686">
    <cfRule type="containsText" dxfId="172" priority="122" operator="containsText" text="상수도">
      <formula>NOT(ISERROR(SEARCH("상수도",F684)))</formula>
    </cfRule>
  </conditionalFormatting>
  <conditionalFormatting sqref="F826">
    <cfRule type="containsText" dxfId="171" priority="121" operator="containsText" text="상수도">
      <formula>NOT(ISERROR(SEARCH("상수도",F826)))</formula>
    </cfRule>
  </conditionalFormatting>
  <conditionalFormatting sqref="F1:G485 F483:F487 F487:G488 G500:G503">
    <cfRule type="containsText" dxfId="170" priority="474" operator="containsText" text="상수도">
      <formula>NOT(ISERROR(SEARCH("상수도",F1)))</formula>
    </cfRule>
  </conditionalFormatting>
  <conditionalFormatting sqref="F1:G485 F483:F487">
    <cfRule type="containsText" dxfId="169" priority="473" operator="containsText" text="지역난방">
      <formula>NOT(ISERROR(SEARCH("지역난방",F1)))</formula>
    </cfRule>
  </conditionalFormatting>
  <conditionalFormatting sqref="F487:G493 F495:G498 F658:G734 F790 F494:F498">
    <cfRule type="containsText" dxfId="168" priority="465" operator="containsText" text="지역난방">
      <formula>NOT(ISERROR(SEARCH("지역난방",F487)))</formula>
    </cfRule>
  </conditionalFormatting>
  <conditionalFormatting sqref="F489:G493 F494:F495 F495:G498">
    <cfRule type="containsText" dxfId="167" priority="466" operator="containsText" text="상수도">
      <formula>NOT(ISERROR(SEARCH("상수도",F489)))</formula>
    </cfRule>
  </conditionalFormatting>
  <conditionalFormatting sqref="F493:G493">
    <cfRule type="containsText" dxfId="166" priority="462" operator="containsText" text="상수도">
      <formula>NOT(ISERROR(SEARCH("상수도",F493)))</formula>
    </cfRule>
  </conditionalFormatting>
  <conditionalFormatting sqref="F499:G506 F533:G544">
    <cfRule type="containsText" dxfId="165" priority="447" operator="containsText" text="상수도">
      <formula>NOT(ISERROR(SEARCH("상수도",F499)))</formula>
    </cfRule>
    <cfRule type="containsText" dxfId="164" priority="446" operator="containsText" text="지역난방">
      <formula>NOT(ISERROR(SEARCH("지역난방",F499)))</formula>
    </cfRule>
  </conditionalFormatting>
  <conditionalFormatting sqref="F507:G518">
    <cfRule type="containsText" dxfId="163" priority="433" operator="containsText" text="지역난방">
      <formula>NOT(ISERROR(SEARCH("지역난방",F507)))</formula>
    </cfRule>
    <cfRule type="containsText" dxfId="162" priority="434" operator="containsText" text="상수도">
      <formula>NOT(ISERROR(SEARCH("상수도",F507)))</formula>
    </cfRule>
  </conditionalFormatting>
  <conditionalFormatting sqref="F519:G527 F529:G530">
    <cfRule type="containsText" dxfId="161" priority="422" operator="containsText" text="상수도">
      <formula>NOT(ISERROR(SEARCH("상수도",F519)))</formula>
    </cfRule>
  </conditionalFormatting>
  <conditionalFormatting sqref="F528:G528">
    <cfRule type="containsText" dxfId="160" priority="406" operator="containsText" text="상수도">
      <formula>NOT(ISERROR(SEARCH("상수도",F528)))</formula>
    </cfRule>
    <cfRule type="containsText" dxfId="159" priority="405" operator="containsText" text="지역난방">
      <formula>NOT(ISERROR(SEARCH("지역난방",F528)))</formula>
    </cfRule>
  </conditionalFormatting>
  <conditionalFormatting sqref="F529:G530 F519:G527">
    <cfRule type="containsText" dxfId="158" priority="421" operator="containsText" text="지역난방">
      <formula>NOT(ISERROR(SEARCH("지역난방",F519)))</formula>
    </cfRule>
  </conditionalFormatting>
  <conditionalFormatting sqref="F531:G532">
    <cfRule type="containsText" dxfId="157" priority="410" operator="containsText" text="지역난방">
      <formula>NOT(ISERROR(SEARCH("지역난방",F531)))</formula>
    </cfRule>
  </conditionalFormatting>
  <conditionalFormatting sqref="F545:G586 F587:F590">
    <cfRule type="containsText" dxfId="156" priority="383" operator="containsText" text="상수도">
      <formula>NOT(ISERROR(SEARCH("상수도",F545)))</formula>
    </cfRule>
  </conditionalFormatting>
  <conditionalFormatting sqref="F545:G586">
    <cfRule type="containsText" dxfId="155" priority="382" operator="containsText" text="지역난방">
      <formula>NOT(ISERROR(SEARCH("지역난방",F545)))</formula>
    </cfRule>
  </conditionalFormatting>
  <conditionalFormatting sqref="F587:G594">
    <cfRule type="containsText" dxfId="154" priority="352" operator="containsText" text="지역난방">
      <formula>NOT(ISERROR(SEARCH("지역난방",F587)))</formula>
    </cfRule>
  </conditionalFormatting>
  <conditionalFormatting sqref="F591:G594">
    <cfRule type="containsText" dxfId="153" priority="353" operator="containsText" text="상수도">
      <formula>NOT(ISERROR(SEARCH("상수도",F591)))</formula>
    </cfRule>
  </conditionalFormatting>
  <conditionalFormatting sqref="F595:G602">
    <cfRule type="containsText" dxfId="152" priority="309" operator="containsText" text="상수도">
      <formula>NOT(ISERROR(SEARCH("상수도",F595)))</formula>
    </cfRule>
    <cfRule type="containsText" dxfId="151" priority="308" operator="containsText" text="지역난방">
      <formula>NOT(ISERROR(SEARCH("지역난방",F595)))</formula>
    </cfRule>
  </conditionalFormatting>
  <conditionalFormatting sqref="F603:G604">
    <cfRule type="containsText" dxfId="150" priority="257" operator="containsText" text="상수도">
      <formula>NOT(ISERROR(SEARCH("상수도",F603)))</formula>
    </cfRule>
    <cfRule type="containsText" dxfId="149" priority="256" operator="containsText" text="지역난방">
      <formula>NOT(ISERROR(SEARCH("지역난방",F603)))</formula>
    </cfRule>
  </conditionalFormatting>
  <conditionalFormatting sqref="F605:G606">
    <cfRule type="containsText" dxfId="148" priority="233" operator="containsText" text="상수도">
      <formula>NOT(ISERROR(SEARCH("상수도",F605)))</formula>
    </cfRule>
    <cfRule type="containsText" dxfId="147" priority="232" operator="containsText" text="지역난방">
      <formula>NOT(ISERROR(SEARCH("지역난방",F605)))</formula>
    </cfRule>
  </conditionalFormatting>
  <conditionalFormatting sqref="F607:G613">
    <cfRule type="containsText" dxfId="146" priority="244" operator="containsText" text="지역난방">
      <formula>NOT(ISERROR(SEARCH("지역난방",F607)))</formula>
    </cfRule>
    <cfRule type="containsText" dxfId="145" priority="245" operator="containsText" text="상수도">
      <formula>NOT(ISERROR(SEARCH("상수도",F607)))</formula>
    </cfRule>
  </conditionalFormatting>
  <conditionalFormatting sqref="F614:G618">
    <cfRule type="containsText" dxfId="144" priority="208" operator="containsText" text="상수도">
      <formula>NOT(ISERROR(SEARCH("상수도",F614)))</formula>
    </cfRule>
    <cfRule type="containsText" dxfId="143" priority="207" operator="containsText" text="지역난방">
      <formula>NOT(ISERROR(SEARCH("지역난방",F614)))</formula>
    </cfRule>
  </conditionalFormatting>
  <conditionalFormatting sqref="F619:G621">
    <cfRule type="containsText" dxfId="142" priority="201" operator="containsText" text="지역난방">
      <formula>NOT(ISERROR(SEARCH("지역난방",F619)))</formula>
    </cfRule>
  </conditionalFormatting>
  <conditionalFormatting sqref="F621:G624">
    <cfRule type="containsText" dxfId="141" priority="202" operator="containsText" text="상수도">
      <formula>NOT(ISERROR(SEARCH("상수도",F621)))</formula>
    </cfRule>
  </conditionalFormatting>
  <conditionalFormatting sqref="F622:G624 F638:F641 F643:F649">
    <cfRule type="containsText" dxfId="140" priority="150" operator="containsText" text="지역난방">
      <formula>NOT(ISERROR(SEARCH("지역난방",F622)))</formula>
    </cfRule>
  </conditionalFormatting>
  <conditionalFormatting sqref="F625:G632 G643 G649:G652">
    <cfRule type="containsText" dxfId="139" priority="185" operator="containsText" text="지역난방">
      <formula>NOT(ISERROR(SEARCH("지역난방",F625)))</formula>
    </cfRule>
  </conditionalFormatting>
  <conditionalFormatting sqref="F626:G632 G643 G649:G652">
    <cfRule type="containsText" dxfId="138" priority="186" operator="containsText" text="상수도">
      <formula>NOT(ISERROR(SEARCH("상수도",F626)))</formula>
    </cfRule>
  </conditionalFormatting>
  <conditionalFormatting sqref="F633:G635">
    <cfRule type="containsText" dxfId="137" priority="182" operator="containsText" text="상수도">
      <formula>NOT(ISERROR(SEARCH("상수도",F633)))</formula>
    </cfRule>
  </conditionalFormatting>
  <conditionalFormatting sqref="F633:G636">
    <cfRule type="containsText" dxfId="136" priority="172" operator="containsText" text="지역난방">
      <formula>NOT(ISERROR(SEARCH("지역난방",F633)))</formula>
    </cfRule>
  </conditionalFormatting>
  <conditionalFormatting sqref="F637:G637 G638:G641">
    <cfRule type="containsText" dxfId="135" priority="176" operator="containsText" text="지역난방">
      <formula>NOT(ISERROR(SEARCH("지역난방",F637)))</formula>
    </cfRule>
    <cfRule type="containsText" dxfId="134" priority="177" operator="containsText" text="상수도">
      <formula>NOT(ISERROR(SEARCH("상수도",F637)))</formula>
    </cfRule>
  </conditionalFormatting>
  <conditionalFormatting sqref="F642:G642">
    <cfRule type="containsText" dxfId="133" priority="127" operator="containsText" text="상수도">
      <formula>NOT(ISERROR(SEARCH("상수도",F642)))</formula>
    </cfRule>
    <cfRule type="containsText" dxfId="132" priority="126" operator="containsText" text="지역난방">
      <formula>NOT(ISERROR(SEARCH("지역난방",F642)))</formula>
    </cfRule>
  </conditionalFormatting>
  <conditionalFormatting sqref="F644:G652">
    <cfRule type="containsText" dxfId="131" priority="154" operator="containsText" text="상수도">
      <formula>NOT(ISERROR(SEARCH("상수도",F644)))</formula>
    </cfRule>
  </conditionalFormatting>
  <conditionalFormatting sqref="F650:G656">
    <cfRule type="containsText" dxfId="130" priority="142" operator="containsText" text="지역난방">
      <formula>NOT(ISERROR(SEARCH("지역난방",F650)))</formula>
    </cfRule>
  </conditionalFormatting>
  <conditionalFormatting sqref="F653:G656">
    <cfRule type="containsText" dxfId="129" priority="145" operator="containsText" text="상수도">
      <formula>NOT(ISERROR(SEARCH("상수도",F653)))</formula>
    </cfRule>
  </conditionalFormatting>
  <conditionalFormatting sqref="F657:G659">
    <cfRule type="containsText" dxfId="128" priority="138" operator="containsText" text="상수도">
      <formula>NOT(ISERROR(SEARCH("상수도",F657)))</formula>
    </cfRule>
  </conditionalFormatting>
  <conditionalFormatting sqref="F661:G789">
    <cfRule type="containsText" dxfId="127" priority="46" operator="containsText" text="상수도">
      <formula>NOT(ISERROR(SEARCH("상수도",F661)))</formula>
    </cfRule>
  </conditionalFormatting>
  <conditionalFormatting sqref="F735:G789">
    <cfRule type="containsText" dxfId="126" priority="47" operator="containsText" text="지역난방">
      <formula>NOT(ISERROR(SEARCH("지역난방",F735)))</formula>
    </cfRule>
  </conditionalFormatting>
  <conditionalFormatting sqref="F790:G790">
    <cfRule type="containsText" dxfId="125" priority="31" operator="containsText" text="지역난방">
      <formula>NOT(ISERROR(SEARCH("지역난방",F790)))</formula>
    </cfRule>
  </conditionalFormatting>
  <conditionalFormatting sqref="F791:G791">
    <cfRule type="containsText" dxfId="124" priority="27" operator="containsText" text="상수도">
      <formula>NOT(ISERROR(SEARCH("상수도",F791)))</formula>
    </cfRule>
  </conditionalFormatting>
  <conditionalFormatting sqref="F791:G792">
    <cfRule type="containsText" dxfId="123" priority="28" operator="containsText" text="지역난방">
      <formula>NOT(ISERROR(SEARCH("지역난방",F791)))</formula>
    </cfRule>
  </conditionalFormatting>
  <conditionalFormatting sqref="F792:G814">
    <cfRule type="containsText" dxfId="122" priority="7" operator="containsText" text="지역난방">
      <formula>NOT(ISERROR(SEARCH("지역난방",F792)))</formula>
    </cfRule>
  </conditionalFormatting>
  <conditionalFormatting sqref="F793:G810">
    <cfRule type="containsText" dxfId="121" priority="6" operator="containsText" text="상수도">
      <formula>NOT(ISERROR(SEARCH("상수도",F793)))</formula>
    </cfRule>
  </conditionalFormatting>
  <conditionalFormatting sqref="F815:G815">
    <cfRule type="containsText" dxfId="120" priority="3" operator="containsText" text="지역난방">
      <formula>NOT(ISERROR(SEARCH("지역난방",F815)))</formula>
    </cfRule>
    <cfRule type="containsText" dxfId="119" priority="2" operator="containsText" text="상수도">
      <formula>NOT(ISERROR(SEARCH("상수도",F815)))</formula>
    </cfRule>
  </conditionalFormatting>
  <conditionalFormatting sqref="F816:G1048576 F657">
    <cfRule type="containsText" dxfId="118" priority="137" operator="containsText" text="지역난방">
      <formula>NOT(ISERROR(SEARCH("지역난방",F657)))</formula>
    </cfRule>
  </conditionalFormatting>
  <conditionalFormatting sqref="G7:G11">
    <cfRule type="containsText" dxfId="117" priority="1306" operator="containsText" text="상수도">
      <formula>NOT(ISERROR(SEARCH("상수도",G7)))</formula>
    </cfRule>
    <cfRule type="containsText" dxfId="116" priority="1303" operator="containsText" text="지역난방">
      <formula>NOT(ISERROR(SEARCH("지역난방",G7)))</formula>
    </cfRule>
  </conditionalFormatting>
  <conditionalFormatting sqref="G486">
    <cfRule type="containsText" dxfId="115" priority="469" operator="containsText" text="지역난방">
      <formula>NOT(ISERROR(SEARCH("지역난방",G486)))</formula>
    </cfRule>
    <cfRule type="containsText" dxfId="114" priority="470" operator="containsText" text="상수도">
      <formula>NOT(ISERROR(SEARCH("상수도",G486)))</formula>
    </cfRule>
  </conditionalFormatting>
  <conditionalFormatting sqref="G494">
    <cfRule type="containsText" dxfId="113" priority="459" operator="containsText" text="지역난방">
      <formula>NOT(ISERROR(SEARCH("지역난방",G494)))</formula>
    </cfRule>
    <cfRule type="containsText" dxfId="112" priority="460" operator="containsText" text="상수도">
      <formula>NOT(ISERROR(SEARCH("상수도",G494)))</formula>
    </cfRule>
  </conditionalFormatting>
  <conditionalFormatting sqref="G495:G498">
    <cfRule type="containsText" dxfId="111" priority="458" operator="containsText" text="상수도">
      <formula>NOT(ISERROR(SEARCH("상수도",G495)))</formula>
    </cfRule>
  </conditionalFormatting>
  <conditionalFormatting sqref="G505:G506">
    <cfRule type="containsText" dxfId="110" priority="444" operator="containsText" text="상수도">
      <formula>NOT(ISERROR(SEARCH("상수도",G505)))</formula>
    </cfRule>
  </conditionalFormatting>
  <conditionalFormatting sqref="G517:G518">
    <cfRule type="containsText" dxfId="109" priority="432" operator="containsText" text="상수도">
      <formula>NOT(ISERROR(SEARCH("상수도",G517)))</formula>
    </cfRule>
  </conditionalFormatting>
  <conditionalFormatting sqref="G525:G527">
    <cfRule type="containsText" dxfId="108" priority="411" operator="containsText" text="상수도">
      <formula>NOT(ISERROR(SEARCH("상수도",G525)))</formula>
    </cfRule>
  </conditionalFormatting>
  <conditionalFormatting sqref="G529:G544 F531:F532">
    <cfRule type="containsText" dxfId="107" priority="413" operator="containsText" text="상수도">
      <formula>NOT(ISERROR(SEARCH("상수도",F529)))</formula>
    </cfRule>
  </conditionalFormatting>
  <conditionalFormatting sqref="G532">
    <cfRule type="containsText" dxfId="106" priority="409" operator="containsText" text="상수도">
      <formula>NOT(ISERROR(SEARCH("상수도",G532)))</formula>
    </cfRule>
  </conditionalFormatting>
  <conditionalFormatting sqref="G545:G579">
    <cfRule type="containsText" dxfId="105" priority="373" operator="containsText" text="상수도">
      <formula>NOT(ISERROR(SEARCH("상수도",G545)))</formula>
    </cfRule>
  </conditionalFormatting>
  <conditionalFormatting sqref="G582:G590">
    <cfRule type="containsText" dxfId="104" priority="365" operator="containsText" text="상수도">
      <formula>NOT(ISERROR(SEARCH("상수도",G582)))</formula>
    </cfRule>
  </conditionalFormatting>
  <conditionalFormatting sqref="G587:G594">
    <cfRule type="containsText" dxfId="103" priority="351" operator="containsText" text="상수도">
      <formula>NOT(ISERROR(SEARCH("상수도",G587)))</formula>
    </cfRule>
  </conditionalFormatting>
  <conditionalFormatting sqref="G596:G599">
    <cfRule type="containsText" dxfId="102" priority="307" operator="containsText" text="상수도">
      <formula>NOT(ISERROR(SEARCH("상수도",G596)))</formula>
    </cfRule>
  </conditionalFormatting>
  <conditionalFormatting sqref="G601:G605">
    <cfRule type="containsText" dxfId="101" priority="240" operator="containsText" text="상수도">
      <formula>NOT(ISERROR(SEARCH("상수도",G601)))</formula>
    </cfRule>
  </conditionalFormatting>
  <conditionalFormatting sqref="G610:G613">
    <cfRule type="containsText" dxfId="100" priority="243" operator="containsText" text="상수도">
      <formula>NOT(ISERROR(SEARCH("상수도",G610)))</formula>
    </cfRule>
  </conditionalFormatting>
  <conditionalFormatting sqref="G618:G620">
    <cfRule type="containsText" dxfId="99" priority="206" operator="containsText" text="상수도">
      <formula>NOT(ISERROR(SEARCH("상수도",G618)))</formula>
    </cfRule>
  </conditionalFormatting>
  <conditionalFormatting sqref="G620:G621">
    <cfRule type="containsText" dxfId="98" priority="200" operator="containsText" text="상수도">
      <formula>NOT(ISERROR(SEARCH("상수도",G620)))</formula>
    </cfRule>
  </conditionalFormatting>
  <conditionalFormatting sqref="G623:G625">
    <cfRule type="containsText" dxfId="97" priority="189" operator="containsText" text="상수도">
      <formula>NOT(ISERROR(SEARCH("상수도",G623)))</formula>
    </cfRule>
  </conditionalFormatting>
  <conditionalFormatting sqref="G626:G632">
    <cfRule type="containsText" dxfId="96" priority="184" operator="containsText" text="상수도">
      <formula>NOT(ISERROR(SEARCH("상수도",G626)))</formula>
    </cfRule>
  </conditionalFormatting>
  <conditionalFormatting sqref="G636:G641">
    <cfRule type="containsText" dxfId="95" priority="175" operator="containsText" text="상수도">
      <formula>NOT(ISERROR(SEARCH("상수도",G636)))</formula>
    </cfRule>
  </conditionalFormatting>
  <conditionalFormatting sqref="G643:G652">
    <cfRule type="containsText" dxfId="94" priority="157" operator="containsText" text="상수도">
      <formula>NOT(ISERROR(SEARCH("상수도",G643)))</formula>
    </cfRule>
  </conditionalFormatting>
  <conditionalFormatting sqref="G644:G652">
    <cfRule type="containsText" dxfId="93" priority="156" operator="containsText" text="지역난방">
      <formula>NOT(ISERROR(SEARCH("지역난방",G644)))</formula>
    </cfRule>
  </conditionalFormatting>
  <conditionalFormatting sqref="G657">
    <cfRule type="containsText" dxfId="92" priority="139" operator="containsText" text="지역난방">
      <formula>NOT(ISERROR(SEARCH("지역난방",G657)))</formula>
    </cfRule>
  </conditionalFormatting>
  <conditionalFormatting sqref="G790">
    <cfRule type="containsText" dxfId="91" priority="30" operator="containsText" text="상수도">
      <formula>NOT(ISERROR(SEARCH("상수도",G790)))</formula>
    </cfRule>
  </conditionalFormatting>
  <conditionalFormatting sqref="M4:M36">
    <cfRule type="cellIs" dxfId="90" priority="1305" operator="greaterThan">
      <formula>50000000</formula>
    </cfRule>
  </conditionalFormatting>
  <conditionalFormatting sqref="M38:M833">
    <cfRule type="cellIs" dxfId="89" priority="1" operator="greaterThan">
      <formula>50000000</formula>
    </cfRule>
  </conditionalFormatting>
  <conditionalFormatting sqref="U1:U1048576">
    <cfRule type="containsText" dxfId="88" priority="5" operator="containsText" text="하도급">
      <formula>NOT(ISERROR(SEARCH("하도급",U1)))</formula>
    </cfRule>
    <cfRule type="containsText" dxfId="87" priority="4" operator="containsText" text="원도급">
      <formula>NOT(ISERROR(SEARCH("원도급",U1)))</formula>
    </cfRule>
  </conditionalFormatting>
  <hyperlinks>
    <hyperlink ref="Q18" r:id="rId1" display="\\Desktop-yang\e\(주)대호스토퍼\0영업사항(견적서)\AA지역별 견적현황\2021년\경상남도\창원(800Ax1P, 강관)-수자원기술" xr:uid="{00000000-0004-0000-0000-000000000000}"/>
    <hyperlink ref="Q19" r:id="rId2" display="\\Desktop-yang\e\(주)대호스토퍼\0영업사항(견적서)\AA지역별 견적현황\2021년\경기북부\고양(450A, 900A 천공, 강관)-고양시, (주)동명건설" xr:uid="{00000000-0004-0000-0000-000001000000}"/>
    <hyperlink ref="Q20" r:id="rId3" display="\\Desktop-yang\e\(주)대호스토퍼\0영업사항(견적서)\AA지역별 견적현황\2021년\충청북도\청주(1650Ax1200A천공)-수공,SK하이닉스,신양건설" xr:uid="{00000000-0004-0000-0000-000002000000}"/>
    <hyperlink ref="Q28" r:id="rId4" display="\\Desktop-yang\e\(주)대호스토퍼\0영업사항(견적서)\AA지역별 견적현황\2021년\경기북부\고양(450A, 900A 천공, 강관)-고양시, (주)동명건설" xr:uid="{00000000-0004-0000-0000-000003000000}"/>
    <hyperlink ref="Q17" r:id="rId5" display="\\Desktop-yang\e\(주)대호스토퍼\0영업사항(견적서)\AA지역별 견적현황\2021년\경상남도\함안(600A, 주철)-수공,함안군,새천년종합건설" xr:uid="{00000000-0004-0000-0000-000004000000}"/>
    <hyperlink ref="Q15" r:id="rId6" display="\\Desktop-yang\e\(주)대호스토퍼\0영업사항(견적서)\AA지역별 견적현황\2021년\지역난방\GS파워\500Ax8P, 150Ax12P-GS네오텍(21.06.02)" xr:uid="{00000000-0004-0000-0000-000005000000}"/>
    <hyperlink ref="Q16" r:id="rId7" display="\\Desktop-yang\e\(주)대호스토퍼\0영업사항(견적서)\AA지역별 견적현황\2021년\경기북부\파주(350A~900A)-파주시,대방건설" xr:uid="{00000000-0004-0000-0000-000006000000}"/>
    <hyperlink ref="Q21" r:id="rId8" display="\\Desktop-yang\e\(주)대호스토퍼\0영업사항(견적서)\AA지역별 견적현황\2021년\지역난방\GS파워\2021년 무차단공사 입찰" xr:uid="{00000000-0004-0000-0000-000007000000}"/>
    <hyperlink ref="Q22" r:id="rId9" display="\\Desktop-yang\e\(주)대호스토퍼\0영업사항(견적서)\AA지역별 견적현황\2021년\지역난방\한국지역난방공사\2021년 열수송관 천공 및 차단공사(1권역)" xr:uid="{00000000-0004-0000-0000-000008000000}"/>
    <hyperlink ref="Q23" r:id="rId10" display="\\Desktop-yang\e\(주)대호스토퍼\0영업사항(견적서)\AA지역별 견적현황\2021년\지역난방\한국지역난방공사\2021년 열수송관 천공 및 차단공사(1권역)" xr:uid="{00000000-0004-0000-0000-000009000000}"/>
    <hyperlink ref="Q24" r:id="rId11" display="\\Desktop-yang\e\(주)대호스토퍼\0영업사항(견적서)\AA지역별 견적현황\2021년\지역난방\한국지역난방공사\2021년 열수송관 천공 및 차단공사(1권역)" xr:uid="{00000000-0004-0000-0000-00000A000000}"/>
    <hyperlink ref="Q25" r:id="rId12" display="\\Desktop-yang\e\(주)대호스토퍼\0영업사항(견적서)\AA지역별 견적현황\2021년\지역난방\GS파워\2021년 무차단공사 입찰" xr:uid="{00000000-0004-0000-0000-00000B000000}"/>
    <hyperlink ref="Q27" r:id="rId13" display="\\Desktop-yang\e\(주)대호스토퍼\0영업사항(견적서)\AA지역별 견적현황\2021년\지역난방\한국지역난방공사\2021년 열수송관 천공 및 차단공사(1권역)" xr:uid="{00000000-0004-0000-0000-00000C000000}"/>
    <hyperlink ref="Q29" r:id="rId14" display="\\Desktop-yang\e\(주)대호스토퍼\0영업사항(견적서)\AA지역별 견적현황\2021년\지역난방\GS파워\2021년 무차단공사 입찰" xr:uid="{00000000-0004-0000-0000-00000D000000}"/>
    <hyperlink ref="Q30" r:id="rId15" display="\\Desktop-yang\e\(주)대호스토퍼\0영업사항(견적서)\AA지역별 견적현황\2021년\지역난방\한국지역난방공사\2021년 열수송관 천공 및 차단공사(1권역)" xr:uid="{00000000-0004-0000-0000-00000E000000}"/>
    <hyperlink ref="Q31" r:id="rId16" display="\\Desktop-yang\e\(주)대호스토퍼\0영업사항(견적서)\AA지역별 견적현황\2021년\지역난방\한국지역난방공사\2021년 열수송관 천공 및 차단공사(1권역)" xr:uid="{00000000-0004-0000-0000-00000F000000}"/>
    <hyperlink ref="Q32" r:id="rId17" display="\\Desktop-yang\e\(주)대호스토퍼\0영업사항(견적서)\AA지역별 견적현황\2021년\경상북도\포항(1350Ax700A, 700Ax1P)-수공, 그린개발" xr:uid="{00000000-0004-0000-0000-000010000000}"/>
    <hyperlink ref="Q33" r:id="rId18" display="\\Desktop-yang\e\(주)대호스토퍼\0영업사항(견적서)\AA지역별 견적현황\2021년\지역난방\GS파워\2021년 무차단공사 입찰" xr:uid="{00000000-0004-0000-0000-000011000000}"/>
    <hyperlink ref="Q34" r:id="rId19" display="\\Desktop-yang\e\(주)대호스토퍼\0영업사항(견적서)\AA지역별 견적현황\2021년\경기남서부\안산(500A, 600A, 주철)-안산시,신광기업사, 한두건설" xr:uid="{00000000-0004-0000-0000-000012000000}"/>
    <hyperlink ref="Q38" r:id="rId20" display="\\Desktop-yang\e\(주)대호스토퍼\0영업사항(견적서)\AA지역별 견적현황\2021년\지역난방\한국지역난방공사\2021년 열수송관 천공 및 차단공사(1권역)" xr:uid="{00000000-0004-0000-0000-000013000000}"/>
    <hyperlink ref="Q39" r:id="rId21" display="\\Desktop-yang\e\(주)대호스토퍼\0영업사항(견적서)\AA지역별 견적현황\2021년\지역난방\GS파워\2021년 무차단공사 입찰" xr:uid="{00000000-0004-0000-0000-000014000000}"/>
    <hyperlink ref="Q14" r:id="rId22" display="\\Desktop-yang\e\(주)대호스토퍼\0영업사항(견적서)\AA지역별 견적현황\2021년\지역난방\GS파워\2021년 무차단공사 입찰" xr:uid="{00000000-0004-0000-0000-000015000000}"/>
    <hyperlink ref="Q40" r:id="rId23" display="\\Desktop-yang\e\(주)대호스토퍼\0영업사항(견적서)\AA지역별 견적현황\2021년\지역난방\GS파워\500Ax8P, 150Ax12P-GS네오텍(21.06.02)" xr:uid="{00000000-0004-0000-0000-000016000000}"/>
    <hyperlink ref="Q13" r:id="rId24" display="\\Desktop-yang\e\(주)대호스토퍼\0영업사항(견적서)\AA지역별 견적현황\2021년\충청남도\보령현대화(1200A, 300A)-수공, 건화" xr:uid="{00000000-0004-0000-0000-000017000000}"/>
    <hyperlink ref="Q41" r:id="rId25" display="\\Desktop-yang\e\(주)대호스토퍼\0영업사항(견적서)\AA지역별 견적현황\2021년\경상북도\포항(1350Ax700A, 700Ax1P)-수공, 그린개발" xr:uid="{00000000-0004-0000-0000-000018000000}"/>
    <hyperlink ref="Q42" r:id="rId26" display="\\Desktop-yang\e\(주)대호스토퍼\0영업사항(견적서)\AA지역별 견적현황\2021년\지역난방\GS파워\2021년 무차단공사 입찰" xr:uid="{00000000-0004-0000-0000-000019000000}"/>
    <hyperlink ref="Q43" r:id="rId27" display="\\Desktop-yang\e\(주)대호스토퍼\0영업사항(견적서)\AA지역별 견적현황\2021년\지역난방\GS파워\2021년 무차단공사 입찰" xr:uid="{00000000-0004-0000-0000-00001A000000}"/>
    <hyperlink ref="Q12" r:id="rId28" display="\\Desktop-yang\e\(주)대호스토퍼\0영업사항(견적서)\AA지역별 견적현황\2021년\송유관\인천국제공항-문화지엔코,세보엠이씨\문화지엔코" xr:uid="{00000000-0004-0000-0000-00001B000000}"/>
    <hyperlink ref="Q44" r:id="rId29" display="\\Desktop-yang\e\(주)대호스토퍼\0영업사항(견적서)\AA지역별 견적현황\2021년\지역난방\GS파워\2021년 무차단공사 입찰" xr:uid="{00000000-0004-0000-0000-00001C000000}"/>
    <hyperlink ref="Q36" r:id="rId30" display="\\Desktop-yang\e\(주)대호스토퍼\0영업사항(견적서)\AA지역별 견적현황\2021년\도시가스\포항(600Ax1P)-태광-21.07.13" xr:uid="{00000000-0004-0000-0000-00001D000000}"/>
    <hyperlink ref="Q46" r:id="rId31" display="\\Desktop-yang\e\(주)대호스토퍼\0영업사항(견적서)\AA지역별 견적현황\2021년\지역난방\GS파워\승재공영\125Ax65A 분기티천공-210915" xr:uid="{00000000-0004-0000-0000-00001E000000}"/>
    <hyperlink ref="Q5" r:id="rId32" display="\\Desktop-yang\e\(주)대호스토퍼\0영업사항(견적서)\AA지역별 견적현황\2020년\충청남도\대청III5공구-수공,동부건설\기성-2020.10" xr:uid="{00000000-0004-0000-0000-00001F000000}"/>
    <hyperlink ref="Q7" r:id="rId33" display="\\Desktop-yang\e\(주)대호스토퍼\0영업사항(견적서)\AA지역별 견적현황\2021년\충청북도\충주댐계통-수자원공사,계룡,동부,한신\2공구(1500A)-계룡건설" xr:uid="{00000000-0004-0000-0000-000020000000}"/>
    <hyperlink ref="Q6" r:id="rId34" display="\\Desktop-yang\e\(주)대호스토퍼\0영업사항(견적서)\AA지역별 견적현황\2020년\충청남도\대청III(2공구)-수공,동부건설\계약" xr:uid="{00000000-0004-0000-0000-000021000000}"/>
    <hyperlink ref="Q10" r:id="rId35" xr:uid="{00000000-0004-0000-0000-000022000000}"/>
    <hyperlink ref="Q11" r:id="rId36" display="\\Desktop-yang\e\(주)대호스토퍼\0영업사항(견적서)\AA지역별 견적현황\2021년\송유관\인천국제공항-문화지엔코,세보엠이씨\문화지엔코" xr:uid="{00000000-0004-0000-0000-000023000000}"/>
    <hyperlink ref="Q26" r:id="rId37" display="\\Desktop-yang\e\(주)대호스토퍼\0영업사항(견적서)\AA지역별 견적현황\2021년\지역난방\한국지역난방공사\2021년 열수송관 천공 및 차단공사(1권역)" xr:uid="{00000000-0004-0000-0000-000024000000}"/>
    <hyperlink ref="Q45" r:id="rId38" display="\\Desktop-yang\e\(주)대호스토퍼\0영업사항(견적서)\AA지역별 견적현황\2021년\지역난방\한국지역난방공사\2021년 열수송관 천공 및 차단공사(1권역)" xr:uid="{00000000-0004-0000-0000-000025000000}"/>
    <hyperlink ref="Q48" r:id="rId39" display="\\Desktop-yang\e\(주)대호스토퍼\0영업사항(견적서)\AA지역별 견적현황\2021년\지역난방\한국지역난방공사\2021년 열수송관 천공 및 차단공사(1권역)" xr:uid="{00000000-0004-0000-0000-000026000000}"/>
    <hyperlink ref="Q49" r:id="rId40" display="\\Desktop-yang\e\(주)대호스토퍼\0영업사항(견적서)\AA지역별 견적현황\2021년\강원도\동해(1000AxD,강관)-수공, 동일건설, 세명건설" xr:uid="{00000000-0004-0000-0000-000027000000}"/>
    <hyperlink ref="Q50" r:id="rId41" display="\\Desktop-yang\e\(주)대호스토퍼\0영업사항(견적서)\AA지역별 견적현황\2021년\지역난방\한국지역난방공사\2021년 열수송관 천공 및 차단공사(1권역)" xr:uid="{00000000-0004-0000-0000-000028000000}"/>
    <hyperlink ref="Q51" r:id="rId42" display="\\Desktop-yang\e\(주)대호스토퍼\0영업사항(견적서)\AA지역별 견적현황\2021년\지역난방\GS파워\2021년 무차단공사 입찰" xr:uid="{00000000-0004-0000-0000-000029000000}"/>
    <hyperlink ref="Q52" r:id="rId43" display="\\Desktop-yang\e\(주)대호스토퍼\0영업사항(견적서)\AA지역별 견적현황\2021년\지역난방\GS파워\2021년 무차단공사 입찰" xr:uid="{00000000-0004-0000-0000-00002A000000}"/>
    <hyperlink ref="Q53" r:id="rId44" display="\\Desktop-yang\e\(주)대호스토퍼\0영업사항(견적서)\AA지역별 견적현황\2022년\경상북도\포항공업용수도2차(1350A PC관 외)-수공,화인종합건설\" xr:uid="{00000000-0004-0000-0000-00002B000000}"/>
    <hyperlink ref="Q55" r:id="rId45" display="\\Desktop-yang\e\(주)대호스토퍼\0영업사항(견적서)\AA지역별 견적현황\2021년\지역난방\한국지역난방공사\2021년 열수송관 천공 및 차단공사(1권역)" xr:uid="{00000000-0004-0000-0000-00002C000000}"/>
    <hyperlink ref="Q56" r:id="rId46" display="\\Desktop-yang\e\(주)대호스토퍼\0영업사항(견적서)\AA지역별 견적현황\2021년\지역난방\GS파워\2021년 무차단공사 입찰" xr:uid="{00000000-0004-0000-0000-00002D000000}"/>
    <hyperlink ref="Q57" r:id="rId47" display="\\Desktop-yang\e\(주)대호스토퍼\0영업사항(견적서)\AA지역별 견적현황\2021년\지역난방\한국지역난방공사\2021년 열수송관 천공 및 차단공사(1권역)" xr:uid="{00000000-0004-0000-0000-00002E000000}"/>
    <hyperlink ref="Q58" r:id="rId48" display="\\Desktop-yang\e\(주)대호스토퍼\0영업사항(견적서)\AA지역별 견적현황\2021년\지역난방\GS파워\2021년 무차단공사 입찰" xr:uid="{00000000-0004-0000-0000-00002F000000}"/>
    <hyperlink ref="Q60" r:id="rId49" display="\\Desktop-yang\e\(주)대호스토퍼\0영업사항(견적서)\AA지역별 견적현황\2021년\지역난방\한국지역난방공사\2021년 열수송관 천공 및 차단공사(1권역)" xr:uid="{00000000-0004-0000-0000-000030000000}"/>
    <hyperlink ref="Q59" r:id="rId50" display="\\Desktop-yang\e\(주)대호스토퍼\0영업사항(견적서)\AA지역별 견적현황\2021년\지역난방\한국지역난방공사\2021년 열수송관 천공 및 차단공사(1권역)" xr:uid="{00000000-0004-0000-0000-000031000000}"/>
    <hyperlink ref="Q61" r:id="rId51" display="\\Desktop-yang\e\(주)대호스토퍼\0영업사항(견적서)\AA지역별 견적현황\2021년\지역난방\안산도시개발\안산(700A,800A)-삼천리" xr:uid="{00000000-0004-0000-0000-000032000000}"/>
    <hyperlink ref="Q62" r:id="rId52" display="\\Desktop-yang\e\(주)대호스토퍼\0영업사항(견적서)\AA지역별 견적현황\2021년\지역난방\안산도시개발\안산(700A,800A)-삼천리" xr:uid="{00000000-0004-0000-0000-000033000000}"/>
    <hyperlink ref="Q63" r:id="rId53" display="\\Desktop-yang\e\(주)대호스토퍼\0영업사항(견적서)\AA지역별 견적현황\2021년\충청북도\충주(이천~문경, 200A~1350A)-한국철도시설공단,현대건설,대성기공" xr:uid="{00000000-0004-0000-0000-000034000000}"/>
    <hyperlink ref="Q65" r:id="rId54" display="\\Desktop-yang\e\(주)대호스토퍼\0영업사항(견적서)\AA지역별 견적현황\2021년\지역난방\GS파워\500Ax8P, 150Ax12P-GS네오텍(21.06.02)" xr:uid="{00000000-0004-0000-0000-000035000000}"/>
    <hyperlink ref="Q66" r:id="rId55" display="\\Desktop-yang\e\(주)대호스토퍼\0영업사항(견적서)\AA지역별 견적현황\2021년\지역난방\한국지역난방공사\2021년 열수송관 천공 및 차단공사(1권역)" xr:uid="{00000000-0004-0000-0000-000036000000}"/>
    <hyperlink ref="Q67" r:id="rId56" display="\\Desktop-yang\e\(주)대호스토퍼\0영업사항(견적서)\AA지역별 견적현황\2021년\지역난방\한국지역난방공사\2021년 열수송관 천공 및 차단공사(1권역)" xr:uid="{00000000-0004-0000-0000-000037000000}"/>
    <hyperlink ref="Q68" r:id="rId57" display="\\Desktop-yang\e\(주)대호스토퍼\0영업사항(견적서)\AA지역별 견적현황\2021년\경상북도\영천댐 안전성강화사업(900A, 강관)-삼부토건" xr:uid="{00000000-0004-0000-0000-000038000000}"/>
    <hyperlink ref="Q69" r:id="rId58" display="\\Desktop-yang\e\(주)대호스토퍼\0영업사항(견적서)\AA지역별 견적현황\2021년\지역난방\한국지역난방공사\2021년 열수송관 천공 및 차단공사(1권역)" xr:uid="{00000000-0004-0000-0000-000039000000}"/>
    <hyperlink ref="Q47" r:id="rId59" display="\\Desktop-yang\e\(주)대호스토퍼\0영업사항(견적서)\AA지역별 견적현황\2021년\송유관\인천국제공항-문화지엔코,세보엠이씨\문화지엔코" xr:uid="{00000000-0004-0000-0000-00003A000000}"/>
    <hyperlink ref="Q70" r:id="rId60" display="\\Desktop-yang\e\(주)대호스토퍼\0영업사항(견적서)\AA지역별 견적현황\2021년\송유관\인천국제공항-문화지엔코,세보엠이씨\문화지엔코" xr:uid="{00000000-0004-0000-0000-00003B000000}"/>
    <hyperlink ref="Q71" r:id="rId61" display="\\Desktop-yang\e\(주)대호스토퍼\0영업사항(견적서)\AA지역별 견적현황\2021년\지역난방\GS파워\2021년 무차단공사 입찰" xr:uid="{00000000-0004-0000-0000-00003C000000}"/>
    <hyperlink ref="Q72" r:id="rId62" display="\\Desktop-yang\e\(주)대호스토퍼\0영업사항(견적서)\AA지역별 견적현황\2021년\경기남서부\인천 검단 반석건설 강관700" xr:uid="{00000000-0004-0000-0000-00003D000000}"/>
    <hyperlink ref="Q73" r:id="rId63" display="\\Desktop-yang\e\(주)대호스토퍼\0영업사항(견적서)\AA지역별 견적현황\2021년\지역난방\GS파워\2021년 무차단공사 입찰" xr:uid="{00000000-0004-0000-0000-00003E000000}"/>
    <hyperlink ref="Q74" r:id="rId64" display="\\Desktop-yang\e\(주)대호스토퍼\0영업사항(견적서)\AA지역별 견적현황\2021년\지역난방\한국지역난방공사\2021년 열수송관 천공 및 차단공사(1권역)" xr:uid="{00000000-0004-0000-0000-00003F000000}"/>
    <hyperlink ref="Q75" r:id="rId65" display="\\Desktop-yang\e\(주)대호스토퍼\0영업사항(견적서)\AA지역별 견적현황\2021년\지역난방\한국지역난방공사\2021년 열수송관 천공 및 차단공사(1권역)" xr:uid="{00000000-0004-0000-0000-000040000000}"/>
    <hyperlink ref="Q76" r:id="rId66" display="\\Desktop-yang\e\(주)대호스토퍼\0영업사항(견적서)\AA지역별 견적현황\2021년\지역난방\한국지역난방공사\2021년 열수송관 천공 및 차단공사(1권역)" xr:uid="{00000000-0004-0000-0000-000041000000}"/>
    <hyperlink ref="Q78" r:id="rId67" display="\\Desktop-yang\e\(주)대호스토퍼\0영업사항(견적서)\AA지역별 견적현황\2021년\지역난방\한국지역난방공사\2021년 열수송관 천공 및 차단공사(1권역)" xr:uid="{00000000-0004-0000-0000-000042000000}"/>
    <hyperlink ref="Q79" r:id="rId68" display="\\Desktop-yang\e\(주)대호스토퍼\0영업사항(견적서)\AA지역별 견적현황\2021년\지역난방\한국지역난방공사\2021년 열수송관 천공 및 차단공사(1권역)" xr:uid="{00000000-0004-0000-0000-000043000000}"/>
    <hyperlink ref="Q77" r:id="rId69" display="\\Desktop-yang\e\(주)대호스토퍼\0영업사항(견적서)\AA지역별 견적현황\2021년\충청북도\충주댐계통-수자원공사,계룡,동부,한신\4공구(1000A,1100A)-한신공영" xr:uid="{00000000-0004-0000-0000-000044000000}"/>
    <hyperlink ref="Q80" r:id="rId70" display="\\Desktop-yang\e\(주)대호스토퍼\0영업사항(견적서)\AA지역별 견적현황\2021년\지역난방\GS파워\2021년 무차단공사 입찰" xr:uid="{00000000-0004-0000-0000-000045000000}"/>
    <hyperlink ref="Q82" r:id="rId71" display="\\Desktop-yang\e\(주)대호스토퍼\0영업사항(견적서)\AA지역별 견적현황\2020년\경상남도\울산(2200Ax1500A)-수공,하나기술단,해광건설" xr:uid="{00000000-0004-0000-0000-000046000000}"/>
    <hyperlink ref="Q84" r:id="rId72" display="\\Desktop-yang\e\(주)대호스토퍼\0영업사항(견적서)\AA지역별 견적현황\2021년\경기북부\파주(350A~900A)-파주시,대방건설" xr:uid="{00000000-0004-0000-0000-000047000000}"/>
    <hyperlink ref="Q85" r:id="rId73" display="\\Desktop-yang\e\(주)대호스토퍼\0영업사항(견적서)\AA지역별 견적현황\2021년\경기북부\파주(350A~900A)-파주시,대방건설" xr:uid="{00000000-0004-0000-0000-000048000000}"/>
    <hyperlink ref="Q83" r:id="rId74" display="\\Desktop-yang\e\(주)대호스토퍼\0영업사항(견적서)\AA지역별 견적현황\2021년\지역난방\한국지역난방공사\2021년 열수송관 천공 및 차단공사(1권역)" xr:uid="{00000000-0004-0000-0000-000049000000}"/>
    <hyperlink ref="Q86" r:id="rId75" display="\\Desktop-yang\e\(주)대호스토퍼\0영업사항(견적서)\AA지역별 견적현황\2021년\지역난방\한국지역난방공사\2021년 열수송관 천공 및 차단공사(1권역)" xr:uid="{00000000-0004-0000-0000-00004A000000}"/>
    <hyperlink ref="Q87" r:id="rId76" display="\\Desktop-yang\e\(주)대호스토퍼\0영업사항(견적서)\AA지역별 견적현황\2021년\지역난방\GS파워\2021년 무차단공사 입찰" xr:uid="{00000000-0004-0000-0000-00004B000000}"/>
    <hyperlink ref="Q88" r:id="rId77" display="\\Desktop-yang\e\(주)대호스토퍼\0영업사항(견적서)\AA지역별 견적현황\2021년\지역난방\한국지역난방공사\2021년 열수송관 천공 및 차단공사(1권역)" xr:uid="{00000000-0004-0000-0000-00004C000000}"/>
    <hyperlink ref="Q89" r:id="rId78" display="\\Desktop-yang\e\(주)대호스토퍼\0영업사항(견적서)\AA지역별 견적현황\2021년\지역난방\한국지역난방공사\2021년 열수송관 천공 및 차단공사(1권역)" xr:uid="{00000000-0004-0000-0000-00004D000000}"/>
    <hyperlink ref="Q8" r:id="rId79" display="\\Desktop-yang\e\(주)대호스토퍼\0영업사항(견적서)\AA지역별 견적현황\2021년\충청남도\대청III5공구-수공,동부건설" xr:uid="{00000000-0004-0000-0000-00004E000000}"/>
    <hyperlink ref="Q91" r:id="rId80" display="\\Desktop-yang\e\(주)대호스토퍼\0영업사항(견적서)\AA지역별 견적현황\2021년\충청남도\천안~아산(1500A공업용수)-수공,대우건설" xr:uid="{00000000-0004-0000-0000-00004F000000}"/>
    <hyperlink ref="Q92" r:id="rId81" display="\\Desktop-yang\e\(주)대호스토퍼\0영업사항(견적서)\AA지역별 견적현황\2021년\충청남도\천안~아산(1500A공업용수)-수공,대우건설" xr:uid="{00000000-0004-0000-0000-000050000000}"/>
    <hyperlink ref="Q93" r:id="rId82" display="\\Desktop-yang\e\(주)대호스토퍼\0영업사항(견적서)\AA지역별 견적현황\2021년\지역난방\GS파워\2021년 무차단공사 입찰" xr:uid="{00000000-0004-0000-0000-000051000000}"/>
    <hyperlink ref="Q94" r:id="rId83" display="\\Desktop-yang\e\(주)대호스토퍼\0영업사항(견적서)\AA지역별 견적현황\2021년\지역난방\한국지역난방공사\2021년 열수송관 천공 및 차단공사(1권역)" xr:uid="{00000000-0004-0000-0000-000052000000}"/>
    <hyperlink ref="Q95" r:id="rId84" display="\\Desktop-yang\e\(주)대호스토퍼\0영업사항(견적서)\AA지역별 견적현황\2021년\지역난방\한국지역난방공사\2021년 열수송관 천공 및 차단공사(1권역)" xr:uid="{00000000-0004-0000-0000-000053000000}"/>
    <hyperlink ref="Q96" r:id="rId85" display="\\Desktop-yang\e\(주)대호스토퍼\0영업사항(견적서)\AA지역별 견적현황\2021년\지역난방\GS파워\2021년 무차단공사 입찰" xr:uid="{00000000-0004-0000-0000-000054000000}"/>
    <hyperlink ref="Q98" r:id="rId86" display="\\Desktop-yang\e\(주)대호스토퍼\0영업사항(견적서)\AA지역별 견적현황\2021년\지역난방\GS파워\2021년 무차단공사 입찰" xr:uid="{00000000-0004-0000-0000-000055000000}"/>
    <hyperlink ref="Q97" r:id="rId87" display="\\Desktop-yang\e\(주)대호스토퍼\0영업사항(견적서)\AA지역별 견적현황\2021년\지역난방\GS파워\승재공영\300Ax150Ax2P 분기티천공-211112" xr:uid="{00000000-0004-0000-0000-000056000000}"/>
    <hyperlink ref="Q35" r:id="rId88" display="\\Desktop-yang\e\(주)대호스토퍼\0영업사항(견적서)\AA지역별 견적현황\2021년\경기남서부\안산(500A, 600A, 주철)-안산시,신광기업사, 한두건설" xr:uid="{00000000-0004-0000-0000-000057000000}"/>
    <hyperlink ref="Q99" r:id="rId89" display="\\Desktop-yang\e\(주)대호스토퍼\0영업사항(견적서)\AA지역별 견적현황\2021년\경기남서부\경기서남권 4단계 밸브교체공사(2200A)-수공경기서남권, 한영ENG" xr:uid="{00000000-0004-0000-0000-000058000000}"/>
    <hyperlink ref="Q101" r:id="rId90" display="\\Desktop-yang\e\(주)대호스토퍼\0영업사항(견적서)\AA지역별 견적현황\2021년\지역난방\한국지역난방공사\2021년 열수송관 천공 및 차단공사(1권역)" xr:uid="{00000000-0004-0000-0000-000059000000}"/>
    <hyperlink ref="Q102" r:id="rId91" display="\\Desktop-yang\e\(주)대호스토퍼\0영업사항(견적서)\AA지역별 견적현황\2021년\충청남도\부여(강 400x400, 주300x300)-수공 충남중부권, 경도" xr:uid="{00000000-0004-0000-0000-00005A000000}"/>
    <hyperlink ref="Q103" r:id="rId92" display="\\Desktop-yang\e\(주)대호스토퍼\0영업사항(견적서)\AA지역별 견적현황\2021년\충청남도\부여(강 400x400, 주300x300)-수공 충남중부권, 경도" xr:uid="{00000000-0004-0000-0000-00005B000000}"/>
    <hyperlink ref="Q104" r:id="rId93" display="\\Desktop-yang\e\(주)대호스토퍼\0영업사항(견적서)\AA지역별 견적현황\2021년\지역난방\GS파워\2021년 무차단공사 입찰" xr:uid="{00000000-0004-0000-0000-00005C000000}"/>
    <hyperlink ref="Q90" r:id="rId94" display="\\Desktop-yang\e\(주)대호스토퍼\0영업사항(견적서)\AA지역별 견적현황\2021년\지역난방\한국지역난방공사\2021년 열수송관 천공 및 차단공사(1권역)" xr:uid="{00000000-0004-0000-0000-00005D000000}"/>
    <hyperlink ref="Q105" r:id="rId95" display="\\Desktop-yang\e\(주)대호스토퍼\0영업사항(견적서)\AA지역별 견적현황\2021년\경기남동부\수지정수장(1800Ax1650A 천공 외)-수공,대저건설" xr:uid="{00000000-0004-0000-0000-00005E000000}"/>
    <hyperlink ref="Q107" r:id="rId96" display="\\Desktop-yang\e\(주)대호스토퍼\0영업사항(견적서)\AA지역별 견적현황\2021년\지역난방\한국지역난방공사\2021년 열수송관 천공 및 차단공사(1권역)" xr:uid="{00000000-0004-0000-0000-00005F000000}"/>
    <hyperlink ref="Q108" r:id="rId97" display="\\Desktop-yang\e\(주)대호스토퍼\0영업사항(견적서)\AA지역별 견적현황\2021년\지역난방\GS파워\2021년 무차단공사 입찰" xr:uid="{00000000-0004-0000-0000-000060000000}"/>
    <hyperlink ref="Q109" r:id="rId98" display="\\Desktop-yang\e\(주)대호스토퍼\0영업사항(견적서)\AA지역별 견적현황\2021년\지역난방\GS파워\2021년 무차단공사 입찰" xr:uid="{00000000-0004-0000-0000-000061000000}"/>
    <hyperlink ref="Q110" r:id="rId99" display="\\Desktop-yang\e\(주)대호스토퍼\0영업사항(견적서)\AA지역별 견적현황\2021년\지역난방\GS파워\2021년 무차단공사 입찰" xr:uid="{00000000-0004-0000-0000-000062000000}"/>
    <hyperlink ref="Q111" r:id="rId100" display="\\Desktop-yang\e\(주)대호스토퍼\0영업사항(견적서)\AA지역별 견적현황\2021년\지역난방\한국지역난방공사\2021년 열수송관 천공 및 차단공사(1권역)" xr:uid="{00000000-0004-0000-0000-000063000000}"/>
    <hyperlink ref="Q112" r:id="rId101" display="\\Desktop-yang\e\(주)대호스토퍼\0영업사항(견적서)\AA지역별 견적현황\2021년\지역난방\한국지역난방공사\2021년 열수송관 천공 및 차단공사(1권역)" xr:uid="{00000000-0004-0000-0000-000064000000}"/>
    <hyperlink ref="Q115" r:id="rId102" display="\\Desktop-yang\e\(주)대호스토퍼\0영업사항(견적서)\AA지역별 견적현황\2021년\지역난방\한국지역난방공사\2021년 열수송관 천공 및 차단공사(1권역)" xr:uid="{00000000-0004-0000-0000-000065000000}"/>
    <hyperlink ref="Q113" r:id="rId103" display="\\Desktop-yang\e\(주)대호스토퍼\0영업사항(견적서)\AA지역별 견적현황\2021년\지역난방\양주(750Ax16P)-대륜발전,유피이엔지,승재공영,광장이엠씨\아전이엔씨" xr:uid="{00000000-0004-0000-0000-000066000000}"/>
    <hyperlink ref="Q114" r:id="rId104" display="\\Desktop-yang\e\(주)대호스토퍼\0영업사항(견적서)\AA지역별 견적현황\2021년\지역난방\양주(750Ax16P)-대륜발전,유피이엔지,승재공영,광장이엠씨\아전이엔씨" xr:uid="{00000000-0004-0000-0000-000067000000}"/>
    <hyperlink ref="Q116" r:id="rId105" display="\\Desktop-yang\e\(주)대호스토퍼\0영업사항(견적서)\AA지역별 견적현황\2020년\경상남도\울산(2200Ax1500A)-수공,하나기술단,해광건설" xr:uid="{00000000-0004-0000-0000-000068000000}"/>
    <hyperlink ref="Q117" r:id="rId106" display="\\Desktop-yang\e\(주)대호스토퍼\0영업사항(견적서)\AA지역별 견적현황\2021년\지역난방\한국지역난방공사\2021년 열수송관 천공 및 차단공사(1권역)" xr:uid="{00000000-0004-0000-0000-000069000000}"/>
    <hyperlink ref="Q118" r:id="rId107" display="\\Desktop-yang\e\(주)대호스토퍼\0영업사항(견적서)\AA지역별 견적현황\2021년\송유관\의왕(200x50 TOR천공)-남양진흥기업" xr:uid="{00000000-0004-0000-0000-00006A000000}"/>
    <hyperlink ref="Q81" r:id="rId108" display="\\Desktop-yang\e\(주)대호스토퍼\0영업사항(견적서)\AA지역별 견적현황\2021년\기타\인천국제공항(가스 125A,100A)-광장EMC, 태광PST" xr:uid="{00000000-0004-0000-0000-00006B000000}"/>
    <hyperlink ref="Q119" r:id="rId109" display="\\Desktop-yang\e\(주)대호스토퍼\0영업사항(견적서)\AA지역별 견적현황\2021년\지역난방\GS파워\2021년 무차단공사 입찰" xr:uid="{00000000-0004-0000-0000-00006C000000}"/>
    <hyperlink ref="Q121" r:id="rId110" display="\\Desktop-yang\e\(주)대호스토퍼\0영업사항(견적서)\AA지역별 견적현황\2021년\지역난방\GS파워\2021년 무차단공사 입찰" xr:uid="{00000000-0004-0000-0000-00006D000000}"/>
    <hyperlink ref="Q122" r:id="rId111" display="\\Desktop-yang\e\(주)대호스토퍼\0영업사항(견적서)\AA지역별 견적현황\2021년\전라북도\전주 새만금~(350A,700A.주철)-수공전주권,아태건설" xr:uid="{00000000-0004-0000-0000-00006E000000}"/>
    <hyperlink ref="Q64" r:id="rId112" display="\\Desktop-yang\e\(주)대호스토퍼\0영업사항(견적서)\AA지역별 견적현황\2021년\충청북도\충주(이천~문경, 200A~1350A)-한국철도시설공단,현대건설,대성기공" xr:uid="{00000000-0004-0000-0000-00006F000000}"/>
    <hyperlink ref="Q120" r:id="rId113" display="\\Desktop-yang\e\(주)대호스토퍼\0영업사항(견적서)\AA지역별 견적현황\2022년\지역난방\서울에너지공사\서울에너지공사 동부지사\서울에너지공사 동부지사 구상에너지" xr:uid="{00000000-0004-0000-0000-000070000000}"/>
    <hyperlink ref="Q124" r:id="rId114" display="\\Desktop-yang\e\(주)대호스토퍼\0영업사항(견적서)\AA지역별 견적현황\2021년\전라남도\광양공업용수도(450A, 1650A)-수공여수권, 남경중공업(450A),동남종합건설(1650A)\(고흥)남계어울마당 450AxD-D-고흥군,경성건설" xr:uid="{00000000-0004-0000-0000-000071000000}"/>
    <hyperlink ref="Q125" r:id="rId115" display="\\Desktop-yang\e\(주)대호스토퍼\0영업사항(견적서)\AA지역별 견적현황\2021년\지역난방\GS파워\2021년 무차단공사 입찰" xr:uid="{00000000-0004-0000-0000-000072000000}"/>
    <hyperlink ref="Q126" r:id="rId116" display="\\Desktop-yang\e\(주)대호스토퍼\0영업사항(견적서)\AA지역별 견적현황\2021년\지역난방\GS파워\2021년 무차단공사 입찰" xr:uid="{00000000-0004-0000-0000-000073000000}"/>
    <hyperlink ref="Q127" r:id="rId117" display="\\Desktop-yang\e\(주)대호스토퍼\0영업사항(견적서)\AA지역별 견적현황\2021년\경기남서부\김포(1800x450, 주철800x450)-서부발전소, 에스와이이앤씨" xr:uid="{00000000-0004-0000-0000-000074000000}"/>
    <hyperlink ref="Q129" r:id="rId11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000-000075000000}"/>
    <hyperlink ref="Q130" r:id="rId119" display="\\Desktop-yang\e\(주)대호스토퍼\0영업사항(견적서)\AA지역별 견적현황\2021년\지역난방\한국지역난방공사\2021년 열수송관 천공 및 차단공사(1권역)" xr:uid="{00000000-0004-0000-0000-000076000000}"/>
    <hyperlink ref="Q131" r:id="rId120" display="\\Desktop-yang\e\(주)대호스토퍼\0영업사항(견적서)\AA지역별 견적현황\2021년\지역난방\한국지역난방공사\2021년 열수송관 천공 및 차단공사(1권역)" xr:uid="{00000000-0004-0000-0000-000077000000}"/>
    <hyperlink ref="Q132" r:id="rId121" display="\\Desktop-yang\e\(주)대호스토퍼\0영업사항(견적서)\AA지역별 견적현황\2021년\지역난방\GS파워\2021년 무차단공사 입찰" xr:uid="{00000000-0004-0000-0000-000078000000}"/>
    <hyperlink ref="Q133" r:id="rId122" display="\\Desktop-yang\e\(주)대호스토퍼\0영업사항(견적서)\AA지역별 견적현황\2022년\충청북도\충주댐계통-수자원공사,계룡,동부,한신\4공구(1000A,1100A)-한신공영" xr:uid="{00000000-0004-0000-0000-000079000000}"/>
    <hyperlink ref="Q123" r:id="rId123" display="\\Desktop-yang\e\(주)대호스토퍼\0영업사항(견적서)\AA지역별 견적현황\2021년\경상남도\창원공업용수도-수공,삼부토건\기성" xr:uid="{00000000-0004-0000-0000-00007A000000}"/>
    <hyperlink ref="Q134" r:id="rId124" display="\\Desktop-yang\e\(주)대호스토퍼\0영업사항(견적서)\AA지역별 견적현황\2021년\지역난방\GS파워\2021년 무차단공사 입찰" xr:uid="{00000000-0004-0000-0000-00007B000000}"/>
    <hyperlink ref="Q135" r:id="rId125" display="\\Desktop-yang\e\(주)대호스토퍼\0영업사항(견적서)\AA지역별 견적현황\2021년\지역난방\GS파워\2021년 무차단공사 입찰" xr:uid="{00000000-0004-0000-0000-00007C000000}"/>
    <hyperlink ref="Q106" r:id="rId126" display="\\Desktop-yang\e\(주)대호스토퍼\0영업사항(견적서)\AA지역별 견적현황\2021년\지역난방\GS파워\승재공영\300Ax150Ax2P 분기티천공-211112" xr:uid="{00000000-0004-0000-0000-00007D000000}"/>
    <hyperlink ref="Q136" r:id="rId127" display="\\Desktop-yang\e\(주)대호스토퍼\0영업사항(견적서)\AA지역별 견적현황\2022년\경기남동부\평택(강관 900A 1P 긴급)-수기주" xr:uid="{00000000-0004-0000-0000-00007E000000}"/>
    <hyperlink ref="Q54" r:id="rId128" display="\\Desktop-yang\e\(주)대호스토퍼\0영업사항(견적서)\AA지역별 견적현황\2022년\경상북도\포항공업용수도2차(1350A PC관 외)-수공,화인종합건설\" xr:uid="{00000000-0004-0000-0000-00007F000000}"/>
    <hyperlink ref="Q137" r:id="rId129" display="\\Desktop-yang\e\(주)대호스토퍼\0영업사항(견적서)\AA지역별 견적현황\2021년\경기남서부\인천 검단 반석건설 강관700" xr:uid="{00000000-0004-0000-0000-000080000000}"/>
    <hyperlink ref="Q138" r:id="rId130" display="\\Desktop-yang\e\(주)대호스토퍼\0영업사항(견적서)\AA지역별 견적현황\2022년\전라남도\고흥(주철 450A, 긴급)-수자원, 수기주" xr:uid="{00000000-0004-0000-0000-000081000000}"/>
    <hyperlink ref="Q139" r:id="rId131" display="\\Desktop-yang\e\(주)대호스토퍼\0영업사항(견적서)\AA지역별 견적현황\2021년\지역난방\GS파워\2021년 무차단공사 입찰" xr:uid="{00000000-0004-0000-0000-000082000000}"/>
    <hyperlink ref="Q141" r:id="rId132" display="\\Desktop-yang\e\(주)대호스토퍼\0영업사항(견적서)\AA지역별 견적현황\2021년\지역난방\GS파워\2021년 무차단공사 입찰" xr:uid="{00000000-0004-0000-0000-000083000000}"/>
    <hyperlink ref="Q142" r:id="rId133" display="\\Desktop-yang\e\(주)대호스토퍼\0영업사항(견적서)\AA지역별 견적현황\2022년\전라남도\장흥(250A,300A.주철)-수공,서영엔지니어링,큰빛종합건설" xr:uid="{00000000-0004-0000-0000-000084000000}"/>
    <hyperlink ref="Q143" r:id="rId134" display="\\Desktop-yang\e\(주)대호스토퍼\0영업사항(견적서)\AA지역별 견적현황\2022년\전라남도\광주(1800A,1200A 외)-광주시,류영욱,두원정공,다비전산업개발" xr:uid="{00000000-0004-0000-0000-000085000000}"/>
    <hyperlink ref="Q144" r:id="rId135" display="\\Desktop-yang\e\(주)대호스토퍼\0영업사항(견적서)\AA지역별 견적현황\2021년\지역난방\GS파워\2021년 무차단공사 입찰" xr:uid="{00000000-0004-0000-0000-000086000000}"/>
    <hyperlink ref="Q100" r:id="rId136" display="\\Desktop-yang\e\(주)대호스토퍼\0영업사항(견적서)\AA지역별 견적현황\2021년\경기남서부\경기서남권 4단계 밸브교체공사(2200A)-수공경기서남권, 한영ENG" xr:uid="{00000000-0004-0000-0000-000087000000}"/>
    <hyperlink ref="Q145" r:id="rId137" display="\\Desktop-yang\e\(주)대호스토퍼\0영업사항(견적서)\AA지역별 견적현황\2022년\경기남동부\안성~구리 고속도로 12공구(2000A,2200A)-도로공사,고려개발" xr:uid="{00000000-0004-0000-0000-000088000000}"/>
    <hyperlink ref="Q148" r:id="rId138" display="\\Desktop-yang\e\(주)대호스토퍼\0영업사항(견적서)\AA지역별 견적현황\2021년\지역난방\한국지역난방공사\2021년 열수송관 천공 및 차단공사(1권역)" xr:uid="{00000000-0004-0000-0000-000089000000}"/>
    <hyperlink ref="Q149" r:id="rId139" display="\\Desktop-yang\e\(주)대호스토퍼\0영업사항(견적서)\AA지역별 견적현황\2022년\송유관\울산 S-Oil\울산 S-Oil 크루드오일(1050Ax2P)-2021.03" xr:uid="{00000000-0004-0000-0000-00008A000000}"/>
    <hyperlink ref="Q151" r:id="rId140" display="\\Desktop-yang\e\(주)대호스토퍼\0영업사항(견적서)\AA지역별 견적현황\2022년\전라남도\장흥(250A,300A.주철)-수공,서영엔지니어링,큰빛종합건설" xr:uid="{00000000-0004-0000-0000-00008B000000}"/>
    <hyperlink ref="Q152" r:id="rId141" display="\\Desktop-yang\e\(주)대호스토퍼\0영업사항(견적서)\AA지역별 견적현황\2021년\지역난방\GS파워\2021년 무차단공사 입찰" xr:uid="{00000000-0004-0000-0000-00008C000000}"/>
    <hyperlink ref="Q153" r:id="rId142" display="\\Desktop-yang\e\(주)대호스토퍼\0영업사항(견적서)\AA지역별 견적현황\2021년\지역난방\GS파워\2021년 무차단공사 입찰" xr:uid="{00000000-0004-0000-0000-00008D000000}"/>
    <hyperlink ref="Q147" r:id="rId143" display="\\Desktop-yang\e\(주)대호스토퍼\0영업사항(견적서)\AA지역별 견적현황\2022년\경기북부\파주(1200A 긴급)-수공, 가가건설" xr:uid="{00000000-0004-0000-0000-00008E000000}"/>
    <hyperlink ref="Q155" r:id="rId144" display="\\Desktop-yang\e\(주)대호스토퍼\0영업사항(견적서)\AA지역별 견적현황\2022년\경기남동부\안성~구리 고속도로 12공구(2000A,2200A)-도로공사,고려개발" xr:uid="{00000000-0004-0000-0000-00008F000000}"/>
    <hyperlink ref="Q156" r:id="rId145" display="\\Desktop-yang\e\(주)대호스토퍼\0영업사항(견적서)\AA지역별 견적현황\2022년\경기남동부\안성~구리 고속도로 12공구(2000A,2200A)-도로공사,고려개발" xr:uid="{00000000-0004-0000-0000-000090000000}"/>
    <hyperlink ref="Q157" r:id="rId146" display="\\Desktop-yang\e\(주)대호스토퍼\0영업사항(견적서)\AA지역별 견적현황\2022년\지역난방\GS파워\2021년 무차단공사 입찰" xr:uid="{00000000-0004-0000-0000-000091000000}"/>
    <hyperlink ref="Q158" r:id="rId147" display="\\Desktop-yang\e\(주)대호스토퍼\0영업사항(견적서)\AA지역별 견적현황\2022년\경상남도\울산 범서IC(2000A, PC관, 강관)-한국도로공사,도원,세영종합건설" xr:uid="{00000000-0004-0000-0000-000092000000}"/>
    <hyperlink ref="Q159" r:id="rId148" display="\\Desktop-yang\e\(주)대호스토퍼\0영업사항(견적서)\AA지역별 견적현황\2022년\경상남도\울산 범서IC(2000A, PC관, 강관)-한국도로공사,도원,세영종합건설" xr:uid="{00000000-0004-0000-0000-000093000000}"/>
    <hyperlink ref="Q160" r:id="rId149" display="\\Desktop-yang\e\(주)대호스토퍼\0영업사항(견적서)\AA지역별 견적현황\2022년\전라남도\장흥(250A,300A.주철)-수공,서영엔지니어링,큰빛종합건설" xr:uid="{00000000-0004-0000-0000-000094000000}"/>
    <hyperlink ref="Q161" r:id="rId150" display="\\Desktop-yang\e\(주)대호스토퍼\0영업사항(견적서)\AA지역별 견적현황\2022년\경상남도\울산 범서IC(2000A, PC관, 강관)-한국도로공사,도원,세영종합건설" xr:uid="{00000000-0004-0000-0000-000095000000}"/>
    <hyperlink ref="Q162" r:id="rId151" display="\\Desktop-yang\e\(주)대호스토퍼\0영업사항(견적서)\AA지역별 견적현황\2022년\경상남도\울산 범서IC(2000A, PC관, 강관)-한국도로공사,도원,세영종합건설" xr:uid="{00000000-0004-0000-0000-000096000000}"/>
    <hyperlink ref="Q163" r:id="rId152" display="\\Desktop-yang\e\(주)대호스토퍼\0영업사항(견적서)\AA지역별 견적현황\2021년\지역난방\GS파워\500Ax8P, 150Ax12P-GS네오텍(21.06.02)" xr:uid="{00000000-0004-0000-0000-000097000000}"/>
    <hyperlink ref="Q165" r:id="rId153" display="\\Desktop-yang\e\(주)대호스토퍼\0영업사항(견적서)\AA지역별 견적현황\2022년\충청북도\충주댐계통-수자원공사,계룡,동부,한신\3공구(1350A,1500A)-동부건설" xr:uid="{00000000-0004-0000-0000-000098000000}"/>
    <hyperlink ref="Q166" r:id="rId154" display="\\Desktop-yang\e\(주)대호스토퍼\0영업사항(견적서)\AA지역별 견적현황\2021년\지역난방\한국지역난방공사\2021년 열수송관 천공 및 차단공사(1권역)" xr:uid="{00000000-0004-0000-0000-000099000000}"/>
    <hyperlink ref="Q154" r:id="rId155" display="\\Desktop-yang\e\(주)대호스토퍼\0영업사항(견적서)\AA지역별 견적현황\2021년\지역난방\GS파워\500Ax8P, 150Ax12P-GS네오텍(21.06.02)" xr:uid="{00000000-0004-0000-0000-00009A000000}"/>
    <hyperlink ref="Q168" r:id="rId156" display="\\Desktop-yang\e\(주)대호스토퍼\0영업사항(견적서)\AA지역별 견적현황\2022년\경상북도\포항공업용수도2차(1350A PC관 외)-수공,화인종합건설\" xr:uid="{00000000-0004-0000-0000-00009B000000}"/>
    <hyperlink ref="Q169" r:id="rId157" display="\\Desktop-yang\e\(주)대호스토퍼\0영업사항(견적서)\AA지역별 견적현황\2021년\지역난방\GS파워\2021년 무차단공사 입찰" xr:uid="{00000000-0004-0000-0000-00009C000000}"/>
    <hyperlink ref="Q170" r:id="rId158" display="\\Desktop-yang\e\(주)대호스토퍼\0영업사항(견적서)\AA지역별 견적현황\2022년\경기남동부\안성~구리 고속도로 12공구(2000A,2200A)-도로공사,고려개발" xr:uid="{00000000-0004-0000-0000-00009D000000}"/>
    <hyperlink ref="Q171" r:id="rId159" display="\\Desktop-yang\e\(주)대호스토퍼\0영업사항(견적서)\AA지역별 견적현황\2022년\경기남동부\안성~구리 고속도로 12공구(2000A,2200A)-도로공사,고려개발" xr:uid="{00000000-0004-0000-0000-00009E000000}"/>
    <hyperlink ref="Q172" r:id="rId160" display="\\Desktop-yang\e\(주)대호스토퍼\0영업사항(견적서)\AA지역별 견적현황\2021년\지역난방\한국지역난방공사\2021년 열수송관 천공 및 차단공사(1권역)" xr:uid="{00000000-0004-0000-0000-00009F000000}"/>
    <hyperlink ref="Q173" r:id="rId161" display="\\Desktop-yang\e\(주)대호스토퍼\0영업사항(견적서)\AA지역별 견적현황\2021년\지역난방\GS파워\2021년 무차단공사 입찰" xr:uid="{00000000-0004-0000-0000-0000A0000000}"/>
    <hyperlink ref="Q174" r:id="rId162" display="\\Desktop-yang\e\(주)대호스토퍼\0영업사항(견적서)\AA지역별 견적현황\2021년\지역난방\한국지역난방공사\2021년 열수송관 천공 및 차단공사(1권역)" xr:uid="{00000000-0004-0000-0000-0000A1000000}"/>
    <hyperlink ref="Q175" r:id="rId163" display="\\Desktop-yang\e\(주)대호스토퍼\0영업사항(견적서)\AA지역별 견적현황\2022년\경기남동부\안성~구리 고속도로 12공구(2000A,2200A)-도로공사,고려개발" xr:uid="{00000000-0004-0000-0000-0000A2000000}"/>
    <hyperlink ref="Q176" r:id="rId164" display="\\Desktop-yang\e\(주)대호스토퍼\0영업사항(견적서)\AA지역별 견적현황\2022년\경기남동부\안성~구리 고속도로 12공구(2000A,2200A)-도로공사,고려개발" xr:uid="{00000000-0004-0000-0000-0000A3000000}"/>
    <hyperlink ref="Q177" r:id="rId165" display="\\Desktop-yang\e\(주)대호스토퍼\0영업사항(견적서)\AA지역별 견적현황\2021년\지역난방\GS파워\2021년 무차단공사 입찰" xr:uid="{00000000-0004-0000-0000-0000A4000000}"/>
    <hyperlink ref="Q150" r:id="rId166" display="\\Desktop-yang\e\(주)대호스토퍼\0영업사항(견적서)\AA지역별 견적현황\2022년\송유관\울산 S-Oil\울산 S-Oil 크루드오일(1050Ax2P)-2021.03" xr:uid="{00000000-0004-0000-0000-0000A5000000}"/>
    <hyperlink ref="Q183" r:id="rId167" display="\\Desktop-yang\e\(주)대호스토퍼\0영업사항(견적서)\AA지역별 견적현황\2021년\지역난방\한국지역난방공사\2021년 열수송관 천공 및 차단공사(1권역)" xr:uid="{00000000-0004-0000-0000-0000A6000000}"/>
    <hyperlink ref="Q184" r:id="rId168" display="\\Desktop-yang\e\(주)대호스토퍼\0영업사항(견적서)\AA지역별 견적현황\2021년\지역난방\한국지역난방공사\2021년 열수송관 천공 및 차단공사(1권역)" xr:uid="{00000000-0004-0000-0000-0000A7000000}"/>
    <hyperlink ref="Q179" r:id="rId169" display="\\Desktop-yang\e\(주)대호스토퍼\0영업사항(견적서)\AA지역별 견적현황\2021년\지역난방\한국지역난방공사\2021년 열수송관 천공 및 차단공사(1권역)" xr:uid="{00000000-0004-0000-0000-0000A8000000}"/>
    <hyperlink ref="Q185" r:id="rId170" display="\\Desktop-yang\e\(주)대호스토퍼\0영업사항(견적서)\AA지역별 견적현황\2021년\지역난방\한국지역난방공사\2021년 열수송관 천공 및 차단공사(1권역)" xr:uid="{00000000-0004-0000-0000-0000A9000000}"/>
    <hyperlink ref="Q188" r:id="rId171" display="\\Desktop-yang\e\(주)대호스토퍼\0영업사항(견적서)\AA지역별 견적현황\2022년\전라남도\장흥(250A,300A.주철)-수공,서영엔지니어링,큰빛종합건설" xr:uid="{00000000-0004-0000-0000-0000AA000000}"/>
    <hyperlink ref="Q189" r:id="rId172" display="\\Desktop-yang\e\(주)대호스토퍼\0영업사항(견적서)\AA지역별 견적현황\2022년\전라남도\장흥(250A,300A.주철)-수공,서영엔지니어링,큰빛종합건설" xr:uid="{00000000-0004-0000-0000-0000AB000000}"/>
    <hyperlink ref="Q190" r:id="rId173" display="\\Desktop-yang\e\(주)대호스토퍼\0영업사항(견적서)\AA지역별 견적현황\2021년\지역난방\한국지역난방공사\2021년 열수송관 천공 및 차단공사(1권역)" xr:uid="{00000000-0004-0000-0000-0000AC000000}"/>
    <hyperlink ref="Q191" r:id="rId174" display="\\Desktop-yang\e\(주)대호스토퍼\0영업사항(견적서)\AA지역별 견적현황\2022년\경상남도\창원 동읍~봉강(1200A,1500A)-수공,경남,동부,BK eng,극동eng" xr:uid="{00000000-0004-0000-0000-0000AD000000}"/>
    <hyperlink ref="Q192" r:id="rId175" display="\\Desktop-yang\e\(주)대호스토퍼\0영업사항(견적서)\AA지역별 견적현황\2022년\경상남도\창원 동읍~봉강(1200A,1500A)-수공,경남,동부,BK eng,극동eng" xr:uid="{00000000-0004-0000-0000-0000AE000000}"/>
    <hyperlink ref="Q194" r:id="rId176" display="\\Desktop-yang\e\(주)대호스토퍼\0영업사항(견적서)\AA지역별 견적현황\2021년\지역난방\한국지역난방공사\2021년 열수송관 천공 및 차단공사(1권역)" xr:uid="{00000000-0004-0000-0000-0000AF000000}"/>
    <hyperlink ref="Q196" r:id="rId177" display="\\Desktop-yang\e\(주)대호스토퍼\0영업사항(견적서)\AA지역별 견적현황\2022년\경기남동부\용인수지정수장(900A, 강관)-대저건설" xr:uid="{00000000-0004-0000-0000-0000B0000000}"/>
    <hyperlink ref="Q197" r:id="rId178" display="\\Desktop-yang\e\(주)대호스토퍼\0영업사항(견적서)\AA지역별 견적현황\2021년\지역난방\GS파워\2021년 무차단공사 입찰" xr:uid="{00000000-0004-0000-0000-0000B1000000}"/>
    <hyperlink ref="Q199" r:id="rId179" display="\\Desktop-yang\e\(주)대호스토퍼\0영업사항(견적서)\AA지역별 견적현황\2021년\지역난방\한국지역난방공사\2021년 열수송관 천공 및 차단공사(1권역)" xr:uid="{00000000-0004-0000-0000-0000B2000000}"/>
    <hyperlink ref="Q128" r:id="rId180" display="\\Desktop-yang\e\(주)대호스토퍼\0영업사항(견적서)\AA지역별 견적현황\2022년\충청북도\충주댐계통-수자원공사,계룡,동부,한신\4공구(1000A,1100A)-한신공영" xr:uid="{00000000-0004-0000-0000-0000B3000000}"/>
    <hyperlink ref="Q167" r:id="rId181" display="\\Desktop-yang\e\(주)대호스토퍼\0영업사항(견적서)\AA지역별 견적현황\2022년\충청북도\충주댐계통-수자원공사,계룡,동부,한신\4공구(1000A,1100A)-한신공영" xr:uid="{00000000-0004-0000-0000-0000B4000000}"/>
    <hyperlink ref="Q181" r:id="rId182" display="\\Desktop-yang\e\(주)대호스토퍼\0영업사항(견적서)\AA지역별 견적현황\2022년\충청북도\충주댐계통-수자원공사,계룡,동부,한신\4공구(1000A,1100A)-한신공영" xr:uid="{00000000-0004-0000-0000-0000B5000000}"/>
    <hyperlink ref="Q201" r:id="rId183" display="\\Desktop-yang\e\(주)대호스토퍼\0영업사항(견적서)\AA지역별 견적현황\2021년\지역난방\GS파워\2021년 무차단공사 입찰" xr:uid="{00000000-0004-0000-0000-0000B6000000}"/>
    <hyperlink ref="Q202" r:id="rId184" display="\\Desktop-yang\e\(주)대호스토퍼\0영업사항(견적서)\AA지역별 견적현황\2021년\지역난방\한국지역난방공사\2021년 열수송관 천공 및 차단공사(1권역)" xr:uid="{00000000-0004-0000-0000-0000B7000000}"/>
    <hyperlink ref="Q200" r:id="rId185" display="\\Desktop-yang\e\(주)대호스토퍼\0영업사항(견적서)\AA지역별 견적현황\2022년\충청북도\충주댐계통-수자원공사,계룡,동부,한신\4공구(1000A,1100A)-한신공영" xr:uid="{00000000-0004-0000-0000-0000B8000000}"/>
    <hyperlink ref="Q203" r:id="rId186" display="\\Desktop-yang\e\(주)대호스토퍼\0영업사항(견적서)\AA지역별 견적현황\2022년\지역난방\GS파워\시흥목감(450Ax8P)-에이치플러스에코" xr:uid="{00000000-0004-0000-0000-0000B9000000}"/>
    <hyperlink ref="Q187" r:id="rId187" display="\\Desktop-yang\e\(주)대호스토퍼\0영업사항(견적서)\AA지역별 견적현황\2022년\지역난방\GS파워\시흥목감(450Ax8P)-에이치플러스에코" xr:uid="{00000000-0004-0000-0000-0000BA000000}"/>
    <hyperlink ref="Q205" r:id="rId188" display="\\Desktop-yang\e\(주)대호스토퍼\0영업사항(견적서)\AA지역별 견적현황\2022년\전라북도\부안 직소천~(400A,900A)-수공, 세원이엔, 지강" xr:uid="{00000000-0004-0000-0000-0000BB000000}"/>
    <hyperlink ref="Q206" r:id="rId189" display="\\Desktop-yang\e\(주)대호스토퍼\0영업사항(견적서)\AA지역별 견적현황\2021년\지역난방\한국지역난방공사\2021년 열수송관 천공 및 차단공사(1권역)" xr:uid="{00000000-0004-0000-0000-0000BC000000}"/>
    <hyperlink ref="Q208" r:id="rId190" display="\\Desktop-yang\e\(주)대호스토퍼\0영업사항(견적서)\AA지역별 견적현황\2022년\경기남동부\성남복정지구(1350A)-LH,대림건설,대화이앤씨" xr:uid="{00000000-0004-0000-0000-0000BD000000}"/>
    <hyperlink ref="Q209" r:id="rId191" display="\\Desktop-yang\e\(주)대호스토퍼\0영업사항(견적서)\AA지역별 견적현황\2021년\지역난방\한국지역난방공사\2021년 열수송관 천공 및 차단공사(1권역)" xr:uid="{00000000-0004-0000-0000-0000BE000000}"/>
    <hyperlink ref="Q211" r:id="rId192" display="\\Desktop-yang\e\(주)대호스토퍼\0영업사항(견적서)\AA지역별 견적현황\2021년\지역난방\한국지역난방공사\2021년 열수송관 천공 및 차단공사(1권역)" xr:uid="{00000000-0004-0000-0000-0000BF000000}"/>
    <hyperlink ref="Q212" r:id="rId193" display="\\Desktop-yang\e\(주)대호스토퍼\0영업사항(견적서)\AA지역별 견적현황\2021년\지역난방\GS파워\2021년 무차단공사 입찰" xr:uid="{00000000-0004-0000-0000-0000C0000000}"/>
    <hyperlink ref="Q213" r:id="rId194" display="\\Desktop-yang\e\(주)대호스토퍼\0영업사항(견적서)\AA지역별 견적현황\2021년\지역난방\한국지역난방공사\2021년 열수송관 천공 및 차단공사(1권역)" xr:uid="{00000000-0004-0000-0000-0000C1000000}"/>
    <hyperlink ref="Q215" r:id="rId195" display="\\Desktop-yang\e\(주)대호스토퍼\0영업사항(견적서)\AA지역별 견적현황\2021년\지역난방\한국지역난방공사\2021년 열수송관 천공 및 차단공사(1권역)" xr:uid="{00000000-0004-0000-0000-0000C2000000}"/>
    <hyperlink ref="Q216" r:id="rId196" display="\\Desktop-yang\e\(주)대호스토퍼\0영업사항(견적서)\AA지역별 견적현황\2021년\지역난방\한국지역난방공사\2021년 열수송관 천공 및 차단공사(1권역)" xr:uid="{00000000-0004-0000-0000-0000C3000000}"/>
    <hyperlink ref="Q217" r:id="rId197" display="\\Desktop-yang\e\(주)대호스토퍼\0영업사항(견적서)\AA지역별 견적현황\2021년\지역난방\한국지역난방공사\2021년 열수송관 천공 및 차단공사(1권역)" xr:uid="{00000000-0004-0000-0000-0000C4000000}"/>
    <hyperlink ref="Q219" r:id="rId198" display="\\Desktop-yang\e\(주)대호스토퍼\0영업사항(견적서)\AA지역별 견적현황\2022년\송유관\인천국제공항\브니엘네이처" xr:uid="{00000000-0004-0000-0000-0000C5000000}"/>
    <hyperlink ref="Q220" r:id="rId199" display="\\Desktop-yang\e\(주)대호스토퍼\0영업사항(견적서)\AA지역별 견적현황\2022년\경상북도\고령(주철 800, 400)-고령권지사, 한주엔지니어링" xr:uid="{00000000-0004-0000-0000-0000C6000000}"/>
    <hyperlink ref="Q221" r:id="rId200" display="\\Desktop-yang\e\(주)대호스토퍼\0영업사항(견적서)\AA지역별 견적현황\2021년\지역난방\한국지역난방공사\2021년 열수송관 천공 및 차단공사(1권역)" xr:uid="{00000000-0004-0000-0000-0000C7000000}"/>
    <hyperlink ref="Q222" r:id="rId201" xr:uid="{00000000-0004-0000-0000-0000C8000000}"/>
    <hyperlink ref="Q210" r:id="rId202" display="\\Desktop-yang\e\(주)대호스토퍼\0영업사항(견적서)\AA지역별 견적현황\2022년\지역난방\GS파워\2021년 부천지역 신규고객 열수송관공사\승재공영" xr:uid="{00000000-0004-0000-0000-0000C9000000}"/>
    <hyperlink ref="Q204" r:id="rId203" display="\\Desktop-yang\e\(주)대호스토퍼\0영업사항(견적서)\AA지역별 견적현황\2022년\지역난방\GS파워\2021년 부천지역 신규고객 열수송관공사\승재공영" xr:uid="{00000000-0004-0000-0000-0000CA000000}"/>
    <hyperlink ref="Q198" r:id="rId204" display="\\Desktop-yang\e\(주)대호스토퍼\0영업사항(견적서)\AA지역별 견적현황\2022년\지역난방\GS파워\2021년 부천지역 신규고객 열수송관공사\승재공영" xr:uid="{00000000-0004-0000-0000-0000CB000000}"/>
    <hyperlink ref="Q186" r:id="rId205" display="\\Desktop-yang\e\(주)대호스토퍼\0영업사항(견적서)\AA지역별 견적현황\2022년\지역난방\GS파워\2021년 부천지역 신규고객 열수송관공사\승재공영" xr:uid="{00000000-0004-0000-0000-0000CC000000}"/>
    <hyperlink ref="Q182" r:id="rId206" display="\\Desktop-yang\e\(주)대호스토퍼\0영업사항(견적서)\AA지역별 견적현황\2022년\지역난방\GS파워\2021년 부천지역 신규고객 열수송관공사\승재공영" xr:uid="{00000000-0004-0000-0000-0000CD000000}"/>
    <hyperlink ref="Q178" r:id="rId207" display="\\Desktop-yang\e\(주)대호스토퍼\0영업사항(견적서)\AA지역별 견적현황\2022년\지역난방\GS파워\2021년 부천지역 신규고객 열수송관공사\승재공영" xr:uid="{00000000-0004-0000-0000-0000CE000000}"/>
    <hyperlink ref="Q225" r:id="rId208" display="\\Desktop-yang\e\(주)대호스토퍼\0영업사항(견적서)\AA지역별 견적현황\2021년\송유관\인천국제공항-문화지엔코,세보엠이씨\문화지엔코" xr:uid="{00000000-0004-0000-0000-0000CF000000}"/>
    <hyperlink ref="Q226" r:id="rId209" display="\\Desktop-yang\e\(주)대호스토퍼\0영업사항(견적서)\AA지역별 견적현황\2022년\지역난방\GS파워\시흥목감(450Ax8P)-에이치플러스에코" xr:uid="{00000000-0004-0000-0000-0000D0000000}"/>
    <hyperlink ref="Q227" r:id="rId210" display="\\Desktop-yang\e\(주)대호스토퍼\0영업사항(견적서)\AA지역별 견적현황\2021년\지역난방\한국지역난방공사\2021년 열수송관 천공 및 차단공사(1권역)" xr:uid="{00000000-0004-0000-0000-0000D1000000}"/>
    <hyperlink ref="Q229" r:id="rId211" display="\\Desktop-yang\e\(주)대호스토퍼\0영업사항(견적서)\AA지역별 견적현황\2021년\지역난방\한국지역난방공사\2021년 열수송관 천공 및 차단공사(1권역)" xr:uid="{00000000-0004-0000-0000-0000D2000000}"/>
    <hyperlink ref="Q230" r:id="rId212" display="\\Desktop-yang\e\(주)대호스토퍼\0영업사항(견적서)\AA지역별 견적현황\2021년\지역난방\GS파워\2021년 무차단공사 입찰" xr:uid="{00000000-0004-0000-0000-0000D3000000}"/>
    <hyperlink ref="Q231" r:id="rId213" display="\\Desktop-yang\e\(주)대호스토퍼\0영업사항(견적서)\AA지역별 견적현황\2021년\지역난방\한국지역난방공사\2021년 열수송관 천공 및 차단공사(1권역)" xr:uid="{00000000-0004-0000-0000-0000D4000000}"/>
    <hyperlink ref="Q232" r:id="rId214" display="\\Desktop-yang\e\(주)대호스토퍼\0영업사항(견적서)\AA지역별 견적현황\2021년\지역난방\GS파워\2021년 무차단공사 입찰" xr:uid="{00000000-0004-0000-0000-0000D5000000}"/>
    <hyperlink ref="Q233" r:id="rId215" display="\\Desktop-yang\e\(주)대호스토퍼\0영업사항(견적서)\AA지역별 견적현황\2022년\전라남도\광양1단계(광양구간 2000, 1650 차단 外)-수공, 와텍" xr:uid="{00000000-0004-0000-0000-0000D6000000}"/>
    <hyperlink ref="Q228" r:id="rId216" display="\\Desktop-yang\e\(주)대호스토퍼\0영업사항(견적서)\AA지역별 견적현황\2021년\지역난방\GS파워\2021년 무차단공사 입찰" xr:uid="{00000000-0004-0000-0000-0000D7000000}"/>
    <hyperlink ref="Q234" r:id="rId217" display="\\Desktop-yang\e\(주)대호스토퍼\0영업사항(견적서)\AA지역별 견적현황\2021년\지역난방\한국지역난방공사\2021년 열수송관 천공 및 차단공사(1권역)" xr:uid="{00000000-0004-0000-0000-0000D8000000}"/>
    <hyperlink ref="Q235" r:id="rId218" display="\\Desktop-yang\e\(주)대호스토퍼\0영업사항(견적서)\AA지역별 견적현황\2021년\지역난방\한국지역난방공사\2021년 열수송관 천공 및 차단공사(1권역)" xr:uid="{00000000-0004-0000-0000-0000D9000000}"/>
    <hyperlink ref="Q236" r:id="rId219" display="\\Desktop-yang\e\(주)대호스토퍼\0영업사항(견적서)\AA지역별 견적현황\2021년\지역난방\GS파워\2021년 무차단공사 입찰" xr:uid="{00000000-0004-0000-0000-0000DA000000}"/>
    <hyperlink ref="Q237" r:id="rId220" display="\\Desktop-yang\e\(주)대호스토퍼\0영업사항(견적서)\AA지역별 견적현황\2022년\지역난방\삼천리이엔지" xr:uid="{00000000-0004-0000-0000-0000DB000000}"/>
    <hyperlink ref="Q193" r:id="rId221" display="\\Desktop-yang\e\(주)대호스토퍼\0영업사항(견적서)\AA지역별 견적현황\2022년\지역난방\GS파워\2021년 부천지역 신규고객 열수송관공사\승재공영" xr:uid="{00000000-0004-0000-0000-0000DC000000}"/>
    <hyperlink ref="Q238" r:id="rId222" display="\\Desktop-yang\e\(주)대호스토퍼\0영업사항(견적서)\AA지역별 견적현황\2021년\송유관\인천국제공항-문화지엔코,세보엠이씨\문화지엔코" xr:uid="{00000000-0004-0000-0000-0000DD000000}"/>
    <hyperlink ref="Q239" r:id="rId223" display="\\Desktop-yang\e\(주)대호스토퍼\0영업사항(견적서)\AA지역별 견적현황\2021년\지역난방\한국지역난방공사\2021년 열수송관 천공 및 차단공사(1권역)" xr:uid="{00000000-0004-0000-0000-0000DE000000}"/>
    <hyperlink ref="Q241" r:id="rId224" display="\\Desktop-yang\e\(주)대호스토퍼\0영업사항(견적서)\AA지역별 견적현황\2022년\경기남동부\안성~구리 고속도로 12공구(2000A,2200A)-도로공사,고려개발" xr:uid="{00000000-0004-0000-0000-0000DF000000}"/>
    <hyperlink ref="Q242" r:id="rId225" display="\\Desktop-yang\e\(주)대호스토퍼\0영업사항(견적서)\AA지역별 견적현황\2021년\전라북도\전주 새만금~(350A,700A.주철)-수공전주권,아태건설" xr:uid="{00000000-0004-0000-0000-0000E0000000}"/>
    <hyperlink ref="Q240" r:id="rId226" display="\\Desktop-yang\e\(주)대호스토퍼\0영업사항(견적서)\AA지역별 견적현황\2022년\경기남서부\안산(500A, 600A, 주철)-안산시,신광기업사, 한두건설\22.07.05" xr:uid="{00000000-0004-0000-0000-0000E1000000}"/>
    <hyperlink ref="Q243" r:id="rId227" display="\\Desktop-yang\e\(주)대호스토퍼\0영업사항(견적서)\AA지역별 견적현황\2021년\지역난방\GS파워\2021년 무차단공사 입찰" xr:uid="{00000000-0004-0000-0000-0000E2000000}"/>
    <hyperlink ref="Q244" r:id="rId228" display="\\Desktop-yang\e\(주)대호스토퍼\0영업사항(견적서)\AA지역별 견적현황\2022년\경상북도\포항공업용수도2차(1350A PC관 외)-수공,화인종합건설\" xr:uid="{00000000-0004-0000-0000-0000E3000000}"/>
    <hyperlink ref="Q246" r:id="rId229" display="\\Desktop-yang\e\(주)대호스토퍼\0영업사항(견적서)\AA지역별 견적현황\2021년\지역난방\한국지역난방공사\2021년 열수송관 천공 및 차단공사(1권역)" xr:uid="{00000000-0004-0000-0000-0000E4000000}"/>
    <hyperlink ref="Q247" r:id="rId230" display="\\Desktop-yang\e\(주)대호스토퍼\0영업사항(견적서)\AA지역별 견적현황\2021년\지역난방\한국지역난방공사\2021년 열수송관 천공 및 차단공사(1권역)" xr:uid="{00000000-0004-0000-0000-0000E5000000}"/>
    <hyperlink ref="Q249" r:id="rId231" display="\\Desktop-yang\e\(주)대호스토퍼\0영업사항(견적서)\AA지역별 견적현황\2022년\지역난방\LH\실행\계약 22.07.12 (아전이엔씨)" xr:uid="{00000000-0004-0000-0000-0000E6000000}"/>
    <hyperlink ref="Q250" r:id="rId232" display="\\Desktop-yang\e\(주)대호스토퍼\0영업사항(견적서)\AA지역별 견적현황\2021년\지역난방\GS파워\2021년 무차단공사 입찰" xr:uid="{00000000-0004-0000-0000-0000E7000000}"/>
    <hyperlink ref="Q252" r:id="rId233" display="\\Desktop-yang\e\(주)대호스토퍼\0영업사항(견적서)\AA지역별 견적현황\2021년\지역난방\GS파워\2021년 무차단공사 입찰" xr:uid="{00000000-0004-0000-0000-0000E8000000}"/>
    <hyperlink ref="Q253" r:id="rId234" display="\\Desktop-yang\e\(주)대호스토퍼\0영업사항(견적서)\AA지역별 견적현황\2022년\충청북도\충주댐계통-수자원공사,계룡,동부,한신\3공구(1350A,1500A)-동부건설" xr:uid="{00000000-0004-0000-0000-0000E9000000}"/>
    <hyperlink ref="Q254" r:id="rId235" display="\\Desktop-yang\e\(주)대호스토퍼\0영업사항(견적서)\AA지역별 견적현황\2021년\지역난방\GS파워\2021년 무차단공사 입찰" xr:uid="{00000000-0004-0000-0000-0000EA000000}"/>
    <hyperlink ref="Q255" r:id="rId236" display="\\Desktop-yang\e\(주)대호스토퍼\0영업사항(견적서)\AA지역별 견적현황\2022년\지역난방\대전열병합" xr:uid="{00000000-0004-0000-0000-0000EB000000}"/>
    <hyperlink ref="Q256" r:id="rId237" display="\\Desktop-yang\e\(주)대호스토퍼\0영업사항(견적서)\AA지역별 견적현황\2021년\송유관\인천국제공항-문화지엔코,세보엠이씨\문화지엔코" xr:uid="{00000000-0004-0000-0000-0000EC000000}"/>
    <hyperlink ref="Q214" r:id="rId238" display="\\Desktop-yang\e\(주)대호스토퍼\0영업사항(견적서)\AA지역별 견적현황\2021년\지역난방\한국지역난방공사\2021년 열수송관 천공 및 차단공사(1권역)" xr:uid="{00000000-0004-0000-0000-0000ED000000}"/>
    <hyperlink ref="Q164" r:id="rId239" display="\\Desktop-yang\e\(주)대호스토퍼\0영업사항(견적서)\AA지역별 견적현황\2021년\지역난방\한국지역난방공사\2021년 열수송관 천공 및 차단공사(1권역)" xr:uid="{00000000-0004-0000-0000-0000EE000000}"/>
    <hyperlink ref="Q258" r:id="rId240" display="\\Desktop-yang\e\(주)대호스토퍼\0영업사항(견적서)\AA지역별 견적현황\2022년\기타\대산 LG화학" xr:uid="{00000000-0004-0000-0000-0000EF000000}"/>
    <hyperlink ref="Q261" r:id="rId241" display="\\Desktop-yang\e\(주)대호스토퍼\0영업사항(견적서)\AA지역별 견적현황\2022년\경상남도\경주(강관 900x200 천공)-경주시, 유앤드림" xr:uid="{00000000-0004-0000-0000-0000F0000000}"/>
    <hyperlink ref="Q263" r:id="rId242" display="\\Desktop-yang\e\(주)대호스토퍼\0영업사항(견적서)\AA지역별 견적현황\2021년\지역난방\한국지역난방공사\2021년 열수송관 천공 및 차단공사(1권역)" xr:uid="{00000000-0004-0000-0000-0000F1000000}"/>
    <hyperlink ref="Q259" r:id="rId243" display="\\Desktop-yang\e\(주)대호스토퍼\0영업사항(견적서)\AA지역별 견적현황\2022년\경상북도\고령(강관 800A)-수자원공사, 동우건설" xr:uid="{00000000-0004-0000-0000-0000F2000000}"/>
    <hyperlink ref="Q260" r:id="rId244" display="\\Desktop-yang\e\(주)대호스토퍼\0영업사항(견적서)\AA지역별 견적현황\2022년\경상북도\고령(강관 800A)-수자원공사, 동우건설" xr:uid="{00000000-0004-0000-0000-0000F3000000}"/>
    <hyperlink ref="Q264" r:id="rId245" display="\\Desktop-yang\e\(주)대호스토퍼\0영업사항(견적서)\AA지역별 견적현황\2021년\지역난방\한국지역난방공사\2021년 열수송관 천공 및 차단공사(1권역)" xr:uid="{00000000-0004-0000-0000-0000F4000000}"/>
    <hyperlink ref="Q265" r:id="rId246" display="\\Desktop-yang\e\(주)대호스토퍼\0영업사항(견적서)\AA지역별 견적현황\2022년\전라남도\광양1단계(광양구간 2000, 1650 차단 外)-수공, 와텍" xr:uid="{00000000-0004-0000-0000-0000F5000000}"/>
    <hyperlink ref="Q266" r:id="rId247" display="\\Desktop-yang\e\(주)대호스토퍼\0영업사항(견적서)\AA지역별 견적현황\2022년\충청남도\서산(강관 800x600, 1100x800)- 규광,와텍" xr:uid="{00000000-0004-0000-0000-0000F6000000}"/>
    <hyperlink ref="Q267" r:id="rId248" display="\\Desktop-yang\e\(주)대호스토퍼\0영업사항(견적서)\AA지역별 견적현황\2021년\지역난방\한국지역난방공사\2021년 열수송관 천공 및 차단공사(1권역)" xr:uid="{00000000-0004-0000-0000-0000F7000000}"/>
    <hyperlink ref="Q269" r:id="rId249" display="\\Desktop-yang\e\(주)대호스토퍼\0영업사항(견적서)\AA지역별 견적현황\2022년\전라북도\장수군(주철 350A 外, 특허협약)-수공 동화권지사" xr:uid="{00000000-0004-0000-0000-0000F8000000}"/>
    <hyperlink ref="Q270" r:id="rId250" display="\\Desktop-yang\e\(주)대호스토퍼\0영업사항(견적서)\AA지역별 견적현황\2022년\전라북도\장수군(주철 350A 外, 특허협약)-수공 동화권지사" xr:uid="{00000000-0004-0000-0000-0000F9000000}"/>
    <hyperlink ref="Q251" r:id="rId251" display="\\Desktop-yang\e\(주)대호스토퍼\0영업사항(견적서)\AA지역별 견적현황\2021년\지역난방\한국지역난방공사\2021년 열수송관 천공 및 차단공사(1권역)" xr:uid="{00000000-0004-0000-0000-0000FA000000}"/>
    <hyperlink ref="Q262" r:id="rId252" display="\\Desktop-yang\e\(주)대호스토퍼\0영업사항(견적서)\AA지역별 견적현황\2022년\충청남도\서산(강관 800x600, 1100x800)- 규광,와텍" xr:uid="{00000000-0004-0000-0000-0000FB000000}"/>
    <hyperlink ref="Q271" r:id="rId253" display="\\Desktop-yang\e\(주)대호스토퍼\0영업사항(견적서)\AA지역별 견적현황\2022년\충청북도\충주댐계통-수자원공사,계룡,동부,한신\3공구(1350A,1500A)-동부건설" xr:uid="{00000000-0004-0000-0000-0000FC000000}"/>
    <hyperlink ref="Q272" r:id="rId254" display="\\Desktop-yang\e\(주)대호스토퍼\0영업사항(견적서)\AA지역별 견적현황\2022년\충청북도\충주댐계통-수자원공사,계룡,동부,한신\3공구(1350A,1500A)-동부건설" xr:uid="{00000000-0004-0000-0000-0000FD000000}"/>
    <hyperlink ref="Q274" r:id="rId255" display="\\Desktop-yang\e\(주)대호스토퍼\0영업사항(견적서)\AA지역별 견적현황\2022년\충청북도\충주댐계통-수자원공사,계룡,동부,한신\3공구(1350A,1500A)-동부건설" xr:uid="{00000000-0004-0000-0000-0000FE000000}"/>
    <hyperlink ref="Q275" r:id="rId256" display="\\Desktop-yang\e\(주)대호스토퍼\0영업사항(견적서)\AA지역별 견적현황\2021년\지역난방\한국지역난방공사\2021년 열수송관 천공 및 차단공사(1권역)" xr:uid="{00000000-0004-0000-0000-0000FF000000}"/>
    <hyperlink ref="Q277" r:id="rId257" display="\\Desktop-yang\e\(주)대호스토퍼\0영업사항(견적서)\AA지역별 견적현황\2022년\경기남동부\용인수지정수장(900A, 강관)-대저건설" xr:uid="{00000000-0004-0000-0000-000000010000}"/>
    <hyperlink ref="Q276" r:id="rId258" display="\\Desktop-yang\e\(주)대호스토퍼\0영업사항(견적서)\AA지역별 견적현황\2022년\지역난방\GS파워\2021년 부천지역 신규고객 열수송관공사\승재공영" xr:uid="{00000000-0004-0000-0000-000001010000}"/>
    <hyperlink ref="Q278" r:id="rId259" display="\\Desktop-yang\e\(주)대호스토퍼\0영업사항(견적서)\AA지역별 견적현황\2022년\전라북도\장수군(주철 350A 外, 특허협약)-수공 동화권지사" xr:uid="{00000000-0004-0000-0000-000002010000}"/>
    <hyperlink ref="Q279" r:id="rId260" display="\\Desktop-yang\e\(주)대호스토퍼\0영업사항(견적서)\AA지역별 견적현황\2022년\지역난방\한국지역난방공사\2022년 열수송관 천공 및 차단공사(2권역)" xr:uid="{00000000-0004-0000-0000-000003010000}"/>
    <hyperlink ref="Q280" r:id="rId261" display="\\Desktop-yang\e\(주)대호스토퍼\0영업사항(견적서)\AA지역별 견적현황\2022년\경기북부\포천(700A,600A)성진종합건설" xr:uid="{00000000-0004-0000-0000-000004010000}"/>
    <hyperlink ref="Q281" r:id="rId262" display="\\Desktop-yang\e\(주)대호스토퍼\0영업사항(견적서)\AA지역별 견적현황\2022년\경기북부\포천(700A,600A)성진종합건설" xr:uid="{00000000-0004-0000-0000-000005010000}"/>
    <hyperlink ref="Q268" r:id="rId263" display="\\Desktop-yang\e\(주)대호스토퍼\0영업사항(견적서)\AA지역별 견적현황\2022년\지역난방\GS파워\굴포천하천 정비사업중 열배관 부단수차단 600A 4공(지성엔지니어링)" xr:uid="{00000000-0004-0000-0000-000006010000}"/>
    <hyperlink ref="Q282" r:id="rId264" display="\\Desktop-yang\e\(주)대호스토퍼\0영업사항(견적서)\AA지역별 견적현황\2022년\전라북도\장수군(주철 350A 外, 특허협약)-수공 동화권지사" xr:uid="{00000000-0004-0000-0000-000007010000}"/>
    <hyperlink ref="Q283" r:id="rId265" display="\\Desktop-yang\e\(주)대호스토퍼\0영업사항(견적서)\AA지역별 견적현황\2022년\지역난방\한국지역난방공사\2022년 열수송관 천공 및 차단공사(2권역)" xr:uid="{00000000-0004-0000-0000-000008010000}"/>
    <hyperlink ref="Q284" r:id="rId266" display="\\Desktop-yang\e\(주)대호스토퍼\0영업사항(견적서)\AA지역별 견적현황\2022년\지역난방\한국지역난방공사\2022년 열수송관 천공 및 차단공사(2권역)" xr:uid="{00000000-0004-0000-0000-000009010000}"/>
    <hyperlink ref="Q285" r:id="rId267" display="\\Desktop-yang\e\(주)대호스토퍼\0영업사항(견적서)\AA지역별 견적현황\2022년\지역난방\GS파워\2021년 부천지역 신규고객 열수송관공사\승재공영" xr:uid="{00000000-0004-0000-0000-00000A010000}"/>
    <hyperlink ref="Q286" r:id="rId268" display="\\Desktop-yang\e\(주)대호스토퍼\0영업사항(견적서)\AA지역별 견적현황\2022년\경기남서부\안양(1200A, 강관)-안양시,웰시티" xr:uid="{00000000-0004-0000-0000-00000B010000}"/>
    <hyperlink ref="Q287" r:id="rId269" display="\\Desktop-yang\e\(주)대호스토퍼\0영업사항(견적서)\AA지역별 견적현황\2022년\지역난방\한국지역난방공사\2022년 열수송관 천공 및 차단공사(2권역)" xr:uid="{00000000-0004-0000-0000-00000C010000}"/>
    <hyperlink ref="Q288" r:id="rId270" display="\\Desktop-yang\e\(주)대호스토퍼\0영업사항(견적서)\AA지역별 견적현황\2022년\지역난방\한국지역난방공사\2022년 열수송관 천공 및 차단공사(2권역)" xr:uid="{00000000-0004-0000-0000-00000D010000}"/>
    <hyperlink ref="Q290" r:id="rId271" display="\\Desktop-yang\e\(주)대호스토퍼\0영업사항(견적서)\AA지역별 견적현황\2022년\전라남도\광양1단계(광양구간 2000, 1650 차단 外)-수공, 와텍" xr:uid="{00000000-0004-0000-0000-00000E010000}"/>
    <hyperlink ref="Q289" r:id="rId272" display="\\Desktop-yang\e\(주)대호스토퍼\0영업사항(견적서)\AA지역별 견적현황\2022년\경기남서부\안양(800A, 주철관)-세광건설" xr:uid="{00000000-0004-0000-0000-00000F010000}"/>
    <hyperlink ref="Q291" r:id="rId273" display="\\Desktop-yang\e\(주)대호스토퍼\0영업사항(견적서)\AA지역별 견적현황\2022년\송유관\인천(600A)-SK인천석유화학" xr:uid="{00000000-0004-0000-0000-000010010000}"/>
    <hyperlink ref="Q292" r:id="rId274" display="\\Desktop-yang\e\(주)대호스토퍼\0영업사항(견적서)\AA지역별 견적현황\2022년\전라남도\여수(1200x250)-수공" xr:uid="{00000000-0004-0000-0000-000011010000}"/>
    <hyperlink ref="Q293" r:id="rId275" display="\\Desktop-yang\e\(주)대호스토퍼\0영업사항(견적서)\AA지역별 견적현황\2022년\지역난방\한국지역난방공사\2022년 열수송관 천공 및 차단공사(2권역)" xr:uid="{00000000-0004-0000-0000-000012010000}"/>
    <hyperlink ref="Q294" r:id="rId276" display="\\Desktop-yang\e\(주)대호스토퍼\0영업사항(견적서)\AA지역별 견적현황\2022년\지역난방\한국지역난방공사\2022년 열수송관 천공 및 차단공사(2권역)" xr:uid="{00000000-0004-0000-0000-000013010000}"/>
    <hyperlink ref="Q295" r:id="rId277" display="\\Desktop-yang\e\(주)대호스토퍼\0영업사항(견적서)\AA지역별 견적현황\2022년\전라남도\광양1단계(광양구간 2000, 1650 차단 外)-수공, 와텍" xr:uid="{00000000-0004-0000-0000-000014010000}"/>
    <hyperlink ref="Q296" r:id="rId278" display="\\Desktop-yang\e\(주)대호스토퍼\0영업사항(견적서)\AA지역별 견적현황\2022년\지역난방\한국지역난방공사\2022년 열수송관 천공 및 차단공사(2권역)" xr:uid="{00000000-0004-0000-0000-000015010000}"/>
    <hyperlink ref="Q297" r:id="rId279" display="\\Desktop-yang\e\(주)대호스토퍼\0영업사항(견적서)\AA지역별 견적현황\2022년\지역난방\한국지역난방공사\2022년 열수송관 천공 및 차단공사(2권역)" xr:uid="{00000000-0004-0000-0000-000016010000}"/>
    <hyperlink ref="Q299" r:id="rId280" display="\\Desktop-yang\e\(주)대호스토퍼\0영업사항(견적서)\AA지역별 견적현황\2022년\지역난방\한국지역난방공사\2022년 열수송관 천공 및 차단공사(2권역)" xr:uid="{00000000-0004-0000-0000-000017010000}"/>
    <hyperlink ref="Q300" r:id="rId281" display="\\Desktop-yang\e\(주)대호스토퍼\0영업사항(견적서)\AA지역별 견적현황\2023년\지역난방\GS네오텍\인천 및 김포 수용가 인입 열수송관공사 중 분기TEE천공 공사-220922" xr:uid="{00000000-0004-0000-0000-000018010000}"/>
    <hyperlink ref="Q301" r:id="rId282" xr:uid="{00000000-0004-0000-0000-000019010000}"/>
    <hyperlink ref="Q303" r:id="rId283" display="\\Desktop-yang\e\(주)대호스토퍼\0영업사항(견적서)\AA지역별 견적현황\2022년\지역난방\한국지역난방공사\2022년 열수송관 천공 및 차단공사(2권역)" xr:uid="{00000000-0004-0000-0000-00001A010000}"/>
    <hyperlink ref="Q304" r:id="rId284" display="\\Desktop-yang\e\(주)대호스토퍼\0영업사항(견적서)\AA지역별 견적현황\2022년\경상남도\울산 범서IC(2000A, PC관, 강관)-한국도로공사,도원,세영종합건설" xr:uid="{00000000-0004-0000-0000-00001B010000}"/>
    <hyperlink ref="Q305" r:id="rId285" display="\\Desktop-yang\e\(주)대호스토퍼\0영업사항(견적서)\AA지역별 견적현황\2022년\지역난방\한국지역난방공사\분당사업소\2022.10.24-열배관 1000x500, 800x500" xr:uid="{00000000-0004-0000-0000-00001C010000}"/>
    <hyperlink ref="Q306" r:id="rId286" display="\\Desktop-yang\e\(주)대호스토퍼\0영업사항(견적서)\AA지역별 견적현황\2022년\지역난방\한국지역난방공사\분당사업소\2022.10.24-열배관 1000x500, 800x500" xr:uid="{00000000-0004-0000-0000-00001D010000}"/>
    <hyperlink ref="Q302" r:id="rId287" display="\\Desktop-yang\e\(주)대호스토퍼\0영업사항(견적서)\AA지역별 견적현황\2022년\충청남도\아산(1100A 1Set 피팅 납품건)-수기주, 실비" xr:uid="{00000000-0004-0000-0000-00001E010000}"/>
    <hyperlink ref="Q307" r:id="rId288" display="\\Desktop-yang\e\(주)대호스토퍼\0영업사항(견적서)\AA지역별 견적현황\2022년\지역난방\서울에너지공사\650Ax2P(22.11)-동부지사" xr:uid="{00000000-0004-0000-0000-00001F010000}"/>
    <hyperlink ref="Q308" r:id="rId289" display="\\Desktop-yang\e\(주)대호스토퍼\0영업사항(견적서)\AA지역별 견적현황\2022년\지역난방\한국지역난방공사\2022년 열수송관 천공 및 차단공사(2권역)" xr:uid="{00000000-0004-0000-0000-000020010000}"/>
    <hyperlink ref="Q309" r:id="rId290" display="\\Desktop-yang\e\(주)대호스토퍼\0영업사항(견적서)\AA지역별 견적현황\2022년\경상남도\부산(주철 400x1P)-부산시상수도사업본부, 핫라인" xr:uid="{00000000-0004-0000-0000-000021010000}"/>
    <hyperlink ref="Q310" r:id="rId291" display="\\Desktop-yang\e\(주)대호스토퍼\0영업사항(견적서)\AA지역별 견적현황\2022년\지역난방\한국지역난방공사\2022년 열수송관 천공 및 차단공사(2권역)" xr:uid="{00000000-0004-0000-0000-000022010000}"/>
    <hyperlink ref="Q311" r:id="rId292" display="\\Desktop-yang\e\(주)대호스토퍼\0영업사항(견적서)\AA지역별 견적현황\2022년\경기남동부\이천 대포배수지(900A4P주철)기연건설" xr:uid="{00000000-0004-0000-0000-000023010000}"/>
    <hyperlink ref="Q312" r:id="rId293" display="\\Desktop-yang\e\(주)대호스토퍼\0영업사항(견적서)\AA지역별 견적현황\2022년\경기남서부\시흥(1200A 외)-수공,극동건설, 청수(호연토건)" xr:uid="{00000000-0004-0000-0000-000024010000}"/>
    <hyperlink ref="Q313" r:id="rId294" display="\\Desktop-yang\e\(주)대호스토퍼\0영업사항(견적서)\AA지역별 견적현황\2022년\지역난방\한국지역난방공사\2022년 열수송관 천공 및 차단공사(2권역)" xr:uid="{00000000-0004-0000-0000-000025010000}"/>
    <hyperlink ref="Q314" r:id="rId295" display="\\Desktop-yang\e\(주)대호스토퍼\0영업사항(견적서)\AA지역별 견적현황\2022년\경상남도\창원(주철 500A, 500x300)-대득건설" xr:uid="{00000000-0004-0000-0000-000026010000}"/>
    <hyperlink ref="Q315" r:id="rId296" display="\\Desktop-yang\e\(주)대호스토퍼\0영업사항(견적서)\AA지역별 견적현황\2022년\충청남도\서산(1350, 700)-수공, 수기주" xr:uid="{00000000-0004-0000-0000-000027010000}"/>
    <hyperlink ref="Q316" r:id="rId297" display="\\Desktop-yang\e\(주)대호스토퍼\0영업사항(견적서)\AA지역별 견적현황\2021년\경기남서부\안산(500A, 600A, 주철)-안산시,신광기업사, 한두건설" xr:uid="{00000000-0004-0000-0000-000028010000}"/>
    <hyperlink ref="Q317" r:id="rId298" display="\\Desktop-yang\e\(주)대호스토퍼\0영업사항(견적서)\AA지역별 견적현황\2022년\경상남도\창원(주철 500A, 500x300)-대득건설" xr:uid="{00000000-0004-0000-0000-000029010000}"/>
    <hyperlink ref="Q319" r:id="rId299" display="\\Desktop-yang\e\(주)대호스토퍼\0영업사항(견적서)\AA지역별 견적현황\2022년\경상남도\울산(언플러깅 차단 1350A)-울산시, 우경" xr:uid="{00000000-0004-0000-0000-00002A010000}"/>
    <hyperlink ref="Q320" r:id="rId300" display="\\Desktop-yang\e\(주)대호스토퍼\0영업사항(견적서)\AA지역별 견적현황\2022년\지역난방\한국지역난방공사\2022년 열수송관 천공 및 차단공사(2권역)" xr:uid="{00000000-0004-0000-0000-00002B010000}"/>
    <hyperlink ref="Q321" r:id="rId301" display="\\Desktop-yang\e\(주)대호스토퍼\0영업사항(견적서)\AA지역별 견적현황\2022년\지역난방\한국지역난방공사\2022년 열수송관 천공 및 차단공사(2권역)" xr:uid="{00000000-0004-0000-0000-00002C010000}"/>
    <hyperlink ref="Q322" r:id="rId302" display="\\Desktop-yang\e\(주)대호스토퍼\0영업사항(견적서)\AA지역별 견적현황\2022년\전라북도\익산(주철 600A)-수공" xr:uid="{00000000-0004-0000-0000-00002D010000}"/>
    <hyperlink ref="Q324" r:id="rId303" display="\\Desktop-yang\e\(주)대호스토퍼\0영업사항(견적서)\AA지역별 견적현황\2023년\경상남도\창원공업용수도-수공,삼부토건" xr:uid="{00000000-0004-0000-0000-00002E010000}"/>
    <hyperlink ref="Q323" r:id="rId304" display="\\Desktop-yang\e\(주)대호스토퍼\0영업사항(견적서)\AA지역별 견적현황\2022년\충청북도\청주(주철관 800A)-한국환경공단, 유진건설" xr:uid="{00000000-0004-0000-0000-00002F010000}"/>
    <hyperlink ref="Q325" r:id="rId305" display="\\Desktop-yang\e\(주)대호스토퍼\0영업사항(견적서)\AA지역별 견적현황\2022년\경기남동부\이천 대포배수지(900A4P주철)기연건설" xr:uid="{00000000-0004-0000-0000-000030010000}"/>
    <hyperlink ref="Q326" r:id="rId306" display="\\Desktop-yang\e\(주)대호스토퍼\0영업사항(견적서)\AA지역별 견적현황\2022년\전라북도\장수군(주철 350A 外, 특허협약)-수공 동화권지사" xr:uid="{00000000-0004-0000-0000-000031010000}"/>
    <hyperlink ref="Q329" r:id="rId307" display="\\Desktop-yang\e\(주)대호스토퍼\0영업사항(견적서)\AA지역별 견적현황\2022년\전라북도\장수군(주철 350A 外, 특허협약)-수공 동화권지사" xr:uid="{00000000-0004-0000-0000-000032010000}"/>
    <hyperlink ref="Q327" r:id="rId308" xr:uid="{00000000-0004-0000-0000-000033010000}"/>
    <hyperlink ref="Q328" r:id="rId309" display="\\Desktop-yang\e\(주)대호스토퍼\0영업사항(견적서)\AA지역별 견적현황\2022년\지역난방\한국지역난방공사\2022년 열수송관 천공 및 차단공사(2권역)" xr:uid="{00000000-0004-0000-0000-000034010000}"/>
    <hyperlink ref="Q330" r:id="rId310" display="\\Desktop-yang\e\(주)대호스토퍼\0영업사항(견적서)\AA지역별 견적현황\2022년\지역난방\한국지역난방공사\2022년 열수송관 천공 및 차단공사(2권역)" xr:uid="{00000000-0004-0000-0000-000035010000}"/>
    <hyperlink ref="Q331" r:id="rId311" xr:uid="{00000000-0004-0000-0000-000036010000}"/>
    <hyperlink ref="Q332" r:id="rId312" display="\\Desktop-yang\e\(주)대호스토퍼\0영업사항(견적서)\AA지역별 견적현황\2022년\전라북도\장수군(주철 350A 外, 특허협약)-수공 동화권지사" xr:uid="{00000000-0004-0000-0000-000037010000}"/>
    <hyperlink ref="Q333" r:id="rId313" display="\\Desktop-yang\e\(주)대호스토퍼\0영업사항(견적서)\AA지역별 견적현황\2022년\경상북도\대구(1650x1P 긴급 야간)-대구시상수도사업본부" xr:uid="{00000000-0004-0000-0000-000038010000}"/>
    <hyperlink ref="Q334" r:id="rId314" display="\\Desktop-yang\e\(주)대호스토퍼\0영업사항(견적서)\AA지역별 견적현황\2022년\지역난방\한국지역난방공사\2022년 열수송관 천공 및 차단공사(2권역)" xr:uid="{00000000-0004-0000-0000-000039010000}"/>
    <hyperlink ref="Q335" r:id="rId315" xr:uid="{00000000-0004-0000-0000-00003A010000}"/>
    <hyperlink ref="Q318" r:id="rId316" display="\\Desktop-yang\e\(주)대호스토퍼\0영업사항(견적서)\AA지역별 견적현황\2022년\경상남도\창원(주철 600A, 양단)-수공, 홍수건설" xr:uid="{00000000-0004-0000-0000-00003B010000}"/>
    <hyperlink ref="Q336" r:id="rId317" display="\\Desktop-yang\e\(주)대호스토퍼\0영업사항(견적서)\AA지역별 견적현황\2021년\경기북부\파주(350A~900A)-파주시,대방건설" xr:uid="{00000000-0004-0000-0000-00003C010000}"/>
    <hyperlink ref="Q337" r:id="rId318" display="\\Desktop-yang\e\(주)대호스토퍼\0영업사항(견적서)\AA지역별 견적현황\2021년\경기북부\파주(350A~900A)-파주시,대방건설" xr:uid="{00000000-0004-0000-0000-00003D010000}"/>
    <hyperlink ref="Q338" r:id="rId319" xr:uid="{00000000-0004-0000-0000-00003E010000}"/>
    <hyperlink ref="Q339" r:id="rId320" xr:uid="{00000000-0004-0000-0000-00003F010000}"/>
    <hyperlink ref="Q340" r:id="rId321" display="\\Desktop-yang\e\(주)대호스토퍼\0영업사항(견적서)\AA지역별 견적현황\2022년\경기남서부\시흥(1200A 외)-수공,극동건설, 청수(호연토건)" xr:uid="{00000000-0004-0000-0000-000040010000}"/>
    <hyperlink ref="Q341" r:id="rId322" display="\\Desktop-yang\e\(주)대호스토퍼\0영업사항(견적서)\AA지역별 견적현황\2022년\경기남동부\이천 대포배수지(900A4P주철)기연건설" xr:uid="{00000000-0004-0000-0000-000041010000}"/>
    <hyperlink ref="Q342" r:id="rId323" display="\\Desktop-yang\e\(주)대호스토퍼\0영업사항(견적서)\AA지역별 견적현황\2023년\전라남도\광양1단계(광양구간 2000, 1650 차단 外)-수공, 와텍" xr:uid="{00000000-0004-0000-0000-000042010000}"/>
    <hyperlink ref="Q343" r:id="rId324" display="\\Desktop-yang\e\(주)대호스토퍼\0영업사항(견적서)\AA지역별 견적현황\2023년\경상북도\경산(강관 1500外 차단, 천공 포함) 경산정수장, 경산시, 핫라인" xr:uid="{00000000-0004-0000-0000-000043010000}"/>
    <hyperlink ref="Q344" r:id="rId325" display="\\Desktop-yang\e\(주)대호스토퍼\0영업사항(견적서)\AA지역별 견적현황\2023년\경상북도\경산(강관 1500外 차단, 천공 포함) 경산정수장, 경산시, 핫라인" xr:uid="{00000000-0004-0000-0000-000044010000}"/>
    <hyperlink ref="Q345" r:id="rId326" display="\\Desktop-yang\e\(주)대호스토퍼\0영업사항(견적서)\AA지역별 견적현황\2023년\경상북도\경산(강관 1500外 차단, 천공 포함) 경산정수장, 경산시, 핫라인" xr:uid="{00000000-0004-0000-0000-000045010000}"/>
    <hyperlink ref="Q346" r:id="rId327" display="\\Desktop-yang\e\(주)대호스토퍼\0영업사항(견적서)\AA지역별 견적현황\2022년\지역난방\한국지역난방공사\2022년 열수송관 천공 및 차단공사(2권역)" xr:uid="{00000000-0004-0000-0000-000046010000}"/>
    <hyperlink ref="Q347" r:id="rId328" display="\\Desktop-yang\e\(주)대호스토퍼\0영업사항(견적서)\AA지역별 견적현황\2023년\지역난방\서울에너지공사\구상에너지 단가" xr:uid="{00000000-0004-0000-0000-000047010000}"/>
    <hyperlink ref="Q348:Q349" r:id="rId329" display="\\Desktop-yang\e\(주)대호스토퍼\0영업사항(견적서)\AA지역별 견적현황\2023년\지역난방\서울에너지공사\구상에너지 단가" xr:uid="{00000000-0004-0000-0000-000048010000}"/>
    <hyperlink ref="Q350" r:id="rId330" display="\\Desktop-yang\e\(주)대호스토퍼\0영업사항(견적서)\AA지역별 견적현황\2022년\지역난방\한국지역난방공사\2022년 열수송관 천공 및 차단공사(2권역)" xr:uid="{00000000-0004-0000-0000-000049010000}"/>
    <hyperlink ref="Q351" r:id="rId331" display="\\Desktop-yang\e\(주)대호스토퍼\0영업사항(견적서)\AA지역별 견적현황\2023년\경기남서부\안산 한두건설\23.01.27-주철 350A 긴급건" xr:uid="{00000000-0004-0000-0000-00004A010000}"/>
    <hyperlink ref="Q298" r:id="rId332" display="\\Desktop-yang\e\(주)대호스토퍼\0영업사항(견적서)\AA지역별 견적현황\2022년\경기남서부\시흥(1200A 외)-수공,극동건설, 청수(호연토건)" xr:uid="{00000000-0004-0000-0000-00004B010000}"/>
    <hyperlink ref="Q353" r:id="rId333" display="\\Desktop-yang\e\(주)대호스토퍼\0영업사항(견적서)\AA지역별 견적현황\2023년\경상북도\경산(강관 1500外 차단, 천공 포함) 경산정수장, 경산시, 핫라인" xr:uid="{00000000-0004-0000-0000-00004C010000}"/>
    <hyperlink ref="Q354" r:id="rId334" display="\\Desktop-yang\e\(주)대호스토퍼\0영업사항(견적서)\AA지역별 견적현황\2023년\경상북도\경산(강관 1500外 차단, 천공 포함) 경산정수장, 경산시, 핫라인" xr:uid="{00000000-0004-0000-0000-00004D010000}"/>
    <hyperlink ref="Q355" r:id="rId335" display="\\Desktop-yang\e\(주)대호스토퍼\0영업사항(견적서)\AA지역별 견적현황\2023년\경상북도\경산(강관 1500外 차단, 천공 포함) 경산정수장, 경산시, 핫라인" xr:uid="{00000000-0004-0000-0000-00004E010000}"/>
    <hyperlink ref="Q356" r:id="rId336" display="\\Desktop-yang\e\(주)대호스토퍼\0영업사항(견적서)\AA지역별 견적현황\2022년\지역난방\한국지역난방공사\2022년 열수송관 천공 및 차단공사(2권역)" xr:uid="{00000000-0004-0000-0000-00004F010000}"/>
    <hyperlink ref="Q358" r:id="rId337" display="\\Desktop-yang\e\(주)대호스토퍼\0영업사항(견적서)\AA지역별 견적현황\2022년\지역난방\한국지역난방공사\2022년 열수송관 천공 및 차단공사(2권역)" xr:uid="{00000000-0004-0000-0000-000050010000}"/>
    <hyperlink ref="Q359" r:id="rId338" display="\\Desktop-yang\e\(주)대호스토퍼\0영업사항(견적서)\AA지역별 견적현황\2022년\지역난방\한국지역난방공사\2022년 열수송관 천공 및 차단공사(2권역)" xr:uid="{00000000-0004-0000-0000-000051010000}"/>
    <hyperlink ref="Q362" r:id="rId339" display="\\Desktop-yang\e\(주)대호스토퍼\0영업사항(견적서)\AA지역별 견적현황\2023년\경상북도\경산(강관 1500外 차단, 천공 포함) 경산정수장, 경산시, 핫라인" xr:uid="{00000000-0004-0000-0000-000052010000}"/>
    <hyperlink ref="Q363" r:id="rId340" display="\\Desktop-yang\e\(주)대호스토퍼\0영업사항(견적서)\AA지역별 견적현황\2023년\경상북도\경산(강관 1500外 차단, 천공 포함) 경산정수장, 경산시, 핫라인" xr:uid="{00000000-0004-0000-0000-000053010000}"/>
    <hyperlink ref="Q352" r:id="rId341" display="\\Desktop-yang\e\(주)대호스토퍼\0영업사항(견적서)\AA지역별 견적현황\2023년\경기남동부\수지정수장(1800Ax1650A 천공 외)-수공,대저건설" xr:uid="{00000000-0004-0000-0000-000054010000}"/>
    <hyperlink ref="Q361" r:id="rId342" display="\\Desktop-yang\e\(주)대호스토퍼\0영업사항(견적서)\AA지역별 견적현황\2022년\제주도\제주수자원(700,600)" xr:uid="{00000000-0004-0000-0000-000055010000}"/>
    <hyperlink ref="Q366" r:id="rId343" display="\\Desktop-yang\e\(주)대호스토퍼\0영업사항(견적서)\AA지역별 견적현황\2022년\제주도\제주수자원(700,600)" xr:uid="{00000000-0004-0000-0000-000056010000}"/>
    <hyperlink ref="Q367" r:id="rId344" display="\\Desktop-yang\e\(주)대호스토퍼\0영업사항(견적서)\AA지역별 견적현황\2023년\경기북부\파주(350A~900A)-파주시,대방건설" xr:uid="{00000000-0004-0000-0000-000057010000}"/>
    <hyperlink ref="Q368" r:id="rId345" display="\\Desktop-yang\e\(주)대호스토퍼\0영업사항(견적서)\AA지역별 견적현황\2023년\경기북부\파주(350A~900A)-파주시,대방건설" xr:uid="{00000000-0004-0000-0000-000058010000}"/>
    <hyperlink ref="Q364" r:id="rId346" display="\\Desktop-yang\e\(주)대호스토퍼\0영업사항(견적서)\AA지역별 견적현황\2023년\기타\일산동구 sk브로드밴드 데이터센터D300mm SUS관" xr:uid="{00000000-0004-0000-0000-000059010000}"/>
    <hyperlink ref="Q369" r:id="rId347" display="\\Desktop-yang\e\(주)대호스토퍼\0영업사항(견적서)\AA지역별 견적현황\2023년\경기북부\파주(350A~900A)-파주시,대방건설" xr:uid="{00000000-0004-0000-0000-00005A010000}"/>
    <hyperlink ref="Q370" r:id="rId348" display="\\Desktop-yang\e\(주)대호스토퍼\0영업사항(견적서)\AA지역별 견적현황\2023년\경상북도\포항공업용수도2차(1350A PC관 외)-수공,화인종합건설" xr:uid="{00000000-0004-0000-0000-00005B010000}"/>
    <hyperlink ref="Q371" r:id="rId349" display="\\Desktop-yang\e\(주)대호스토퍼\0영업사항(견적서)\AA지역별 견적현황\2023년\전라북도\군산,전주(1100, 900 각1P 강관)-수공, 삼부토건" xr:uid="{00000000-0004-0000-0000-00005C010000}"/>
    <hyperlink ref="Q365" r:id="rId350" display="\\Desktop-yang\e\(주)대호스토퍼\0영업사항(견적서)\AA지역별 견적현황\2022년\경상남도\마산(주철 900A 2P)-창원시, 주선건설" xr:uid="{00000000-0004-0000-0000-00005D010000}"/>
    <hyperlink ref="Q373" r:id="rId351" display="\\Desktop-yang\e\(주)대호스토퍼\0영업사항(견적서)\AA지역별 견적현황\2022년\지역난방\한국지역난방공사\2022년 열수송관 천공 및 차단공사(2권역)" xr:uid="{00000000-0004-0000-0000-00005E010000}"/>
    <hyperlink ref="Q374" r:id="rId352" display="\\Desktop-yang\e\(주)대호스토퍼\0영업사항(견적서)\AA지역별 견적현황\2023년\경상북도\포항공업용수도2차(1350A PC관 외)-수공,화인종합건설" xr:uid="{00000000-0004-0000-0000-00005F010000}"/>
    <hyperlink ref="Q375" r:id="rId353" display="\\Desktop-yang\e\(주)대호스토퍼\0영업사항(견적서)\AA지역별 견적현황\2023년\지역난방\대전 씨엔씨티에너지" xr:uid="{00000000-0004-0000-0000-000060010000}"/>
    <hyperlink ref="Q376" r:id="rId354" display="\\Desktop-yang\e\(주)대호스토퍼\0영업사항(견적서)\AA지역별 견적현황\2023년\전라북도\익산(D600 1P)-수공" xr:uid="{00000000-0004-0000-0000-000061010000}"/>
    <hyperlink ref="Q357" r:id="rId355" display="\\Desktop-yang\e\(주)대호스토퍼\0영업사항(견적서)\AA지역별 견적현황\2023년\지역난방\서울에너지공사\2022.12.13-450, 300 아이윌건설" xr:uid="{00000000-0004-0000-0000-000062010000}"/>
    <hyperlink ref="Q360" r:id="rId356" display="\\Desktop-yang\e\(주)대호스토퍼\0영업사항(견적서)\AA지역별 견적현황\2023년\지역난방\서울에너지공사\2022.12.13-450, 300 아이윌건설" xr:uid="{00000000-0004-0000-0000-000063010000}"/>
    <hyperlink ref="Q381" r:id="rId357" display="\\Desktop-yang\e\(주)대호스토퍼\0영업사항(견적서)\AA지역별 견적현황\2022년\지역난방\한국지역난방공사\2022년 열수송관 천공 및 차단공사(2권역)" xr:uid="{00000000-0004-0000-0000-000064010000}"/>
    <hyperlink ref="Q382" r:id="rId358" display="\\Desktop-yang\e\(주)대호스토퍼\0영업사항(견적서)\AA지역별 견적현황\2022년\전라북도\장수군(주철 350A 外, 특허협약)-수공 동화권지사" xr:uid="{00000000-0004-0000-0000-000065010000}"/>
    <hyperlink ref="Q383" r:id="rId359" display="\\Desktop-yang\e\(주)대호스토퍼\0영업사항(견적서)\AA지역별 견적현황\2023년\강원도\정선 신동정수장(강관 300)-정선군, 호황건설" xr:uid="{00000000-0004-0000-0000-000066010000}"/>
    <hyperlink ref="Q248" r:id="rId360" display="\\Desktop-yang\e\(주)대호스토퍼\0영업사항(견적서)\AA지역별 견적현황\2023년\지역난방\GS네오텍\인천 및 김포 수용가 인입 열수송관공사 중 분기TEE천공 공사-220922" xr:uid="{00000000-0004-0000-0000-000067010000}"/>
    <hyperlink ref="Q273" r:id="rId361" display="\\Desktop-yang\e\(주)대호스토퍼\0영업사항(견적서)\AA지역별 견적현황\2023년\지역난방\GS네오텍\인천 및 김포 수용가 인입 열수송관공사 중 분기TEE천공 공사-220922" xr:uid="{00000000-0004-0000-0000-000068010000}"/>
    <hyperlink ref="Q384" r:id="rId362" display="\\Desktop-yang\e\(주)대호스토퍼\0영업사항(견적서)\AA지역별 견적현황\2022년\지역난방\한국지역난방공사\2022년 열수송관 천공 및 차단공사(2권역)" xr:uid="{00000000-0004-0000-0000-000069010000}"/>
    <hyperlink ref="Q385" r:id="rId363" display="\\Desktop-yang\e\(주)대호스토퍼\0영업사항(견적서)\AA지역별 견적현황\2023년\충청북도\충주(이천~문경, 200A~1350A)-한국철도시설공단,현대건설,대성기공" xr:uid="{00000000-0004-0000-0000-00006A010000}"/>
    <hyperlink ref="Q386" r:id="rId364" display="\\Desktop-yang\e\(주)대호스토퍼\0영업사항(견적서)\AA지역별 견적현황\2023년\기타\대산임해(강관 1350x600)-지에스건설" xr:uid="{00000000-0004-0000-0000-00006B010000}"/>
    <hyperlink ref="Q390" r:id="rId365" display="\\Desktop-yang\e\(주)대호스토퍼\0영업사항(견적서)\AA지역별 견적현황\2023년\경기북부\남양주 하남시 단가견적(설계가 50%)-관수산업" xr:uid="{00000000-0004-0000-0000-00006C010000}"/>
    <hyperlink ref="Q387" r:id="rId366" display="\\Desktop-yang\e\(주)대호스토퍼\0영업사항(견적서)\AA지역별 견적현황\2023년\충청북도\청주(2200x600 外 천공)-명지기술단" xr:uid="{00000000-0004-0000-0000-00006D010000}"/>
    <hyperlink ref="Q388" r:id="rId367" display="\\Desktop-yang\e\(주)대호스토퍼\0영업사항(견적서)\AA지역별 견적현황\2023년\충청북도\청주(2200x600 外 천공)-명지기술단" xr:uid="{00000000-0004-0000-0000-00006E010000}"/>
    <hyperlink ref="Q391" r:id="rId368" display="\\Desktop-yang\e\(주)대호스토퍼\0영업사항(견적서)\AA지역별 견적현황\2023년\경상남도\부산새벽건설(D2200)-극동건설" xr:uid="{00000000-0004-0000-0000-00006F010000}"/>
    <hyperlink ref="Q389" r:id="rId369" display="\\Desktop-yang\e\(주)대호스토퍼\0영업사항(견적서)\AA지역별 견적현황\2023년\경기북부\파주 월롱면 위전리(800 4P)-수공 파주수도지사" xr:uid="{00000000-0004-0000-0000-000070010000}"/>
    <hyperlink ref="Q392" r:id="rId370" display="\\Desktop-yang\e\(주)대호스토퍼\0영업사항(견적서)\AA지역별 견적현황\2023년\송유관\문화지엔코" xr:uid="{00000000-0004-0000-0000-000071010000}"/>
    <hyperlink ref="Q393" r:id="rId371" display="\\Desktop-yang\e\(주)대호스토퍼\0영업사항(견적서)\AA지역별 견적현황\2023년\경상남도\울산(울산공업용수도 노후관 개량공사(3차))-수자원공사" xr:uid="{00000000-0004-0000-0000-000072010000}"/>
    <hyperlink ref="Q394" r:id="rId372" display="\\Desktop-yang\e\(주)대호스토퍼\0영업사항(견적서)\AA지역별 견적현황\2023년\경상남도\울산(울산공업용수도 노후관 개량공사(3차))-수자원공사" xr:uid="{00000000-0004-0000-0000-000073010000}"/>
    <hyperlink ref="Q379" r:id="rId373" display="\\Desktop-yang\e\(주)대호스토퍼\0영업사항(견적서)\AA지역별 견적현황\2023년\송유관\GS칼텍스(여수, 750, 900)-대양이엔지" xr:uid="{00000000-0004-0000-0000-000074010000}"/>
    <hyperlink ref="Q380" r:id="rId374" display="\\Desktop-yang\e\(주)대호스토퍼\0영업사항(견적서)\AA지역별 견적현황\2023년\송유관\GS칼텍스(여수, 750, 900)-대양이엔지" xr:uid="{00000000-0004-0000-0000-000075010000}"/>
    <hyperlink ref="Q398" r:id="rId375" display="\\Desktop-yang\e\(주)대호스토퍼\0영업사항(견적서)\AA지역별 견적현황\2023년\송유관\문화지엔코" xr:uid="{00000000-0004-0000-0000-000076010000}"/>
    <hyperlink ref="Q396" r:id="rId376" display="\\Desktop-yang\e\(주)대호스토퍼\0영업사항(견적서)\AA지역별 견적현황\2023년\경상북도\영천댐 안전성강화사업(900A, 강관)-삼부토건" xr:uid="{00000000-0004-0000-0000-000077010000}"/>
    <hyperlink ref="Q397" r:id="rId377" display="\\Desktop-yang\e\(주)대호스토퍼\0영업사항(견적서)\AA지역별 견적현황\2022년\지역난방\한국지역난방공사\2022년 열수송관 천공 및 차단공사(2권역)" xr:uid="{00000000-0004-0000-0000-000078010000}"/>
    <hyperlink ref="Q399" r:id="rId378" display="\\Desktop-yang\e\(주)대호스토퍼\0영업사항(견적서)\AA지역별 견적현황\2022년\지역난방\한국지역난방공사\2022년 열수송관 천공 및 차단공사(2권역)" xr:uid="{00000000-0004-0000-0000-000079010000}"/>
    <hyperlink ref="Q400" r:id="rId379" display="\\Desktop-yang\e\(주)대호스토퍼\0영업사항(견적서)\AA지역별 견적현황\2022년\지역난방\한국지역난방공사\2022년 열수송관 천공 및 차단공사(2권역)" xr:uid="{00000000-0004-0000-0000-00007A010000}"/>
    <hyperlink ref="Q401" r:id="rId380" display="\\Desktop-yang\e\(주)대호스토퍼\0영업사항(견적서)\AA지역별 견적현황\2023년\송유관\문화지엔코" xr:uid="{00000000-0004-0000-0000-00007B010000}"/>
    <hyperlink ref="Q403" r:id="rId381" display="\\Desktop-yang\e\(주)대호스토퍼\0영업사항(견적서)\AA지역별 견적현황\2022년\지역난방\한국지역난방공사\2022년 열수송관 천공 및 차단공사(2권역)" xr:uid="{00000000-0004-0000-0000-00007C010000}"/>
    <hyperlink ref="Q404" r:id="rId382" display="\\Desktop-yang\e\(주)대호스토퍼\0영업사항(견적서)\AA지역별 견적현황\2022년\지역난방\한국지역난방공사\2022년 열수송관 천공 및 차단공사(2권역)" xr:uid="{00000000-0004-0000-0000-00007D010000}"/>
    <hyperlink ref="Q402" r:id="rId383" display="\\Desktop-yang\e\(주)대호스토퍼\0영업사항(견적서)\AA지역별 견적현황\2023년\충청남도\대산 누수복구(D900)-케이워터기술" xr:uid="{00000000-0004-0000-0000-00007E010000}"/>
    <hyperlink ref="Q405" r:id="rId384" display="\\Desktop-yang\e\(주)대호스토퍼\0영업사항(견적서)\AA지역별 견적현황\2022년\지역난방\한국지역난방공사\2022년 열수송관 천공 및 차단공사(2권역)" xr:uid="{00000000-0004-0000-0000-00007F010000}"/>
    <hyperlink ref="Q406" r:id="rId385" display="\\Desktop-yang\e\(주)대호스토퍼\0영업사항(견적서)\AA지역별 견적현황\2023년\경상남도\부산새벽건설(D2200)-극동건설" xr:uid="{00000000-0004-0000-0000-000080010000}"/>
    <hyperlink ref="Q407" r:id="rId386" display="\\Desktop-yang\e\(주)대호스토퍼\0영업사항(견적서)\AA지역별 견적현황\2022년\지역난방\한국지역난방공사\2022년 열수송관 천공 및 차단공사(2권역)" xr:uid="{00000000-0004-0000-0000-000081010000}"/>
    <hyperlink ref="Q408" r:id="rId387" display="\\Desktop-yang\e\(주)대호스토퍼\0영업사항(견적서)\AA지역별 견적현황\2023년\경상남도\부산새벽건설(D2200)-극동건설" xr:uid="{00000000-0004-0000-0000-000082010000}"/>
    <hyperlink ref="Q409" r:id="rId388" display="\\Desktop-yang\e\(주)대호스토퍼\0영업사항(견적서)\AA지역별 견적현황\2023년\지역난방\GS파워\2023년 안양 냉천지구(750A)-에스엔제이엔지니어링" xr:uid="{00000000-0004-0000-0000-000083010000}"/>
    <hyperlink ref="Q410" r:id="rId389" display="\\Desktop-yang\e\(주)대호스토퍼\0영업사항(견적서)\AA지역별 견적현황\2023년\충청북도\충주(2200x300, 2200x350)-수공, 삼영기술" xr:uid="{00000000-0004-0000-0000-000084010000}"/>
    <hyperlink ref="Q411" r:id="rId390" display="\\Desktop-yang\e\(주)대호스토퍼\0영업사항(견적서)\AA지역별 견적현황\2023년\경기북부\고양(1650A)-수공,한국종합기술,지센엔지니어링" xr:uid="{00000000-0004-0000-0000-000085010000}"/>
    <hyperlink ref="Q412" r:id="rId391" display="\\Desktop-yang\e\(주)대호스토퍼\0영업사항(견적서)\AA지역별 견적현황\2022년\지역난방\한국지역난방공사\2022년 열수송관 천공 및 차단공사(2권역)" xr:uid="{00000000-0004-0000-0000-000086010000}"/>
    <hyperlink ref="Q413" r:id="rId392" display="\\Desktop-yang\e\(주)대호스토퍼\0영업사항(견적서)\AA지역별 견적현황\2022년\지역난방\한국지역난방공사\2022년 열수송관 천공 및 차단공사(2권역)" xr:uid="{00000000-0004-0000-0000-000087010000}"/>
    <hyperlink ref="Q414" r:id="rId393" display="\\Desktop-yang\e\(주)대호스토퍼\0영업사항(견적서)\AA지역별 견적현황\2022년\지역난방\한국지역난방공사\2022년 열수송관 천공 및 차단공사(2권역)" xr:uid="{00000000-0004-0000-0000-000088010000}"/>
    <hyperlink ref="Q415" r:id="rId394" display="\\Desktop-yang\e\(주)대호스토퍼\0영업사항(견적서)\AA지역별 견적현황\2022년\지역난방\한국지역난방공사\2022년 열수송관 천공 및 차단공사(2권역)" xr:uid="{00000000-0004-0000-0000-000089010000}"/>
    <hyperlink ref="Q417" r:id="rId395" display="\\Desktop-yang\e\(주)대호스토퍼\0영업사항(견적서)\AA지역별 견적현황\2022년\지역난방\한국지역난방공사\2022년 열수송관 천공 및 차단공사(2권역)" xr:uid="{00000000-0004-0000-0000-00008A010000}"/>
    <hyperlink ref="Q418" r:id="rId396" display="\\Desktop-yang\e\(주)대호스토퍼\0영업사항(견적서)\AA지역별 견적현황\2023년\경상북도\포항공업용수도2차(1350A PC관 외)-수공,화인종합건설" xr:uid="{00000000-0004-0000-0000-00008B010000}"/>
    <hyperlink ref="Q419" r:id="rId397" display="\\Desktop-yang\e\(주)대호스토퍼\0영업사항(견적서)\AA지역별 견적현황\2023년\경기북부\파주(350A~900A)-파주시,대방건설" xr:uid="{00000000-0004-0000-0000-00008C010000}"/>
    <hyperlink ref="Q420" r:id="rId398" display="\\Desktop-yang\e\(주)대호스토퍼\0영업사항(견적서)\AA지역별 견적현황\2023년\경기북부\파주(350A~900A)-파주시,대방건설" xr:uid="{00000000-0004-0000-0000-00008D010000}"/>
    <hyperlink ref="Q421" r:id="rId399" display="\\Desktop-yang\e\(주)대호스토퍼\0영업사항(견적서)\AA지역별 견적현황\2023년\경기북부\파주(350A~900A)-파주시,대방건설" xr:uid="{00000000-0004-0000-0000-00008E010000}"/>
    <hyperlink ref="Q422" r:id="rId400" display="\\Desktop-yang\e\(주)대호스토퍼\0영업사항(견적서)\AA지역별 견적현황\2022년\지역난방\한국지역난방공사\2022년 열수송관 천공 및 차단공사(2권역)" xr:uid="{00000000-0004-0000-0000-00008F010000}"/>
    <hyperlink ref="Q423" r:id="rId401" display="\\Desktop-yang\e\(주)대호스토퍼\0영업사항(견적서)\AA지역별 견적현황\2023년\경상북도\경산(강관 1500外 차단, 천공 포함) 경산정수장, 경산시, 핫라인" xr:uid="{00000000-0004-0000-0000-000090010000}"/>
    <hyperlink ref="Q424" r:id="rId402" display="\\Desktop-yang\e\(주)대호스토퍼\0영업사항(견적서)\AA지역별 견적현황\2022년\경기남서부\오산(900A, 강관)-수공, 명보P&amp;C, 오산세교" xr:uid="{00000000-0004-0000-0000-000091010000}"/>
    <hyperlink ref="Q425" r:id="rId403" display="\\Desktop-yang\e\(주)대호스토퍼\0영업사항(견적서)\AA지역별 견적현황\2022년\경기남서부\오산(900A, 강관)-수공, 명보P&amp;C, 오산세교" xr:uid="{00000000-0004-0000-0000-000092010000}"/>
    <hyperlink ref="Q426" r:id="rId404" display="\\Desktop-yang\e\(주)대호스토퍼\0영업사항(견적서)\AA지역별 견적현황\2023년\지역난방\청라에너지\1100x900 gs네오텍 분기티" xr:uid="{00000000-0004-0000-0000-000093010000}"/>
    <hyperlink ref="Q427" r:id="rId405" display="\\Desktop-yang\e\(주)대호스토퍼\0영업사항(견적서)\AA지역별 견적현황\2023년\경기남서부\시흥 은계 공공주택(1650x250)-LH, 계룡건설, 우령건설" xr:uid="{00000000-0004-0000-0000-000094010000}"/>
    <hyperlink ref="Q428" r:id="rId406" display="\\Desktop-yang\e\(주)대호스토퍼\0영업사항(견적서)\AA지역별 견적현황\2023년\경기북부\파주(350A~900A)-파주시,대방건설" xr:uid="{00000000-0004-0000-0000-000095010000}"/>
    <hyperlink ref="Q429" r:id="rId407" display="\\Desktop-yang\e\(주)대호스토퍼\0영업사항(견적서)\AA지역별 견적현황\2023년\경기남동부\평택 지제세교지구(1200A,450A)-수공" xr:uid="{00000000-0004-0000-0000-000096010000}"/>
    <hyperlink ref="Q430" r:id="rId408" display="\\Desktop-yang\e\(주)대호스토퍼\0영업사항(견적서)\AA지역별 견적현황\2023년\경기남동부\평택 지제세교지구(1200A,450A)-수공" xr:uid="{00000000-0004-0000-0000-000097010000}"/>
    <hyperlink ref="Q431" r:id="rId409" display="\\Desktop-yang\e\(주)대호스토퍼\0영업사항(견적서)\AA지역별 견적현황\2023년\기타\현대제철 2000A 차단  - 23.03.10\백산테크" xr:uid="{00000000-0004-0000-0000-000098010000}"/>
    <hyperlink ref="Q432" r:id="rId410" display="\\Desktop-yang\e\(주)대호스토퍼\0영업사항(견적서)\AA지역별 견적현황\2023년\충청북도\충주댐 앙성계통(주철 500Ax8P)-수공, 세종이엔씨" xr:uid="{00000000-0004-0000-0000-000099010000}"/>
    <hyperlink ref="Q433" r:id="rId411" display="\\Desktop-yang\e\(주)대호스토퍼\0영업사항(견적서)\AA지역별 견적현황\2023년\충청북도\충주댐 앙성계통(주철 500Ax8P)-수공, 세종이엔씨" xr:uid="{00000000-0004-0000-0000-00009A010000}"/>
    <hyperlink ref="Q434" r:id="rId412" display="\\Desktop-yang\e\(주)대호스토퍼\0영업사항(견적서)\AA지역별 견적현황\2022년\지역난방\한국지역난방공사\2022년 열수송관 천공 및 차단공사(2권역)" xr:uid="{00000000-0004-0000-0000-00009B010000}"/>
    <hyperlink ref="Q435" r:id="rId413" display="\\Desktop-yang\e\(주)대호스토퍼\0영업사항(견적서)\AA지역별 견적현황\2023년\지역난방\GS파워\★2023.6.8~15 입찰 4건" xr:uid="{00000000-0004-0000-0000-00009C010000}"/>
    <hyperlink ref="Q436" r:id="rId414" display="\\Desktop-yang\e\(주)대호스토퍼\0영업사항(견적서)\AA지역별 견적현황\2023년\지역난방\부산도시가스\드림나인(지성엔지니어링)" xr:uid="{00000000-0004-0000-0000-00009D010000}"/>
    <hyperlink ref="Q437" r:id="rId415" display="\\Desktop-yang\e\(주)대호스토퍼\0영업사항(견적서)\AA지역별 견적현황\2023년\경상남도\울산(울산공업용수도 노후관 개량공사(3차))-수자원공사" xr:uid="{00000000-0004-0000-0000-00009E010000}"/>
    <hyperlink ref="Q438" r:id="rId416" display="\\Desktop-yang\e\(주)대호스토퍼\0영업사항(견적서)\AA지역별 견적현황\2023년\송유관\문화지엔코" xr:uid="{00000000-0004-0000-0000-00009F010000}"/>
    <hyperlink ref="Q439" r:id="rId417" display="\\Desktop-yang\e\(주)대호스토퍼\0영업사항(견적서)\AA지역별 견적현황\2023년\송유관\문화지엔코" xr:uid="{00000000-0004-0000-0000-0000A0010000}"/>
    <hyperlink ref="Q440" r:id="rId418" display="\\Desktop-yang\e\(주)대호스토퍼\0영업사항(견적서)\AA지역별 견적현황\2023년\송유관\문화지엔코" xr:uid="{00000000-0004-0000-0000-0000A1010000}"/>
    <hyperlink ref="Q441" r:id="rId419" display="\\Desktop-yang\e\(주)대호스토퍼\0영업사항(견적서)\AA지역별 견적현황\2023년\송유관\문화지엔코" xr:uid="{00000000-0004-0000-0000-0000A2010000}"/>
    <hyperlink ref="Q442" r:id="rId420" display="\\Desktop-yang\e\(주)대호스토퍼\0영업사항(견적서)\AA지역별 견적현황\2023년\송유관\문화지엔코" xr:uid="{00000000-0004-0000-0000-0000A3010000}"/>
    <hyperlink ref="Q443" r:id="rId421" display="\\Desktop-yang\e\(주)대호스토퍼\0영업사항(견적서)\AA지역별 견적현황\2023년\경기북부\남양주 하남시 단가견적(설계가 50%)-관수산업" xr:uid="{00000000-0004-0000-0000-0000A4010000}"/>
    <hyperlink ref="Q444" r:id="rId422" display="\\Desktop-yang\e\(주)대호스토퍼\0영업사항(견적서)\AA지역별 견적현황\2023년\전라북도\완주-전주권광역 대아댐(D1800)-수공 전주권지사" xr:uid="{00000000-0004-0000-0000-0000A5010000}"/>
    <hyperlink ref="Q446" r:id="rId423" display="\\Desktop-yang\e\(주)대호스토퍼\0영업사항(견적서)\AA지역별 견적현황\2023년\지역난방\GS파워\2023년 부천지역 신규고객\실행-다림건설" xr:uid="{00000000-0004-0000-0000-0000A6010000}"/>
    <hyperlink ref="Q447" r:id="rId424" display="\\Desktop-yang\e\(주)대호스토퍼\0영업사항(견적서)\AA지역별 견적현황\2023년\경상북도\포항공업용수도2차(1350A PC관 외)-수공,화인종합건설" xr:uid="{00000000-0004-0000-0000-0000A7010000}"/>
    <hyperlink ref="Q448" r:id="rId425" display="\\Desktop-yang\e\(주)대호스토퍼\0영업사항(견적서)\AA지역별 견적현황\2023년\전라남도\강진~광주6공구(주철 600)-한국도로공사, 극동건설" xr:uid="{00000000-0004-0000-0000-0000A8010000}"/>
    <hyperlink ref="Q449" r:id="rId426" display="\\Desktop-yang\e\(주)대호스토퍼\0영업사항(견적서)\AA지역별 견적현황\2023년\지역난방\GS파워\2023년 부천지역 신규고객\실행-다림건설" xr:uid="{00000000-0004-0000-0000-0000A9010000}"/>
    <hyperlink ref="Q450" r:id="rId427" display="\\Desktop-yang\e\(주)대호스토퍼\0영업사항(견적서)\AA지역별 견적현황\2023년\지역난방\GS파워" xr:uid="{00000000-0004-0000-0000-0000AA010000}"/>
    <hyperlink ref="Q451" r:id="rId428" display="\\Desktop-yang\e\(주)대호스토퍼\0영업사항(견적서)\AA지역별 견적현황\2023년\경기북부\고양(1650A)-수공,한국종합기술,지센엔지니어링" xr:uid="{00000000-0004-0000-0000-0000AB010000}"/>
    <hyperlink ref="Q452" r:id="rId429" display="\\Desktop-yang\e\(주)대호스토퍼\0영업사항(견적서)\AA지역별 견적현황\2023년\경기북부\남양주(700A Neck 긴급공사)-쏘일테크엔지니어링" xr:uid="{00000000-0004-0000-0000-0000AC010000}"/>
    <hyperlink ref="Q453" r:id="rId430" display="\\Desktop-yang\e\(주)대호스토퍼\0영업사항(견적서)\AA지역별 견적현황\2023년\경기북부\남양주 하남시 단가견적(설계가 50%)-관수산업" xr:uid="{00000000-0004-0000-0000-0000AD010000}"/>
    <hyperlink ref="Q454" r:id="rId431" display="\\Desktop-yang\e\(주)대호스토퍼\0영업사항(견적서)\AA지역별 견적현황\2023년\경상북도\구미(강관 D800)-수공, 우수이앤씨" xr:uid="{00000000-0004-0000-0000-0000AE010000}"/>
    <hyperlink ref="Q455" r:id="rId432" display="\\Desktop-yang\e\(주)대호스토퍼\0영업사항(견적서)\AA지역별 견적현황\2023년\지역난방\GS파워\2023년 부천지역 신규고객\실행-다림건설" xr:uid="{00000000-0004-0000-0000-0000AF010000}"/>
    <hyperlink ref="Q456" r:id="rId433" xr:uid="{00000000-0004-0000-0000-0000B0010000}"/>
    <hyperlink ref="Q457" r:id="rId434" display="\\Desktop-yang\e\(주)대호스토퍼\0영업사항(견적서)\AA지역별 견적현황\2023년\지역난방\GS파워" xr:uid="{00000000-0004-0000-0000-0000B1010000}"/>
    <hyperlink ref="Q458" r:id="rId435" xr:uid="{00000000-0004-0000-0000-0000B2010000}"/>
    <hyperlink ref="Q459" r:id="rId436" display="\\Desktop-yang\e\(주)대호스토퍼\0영업사항(견적서)\AA지역별 견적현황\2023년\경상북도\포항 안계댐(1350A)-수공,유신,극동건설\23년 천공견적" xr:uid="{00000000-0004-0000-0000-0000B3010000}"/>
    <hyperlink ref="Q460" r:id="rId437" display="\\Desktop-yang\e\(주)대호스토퍼\0영업사항(견적서)\AA지역별 견적현황\2023년\지역난방\GS파워\★2023.6.8~15 입찰 4건" xr:uid="{00000000-0004-0000-0000-0000B4010000}"/>
    <hyperlink ref="Q461" r:id="rId438" display="\\Desktop-yang\e\(주)대호스토퍼\0영업사항(견적서)\AA지역별 견적현황\2023년\경기남동부\평택~오산 국도확장공사(1350A 이설)-수공,서울지방국토관리청,효광eng\상산건설-23.04.05" xr:uid="{00000000-0004-0000-0000-0000B5010000}"/>
    <hyperlink ref="Q462" r:id="rId439" display="\\Desktop-yang\e\(주)대호스토퍼\0영업사항(견적서)\AA지역별 견적현황\2023년\경기남동부\평택~오산 국도확장공사(1350A 이설)-수공,서울지방국토관리청,효광eng\상산건설-23.04.05" xr:uid="{00000000-0004-0000-0000-0000B6010000}"/>
    <hyperlink ref="Q463" r:id="rId440" display="\\Desktop-yang\e\(주)대호스토퍼\0영업사항(견적서)\AA지역별 견적현황\2023년\전라남도\광양1단계(광양구간 2000, 1650 차단 外)-수공, 와텍\KCC건설\추가건(1650x1P)-231116" xr:uid="{00000000-0004-0000-0000-0000B7010000}"/>
    <hyperlink ref="Q465" r:id="rId441" display="\\Desktop-yang\e\(주)대호스토퍼\0영업사항(견적서)\AA지역별 견적현황\2023년\지역난방\GS파워\2023년 부천지역 신규고객\실행-다림건설" xr:uid="{00000000-0004-0000-0000-0000B8010000}"/>
    <hyperlink ref="Q466" r:id="rId442" display="\\Desktop-yang\e\(주)대호스토퍼\0영업사항(견적서)\AA지역별 견적현황\2023년\경기남동부\평택호(900)-관보토건" xr:uid="{00000000-0004-0000-0000-0000B9010000}"/>
    <hyperlink ref="Q467" r:id="rId443" display="\\Desktop-yang\e\(주)대호스토퍼\0영업사항(견적서)\AA지역별 견적현황\2023년\지역난방\GS파워" xr:uid="{00000000-0004-0000-0000-0000BA010000}"/>
    <hyperlink ref="Q469" r:id="rId444" display="\\Desktop-yang\e\(주)대호스토퍼\0영업사항(견적서)\AA지역별 견적현황\2023년\경기남서부\화성동탄(1350A)-수공,대진종합건설,건양건설" xr:uid="{00000000-0004-0000-0000-0000BB010000}"/>
    <hyperlink ref="Q470" r:id="rId445" display="\\Desktop-yang\e\(주)대호스토퍼\0영업사항(견적서)\AA지역별 견적현황\2023년\경기남서부\화성동탄(1350A)-수공,대진종합건설,건양건설" xr:uid="{00000000-0004-0000-0000-0000BC010000}"/>
    <hyperlink ref="Q471" r:id="rId446" display="\\Desktop-yang\e\(주)대호스토퍼\0영업사항(견적서)\AA지역별 견적현황\2023년\전라남도\광양1단계(광양구간 2000, 1650 차단 外)-수공, 와텍\KCC건설" xr:uid="{00000000-0004-0000-0000-0000BD010000}"/>
    <hyperlink ref="Q472" r:id="rId447" display="\\Desktop-yang\e\(주)대호스토퍼\0영업사항(견적서)\AA지역별 견적현황\2023년\경상남도\거제도(900x900)-수공,오득근" xr:uid="{00000000-0004-0000-0000-0000BE010000}"/>
    <hyperlink ref="Q473" r:id="rId448" xr:uid="{00000000-0004-0000-0000-0000BF010000}"/>
    <hyperlink ref="Q474" r:id="rId449" display="\\Desktop-yang\e\(주)대호스토퍼\0영업사항(견적서)\AA지역별 견적현황\2023년\충청남도\충남서부권 제2공구 태안-수공, 흥화" xr:uid="{00000000-0004-0000-0000-0000C0010000}"/>
    <hyperlink ref="Q475" r:id="rId450" display="\\Desktop-yang\e\(주)대호스토퍼\0영업사항(견적서)\AA지역별 견적현황\2023년\지역난방\GS파워" xr:uid="{00000000-0004-0000-0000-0000C1010000}"/>
    <hyperlink ref="Q476" r:id="rId451" display="\\Desktop-yang\e\(주)대호스토퍼\0영업사항(견적서)\AA지역별 견적현황\2023년\전라남도\광양1단계(광양구간 2000, 1650 차단 外)-수공, 와텍\KCC건설" xr:uid="{00000000-0004-0000-0000-0000C2010000}"/>
    <hyperlink ref="Q468" r:id="rId452" display="\\Desktop-yang\e\(주)대호스토퍼\0영업사항(견적서)\AA지역별 견적현황\2023년\경기북부\고양(1650A)-수공,한국종합기술,지센엔지니어링" xr:uid="{00000000-0004-0000-0000-0000C3010000}"/>
    <hyperlink ref="Q478" r:id="rId453" display="\\Desktop-yang\e\(주)대호스토퍼\0영업사항(견적서)\AA지역별 견적현황\2024년\경기북부\파주 긴급(강관 600A)-수공, 경인수도건설" xr:uid="{00000000-0004-0000-0000-0000C4010000}"/>
    <hyperlink ref="Q480" r:id="rId454" display="\\Desktop-yang\e\(주)대호스토퍼\0영업사항(견적서)\AA지역별 견적현황\2024년\서울시\목동교~도림천간 장기사용 송배수관~(1500A)-서울시 상수도사업본부" xr:uid="{00000000-0004-0000-0000-0000C5010000}"/>
    <hyperlink ref="Q481:Q483" r:id="rId455" display="\\Desktop-yang\e\(주)대호스토퍼\0영업사항(견적서)\AA지역별 견적현황\2024년\서울시\목동교~도림천간 장기사용 송배수관~(1500A)-서울시 상수도사업본부" xr:uid="{00000000-0004-0000-0000-0000C6010000}"/>
    <hyperlink ref="Q485" r:id="rId456" display="\\Desktop-yang\e\(주)대호스토퍼\0영업사항(견적서)\AA지역별 견적현황\2023년\충청남도\아산(강 900, 주철 600)-수공, 제이엠" xr:uid="{00000000-0004-0000-0000-0000C7010000}"/>
    <hyperlink ref="Q484" r:id="rId457" display="\\Desktop-yang\E\(주)대호스토퍼\0영업사항(견적서)\AA지역별 견적현황\2024년\강원도\정선 신동정수장(강관 300)-정선군, 호황건설" xr:uid="{00000000-0004-0000-0000-0000C8010000}"/>
    <hyperlink ref="Q488" r:id="rId458" display="\\Desktop-yang\e\(주)대호스토퍼\0영업사항(견적서)\AA지역별 견적현황\2024년\지역난방\GS파워\아전이엔씨" xr:uid="{00000000-0004-0000-0000-0000C9010000}"/>
    <hyperlink ref="Q490" r:id="rId459" display="\\Desktop-yang\e\(주)대호스토퍼\0영업사항(견적서)\AA지역별 견적현황\2024년\충청남도\충남서부권 제2공구 태안-수공, 흥화" xr:uid="{00000000-0004-0000-0000-0000CA010000}"/>
    <hyperlink ref="Q491" r:id="rId460" display="\\Desktop-yang\e\(주)대호스토퍼\0영업사항(견적서)\AA지역별 견적현황\2023년\충청남도\아산(2000A,1200A)-수공,씨티건설, (주)강물" xr:uid="{00000000-0004-0000-0000-0000CB010000}"/>
    <hyperlink ref="Q492" r:id="rId461" display="\\Desktop-yang\e\(주)대호스토퍼\0영업사항(견적서)\AA지역별 견적현황\2024년\충청남도\아산(2000A,1200A)-수공,씨티건설, (주)강물" xr:uid="{00000000-0004-0000-0000-0000CC010000}"/>
    <hyperlink ref="Q477" r:id="rId462" display="\\Desktop-yang\e\(주)대호스토퍼\0영업사항(견적서)\AA지역별 견적현황\2024년\지역난방\GS파워\아전이엔씨" xr:uid="{00000000-0004-0000-0000-0000CD010000}"/>
    <hyperlink ref="Q493" r:id="rId463" display="\\Desktop-yang\E\(주)대호스토퍼\0영업사항(견적서)\AA지역별 견적현황\2024년\지역난방\DS파워\분기티 500x250-대성물류산업" xr:uid="{00000000-0004-0000-0000-0000CE010000}"/>
    <hyperlink ref="Q494" r:id="rId464" display="\\Desktop-yang\e\(주)대호스토퍼\0영업사항(견적서)\AA지역별 견적현황\2024년\제주도\제주수자원(600)" xr:uid="{00000000-0004-0000-0000-0000CF010000}"/>
    <hyperlink ref="Q495" r:id="rId465" display="\\Desktop-yang\e\(주)대호스토퍼\0영업사항(견적서)\AA지역별 견적현황\2024년\전라북도\군산 공업용수도(1000A 재차단)-수공, 삼부토건" xr:uid="{00000000-0004-0000-0000-0000D0010000}"/>
    <hyperlink ref="Q486" r:id="rId466" display="\\Desktop-yang\e\(주)대호스토퍼\0영업사항(견적서)\AA지역별 견적현황\2024년\경상남도\김해 대동~매리간(주철 400x4P)-김해시, 새벽건설" xr:uid="{00000000-0004-0000-0000-0000D1010000}"/>
    <hyperlink ref="Q496" r:id="rId467" display="\\Desktop-yang\e\(주)대호스토퍼\0영업사항(견적서)\AA지역별 견적현황\2024년\서울시\목동교~도림천간 장기사용 송배수관~(1500A)-서울시 상수도사업본부" xr:uid="{00000000-0004-0000-0000-0000D2010000}"/>
    <hyperlink ref="Q497" r:id="rId468" display="\\Desktop-yang\e\(주)대호스토퍼\0영업사항(견적서)\AA지역별 견적현황\2024년\서울시\목동교~도림천간 장기사용 송배수관~(1500A)-서울시 상수도사업본부" xr:uid="{00000000-0004-0000-0000-0000D3010000}"/>
    <hyperlink ref="Q498" r:id="rId469" display="\\Desktop-yang\e\(주)대호스토퍼\0영업사항(견적서)\AA지역별 견적현황\2024년\서울시\목동교~도림천간 장기사용 송배수관~(1500A)-서울시 상수도사업본부" xr:uid="{00000000-0004-0000-0000-0000D4010000}"/>
    <hyperlink ref="Q499" r:id="rId470" display="\\Desktop-yang\e\(주)대호스토퍼\0영업사항(견적서)\AA지역별 견적현황\2024년\지역난방\GS파워\아전이엔씨" xr:uid="{00000000-0004-0000-0000-0000D5010000}"/>
    <hyperlink ref="Q501" r:id="rId471" display="\\Desktop-yang\e\(주)대호스토퍼\0영업사항(견적서)\AA지역별 견적현황\2024년\서울시\목동교~도림천간 장기사용 송배수관~(1500A)-서울시 상수도사업본부" xr:uid="{00000000-0004-0000-0000-0000D6010000}"/>
    <hyperlink ref="Q503" r:id="rId472" display="\\Desktop-yang\e\(주)대호스토퍼\0영업사항(견적서)\AA지역별 견적현황\2024년\경상북도\구미광역(2단계)김천계통(1구간) 추가건(D700)-수공" xr:uid="{00000000-0004-0000-0000-0000D7010000}"/>
    <hyperlink ref="Q504" r:id="rId473" display="\\Desktop-yang\e\(주)대호스토퍼\0영업사항(견적서)\AA지역별 견적현황\2024년\지역난방\부산도시가스\분기티 천공(700x125, 250x200)-을묘종건" xr:uid="{00000000-0004-0000-0000-0000D8010000}"/>
    <hyperlink ref="Q505" r:id="rId474" display="\\Desktop-yang\e\(주)대호스토퍼\0영업사항(견적서)\AA지역별 견적현황\2024년\경상북도\구미광역(2단계)김천계통(1구간) 추가건(D700)-수공" xr:uid="{00000000-0004-0000-0000-0000D9010000}"/>
    <hyperlink ref="Q506" r:id="rId475" display="\\Desktop-yang\e\(주)대호스토퍼\0영업사항(견적서)\AA지역별 견적현황\2023년\경기남동부\광주-용인 공동취수장(1650x500, 1800x1500)" xr:uid="{00000000-0004-0000-0000-0000DA010000}"/>
    <hyperlink ref="Q507" r:id="rId476" display="\\Desktop-yang\e\(주)대호스토퍼\0영업사항(견적서)\AA지역별 견적현황\2023년\지역난방\GS파워\계양지구(700Ax4P)-승재" xr:uid="{00000000-0004-0000-0000-0000DB010000}"/>
    <hyperlink ref="Q508" r:id="rId477" display="\\Desktop-yang\e\(주)대호스토퍼\0영업사항(견적서)\AA지역별 견적현황\2023년\지역난방\GS파워\계양지구(700Ax4P)-승재" xr:uid="{00000000-0004-0000-0000-0000DC010000}"/>
    <hyperlink ref="Q509" r:id="rId478" display="\\Desktop-yang\e\(주)대호스토퍼\0영업사항(견적서)\AA지역별 견적현황\2024년\기타\현대제철\화성 1,2기 농안수 열교환기 밸브교체 공사(250A) 24.03.21" xr:uid="{00000000-0004-0000-0000-0000DD010000}"/>
    <hyperlink ref="Q512" r:id="rId479" display="\\Desktop-yang\e\(주)대호스토퍼\0영업사항(견적서)\AA지역별 견적현황\2024년\전라남도\여수 pc관 천공(900x600A 외)" xr:uid="{00000000-0004-0000-0000-0000DE010000}"/>
    <hyperlink ref="Q513" r:id="rId480" display="\\Desktop-yang\e\(주)대호스토퍼\0영업사항(견적서)\AA지역별 견적현황\2024년\전라남도\여수 pc관 천공(900x600A 외)" xr:uid="{00000000-0004-0000-0000-0000DF010000}"/>
    <hyperlink ref="Q514" r:id="rId481" display="\\Desktop-yang\e\(주)대호스토퍼\0영업사항(견적서)\AA지역별 견적현황\2024년\전라남도\여수 pc관 천공(900x600A 외)" xr:uid="{00000000-0004-0000-0000-0000E0010000}"/>
    <hyperlink ref="Q516" r:id="rId482" display="\\Desktop-yang\e\(주)대호스토퍼\0영업사항(견적서)\AA지역별 견적현황\2024년\지역난방\부산도시가스\분기티 천공(700x125, 250x200)-을묘종건" xr:uid="{00000000-0004-0000-0000-0000E1010000}"/>
    <hyperlink ref="Q518" r:id="rId483" display="\\Desktop-yang\e\(주)대호스토퍼\0영업사항(견적서)\AA지역별 견적현황\2024년\전라남도\여수 국가폐수(강관 500A)-한국환경공단, 건희건설" xr:uid="{00000000-0004-0000-0000-0000E2010000}"/>
    <hyperlink ref="Q519" r:id="rId484" display="\\Desktop-yang\e\(주)대호스토퍼\0영업사항(견적서)\AA지역별 견적현황\2024년\지역난방\GS파워\안양 gs파워 내 900A 차단 후 재차단 공사\한은이엔씨" xr:uid="{00000000-0004-0000-0000-0000E3010000}"/>
    <hyperlink ref="Q520" r:id="rId485" display="\\Desktop-yang\e\(주)대호스토퍼\0영업사항(견적서)\AA지역별 견적현황\2023년\기타\대전열병합(스팀 600A)" xr:uid="{00000000-0004-0000-0000-0000E4010000}"/>
    <hyperlink ref="Q510" r:id="rId486" display="\\Desktop-yang\e\(주)대호스토퍼\0영업사항(견적서)\AA지역별 견적현황\2024년\지역난방\삼천리이엔지" xr:uid="{00000000-0004-0000-0000-0000E5010000}"/>
    <hyperlink ref="Q521" r:id="rId487" display="\\Desktop-yang\e\(주)대호스토퍼\0영업사항(견적서)\AA지역별 견적현황\2024년\지역난방\삼천리이엔지" xr:uid="{00000000-0004-0000-0000-0000E6010000}"/>
    <hyperlink ref="Q522" r:id="rId488" display="\\Desktop-yang\e\(주)대호스토퍼\0영업사항(견적서)\AA지역별 견적현황\2023년\기타\현대제철(Steam 350A 4P 外) - 두형엔지니어링" xr:uid="{00000000-0004-0000-0000-0000E7010000}"/>
    <hyperlink ref="Q523" r:id="rId489" display="\\Desktop-yang\e\(주)대호스토퍼\0영업사항(견적서)\AA지역별 견적현황\2023년\기타\현대제철(Steam 350A 4P 外) - 두형엔지니어링" xr:uid="{00000000-0004-0000-0000-0000E8010000}"/>
    <hyperlink ref="Q524" r:id="rId490" display="\\Desktop-yang\e\(주)대호스토퍼\0영업사항(견적서)\AA지역별 견적현황\2024년\지역난방\삼천리이엔지" xr:uid="{00000000-0004-0000-0000-0000E9010000}"/>
    <hyperlink ref="Q525" r:id="rId491" display="\\Desktop-yang\E\(주)대호스토퍼\0영업사항(견적서)\AA지역별 견적현황\2024년\강원도\정선 신동정수장(강관 300)-정선군, 호황건설" xr:uid="{00000000-0004-0000-0000-0000EA010000}"/>
    <hyperlink ref="Q526" r:id="rId492" display="\\Desktop-yang\E\(주)대호스토퍼\0영업사항(견적서)\AA지역별 견적현황\2024년\강원도\정선 신동정수장(강관 300)-정선군, 호황건설" xr:uid="{00000000-0004-0000-0000-0000EB010000}"/>
    <hyperlink ref="Q527" r:id="rId493" display="\\Desktop-yang\E\(주)대호스토퍼\0영업사항(견적서)\AA지역별 견적현황\2024년\강원도\정선 신동정수장(강관 300)-정선군, 호황건설" xr:uid="{00000000-0004-0000-0000-0000EC010000}"/>
    <hyperlink ref="Q529" r:id="rId494" display="\\Desktop-yang\e\(주)대호스토퍼\0영업사항(견적서)\AA지역별 견적현황\2024년\충청남도\대전 중리취수장(2400x1P)-대전시, 태림환경" xr:uid="{00000000-0004-0000-0000-0000ED010000}"/>
    <hyperlink ref="Q530" r:id="rId495" display="\\Desktop-yang\e\(주)대호스토퍼\0영업사항(견적서)\AA지역별 견적현황\2023년\충청북도\충주(이천~문경, 200A~1350A)-한국철도시설공단,현대건설,대성기공" xr:uid="{00000000-0004-0000-0000-0000EE010000}"/>
    <hyperlink ref="Q533" r:id="rId496" xr:uid="{00000000-0004-0000-0000-0000EF010000}"/>
    <hyperlink ref="Q531" r:id="rId497" display="\\Desktop-yang\e\(주)대호스토퍼\0영업사항(견적서)\AA지역별 견적현황\2024년\충청북도\충주댐 증평(주철 700, 4P)-수공, 티에스케이" xr:uid="{00000000-0004-0000-0000-0000F0010000}"/>
    <hyperlink ref="Q532" r:id="rId498" display="\\Desktop-yang\e\(주)대호스토퍼\0영업사항(견적서)\AA지역별 견적현황\2024년\지역난방\청라에너지\창고시설 신축공사 이설공사(350x4P)" xr:uid="{00000000-0004-0000-0000-0000F1010000}"/>
    <hyperlink ref="Q528" r:id="rId499" display="\\Desktop-yang\e\(주)대호스토퍼\0영업사항(견적서)\AA지역별 견적현황\2024년\지역난방\GS파워\안양 gs파워 내 900A 차단 후 재차단 공사\한은이엔씨" xr:uid="{00000000-0004-0000-0000-0000F2010000}"/>
    <hyperlink ref="Q489" r:id="rId500" display="\\Desktop-yang\e\(주)대호스토퍼\0영업사항(견적서)\AA지역별 견적현황\2024년\충청남도\아산(2000A,1200A)-수공,씨티건설, (주)강물" xr:uid="{00000000-0004-0000-0000-0000F3010000}"/>
    <hyperlink ref="Q464" r:id="rId501" display="\\Desktop-yang\e\(주)대호스토퍼\0영업사항(견적서)\AA지역별 견적현황\2024년\충청남도\아산(2000A,1200A)-수공,씨티건설, (주)강물" xr:uid="{00000000-0004-0000-0000-0000F4010000}"/>
    <hyperlink ref="Q534" r:id="rId502" display="\\192.168.0.68\(주)대호스토퍼\0영업사항(견적서)\AA지역별 견적현황\2023년\지역난방\GS파워\부천 GS파워 발전소내 배관이설공사 23.09" xr:uid="{00000000-0004-0000-0000-0000F5010000}"/>
    <hyperlink ref="Q536" r:id="rId503" display="\\Desktop-yang\e\(주)대호스토퍼\0영업사항(견적서)\AA지역별 견적현황\2024년\지역난방\삼천리이엔지" xr:uid="{00000000-0004-0000-0000-0000F6010000}"/>
    <hyperlink ref="Q539" r:id="rId504" display="\\192.168.0.68\(주)대호스토퍼\0영업사항(견적서)\AA지역별 견적현황\2024년\지역난방\평택에너지서비스\신촌3BL(150A x 1P)-드림라인" xr:uid="{00000000-0004-0000-0000-0000F7010000}"/>
    <hyperlink ref="Q538" r:id="rId505" display="\\192.168.0.68\(주)대호스토퍼\0영업사항(견적서)\AA지역별 견적현황\2024년\기타\현대제철\대양이엔지" xr:uid="{00000000-0004-0000-0000-0000F8010000}"/>
    <hyperlink ref="Q535" r:id="rId506" display="\\Desktop-yang\e\(주)대호스토퍼\0영업사항(견적서)\AA지역별 견적현황\2024년\지역난방\GS파워\아전이엔씨" xr:uid="{00000000-0004-0000-0000-0000F9010000}"/>
    <hyperlink ref="Q541" r:id="rId507" display="\\192.168.0.68\(주)대호스토퍼\0영업사항(견적서)\AA지역별 견적현황\2024년\지역난방\수완에너지\첨단3지구(450, 분기 300x100, 150x125)-수완에너지, 유피이엔지" xr:uid="{00000000-0004-0000-0000-0000FA010000}"/>
    <hyperlink ref="Q542" r:id="rId508" display="\\Desktop-yang\e\(주)대호스토퍼\0영업사항(견적서)\AA지역별 견적현황\2024년\지역난방\GS파워\아전이엔씨" xr:uid="{00000000-0004-0000-0000-0000FB010000}"/>
    <hyperlink ref="Q543" r:id="rId509" display="\\192.168.0.68\(주)대호스토퍼\0영업사항(견적서)\AA지역별 견적현황\2023년\지역난방\인천종합에너지\23년 3차 열수송관공사(독배로)" xr:uid="{00000000-0004-0000-0000-0000FC010000}"/>
    <hyperlink ref="Q544" r:id="rId510" display="\\Desktop-yang\e\(주)대호스토퍼\0영업사항(견적서)\AA지역별 견적현황\2024년\지역난방\삼천리이엔지" xr:uid="{00000000-0004-0000-0000-0000FD010000}"/>
    <hyperlink ref="Q545" r:id="rId511" display="\\192.168.0.68\(주)대호스토퍼\0영업사항(견적서)\AA지역별 견적현황\2024년\경기남서부\노온정수장 송수펌프 9호기 유출밸브 교체 공사" xr:uid="{00000000-0004-0000-0000-0000FE010000}"/>
    <hyperlink ref="Q540" r:id="rId512" display="\\192.168.0.68\(주)대호스토퍼\0영업사항(견적서)\AA지역별 견적현황\2024년\경상북도\구미 맨프랜지 천공공사 300x250" xr:uid="{00000000-0004-0000-0000-0000FF010000}"/>
    <hyperlink ref="Q546" r:id="rId513" display="\\192.168.0.68\(주)대호스토퍼\0영업사항(견적서)\AA지역별 견적현황\2024년\경상북도\구미 맨프랜지 천공공사 300x250" xr:uid="{00000000-0004-0000-0000-000000020000}"/>
    <hyperlink ref="Q547" r:id="rId514" display="\\192.168.0.68\(주)대호스토퍼\0영업사항(견적서)\AA지역별 견적현황\2024년\송유관\인천국제공항\인천 공항 600A 차단공사(남구희)\계약서(600Ax2P)-2408" xr:uid="{00000000-0004-0000-0000-000001020000}"/>
    <hyperlink ref="Q548" r:id="rId515" display="\\192.168.0.68\(주)대호스토퍼\0영업사항(견적서)\AA지역별 견적현황\2024년\지역난방\수완에너지\첨단3지구(450, 분기 300x100, 150x125)-수완에너지, 유피이엔지" xr:uid="{00000000-0004-0000-0000-000002020000}"/>
    <hyperlink ref="Q549" r:id="rId516" display="\\Desktop-yang\e\(주)대호스토퍼\0영업사항(견적서)\AA지역별 견적현황\2024년\지역난방\삼천리이엔지" xr:uid="{00000000-0004-0000-0000-000003020000}"/>
    <hyperlink ref="Q550" r:id="rId517" display="\\192.168.0.68\(주)대호스토퍼\0영업사항(견적서)\AA지역별 견적현황\2024년\지역난방\GS파워\3.2024년 안양지역 신규고객 열수송관공사" xr:uid="{00000000-0004-0000-0000-000004020000}"/>
    <hyperlink ref="Q551" r:id="rId518" display="\\192.168.0.68\(주)대호스토퍼\0영업사항(견적서)\AA지역별 견적현황\2024년\지역난방\청라에너지\김포DH 배관개선공사\세진이엔이" xr:uid="{00000000-0004-0000-0000-000005020000}"/>
    <hyperlink ref="Q554" r:id="rId519" display="\\192.168.0.68\(주)대호스토퍼\0영업사항(견적서)\AA지역별 견적현황\2022년\경기남서부\광명~서울 상수관로이설" xr:uid="{00000000-0004-0000-0000-000006020000}"/>
    <hyperlink ref="Q555" r:id="rId520" display="\\192.168.0.68\(주)대호스토퍼\0영업사항(견적서)\AA지역별 견적현황\2022년\경기남서부\광명~서울 상수관로이설" xr:uid="{00000000-0004-0000-0000-000007020000}"/>
    <hyperlink ref="Q556" r:id="rId521" display="\\192.168.0.68\(주)대호스토퍼\0영업사항(견적서)\AA지역별 견적현황\2024년\지역난방\GS파워\3.2024년 안양지역 신규고객 열수송관공사" xr:uid="{00000000-0004-0000-0000-000008020000}"/>
    <hyperlink ref="Q557" r:id="rId522" display="\\192.168.0.68\(주)대호스토퍼\0영업사항(견적서)\AA지역별 견적현황\2024년\충청남도\홍성(1500x100)-수기주" xr:uid="{00000000-0004-0000-0000-000009020000}"/>
    <hyperlink ref="Q553" r:id="rId523" display="\\192.168.0.68\(주)대호스토퍼\0영업사항(견적서)\AA지역별 견적현황\2024년\경상북도\고령(주철 800 1P 긴급)-수공, 수기주" xr:uid="{00000000-0004-0000-0000-00000A020000}"/>
    <hyperlink ref="Q559" r:id="rId524" display="\\192.168.0.68\(주)대호스토퍼\0영업사항(견적서)\AA지역별 견적현황\2024년\경상남도\창원 공업용수도(900Ax1P)-수공, 명보" xr:uid="{00000000-0004-0000-0000-00000B020000}"/>
    <hyperlink ref="Q563" r:id="rId525" display="\\192.168.0.68\(주)대호스토퍼\0영업사항(견적서)\AA지역별 견적현황\2024년\지역난방\한국지역난방공사\2024년 열수송관 천공 및 차단공사(2권역)" xr:uid="{00000000-0004-0000-0000-00000C020000}"/>
    <hyperlink ref="Q564" r:id="rId526" display="\\192.168.0.68\(주)대호스토퍼\0영업사항(견적서)\AA지역별 견적현황\2024년\지역난방\한국지역난방공사\2024년 열수송관 천공 및 차단공사(2권역)" xr:uid="{00000000-0004-0000-0000-00000D020000}"/>
    <hyperlink ref="Q562" r:id="rId527" display="\\192.168.0.68\(주)대호스토퍼\0영업사항(견적서)\AA지역별 견적현황\2024년\송유관\인천국제공항\인천 공항 600A 차단공사(남구희)\계약서(600Ax2P)-2408" xr:uid="{00000000-0004-0000-0000-00000E020000}"/>
    <hyperlink ref="Q560" r:id="rId528" display="\\192.168.0.68\(주)대호스토퍼\0영업사항(견적서)\AA지역별 견적현황\2024년\전라남도\광양 이사천 스탠드파이프(2000x1100, 1650x1100)-수공, 주형개발" xr:uid="{00000000-0004-0000-0000-00000F020000}"/>
    <hyperlink ref="Q565" r:id="rId529" display="\\192.168.0.68\(주)대호스토퍼\0영업사항(견적서)\AA지역별 견적현황\2024년\지역난방\GS파워\3.2024년 안양지역 신규고객 열수송관공사" xr:uid="{00000000-0004-0000-0000-000010020000}"/>
    <hyperlink ref="Q566" r:id="rId530" display="\\192.168.0.68\(주)대호스토퍼\0영업사항(견적서)\AA지역별 견적현황\2024년\전라남도\광양 이사천 스탠드파이프(2000x1100, 1650x1100)-수공, 주형개발" xr:uid="{00000000-0004-0000-0000-000011020000}"/>
    <hyperlink ref="Q561" r:id="rId531" display="\\192.168.0.68\(주)대호스토퍼\0영업사항(견적서)\AA지역별 견적현황\2023년\지역난방\GS파워\2023년 부천지역 신규고객" xr:uid="{00000000-0004-0000-0000-000012020000}"/>
    <hyperlink ref="Q567" r:id="rId532" display="\\192.168.0.68\(주)대호스토퍼\0영업사항(견적서)\AA지역별 견적현황\2024년\지역난방\GS파워\3.2024년 안양지역 신규고객 열수송관공사" xr:uid="{00000000-0004-0000-0000-000013020000}"/>
    <hyperlink ref="Q568" r:id="rId533" display="\\192.168.0.68\(주)대호스토퍼\0영업사항(견적서)\AA지역별 견적현황\2024년\지역난방\한국지역난방공사\2024년 열수송관 천공 및 차단공사(2권역)" xr:uid="{00000000-0004-0000-0000-000014020000}"/>
    <hyperlink ref="Q569" r:id="rId534" display="\\192.168.0.68\(주)대호스토퍼\0영업사항(견적서)\AA지역별 견적현황\2024년\지역난방\한국지역난방공사\2024년 열수송관 천공 및 차단공사(2권역)" xr:uid="{00000000-0004-0000-0000-000015020000}"/>
    <hyperlink ref="Q570" r:id="rId535" display="\\192.168.0.68\(주)대호스토퍼\0영업사항(견적서)\AA지역별 견적현황\2024년\지역난방\GS파워\4.2024년 부천지역 신규고객 열수송관공사\실행" xr:uid="{00000000-0004-0000-0000-000016020000}"/>
    <hyperlink ref="Q571" r:id="rId536" display="\\192.168.0.68\(주)대호스토퍼\0영업사항(견적서)\AA지역별 견적현황\2024년\지역난방\한국지역난방공사\2024년 열수송관 천공 및 차단공사(2권역)" xr:uid="{00000000-0004-0000-0000-000017020000}"/>
    <hyperlink ref="Q572" r:id="rId537" display="\\192.168.0.68\(주)대호스토퍼\0영업사항(견적서)\AA지역별 견적현황\2023년\지역난방\평택에너지서비스\화양지구(분기 1000x600)" xr:uid="{00000000-0004-0000-0000-000018020000}"/>
    <hyperlink ref="Q573" r:id="rId538" display="\\192.168.0.68\(주)대호스토퍼\0영업사항(견적서)\AA지역별 견적현황\2024년\기타\대산 한화토탈 -대양이엔지(1100A)" xr:uid="{00000000-0004-0000-0000-000019020000}"/>
    <hyperlink ref="Q574" r:id="rId539" display="\\192.168.0.68\(주)대호스토퍼\0영업사항(견적서)\AA지역별 견적현황\2024년\지역난방\인천공항에너지\24년 열수송관 무단수공사 단가계약 입찰공고" xr:uid="{00000000-0004-0000-0000-00001A020000}"/>
    <hyperlink ref="Q575" r:id="rId540" display="\\192.168.0.68\(주)대호스토퍼\0영업사항(견적서)\AA지역별 견적현황\2024년\지역난방\한국지역난방공사\2024년 열수송관 천공 및 차단공사(2권역)" xr:uid="{00000000-0004-0000-0000-00001B020000}"/>
    <hyperlink ref="Q577" r:id="rId541" display="\\192.168.0.68\(주)대호스토퍼\0영업사항(견적서)\AA지역별 견적현황\2024년\지역난방\한국지역난방공사\2024년 열수송관 천공 및 차단공사(2권역)" xr:uid="{00000000-0004-0000-0000-00001C020000}"/>
    <hyperlink ref="Q579" r:id="rId542" display="\\192.168.0.68\(주)대호스토퍼\0영업사항(견적서)\AA지역별 견적현황\2023년\경상남도\창원 봉강~무안(1350A)-수공,경남,BK eng" xr:uid="{00000000-0004-0000-0000-00001D020000}"/>
    <hyperlink ref="Q578" r:id="rId543" display="\\192.168.0.68\(주)대호스토퍼\0영업사항(견적서)\AA지역별 견적현황\2023년\경상남도\창원 봉강~무안(1350A)-수공,경남,BK eng" xr:uid="{00000000-0004-0000-0000-00001E020000}"/>
    <hyperlink ref="Q580" r:id="rId544" display="\\192.168.0.68\(주)대호스토퍼\0영업사항(견적서)\AA지역별 견적현황\2023년\경상남도\창원 봉강~무안(1350A)-수공,경남,BK eng" xr:uid="{00000000-0004-0000-0000-00001F020000}"/>
    <hyperlink ref="Q581" r:id="rId545" display="\\192.168.0.68\(주)대호스토퍼\0영업사항(견적서)\AA지역별 견적현황\2023년\경상남도\창원 봉강~무안(1350A)-수공,경남,BK eng" xr:uid="{00000000-0004-0000-0000-000020020000}"/>
    <hyperlink ref="Q582" r:id="rId546" display="\\192.168.0.68\(주)대호스토퍼\0영업사항(견적서)\AA지역별 견적현황\2023년\전라남도\광양1단계(광양구간 2000, 1650 차단 外)-수공, 와텍\KCC건설" xr:uid="{00000000-0004-0000-0000-000021020000}"/>
    <hyperlink ref="Q583" r:id="rId547" display="\\192.168.0.68\(주)대호스토퍼\0영업사항(견적서)\AA지역별 견적현황\2023년\전라남도\광양1단계(광양구간 2000, 1650 차단 外)-수공, 와텍\KCC건설" xr:uid="{00000000-0004-0000-0000-000022020000}"/>
    <hyperlink ref="Q584" r:id="rId548" display="\\192.168.0.68\(주)대호스토퍼\0영업사항(견적서)\AA지역별 견적현황\2024년\지역난방\GS파워\4.2024년 부천지역 신규고객 열수송관공사\실행" xr:uid="{00000000-0004-0000-0000-000023020000}"/>
    <hyperlink ref="Q585" r:id="rId549" display="\\192.168.0.68\(주)대호스토퍼\0영업사항(견적서)\AA지역별 견적현황\2024년\지역난방\한국지역난방공사\2024년 열수송관 천공 및 차단공사(2권역)" xr:uid="{00000000-0004-0000-0000-000024020000}"/>
    <hyperlink ref="Q587" r:id="rId550" display="\\192.168.0.68\(주)대호스토퍼\0영업사항(견적서)\AA지역별 견적현황\2024년\지역난방\한국지역난방공사\2024년 열수송관 천공 및 차단공사(2권역)" xr:uid="{00000000-0004-0000-0000-000025020000}"/>
    <hyperlink ref="Q588" r:id="rId551" display="\\192.168.0.68\(주)대호스토퍼\0영업사항(견적서)\AA지역별 견적현황\2024년\지역난방\한국지역난방공사\2024년 열수송관 천공 및 차단공사(2권역)" xr:uid="{00000000-0004-0000-0000-000026020000}"/>
    <hyperlink ref="Q589" r:id="rId552" display="\\192.168.0.68\(주)대호스토퍼\0영업사항(견적서)\AA지역별 견적현황\2024년\지역난방\한국지역난방공사\2024년 열수송관 천공 및 차단공사(2권역)" xr:uid="{00000000-0004-0000-0000-000027020000}"/>
    <hyperlink ref="Q590" r:id="rId553" display="\\192.168.0.68\(주)대호스토퍼\0영업사항(견적서)\AA지역별 견적현황\2024년\지역난방\한국지역난방공사\2024년 열수송관 천공 및 차단공사(2권역)" xr:uid="{00000000-0004-0000-0000-000028020000}"/>
    <hyperlink ref="Q591" r:id="rId554" display="\\192.168.0.68\(주)대호스토퍼\0영업사항(견적서)\AA지역별 견적현황\2024년\지역난방\한국지역난방공사\2024년 열수송관 천공 및 차단공사(2권역)" xr:uid="{00000000-0004-0000-0000-000029020000}"/>
    <hyperlink ref="Q592" r:id="rId555" display="\\192.168.0.68\(주)대호스토퍼\0영업사항(견적서)\AA지역별 견적현황\2024년\지역난방\한국지역난방공사\2024년 열수송관 천공 및 차단공사(2권역)" xr:uid="{00000000-0004-0000-0000-00002A020000}"/>
    <hyperlink ref="Q593" r:id="rId556" display="\\192.168.0.68\(주)대호스토퍼\0영업사항(견적서)\AA지역별 견적현황\2022년\충청북도\충주 공군17비행단(강관-송유관 200A,150A) - 국방시설본부,하이폴\17비행단 유영욱" xr:uid="{00000000-0004-0000-0000-00002B020000}"/>
    <hyperlink ref="Q594" r:id="rId557" display="\\192.168.0.68\(주)대호스토퍼\0영업사항(견적서)\AA지역별 견적현황\2024년\지역난방\한국지역난방공사\2024년 열수송관 천공 및 차단공사(2권역)" xr:uid="{00000000-0004-0000-0000-00002C020000}"/>
    <hyperlink ref="Q596" r:id="rId558" display="\\192.168.0.68\(주)대호스토퍼\0영업사항(견적서)\AA지역별 견적현황\2024년\지역난방\GS파워\3.2024년 안양지역 신규고객 열수송관공사" xr:uid="{00000000-0004-0000-0000-00002D020000}"/>
    <hyperlink ref="Q595" r:id="rId559" display="\\Desktop-yang\e\(주)대호스토퍼\0영업사항(견적서)\AA지역별 견적현황\2024년\충청남도\충남서부권 제2공구 태안-수공, 흥화" xr:uid="{00000000-0004-0000-0000-00002E020000}"/>
    <hyperlink ref="Q598" r:id="rId560" display="\\192.168.0.68\(주)대호스토퍼\0영업사항(견적서)\AA지역별 견적현황\2024년\지역난방\한국지역난방공사\2024년 열수송관 천공 및 차단공사(2권역)" xr:uid="{00000000-0004-0000-0000-00002F020000}"/>
    <hyperlink ref="Q597" r:id="rId561" display="\\192.168.0.68\(주)대호스토퍼\0영업사항(견적서)\AA지역별 견적현황\2024년\지역난방\GS파워\3.2024년 안양지역 신규고객 열수송관공사" xr:uid="{00000000-0004-0000-0000-000030020000}"/>
    <hyperlink ref="Q600" r:id="rId562" display="\\192.168.0.68\(주)대호스토퍼\0영업사항(견적서)\AA지역별 견적현황\2022년\서울시\동대문 정릉천(1100A)-동대문구, 송영엔지니어링" xr:uid="{00000000-0004-0000-0000-000031020000}"/>
    <hyperlink ref="Q601" r:id="rId563" display="\\192.168.0.68\(주)대호스토퍼\0영업사항(견적서)\AA지역별 견적현황\2024년\지역난방\한국지역난방공사\2024년 열수송관 천공 및 차단공사(2권역)" xr:uid="{00000000-0004-0000-0000-000032020000}"/>
    <hyperlink ref="Q602" r:id="rId564" display="\\192.168.0.68\(주)대호스토퍼\0영업사항(견적서)\AA지역별 견적현황\2024년\지역난방\GS파워\4.2024년 부천지역 신규고객 열수송관공사\실행" xr:uid="{00000000-0004-0000-0000-000033020000}"/>
    <hyperlink ref="Q607" r:id="rId565" display="\\192.168.0.68\(주)대호스토퍼\0영업사항(견적서)\AA지역별 견적현황\2024년\지역난방\한국지역난방공사\2024년 열수송관 천공 및 차단공사(2권역)" xr:uid="{00000000-0004-0000-0000-000034020000}"/>
    <hyperlink ref="Q599" r:id="rId566" display="\\192.168.0.68\(주)대호스토퍼\0영업사항(견적서)\AA지역별 견적현황\2024년\지역난방\한국지역난방공사\2024년 열수송관 천공 및 차단공사(2권역)" xr:uid="{00000000-0004-0000-0000-000035020000}"/>
    <hyperlink ref="Q603" r:id="rId567" display="\\192.168.0.68\(주)대호스토퍼\0영업사항(견적서)\AA지역별 견적현황\2024년\지역난방\한국지역난방공사\2024년 열수송관 천공 및 차단공사(2권역)" xr:uid="{00000000-0004-0000-0000-000036020000}"/>
    <hyperlink ref="Q608" r:id="rId568" display="\\192.168.0.68\(주)대호스토퍼\0영업사항(견적서)\AA지역별 견적현황\2024년\지역난방\한국지역난방공사\2024년 열수송관 천공 및 차단공사(2권역)" xr:uid="{00000000-0004-0000-0000-000037020000}"/>
    <hyperlink ref="Q609" r:id="rId569" display="\\192.168.0.68\(주)대호스토퍼\0영업사항(견적서)\AA지역별 견적현황\2024년\지역난방\한국지역난방공사\2024년 열수송관 천공 및 차단공사(2권역)" xr:uid="{00000000-0004-0000-0000-000038020000}"/>
    <hyperlink ref="Q604" r:id="rId570" display="\\192.168.0.68\(주)대호스토퍼\0영업사항(견적서)\AA지역별 견적현황\2024년\지역난방\한국지역난방공사\2024년 열수송관 천공 및 차단공사(2권역)" xr:uid="{00000000-0004-0000-0000-000039020000}"/>
    <hyperlink ref="Q605" r:id="rId571" display="\\192.168.0.68\(주)대호스토퍼\0영업사항(견적서)\AA지역별 견적현황\2024년\지역난방\한국지역난방공사\2024년 열수송관 천공 및 차단공사(2권역)" xr:uid="{00000000-0004-0000-0000-00003A020000}"/>
    <hyperlink ref="Q606" r:id="rId572" display="\\192.168.0.68\(주)대호스토퍼\0영업사항(견적서)\AA지역별 견적현황\2024년\지역난방\한국지역난방공사\2024년 열수송관 천공 및 차단공사(2권역)" xr:uid="{00000000-0004-0000-0000-00003B020000}"/>
    <hyperlink ref="Q586" r:id="rId573" display="\\192.168.0.68\(주)대호스토퍼\0영업사항(견적서)\AA지역별 견적현황\2024년\지역난방\삼천리이엔지" xr:uid="{00000000-0004-0000-0000-00003C020000}"/>
    <hyperlink ref="Q610" r:id="rId574" display="\\192.168.0.68\(주)대호스토퍼\0영업사항(견적서)\AA지역별 견적현황\2024년\지역난방\대전충남지역본부 아산에너지사업단\아이윌건설" xr:uid="{00000000-0004-0000-0000-00003D020000}"/>
    <hyperlink ref="Q611" r:id="rId575" display="\\192.168.0.68\(주)대호스토퍼\0영업사항(견적서)\AA지역별 견적현황\2024년\지역난방\대전충남지역본부 아산에너지사업단\아이윌건설" xr:uid="{00000000-0004-0000-0000-00003E020000}"/>
    <hyperlink ref="Q612" r:id="rId576" display="\\192.168.0.68\(주)대호스토퍼\0영업사항(견적서)\AA지역별 견적현황\2024년\지역난방\대전충남지역본부 아산에너지사업단\아이윌건설" xr:uid="{00000000-0004-0000-0000-00003F020000}"/>
    <hyperlink ref="Q613" r:id="rId577" display="\\192.168.0.68\(주)대호스토퍼\0영업사항(견적서)\AA지역별 견적현황\2024년\지역난방\한국지역난방공사\2024년 열수송관 천공 및 차단공사(2권역)" xr:uid="{00000000-0004-0000-0000-000040020000}"/>
    <hyperlink ref="Q615" r:id="rId578" display="\\192.168.0.68\(주)대호스토퍼\0영업사항(견적서)\AA지역별 견적현황\2025년\경기남서부\인천(500A 긴급 투입 건)-인천시상수도사업본부" xr:uid="{00000000-0004-0000-0000-000041020000}"/>
    <hyperlink ref="Q614" r:id="rId579" display="\\192.168.0.68\(주)대호스토퍼\0영업사항(견적서)\AA지역별 견적현황\2025년\경기남동부\남양주 긴급(1200Ax2P)-수공" xr:uid="{00000000-0004-0000-0000-000042020000}"/>
    <hyperlink ref="Q616" r:id="rId580" display="\\192.168.0.68\(주)대호스토퍼\0영업사항(견적서)\AA지역별 견적현황\2023년\충청남도\대전 월평정수장(D2400,2000, 1650 등)-대전시, KCC건설" xr:uid="{00000000-0004-0000-0000-000043020000}"/>
    <hyperlink ref="Q617" r:id="rId581" display="\\192.168.0.68\(주)대호스토퍼\0영업사항(견적서)\AA지역별 견적현황\2023년\충청남도\대전 월평정수장(D2400,2000, 1650 등)-대전시, KCC건설" xr:uid="{00000000-0004-0000-0000-000044020000}"/>
    <hyperlink ref="Q618" r:id="rId582" display="\\192.168.0.68\(주)대호스토퍼\0영업사항(견적서)\AA지역별 견적현황\2024년\지역난방\한국지역난방공사\2024년 열수송관 천공 및 차단공사(2권역)" xr:uid="{00000000-0004-0000-0000-000045020000}"/>
    <hyperlink ref="Q619" r:id="rId583" display="\\192.168.0.68\(주)대호스토퍼\0영업사항(견적서)\AA지역별 견적현황\2024년\충청남도\천안북부 BIT(주철 200, 400)-천안시, 신명종합건설" xr:uid="{00000000-0004-0000-0000-000046020000}"/>
    <hyperlink ref="Q620" r:id="rId584" display="\\192.168.0.68\(주)대호스토퍼\0영업사항(견적서)\AA지역별 견적현황\2024년\충청남도\천안북부 BIT(주철 200, 400)-천안시, 신명종합건설" xr:uid="{00000000-0004-0000-0000-000047020000}"/>
    <hyperlink ref="Q621" r:id="rId585" display="\\192.168.0.68\(주)대호스토퍼\0영업사항(견적서)\AA지역별 견적현황\2024년\지역난방\한국지역난방공사\2024년 열수송관 천공 및 차단공사(2권역)" xr:uid="{00000000-0004-0000-0000-000048020000}"/>
    <hyperlink ref="Q622" r:id="rId586" display="\\Desktop-yang\e\(주)대호스토퍼\0영업사항(견적서)\AA지역별 견적현황\2023년\전라남도\광양1단계(광양구간 2000, 1650 차단 外)-수공, 와텍\KCC건설" xr:uid="{00000000-0004-0000-0000-000049020000}"/>
    <hyperlink ref="Q623" r:id="rId587" display="\\192.168.0.68\(주)대호스토퍼\0영업사항(견적서)\AA지역별 견적현황\2023년\경상남도\창원 봉강~무안(1350A)-수공,경남,BK eng" xr:uid="{00000000-0004-0000-0000-00004A020000}"/>
    <hyperlink ref="Q624" r:id="rId588" display="\\192.168.0.68\(주)대호스토퍼\0영업사항(견적서)\AA지역별 견적현황\2023년\경상남도\창원 봉강~무안(1350A)-수공,경남,BK eng" xr:uid="{00000000-0004-0000-0000-00004B020000}"/>
    <hyperlink ref="Q625" r:id="rId589" display="\\192.168.0.68\(주)대호스토퍼\0영업사항(견적서)\AA지역별 견적현황\2024년\충청남도\천안북부 BIT(주철 200, 400)-천안시, 신명종합건설" xr:uid="{00000000-0004-0000-0000-00004C020000}"/>
    <hyperlink ref="Q626" r:id="rId590" display="\\192.168.0.68\(주)대호스토퍼\0영업사항(견적서)\AA지역별 견적현황\2024년\지역난방\한국지역난방공사\2024년 열수송관 천공 및 차단공사(2권역)" xr:uid="{00000000-0004-0000-0000-00004D020000}"/>
    <hyperlink ref="Q627" r:id="rId591" display="\\192.168.0.68\(주)대호스토퍼\0영업사항(견적서)\AA지역별 견적현황\2024년\지역난방\한국지역난방공사\2024년 열수송관 천공 및 차단공사(2권역)" xr:uid="{00000000-0004-0000-0000-00004E020000}"/>
    <hyperlink ref="Q628" r:id="rId592" display="\\192.168.0.68\(주)대호스토퍼\0영업사항(견적서)\AA지역별 견적현황\2024년\지역난방\한국지역난방공사\2024년 열수송관 천공 및 차단공사(2권역)" xr:uid="{00000000-0004-0000-0000-00004F020000}"/>
    <hyperlink ref="Q629" r:id="rId593" display="\\192.168.0.68\(주)대호스토퍼\0영업사항(견적서)\AA지역별 견적현황\2024년\지역난방\한국지역난방공사\2024년 열수송관 천공 및 차단공사(2권역)" xr:uid="{00000000-0004-0000-0000-000050020000}"/>
    <hyperlink ref="Q630" r:id="rId594" display="\\192.168.0.68\(주)대호스토퍼\0영업사항(견적서)\AA지역별 견적현황\2024년\지역난방\한국지역난방공사\2024년 열수송관 천공 및 차단공사(2권역)" xr:uid="{00000000-0004-0000-0000-000051020000}"/>
    <hyperlink ref="Q631" r:id="rId595" display="\\192.168.0.68\(주)대호스토퍼\0영업사항(견적서)\AA지역별 견적현황\2024년\지역난방\한국지역난방공사\2024년 열수송관 천공 및 차단공사(2권역)" xr:uid="{00000000-0004-0000-0000-000052020000}"/>
    <hyperlink ref="Q632" r:id="rId596" display="\\192.168.0.68\(주)대호스토퍼\0영업사항(견적서)\AA지역별 견적현황\2024년\지역난방\한국지역난방공사\2024년 열수송관 천공 및 차단공사(2권역)" xr:uid="{00000000-0004-0000-0000-000053020000}"/>
    <hyperlink ref="Q633" r:id="rId597" xr:uid="{00000000-0004-0000-0000-000054020000}"/>
    <hyperlink ref="Q634" r:id="rId598" xr:uid="{00000000-0004-0000-0000-000055020000}"/>
    <hyperlink ref="Q635" r:id="rId599" xr:uid="{00000000-0004-0000-0000-000056020000}"/>
    <hyperlink ref="Q637" r:id="rId600" display="\\Desktop-yang\e\(주)대호스토퍼\0영업사항(견적서)\AA지역별 견적현황\2023년\지역난방\GS파워\★2023.6.8~15 입찰 4건" xr:uid="{00000000-0004-0000-0000-000057020000}"/>
    <hyperlink ref="Q638" r:id="rId601" display="\\192.168.0.68\(주)대호스토퍼\0영업사항(견적서)\AA지역별 견적현황\2024년\지역난방\한국지역난방공사\2024년 열수송관 천공 및 차단공사(2권역)" xr:uid="{00000000-0004-0000-0000-000058020000}"/>
    <hyperlink ref="Q639" r:id="rId602" xr:uid="{00000000-0004-0000-0000-000059020000}"/>
    <hyperlink ref="Q642" r:id="rId603" xr:uid="{00000000-0004-0000-0000-00005A020000}"/>
    <hyperlink ref="Q643" r:id="rId604" xr:uid="{00000000-0004-0000-0000-00005B020000}"/>
    <hyperlink ref="Q640" r:id="rId605" display="\\192.168.0.68\(주)대호스토퍼\0영업사항(견적서)\AA지역별 견적현황\2024년\지역난방\한국지역난방공사\2024년 열수송관 천공 및 차단공사(2권역)" xr:uid="{00000000-0004-0000-0000-00005C020000}"/>
    <hyperlink ref="Q641" r:id="rId606" display="\\192.168.0.68\(주)대호스토퍼\0영업사항(견적서)\AA지역별 견적현황\2024년\지역난방\한국지역난방공사\2024년 열수송관 천공 및 차단공사(2권역)" xr:uid="{00000000-0004-0000-0000-00005D020000}"/>
    <hyperlink ref="Q644" r:id="rId607" xr:uid="{00000000-0004-0000-0000-00005E020000}"/>
    <hyperlink ref="Q647" r:id="rId608" xr:uid="{00000000-0004-0000-0000-00005F020000}"/>
    <hyperlink ref="Q646" r:id="rId609" xr:uid="{00000000-0004-0000-0000-000060020000}"/>
    <hyperlink ref="Q645" r:id="rId610" xr:uid="{00000000-0004-0000-0000-000061020000}"/>
    <hyperlink ref="Q648" r:id="rId611" display="\\192.168.0.68\(주)대호스토퍼\0영업사항(견적서)\AA지역별 견적현황\2024년\지역난방\한국지역난방공사\2024년 열수송관 천공 및 차단공사(2권역)" xr:uid="{00000000-0004-0000-0000-000062020000}"/>
    <hyperlink ref="Q649" r:id="rId612" display="\\192.168.0.68\(주)대호스토퍼\0영업사항(견적서)\AA지역별 견적현황\2024년\지역난방\한국지역난방공사\2024년 열수송관 천공 및 차단공사(2권역)" xr:uid="{00000000-0004-0000-0000-000063020000}"/>
    <hyperlink ref="Q650" r:id="rId613" display="\\192.168.0.68\(주)대호스토퍼\0영업사항(견적서)\AA지역별 견적현황\2024년\지역난방\한국지역난방공사\2024년 열수송관 천공 및 차단공사(2권역)" xr:uid="{00000000-0004-0000-0000-000064020000}"/>
    <hyperlink ref="Q636" r:id="rId614" xr:uid="{00000000-0004-0000-0000-000065020000}"/>
    <hyperlink ref="Q653" r:id="rId615" display="\\192.168.0.68\(주)대호스토퍼\0영업사항(견적서)\AA지역별 견적현황\2024년\지역난방\한국지역난방공사\2024년 열수송관 천공 및 차단공사(2권역)" xr:uid="{00000000-0004-0000-0000-000066020000}"/>
    <hyperlink ref="Q652" r:id="rId616" display="\\192.168.0.68\(주)대호스토퍼\0영업사항(견적서)\AA지역별 견적현황\2024년\지역난방\한국지역난방공사\2024년 열수송관 천공 및 차단공사(2권역)" xr:uid="{00000000-0004-0000-0000-000067020000}"/>
    <hyperlink ref="Q655" r:id="rId617" xr:uid="{00000000-0004-0000-0000-000068020000}"/>
    <hyperlink ref="Q656" r:id="rId618" xr:uid="{00000000-0004-0000-0000-000069020000}"/>
    <hyperlink ref="Q654" r:id="rId619" display="\\192.168.0.68\(주)대호스토퍼\0영업사항(견적서)\AA지역별 견적현황\2024년\지역난방\한국지역난방공사\2024년 열수송관 천공 및 차단공사(2권역)" xr:uid="{00000000-0004-0000-0000-00006A020000}"/>
    <hyperlink ref="Q657" r:id="rId620" xr:uid="{00000000-0004-0000-0000-00006B020000}"/>
    <hyperlink ref="Q658" r:id="rId621" display="\\192.168.0.68\(주)대호스토퍼\0영업사항(견적서)\AA지역별 견적현황\2024년\지역난방\한국지역난방공사\2024년 열수송관 천공 및 차단공사(2권역)" xr:uid="{00000000-0004-0000-0000-00006C020000}"/>
    <hyperlink ref="Q659" r:id="rId622" display="\\192.168.0.68\(주)대호스토퍼\0영업사항(견적서)\AA지역별 견적현황\2024년\지역난방\한국지역난방공사\2024년 열수송관 천공 및 차단공사(2권역)" xr:uid="{00000000-0004-0000-0000-00006D020000}"/>
    <hyperlink ref="Q660" r:id="rId623" xr:uid="{00000000-0004-0000-0000-00006E020000}"/>
    <hyperlink ref="Q661" r:id="rId624" display="\\192.168.0.68\(주)대호스토퍼\0영업사항(견적서)\AA지역별 견적현황\2024년\지역난방\한국지역난방공사\2024년 열수송관 천공 및 차단공사(2권역)" xr:uid="{00000000-0004-0000-0000-00006F020000}"/>
    <hyperlink ref="Q662" r:id="rId625" display="\\192.168.0.68\(주)대호스토퍼\0영업사항(견적서)\AA지역별 견적현황\2024년\지역난방\한국지역난방공사\2024년 열수송관 천공 및 차단공사(2권역)" xr:uid="{00000000-0004-0000-0000-000070020000}"/>
    <hyperlink ref="Q651" r:id="rId626" display="\\192.168.0.68\(주)대호스토퍼\0영업사항(견적서)\AA지역별 견적현황\2024년\지역난방\GS파워\3.2024년 안양지역 신규고객 열수송관공사" xr:uid="{00000000-0004-0000-0000-000071020000}"/>
    <hyperlink ref="Q663" r:id="rId627" display="\\192.168.0.68\(주)대호스토퍼\0영업사항(견적서)\AA지역별 견적현황\2024년\지역난방\한국지역난방공사\2024년 열수송관 천공 및 차단공사(2권역)" xr:uid="{00000000-0004-0000-0000-000072020000}"/>
    <hyperlink ref="Q664" r:id="rId628" display="\\192.168.0.68\(주)대호스토퍼\0영업사항(견적서)\AA지역별 견적현황\2024년\지역난방\한국지역난방공사\2024년 열수송관 천공 및 차단공사(2권역)" xr:uid="{00000000-0004-0000-0000-000073020000}"/>
    <hyperlink ref="Q666" r:id="rId629" xr:uid="{00000000-0004-0000-0000-000074020000}"/>
    <hyperlink ref="Q667" r:id="rId630" display="\\192.168.0.68\(주)대호스토퍼\0영업사항(견적서)\AA지역별 견적현황\2024년\지역난방\한국지역난방공사\2024년 열수송관 천공 및 차단공사(2권역)" xr:uid="{00000000-0004-0000-0000-000075020000}"/>
    <hyperlink ref="Q668" r:id="rId631" display="\\192.168.0.68\(주)대호스토퍼\0영업사항(견적서)\AA지역별 견적현황\2024년\지역난방\한국지역난방공사\2024년 열수송관 천공 및 차단공사(2권역)" xr:uid="{00000000-0004-0000-0000-000076020000}"/>
    <hyperlink ref="Q669" r:id="rId632" display="\\192.168.0.68\(주)대호스토퍼\0영업사항(견적서)\AA지역별 견적현황\2024년\지역난방\한국지역난방공사\2024년 열수송관 천공 및 차단공사(2권역)" xr:uid="{00000000-0004-0000-0000-000077020000}"/>
    <hyperlink ref="Q671" r:id="rId633" xr:uid="{00000000-0004-0000-0000-000078020000}"/>
    <hyperlink ref="Q672" r:id="rId634" xr:uid="{00000000-0004-0000-0000-000079020000}"/>
    <hyperlink ref="Q673" r:id="rId635" xr:uid="{00000000-0004-0000-0000-00007A020000}"/>
    <hyperlink ref="Q675" r:id="rId636" display="\\192.168.0.68\(주)대호스토퍼\0영업사항(견적서)\AA지역별 견적현황\2024년\지역난방\한국지역난방공사\2024년 열수송관 천공 및 차단공사(2권역)" xr:uid="{00000000-0004-0000-0000-00007B020000}"/>
    <hyperlink ref="Q676" r:id="rId637" display="\\192.168.0.68\(주)대호스토퍼\0영업사항(견적서)\AA지역별 견적현황\2024년\지역난방\한국지역난방공사\2024년 열수송관 천공 및 차단공사(2권역)" xr:uid="{00000000-0004-0000-0000-00007C020000}"/>
    <hyperlink ref="Q677" r:id="rId638" display="\\192.168.0.68\(주)대호스토퍼\0영업사항(견적서)\AA지역별 견적현황\2024년\지역난방\한국지역난방공사\2024년 열수송관 천공 및 차단공사(2권역)" xr:uid="{00000000-0004-0000-0000-00007D020000}"/>
    <hyperlink ref="Q678" r:id="rId639" display="\\192.168.0.68\(주)대호스토퍼\0영업사항(견적서)\AA지역별 견적현황\2024년\지역난방\한국지역난방공사\2024년 열수송관 천공 및 차단공사(2권역)" xr:uid="{00000000-0004-0000-0000-00007E020000}"/>
    <hyperlink ref="Q679" r:id="rId640" display="\\192.168.0.68\(주)대호스토퍼\0영업사항(견적서)\AA지역별 견적현황\2024년\지역난방\한국지역난방공사\2024년 열수송관 천공 및 차단공사(2권역)" xr:uid="{00000000-0004-0000-0000-00007F020000}"/>
    <hyperlink ref="Q680" r:id="rId641" display="\\192.168.0.68\(주)대호스토퍼\0영업사항(견적서)\AA지역별 견적현황\2024년\지역난방\한국지역난방공사\2024년 열수송관 천공 및 차단공사(2권역)" xr:uid="{00000000-0004-0000-0000-000080020000}"/>
    <hyperlink ref="Q681" r:id="rId642" display="\\192.168.0.68\(주)대호스토퍼\0영업사항(견적서)\AA지역별 견적현황\2024년\지역난방\한국지역난방공사\2024년 열수송관 천공 및 차단공사(2권역)" xr:uid="{00000000-0004-0000-0000-000081020000}"/>
    <hyperlink ref="Q682" r:id="rId643" display="\\192.168.0.68\(주)대호스토퍼\0영업사항(견적서)\AA지역별 견적현황\2024년\지역난방\GS파워\4.2024년 부천지역 신규고객 열수송관공사\실행" xr:uid="{00000000-0004-0000-0000-000082020000}"/>
    <hyperlink ref="Q683" r:id="rId644" display="\\192.168.0.68\(주)대호스토퍼\0영업사항(견적서)\AA지역별 견적현황\2024년\지역난방\한국지역난방공사\2024년 열수송관 천공 및 차단공사(2권역)" xr:uid="{00000000-0004-0000-0000-000083020000}"/>
    <hyperlink ref="Q684" r:id="rId645" xr:uid="{00000000-0004-0000-0000-000084020000}"/>
    <hyperlink ref="Q674" r:id="rId646" xr:uid="{00000000-0004-0000-0000-000085020000}"/>
    <hyperlink ref="Q688" r:id="rId647" xr:uid="{00000000-0004-0000-0000-000086020000}"/>
    <hyperlink ref="Q687" r:id="rId648" display="\\192.168.0.68\(주)대호스토퍼\0영업사항(견적서)\AA지역별 견적현황\2024년\지역난방\한국지역난방공사\2024년 열수송관 천공 및 차단공사(2권역)" xr:uid="{00000000-0004-0000-0000-000087020000}"/>
    <hyperlink ref="Q686" r:id="rId649" xr:uid="{00000000-0004-0000-0000-000088020000}"/>
    <hyperlink ref="Q690" r:id="rId650" display="\\192.168.0.68\(주)대호스토퍼\0영업사항(견적서)\AA지역별 견적현황\2024년\지역난방\한국지역난방공사\2024년 열수송관 천공 및 차단공사(2권역)" xr:uid="{00000000-0004-0000-0000-000089020000}"/>
    <hyperlink ref="Q691" r:id="rId651" display="\\192.168.0.68\(주)대호스토퍼\0영업사항(견적서)\AA지역별 견적현황\2024년\지역난방\한국지역난방공사\2024년 열수송관 천공 및 차단공사(2권역)" xr:uid="{00000000-0004-0000-0000-00008A020000}"/>
    <hyperlink ref="Q692" r:id="rId652" display="\\192.168.0.68\(주)대호스토퍼\0영업사항(견적서)\AA지역별 견적현황\2024년\지역난방\한국지역난방공사\2024년 열수송관 천공 및 차단공사(2권역)" xr:uid="{00000000-0004-0000-0000-00008B020000}"/>
    <hyperlink ref="Q693" r:id="rId653" display="\\192.168.0.68\(주)대호스토퍼\0영업사항(견적서)\AA지역별 견적현황\2024년\지역난방\한국지역난방공사\2024년 열수송관 천공 및 차단공사(2권역)" xr:uid="{00000000-0004-0000-0000-00008C020000}"/>
    <hyperlink ref="Q694" r:id="rId654" xr:uid="{00000000-0004-0000-0000-00008D020000}"/>
    <hyperlink ref="Q695" r:id="rId655" xr:uid="{00000000-0004-0000-0000-00008E020000}"/>
    <hyperlink ref="Q696" r:id="rId656" xr:uid="{00000000-0004-0000-0000-00008F020000}"/>
    <hyperlink ref="Q697" r:id="rId657" xr:uid="{00000000-0004-0000-0000-000090020000}"/>
    <hyperlink ref="Q699" r:id="rId658" display="\\192.168.0.68\(주)대호스토퍼\0영업사항(견적서)\AA지역별 견적현황\2024년\지역난방\한국지역난방공사\2024년 열수송관 천공 및 차단공사(2권역)" xr:uid="{00000000-0004-0000-0000-000091020000}"/>
    <hyperlink ref="Q700" r:id="rId659" display="\\192.168.0.68\(주)대호스토퍼\0영업사항(견적서)\AA지역별 견적현황\2024년\지역난방\한국지역난방공사\2024년 열수송관 천공 및 차단공사(2권역)" xr:uid="{00000000-0004-0000-0000-000092020000}"/>
    <hyperlink ref="Q701" r:id="rId660" display="\\192.168.0.68\(주)대호스토퍼\0영업사항(견적서)\AA지역별 견적현황\2024년\지역난방\한국지역난방공사\2024년 열수송관 천공 및 차단공사(2권역)" xr:uid="{00000000-0004-0000-0000-000093020000}"/>
    <hyperlink ref="Q702" r:id="rId661" display="\\192.168.0.68\(주)대호스토퍼\0영업사항(견적서)\AA지역별 견적현황\2024년\지역난방\한국지역난방공사\2024년 열수송관 천공 및 차단공사(2권역)" xr:uid="{00000000-0004-0000-0000-000094020000}"/>
    <hyperlink ref="Q703" r:id="rId662" xr:uid="{00000000-0004-0000-0000-000095020000}"/>
    <hyperlink ref="Q685" r:id="rId663" xr:uid="{00000000-0004-0000-0000-000096020000}"/>
    <hyperlink ref="Q705" r:id="rId664" display="\\192.168.0.68\(주)대호스토퍼\0영업사항(견적서)\AA지역별 견적현황\2024년\지역난방\한국지역난방공사\2024년 열수송관 천공 및 차단공사(2권역)" xr:uid="{00000000-0004-0000-0000-000097020000}"/>
    <hyperlink ref="Q665" r:id="rId665" xr:uid="{00000000-0004-0000-0000-000098020000}"/>
    <hyperlink ref="Q689" r:id="rId666" xr:uid="{00000000-0004-0000-0000-000099020000}"/>
    <hyperlink ref="Q706" r:id="rId667" xr:uid="{00000000-0004-0000-0000-00009A020000}"/>
    <hyperlink ref="Q707" r:id="rId668" display="\\192.168.0.68\(주)대호스토퍼\0영업사항(견적서)\AA지역별 견적현황\2024년\지역난방\한국지역난방공사\2024년 열수송관 천공 및 차단공사(2권역)" xr:uid="{00000000-0004-0000-0000-00009B020000}"/>
    <hyperlink ref="Q698" r:id="rId669" xr:uid="{00000000-0004-0000-0000-00009C020000}"/>
    <hyperlink ref="Q708" r:id="rId670" xr:uid="{00000000-0004-0000-0000-00009D020000}"/>
    <hyperlink ref="Q709" r:id="rId671" display="\\192.168.0.68\(주)대호스토퍼\0영업사항(견적서)\AA지역별 견적현황\2024년\지역난방\한국지역난방공사\2024년 열수송관 천공 및 차단공사(2권역)" xr:uid="{00000000-0004-0000-0000-00009E020000}"/>
    <hyperlink ref="Q711" r:id="rId672" display="\\192.168.0.68\(주)대호스토퍼\0영업사항(견적서)\AA지역별 견적현황\2024년\지역난방\한국지역난방공사\2024년 열수송관 천공 및 차단공사(2권역)" xr:uid="{00000000-0004-0000-0000-00009F020000}"/>
    <hyperlink ref="Q712" r:id="rId673" display="\\Desktop-yang\e\(주)대호스토퍼\0영업사항(견적서)\AA지역별 견적현황\2023년\전라남도\광양1단계(광양구간 2000, 1650 차단 外)-수공, 와텍\KCC건설" xr:uid="{00000000-0004-0000-0000-0000A0020000}"/>
    <hyperlink ref="Q713" r:id="rId674" display="\\192.168.0.68\(주)대호스토퍼\0영업사항(견적서)\AA지역별 견적현황\2024년\지역난방\한국지역난방공사\2024년 열수송관 천공 및 차단공사(2권역)" xr:uid="{00000000-0004-0000-0000-0000A1020000}"/>
    <hyperlink ref="Q714" r:id="rId675" xr:uid="{00000000-0004-0000-0000-0000A2020000}"/>
    <hyperlink ref="Q718" r:id="rId676" xr:uid="{00000000-0004-0000-0000-0000A3020000}"/>
    <hyperlink ref="Q720" r:id="rId677" xr:uid="{00000000-0004-0000-0000-0000A4020000}"/>
    <hyperlink ref="Q719" r:id="rId678" display="\\192.168.0.68\(주)대호스토퍼\0영업사항(견적서)\AA지역별 견적현황\2024년\지역난방\한국지역난방공사\2024년 열수송관 천공 및 차단공사(2권역)" xr:uid="{00000000-0004-0000-0000-0000A5020000}"/>
    <hyperlink ref="Q721" r:id="rId679" display="\\192.168.0.68\(주)대호스토퍼\0영업사항(견적서)\AA지역별 견적현황\2024년\지역난방\한국지역난방공사\2024년 열수송관 천공 및 차단공사(2권역)" xr:uid="{00000000-0004-0000-0000-0000A6020000}"/>
    <hyperlink ref="Q724" r:id="rId680" display="\\192.168.0.68\(주)대호스토퍼\0영업사항(견적서)\AA지역별 견적현황\2024년\지역난방\한국지역난방공사\2024년 열수송관 천공 및 차단공사(2권역)" xr:uid="{00000000-0004-0000-0000-0000A7020000}"/>
    <hyperlink ref="Q715" r:id="rId681" display="\\192.168.0.68\(주)대호스토퍼\0영업사항(견적서)\AA지역별 견적현황\2024년\지역난방\한국지역난방공사\2024년 열수송관 천공 및 차단공사(2권역)" xr:uid="{00000000-0004-0000-0000-0000A8020000}"/>
    <hyperlink ref="Q716" r:id="rId682" xr:uid="{00000000-0004-0000-0000-0000A9020000}"/>
    <hyperlink ref="Q717" r:id="rId683" xr:uid="{00000000-0004-0000-0000-0000AA020000}"/>
    <hyperlink ref="Q722" r:id="rId684" xr:uid="{00000000-0004-0000-0000-0000AB020000}"/>
    <hyperlink ref="Q723" r:id="rId685" xr:uid="{00000000-0004-0000-0000-0000AC020000}"/>
    <hyperlink ref="Q728" r:id="rId686" xr:uid="{00000000-0004-0000-0000-0000AD020000}"/>
    <hyperlink ref="Q727" r:id="rId687" xr:uid="{00000000-0004-0000-0000-0000AE020000}"/>
    <hyperlink ref="Q725:Q726" r:id="rId688" display="\\Dhcmain\(주)대호스토퍼\0영업사항(견적서)\AA지역별 견적현황\2025년\지역난방\삼천리이엔지\안산도시개발(800, 300)" xr:uid="{00000000-0004-0000-0000-0000AF020000}"/>
    <hyperlink ref="Q734" r:id="rId689" display="\\192.168.0.68\(주)대호스토퍼\0영업사항(견적서)\AA지역별 견적현황\2024년\지역난방\한국지역난방공사\2024년 열수송관 천공 및 차단공사(2권역)" xr:uid="{00000000-0004-0000-0000-0000B0020000}"/>
    <hyperlink ref="Q729" r:id="rId690" display="\\192.168.0.68\(주)대호스토퍼\0영업사항(견적서)\AA지역별 견적현황\2024년\지역난방\한국지역난방공사\2024년 열수송관 천공 및 차단공사(2권역)" xr:uid="{00000000-0004-0000-0000-0000B1020000}"/>
    <hyperlink ref="Q730" r:id="rId691" xr:uid="{00000000-0004-0000-0000-0000B2020000}"/>
    <hyperlink ref="Q731" r:id="rId692" display="\\192.168.0.68\(주)대호스토퍼\0영업사항(견적서)\AA지역별 견적현황\2024년\지역난방\한국지역난방공사\2024년 열수송관 천공 및 차단공사(2권역)" xr:uid="{00000000-0004-0000-0000-0000B3020000}"/>
    <hyperlink ref="Q732" r:id="rId693" display="\\192.168.0.68\(주)대호스토퍼\0영업사항(견적서)\AA지역별 견적현황\2024년\지역난방\한국지역난방공사\2024년 열수송관 천공 및 차단공사(2권역)" xr:uid="{00000000-0004-0000-0000-0000B4020000}"/>
    <hyperlink ref="Q733" r:id="rId694" xr:uid="{00000000-0004-0000-0000-0000B5020000}"/>
    <hyperlink ref="Q736" r:id="rId695" xr:uid="{00000000-0004-0000-0000-0000B6020000}"/>
    <hyperlink ref="Q737" r:id="rId696" xr:uid="{00000000-0004-0000-0000-0000B7020000}"/>
    <hyperlink ref="Q738" r:id="rId697" xr:uid="{00000000-0004-0000-0000-0000B8020000}"/>
    <hyperlink ref="Q739" r:id="rId698" display="\\192.168.0.68\(주)대호스토퍼\0영업사항(견적서)\AA지역별 견적현황\2024년\지역난방\한국지역난방공사\2024년 열수송관 천공 및 차단공사(2권역)" xr:uid="{00000000-0004-0000-0000-0000B9020000}"/>
    <hyperlink ref="Q740" r:id="rId699" xr:uid="{00000000-0004-0000-0000-0000BA020000}"/>
    <hyperlink ref="Q741" r:id="rId700" display="\\192.168.0.68\(주)대호스토퍼\0영업사항(견적서)\AA지역별 견적현황\2024년\지역난방\한국지역난방공사\2024년 열수송관 천공 및 차단공사(2권역)" xr:uid="{00000000-0004-0000-0000-0000BB020000}"/>
    <hyperlink ref="Q742" r:id="rId701" display="\\192.168.0.68\(주)대호스토퍼\0영업사항(견적서)\AA지역별 견적현황\2024년\지역난방\한국지역난방공사\2024년 열수송관 천공 및 차단공사(2권역)" xr:uid="{00000000-0004-0000-0000-0000BC020000}"/>
    <hyperlink ref="Q743" r:id="rId702" display="\\192.168.0.68\(주)대호스토퍼\0영업사항(견적서)\AA지역별 견적현황\2024년\지역난방\한국지역난방공사\2024년 열수송관 천공 및 차단공사(2권역)" xr:uid="{00000000-0004-0000-0000-0000BD020000}"/>
    <hyperlink ref="Q750" r:id="rId703" xr:uid="{00000000-0004-0000-0000-0000BE020000}"/>
    <hyperlink ref="Q751" r:id="rId704" xr:uid="{00000000-0004-0000-0000-0000BF020000}"/>
    <hyperlink ref="Q753" r:id="rId705" xr:uid="{00000000-0004-0000-0000-0000C0020000}"/>
    <hyperlink ref="Q752" r:id="rId706" xr:uid="{00000000-0004-0000-0000-0000C1020000}"/>
    <hyperlink ref="Q735" r:id="rId707" xr:uid="{00000000-0004-0000-0000-0000C2020000}"/>
    <hyperlink ref="Q747" r:id="rId708" display="\\192.168.0.68\(주)대호스토퍼\0영업사항(견적서)\AA지역별 견적현황\2024년\지역난방\한국지역난방공사\2024년 열수송관 천공 및 차단공사(2권역)" xr:uid="{00000000-0004-0000-0000-0000C3020000}"/>
    <hyperlink ref="Q748" r:id="rId709" display="\\192.168.0.68\(주)대호스토퍼\0영업사항(견적서)\AA지역별 견적현황\2024년\지역난방\한국지역난방공사\2024년 열수송관 천공 및 차단공사(2권역)" xr:uid="{00000000-0004-0000-0000-0000C4020000}"/>
    <hyperlink ref="Q749" r:id="rId710" display="\\192.168.0.68\(주)대호스토퍼\0영업사항(견적서)\AA지역별 견적현황\2024년\지역난방\한국지역난방공사\2024년 열수송관 천공 및 차단공사(2권역)" xr:uid="{00000000-0004-0000-0000-0000C5020000}"/>
    <hyperlink ref="Q744" r:id="rId711" xr:uid="{00000000-0004-0000-0000-0000C6020000}"/>
    <hyperlink ref="Q745" r:id="rId712" xr:uid="{00000000-0004-0000-0000-0000C7020000}"/>
    <hyperlink ref="Q755" r:id="rId713" xr:uid="{00000000-0004-0000-0000-0000C8020000}"/>
    <hyperlink ref="Q756" r:id="rId714" xr:uid="{00000000-0004-0000-0000-0000C9020000}"/>
    <hyperlink ref="Q754" r:id="rId715" xr:uid="{00000000-0004-0000-0000-0000CA020000}"/>
    <hyperlink ref="Q759" r:id="rId716" xr:uid="{00000000-0004-0000-0000-0000CB020000}"/>
    <hyperlink ref="Q758" r:id="rId717" display="\\192.168.0.68\(주)대호스토퍼\0영업사항(견적서)\AA지역별 견적현황\2024년\지역난방\한국지역난방공사\2024년 열수송관 천공 및 차단공사(2권역)" xr:uid="{00000000-0004-0000-0000-0000CC020000}"/>
    <hyperlink ref="Q760" r:id="rId718" xr:uid="{00000000-0004-0000-0000-0000CD020000}"/>
    <hyperlink ref="Q761" r:id="rId719" xr:uid="{00000000-0004-0000-0000-0000CE020000}"/>
    <hyperlink ref="Q762" r:id="rId720" xr:uid="{00000000-0004-0000-0000-0000CF020000}"/>
    <hyperlink ref="Q763" r:id="rId721" xr:uid="{00000000-0004-0000-0000-0000D0020000}"/>
    <hyperlink ref="Q764" r:id="rId722" xr:uid="{00000000-0004-0000-0000-0000D1020000}"/>
    <hyperlink ref="Q765" r:id="rId723" display="\\192.168.0.68\(주)대호스토퍼\0영업사항(견적서)\AA지역별 견적현황\2024년\지역난방\한국지역난방공사\2024년 열수송관 천공 및 차단공사(2권역)" xr:uid="{00000000-0004-0000-0000-0000D2020000}"/>
    <hyperlink ref="Q767" r:id="rId724" xr:uid="{00000000-0004-0000-0000-0000D3020000}"/>
    <hyperlink ref="Q768" r:id="rId725" xr:uid="{00000000-0004-0000-0000-0000D4020000}"/>
    <hyperlink ref="Q771" r:id="rId726" xr:uid="{00000000-0004-0000-0000-0000D5020000}"/>
    <hyperlink ref="Q772" r:id="rId727" xr:uid="{00000000-0004-0000-0000-0000D6020000}"/>
    <hyperlink ref="Q773" r:id="rId728" display="\\192.168.0.68\(주)대호스토퍼\0영업사항(견적서)\AA지역별 견적현황\2024년\지역난방\수완에너지\첨단3지구(450, 분기 300x100, 150x125)-수완에너지, 유피이엔지" xr:uid="{00000000-0004-0000-0000-0000D7020000}"/>
    <hyperlink ref="Q766" r:id="rId729" display="\\192.168.0.68\(주)대호스토퍼\0영업사항(견적서)\AA지역별 견적현황\2024년\지역난방\한국지역난방공사\2024년 열수송관 천공 및 차단공사(2권역)" xr:uid="{00000000-0004-0000-0000-0000D8020000}"/>
    <hyperlink ref="Q769" r:id="rId730" display="\\192.168.0.68\(주)대호스토퍼\0영업사항(견적서)\AA지역별 견적현황\2024년\지역난방\한국지역난방공사\2024년 열수송관 천공 및 차단공사(2권역)" xr:uid="{00000000-0004-0000-0000-0000D9020000}"/>
    <hyperlink ref="Q770" r:id="rId731" display="\\192.168.0.68\(주)대호스토퍼\0영업사항(견적서)\AA지역별 견적현황\2024년\지역난방\한국지역난방공사\2024년 열수송관 천공 및 차단공사(2권역)" xr:uid="{00000000-0004-0000-0000-0000DA020000}"/>
    <hyperlink ref="Q774" r:id="rId732" display="\\192.168.0.68\(주)대호스토퍼\0영업사항(견적서)\AA지역별 견적현황\2024년\지역난방\한국지역난방공사\2024년 열수송관 천공 및 차단공사(2권역)" xr:uid="{00000000-0004-0000-0000-0000DB020000}"/>
    <hyperlink ref="Q775" r:id="rId733" display="\\192.168.0.68\(주)대호스토퍼\0영업사항(견적서)\AA지역별 견적현황\2024년\지역난방\한국지역난방공사\2024년 열수송관 천공 및 차단공사(2권역)" xr:uid="{00000000-0004-0000-0000-0000DC020000}"/>
    <hyperlink ref="Q776" r:id="rId734" display="\\192.168.0.68\(주)대호스토퍼\0영업사항(견적서)\AA지역별 견적현황\2024년\지역난방\한국지역난방공사\2024년 열수송관 천공 및 차단공사(2권역)" xr:uid="{00000000-0004-0000-0000-0000DD020000}"/>
    <hyperlink ref="Q778" r:id="rId735" xr:uid="{00000000-0004-0000-0000-0000DE020000}"/>
    <hyperlink ref="Q779" r:id="rId736" display="\\192.168.0.68\(주)대호스토퍼\0영업사항(견적서)\AA지역별 견적현황\2024년\지역난방\한국지역난방공사\2024년 열수송관 천공 및 차단공사(2권역)" xr:uid="{00000000-0004-0000-0000-0000DF020000}"/>
    <hyperlink ref="Q780" r:id="rId737" display="\\192.168.0.68\(주)대호스토퍼\0영업사항(견적서)\AA지역별 견적현황\2024년\지역난방\한국지역난방공사\2024년 열수송관 천공 및 차단공사(2권역)" xr:uid="{00000000-0004-0000-0000-0000E0020000}"/>
    <hyperlink ref="Q781" r:id="rId738" xr:uid="{00000000-0004-0000-0000-0000E1020000}"/>
    <hyperlink ref="Q782" r:id="rId739" xr:uid="{00000000-0004-0000-0000-0000E2020000}"/>
    <hyperlink ref="Q670" r:id="rId740" xr:uid="{00000000-0004-0000-0000-0000E3020000}"/>
    <hyperlink ref="Q783" r:id="rId741" xr:uid="{00000000-0004-0000-0000-0000E4020000}"/>
    <hyperlink ref="Q784" r:id="rId742" xr:uid="{00000000-0004-0000-0000-0000E5020000}"/>
    <hyperlink ref="Q785" r:id="rId743" xr:uid="{00000000-0004-0000-0000-0000E6020000}"/>
    <hyperlink ref="Q786" r:id="rId744" xr:uid="{00000000-0004-0000-0000-0000E7020000}"/>
    <hyperlink ref="Q787" r:id="rId745" xr:uid="{00000000-0004-0000-0000-0000E8020000}"/>
    <hyperlink ref="Q788" r:id="rId746" xr:uid="{00000000-0004-0000-0000-0000E9020000}"/>
    <hyperlink ref="Q789" r:id="rId747" xr:uid="{00000000-0004-0000-0000-0000EA020000}"/>
    <hyperlink ref="Q790" r:id="rId748" xr:uid="{00000000-0004-0000-0000-0000EB020000}"/>
    <hyperlink ref="Q791" r:id="rId749" xr:uid="{00000000-0004-0000-0000-0000EC020000}"/>
    <hyperlink ref="Q793" r:id="rId750" xr:uid="{00000000-0004-0000-0000-0000ED020000}"/>
    <hyperlink ref="Q794" r:id="rId751" xr:uid="{00000000-0004-0000-0000-0000EE020000}"/>
    <hyperlink ref="Q795" r:id="rId752" xr:uid="{00000000-0004-0000-0000-0000EF020000}"/>
    <hyperlink ref="Q796" r:id="rId753" xr:uid="{00000000-0004-0000-0000-0000F0020000}"/>
    <hyperlink ref="Q797" r:id="rId754" xr:uid="{00000000-0004-0000-0000-0000F1020000}"/>
    <hyperlink ref="Q798" r:id="rId755" xr:uid="{00000000-0004-0000-0000-0000F2020000}"/>
    <hyperlink ref="Q799" r:id="rId756" xr:uid="{00000000-0004-0000-0000-0000F3020000}"/>
    <hyperlink ref="Q801" r:id="rId757" xr:uid="{00000000-0004-0000-0000-0000F4020000}"/>
    <hyperlink ref="Q803" r:id="rId758" xr:uid="{00000000-0004-0000-0000-0000F5020000}"/>
    <hyperlink ref="Q800" r:id="rId759" xr:uid="{00000000-0004-0000-0000-0000F6020000}"/>
    <hyperlink ref="Q804" r:id="rId760" xr:uid="{00000000-0004-0000-0000-0000F7020000}"/>
    <hyperlink ref="Q805" r:id="rId761" display="\\192.168.0.68\(주)대호스토퍼\0영업사항(견적서)\AA지역별 견적현황\2023년\충청남도\대전 월평정수장(D2400,2000, 1650 등)-대전시, KCC건설" xr:uid="{00000000-0004-0000-0000-0000F8020000}"/>
    <hyperlink ref="Q806" r:id="rId762" display="\\192.168.0.68\(주)대호스토퍼\0영업사항(견적서)\AA지역별 견적현황\2023년\충청남도\대전 월평정수장(D2400,2000, 1650 등)-대전시, KCC건설" xr:uid="{00000000-0004-0000-0000-0000F9020000}"/>
    <hyperlink ref="Q807" r:id="rId763" xr:uid="{00000000-0004-0000-0000-0000FA020000}"/>
    <hyperlink ref="Q802" r:id="rId764" xr:uid="{00000000-0004-0000-0000-0000FB020000}"/>
    <hyperlink ref="Q809" r:id="rId765" xr:uid="{00000000-0004-0000-0000-0000FC020000}"/>
    <hyperlink ref="Q815" r:id="rId766" xr:uid="{00000000-0004-0000-0000-0000FD020000}"/>
  </hyperlinks>
  <pageMargins left="0.70866141732283472" right="0.70866141732283472" top="0.74803149606299213" bottom="0.74803149606299213" header="0.31496062992125984" footer="0.31496062992125984"/>
  <pageSetup paperSize="8" scale="10" orientation="landscape" r:id="rId767"/>
  <legacyDrawing r:id="rId7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79998168889431442"/>
    <pageSetUpPr fitToPage="1"/>
  </sheetPr>
  <dimension ref="A1:AA412"/>
  <sheetViews>
    <sheetView tabSelected="1" zoomScale="70" zoomScaleNormal="70" workbookViewId="0">
      <pane xSplit="4" ySplit="4" topLeftCell="E59" activePane="bottomRight" state="frozen"/>
      <selection activeCell="N27" sqref="N27"/>
      <selection pane="topRight" activeCell="N27" sqref="N27"/>
      <selection pane="bottomLeft" activeCell="N27" sqref="N27"/>
      <selection pane="bottomRight" activeCell="A71" sqref="A71:XFD71"/>
    </sheetView>
  </sheetViews>
  <sheetFormatPr defaultRowHeight="16.5" x14ac:dyDescent="0.3"/>
  <cols>
    <col min="1" max="1" width="5.75" hidden="1" customWidth="1"/>
    <col min="2" max="3" width="7.625" style="3" customWidth="1"/>
    <col min="4" max="4" width="31.375" customWidth="1"/>
    <col min="5" max="5" width="12.375" style="1" hidden="1" customWidth="1"/>
    <col min="6" max="7" width="7.625" style="1" hidden="1" customWidth="1"/>
    <col min="8" max="8" width="12.125" style="2" hidden="1" customWidth="1"/>
    <col min="9" max="9" width="6.625" style="1" hidden="1" customWidth="1"/>
    <col min="10" max="10" width="16.625" style="1" customWidth="1"/>
    <col min="11" max="11" width="16.625" style="28" hidden="1" customWidth="1"/>
    <col min="12" max="12" width="17.625" style="4" hidden="1" customWidth="1"/>
    <col min="13" max="13" width="12.625" style="4" hidden="1" customWidth="1"/>
    <col min="14" max="14" width="8.625" style="36" customWidth="1"/>
    <col min="15" max="15" width="14.625" style="4" customWidth="1"/>
    <col min="16" max="16" width="8.625" style="36" customWidth="1"/>
    <col min="17" max="18" width="14.625" style="4" customWidth="1"/>
    <col min="19" max="19" width="16.625" style="4" hidden="1" customWidth="1"/>
    <col min="20" max="20" width="14.625" style="4" customWidth="1"/>
    <col min="21" max="21" width="9" style="3"/>
    <col min="22" max="22" width="40.25" customWidth="1"/>
    <col min="23" max="23" width="15.125" customWidth="1"/>
    <col min="24" max="24" width="9" style="37" customWidth="1"/>
    <col min="25" max="25" width="12.25" style="4" customWidth="1"/>
    <col min="26" max="26" width="28" customWidth="1"/>
  </cols>
  <sheetData>
    <row r="1" spans="1:27" x14ac:dyDescent="0.3">
      <c r="B1" t="s">
        <v>81</v>
      </c>
    </row>
    <row r="2" spans="1:27" s="14" customFormat="1" x14ac:dyDescent="0.3">
      <c r="A2" s="248" t="s">
        <v>524</v>
      </c>
      <c r="B2" s="244" t="s">
        <v>525</v>
      </c>
      <c r="C2" s="244" t="s">
        <v>526</v>
      </c>
      <c r="D2" s="228" t="s">
        <v>527</v>
      </c>
      <c r="E2" s="228" t="s">
        <v>528</v>
      </c>
      <c r="F2" s="224" t="s">
        <v>529</v>
      </c>
      <c r="G2" s="225"/>
      <c r="H2" s="224" t="s">
        <v>530</v>
      </c>
      <c r="I2" s="225"/>
      <c r="J2" s="228" t="s">
        <v>531</v>
      </c>
      <c r="K2" s="229" t="s">
        <v>532</v>
      </c>
      <c r="L2" s="242" t="s">
        <v>533</v>
      </c>
      <c r="M2" s="242"/>
      <c r="N2" s="242"/>
      <c r="O2" s="242"/>
      <c r="P2" s="242"/>
      <c r="Q2" s="242"/>
      <c r="R2" s="242"/>
      <c r="S2" s="242"/>
      <c r="T2" s="242"/>
      <c r="U2" s="243" t="s">
        <v>534</v>
      </c>
      <c r="V2" s="228" t="s">
        <v>535</v>
      </c>
      <c r="W2" s="228" t="s">
        <v>536</v>
      </c>
      <c r="X2" s="247" t="s">
        <v>537</v>
      </c>
      <c r="Y2" s="230" t="s">
        <v>538</v>
      </c>
      <c r="Z2" s="233"/>
      <c r="AA2" s="24"/>
    </row>
    <row r="3" spans="1:27" s="14" customFormat="1" ht="16.5" customHeight="1" x14ac:dyDescent="0.3">
      <c r="A3" s="248"/>
      <c r="B3" s="244"/>
      <c r="C3" s="244"/>
      <c r="D3" s="228"/>
      <c r="E3" s="228"/>
      <c r="F3" s="226"/>
      <c r="G3" s="227"/>
      <c r="H3" s="226"/>
      <c r="I3" s="227"/>
      <c r="J3" s="228"/>
      <c r="K3" s="229"/>
      <c r="L3" s="236" t="s">
        <v>539</v>
      </c>
      <c r="M3" s="236" t="s">
        <v>184</v>
      </c>
      <c r="N3" s="238" t="s">
        <v>181</v>
      </c>
      <c r="O3" s="239"/>
      <c r="P3" s="239"/>
      <c r="Q3" s="239"/>
      <c r="R3" s="230" t="s">
        <v>185</v>
      </c>
      <c r="S3" s="240" t="s">
        <v>186</v>
      </c>
      <c r="T3" s="230" t="s">
        <v>187</v>
      </c>
      <c r="U3" s="244"/>
      <c r="V3" s="228"/>
      <c r="W3" s="228"/>
      <c r="X3" s="247"/>
      <c r="Y3" s="231"/>
      <c r="Z3" s="234"/>
      <c r="AA3" s="24"/>
    </row>
    <row r="4" spans="1:27" s="14" customFormat="1" x14ac:dyDescent="0.3">
      <c r="A4" s="248"/>
      <c r="B4" s="244"/>
      <c r="C4" s="244"/>
      <c r="D4" s="228"/>
      <c r="E4" s="228"/>
      <c r="F4" s="25" t="s">
        <v>19</v>
      </c>
      <c r="G4" s="25" t="s">
        <v>540</v>
      </c>
      <c r="H4" s="26" t="s">
        <v>2</v>
      </c>
      <c r="I4" s="25" t="s">
        <v>541</v>
      </c>
      <c r="J4" s="228"/>
      <c r="K4" s="229"/>
      <c r="L4" s="237"/>
      <c r="M4" s="237"/>
      <c r="N4" s="245" t="s">
        <v>182</v>
      </c>
      <c r="O4" s="246"/>
      <c r="P4" s="245" t="s">
        <v>183</v>
      </c>
      <c r="Q4" s="246"/>
      <c r="R4" s="237"/>
      <c r="S4" s="241"/>
      <c r="T4" s="237"/>
      <c r="U4" s="244"/>
      <c r="V4" s="228"/>
      <c r="W4" s="228"/>
      <c r="X4" s="247"/>
      <c r="Y4" s="232"/>
      <c r="Z4" s="235"/>
      <c r="AA4" s="24"/>
    </row>
    <row r="5" spans="1:27" s="300" customFormat="1" ht="17.100000000000001" customHeight="1" x14ac:dyDescent="0.3">
      <c r="B5" s="208">
        <v>45901</v>
      </c>
      <c r="C5" s="208">
        <v>45901</v>
      </c>
      <c r="D5" s="301" t="s">
        <v>3153</v>
      </c>
      <c r="E5" s="210" t="s">
        <v>1579</v>
      </c>
      <c r="F5" s="210" t="s">
        <v>25</v>
      </c>
      <c r="G5" s="210" t="s">
        <v>21</v>
      </c>
      <c r="H5" s="212" t="s">
        <v>1099</v>
      </c>
      <c r="I5" s="210">
        <v>1</v>
      </c>
      <c r="J5" s="210" t="s">
        <v>776</v>
      </c>
      <c r="K5" s="302" t="s">
        <v>3152</v>
      </c>
      <c r="L5" s="214">
        <v>17650000</v>
      </c>
      <c r="M5" s="214">
        <f t="shared" ref="M5:M52" si="0">L5*0.1</f>
        <v>1765000</v>
      </c>
      <c r="N5" s="215">
        <v>45916</v>
      </c>
      <c r="O5" s="214">
        <v>19415000</v>
      </c>
      <c r="P5" s="215"/>
      <c r="Q5" s="214"/>
      <c r="R5" s="216">
        <f t="shared" ref="R5:R52" si="1">O5+Q5</f>
        <v>19415000</v>
      </c>
      <c r="S5" s="217">
        <f t="shared" ref="S5:S52" si="2">T5-R5</f>
        <v>0</v>
      </c>
      <c r="T5" s="216">
        <f t="shared" ref="T5:T48" si="3">(L5*I5)+M5</f>
        <v>19415000</v>
      </c>
      <c r="U5" s="208">
        <v>45901</v>
      </c>
      <c r="V5" s="218" t="s">
        <v>953</v>
      </c>
      <c r="W5" s="303"/>
      <c r="X5" s="218"/>
      <c r="Y5" s="304"/>
      <c r="Z5" s="218"/>
      <c r="AA5" s="218"/>
    </row>
    <row r="6" spans="1:27" x14ac:dyDescent="0.3">
      <c r="B6" s="166">
        <v>45770</v>
      </c>
      <c r="C6" s="166">
        <v>45776</v>
      </c>
      <c r="D6" s="119" t="s">
        <v>2904</v>
      </c>
      <c r="E6" s="116" t="s">
        <v>2905</v>
      </c>
      <c r="F6" s="116" t="s">
        <v>46</v>
      </c>
      <c r="G6" s="116" t="s">
        <v>21</v>
      </c>
      <c r="H6" s="117">
        <v>600</v>
      </c>
      <c r="I6" s="116">
        <v>1</v>
      </c>
      <c r="J6" s="116" t="s">
        <v>2906</v>
      </c>
      <c r="K6" s="118" t="s">
        <v>2907</v>
      </c>
      <c r="L6" s="43">
        <v>182896328</v>
      </c>
      <c r="M6" s="43">
        <f t="shared" si="0"/>
        <v>18289632.800000001</v>
      </c>
      <c r="N6" s="35"/>
      <c r="O6" s="19"/>
      <c r="P6" s="35"/>
      <c r="Q6" s="19"/>
      <c r="R6" s="18">
        <f t="shared" si="1"/>
        <v>0</v>
      </c>
      <c r="S6" s="34">
        <f t="shared" si="2"/>
        <v>0</v>
      </c>
      <c r="T6" s="114"/>
      <c r="U6" s="17"/>
      <c r="V6" s="20"/>
      <c r="W6" s="20"/>
      <c r="X6" s="22"/>
      <c r="Y6" s="19"/>
      <c r="Z6" s="20"/>
      <c r="AA6" s="20"/>
    </row>
    <row r="7" spans="1:27" x14ac:dyDescent="0.3">
      <c r="B7" s="166">
        <v>45831</v>
      </c>
      <c r="C7" s="166">
        <v>45835</v>
      </c>
      <c r="D7" s="119" t="s">
        <v>2974</v>
      </c>
      <c r="E7" s="116" t="s">
        <v>2975</v>
      </c>
      <c r="F7" s="116" t="s">
        <v>46</v>
      </c>
      <c r="G7" s="116" t="s">
        <v>21</v>
      </c>
      <c r="H7" s="117">
        <v>500</v>
      </c>
      <c r="I7" s="116">
        <v>1</v>
      </c>
      <c r="J7" s="116" t="s">
        <v>2906</v>
      </c>
      <c r="K7" s="118" t="s">
        <v>2907</v>
      </c>
      <c r="L7" s="43">
        <v>137387036</v>
      </c>
      <c r="M7" s="43">
        <f t="shared" si="0"/>
        <v>13738703.600000001</v>
      </c>
      <c r="N7" s="35"/>
      <c r="O7" s="19"/>
      <c r="P7" s="35"/>
      <c r="Q7" s="19"/>
      <c r="R7" s="18">
        <f t="shared" si="1"/>
        <v>0</v>
      </c>
      <c r="S7" s="34">
        <f t="shared" si="2"/>
        <v>0</v>
      </c>
      <c r="T7" s="114"/>
      <c r="U7" s="17"/>
      <c r="V7" s="20"/>
      <c r="W7" s="20"/>
      <c r="X7" s="22"/>
      <c r="Y7" s="19"/>
      <c r="Z7" s="20"/>
      <c r="AA7" s="20"/>
    </row>
    <row r="8" spans="1:27" x14ac:dyDescent="0.3">
      <c r="B8" s="115">
        <v>45903</v>
      </c>
      <c r="C8" s="115">
        <v>45903</v>
      </c>
      <c r="D8" s="119" t="s">
        <v>3147</v>
      </c>
      <c r="E8" s="116"/>
      <c r="F8" s="116"/>
      <c r="G8" s="116"/>
      <c r="H8" s="117"/>
      <c r="I8" s="116"/>
      <c r="J8" s="116" t="s">
        <v>2906</v>
      </c>
      <c r="K8" s="118"/>
      <c r="L8" s="43">
        <v>41926636</v>
      </c>
      <c r="M8" s="43">
        <f t="shared" si="0"/>
        <v>4192663.6</v>
      </c>
      <c r="N8" s="35"/>
      <c r="O8" s="19"/>
      <c r="P8" s="35"/>
      <c r="Q8" s="19"/>
      <c r="R8" s="18">
        <f t="shared" si="1"/>
        <v>0</v>
      </c>
      <c r="S8" s="34">
        <f t="shared" si="2"/>
        <v>0</v>
      </c>
      <c r="T8" s="114"/>
      <c r="U8" s="17"/>
      <c r="V8" s="20"/>
      <c r="W8" s="20"/>
      <c r="X8" s="22"/>
      <c r="Y8" s="19"/>
      <c r="Z8" s="20"/>
      <c r="AA8" s="20"/>
    </row>
    <row r="9" spans="1:27" s="185" customFormat="1" x14ac:dyDescent="0.3">
      <c r="B9" s="208">
        <v>45903</v>
      </c>
      <c r="C9" s="208">
        <v>45903</v>
      </c>
      <c r="D9" s="305" t="s">
        <v>3148</v>
      </c>
      <c r="E9" s="316" t="s">
        <v>3149</v>
      </c>
      <c r="F9" s="211" t="s">
        <v>46</v>
      </c>
      <c r="G9" s="210" t="s">
        <v>1111</v>
      </c>
      <c r="H9" s="316" t="s">
        <v>3149</v>
      </c>
      <c r="I9" s="210">
        <v>1</v>
      </c>
      <c r="J9" s="211" t="s">
        <v>2906</v>
      </c>
      <c r="K9" s="302"/>
      <c r="L9" s="214">
        <v>362210000</v>
      </c>
      <c r="M9" s="214">
        <f t="shared" si="0"/>
        <v>36221000</v>
      </c>
      <c r="N9" s="215">
        <v>45908</v>
      </c>
      <c r="O9" s="214">
        <v>398431000</v>
      </c>
      <c r="P9" s="215"/>
      <c r="Q9" s="214"/>
      <c r="R9" s="216">
        <f t="shared" si="1"/>
        <v>398431000</v>
      </c>
      <c r="S9" s="217">
        <f t="shared" si="2"/>
        <v>0</v>
      </c>
      <c r="T9" s="216">
        <f t="shared" si="3"/>
        <v>398431000</v>
      </c>
      <c r="U9" s="208">
        <v>45903</v>
      </c>
      <c r="V9" s="218" t="s">
        <v>3619</v>
      </c>
      <c r="W9" s="218"/>
      <c r="X9" s="219"/>
      <c r="Y9" s="214"/>
      <c r="Z9" s="218"/>
      <c r="AA9" s="218"/>
    </row>
    <row r="10" spans="1:27" s="185" customFormat="1" x14ac:dyDescent="0.3">
      <c r="A10" s="222"/>
      <c r="B10" s="208">
        <v>45909</v>
      </c>
      <c r="C10" s="208">
        <v>45909</v>
      </c>
      <c r="D10" s="218" t="s">
        <v>3150</v>
      </c>
      <c r="E10" s="220"/>
      <c r="F10" s="220"/>
      <c r="G10" s="220"/>
      <c r="H10" s="221"/>
      <c r="I10" s="220">
        <v>1</v>
      </c>
      <c r="J10" s="210"/>
      <c r="K10" s="302" t="s">
        <v>3151</v>
      </c>
      <c r="L10" s="99">
        <v>19090909</v>
      </c>
      <c r="M10" s="99">
        <f t="shared" si="0"/>
        <v>1909090.9000000001</v>
      </c>
      <c r="N10" s="215">
        <v>45909</v>
      </c>
      <c r="O10" s="214">
        <v>21000000</v>
      </c>
      <c r="P10" s="215"/>
      <c r="Q10" s="214"/>
      <c r="R10" s="216">
        <f t="shared" si="1"/>
        <v>21000000</v>
      </c>
      <c r="S10" s="217">
        <f t="shared" si="2"/>
        <v>-0.10000000149011612</v>
      </c>
      <c r="T10" s="216">
        <f t="shared" si="3"/>
        <v>20999999.899999999</v>
      </c>
      <c r="U10" s="208">
        <v>45909</v>
      </c>
      <c r="V10" s="218"/>
      <c r="W10" s="218"/>
      <c r="X10" s="219"/>
      <c r="Y10" s="214"/>
      <c r="Z10" s="218"/>
      <c r="AA10" s="218"/>
    </row>
    <row r="11" spans="1:27" x14ac:dyDescent="0.3">
      <c r="B11" s="166">
        <v>45846</v>
      </c>
      <c r="C11" s="166">
        <v>45852</v>
      </c>
      <c r="D11" s="119" t="s">
        <v>3042</v>
      </c>
      <c r="E11" s="116" t="s">
        <v>3043</v>
      </c>
      <c r="F11" s="116" t="s">
        <v>46</v>
      </c>
      <c r="G11" s="116" t="s">
        <v>21</v>
      </c>
      <c r="H11" s="117">
        <v>850</v>
      </c>
      <c r="I11" s="116">
        <v>2</v>
      </c>
      <c r="J11" s="116" t="s">
        <v>1159</v>
      </c>
      <c r="K11" s="118" t="s">
        <v>1133</v>
      </c>
      <c r="L11" s="43">
        <v>79199986</v>
      </c>
      <c r="M11" s="19">
        <f t="shared" si="0"/>
        <v>7919998.6000000006</v>
      </c>
      <c r="N11" s="35"/>
      <c r="O11" s="19"/>
      <c r="P11" s="35"/>
      <c r="Q11" s="19"/>
      <c r="R11" s="18"/>
      <c r="S11" s="34"/>
      <c r="T11" s="114"/>
      <c r="U11" s="17"/>
      <c r="V11" s="20"/>
      <c r="W11" s="20"/>
      <c r="X11" s="22"/>
      <c r="Y11" s="19"/>
      <c r="Z11" s="20"/>
      <c r="AA11" s="20"/>
    </row>
    <row r="12" spans="1:27" x14ac:dyDescent="0.3">
      <c r="B12" s="166">
        <v>45863</v>
      </c>
      <c r="C12" s="166">
        <v>45864</v>
      </c>
      <c r="D12" s="119" t="s">
        <v>1374</v>
      </c>
      <c r="E12" s="116" t="s">
        <v>3141</v>
      </c>
      <c r="F12" s="116" t="s">
        <v>46</v>
      </c>
      <c r="G12" s="116" t="s">
        <v>21</v>
      </c>
      <c r="H12" s="117">
        <v>100</v>
      </c>
      <c r="I12" s="116">
        <v>2</v>
      </c>
      <c r="J12" s="116" t="s">
        <v>1159</v>
      </c>
      <c r="K12" s="118" t="s">
        <v>2201</v>
      </c>
      <c r="L12" s="43">
        <v>4788917</v>
      </c>
      <c r="M12" s="19">
        <f t="shared" si="0"/>
        <v>478891.7</v>
      </c>
      <c r="N12" s="35"/>
      <c r="O12" s="19"/>
      <c r="P12" s="35"/>
      <c r="Q12" s="19"/>
      <c r="R12" s="18"/>
      <c r="S12" s="34"/>
      <c r="T12" s="114"/>
      <c r="U12" s="17"/>
      <c r="V12" s="20"/>
      <c r="W12" s="20"/>
      <c r="X12" s="22"/>
      <c r="Y12" s="19"/>
      <c r="Z12" s="20"/>
      <c r="AA12" s="20"/>
    </row>
    <row r="13" spans="1:27" x14ac:dyDescent="0.3">
      <c r="B13" s="166">
        <v>45877</v>
      </c>
      <c r="C13" s="166">
        <v>45878</v>
      </c>
      <c r="D13" s="119" t="s">
        <v>3098</v>
      </c>
      <c r="E13" s="116" t="s">
        <v>3099</v>
      </c>
      <c r="F13" s="116" t="s">
        <v>46</v>
      </c>
      <c r="G13" s="116" t="s">
        <v>21</v>
      </c>
      <c r="H13" s="117">
        <v>200</v>
      </c>
      <c r="I13" s="116">
        <v>2</v>
      </c>
      <c r="J13" s="116" t="s">
        <v>1159</v>
      </c>
      <c r="K13" s="118" t="s">
        <v>2201</v>
      </c>
      <c r="L13" s="43">
        <v>10235655</v>
      </c>
      <c r="M13" s="19">
        <f t="shared" si="0"/>
        <v>1023565.5</v>
      </c>
      <c r="N13" s="35"/>
      <c r="O13" s="19"/>
      <c r="P13" s="35"/>
      <c r="Q13" s="19"/>
      <c r="R13" s="18"/>
      <c r="S13" s="34"/>
      <c r="T13" s="114"/>
      <c r="U13" s="17"/>
      <c r="V13" s="20"/>
      <c r="W13" s="20"/>
      <c r="X13" s="22"/>
      <c r="Y13" s="19"/>
      <c r="Z13" s="20"/>
      <c r="AA13" s="20"/>
    </row>
    <row r="14" spans="1:27" x14ac:dyDescent="0.3">
      <c r="B14" s="166">
        <v>45881</v>
      </c>
      <c r="C14" s="166">
        <v>45890</v>
      </c>
      <c r="D14" s="119" t="s">
        <v>3110</v>
      </c>
      <c r="E14" s="116" t="s">
        <v>3111</v>
      </c>
      <c r="F14" s="116" t="s">
        <v>46</v>
      </c>
      <c r="G14" s="116" t="s">
        <v>21</v>
      </c>
      <c r="H14" s="117">
        <v>300</v>
      </c>
      <c r="I14" s="116">
        <v>2</v>
      </c>
      <c r="J14" s="116" t="s">
        <v>1159</v>
      </c>
      <c r="K14" s="118" t="s">
        <v>1133</v>
      </c>
      <c r="L14" s="43">
        <v>16193727</v>
      </c>
      <c r="M14" s="19">
        <f t="shared" si="0"/>
        <v>1619372.7000000002</v>
      </c>
      <c r="N14" s="35"/>
      <c r="O14" s="19"/>
      <c r="P14" s="35"/>
      <c r="Q14" s="19"/>
      <c r="R14" s="18"/>
      <c r="S14" s="34"/>
      <c r="T14" s="114"/>
      <c r="U14" s="17"/>
      <c r="V14" s="20"/>
      <c r="W14" s="20"/>
      <c r="X14" s="22"/>
      <c r="Y14" s="19"/>
      <c r="Z14" s="20"/>
      <c r="AA14" s="20"/>
    </row>
    <row r="15" spans="1:27" x14ac:dyDescent="0.3">
      <c r="B15" s="166">
        <v>45890</v>
      </c>
      <c r="C15" s="166">
        <v>45897</v>
      </c>
      <c r="D15" s="119" t="s">
        <v>3252</v>
      </c>
      <c r="E15" s="116" t="s">
        <v>3117</v>
      </c>
      <c r="F15" s="116" t="s">
        <v>46</v>
      </c>
      <c r="G15" s="116" t="s">
        <v>21</v>
      </c>
      <c r="H15" s="117">
        <v>700</v>
      </c>
      <c r="I15" s="116">
        <v>4</v>
      </c>
      <c r="J15" s="116" t="s">
        <v>1159</v>
      </c>
      <c r="K15" s="118" t="s">
        <v>2201</v>
      </c>
      <c r="L15" s="43">
        <v>54510168</v>
      </c>
      <c r="M15" s="19">
        <f t="shared" si="0"/>
        <v>5451016.8000000007</v>
      </c>
      <c r="N15" s="35"/>
      <c r="O15" s="19"/>
      <c r="P15" s="35"/>
      <c r="Q15" s="19"/>
      <c r="R15" s="18"/>
      <c r="S15" s="34"/>
      <c r="T15" s="114"/>
      <c r="U15" s="17"/>
      <c r="V15" s="20"/>
      <c r="W15" s="20"/>
      <c r="X15" s="22"/>
      <c r="Y15" s="19"/>
      <c r="Z15" s="20"/>
      <c r="AA15" s="20"/>
    </row>
    <row r="16" spans="1:27" x14ac:dyDescent="0.3">
      <c r="B16" s="166"/>
      <c r="C16" s="166"/>
      <c r="D16" s="119" t="s">
        <v>3254</v>
      </c>
      <c r="E16" s="116"/>
      <c r="F16" s="116"/>
      <c r="G16" s="116"/>
      <c r="H16" s="117"/>
      <c r="I16" s="116"/>
      <c r="J16" s="116" t="s">
        <v>1159</v>
      </c>
      <c r="K16" s="118"/>
      <c r="L16" s="43">
        <v>56352758</v>
      </c>
      <c r="M16" s="19">
        <f t="shared" si="0"/>
        <v>5635275.8000000007</v>
      </c>
      <c r="N16" s="35"/>
      <c r="O16" s="19"/>
      <c r="P16" s="35"/>
      <c r="Q16" s="19"/>
      <c r="R16" s="18"/>
      <c r="S16" s="34"/>
      <c r="T16" s="114"/>
      <c r="U16" s="17"/>
      <c r="V16" s="20"/>
      <c r="W16" s="20"/>
      <c r="X16" s="22"/>
      <c r="Y16" s="19"/>
      <c r="Z16" s="20"/>
      <c r="AA16" s="20"/>
    </row>
    <row r="17" spans="1:27" s="185" customFormat="1" x14ac:dyDescent="0.3">
      <c r="B17" s="208">
        <v>45925</v>
      </c>
      <c r="C17" s="208">
        <v>45925</v>
      </c>
      <c r="D17" s="305" t="s">
        <v>3253</v>
      </c>
      <c r="E17" s="210"/>
      <c r="F17" s="211" t="s">
        <v>46</v>
      </c>
      <c r="G17" s="211" t="s">
        <v>21</v>
      </c>
      <c r="H17" s="306"/>
      <c r="I17" s="211">
        <v>1</v>
      </c>
      <c r="J17" s="211" t="s">
        <v>1159</v>
      </c>
      <c r="K17" s="302"/>
      <c r="L17" s="214">
        <v>495230000</v>
      </c>
      <c r="M17" s="214">
        <f t="shared" si="0"/>
        <v>49523000</v>
      </c>
      <c r="N17" s="215">
        <v>45930</v>
      </c>
      <c r="O17" s="214">
        <v>544753000</v>
      </c>
      <c r="P17" s="215"/>
      <c r="Q17" s="214"/>
      <c r="R17" s="216">
        <f t="shared" si="1"/>
        <v>544753000</v>
      </c>
      <c r="S17" s="217">
        <f t="shared" si="2"/>
        <v>0</v>
      </c>
      <c r="T17" s="216">
        <f t="shared" si="3"/>
        <v>544753000</v>
      </c>
      <c r="U17" s="208">
        <v>45925</v>
      </c>
      <c r="V17" s="218" t="s">
        <v>3079</v>
      </c>
      <c r="W17" s="218"/>
      <c r="X17" s="219"/>
      <c r="Y17" s="214"/>
      <c r="Z17" s="218"/>
      <c r="AA17" s="218"/>
    </row>
    <row r="18" spans="1:27" s="185" customFormat="1" x14ac:dyDescent="0.3">
      <c r="A18" s="222"/>
      <c r="B18" s="208">
        <v>45874</v>
      </c>
      <c r="C18" s="208">
        <v>45918</v>
      </c>
      <c r="D18" s="219" t="s">
        <v>3088</v>
      </c>
      <c r="E18" s="220" t="s">
        <v>3089</v>
      </c>
      <c r="F18" s="220" t="s">
        <v>25</v>
      </c>
      <c r="G18" s="223" t="s">
        <v>21</v>
      </c>
      <c r="H18" s="221" t="s">
        <v>3090</v>
      </c>
      <c r="I18" s="220">
        <v>1</v>
      </c>
      <c r="J18" s="210" t="s">
        <v>2802</v>
      </c>
      <c r="K18" s="213" t="s">
        <v>3093</v>
      </c>
      <c r="L18" s="99">
        <v>46278182</v>
      </c>
      <c r="M18" s="99">
        <f t="shared" si="0"/>
        <v>4627818.2</v>
      </c>
      <c r="N18" s="208">
        <v>45932</v>
      </c>
      <c r="O18" s="214">
        <v>50906000</v>
      </c>
      <c r="P18" s="215"/>
      <c r="Q18" s="214"/>
      <c r="R18" s="216">
        <f t="shared" si="1"/>
        <v>50906000</v>
      </c>
      <c r="S18" s="217">
        <f t="shared" si="2"/>
        <v>0.20000000298023224</v>
      </c>
      <c r="T18" s="216">
        <f>(L18*I18)+M18</f>
        <v>50906000.200000003</v>
      </c>
      <c r="U18" s="208">
        <v>45925</v>
      </c>
      <c r="V18" s="218"/>
      <c r="W18" s="218"/>
      <c r="X18" s="219"/>
      <c r="Y18" s="214"/>
      <c r="Z18" s="218"/>
      <c r="AA18" s="218"/>
    </row>
    <row r="19" spans="1:27" x14ac:dyDescent="0.3">
      <c r="B19" s="81">
        <v>45909</v>
      </c>
      <c r="C19" s="81">
        <v>45911</v>
      </c>
      <c r="D19" s="22" t="s">
        <v>3154</v>
      </c>
      <c r="E19" s="15" t="s">
        <v>3155</v>
      </c>
      <c r="F19" s="83" t="s">
        <v>46</v>
      </c>
      <c r="G19" s="83" t="s">
        <v>21</v>
      </c>
      <c r="H19" s="16" t="s">
        <v>3156</v>
      </c>
      <c r="I19" s="15">
        <v>1</v>
      </c>
      <c r="J19" s="15" t="s">
        <v>3158</v>
      </c>
      <c r="K19" s="84" t="s">
        <v>2098</v>
      </c>
      <c r="L19" s="19">
        <v>12296000</v>
      </c>
      <c r="M19" s="19">
        <f t="shared" si="0"/>
        <v>1229600</v>
      </c>
      <c r="N19" s="17">
        <v>45961</v>
      </c>
      <c r="O19" s="20">
        <v>13525600</v>
      </c>
      <c r="P19" s="35"/>
      <c r="Q19" s="19"/>
      <c r="R19" s="18">
        <f t="shared" si="1"/>
        <v>13525600</v>
      </c>
      <c r="S19" s="34">
        <f t="shared" si="2"/>
        <v>0</v>
      </c>
      <c r="T19" s="114">
        <f t="shared" si="3"/>
        <v>13525600</v>
      </c>
      <c r="U19" s="17">
        <v>45929</v>
      </c>
      <c r="V19" s="20" t="s">
        <v>3159</v>
      </c>
      <c r="W19" s="20"/>
      <c r="X19" s="22"/>
      <c r="Y19" s="181">
        <v>5496000</v>
      </c>
      <c r="Z19" s="20"/>
      <c r="AA19" s="20"/>
    </row>
    <row r="20" spans="1:27" x14ac:dyDescent="0.3">
      <c r="B20" s="81">
        <v>45910</v>
      </c>
      <c r="C20" s="81">
        <v>45916</v>
      </c>
      <c r="D20" s="22" t="s">
        <v>3176</v>
      </c>
      <c r="E20" s="15" t="s">
        <v>3177</v>
      </c>
      <c r="F20" s="83" t="s">
        <v>46</v>
      </c>
      <c r="G20" s="83" t="s">
        <v>21</v>
      </c>
      <c r="H20" s="16" t="s">
        <v>238</v>
      </c>
      <c r="I20" s="15">
        <v>1</v>
      </c>
      <c r="J20" s="15" t="s">
        <v>1369</v>
      </c>
      <c r="K20" s="84" t="s">
        <v>512</v>
      </c>
      <c r="L20" s="19">
        <v>38780000</v>
      </c>
      <c r="M20" s="19">
        <f t="shared" si="0"/>
        <v>3878000</v>
      </c>
      <c r="N20" s="17">
        <v>45961</v>
      </c>
      <c r="O20" s="20">
        <v>42658000</v>
      </c>
      <c r="P20" s="35"/>
      <c r="Q20" s="19"/>
      <c r="R20" s="18">
        <f t="shared" si="1"/>
        <v>42658000</v>
      </c>
      <c r="S20" s="34">
        <f t="shared" si="2"/>
        <v>0</v>
      </c>
      <c r="T20" s="114">
        <f t="shared" si="3"/>
        <v>42658000</v>
      </c>
      <c r="U20" s="17">
        <v>45929</v>
      </c>
      <c r="V20" s="20" t="s">
        <v>3182</v>
      </c>
      <c r="W20" s="20"/>
      <c r="X20" s="22"/>
      <c r="Y20" s="181">
        <v>6380000</v>
      </c>
      <c r="Z20" s="20"/>
      <c r="AA20" s="20"/>
    </row>
    <row r="21" spans="1:27" x14ac:dyDescent="0.3">
      <c r="B21" s="81">
        <v>45911</v>
      </c>
      <c r="C21" s="81">
        <v>45927</v>
      </c>
      <c r="D21" s="22" t="s">
        <v>3432</v>
      </c>
      <c r="E21" s="15" t="s">
        <v>3191</v>
      </c>
      <c r="F21" s="15" t="s">
        <v>25</v>
      </c>
      <c r="G21" s="83" t="s">
        <v>26</v>
      </c>
      <c r="H21" s="16" t="s">
        <v>250</v>
      </c>
      <c r="I21" s="15">
        <v>1</v>
      </c>
      <c r="J21" s="15" t="s">
        <v>2802</v>
      </c>
      <c r="K21" s="84" t="s">
        <v>2322</v>
      </c>
      <c r="L21" s="19">
        <v>40000000</v>
      </c>
      <c r="M21" s="19">
        <f>L21*0.1</f>
        <v>4000000</v>
      </c>
      <c r="N21" s="17">
        <v>45932</v>
      </c>
      <c r="O21" s="19">
        <v>44000000</v>
      </c>
      <c r="P21" s="35"/>
      <c r="Q21" s="19"/>
      <c r="R21" s="18">
        <f t="shared" si="1"/>
        <v>44000000</v>
      </c>
      <c r="S21" s="34">
        <f t="shared" si="2"/>
        <v>0</v>
      </c>
      <c r="T21" s="114">
        <f t="shared" si="3"/>
        <v>44000000</v>
      </c>
      <c r="U21" s="17">
        <v>45929</v>
      </c>
      <c r="V21" s="20"/>
      <c r="W21" s="20"/>
      <c r="X21" s="22"/>
      <c r="Y21" s="19"/>
      <c r="Z21" s="20"/>
      <c r="AA21" s="20"/>
    </row>
    <row r="22" spans="1:27" x14ac:dyDescent="0.3">
      <c r="B22" s="81">
        <v>45911</v>
      </c>
      <c r="C22" s="81">
        <v>45918</v>
      </c>
      <c r="D22" s="22" t="s">
        <v>3190</v>
      </c>
      <c r="E22" s="15" t="s">
        <v>3192</v>
      </c>
      <c r="F22" s="15" t="s">
        <v>25</v>
      </c>
      <c r="G22" s="83" t="s">
        <v>26</v>
      </c>
      <c r="H22" s="16" t="s">
        <v>3194</v>
      </c>
      <c r="I22" s="15">
        <v>1</v>
      </c>
      <c r="J22" s="15" t="s">
        <v>2802</v>
      </c>
      <c r="K22" s="84" t="s">
        <v>2322</v>
      </c>
      <c r="L22" s="19">
        <v>6000000</v>
      </c>
      <c r="M22" s="19">
        <f t="shared" si="0"/>
        <v>600000</v>
      </c>
      <c r="N22" s="17">
        <v>45932</v>
      </c>
      <c r="O22" s="19">
        <v>6600000</v>
      </c>
      <c r="P22" s="35"/>
      <c r="Q22" s="19"/>
      <c r="R22" s="18">
        <f t="shared" si="1"/>
        <v>6600000</v>
      </c>
      <c r="S22" s="34">
        <f t="shared" si="2"/>
        <v>0</v>
      </c>
      <c r="T22" s="114">
        <f t="shared" si="3"/>
        <v>6600000</v>
      </c>
      <c r="U22" s="17">
        <v>45929</v>
      </c>
      <c r="V22" s="20"/>
      <c r="W22" s="20"/>
      <c r="X22" s="22"/>
      <c r="Y22" s="19"/>
      <c r="Z22" s="20"/>
      <c r="AA22" s="20"/>
    </row>
    <row r="23" spans="1:27" x14ac:dyDescent="0.3">
      <c r="B23" s="166">
        <v>45839</v>
      </c>
      <c r="C23" s="166">
        <v>45913</v>
      </c>
      <c r="D23" s="119" t="s">
        <v>3036</v>
      </c>
      <c r="E23" s="116" t="s">
        <v>3037</v>
      </c>
      <c r="F23" s="116" t="s">
        <v>25</v>
      </c>
      <c r="G23" s="116" t="s">
        <v>21</v>
      </c>
      <c r="H23" s="117" t="s">
        <v>2029</v>
      </c>
      <c r="I23" s="116">
        <v>1</v>
      </c>
      <c r="J23" s="116" t="s">
        <v>2951</v>
      </c>
      <c r="K23" s="118" t="s">
        <v>1300</v>
      </c>
      <c r="L23" s="43"/>
      <c r="M23" s="19">
        <f t="shared" si="0"/>
        <v>0</v>
      </c>
      <c r="N23" s="17">
        <v>45932</v>
      </c>
      <c r="O23" s="20"/>
      <c r="P23" s="35"/>
      <c r="Q23" s="19"/>
      <c r="R23" s="18">
        <f t="shared" si="1"/>
        <v>0</v>
      </c>
      <c r="S23" s="34">
        <f t="shared" si="2"/>
        <v>0</v>
      </c>
      <c r="T23" s="114">
        <f t="shared" si="3"/>
        <v>0</v>
      </c>
      <c r="U23" s="17"/>
      <c r="V23" s="20"/>
      <c r="W23" s="20"/>
      <c r="X23" s="22"/>
      <c r="Y23" s="19"/>
      <c r="Z23" s="20"/>
      <c r="AA23" s="20"/>
    </row>
    <row r="24" spans="1:27" s="185" customFormat="1" x14ac:dyDescent="0.3">
      <c r="A24" s="222"/>
      <c r="B24" s="208">
        <v>45930</v>
      </c>
      <c r="C24" s="208">
        <v>45930</v>
      </c>
      <c r="D24" s="209" t="s">
        <v>3250</v>
      </c>
      <c r="E24" s="220"/>
      <c r="F24" s="223" t="s">
        <v>25</v>
      </c>
      <c r="G24" s="223" t="s">
        <v>21</v>
      </c>
      <c r="H24" s="221"/>
      <c r="I24" s="223">
        <v>1</v>
      </c>
      <c r="J24" s="211" t="s">
        <v>2951</v>
      </c>
      <c r="K24" s="213" t="s">
        <v>1300</v>
      </c>
      <c r="L24" s="99">
        <v>51400000</v>
      </c>
      <c r="M24" s="99">
        <f t="shared" si="0"/>
        <v>5140000</v>
      </c>
      <c r="N24" s="208">
        <v>45996</v>
      </c>
      <c r="O24" s="218">
        <v>41540000</v>
      </c>
      <c r="P24" s="215">
        <v>46028</v>
      </c>
      <c r="Q24" s="214">
        <v>15000000</v>
      </c>
      <c r="R24" s="216">
        <f t="shared" si="1"/>
        <v>56540000</v>
      </c>
      <c r="S24" s="217">
        <f t="shared" si="2"/>
        <v>0</v>
      </c>
      <c r="T24" s="216">
        <f t="shared" si="3"/>
        <v>56540000</v>
      </c>
      <c r="U24" s="208">
        <v>45930</v>
      </c>
      <c r="V24" s="218" t="s">
        <v>2953</v>
      </c>
      <c r="W24" s="218"/>
      <c r="X24" s="219"/>
      <c r="Y24" s="214"/>
      <c r="Z24" s="218"/>
      <c r="AA24" s="218"/>
    </row>
    <row r="25" spans="1:27" ht="24" x14ac:dyDescent="0.3">
      <c r="B25" s="81">
        <v>45894</v>
      </c>
      <c r="C25" s="81">
        <v>45894</v>
      </c>
      <c r="D25" s="22" t="s">
        <v>3145</v>
      </c>
      <c r="E25" s="15" t="s">
        <v>3144</v>
      </c>
      <c r="F25" s="15" t="s">
        <v>25</v>
      </c>
      <c r="G25" s="83" t="s">
        <v>21</v>
      </c>
      <c r="H25" s="16" t="s">
        <v>189</v>
      </c>
      <c r="I25" s="15">
        <v>1</v>
      </c>
      <c r="J25" s="15" t="s">
        <v>3120</v>
      </c>
      <c r="K25" s="84" t="s">
        <v>279</v>
      </c>
      <c r="L25" s="19">
        <v>2900000</v>
      </c>
      <c r="M25" s="19">
        <f t="shared" si="0"/>
        <v>290000</v>
      </c>
      <c r="N25" s="35">
        <v>46008</v>
      </c>
      <c r="O25" s="19">
        <v>3190000</v>
      </c>
      <c r="P25" s="35"/>
      <c r="Q25" s="19"/>
      <c r="R25" s="18">
        <f t="shared" si="1"/>
        <v>3190000</v>
      </c>
      <c r="S25" s="34">
        <f t="shared" si="2"/>
        <v>0</v>
      </c>
      <c r="T25" s="114">
        <f t="shared" si="3"/>
        <v>3190000</v>
      </c>
      <c r="U25" s="17">
        <v>45930</v>
      </c>
      <c r="V25" s="20"/>
      <c r="W25" s="20"/>
      <c r="X25" s="22"/>
      <c r="Y25" s="19"/>
      <c r="Z25" s="20"/>
      <c r="AA25" s="20"/>
    </row>
    <row r="26" spans="1:27" s="20" customFormat="1" ht="17.100000000000001" customHeight="1" x14ac:dyDescent="0.3">
      <c r="B26" s="64"/>
      <c r="C26" s="64"/>
      <c r="D26" s="62" t="s">
        <v>3146</v>
      </c>
      <c r="E26" s="65"/>
      <c r="F26" s="65"/>
      <c r="G26" s="65"/>
      <c r="H26" s="66"/>
      <c r="I26" s="65"/>
      <c r="J26" s="65"/>
      <c r="K26" s="67"/>
      <c r="L26" s="68">
        <f>T26/1.1</f>
        <v>1091835090.9999998</v>
      </c>
      <c r="M26" s="68"/>
      <c r="N26" s="69"/>
      <c r="O26" s="68"/>
      <c r="P26" s="69"/>
      <c r="Q26" s="68"/>
      <c r="R26" s="70"/>
      <c r="S26" s="72"/>
      <c r="T26" s="126">
        <f>SUM(T5:T25)</f>
        <v>1201018600.0999999</v>
      </c>
      <c r="U26" s="73"/>
      <c r="V26" s="71"/>
      <c r="W26" s="135">
        <f>L26-Y26</f>
        <v>1079959090.9999998</v>
      </c>
      <c r="X26" s="71"/>
      <c r="Y26" s="89">
        <f>SUM(Y5:Y25)</f>
        <v>11876000</v>
      </c>
    </row>
    <row r="27" spans="1:27" x14ac:dyDescent="0.3">
      <c r="B27" s="81">
        <v>45915</v>
      </c>
      <c r="C27" s="81">
        <v>45929</v>
      </c>
      <c r="D27" s="59" t="s">
        <v>1048</v>
      </c>
      <c r="E27" s="15" t="s">
        <v>3249</v>
      </c>
      <c r="F27" s="83" t="s">
        <v>46</v>
      </c>
      <c r="G27" s="83" t="s">
        <v>21</v>
      </c>
      <c r="H27" s="16" t="s">
        <v>553</v>
      </c>
      <c r="I27" s="15">
        <v>1</v>
      </c>
      <c r="J27" s="15" t="s">
        <v>190</v>
      </c>
      <c r="K27" s="84" t="s">
        <v>84</v>
      </c>
      <c r="L27" s="19">
        <v>83980000</v>
      </c>
      <c r="M27" s="19">
        <f t="shared" ref="M27" si="4">L27*0.1</f>
        <v>8398000</v>
      </c>
      <c r="N27" s="35">
        <v>46006</v>
      </c>
      <c r="O27" s="19">
        <v>92378000</v>
      </c>
      <c r="P27" s="35"/>
      <c r="Q27" s="19"/>
      <c r="R27" s="18">
        <f t="shared" ref="R27" si="5">O27+Q27</f>
        <v>92378000</v>
      </c>
      <c r="S27" s="34">
        <f t="shared" ref="S27" si="6">T27-R27</f>
        <v>0</v>
      </c>
      <c r="T27" s="18">
        <f t="shared" ref="T27" si="7">(L27*I27)+M27</f>
        <v>92378000</v>
      </c>
      <c r="U27" s="17">
        <v>45955</v>
      </c>
      <c r="V27" s="20"/>
      <c r="W27" s="20"/>
      <c r="X27" s="22"/>
      <c r="Y27" s="19"/>
      <c r="Z27" s="20"/>
      <c r="AA27" s="20"/>
    </row>
    <row r="28" spans="1:27" x14ac:dyDescent="0.3">
      <c r="B28" s="81">
        <v>45905</v>
      </c>
      <c r="C28" s="81">
        <v>45915</v>
      </c>
      <c r="D28" s="59" t="s">
        <v>3161</v>
      </c>
      <c r="E28" s="15" t="s">
        <v>3162</v>
      </c>
      <c r="F28" s="83" t="s">
        <v>46</v>
      </c>
      <c r="G28" s="83" t="s">
        <v>21</v>
      </c>
      <c r="H28" s="16" t="s">
        <v>3163</v>
      </c>
      <c r="I28" s="15">
        <v>1</v>
      </c>
      <c r="J28" s="15" t="s">
        <v>462</v>
      </c>
      <c r="K28" s="84" t="s">
        <v>272</v>
      </c>
      <c r="L28" s="19">
        <v>205800000</v>
      </c>
      <c r="M28" s="19">
        <f t="shared" ref="M28" si="8">L28*0.1</f>
        <v>20580000</v>
      </c>
      <c r="N28" s="35">
        <v>45988</v>
      </c>
      <c r="O28" s="19">
        <v>226380000</v>
      </c>
      <c r="P28" s="35"/>
      <c r="Q28" s="19"/>
      <c r="R28" s="18">
        <f t="shared" ref="R28" si="9">O28+Q28</f>
        <v>226380000</v>
      </c>
      <c r="S28" s="34">
        <f t="shared" ref="S28" si="10">T28-R28</f>
        <v>0</v>
      </c>
      <c r="T28" s="18">
        <f t="shared" ref="T28" si="11">(L28*I28)+M28</f>
        <v>226380000</v>
      </c>
      <c r="U28" s="17">
        <v>45960</v>
      </c>
      <c r="V28" s="20" t="s">
        <v>3166</v>
      </c>
      <c r="W28" s="20"/>
      <c r="X28" s="124" t="s">
        <v>3167</v>
      </c>
      <c r="Y28" s="19"/>
      <c r="Z28" s="20"/>
      <c r="AA28" s="20"/>
    </row>
    <row r="29" spans="1:27" x14ac:dyDescent="0.3">
      <c r="B29" s="81">
        <v>45916</v>
      </c>
      <c r="C29" s="81">
        <v>45927</v>
      </c>
      <c r="D29" s="59" t="s">
        <v>1664</v>
      </c>
      <c r="E29" s="15" t="s">
        <v>3197</v>
      </c>
      <c r="F29" s="83" t="s">
        <v>46</v>
      </c>
      <c r="G29" s="83" t="s">
        <v>21</v>
      </c>
      <c r="H29" s="16" t="s">
        <v>65</v>
      </c>
      <c r="I29" s="15">
        <v>1</v>
      </c>
      <c r="J29" s="15" t="s">
        <v>2440</v>
      </c>
      <c r="K29" s="84" t="s">
        <v>272</v>
      </c>
      <c r="L29" s="19">
        <v>163200000</v>
      </c>
      <c r="M29" s="19">
        <f t="shared" si="0"/>
        <v>16320000</v>
      </c>
      <c r="N29" s="35">
        <v>45988</v>
      </c>
      <c r="O29" s="19">
        <v>179520000</v>
      </c>
      <c r="P29" s="35"/>
      <c r="Q29" s="19"/>
      <c r="R29" s="18">
        <f t="shared" si="1"/>
        <v>179520000</v>
      </c>
      <c r="S29" s="34">
        <f t="shared" si="2"/>
        <v>0</v>
      </c>
      <c r="T29" s="18">
        <f t="shared" si="3"/>
        <v>179520000</v>
      </c>
      <c r="U29" s="17">
        <v>45960</v>
      </c>
      <c r="V29" s="20"/>
      <c r="W29" s="20"/>
      <c r="X29" s="124" t="s">
        <v>3199</v>
      </c>
      <c r="Y29" s="19"/>
      <c r="Z29" s="20"/>
      <c r="AA29" s="20"/>
    </row>
    <row r="30" spans="1:27" s="185" customFormat="1" x14ac:dyDescent="0.3">
      <c r="A30" s="222"/>
      <c r="B30" s="208">
        <v>45922</v>
      </c>
      <c r="C30" s="208">
        <v>45930</v>
      </c>
      <c r="D30" s="219" t="s">
        <v>3223</v>
      </c>
      <c r="E30" s="220" t="s">
        <v>3224</v>
      </c>
      <c r="F30" s="220" t="s">
        <v>25</v>
      </c>
      <c r="G30" s="223" t="s">
        <v>21</v>
      </c>
      <c r="H30" s="221">
        <v>1100</v>
      </c>
      <c r="I30" s="220">
        <v>1</v>
      </c>
      <c r="J30" s="210" t="s">
        <v>2802</v>
      </c>
      <c r="K30" s="302" t="s">
        <v>1650</v>
      </c>
      <c r="L30" s="99">
        <v>36304000</v>
      </c>
      <c r="M30" s="99">
        <f t="shared" si="0"/>
        <v>3630400</v>
      </c>
      <c r="N30" s="215">
        <v>46021</v>
      </c>
      <c r="O30" s="214">
        <v>39934400</v>
      </c>
      <c r="P30" s="215"/>
      <c r="Q30" s="214"/>
      <c r="R30" s="216">
        <f t="shared" si="1"/>
        <v>39934400</v>
      </c>
      <c r="S30" s="217">
        <f t="shared" si="2"/>
        <v>0</v>
      </c>
      <c r="T30" s="216">
        <f t="shared" si="3"/>
        <v>39934400</v>
      </c>
      <c r="U30" s="208">
        <v>45960</v>
      </c>
      <c r="V30" s="218" t="s">
        <v>1651</v>
      </c>
      <c r="W30" s="218"/>
      <c r="X30" s="219"/>
      <c r="Y30" s="214"/>
      <c r="Z30" s="218"/>
      <c r="AA30" s="218"/>
    </row>
    <row r="31" spans="1:27" x14ac:dyDescent="0.3">
      <c r="B31" s="81">
        <v>45912</v>
      </c>
      <c r="C31" s="81">
        <v>45921</v>
      </c>
      <c r="D31" s="59" t="s">
        <v>3417</v>
      </c>
      <c r="E31" s="15" t="s">
        <v>3248</v>
      </c>
      <c r="F31" s="83" t="s">
        <v>46</v>
      </c>
      <c r="G31" s="83" t="s">
        <v>21</v>
      </c>
      <c r="H31" s="16" t="s">
        <v>1368</v>
      </c>
      <c r="I31" s="15">
        <v>1</v>
      </c>
      <c r="J31" s="15" t="s">
        <v>273</v>
      </c>
      <c r="K31" s="84" t="s">
        <v>272</v>
      </c>
      <c r="L31" s="19">
        <v>269137000</v>
      </c>
      <c r="M31" s="19">
        <f t="shared" si="0"/>
        <v>26913700</v>
      </c>
      <c r="N31" s="35">
        <v>45989</v>
      </c>
      <c r="O31" s="19">
        <v>296050700</v>
      </c>
      <c r="P31" s="35"/>
      <c r="Q31" s="19"/>
      <c r="R31" s="18">
        <f t="shared" si="1"/>
        <v>296050700</v>
      </c>
      <c r="S31" s="34">
        <f t="shared" si="2"/>
        <v>0</v>
      </c>
      <c r="T31" s="18">
        <f t="shared" si="3"/>
        <v>296050700</v>
      </c>
      <c r="U31" s="17">
        <v>45961</v>
      </c>
      <c r="V31" s="20"/>
      <c r="W31" s="20"/>
      <c r="X31" s="22"/>
      <c r="Y31" s="19"/>
      <c r="Z31" s="20"/>
      <c r="AA31" s="20"/>
    </row>
    <row r="32" spans="1:27" x14ac:dyDescent="0.3">
      <c r="B32" s="81">
        <v>45915</v>
      </c>
      <c r="C32" s="81">
        <v>45921</v>
      </c>
      <c r="D32" s="22" t="s">
        <v>3208</v>
      </c>
      <c r="E32" s="15" t="s">
        <v>3209</v>
      </c>
      <c r="F32" s="83" t="s">
        <v>46</v>
      </c>
      <c r="G32" s="83" t="s">
        <v>21</v>
      </c>
      <c r="H32" s="16" t="s">
        <v>807</v>
      </c>
      <c r="I32" s="15">
        <v>1</v>
      </c>
      <c r="J32" s="15" t="s">
        <v>273</v>
      </c>
      <c r="K32" s="84" t="s">
        <v>272</v>
      </c>
      <c r="L32" s="19"/>
      <c r="M32" s="19">
        <f t="shared" si="0"/>
        <v>0</v>
      </c>
      <c r="N32" s="35"/>
      <c r="O32" s="19"/>
      <c r="P32" s="35"/>
      <c r="Q32" s="19"/>
      <c r="R32" s="18">
        <f t="shared" si="1"/>
        <v>0</v>
      </c>
      <c r="S32" s="34">
        <f t="shared" si="2"/>
        <v>0</v>
      </c>
      <c r="T32" s="18">
        <f t="shared" si="3"/>
        <v>0</v>
      </c>
      <c r="U32" s="17">
        <v>45961</v>
      </c>
      <c r="V32" s="20"/>
      <c r="W32" s="20"/>
      <c r="X32" s="22"/>
      <c r="Y32" s="19"/>
      <c r="Z32" s="20"/>
      <c r="AA32" s="20"/>
    </row>
    <row r="33" spans="1:27" s="185" customFormat="1" x14ac:dyDescent="0.3">
      <c r="B33" s="208">
        <v>45838</v>
      </c>
      <c r="C33" s="208">
        <v>45922</v>
      </c>
      <c r="D33" s="209" t="s">
        <v>3276</v>
      </c>
      <c r="E33" s="210" t="s">
        <v>2997</v>
      </c>
      <c r="F33" s="210" t="s">
        <v>25</v>
      </c>
      <c r="G33" s="211" t="s">
        <v>21</v>
      </c>
      <c r="H33" s="212" t="s">
        <v>2998</v>
      </c>
      <c r="I33" s="210">
        <v>1</v>
      </c>
      <c r="J33" s="210" t="s">
        <v>626</v>
      </c>
      <c r="K33" s="213" t="s">
        <v>952</v>
      </c>
      <c r="L33" s="214">
        <v>158370000</v>
      </c>
      <c r="M33" s="214">
        <f t="shared" si="0"/>
        <v>15837000</v>
      </c>
      <c r="N33" s="215">
        <v>45979</v>
      </c>
      <c r="O33" s="214">
        <v>174207000</v>
      </c>
      <c r="P33" s="215"/>
      <c r="Q33" s="214"/>
      <c r="R33" s="216">
        <f t="shared" si="1"/>
        <v>174207000</v>
      </c>
      <c r="S33" s="217">
        <f t="shared" si="2"/>
        <v>0</v>
      </c>
      <c r="T33" s="216">
        <f t="shared" si="3"/>
        <v>174207000</v>
      </c>
      <c r="U33" s="208">
        <v>45961</v>
      </c>
      <c r="V33" s="218"/>
      <c r="W33" s="218"/>
      <c r="X33" s="219"/>
      <c r="Y33" s="214"/>
      <c r="Z33" s="218"/>
      <c r="AA33" s="218"/>
    </row>
    <row r="34" spans="1:27" x14ac:dyDescent="0.3">
      <c r="B34" s="174">
        <v>45841</v>
      </c>
      <c r="C34" s="174">
        <v>45958</v>
      </c>
      <c r="D34" s="139" t="s">
        <v>3032</v>
      </c>
      <c r="E34" s="83" t="s">
        <v>2779</v>
      </c>
      <c r="F34" s="83" t="s">
        <v>25</v>
      </c>
      <c r="G34" s="83" t="s">
        <v>26</v>
      </c>
      <c r="H34" s="128">
        <v>700</v>
      </c>
      <c r="I34" s="83">
        <v>1</v>
      </c>
      <c r="J34" s="83"/>
      <c r="K34" s="84" t="s">
        <v>2964</v>
      </c>
      <c r="L34" s="85">
        <v>64000000</v>
      </c>
      <c r="M34" s="19">
        <f t="shared" si="0"/>
        <v>6400000</v>
      </c>
      <c r="N34" s="35"/>
      <c r="O34" s="19"/>
      <c r="P34" s="35"/>
      <c r="Q34" s="19"/>
      <c r="R34" s="18">
        <f t="shared" si="1"/>
        <v>0</v>
      </c>
      <c r="S34" s="34">
        <f t="shared" ref="S34" si="12">T34-R34</f>
        <v>70400000</v>
      </c>
      <c r="T34" s="18">
        <f t="shared" ref="T34" si="13">(L34*I34)+M34</f>
        <v>70400000</v>
      </c>
      <c r="U34" s="17">
        <v>45961</v>
      </c>
      <c r="V34" s="20" t="s">
        <v>2971</v>
      </c>
      <c r="W34" s="22"/>
      <c r="X34" s="22"/>
      <c r="Y34" s="19">
        <v>3500000</v>
      </c>
      <c r="Z34" s="20"/>
      <c r="AA34" s="20"/>
    </row>
    <row r="35" spans="1:27" x14ac:dyDescent="0.3">
      <c r="B35" s="81">
        <v>45964</v>
      </c>
      <c r="C35" s="81">
        <v>45966</v>
      </c>
      <c r="D35" s="22" t="s">
        <v>3317</v>
      </c>
      <c r="E35" s="15" t="s">
        <v>3318</v>
      </c>
      <c r="F35" s="83" t="s">
        <v>46</v>
      </c>
      <c r="G35" s="83" t="s">
        <v>21</v>
      </c>
      <c r="H35" s="16">
        <v>250</v>
      </c>
      <c r="I35" s="15">
        <v>1</v>
      </c>
      <c r="J35" s="15" t="s">
        <v>3322</v>
      </c>
      <c r="K35" s="84" t="s">
        <v>3323</v>
      </c>
      <c r="L35" s="19">
        <v>12700000</v>
      </c>
      <c r="M35" s="19">
        <f t="shared" si="0"/>
        <v>1270000</v>
      </c>
      <c r="N35" s="35">
        <v>46006</v>
      </c>
      <c r="O35" s="19">
        <v>13970000</v>
      </c>
      <c r="P35" s="35"/>
      <c r="Q35" s="19"/>
      <c r="R35" s="18">
        <f t="shared" si="1"/>
        <v>13970000</v>
      </c>
      <c r="S35" s="34">
        <f t="shared" si="2"/>
        <v>0</v>
      </c>
      <c r="T35" s="18">
        <f t="shared" si="3"/>
        <v>13970000</v>
      </c>
      <c r="U35" s="17">
        <v>45961</v>
      </c>
      <c r="V35" s="20"/>
      <c r="W35" s="20"/>
      <c r="X35" s="22"/>
      <c r="Y35" s="19"/>
      <c r="Z35" s="20"/>
      <c r="AA35" s="20"/>
    </row>
    <row r="36" spans="1:27" x14ac:dyDescent="0.3">
      <c r="B36" s="81">
        <v>45898</v>
      </c>
      <c r="C36" s="81">
        <v>45962</v>
      </c>
      <c r="D36" s="59" t="s">
        <v>3138</v>
      </c>
      <c r="E36" s="15" t="s">
        <v>3139</v>
      </c>
      <c r="F36" s="15" t="s">
        <v>25</v>
      </c>
      <c r="G36" s="83" t="s">
        <v>21</v>
      </c>
      <c r="H36" s="16" t="s">
        <v>550</v>
      </c>
      <c r="I36" s="15">
        <v>1</v>
      </c>
      <c r="J36" s="15"/>
      <c r="K36" s="84" t="s">
        <v>2839</v>
      </c>
      <c r="L36" s="19">
        <f>48224000*0.5</f>
        <v>24112000</v>
      </c>
      <c r="M36" s="19">
        <f>L36*0.1</f>
        <v>2411200</v>
      </c>
      <c r="N36" s="35">
        <v>46022</v>
      </c>
      <c r="O36" s="19">
        <f>53798410-27275210</f>
        <v>26523200</v>
      </c>
      <c r="P36" s="35"/>
      <c r="Q36" s="19"/>
      <c r="R36" s="18">
        <f t="shared" si="1"/>
        <v>26523200</v>
      </c>
      <c r="S36" s="34">
        <f t="shared" ref="S36:S38" si="14">T36-R36</f>
        <v>0</v>
      </c>
      <c r="T36" s="18">
        <f t="shared" ref="T36:T38" si="15">(L36*I36)+M36</f>
        <v>26523200</v>
      </c>
      <c r="U36" s="17">
        <v>45961</v>
      </c>
      <c r="V36" s="20" t="s">
        <v>2840</v>
      </c>
      <c r="W36" s="20" t="s">
        <v>3524</v>
      </c>
      <c r="X36" s="22"/>
      <c r="Y36" s="19"/>
      <c r="Z36" s="20"/>
      <c r="AA36" s="20"/>
    </row>
    <row r="37" spans="1:27" x14ac:dyDescent="0.3">
      <c r="B37" s="81">
        <v>45920</v>
      </c>
      <c r="C37" s="81">
        <v>45962</v>
      </c>
      <c r="D37" s="59" t="s">
        <v>3216</v>
      </c>
      <c r="E37" s="15" t="s">
        <v>3217</v>
      </c>
      <c r="F37" s="15" t="s">
        <v>25</v>
      </c>
      <c r="G37" s="83" t="s">
        <v>26</v>
      </c>
      <c r="H37" s="16" t="s">
        <v>3522</v>
      </c>
      <c r="I37" s="15">
        <v>1</v>
      </c>
      <c r="J37" s="15"/>
      <c r="K37" s="84" t="s">
        <v>2839</v>
      </c>
      <c r="L37" s="19">
        <f>74608000*0.5</f>
        <v>37304000</v>
      </c>
      <c r="M37" s="19">
        <f>L37*0.1</f>
        <v>3730400</v>
      </c>
      <c r="N37" s="35">
        <v>46022</v>
      </c>
      <c r="O37" s="19">
        <f>53798410-26523200</f>
        <v>27275210</v>
      </c>
      <c r="P37" s="35"/>
      <c r="Q37" s="19">
        <v>13759190</v>
      </c>
      <c r="R37" s="18">
        <f t="shared" si="1"/>
        <v>41034400</v>
      </c>
      <c r="S37" s="34">
        <f t="shared" si="14"/>
        <v>0</v>
      </c>
      <c r="T37" s="114">
        <f t="shared" si="15"/>
        <v>41034400</v>
      </c>
      <c r="U37" s="17">
        <v>45961</v>
      </c>
      <c r="V37" s="20" t="s">
        <v>2840</v>
      </c>
      <c r="W37" s="20" t="s">
        <v>3524</v>
      </c>
      <c r="X37" s="22"/>
      <c r="Y37" s="19"/>
      <c r="Z37" s="20"/>
      <c r="AA37" s="20"/>
    </row>
    <row r="38" spans="1:27" x14ac:dyDescent="0.3">
      <c r="B38" s="81">
        <v>45922</v>
      </c>
      <c r="C38" s="81">
        <v>45959</v>
      </c>
      <c r="D38" s="59" t="s">
        <v>3302</v>
      </c>
      <c r="E38" s="15" t="s">
        <v>3303</v>
      </c>
      <c r="F38" s="15" t="s">
        <v>25</v>
      </c>
      <c r="G38" s="83" t="s">
        <v>26</v>
      </c>
      <c r="H38" s="16" t="s">
        <v>551</v>
      </c>
      <c r="I38" s="15">
        <v>1</v>
      </c>
      <c r="J38" s="15"/>
      <c r="K38" s="84" t="s">
        <v>3523</v>
      </c>
      <c r="L38" s="19">
        <f>41234000*0.5</f>
        <v>20617000</v>
      </c>
      <c r="M38" s="19">
        <f>L38*0.1</f>
        <v>2061700</v>
      </c>
      <c r="N38" s="35">
        <v>46051</v>
      </c>
      <c r="O38" s="19">
        <v>22678700</v>
      </c>
      <c r="P38" s="35"/>
      <c r="Q38" s="19"/>
      <c r="R38" s="18">
        <f t="shared" si="1"/>
        <v>22678700</v>
      </c>
      <c r="S38" s="34">
        <f t="shared" si="14"/>
        <v>0</v>
      </c>
      <c r="T38" s="114">
        <f t="shared" si="15"/>
        <v>22678700</v>
      </c>
      <c r="U38" s="17">
        <v>45961</v>
      </c>
      <c r="V38" s="20" t="s">
        <v>2840</v>
      </c>
      <c r="W38" s="20" t="s">
        <v>3524</v>
      </c>
      <c r="X38" s="22"/>
      <c r="Y38" s="19"/>
      <c r="Z38" s="20"/>
      <c r="AA38" s="20"/>
    </row>
    <row r="39" spans="1:27" x14ac:dyDescent="0.3">
      <c r="B39" s="81">
        <v>45953</v>
      </c>
      <c r="C39" s="81">
        <v>45959</v>
      </c>
      <c r="D39" s="59" t="s">
        <v>3278</v>
      </c>
      <c r="E39" s="15" t="s">
        <v>3279</v>
      </c>
      <c r="F39" s="83" t="s">
        <v>46</v>
      </c>
      <c r="G39" s="83" t="s">
        <v>21</v>
      </c>
      <c r="H39" s="16" t="s">
        <v>3280</v>
      </c>
      <c r="I39" s="15">
        <v>1</v>
      </c>
      <c r="J39" s="15" t="s">
        <v>3158</v>
      </c>
      <c r="K39" s="84" t="s">
        <v>3281</v>
      </c>
      <c r="L39" s="19">
        <v>11198000</v>
      </c>
      <c r="M39" s="19">
        <f t="shared" si="0"/>
        <v>1119800</v>
      </c>
      <c r="N39" s="35">
        <v>45992</v>
      </c>
      <c r="O39" s="19">
        <v>12317800</v>
      </c>
      <c r="P39" s="35"/>
      <c r="Q39" s="19"/>
      <c r="R39" s="18">
        <f t="shared" si="1"/>
        <v>12317800</v>
      </c>
      <c r="S39" s="34">
        <f t="shared" ref="S39:S40" si="16">T39-R39</f>
        <v>0</v>
      </c>
      <c r="T39" s="114">
        <f t="shared" ref="T39:T40" si="17">(L39*I39)+M39</f>
        <v>12317800</v>
      </c>
      <c r="U39" s="17">
        <v>45961</v>
      </c>
      <c r="V39" s="20"/>
      <c r="W39" s="20"/>
      <c r="X39" s="22"/>
      <c r="Y39" s="19"/>
      <c r="Z39" s="20"/>
      <c r="AA39" s="20"/>
    </row>
    <row r="40" spans="1:27" x14ac:dyDescent="0.3">
      <c r="B40" s="81">
        <v>45947</v>
      </c>
      <c r="C40" s="81">
        <v>45947</v>
      </c>
      <c r="D40" s="59" t="s">
        <v>3260</v>
      </c>
      <c r="E40" s="15" t="s">
        <v>3261</v>
      </c>
      <c r="F40" s="15" t="s">
        <v>25</v>
      </c>
      <c r="G40" s="83" t="s">
        <v>26</v>
      </c>
      <c r="H40" s="16" t="s">
        <v>547</v>
      </c>
      <c r="I40" s="15">
        <v>1</v>
      </c>
      <c r="J40" s="15"/>
      <c r="K40" s="84" t="s">
        <v>3339</v>
      </c>
      <c r="L40" s="19">
        <f>8000000*2</f>
        <v>16000000</v>
      </c>
      <c r="M40" s="19">
        <f t="shared" si="0"/>
        <v>1600000</v>
      </c>
      <c r="N40" s="35">
        <v>46064</v>
      </c>
      <c r="O40" s="19">
        <v>17600000</v>
      </c>
      <c r="P40" s="35"/>
      <c r="Q40" s="19"/>
      <c r="R40" s="18">
        <f t="shared" si="1"/>
        <v>17600000</v>
      </c>
      <c r="S40" s="34">
        <f t="shared" si="16"/>
        <v>0</v>
      </c>
      <c r="T40" s="114">
        <f t="shared" si="17"/>
        <v>17600000</v>
      </c>
      <c r="U40" s="17">
        <v>45961</v>
      </c>
      <c r="V40" s="20"/>
      <c r="W40" s="20"/>
      <c r="X40" s="22"/>
      <c r="Y40" s="19"/>
      <c r="Z40" s="20"/>
      <c r="AA40" s="20"/>
    </row>
    <row r="41" spans="1:27" s="20" customFormat="1" ht="17.100000000000001" customHeight="1" x14ac:dyDescent="0.3">
      <c r="B41" s="64"/>
      <c r="C41" s="64"/>
      <c r="D41" s="62" t="s">
        <v>3277</v>
      </c>
      <c r="E41" s="65"/>
      <c r="F41" s="65"/>
      <c r="G41" s="65"/>
      <c r="H41" s="66"/>
      <c r="I41" s="65"/>
      <c r="J41" s="65"/>
      <c r="K41" s="67"/>
      <c r="L41" s="68">
        <f>T41/1.1</f>
        <v>1102722000</v>
      </c>
      <c r="M41" s="68"/>
      <c r="N41" s="69"/>
      <c r="O41" s="68"/>
      <c r="P41" s="69"/>
      <c r="Q41" s="68"/>
      <c r="R41" s="70"/>
      <c r="S41" s="72"/>
      <c r="T41" s="126">
        <f>SUM(T27:T40)</f>
        <v>1212994200</v>
      </c>
      <c r="U41" s="73"/>
      <c r="V41" s="71"/>
      <c r="W41" s="135">
        <f>L41-Y41</f>
        <v>1099222000</v>
      </c>
      <c r="X41" s="71"/>
      <c r="Y41" s="89">
        <f>SUM(Y27:Y40)</f>
        <v>3500000</v>
      </c>
    </row>
    <row r="42" spans="1:27" s="185" customFormat="1" x14ac:dyDescent="0.3">
      <c r="A42" s="222"/>
      <c r="B42" s="208">
        <v>45874</v>
      </c>
      <c r="C42" s="208">
        <v>45918</v>
      </c>
      <c r="D42" s="219" t="s">
        <v>3088</v>
      </c>
      <c r="E42" s="220" t="s">
        <v>3089</v>
      </c>
      <c r="F42" s="220" t="s">
        <v>25</v>
      </c>
      <c r="G42" s="223" t="s">
        <v>21</v>
      </c>
      <c r="H42" s="221" t="s">
        <v>3090</v>
      </c>
      <c r="I42" s="220">
        <v>1</v>
      </c>
      <c r="J42" s="210" t="s">
        <v>2802</v>
      </c>
      <c r="K42" s="213" t="s">
        <v>3093</v>
      </c>
      <c r="L42" s="99">
        <v>87281818.181818172</v>
      </c>
      <c r="M42" s="99">
        <f t="shared" si="0"/>
        <v>8728181.8181818184</v>
      </c>
      <c r="N42" s="215">
        <v>45968</v>
      </c>
      <c r="O42" s="214">
        <v>96010000</v>
      </c>
      <c r="P42" s="215"/>
      <c r="Q42" s="214"/>
      <c r="R42" s="216">
        <f>O42+Q42</f>
        <v>96010000</v>
      </c>
      <c r="S42" s="217">
        <f t="shared" si="2"/>
        <v>0</v>
      </c>
      <c r="T42" s="216">
        <f t="shared" si="3"/>
        <v>96009999.999999985</v>
      </c>
      <c r="U42" s="208">
        <v>45971</v>
      </c>
      <c r="V42" s="218"/>
      <c r="W42" s="219"/>
      <c r="X42" s="219"/>
      <c r="Y42" s="214"/>
      <c r="Z42" s="218"/>
      <c r="AA42" s="218"/>
    </row>
    <row r="43" spans="1:27" x14ac:dyDescent="0.3">
      <c r="B43" s="81">
        <v>45874</v>
      </c>
      <c r="C43" s="81">
        <v>45954</v>
      </c>
      <c r="D43" s="59" t="s">
        <v>3094</v>
      </c>
      <c r="E43" s="15" t="s">
        <v>3095</v>
      </c>
      <c r="F43" s="15" t="s">
        <v>25</v>
      </c>
      <c r="G43" s="83" t="s">
        <v>26</v>
      </c>
      <c r="H43" s="16" t="s">
        <v>250</v>
      </c>
      <c r="I43" s="15">
        <v>1</v>
      </c>
      <c r="J43" s="15" t="s">
        <v>2802</v>
      </c>
      <c r="K43" s="84" t="s">
        <v>2322</v>
      </c>
      <c r="L43" s="19">
        <v>44560000</v>
      </c>
      <c r="M43" s="19">
        <f t="shared" si="0"/>
        <v>4456000</v>
      </c>
      <c r="N43" s="35">
        <v>45993</v>
      </c>
      <c r="O43" s="19">
        <v>49016000</v>
      </c>
      <c r="P43" s="35"/>
      <c r="Q43" s="19"/>
      <c r="R43" s="18">
        <f t="shared" si="1"/>
        <v>49016000</v>
      </c>
      <c r="S43" s="34">
        <f t="shared" si="2"/>
        <v>0</v>
      </c>
      <c r="T43" s="18">
        <f t="shared" si="3"/>
        <v>49016000</v>
      </c>
      <c r="U43" s="17">
        <v>45981</v>
      </c>
      <c r="V43" s="20"/>
      <c r="W43" s="20"/>
      <c r="X43" s="22"/>
      <c r="Y43" s="19">
        <v>10000000</v>
      </c>
      <c r="Z43" s="20"/>
      <c r="AA43" s="20"/>
    </row>
    <row r="44" spans="1:27" x14ac:dyDescent="0.3">
      <c r="B44" s="81">
        <v>45953</v>
      </c>
      <c r="C44" s="81">
        <v>45959</v>
      </c>
      <c r="D44" s="59" t="s">
        <v>3304</v>
      </c>
      <c r="E44" s="15" t="s">
        <v>3305</v>
      </c>
      <c r="F44" s="83" t="s">
        <v>46</v>
      </c>
      <c r="G44" s="83" t="s">
        <v>21</v>
      </c>
      <c r="H44" s="16" t="s">
        <v>3306</v>
      </c>
      <c r="I44" s="15">
        <v>1</v>
      </c>
      <c r="J44" s="15" t="s">
        <v>3307</v>
      </c>
      <c r="K44" s="84" t="s">
        <v>3308</v>
      </c>
      <c r="L44" s="19">
        <v>33000000</v>
      </c>
      <c r="M44" s="19">
        <f t="shared" si="0"/>
        <v>3300000</v>
      </c>
      <c r="N44" s="35">
        <v>46021</v>
      </c>
      <c r="O44" s="19">
        <v>36300000</v>
      </c>
      <c r="P44" s="35"/>
      <c r="Q44" s="19"/>
      <c r="R44" s="18">
        <f t="shared" si="1"/>
        <v>36300000</v>
      </c>
      <c r="S44" s="34">
        <f t="shared" si="2"/>
        <v>0</v>
      </c>
      <c r="T44" s="18">
        <f t="shared" si="3"/>
        <v>36300000</v>
      </c>
      <c r="U44" s="17">
        <v>45989</v>
      </c>
      <c r="V44" s="20"/>
      <c r="W44" s="20"/>
      <c r="X44" s="22"/>
      <c r="Y44" s="19"/>
      <c r="Z44" s="20"/>
      <c r="AA44" s="20"/>
    </row>
    <row r="45" spans="1:27" x14ac:dyDescent="0.3">
      <c r="B45" s="81">
        <v>45971</v>
      </c>
      <c r="C45" s="81">
        <v>45971</v>
      </c>
      <c r="D45" s="59" t="s">
        <v>3357</v>
      </c>
      <c r="E45" s="15" t="s">
        <v>3358</v>
      </c>
      <c r="F45" s="83" t="s">
        <v>46</v>
      </c>
      <c r="G45" s="83" t="s">
        <v>21</v>
      </c>
      <c r="H45" s="16" t="s">
        <v>3359</v>
      </c>
      <c r="I45" s="15">
        <v>1</v>
      </c>
      <c r="J45" s="15" t="s">
        <v>3360</v>
      </c>
      <c r="K45" s="84" t="s">
        <v>512</v>
      </c>
      <c r="L45" s="19">
        <v>12486000</v>
      </c>
      <c r="M45" s="19">
        <f t="shared" si="0"/>
        <v>1248600</v>
      </c>
      <c r="N45" s="35">
        <v>46021</v>
      </c>
      <c r="O45" s="19">
        <v>13734600</v>
      </c>
      <c r="P45" s="35"/>
      <c r="Q45" s="19"/>
      <c r="R45" s="18">
        <f t="shared" si="1"/>
        <v>13734600</v>
      </c>
      <c r="S45" s="34">
        <f t="shared" si="2"/>
        <v>0</v>
      </c>
      <c r="T45" s="18">
        <f t="shared" si="3"/>
        <v>13734600</v>
      </c>
      <c r="U45" s="17">
        <v>45989</v>
      </c>
      <c r="V45" s="20"/>
      <c r="W45" s="20"/>
      <c r="X45" s="22"/>
      <c r="Y45" s="19"/>
      <c r="Z45" s="20"/>
      <c r="AA45" s="20"/>
    </row>
    <row r="46" spans="1:27" s="185" customFormat="1" x14ac:dyDescent="0.3">
      <c r="A46" s="202"/>
      <c r="B46" s="208">
        <v>45967</v>
      </c>
      <c r="C46" s="208"/>
      <c r="D46" s="219" t="s">
        <v>3341</v>
      </c>
      <c r="E46" s="194" t="s">
        <v>3342</v>
      </c>
      <c r="F46" s="194" t="s">
        <v>25</v>
      </c>
      <c r="G46" s="195" t="s">
        <v>21</v>
      </c>
      <c r="H46" s="196" t="s">
        <v>3343</v>
      </c>
      <c r="I46" s="194">
        <v>1</v>
      </c>
      <c r="J46" s="210" t="s">
        <v>2951</v>
      </c>
      <c r="K46" s="213" t="s">
        <v>1300</v>
      </c>
      <c r="L46" s="197">
        <v>280750000</v>
      </c>
      <c r="M46" s="197">
        <f t="shared" si="0"/>
        <v>28075000</v>
      </c>
      <c r="N46" s="215">
        <v>46055</v>
      </c>
      <c r="O46" s="214">
        <v>308825000</v>
      </c>
      <c r="P46" s="215"/>
      <c r="Q46" s="214"/>
      <c r="R46" s="216">
        <f t="shared" si="1"/>
        <v>308825000</v>
      </c>
      <c r="S46" s="217">
        <f t="shared" si="2"/>
        <v>0</v>
      </c>
      <c r="T46" s="216">
        <f t="shared" si="3"/>
        <v>308825000</v>
      </c>
      <c r="U46" s="208">
        <v>45991</v>
      </c>
      <c r="V46" s="218"/>
      <c r="W46" s="218"/>
      <c r="X46" s="219"/>
      <c r="Y46" s="214"/>
      <c r="Z46" s="218"/>
      <c r="AA46" s="218"/>
    </row>
    <row r="47" spans="1:27" x14ac:dyDescent="0.3">
      <c r="B47" s="81">
        <v>45972</v>
      </c>
      <c r="C47" s="81">
        <v>45974</v>
      </c>
      <c r="D47" s="59" t="s">
        <v>3353</v>
      </c>
      <c r="E47" s="15" t="s">
        <v>3354</v>
      </c>
      <c r="F47" s="83" t="s">
        <v>46</v>
      </c>
      <c r="G47" s="83" t="s">
        <v>21</v>
      </c>
      <c r="H47" s="16" t="s">
        <v>3355</v>
      </c>
      <c r="I47" s="15">
        <v>1</v>
      </c>
      <c r="J47" s="15" t="s">
        <v>3158</v>
      </c>
      <c r="K47" s="84" t="s">
        <v>3157</v>
      </c>
      <c r="L47" s="19">
        <v>13714000</v>
      </c>
      <c r="M47" s="19">
        <f t="shared" si="0"/>
        <v>1371400</v>
      </c>
      <c r="N47" s="35">
        <v>46085</v>
      </c>
      <c r="O47" s="19">
        <v>15085400</v>
      </c>
      <c r="P47" s="35"/>
      <c r="Q47" s="19"/>
      <c r="R47" s="18">
        <f t="shared" si="1"/>
        <v>15085400</v>
      </c>
      <c r="S47" s="34">
        <f t="shared" si="2"/>
        <v>0</v>
      </c>
      <c r="T47" s="18">
        <f t="shared" si="3"/>
        <v>15085400</v>
      </c>
      <c r="U47" s="17">
        <v>45991</v>
      </c>
      <c r="V47" s="20"/>
      <c r="W47" s="20"/>
      <c r="X47" s="22"/>
      <c r="Y47" s="19"/>
      <c r="Z47" s="20"/>
      <c r="AA47" s="20"/>
    </row>
    <row r="48" spans="1:27" x14ac:dyDescent="0.3">
      <c r="B48" s="81">
        <v>45982</v>
      </c>
      <c r="C48" s="81">
        <v>45987</v>
      </c>
      <c r="D48" s="59" t="s">
        <v>3400</v>
      </c>
      <c r="E48" s="15" t="s">
        <v>3401</v>
      </c>
      <c r="F48" s="83" t="s">
        <v>46</v>
      </c>
      <c r="G48" s="83" t="s">
        <v>21</v>
      </c>
      <c r="H48" s="16" t="s">
        <v>3402</v>
      </c>
      <c r="I48" s="15">
        <v>1</v>
      </c>
      <c r="J48" s="15" t="s">
        <v>2249</v>
      </c>
      <c r="K48" s="29" t="s">
        <v>1337</v>
      </c>
      <c r="L48" s="19">
        <v>30915000</v>
      </c>
      <c r="M48" s="19">
        <f t="shared" si="0"/>
        <v>3091500</v>
      </c>
      <c r="N48" s="35">
        <v>46022</v>
      </c>
      <c r="O48" s="19">
        <v>34006500</v>
      </c>
      <c r="P48" s="35"/>
      <c r="Q48" s="19"/>
      <c r="R48" s="18">
        <f t="shared" si="1"/>
        <v>34006500</v>
      </c>
      <c r="S48" s="34">
        <f t="shared" si="2"/>
        <v>0</v>
      </c>
      <c r="T48" s="18">
        <f t="shared" si="3"/>
        <v>34006500</v>
      </c>
      <c r="U48" s="17">
        <v>45991</v>
      </c>
      <c r="V48" s="20"/>
      <c r="W48" s="20"/>
      <c r="X48" s="22"/>
      <c r="Y48" s="19"/>
      <c r="Z48" s="20"/>
      <c r="AA48" s="20"/>
    </row>
    <row r="49" spans="1:27" s="20" customFormat="1" ht="17.100000000000001" customHeight="1" x14ac:dyDescent="0.3">
      <c r="B49" s="64"/>
      <c r="C49" s="64"/>
      <c r="D49" s="62" t="s">
        <v>3416</v>
      </c>
      <c r="E49" s="65"/>
      <c r="F49" s="65"/>
      <c r="G49" s="65"/>
      <c r="H49" s="66"/>
      <c r="I49" s="65"/>
      <c r="J49" s="65"/>
      <c r="K49" s="67"/>
      <c r="L49" s="68">
        <f>T49/1.1</f>
        <v>502706818.18181813</v>
      </c>
      <c r="M49" s="68"/>
      <c r="N49" s="69"/>
      <c r="O49" s="68"/>
      <c r="P49" s="69"/>
      <c r="Q49" s="68"/>
      <c r="R49" s="70"/>
      <c r="S49" s="72"/>
      <c r="T49" s="126">
        <f>SUM(T42:T48)</f>
        <v>552977500</v>
      </c>
      <c r="U49" s="73"/>
      <c r="V49" s="71"/>
      <c r="W49" s="135">
        <f>L49-Y49</f>
        <v>492706818.18181813</v>
      </c>
      <c r="X49" s="71"/>
      <c r="Y49" s="89">
        <f>SUM(Y42:Y48)</f>
        <v>10000000</v>
      </c>
    </row>
    <row r="50" spans="1:27" x14ac:dyDescent="0.3">
      <c r="B50" s="81">
        <v>45973</v>
      </c>
      <c r="C50" s="81">
        <v>45992</v>
      </c>
      <c r="D50" s="59" t="s">
        <v>3447</v>
      </c>
      <c r="E50" s="15" t="s">
        <v>3362</v>
      </c>
      <c r="F50" s="83" t="s">
        <v>128</v>
      </c>
      <c r="G50" s="83" t="s">
        <v>21</v>
      </c>
      <c r="H50" s="16" t="s">
        <v>390</v>
      </c>
      <c r="I50" s="15">
        <v>1</v>
      </c>
      <c r="J50" s="15" t="s">
        <v>2457</v>
      </c>
      <c r="K50" s="84" t="s">
        <v>3446</v>
      </c>
      <c r="L50" s="19">
        <v>38000000</v>
      </c>
      <c r="M50" s="19">
        <f t="shared" si="0"/>
        <v>3800000</v>
      </c>
      <c r="N50" s="35">
        <v>46022</v>
      </c>
      <c r="O50" s="19">
        <v>41800000</v>
      </c>
      <c r="P50" s="35"/>
      <c r="Q50" s="19"/>
      <c r="R50" s="18">
        <f t="shared" si="1"/>
        <v>41800000</v>
      </c>
      <c r="S50" s="34">
        <f t="shared" si="2"/>
        <v>0</v>
      </c>
      <c r="T50" s="18">
        <f t="shared" ref="T50:T96" si="18">(L50*I50)+M50</f>
        <v>41800000</v>
      </c>
      <c r="U50" s="17">
        <v>45994</v>
      </c>
      <c r="V50" s="20"/>
      <c r="W50" s="20"/>
      <c r="X50" s="22"/>
      <c r="Y50" s="19"/>
      <c r="Z50" s="20"/>
      <c r="AA50" s="20"/>
    </row>
    <row r="51" spans="1:27" x14ac:dyDescent="0.3">
      <c r="B51" s="81">
        <v>45973</v>
      </c>
      <c r="C51" s="81">
        <v>45977</v>
      </c>
      <c r="D51" s="59" t="s">
        <v>3448</v>
      </c>
      <c r="E51" s="15" t="s">
        <v>3363</v>
      </c>
      <c r="F51" s="83" t="s">
        <v>128</v>
      </c>
      <c r="G51" s="83" t="s">
        <v>21</v>
      </c>
      <c r="H51" s="16" t="s">
        <v>3365</v>
      </c>
      <c r="I51" s="15">
        <v>1</v>
      </c>
      <c r="J51" s="15" t="s">
        <v>2457</v>
      </c>
      <c r="K51" s="84" t="s">
        <v>3446</v>
      </c>
      <c r="L51" s="19">
        <v>12000000</v>
      </c>
      <c r="M51" s="19">
        <f t="shared" si="0"/>
        <v>1200000</v>
      </c>
      <c r="N51" s="35">
        <v>46022</v>
      </c>
      <c r="O51" s="19">
        <v>13200000</v>
      </c>
      <c r="P51" s="35"/>
      <c r="Q51" s="19"/>
      <c r="R51" s="18">
        <f t="shared" si="1"/>
        <v>13200000</v>
      </c>
      <c r="S51" s="34">
        <f t="shared" si="2"/>
        <v>0</v>
      </c>
      <c r="T51" s="18">
        <f t="shared" si="18"/>
        <v>13200000</v>
      </c>
      <c r="U51" s="17">
        <v>45994</v>
      </c>
      <c r="V51" s="20"/>
      <c r="W51" s="20"/>
      <c r="X51" s="22"/>
      <c r="Y51" s="19">
        <v>4000000</v>
      </c>
      <c r="Z51" s="20"/>
      <c r="AA51" s="20"/>
    </row>
    <row r="52" spans="1:27" x14ac:dyDescent="0.3">
      <c r="B52" s="81">
        <v>45743</v>
      </c>
      <c r="C52" s="81"/>
      <c r="D52" s="59" t="s">
        <v>2849</v>
      </c>
      <c r="E52" s="15" t="s">
        <v>3063</v>
      </c>
      <c r="F52" s="15" t="s">
        <v>25</v>
      </c>
      <c r="G52" s="83" t="s">
        <v>26</v>
      </c>
      <c r="H52" s="16">
        <v>800</v>
      </c>
      <c r="I52" s="15">
        <v>1</v>
      </c>
      <c r="J52" s="15"/>
      <c r="K52" s="84" t="s">
        <v>2839</v>
      </c>
      <c r="L52" s="19">
        <v>22200000</v>
      </c>
      <c r="M52" s="19">
        <f t="shared" si="0"/>
        <v>2220000</v>
      </c>
      <c r="N52" s="35"/>
      <c r="O52" s="19"/>
      <c r="P52" s="35"/>
      <c r="Q52" s="19"/>
      <c r="R52" s="18">
        <f t="shared" si="1"/>
        <v>0</v>
      </c>
      <c r="S52" s="34">
        <f t="shared" si="2"/>
        <v>24420000</v>
      </c>
      <c r="T52" s="18">
        <f t="shared" si="18"/>
        <v>24420000</v>
      </c>
      <c r="U52" s="17">
        <v>46001</v>
      </c>
      <c r="V52" s="20"/>
      <c r="W52" s="20"/>
      <c r="X52" s="22"/>
      <c r="Y52" s="19"/>
      <c r="Z52" s="20"/>
      <c r="AA52" s="20"/>
    </row>
    <row r="53" spans="1:27" x14ac:dyDescent="0.3">
      <c r="B53" s="81">
        <v>45898</v>
      </c>
      <c r="C53" s="81">
        <v>45962</v>
      </c>
      <c r="D53" s="59" t="s">
        <v>3138</v>
      </c>
      <c r="E53" s="15" t="s">
        <v>3139</v>
      </c>
      <c r="F53" s="15" t="s">
        <v>25</v>
      </c>
      <c r="G53" s="83" t="s">
        <v>21</v>
      </c>
      <c r="H53" s="16" t="s">
        <v>550</v>
      </c>
      <c r="I53" s="15">
        <v>1</v>
      </c>
      <c r="J53" s="15"/>
      <c r="K53" s="84" t="s">
        <v>3520</v>
      </c>
      <c r="L53" s="19">
        <f>48224000*0.5</f>
        <v>24112000</v>
      </c>
      <c r="M53" s="19">
        <f t="shared" ref="M53:M110" si="19">L53*0.1</f>
        <v>2411200</v>
      </c>
      <c r="N53" s="35"/>
      <c r="O53" s="19"/>
      <c r="P53" s="35"/>
      <c r="Q53" s="19"/>
      <c r="R53" s="18">
        <f t="shared" ref="R53:R110" si="20">O53+Q53</f>
        <v>0</v>
      </c>
      <c r="S53" s="34">
        <f t="shared" ref="S53:S110" si="21">T53-R53</f>
        <v>26523200</v>
      </c>
      <c r="T53" s="18">
        <f t="shared" si="18"/>
        <v>26523200</v>
      </c>
      <c r="U53" s="17">
        <v>46001</v>
      </c>
      <c r="V53" s="20"/>
      <c r="W53" s="20" t="s">
        <v>3524</v>
      </c>
      <c r="X53" s="22"/>
      <c r="Y53" s="19"/>
      <c r="Z53" s="20"/>
      <c r="AA53" s="20"/>
    </row>
    <row r="54" spans="1:27" x14ac:dyDescent="0.3">
      <c r="B54" s="81">
        <v>45920</v>
      </c>
      <c r="C54" s="81">
        <v>45962</v>
      </c>
      <c r="D54" s="59" t="s">
        <v>3216</v>
      </c>
      <c r="E54" s="15" t="s">
        <v>3217</v>
      </c>
      <c r="F54" s="15" t="s">
        <v>25</v>
      </c>
      <c r="G54" s="83" t="s">
        <v>26</v>
      </c>
      <c r="H54" s="16" t="s">
        <v>554</v>
      </c>
      <c r="I54" s="15">
        <v>1</v>
      </c>
      <c r="J54" s="15"/>
      <c r="K54" s="84" t="s">
        <v>3521</v>
      </c>
      <c r="L54" s="19">
        <f>74608000*0.5</f>
        <v>37304000</v>
      </c>
      <c r="M54" s="19">
        <f t="shared" si="19"/>
        <v>3730400</v>
      </c>
      <c r="N54" s="35"/>
      <c r="O54" s="19"/>
      <c r="P54" s="35"/>
      <c r="Q54" s="19"/>
      <c r="R54" s="18">
        <f t="shared" si="20"/>
        <v>0</v>
      </c>
      <c r="S54" s="34">
        <f t="shared" si="21"/>
        <v>41034400</v>
      </c>
      <c r="T54" s="18">
        <f t="shared" si="18"/>
        <v>41034400</v>
      </c>
      <c r="U54" s="17">
        <v>46001</v>
      </c>
      <c r="V54" s="20"/>
      <c r="W54" s="20" t="s">
        <v>3524</v>
      </c>
      <c r="X54" s="22"/>
      <c r="Y54" s="19"/>
      <c r="Z54" s="20"/>
      <c r="AA54" s="20"/>
    </row>
    <row r="55" spans="1:27" x14ac:dyDescent="0.3">
      <c r="B55" s="81">
        <v>45922</v>
      </c>
      <c r="C55" s="81">
        <v>45959</v>
      </c>
      <c r="D55" s="59" t="s">
        <v>3302</v>
      </c>
      <c r="E55" s="15" t="s">
        <v>3303</v>
      </c>
      <c r="F55" s="15" t="s">
        <v>25</v>
      </c>
      <c r="G55" s="83" t="s">
        <v>26</v>
      </c>
      <c r="H55" s="16" t="s">
        <v>551</v>
      </c>
      <c r="I55" s="15">
        <v>1</v>
      </c>
      <c r="J55" s="15"/>
      <c r="K55" s="84" t="s">
        <v>3521</v>
      </c>
      <c r="L55" s="19">
        <f>(41234000*0.5)-6000</f>
        <v>20611000</v>
      </c>
      <c r="M55" s="19">
        <f t="shared" si="19"/>
        <v>2061100</v>
      </c>
      <c r="N55" s="35"/>
      <c r="O55" s="19"/>
      <c r="P55" s="35"/>
      <c r="Q55" s="19"/>
      <c r="R55" s="18">
        <f t="shared" si="20"/>
        <v>0</v>
      </c>
      <c r="S55" s="34">
        <f>T55-R55</f>
        <v>22672100</v>
      </c>
      <c r="T55" s="18">
        <f t="shared" si="18"/>
        <v>22672100</v>
      </c>
      <c r="U55" s="17">
        <v>46001</v>
      </c>
      <c r="V55" s="20"/>
      <c r="W55" s="20" t="s">
        <v>3524</v>
      </c>
      <c r="X55" s="22"/>
      <c r="Y55" s="19"/>
      <c r="Z55" s="20"/>
      <c r="AA55" s="20"/>
    </row>
    <row r="56" spans="1:27" x14ac:dyDescent="0.3">
      <c r="B56" s="81">
        <v>45980</v>
      </c>
      <c r="C56" s="81">
        <v>45987</v>
      </c>
      <c r="D56" s="22" t="s">
        <v>3391</v>
      </c>
      <c r="E56" s="15" t="s">
        <v>3392</v>
      </c>
      <c r="F56" s="83" t="s">
        <v>46</v>
      </c>
      <c r="G56" s="83" t="s">
        <v>21</v>
      </c>
      <c r="H56" s="16" t="s">
        <v>3393</v>
      </c>
      <c r="I56" s="15">
        <v>1</v>
      </c>
      <c r="J56" s="15" t="s">
        <v>3394</v>
      </c>
      <c r="K56" s="84"/>
      <c r="L56" s="19"/>
      <c r="M56" s="19">
        <f t="shared" si="19"/>
        <v>0</v>
      </c>
      <c r="N56" s="35"/>
      <c r="O56" s="19"/>
      <c r="P56" s="35"/>
      <c r="Q56" s="19"/>
      <c r="R56" s="18">
        <f t="shared" si="20"/>
        <v>0</v>
      </c>
      <c r="S56" s="34">
        <f t="shared" si="21"/>
        <v>0</v>
      </c>
      <c r="T56" s="18">
        <f t="shared" si="18"/>
        <v>0</v>
      </c>
      <c r="U56" s="17">
        <v>46008</v>
      </c>
      <c r="V56" s="20"/>
      <c r="W56" s="20"/>
      <c r="X56" s="22"/>
      <c r="Y56" s="19"/>
      <c r="Z56" s="20"/>
      <c r="AA56" s="20"/>
    </row>
    <row r="57" spans="1:27" x14ac:dyDescent="0.3">
      <c r="B57" s="81">
        <v>45981</v>
      </c>
      <c r="C57" s="81">
        <v>45987</v>
      </c>
      <c r="D57" s="22" t="s">
        <v>3397</v>
      </c>
      <c r="E57" s="15" t="s">
        <v>3398</v>
      </c>
      <c r="F57" s="83" t="s">
        <v>46</v>
      </c>
      <c r="G57" s="83" t="s">
        <v>21</v>
      </c>
      <c r="H57" s="16" t="s">
        <v>3399</v>
      </c>
      <c r="I57" s="15">
        <v>1</v>
      </c>
      <c r="J57" s="15" t="s">
        <v>3394</v>
      </c>
      <c r="K57" s="84"/>
      <c r="L57" s="19"/>
      <c r="M57" s="19">
        <f t="shared" si="19"/>
        <v>0</v>
      </c>
      <c r="N57" s="35"/>
      <c r="O57" s="19"/>
      <c r="P57" s="35"/>
      <c r="Q57" s="19"/>
      <c r="R57" s="18">
        <f t="shared" si="20"/>
        <v>0</v>
      </c>
      <c r="S57" s="34">
        <f t="shared" si="21"/>
        <v>0</v>
      </c>
      <c r="T57" s="18">
        <f t="shared" si="18"/>
        <v>0</v>
      </c>
      <c r="U57" s="17">
        <v>46008</v>
      </c>
      <c r="V57" s="20"/>
      <c r="W57" s="20"/>
      <c r="X57" s="22"/>
      <c r="Y57" s="19"/>
      <c r="Z57" s="20"/>
      <c r="AA57" s="20"/>
    </row>
    <row r="58" spans="1:27" x14ac:dyDescent="0.3">
      <c r="B58" s="81">
        <v>45981</v>
      </c>
      <c r="C58" s="81">
        <v>45987</v>
      </c>
      <c r="D58" s="187" t="s">
        <v>3459</v>
      </c>
      <c r="E58" s="15"/>
      <c r="F58" s="83" t="s">
        <v>46</v>
      </c>
      <c r="G58" s="83" t="s">
        <v>21</v>
      </c>
      <c r="H58" s="16"/>
      <c r="I58" s="15">
        <v>1</v>
      </c>
      <c r="J58" s="15" t="s">
        <v>3394</v>
      </c>
      <c r="K58" s="84"/>
      <c r="L58" s="19">
        <f>200182000</f>
        <v>200182000</v>
      </c>
      <c r="M58" s="19">
        <f t="shared" si="19"/>
        <v>20018200</v>
      </c>
      <c r="N58" s="35">
        <v>46021</v>
      </c>
      <c r="O58" s="19">
        <v>220200200</v>
      </c>
      <c r="P58" s="35"/>
      <c r="Q58" s="19"/>
      <c r="R58" s="18">
        <f t="shared" si="20"/>
        <v>220200200</v>
      </c>
      <c r="S58" s="34">
        <f t="shared" si="21"/>
        <v>0</v>
      </c>
      <c r="T58" s="18">
        <f t="shared" si="18"/>
        <v>220200200</v>
      </c>
      <c r="U58" s="17">
        <v>46008</v>
      </c>
      <c r="V58" s="20" t="s">
        <v>3461</v>
      </c>
      <c r="W58" s="20" t="s">
        <v>3462</v>
      </c>
      <c r="X58" s="22"/>
      <c r="Y58" s="19">
        <v>22000000</v>
      </c>
      <c r="Z58" s="20"/>
      <c r="AA58" s="20"/>
    </row>
    <row r="59" spans="1:27" x14ac:dyDescent="0.3">
      <c r="B59" s="81">
        <v>45859</v>
      </c>
      <c r="C59" s="81">
        <v>45860</v>
      </c>
      <c r="D59" s="22" t="s">
        <v>3463</v>
      </c>
      <c r="E59" s="15" t="s">
        <v>3075</v>
      </c>
      <c r="F59" s="15" t="s">
        <v>25</v>
      </c>
      <c r="G59" s="83" t="s">
        <v>26</v>
      </c>
      <c r="H59" s="16" t="s">
        <v>549</v>
      </c>
      <c r="I59" s="15">
        <v>1</v>
      </c>
      <c r="J59" s="15"/>
      <c r="K59" s="84" t="s">
        <v>3511</v>
      </c>
      <c r="L59" s="19">
        <v>28500000</v>
      </c>
      <c r="M59" s="19">
        <f t="shared" si="19"/>
        <v>2850000</v>
      </c>
      <c r="N59" s="35">
        <v>46020</v>
      </c>
      <c r="O59" s="19">
        <v>31350000</v>
      </c>
      <c r="P59" s="35"/>
      <c r="Q59" s="19"/>
      <c r="R59" s="18">
        <f t="shared" si="20"/>
        <v>31350000</v>
      </c>
      <c r="S59" s="34">
        <f t="shared" si="21"/>
        <v>0</v>
      </c>
      <c r="T59" s="18">
        <f t="shared" si="18"/>
        <v>31350000</v>
      </c>
      <c r="U59" s="17">
        <v>46009</v>
      </c>
      <c r="V59" s="20"/>
      <c r="W59" s="20"/>
      <c r="X59" s="22"/>
      <c r="Y59" s="19"/>
      <c r="Z59" s="20"/>
      <c r="AA59" s="20"/>
    </row>
    <row r="60" spans="1:27" s="185" customFormat="1" x14ac:dyDescent="0.3">
      <c r="A60" s="202"/>
      <c r="B60" s="208">
        <v>46013</v>
      </c>
      <c r="C60" s="208">
        <v>46013</v>
      </c>
      <c r="D60" s="209" t="s">
        <v>3494</v>
      </c>
      <c r="E60" s="194" t="s">
        <v>3496</v>
      </c>
      <c r="F60" s="195" t="s">
        <v>46</v>
      </c>
      <c r="G60" s="195" t="s">
        <v>21</v>
      </c>
      <c r="H60" s="196" t="s">
        <v>3496</v>
      </c>
      <c r="I60" s="194">
        <v>1</v>
      </c>
      <c r="J60" s="210" t="s">
        <v>3489</v>
      </c>
      <c r="K60" s="302"/>
      <c r="L60" s="197">
        <v>768810000</v>
      </c>
      <c r="M60" s="197">
        <v>76881000</v>
      </c>
      <c r="N60" s="215">
        <v>46022</v>
      </c>
      <c r="O60" s="214">
        <v>845691000</v>
      </c>
      <c r="P60" s="215"/>
      <c r="Q60" s="214"/>
      <c r="R60" s="216">
        <f t="shared" si="20"/>
        <v>845691000</v>
      </c>
      <c r="S60" s="217">
        <f t="shared" si="21"/>
        <v>0</v>
      </c>
      <c r="T60" s="216">
        <v>845691000</v>
      </c>
      <c r="U60" s="208">
        <v>46001</v>
      </c>
      <c r="V60" s="218" t="s">
        <v>2355</v>
      </c>
      <c r="W60" s="218"/>
      <c r="X60" s="219"/>
      <c r="Y60" s="214"/>
      <c r="Z60" s="218"/>
      <c r="AA60" s="218"/>
    </row>
    <row r="61" spans="1:27" s="185" customFormat="1" x14ac:dyDescent="0.3">
      <c r="A61" s="192"/>
      <c r="B61" s="208">
        <v>46013</v>
      </c>
      <c r="C61" s="208">
        <v>46013</v>
      </c>
      <c r="D61" s="209" t="s">
        <v>3493</v>
      </c>
      <c r="E61" s="188" t="s">
        <v>3496</v>
      </c>
      <c r="F61" s="189" t="s">
        <v>46</v>
      </c>
      <c r="G61" s="189" t="s">
        <v>21</v>
      </c>
      <c r="H61" s="190" t="s">
        <v>3496</v>
      </c>
      <c r="I61" s="188">
        <v>1</v>
      </c>
      <c r="J61" s="210" t="s">
        <v>3490</v>
      </c>
      <c r="K61" s="302"/>
      <c r="L61" s="191">
        <v>400000</v>
      </c>
      <c r="M61" s="191">
        <v>40000</v>
      </c>
      <c r="N61" s="215">
        <v>46017</v>
      </c>
      <c r="O61" s="214">
        <v>440000</v>
      </c>
      <c r="P61" s="215"/>
      <c r="Q61" s="214"/>
      <c r="R61" s="216">
        <f t="shared" si="20"/>
        <v>440000</v>
      </c>
      <c r="S61" s="217">
        <f t="shared" si="21"/>
        <v>0</v>
      </c>
      <c r="T61" s="216">
        <v>440000</v>
      </c>
      <c r="U61" s="208">
        <v>46001</v>
      </c>
      <c r="V61" s="218" t="s">
        <v>2355</v>
      </c>
      <c r="W61" s="218"/>
      <c r="X61" s="219"/>
      <c r="Y61" s="214"/>
      <c r="Z61" s="218"/>
      <c r="AA61" s="218"/>
    </row>
    <row r="62" spans="1:27" x14ac:dyDescent="0.3">
      <c r="B62" s="17">
        <v>45966</v>
      </c>
      <c r="C62" s="17">
        <v>45967</v>
      </c>
      <c r="D62" s="20" t="s">
        <v>3464</v>
      </c>
      <c r="E62" s="15" t="s">
        <v>3465</v>
      </c>
      <c r="F62" s="15" t="s">
        <v>1110</v>
      </c>
      <c r="G62" s="15" t="s">
        <v>1111</v>
      </c>
      <c r="H62" s="16" t="s">
        <v>3466</v>
      </c>
      <c r="I62" s="15">
        <v>1</v>
      </c>
      <c r="J62" s="15" t="s">
        <v>3467</v>
      </c>
      <c r="K62" s="29" t="s">
        <v>3468</v>
      </c>
      <c r="L62" s="19">
        <v>2042000</v>
      </c>
      <c r="M62" s="19">
        <f t="shared" ref="M62:M76" si="22">L62*0.1</f>
        <v>204200</v>
      </c>
      <c r="N62" s="35">
        <v>46049</v>
      </c>
      <c r="O62" s="19">
        <v>2246200</v>
      </c>
      <c r="P62" s="35"/>
      <c r="Q62" s="19"/>
      <c r="R62" s="18">
        <f t="shared" si="20"/>
        <v>2246200</v>
      </c>
      <c r="S62" s="34">
        <f t="shared" si="21"/>
        <v>0</v>
      </c>
      <c r="T62" s="18">
        <f t="shared" ref="T62:T71" si="23">(L62*I62)+M62</f>
        <v>2246200</v>
      </c>
      <c r="U62" s="17">
        <v>46010</v>
      </c>
      <c r="V62" s="20"/>
      <c r="W62" s="20"/>
      <c r="X62" s="22"/>
      <c r="Y62" s="19"/>
      <c r="Z62" s="20"/>
      <c r="AA62" s="20"/>
    </row>
    <row r="63" spans="1:27" s="185" customFormat="1" x14ac:dyDescent="0.3">
      <c r="A63" s="202"/>
      <c r="B63" s="208">
        <v>46014</v>
      </c>
      <c r="C63" s="208">
        <v>46014</v>
      </c>
      <c r="D63" s="209" t="s">
        <v>3494</v>
      </c>
      <c r="E63" s="194" t="s">
        <v>422</v>
      </c>
      <c r="F63" s="195" t="s">
        <v>46</v>
      </c>
      <c r="G63" s="195" t="s">
        <v>21</v>
      </c>
      <c r="H63" s="196" t="s">
        <v>422</v>
      </c>
      <c r="I63" s="194">
        <v>1</v>
      </c>
      <c r="J63" s="210" t="s">
        <v>1336</v>
      </c>
      <c r="K63" s="302"/>
      <c r="L63" s="197">
        <v>356520000</v>
      </c>
      <c r="M63" s="197">
        <f t="shared" si="22"/>
        <v>35652000</v>
      </c>
      <c r="N63" s="215">
        <v>46017</v>
      </c>
      <c r="O63" s="214">
        <v>392172000</v>
      </c>
      <c r="P63" s="215"/>
      <c r="Q63" s="214"/>
      <c r="R63" s="216">
        <f t="shared" si="20"/>
        <v>392172000</v>
      </c>
      <c r="S63" s="217">
        <f t="shared" ref="S63:S71" si="24">T63-R63</f>
        <v>0</v>
      </c>
      <c r="T63" s="216">
        <f>(L63*I63)+M63</f>
        <v>392172000</v>
      </c>
      <c r="U63" s="208">
        <v>46001</v>
      </c>
      <c r="V63" s="218" t="s">
        <v>2355</v>
      </c>
      <c r="W63" s="218"/>
      <c r="X63" s="219"/>
      <c r="Y63" s="214"/>
      <c r="Z63" s="218"/>
      <c r="AA63" s="218"/>
    </row>
    <row r="64" spans="1:27" s="185" customFormat="1" x14ac:dyDescent="0.3">
      <c r="A64" s="202"/>
      <c r="B64" s="208">
        <v>46014</v>
      </c>
      <c r="C64" s="208">
        <v>46014</v>
      </c>
      <c r="D64" s="209" t="s">
        <v>3493</v>
      </c>
      <c r="E64" s="194" t="s">
        <v>422</v>
      </c>
      <c r="F64" s="195" t="s">
        <v>46</v>
      </c>
      <c r="G64" s="195" t="s">
        <v>21</v>
      </c>
      <c r="H64" s="196" t="s">
        <v>422</v>
      </c>
      <c r="I64" s="194">
        <v>1</v>
      </c>
      <c r="J64" s="210" t="s">
        <v>2978</v>
      </c>
      <c r="K64" s="302"/>
      <c r="L64" s="197">
        <v>4980000</v>
      </c>
      <c r="M64" s="197">
        <f t="shared" si="22"/>
        <v>498000</v>
      </c>
      <c r="N64" s="215">
        <v>46017</v>
      </c>
      <c r="O64" s="214">
        <v>5478000</v>
      </c>
      <c r="P64" s="215"/>
      <c r="Q64" s="214"/>
      <c r="R64" s="216">
        <f t="shared" si="20"/>
        <v>5478000</v>
      </c>
      <c r="S64" s="217">
        <f t="shared" si="24"/>
        <v>0</v>
      </c>
      <c r="T64" s="216">
        <f t="shared" si="23"/>
        <v>5478000</v>
      </c>
      <c r="U64" s="208">
        <v>46001</v>
      </c>
      <c r="V64" s="218" t="s">
        <v>2355</v>
      </c>
      <c r="W64" s="218"/>
      <c r="X64" s="219"/>
      <c r="Y64" s="214"/>
      <c r="Z64" s="218"/>
      <c r="AA64" s="218"/>
    </row>
    <row r="65" spans="1:27" s="185" customFormat="1" x14ac:dyDescent="0.3">
      <c r="A65" s="222"/>
      <c r="B65" s="208">
        <v>45961</v>
      </c>
      <c r="C65" s="208">
        <v>45972</v>
      </c>
      <c r="D65" s="218" t="s">
        <v>3621</v>
      </c>
      <c r="E65" s="220" t="s">
        <v>3484</v>
      </c>
      <c r="F65" s="220" t="s">
        <v>1481</v>
      </c>
      <c r="G65" s="220" t="s">
        <v>1482</v>
      </c>
      <c r="H65" s="221" t="s">
        <v>3485</v>
      </c>
      <c r="I65" s="220">
        <v>1</v>
      </c>
      <c r="J65" s="210" t="s">
        <v>3486</v>
      </c>
      <c r="K65" s="302" t="s">
        <v>3620</v>
      </c>
      <c r="L65" s="99">
        <v>23649999.999999996</v>
      </c>
      <c r="M65" s="99">
        <f t="shared" si="22"/>
        <v>2364999.9999999995</v>
      </c>
      <c r="N65" s="215">
        <v>46024</v>
      </c>
      <c r="O65" s="214">
        <v>26015000</v>
      </c>
      <c r="P65" s="215"/>
      <c r="Q65" s="214"/>
      <c r="R65" s="216">
        <f t="shared" si="20"/>
        <v>26015000</v>
      </c>
      <c r="S65" s="217">
        <f t="shared" si="24"/>
        <v>0</v>
      </c>
      <c r="T65" s="216">
        <f t="shared" si="23"/>
        <v>26014999.999999996</v>
      </c>
      <c r="U65" s="208">
        <v>46015</v>
      </c>
      <c r="V65" s="218" t="s">
        <v>3300</v>
      </c>
      <c r="W65" s="218" t="s">
        <v>3536</v>
      </c>
      <c r="X65" s="219"/>
      <c r="Y65" s="214">
        <v>4000000</v>
      </c>
      <c r="Z65" s="218"/>
      <c r="AA65" s="218"/>
    </row>
    <row r="66" spans="1:27" s="185" customFormat="1" x14ac:dyDescent="0.3">
      <c r="A66" s="202"/>
      <c r="B66" s="208">
        <v>46015</v>
      </c>
      <c r="C66" s="208">
        <v>46015</v>
      </c>
      <c r="D66" s="209" t="s">
        <v>3493</v>
      </c>
      <c r="E66" s="194" t="s">
        <v>607</v>
      </c>
      <c r="F66" s="195" t="s">
        <v>46</v>
      </c>
      <c r="G66" s="195" t="s">
        <v>21</v>
      </c>
      <c r="H66" s="196" t="s">
        <v>607</v>
      </c>
      <c r="I66" s="194">
        <v>1</v>
      </c>
      <c r="J66" s="210" t="s">
        <v>1213</v>
      </c>
      <c r="K66" s="302"/>
      <c r="L66" s="197">
        <v>835827000</v>
      </c>
      <c r="M66" s="197">
        <f t="shared" si="22"/>
        <v>83582700</v>
      </c>
      <c r="N66" s="215">
        <v>46022</v>
      </c>
      <c r="O66" s="214">
        <v>919409700</v>
      </c>
      <c r="P66" s="215"/>
      <c r="Q66" s="214"/>
      <c r="R66" s="216">
        <f t="shared" si="20"/>
        <v>919409700</v>
      </c>
      <c r="S66" s="217">
        <f t="shared" si="24"/>
        <v>0</v>
      </c>
      <c r="T66" s="216">
        <f t="shared" si="23"/>
        <v>919409700</v>
      </c>
      <c r="U66" s="208">
        <v>46001</v>
      </c>
      <c r="V66" s="218" t="s">
        <v>2355</v>
      </c>
      <c r="W66" s="218"/>
      <c r="X66" s="219"/>
      <c r="Y66" s="214"/>
      <c r="Z66" s="218"/>
      <c r="AA66" s="218"/>
    </row>
    <row r="67" spans="1:27" s="185" customFormat="1" x14ac:dyDescent="0.3">
      <c r="A67" s="202"/>
      <c r="B67" s="208">
        <v>46014</v>
      </c>
      <c r="C67" s="208">
        <v>46014</v>
      </c>
      <c r="D67" s="209" t="s">
        <v>3492</v>
      </c>
      <c r="E67" s="194" t="s">
        <v>607</v>
      </c>
      <c r="F67" s="195" t="s">
        <v>46</v>
      </c>
      <c r="G67" s="195" t="s">
        <v>21</v>
      </c>
      <c r="H67" s="196" t="s">
        <v>607</v>
      </c>
      <c r="I67" s="194">
        <v>1</v>
      </c>
      <c r="J67" s="210" t="s">
        <v>1159</v>
      </c>
      <c r="K67" s="203"/>
      <c r="L67" s="197">
        <v>391210000</v>
      </c>
      <c r="M67" s="197">
        <f t="shared" si="22"/>
        <v>39121000</v>
      </c>
      <c r="N67" s="215">
        <v>46020</v>
      </c>
      <c r="O67" s="214">
        <v>430331000</v>
      </c>
      <c r="P67" s="215"/>
      <c r="Q67" s="214"/>
      <c r="R67" s="216">
        <f t="shared" si="20"/>
        <v>430331000</v>
      </c>
      <c r="S67" s="200">
        <f t="shared" si="24"/>
        <v>0</v>
      </c>
      <c r="T67" s="216">
        <f t="shared" si="23"/>
        <v>430331000</v>
      </c>
      <c r="U67" s="208">
        <v>46001</v>
      </c>
      <c r="V67" s="218" t="s">
        <v>2355</v>
      </c>
      <c r="W67" s="218"/>
      <c r="X67" s="219"/>
      <c r="Y67" s="214"/>
      <c r="Z67" s="218"/>
      <c r="AA67" s="218"/>
    </row>
    <row r="68" spans="1:27" s="185" customFormat="1" x14ac:dyDescent="0.3">
      <c r="A68" s="202"/>
      <c r="B68" s="208">
        <v>46015</v>
      </c>
      <c r="C68" s="208">
        <v>46015</v>
      </c>
      <c r="D68" s="209" t="s">
        <v>3495</v>
      </c>
      <c r="E68" s="194" t="s">
        <v>607</v>
      </c>
      <c r="F68" s="195" t="s">
        <v>46</v>
      </c>
      <c r="G68" s="195" t="s">
        <v>21</v>
      </c>
      <c r="H68" s="196" t="s">
        <v>607</v>
      </c>
      <c r="I68" s="194">
        <v>1</v>
      </c>
      <c r="J68" s="210" t="s">
        <v>1178</v>
      </c>
      <c r="K68" s="203"/>
      <c r="L68" s="197">
        <v>60510000</v>
      </c>
      <c r="M68" s="197">
        <f t="shared" si="22"/>
        <v>6051000</v>
      </c>
      <c r="N68" s="215">
        <v>46017</v>
      </c>
      <c r="O68" s="214">
        <v>66561000</v>
      </c>
      <c r="P68" s="215"/>
      <c r="Q68" s="214"/>
      <c r="R68" s="216">
        <f t="shared" si="20"/>
        <v>66561000</v>
      </c>
      <c r="S68" s="200">
        <f t="shared" si="24"/>
        <v>0</v>
      </c>
      <c r="T68" s="216">
        <f t="shared" si="23"/>
        <v>66561000</v>
      </c>
      <c r="U68" s="208">
        <v>46001</v>
      </c>
      <c r="V68" s="218" t="s">
        <v>2355</v>
      </c>
      <c r="W68" s="218"/>
      <c r="X68" s="219"/>
      <c r="Y68" s="214"/>
      <c r="Z68" s="218"/>
      <c r="AA68" s="218"/>
    </row>
    <row r="69" spans="1:27" s="185" customFormat="1" x14ac:dyDescent="0.3">
      <c r="A69" s="202"/>
      <c r="B69" s="208">
        <v>46014</v>
      </c>
      <c r="C69" s="208">
        <v>46014</v>
      </c>
      <c r="D69" s="209" t="s">
        <v>3493</v>
      </c>
      <c r="E69" s="194" t="s">
        <v>607</v>
      </c>
      <c r="F69" s="195" t="s">
        <v>46</v>
      </c>
      <c r="G69" s="195" t="s">
        <v>21</v>
      </c>
      <c r="H69" s="196" t="s">
        <v>607</v>
      </c>
      <c r="I69" s="194">
        <v>1</v>
      </c>
      <c r="J69" s="210" t="s">
        <v>3491</v>
      </c>
      <c r="K69" s="203"/>
      <c r="L69" s="197">
        <v>810000</v>
      </c>
      <c r="M69" s="197">
        <f t="shared" si="22"/>
        <v>81000</v>
      </c>
      <c r="N69" s="215">
        <v>46017</v>
      </c>
      <c r="O69" s="214">
        <v>891000</v>
      </c>
      <c r="P69" s="215"/>
      <c r="Q69" s="214"/>
      <c r="R69" s="216">
        <f t="shared" si="20"/>
        <v>891000</v>
      </c>
      <c r="S69" s="200">
        <f t="shared" si="24"/>
        <v>0</v>
      </c>
      <c r="T69" s="216">
        <f t="shared" si="23"/>
        <v>891000</v>
      </c>
      <c r="U69" s="208">
        <v>46001</v>
      </c>
      <c r="V69" s="218" t="s">
        <v>2355</v>
      </c>
      <c r="W69" s="218"/>
      <c r="X69" s="219"/>
      <c r="Y69" s="214"/>
      <c r="Z69" s="218"/>
      <c r="AA69" s="218"/>
    </row>
    <row r="70" spans="1:27" x14ac:dyDescent="0.3">
      <c r="B70" s="81">
        <v>45993</v>
      </c>
      <c r="C70" s="81">
        <v>45996</v>
      </c>
      <c r="D70" s="22" t="s">
        <v>3512</v>
      </c>
      <c r="E70" s="15" t="s">
        <v>3425</v>
      </c>
      <c r="F70" s="83" t="s">
        <v>46</v>
      </c>
      <c r="G70" s="83" t="s">
        <v>21</v>
      </c>
      <c r="H70" s="16" t="s">
        <v>3479</v>
      </c>
      <c r="I70" s="15">
        <v>1</v>
      </c>
      <c r="J70" s="15" t="s">
        <v>190</v>
      </c>
      <c r="K70" s="84" t="s">
        <v>2110</v>
      </c>
      <c r="L70" s="19">
        <v>10200000</v>
      </c>
      <c r="M70" s="19">
        <f t="shared" si="22"/>
        <v>1020000</v>
      </c>
      <c r="N70" s="35">
        <v>46052</v>
      </c>
      <c r="O70" s="19">
        <v>11220000</v>
      </c>
      <c r="P70" s="35"/>
      <c r="Q70" s="19"/>
      <c r="R70" s="18">
        <f t="shared" si="20"/>
        <v>11220000</v>
      </c>
      <c r="S70" s="34">
        <f t="shared" si="24"/>
        <v>0</v>
      </c>
      <c r="T70" s="18">
        <f t="shared" si="23"/>
        <v>11220000</v>
      </c>
      <c r="U70" s="17">
        <v>46013</v>
      </c>
      <c r="V70" s="20"/>
      <c r="W70" s="20"/>
      <c r="X70" s="22"/>
      <c r="Y70" s="19">
        <v>4200000</v>
      </c>
      <c r="Z70" s="20"/>
      <c r="AA70" s="20"/>
    </row>
    <row r="71" spans="1:27" s="185" customFormat="1" x14ac:dyDescent="0.3">
      <c r="B71" s="208">
        <v>46020</v>
      </c>
      <c r="C71" s="208">
        <v>46020</v>
      </c>
      <c r="D71" s="209" t="s">
        <v>3492</v>
      </c>
      <c r="E71" s="210" t="s">
        <v>1279</v>
      </c>
      <c r="F71" s="211" t="s">
        <v>46</v>
      </c>
      <c r="G71" s="211" t="s">
        <v>21</v>
      </c>
      <c r="H71" s="212" t="s">
        <v>890</v>
      </c>
      <c r="I71" s="210">
        <v>1</v>
      </c>
      <c r="J71" s="210" t="s">
        <v>3488</v>
      </c>
      <c r="K71" s="302"/>
      <c r="L71" s="214">
        <v>829060000</v>
      </c>
      <c r="M71" s="214">
        <f t="shared" si="22"/>
        <v>82906000</v>
      </c>
      <c r="N71" s="215">
        <v>46052</v>
      </c>
      <c r="O71" s="214">
        <f>912141000-175000</f>
        <v>911966000</v>
      </c>
      <c r="P71" s="215"/>
      <c r="Q71" s="214"/>
      <c r="R71" s="216">
        <f t="shared" si="20"/>
        <v>911966000</v>
      </c>
      <c r="S71" s="217">
        <f t="shared" si="24"/>
        <v>0</v>
      </c>
      <c r="T71" s="216">
        <f t="shared" si="23"/>
        <v>911966000</v>
      </c>
      <c r="U71" s="208">
        <v>46001</v>
      </c>
      <c r="V71" s="218" t="s">
        <v>2355</v>
      </c>
      <c r="W71" s="218"/>
      <c r="X71" s="219"/>
      <c r="Y71" s="214"/>
      <c r="Z71" s="218"/>
      <c r="AA71" s="218"/>
    </row>
    <row r="72" spans="1:27" s="185" customFormat="1" x14ac:dyDescent="0.3">
      <c r="B72" s="208">
        <v>45964</v>
      </c>
      <c r="C72" s="208">
        <v>46027</v>
      </c>
      <c r="D72" s="209" t="s">
        <v>3516</v>
      </c>
      <c r="E72" s="210" t="s">
        <v>3326</v>
      </c>
      <c r="F72" s="210" t="s">
        <v>25</v>
      </c>
      <c r="G72" s="211" t="s">
        <v>21</v>
      </c>
      <c r="H72" s="212" t="s">
        <v>3328</v>
      </c>
      <c r="I72" s="210">
        <v>1</v>
      </c>
      <c r="J72" s="210" t="s">
        <v>3330</v>
      </c>
      <c r="K72" s="213" t="s">
        <v>3331</v>
      </c>
      <c r="L72" s="214">
        <v>579350000</v>
      </c>
      <c r="M72" s="214">
        <f t="shared" si="22"/>
        <v>57935000</v>
      </c>
      <c r="N72" s="215">
        <v>46052</v>
      </c>
      <c r="O72" s="214">
        <v>637285000</v>
      </c>
      <c r="P72" s="215"/>
      <c r="Q72" s="214"/>
      <c r="R72" s="216">
        <f t="shared" si="20"/>
        <v>637285000</v>
      </c>
      <c r="S72" s="217">
        <f t="shared" ref="S72:S76" si="25">T72-R72</f>
        <v>0</v>
      </c>
      <c r="T72" s="216">
        <f t="shared" ref="T72:T76" si="26">(L72*I72)+M72</f>
        <v>637285000</v>
      </c>
      <c r="U72" s="208">
        <v>46022</v>
      </c>
      <c r="V72" s="218"/>
      <c r="W72" s="218"/>
      <c r="X72" s="219"/>
      <c r="Y72" s="214"/>
      <c r="Z72" s="218"/>
      <c r="AA72" s="218"/>
    </row>
    <row r="73" spans="1:27" x14ac:dyDescent="0.3">
      <c r="B73" s="81">
        <v>45979</v>
      </c>
      <c r="C73" s="81">
        <v>45989</v>
      </c>
      <c r="D73" s="22" t="s">
        <v>3385</v>
      </c>
      <c r="E73" s="15" t="s">
        <v>3386</v>
      </c>
      <c r="F73" s="83" t="s">
        <v>46</v>
      </c>
      <c r="G73" s="83" t="s">
        <v>21</v>
      </c>
      <c r="H73" s="16" t="s">
        <v>558</v>
      </c>
      <c r="I73" s="15">
        <v>1</v>
      </c>
      <c r="J73" s="15" t="s">
        <v>190</v>
      </c>
      <c r="K73" s="84" t="s">
        <v>66</v>
      </c>
      <c r="L73" s="19">
        <v>60238000</v>
      </c>
      <c r="M73" s="19">
        <f t="shared" si="22"/>
        <v>6023800</v>
      </c>
      <c r="N73" s="35">
        <v>46052</v>
      </c>
      <c r="O73" s="19">
        <v>66261800</v>
      </c>
      <c r="P73" s="35"/>
      <c r="Q73" s="19"/>
      <c r="R73" s="18">
        <f t="shared" si="20"/>
        <v>66261800</v>
      </c>
      <c r="S73" s="34">
        <f t="shared" si="25"/>
        <v>0</v>
      </c>
      <c r="T73" s="18">
        <f t="shared" si="26"/>
        <v>66261800</v>
      </c>
      <c r="U73" s="17">
        <v>46022</v>
      </c>
      <c r="V73" s="20" t="s">
        <v>3389</v>
      </c>
      <c r="W73" s="20"/>
      <c r="X73" s="22"/>
      <c r="Y73" s="19">
        <v>7428000</v>
      </c>
      <c r="Z73" s="20"/>
      <c r="AA73" s="20"/>
    </row>
    <row r="74" spans="1:27" x14ac:dyDescent="0.3">
      <c r="B74" s="81">
        <v>45994</v>
      </c>
      <c r="C74" s="81">
        <v>46001</v>
      </c>
      <c r="D74" s="22" t="s">
        <v>3418</v>
      </c>
      <c r="E74" s="15" t="s">
        <v>3419</v>
      </c>
      <c r="F74" s="83" t="s">
        <v>46</v>
      </c>
      <c r="G74" s="83" t="s">
        <v>21</v>
      </c>
      <c r="H74" s="16" t="s">
        <v>238</v>
      </c>
      <c r="I74" s="15">
        <v>1</v>
      </c>
      <c r="J74" s="15" t="s">
        <v>190</v>
      </c>
      <c r="K74" s="84" t="s">
        <v>66</v>
      </c>
      <c r="L74" s="19">
        <v>42590000</v>
      </c>
      <c r="M74" s="19">
        <f t="shared" si="22"/>
        <v>4259000</v>
      </c>
      <c r="N74" s="35">
        <v>46052</v>
      </c>
      <c r="O74" s="19">
        <v>46849000</v>
      </c>
      <c r="P74" s="35"/>
      <c r="Q74" s="19"/>
      <c r="R74" s="18">
        <f t="shared" si="20"/>
        <v>46849000</v>
      </c>
      <c r="S74" s="34">
        <f t="shared" si="25"/>
        <v>0</v>
      </c>
      <c r="T74" s="18">
        <f t="shared" si="26"/>
        <v>46849000</v>
      </c>
      <c r="U74" s="17">
        <v>46022</v>
      </c>
      <c r="V74" s="20" t="s">
        <v>3389</v>
      </c>
      <c r="W74" s="20"/>
      <c r="X74" s="22"/>
      <c r="Y74" s="19">
        <v>6380000</v>
      </c>
      <c r="Z74" s="20"/>
      <c r="AA74" s="20"/>
    </row>
    <row r="75" spans="1:27" s="315" customFormat="1" x14ac:dyDescent="0.3">
      <c r="A75" s="202"/>
      <c r="B75" s="307">
        <v>45975</v>
      </c>
      <c r="C75" s="307">
        <v>45997</v>
      </c>
      <c r="D75" s="314" t="s">
        <v>3369</v>
      </c>
      <c r="E75" s="194" t="s">
        <v>3370</v>
      </c>
      <c r="F75" s="194" t="s">
        <v>25</v>
      </c>
      <c r="G75" s="195" t="s">
        <v>26</v>
      </c>
      <c r="H75" s="196" t="s">
        <v>552</v>
      </c>
      <c r="I75" s="194">
        <v>1</v>
      </c>
      <c r="J75" s="308" t="s">
        <v>1962</v>
      </c>
      <c r="K75" s="317" t="s">
        <v>3373</v>
      </c>
      <c r="L75" s="197">
        <v>106000000</v>
      </c>
      <c r="M75" s="197">
        <f t="shared" si="22"/>
        <v>10600000</v>
      </c>
      <c r="N75" s="309">
        <v>46078</v>
      </c>
      <c r="O75" s="310">
        <v>110000000</v>
      </c>
      <c r="P75" s="309"/>
      <c r="Q75" s="310"/>
      <c r="R75" s="311">
        <f t="shared" ref="R75:R76" si="27">O75+Q75</f>
        <v>110000000</v>
      </c>
      <c r="S75" s="312">
        <f t="shared" si="25"/>
        <v>6600000</v>
      </c>
      <c r="T75" s="311">
        <f>(L75*I75)+M75</f>
        <v>116600000</v>
      </c>
      <c r="U75" s="307">
        <v>46022</v>
      </c>
      <c r="V75" s="313" t="s">
        <v>3374</v>
      </c>
      <c r="W75" s="313"/>
      <c r="X75" s="314"/>
      <c r="Y75" s="310">
        <v>12000000</v>
      </c>
      <c r="Z75" s="313"/>
      <c r="AA75" s="313"/>
    </row>
    <row r="76" spans="1:27" s="185" customFormat="1" x14ac:dyDescent="0.3">
      <c r="B76" s="208">
        <v>45979</v>
      </c>
      <c r="C76" s="208">
        <v>45990</v>
      </c>
      <c r="D76" s="219" t="s">
        <v>3125</v>
      </c>
      <c r="E76" s="210" t="s">
        <v>3379</v>
      </c>
      <c r="F76" s="210" t="s">
        <v>25</v>
      </c>
      <c r="G76" s="211" t="s">
        <v>21</v>
      </c>
      <c r="H76" s="212" t="s">
        <v>543</v>
      </c>
      <c r="I76" s="210">
        <v>1</v>
      </c>
      <c r="J76" s="210" t="s">
        <v>575</v>
      </c>
      <c r="K76" s="213" t="s">
        <v>879</v>
      </c>
      <c r="L76" s="214">
        <v>104580000</v>
      </c>
      <c r="M76" s="214">
        <f t="shared" si="22"/>
        <v>10458000</v>
      </c>
      <c r="N76" s="215">
        <v>46034</v>
      </c>
      <c r="O76" s="214">
        <v>115038000</v>
      </c>
      <c r="P76" s="215"/>
      <c r="Q76" s="214"/>
      <c r="R76" s="216">
        <f t="shared" si="27"/>
        <v>115038000</v>
      </c>
      <c r="S76" s="217">
        <f t="shared" si="25"/>
        <v>0</v>
      </c>
      <c r="T76" s="216">
        <f t="shared" si="26"/>
        <v>115038000</v>
      </c>
      <c r="U76" s="208">
        <v>46022</v>
      </c>
      <c r="V76" s="218"/>
      <c r="W76" s="218"/>
      <c r="X76" s="219"/>
      <c r="Y76" s="214"/>
      <c r="Z76" s="218"/>
      <c r="AA76" s="218"/>
    </row>
    <row r="77" spans="1:27" s="20" customFormat="1" ht="17.100000000000001" customHeight="1" x14ac:dyDescent="0.3">
      <c r="B77" s="64"/>
      <c r="C77" s="64"/>
      <c r="D77" s="62" t="s">
        <v>3487</v>
      </c>
      <c r="E77" s="65"/>
      <c r="F77" s="65"/>
      <c r="G77" s="65"/>
      <c r="H77" s="66"/>
      <c r="I77" s="65"/>
      <c r="J77" s="65"/>
      <c r="K77" s="67"/>
      <c r="L77" s="68">
        <f>T77/1.1</f>
        <v>4559686000</v>
      </c>
      <c r="M77" s="68"/>
      <c r="N77" s="69"/>
      <c r="O77" s="68"/>
      <c r="P77" s="69"/>
      <c r="Q77" s="68"/>
      <c r="R77" s="70"/>
      <c r="S77" s="72"/>
      <c r="T77" s="126">
        <f>SUM(T50:T76)</f>
        <v>5015654600</v>
      </c>
      <c r="U77" s="73"/>
      <c r="V77" s="71"/>
      <c r="W77" s="135">
        <f>L77-Y77</f>
        <v>4525678000</v>
      </c>
      <c r="X77" s="71"/>
      <c r="Y77" s="89">
        <f>SUM(Y60:Y76)</f>
        <v>34008000</v>
      </c>
    </row>
    <row r="78" spans="1:27" x14ac:dyDescent="0.3">
      <c r="B78" s="81">
        <v>46009</v>
      </c>
      <c r="C78" s="81">
        <v>46020</v>
      </c>
      <c r="D78" s="59" t="s">
        <v>3502</v>
      </c>
      <c r="E78" s="15" t="s">
        <v>3503</v>
      </c>
      <c r="F78" s="83" t="s">
        <v>46</v>
      </c>
      <c r="G78" s="83" t="s">
        <v>21</v>
      </c>
      <c r="H78" s="16" t="s">
        <v>544</v>
      </c>
      <c r="I78" s="15">
        <v>1</v>
      </c>
      <c r="J78" s="15" t="s">
        <v>1369</v>
      </c>
      <c r="K78" s="29" t="s">
        <v>3519</v>
      </c>
      <c r="L78" s="85">
        <v>64000000</v>
      </c>
      <c r="M78" s="19">
        <f t="shared" si="19"/>
        <v>6400000</v>
      </c>
      <c r="N78" s="35">
        <v>46052</v>
      </c>
      <c r="O78" s="19">
        <v>70400000</v>
      </c>
      <c r="P78" s="35"/>
      <c r="Q78" s="19"/>
      <c r="R78" s="18">
        <f t="shared" si="20"/>
        <v>70400000</v>
      </c>
      <c r="S78" s="34">
        <f t="shared" si="21"/>
        <v>0</v>
      </c>
      <c r="T78" s="18">
        <f t="shared" si="18"/>
        <v>70400000</v>
      </c>
      <c r="U78" s="86">
        <v>46024</v>
      </c>
      <c r="V78" s="20"/>
      <c r="W78" s="20"/>
      <c r="X78" s="22"/>
      <c r="Y78" s="19"/>
      <c r="Z78" s="20"/>
      <c r="AA78" s="20"/>
    </row>
    <row r="79" spans="1:27" x14ac:dyDescent="0.3">
      <c r="B79" s="81">
        <v>45923</v>
      </c>
      <c r="C79" s="81">
        <v>45929</v>
      </c>
      <c r="D79" s="60" t="s">
        <v>3229</v>
      </c>
      <c r="E79" s="15" t="s">
        <v>3231</v>
      </c>
      <c r="F79" s="83" t="s">
        <v>46</v>
      </c>
      <c r="G79" s="83" t="s">
        <v>21</v>
      </c>
      <c r="H79" s="16" t="s">
        <v>3233</v>
      </c>
      <c r="I79" s="15">
        <v>1</v>
      </c>
      <c r="J79" s="15" t="s">
        <v>3235</v>
      </c>
      <c r="K79" s="84" t="s">
        <v>3236</v>
      </c>
      <c r="L79" s="19">
        <f>68500000+3924000</f>
        <v>72424000</v>
      </c>
      <c r="M79" s="19">
        <f t="shared" si="19"/>
        <v>7242400</v>
      </c>
      <c r="N79" s="35">
        <v>46080</v>
      </c>
      <c r="O79" s="19">
        <v>79666400</v>
      </c>
      <c r="P79" s="35"/>
      <c r="Q79" s="19"/>
      <c r="R79" s="18">
        <f t="shared" ref="R79:R81" si="28">O79+Q79</f>
        <v>79666400</v>
      </c>
      <c r="S79" s="34">
        <f t="shared" ref="S79:S81" si="29">T79-R79</f>
        <v>0</v>
      </c>
      <c r="T79" s="18">
        <f t="shared" ref="T79:T81" si="30">(L79*I79)+M79</f>
        <v>79666400</v>
      </c>
      <c r="U79" s="17">
        <v>46041</v>
      </c>
      <c r="V79" s="20"/>
      <c r="W79" s="20"/>
      <c r="X79" s="22"/>
      <c r="Y79" s="19"/>
      <c r="Z79" s="20"/>
      <c r="AA79" s="20"/>
    </row>
    <row r="80" spans="1:27" x14ac:dyDescent="0.3">
      <c r="B80" s="81">
        <v>45923</v>
      </c>
      <c r="C80" s="81">
        <v>45927</v>
      </c>
      <c r="D80" s="60" t="s">
        <v>3230</v>
      </c>
      <c r="E80" s="15" t="s">
        <v>3232</v>
      </c>
      <c r="F80" s="83" t="s">
        <v>46</v>
      </c>
      <c r="G80" s="83" t="s">
        <v>21</v>
      </c>
      <c r="H80" s="16" t="s">
        <v>3234</v>
      </c>
      <c r="I80" s="15">
        <v>1</v>
      </c>
      <c r="J80" s="15" t="s">
        <v>3235</v>
      </c>
      <c r="K80" s="84" t="s">
        <v>3236</v>
      </c>
      <c r="L80" s="19">
        <v>21000000</v>
      </c>
      <c r="M80" s="19">
        <f t="shared" si="19"/>
        <v>2100000</v>
      </c>
      <c r="N80" s="35">
        <v>46080</v>
      </c>
      <c r="O80" s="19">
        <v>23100000</v>
      </c>
      <c r="P80" s="35"/>
      <c r="Q80" s="19"/>
      <c r="R80" s="18">
        <f t="shared" si="28"/>
        <v>23100000</v>
      </c>
      <c r="S80" s="34">
        <f t="shared" si="29"/>
        <v>0</v>
      </c>
      <c r="T80" s="18">
        <f t="shared" si="30"/>
        <v>23100000</v>
      </c>
      <c r="U80" s="17">
        <v>46041</v>
      </c>
      <c r="V80" s="20"/>
      <c r="W80" s="20"/>
      <c r="X80" s="22"/>
      <c r="Y80" s="19"/>
      <c r="Z80" s="20"/>
      <c r="AA80" s="20"/>
    </row>
    <row r="81" spans="1:27" x14ac:dyDescent="0.3">
      <c r="B81" s="81">
        <v>45954</v>
      </c>
      <c r="C81" s="81">
        <v>45960</v>
      </c>
      <c r="D81" s="60" t="s">
        <v>3309</v>
      </c>
      <c r="E81" s="15" t="s">
        <v>3310</v>
      </c>
      <c r="F81" s="83" t="s">
        <v>46</v>
      </c>
      <c r="G81" s="83" t="s">
        <v>21</v>
      </c>
      <c r="H81" s="16" t="s">
        <v>3311</v>
      </c>
      <c r="I81" s="15">
        <v>1</v>
      </c>
      <c r="J81" s="15" t="s">
        <v>3307</v>
      </c>
      <c r="K81" s="84" t="s">
        <v>84</v>
      </c>
      <c r="L81" s="19">
        <v>46380000</v>
      </c>
      <c r="M81" s="19">
        <f t="shared" si="19"/>
        <v>4638000</v>
      </c>
      <c r="N81" s="35">
        <v>46080</v>
      </c>
      <c r="O81" s="19">
        <v>51018000</v>
      </c>
      <c r="P81" s="35"/>
      <c r="Q81" s="19"/>
      <c r="R81" s="18">
        <f t="shared" si="28"/>
        <v>51018000</v>
      </c>
      <c r="S81" s="34">
        <f t="shared" si="29"/>
        <v>0</v>
      </c>
      <c r="T81" s="18">
        <f t="shared" si="30"/>
        <v>51018000</v>
      </c>
      <c r="U81" s="17">
        <v>46041</v>
      </c>
      <c r="V81" s="20"/>
      <c r="W81" s="20"/>
      <c r="X81" s="22"/>
      <c r="Y81" s="19">
        <v>6050000</v>
      </c>
      <c r="Z81" s="20"/>
      <c r="AA81" s="20"/>
    </row>
    <row r="82" spans="1:27" x14ac:dyDescent="0.3">
      <c r="B82" s="81">
        <v>45957</v>
      </c>
      <c r="C82" s="81">
        <v>46027</v>
      </c>
      <c r="D82" s="20" t="s">
        <v>3469</v>
      </c>
      <c r="E82" s="15" t="s">
        <v>3470</v>
      </c>
      <c r="F82" s="15" t="s">
        <v>1481</v>
      </c>
      <c r="G82" s="15" t="s">
        <v>3471</v>
      </c>
      <c r="H82" s="16" t="s">
        <v>3472</v>
      </c>
      <c r="I82" s="15">
        <v>1</v>
      </c>
      <c r="J82" s="15" t="s">
        <v>3473</v>
      </c>
      <c r="K82" s="29" t="s">
        <v>3474</v>
      </c>
      <c r="L82" s="19">
        <v>293040000</v>
      </c>
      <c r="M82" s="19">
        <f t="shared" ref="M82:M83" si="31">L82*0.1</f>
        <v>29304000</v>
      </c>
      <c r="N82" s="35">
        <v>46057</v>
      </c>
      <c r="O82" s="19">
        <v>322344000</v>
      </c>
      <c r="P82" s="35"/>
      <c r="Q82" s="19"/>
      <c r="R82" s="18">
        <f t="shared" ref="R82:R83" si="32">O82+Q82</f>
        <v>322344000</v>
      </c>
      <c r="S82" s="186">
        <f t="shared" ref="S82" si="33">T82-R82</f>
        <v>0</v>
      </c>
      <c r="T82" s="18">
        <f t="shared" ref="T82" si="34">(L82*I82)+M82</f>
        <v>322344000</v>
      </c>
      <c r="U82" s="17">
        <v>46032</v>
      </c>
      <c r="V82" s="20" t="s">
        <v>3288</v>
      </c>
      <c r="W82" s="20"/>
      <c r="X82" s="22"/>
      <c r="Y82" s="19"/>
      <c r="Z82" s="20"/>
      <c r="AA82" s="20"/>
    </row>
    <row r="83" spans="1:27" x14ac:dyDescent="0.3">
      <c r="B83" s="81">
        <v>45958</v>
      </c>
      <c r="C83" s="81">
        <v>46015</v>
      </c>
      <c r="D83" s="20" t="s">
        <v>3475</v>
      </c>
      <c r="E83" s="15" t="s">
        <v>3476</v>
      </c>
      <c r="F83" s="15" t="s">
        <v>1481</v>
      </c>
      <c r="G83" s="15" t="s">
        <v>3477</v>
      </c>
      <c r="H83" s="16" t="s">
        <v>3478</v>
      </c>
      <c r="I83" s="15">
        <v>1</v>
      </c>
      <c r="J83" s="15" t="s">
        <v>3473</v>
      </c>
      <c r="K83" s="29" t="s">
        <v>3474</v>
      </c>
      <c r="L83" s="19">
        <v>179687273</v>
      </c>
      <c r="M83" s="19">
        <f t="shared" si="31"/>
        <v>17968727.300000001</v>
      </c>
      <c r="N83" s="35">
        <v>46057</v>
      </c>
      <c r="O83" s="19">
        <f>416000000-O82</f>
        <v>93656000</v>
      </c>
      <c r="P83" s="35"/>
      <c r="Q83" s="19"/>
      <c r="R83" s="18">
        <f t="shared" si="32"/>
        <v>93656000</v>
      </c>
      <c r="S83" s="186">
        <f>T83-R83</f>
        <v>104000000.30000001</v>
      </c>
      <c r="T83" s="18">
        <f>(L83*I83)+M83</f>
        <v>197656000.30000001</v>
      </c>
      <c r="U83" s="17">
        <v>46032</v>
      </c>
      <c r="V83" s="20" t="s">
        <v>3288</v>
      </c>
      <c r="W83" s="20"/>
      <c r="X83" s="22"/>
      <c r="Y83" s="19"/>
      <c r="Z83" s="20"/>
      <c r="AA83" s="20"/>
    </row>
    <row r="84" spans="1:27" x14ac:dyDescent="0.3">
      <c r="B84" s="81">
        <v>46007</v>
      </c>
      <c r="C84" s="81">
        <v>46018</v>
      </c>
      <c r="D84" s="59" t="s">
        <v>3498</v>
      </c>
      <c r="E84" s="15" t="s">
        <v>3499</v>
      </c>
      <c r="F84" s="83" t="s">
        <v>46</v>
      </c>
      <c r="G84" s="83" t="s">
        <v>21</v>
      </c>
      <c r="H84" s="16" t="s">
        <v>3500</v>
      </c>
      <c r="I84" s="15">
        <v>1</v>
      </c>
      <c r="J84" s="15" t="s">
        <v>856</v>
      </c>
      <c r="K84" s="84" t="s">
        <v>3236</v>
      </c>
      <c r="L84" s="19">
        <v>87600000</v>
      </c>
      <c r="M84" s="19">
        <f t="shared" si="19"/>
        <v>8760000</v>
      </c>
      <c r="N84" s="35"/>
      <c r="O84" s="19"/>
      <c r="P84" s="35"/>
      <c r="Q84" s="19"/>
      <c r="R84" s="18">
        <f t="shared" si="20"/>
        <v>0</v>
      </c>
      <c r="S84" s="34">
        <f t="shared" si="21"/>
        <v>96360000</v>
      </c>
      <c r="T84" s="18">
        <f t="shared" si="18"/>
        <v>96360000</v>
      </c>
      <c r="U84" s="17">
        <v>46047</v>
      </c>
      <c r="V84" s="20"/>
      <c r="W84" s="20"/>
      <c r="X84" s="22"/>
      <c r="Y84" s="19"/>
      <c r="Z84" s="20"/>
      <c r="AA84" s="20"/>
    </row>
    <row r="85" spans="1:27" s="185" customFormat="1" x14ac:dyDescent="0.3">
      <c r="A85" s="202"/>
      <c r="B85" s="208">
        <v>46058</v>
      </c>
      <c r="C85" s="208">
        <v>46058</v>
      </c>
      <c r="D85" s="218" t="s">
        <v>3559</v>
      </c>
      <c r="E85" s="194" t="s">
        <v>3370</v>
      </c>
      <c r="F85" s="194" t="s">
        <v>25</v>
      </c>
      <c r="G85" s="195" t="s">
        <v>26</v>
      </c>
      <c r="H85" s="196" t="s">
        <v>552</v>
      </c>
      <c r="I85" s="194">
        <v>1</v>
      </c>
      <c r="J85" s="210" t="s">
        <v>1962</v>
      </c>
      <c r="K85" s="213" t="s">
        <v>3373</v>
      </c>
      <c r="L85" s="197">
        <v>3000000</v>
      </c>
      <c r="M85" s="197">
        <f t="shared" si="19"/>
        <v>300000</v>
      </c>
      <c r="N85" s="215"/>
      <c r="O85" s="214"/>
      <c r="P85" s="215"/>
      <c r="Q85" s="214"/>
      <c r="R85" s="216">
        <f t="shared" si="20"/>
        <v>0</v>
      </c>
      <c r="S85" s="217">
        <f t="shared" si="21"/>
        <v>3300000</v>
      </c>
      <c r="T85" s="216">
        <f t="shared" si="18"/>
        <v>3300000</v>
      </c>
      <c r="U85" s="208">
        <v>46053</v>
      </c>
      <c r="V85" s="218"/>
      <c r="W85" s="218"/>
      <c r="X85" s="219"/>
      <c r="Y85" s="214"/>
      <c r="Z85" s="218"/>
      <c r="AA85" s="218"/>
    </row>
    <row r="86" spans="1:27" s="20" customFormat="1" ht="17.100000000000001" customHeight="1" x14ac:dyDescent="0.3">
      <c r="B86" s="64"/>
      <c r="C86" s="64"/>
      <c r="D86" s="62" t="s">
        <v>3560</v>
      </c>
      <c r="E86" s="65"/>
      <c r="F86" s="65"/>
      <c r="G86" s="65"/>
      <c r="H86" s="66"/>
      <c r="I86" s="65"/>
      <c r="J86" s="65"/>
      <c r="K86" s="67"/>
      <c r="L86" s="68">
        <f>T86/1.1</f>
        <v>767131272.99999988</v>
      </c>
      <c r="M86" s="68"/>
      <c r="N86" s="69"/>
      <c r="O86" s="68"/>
      <c r="P86" s="69"/>
      <c r="Q86" s="68"/>
      <c r="R86" s="70"/>
      <c r="S86" s="72"/>
      <c r="T86" s="126">
        <f>SUM(T78:T85)</f>
        <v>843844400.29999995</v>
      </c>
      <c r="U86" s="73"/>
      <c r="V86" s="71"/>
      <c r="W86" s="135">
        <f>L86-Y86</f>
        <v>761081272.99999988</v>
      </c>
      <c r="X86" s="71"/>
      <c r="Y86" s="89">
        <f>SUM(Y78:Y85)</f>
        <v>6050000</v>
      </c>
    </row>
    <row r="87" spans="1:27" x14ac:dyDescent="0.3">
      <c r="B87" s="81">
        <v>46383</v>
      </c>
      <c r="C87" s="81">
        <v>46065</v>
      </c>
      <c r="D87" s="59" t="s">
        <v>3574</v>
      </c>
      <c r="E87" s="15" t="s">
        <v>3525</v>
      </c>
      <c r="F87" s="15" t="s">
        <v>25</v>
      </c>
      <c r="G87" s="83" t="s">
        <v>3527</v>
      </c>
      <c r="H87" s="16">
        <v>1000</v>
      </c>
      <c r="I87" s="15">
        <v>1</v>
      </c>
      <c r="J87" s="15" t="s">
        <v>3530</v>
      </c>
      <c r="K87" s="84" t="s">
        <v>567</v>
      </c>
      <c r="L87" s="19">
        <v>26650000</v>
      </c>
      <c r="M87" s="19">
        <f t="shared" si="19"/>
        <v>2665000</v>
      </c>
      <c r="N87" s="35"/>
      <c r="O87" s="19"/>
      <c r="P87" s="35"/>
      <c r="Q87" s="19"/>
      <c r="R87" s="18">
        <f t="shared" si="20"/>
        <v>0</v>
      </c>
      <c r="S87" s="34">
        <f t="shared" si="21"/>
        <v>29315000</v>
      </c>
      <c r="T87" s="18">
        <f t="shared" si="18"/>
        <v>29315000</v>
      </c>
      <c r="U87" s="17">
        <v>46059</v>
      </c>
      <c r="V87" s="20"/>
      <c r="W87" s="20"/>
      <c r="X87" s="22"/>
      <c r="Y87" s="19"/>
      <c r="Z87" s="20"/>
      <c r="AA87" s="20"/>
    </row>
    <row r="88" spans="1:27" x14ac:dyDescent="0.3">
      <c r="B88" s="81">
        <v>46034</v>
      </c>
      <c r="C88" s="81">
        <v>46073</v>
      </c>
      <c r="D88" s="59" t="s">
        <v>3575</v>
      </c>
      <c r="E88" s="15" t="s">
        <v>3535</v>
      </c>
      <c r="F88" s="15" t="s">
        <v>25</v>
      </c>
      <c r="G88" s="83" t="s">
        <v>21</v>
      </c>
      <c r="H88" s="16">
        <v>1000</v>
      </c>
      <c r="I88" s="15">
        <v>1</v>
      </c>
      <c r="J88" s="15" t="s">
        <v>3530</v>
      </c>
      <c r="K88" s="84" t="s">
        <v>567</v>
      </c>
      <c r="L88" s="19">
        <v>26650000</v>
      </c>
      <c r="M88" s="19">
        <f t="shared" si="19"/>
        <v>2665000</v>
      </c>
      <c r="N88" s="35"/>
      <c r="O88" s="19"/>
      <c r="P88" s="35"/>
      <c r="Q88" s="19"/>
      <c r="R88" s="18">
        <f t="shared" si="20"/>
        <v>0</v>
      </c>
      <c r="S88" s="34">
        <f t="shared" si="21"/>
        <v>29315000</v>
      </c>
      <c r="T88" s="18">
        <f t="shared" si="18"/>
        <v>29315000</v>
      </c>
      <c r="U88" s="17">
        <v>46059</v>
      </c>
      <c r="V88" s="20"/>
      <c r="W88" s="20"/>
      <c r="X88" s="22"/>
      <c r="Y88" s="19"/>
      <c r="Z88" s="20"/>
      <c r="AA88" s="20"/>
    </row>
    <row r="89" spans="1:27" s="185" customFormat="1" x14ac:dyDescent="0.3">
      <c r="B89" s="208">
        <v>46000</v>
      </c>
      <c r="C89" s="208">
        <v>46075</v>
      </c>
      <c r="D89" s="218" t="s">
        <v>3483</v>
      </c>
      <c r="E89" s="210" t="s">
        <v>3480</v>
      </c>
      <c r="F89" s="210" t="s">
        <v>1481</v>
      </c>
      <c r="G89" s="210" t="s">
        <v>1111</v>
      </c>
      <c r="H89" s="212" t="s">
        <v>818</v>
      </c>
      <c r="I89" s="210">
        <v>1</v>
      </c>
      <c r="J89" s="210" t="s">
        <v>3481</v>
      </c>
      <c r="K89" s="302" t="s">
        <v>3482</v>
      </c>
      <c r="L89" s="214">
        <v>140000000</v>
      </c>
      <c r="M89" s="214">
        <f t="shared" ref="M89" si="35">L89*0.1</f>
        <v>14000000</v>
      </c>
      <c r="N89" s="215">
        <v>46064</v>
      </c>
      <c r="O89" s="214">
        <v>154000000</v>
      </c>
      <c r="P89" s="215"/>
      <c r="Q89" s="214"/>
      <c r="R89" s="216">
        <f t="shared" ref="R89" si="36">O89+Q89</f>
        <v>154000000</v>
      </c>
      <c r="S89" s="217">
        <f t="shared" ref="S89" si="37">T89-R89</f>
        <v>0</v>
      </c>
      <c r="T89" s="216">
        <f t="shared" ref="T89" si="38">(L89*I89)+M89</f>
        <v>154000000</v>
      </c>
      <c r="U89" s="208">
        <v>46062</v>
      </c>
      <c r="V89" s="218" t="s">
        <v>3456</v>
      </c>
      <c r="W89" s="218"/>
      <c r="X89" s="219"/>
      <c r="Y89" s="214">
        <v>36930744</v>
      </c>
      <c r="Z89" s="218"/>
      <c r="AA89" s="218"/>
    </row>
    <row r="90" spans="1:27" x14ac:dyDescent="0.3">
      <c r="B90" s="81">
        <v>46036</v>
      </c>
      <c r="C90" s="81"/>
      <c r="D90" s="59" t="s">
        <v>3576</v>
      </c>
      <c r="E90" s="15" t="s">
        <v>3538</v>
      </c>
      <c r="F90" s="15" t="s">
        <v>25</v>
      </c>
      <c r="G90" s="83" t="s">
        <v>3527</v>
      </c>
      <c r="H90" s="16">
        <v>1000</v>
      </c>
      <c r="I90" s="15">
        <v>1</v>
      </c>
      <c r="J90" s="15" t="s">
        <v>3530</v>
      </c>
      <c r="K90" s="84" t="s">
        <v>567</v>
      </c>
      <c r="L90" s="19">
        <v>31150000</v>
      </c>
      <c r="M90" s="19">
        <f t="shared" si="19"/>
        <v>3115000</v>
      </c>
      <c r="N90" s="35"/>
      <c r="O90" s="19"/>
      <c r="P90" s="35"/>
      <c r="Q90" s="19"/>
      <c r="R90" s="18">
        <f t="shared" si="20"/>
        <v>0</v>
      </c>
      <c r="S90" s="34">
        <f t="shared" si="21"/>
        <v>34265000</v>
      </c>
      <c r="T90" s="18">
        <f t="shared" si="18"/>
        <v>34265000</v>
      </c>
      <c r="U90" s="17">
        <v>46081</v>
      </c>
      <c r="V90" s="20"/>
      <c r="W90" s="20"/>
      <c r="X90" s="22"/>
      <c r="Y90" s="19"/>
      <c r="Z90" s="20"/>
      <c r="AA90" s="20"/>
    </row>
    <row r="91" spans="1:27" x14ac:dyDescent="0.3">
      <c r="B91" s="17"/>
      <c r="C91" s="17"/>
      <c r="D91" s="20"/>
      <c r="E91" s="15"/>
      <c r="F91" s="15"/>
      <c r="G91" s="15"/>
      <c r="H91" s="16"/>
      <c r="I91" s="15"/>
      <c r="J91" s="15"/>
      <c r="K91" s="29"/>
      <c r="L91" s="19"/>
      <c r="M91" s="19">
        <f t="shared" si="19"/>
        <v>0</v>
      </c>
      <c r="N91" s="35"/>
      <c r="O91" s="19"/>
      <c r="P91" s="35"/>
      <c r="Q91" s="19"/>
      <c r="R91" s="18">
        <f t="shared" si="20"/>
        <v>0</v>
      </c>
      <c r="S91" s="34">
        <f t="shared" si="21"/>
        <v>0</v>
      </c>
      <c r="T91" s="18">
        <f t="shared" si="18"/>
        <v>0</v>
      </c>
      <c r="U91" s="17"/>
      <c r="V91" s="20"/>
      <c r="W91" s="20"/>
      <c r="X91" s="22"/>
      <c r="Y91" s="19"/>
      <c r="Z91" s="20"/>
      <c r="AA91" s="20"/>
    </row>
    <row r="92" spans="1:27" x14ac:dyDescent="0.3">
      <c r="B92" s="17"/>
      <c r="C92" s="17"/>
      <c r="D92" s="20"/>
      <c r="E92" s="15"/>
      <c r="F92" s="15"/>
      <c r="G92" s="15"/>
      <c r="H92" s="16"/>
      <c r="I92" s="15"/>
      <c r="J92" s="15"/>
      <c r="K92" s="29"/>
      <c r="L92" s="19"/>
      <c r="M92" s="19">
        <f t="shared" si="19"/>
        <v>0</v>
      </c>
      <c r="N92" s="35"/>
      <c r="O92" s="19"/>
      <c r="P92" s="35"/>
      <c r="Q92" s="19"/>
      <c r="R92" s="18">
        <f t="shared" si="20"/>
        <v>0</v>
      </c>
      <c r="S92" s="34">
        <f t="shared" si="21"/>
        <v>0</v>
      </c>
      <c r="T92" s="18">
        <f t="shared" si="18"/>
        <v>0</v>
      </c>
      <c r="U92" s="17"/>
      <c r="V92" s="20"/>
      <c r="W92" s="20"/>
      <c r="X92" s="22"/>
      <c r="Y92" s="19"/>
      <c r="Z92" s="20"/>
      <c r="AA92" s="20"/>
    </row>
    <row r="93" spans="1:27" x14ac:dyDescent="0.3">
      <c r="B93" s="17"/>
      <c r="C93" s="17"/>
      <c r="D93" s="20"/>
      <c r="E93" s="15"/>
      <c r="F93" s="15"/>
      <c r="G93" s="15"/>
      <c r="H93" s="16"/>
      <c r="I93" s="15"/>
      <c r="J93" s="15"/>
      <c r="K93" s="29"/>
      <c r="L93" s="19"/>
      <c r="M93" s="19">
        <f t="shared" si="19"/>
        <v>0</v>
      </c>
      <c r="N93" s="35"/>
      <c r="O93" s="19"/>
      <c r="P93" s="35"/>
      <c r="Q93" s="19"/>
      <c r="R93" s="18">
        <f t="shared" si="20"/>
        <v>0</v>
      </c>
      <c r="S93" s="34">
        <f t="shared" si="21"/>
        <v>0</v>
      </c>
      <c r="T93" s="18">
        <f t="shared" si="18"/>
        <v>0</v>
      </c>
      <c r="U93" s="17"/>
      <c r="V93" s="20"/>
      <c r="W93" s="20"/>
      <c r="X93" s="22"/>
      <c r="Y93" s="19"/>
      <c r="Z93" s="20"/>
      <c r="AA93" s="20"/>
    </row>
    <row r="94" spans="1:27" x14ac:dyDescent="0.3">
      <c r="B94" s="64"/>
      <c r="C94" s="64"/>
      <c r="D94" s="62" t="s">
        <v>3585</v>
      </c>
      <c r="E94" s="65"/>
      <c r="F94" s="65"/>
      <c r="G94" s="65"/>
      <c r="H94" s="66"/>
      <c r="I94" s="65"/>
      <c r="J94" s="65"/>
      <c r="K94" s="67"/>
      <c r="L94" s="68">
        <f>T94/1.1</f>
        <v>224449999.99999997</v>
      </c>
      <c r="M94" s="68"/>
      <c r="N94" s="69"/>
      <c r="O94" s="68"/>
      <c r="P94" s="69"/>
      <c r="Q94" s="68"/>
      <c r="R94" s="70"/>
      <c r="S94" s="72"/>
      <c r="T94" s="126">
        <f>SUM(T87:T93)</f>
        <v>246895000</v>
      </c>
      <c r="U94" s="73"/>
      <c r="V94" s="71"/>
      <c r="W94" s="135">
        <f>L94-Y94</f>
        <v>187519255.99999997</v>
      </c>
      <c r="X94" s="71"/>
      <c r="Y94" s="89">
        <f>SUM(Y87:Y93)</f>
        <v>36930744</v>
      </c>
      <c r="Z94" s="20"/>
      <c r="AA94" s="20"/>
    </row>
    <row r="95" spans="1:27" x14ac:dyDescent="0.3">
      <c r="B95" s="81">
        <v>46041</v>
      </c>
      <c r="C95" s="81">
        <v>46043</v>
      </c>
      <c r="D95" s="59" t="s">
        <v>3547</v>
      </c>
      <c r="E95" s="15" t="s">
        <v>3546</v>
      </c>
      <c r="F95" s="83" t="s">
        <v>46</v>
      </c>
      <c r="G95" s="83" t="s">
        <v>21</v>
      </c>
      <c r="H95" s="16" t="s">
        <v>3548</v>
      </c>
      <c r="I95" s="15">
        <v>1</v>
      </c>
      <c r="J95" s="15" t="s">
        <v>3549</v>
      </c>
      <c r="K95" s="84" t="s">
        <v>3550</v>
      </c>
      <c r="L95" s="19">
        <v>4600000</v>
      </c>
      <c r="M95" s="19">
        <f t="shared" si="19"/>
        <v>460000</v>
      </c>
      <c r="N95" s="35"/>
      <c r="O95" s="19"/>
      <c r="P95" s="35"/>
      <c r="Q95" s="19"/>
      <c r="R95" s="18">
        <f t="shared" si="20"/>
        <v>0</v>
      </c>
      <c r="S95" s="34">
        <f t="shared" si="21"/>
        <v>5060000</v>
      </c>
      <c r="T95" s="18">
        <f t="shared" si="18"/>
        <v>5060000</v>
      </c>
      <c r="U95" s="17"/>
      <c r="V95" s="20"/>
      <c r="W95" s="20"/>
      <c r="X95" s="22"/>
      <c r="Y95" s="19"/>
      <c r="Z95" s="20"/>
      <c r="AA95" s="20"/>
    </row>
    <row r="96" spans="1:27" x14ac:dyDescent="0.3">
      <c r="B96" s="17"/>
      <c r="C96" s="17"/>
      <c r="D96" s="20"/>
      <c r="E96" s="15"/>
      <c r="F96" s="15"/>
      <c r="G96" s="15"/>
      <c r="H96" s="16"/>
      <c r="I96" s="15"/>
      <c r="J96" s="15"/>
      <c r="K96" s="29"/>
      <c r="L96" s="19"/>
      <c r="M96" s="19">
        <f t="shared" si="19"/>
        <v>0</v>
      </c>
      <c r="N96" s="35"/>
      <c r="O96" s="19"/>
      <c r="P96" s="35"/>
      <c r="Q96" s="19"/>
      <c r="R96" s="18">
        <f t="shared" si="20"/>
        <v>0</v>
      </c>
      <c r="S96" s="34">
        <f t="shared" si="21"/>
        <v>0</v>
      </c>
      <c r="T96" s="18">
        <f t="shared" si="18"/>
        <v>0</v>
      </c>
      <c r="U96" s="17"/>
      <c r="V96" s="20"/>
      <c r="W96" s="20"/>
      <c r="X96" s="22"/>
      <c r="Y96" s="19"/>
      <c r="Z96" s="20"/>
      <c r="AA96" s="20"/>
    </row>
    <row r="97" spans="2:27" x14ac:dyDescent="0.3">
      <c r="B97" s="166">
        <v>46009</v>
      </c>
      <c r="C97" s="166">
        <v>46014</v>
      </c>
      <c r="D97" s="167" t="s">
        <v>3506</v>
      </c>
      <c r="E97" s="116" t="s">
        <v>3507</v>
      </c>
      <c r="F97" s="116" t="s">
        <v>46</v>
      </c>
      <c r="G97" s="116" t="s">
        <v>21</v>
      </c>
      <c r="H97" s="117">
        <v>100</v>
      </c>
      <c r="I97" s="116">
        <v>4</v>
      </c>
      <c r="J97" s="116" t="s">
        <v>3508</v>
      </c>
      <c r="K97" s="118" t="s">
        <v>84</v>
      </c>
      <c r="L97" s="43">
        <v>19155668</v>
      </c>
      <c r="M97" s="43">
        <f t="shared" si="19"/>
        <v>1915566.8</v>
      </c>
      <c r="N97" s="35"/>
      <c r="O97" s="19"/>
      <c r="P97" s="35"/>
      <c r="Q97" s="19"/>
      <c r="R97" s="18"/>
      <c r="S97" s="34"/>
      <c r="T97" s="18"/>
      <c r="U97" s="17">
        <v>46092</v>
      </c>
      <c r="V97" s="20"/>
      <c r="W97" s="20"/>
      <c r="X97" s="22"/>
      <c r="Y97" s="19"/>
      <c r="Z97" s="20"/>
      <c r="AA97" s="20"/>
    </row>
    <row r="98" spans="2:27" x14ac:dyDescent="0.3">
      <c r="B98" s="166">
        <v>46029</v>
      </c>
      <c r="C98" s="166">
        <v>46032</v>
      </c>
      <c r="D98" s="167" t="s">
        <v>3533</v>
      </c>
      <c r="E98" s="116" t="s">
        <v>3532</v>
      </c>
      <c r="F98" s="116" t="s">
        <v>46</v>
      </c>
      <c r="G98" s="116" t="s">
        <v>21</v>
      </c>
      <c r="H98" s="117">
        <v>65</v>
      </c>
      <c r="I98" s="116">
        <v>2</v>
      </c>
      <c r="J98" s="116" t="s">
        <v>3508</v>
      </c>
      <c r="K98" s="118" t="s">
        <v>84</v>
      </c>
      <c r="L98" s="43">
        <v>5617134</v>
      </c>
      <c r="M98" s="43">
        <f t="shared" si="19"/>
        <v>561713.4</v>
      </c>
      <c r="N98" s="35"/>
      <c r="O98" s="19"/>
      <c r="P98" s="35"/>
      <c r="Q98" s="19"/>
      <c r="R98" s="18"/>
      <c r="S98" s="34"/>
      <c r="T98" s="18"/>
      <c r="U98" s="17">
        <v>46092</v>
      </c>
      <c r="V98" s="20"/>
      <c r="W98" s="20"/>
      <c r="X98" s="22"/>
      <c r="Y98" s="19"/>
      <c r="Z98" s="20"/>
      <c r="AA98" s="20"/>
    </row>
    <row r="99" spans="2:27" x14ac:dyDescent="0.3">
      <c r="B99" s="166">
        <v>46035</v>
      </c>
      <c r="C99" s="166">
        <v>46038</v>
      </c>
      <c r="D99" s="167" t="s">
        <v>3540</v>
      </c>
      <c r="E99" s="116" t="s">
        <v>3539</v>
      </c>
      <c r="F99" s="116" t="s">
        <v>46</v>
      </c>
      <c r="G99" s="116" t="s">
        <v>21</v>
      </c>
      <c r="H99" s="117">
        <v>400</v>
      </c>
      <c r="I99" s="116">
        <v>4</v>
      </c>
      <c r="J99" s="116" t="s">
        <v>3508</v>
      </c>
      <c r="K99" s="118" t="s">
        <v>3541</v>
      </c>
      <c r="L99" s="43">
        <v>86997004</v>
      </c>
      <c r="M99" s="43">
        <f t="shared" si="19"/>
        <v>8699700.4000000004</v>
      </c>
      <c r="N99" s="35"/>
      <c r="O99" s="19"/>
      <c r="P99" s="35"/>
      <c r="Q99" s="19"/>
      <c r="R99" s="18"/>
      <c r="S99" s="34"/>
      <c r="T99" s="18"/>
      <c r="U99" s="17">
        <v>46092</v>
      </c>
      <c r="V99" s="20"/>
      <c r="W99" s="20"/>
      <c r="X99" s="22"/>
      <c r="Y99" s="19"/>
      <c r="Z99" s="20"/>
      <c r="AA99" s="20"/>
    </row>
    <row r="100" spans="2:27" x14ac:dyDescent="0.3">
      <c r="B100" s="166">
        <v>46043</v>
      </c>
      <c r="C100" s="166">
        <v>46048</v>
      </c>
      <c r="D100" s="167" t="s">
        <v>3506</v>
      </c>
      <c r="E100" s="116" t="s">
        <v>3551</v>
      </c>
      <c r="F100" s="116" t="s">
        <v>46</v>
      </c>
      <c r="G100" s="116" t="s">
        <v>21</v>
      </c>
      <c r="H100" s="117">
        <v>100</v>
      </c>
      <c r="I100" s="116">
        <v>4</v>
      </c>
      <c r="J100" s="116" t="s">
        <v>3508</v>
      </c>
      <c r="K100" s="118" t="s">
        <v>84</v>
      </c>
      <c r="L100" s="43">
        <v>16413636</v>
      </c>
      <c r="M100" s="43">
        <f t="shared" si="19"/>
        <v>1641363.6</v>
      </c>
      <c r="N100" s="35"/>
      <c r="O100" s="19"/>
      <c r="P100" s="35"/>
      <c r="Q100" s="19"/>
      <c r="R100" s="18"/>
      <c r="S100" s="34"/>
      <c r="T100" s="18"/>
      <c r="U100" s="17">
        <v>46092</v>
      </c>
      <c r="V100" s="20"/>
      <c r="W100" s="20"/>
      <c r="X100" s="22"/>
      <c r="Y100" s="19"/>
      <c r="Z100" s="20"/>
      <c r="AA100" s="20"/>
    </row>
    <row r="101" spans="2:27" x14ac:dyDescent="0.3">
      <c r="B101" s="166">
        <v>46048</v>
      </c>
      <c r="C101" s="166">
        <v>46049</v>
      </c>
      <c r="D101" s="167" t="s">
        <v>3556</v>
      </c>
      <c r="E101" s="116" t="s">
        <v>3557</v>
      </c>
      <c r="F101" s="116" t="s">
        <v>46</v>
      </c>
      <c r="G101" s="116" t="s">
        <v>21</v>
      </c>
      <c r="H101" s="117">
        <v>80</v>
      </c>
      <c r="I101" s="116">
        <v>2</v>
      </c>
      <c r="J101" s="116" t="s">
        <v>267</v>
      </c>
      <c r="K101" s="118" t="s">
        <v>84</v>
      </c>
      <c r="L101" s="43">
        <v>6644822</v>
      </c>
      <c r="M101" s="43">
        <f t="shared" si="19"/>
        <v>664482.20000000007</v>
      </c>
      <c r="N101" s="35"/>
      <c r="O101" s="19"/>
      <c r="P101" s="35"/>
      <c r="Q101" s="19"/>
      <c r="R101" s="18"/>
      <c r="S101" s="34"/>
      <c r="T101" s="18"/>
      <c r="U101" s="17">
        <v>46092</v>
      </c>
      <c r="V101" s="20"/>
      <c r="W101" s="20"/>
      <c r="X101" s="22"/>
      <c r="Y101" s="19"/>
      <c r="Z101" s="20"/>
      <c r="AA101" s="20"/>
    </row>
    <row r="102" spans="2:27" x14ac:dyDescent="0.3">
      <c r="B102" s="166">
        <v>46066</v>
      </c>
      <c r="C102" s="166">
        <v>46078</v>
      </c>
      <c r="D102" s="167" t="s">
        <v>3561</v>
      </c>
      <c r="E102" s="116" t="s">
        <v>3564</v>
      </c>
      <c r="F102" s="116" t="s">
        <v>46</v>
      </c>
      <c r="G102" s="116" t="s">
        <v>21</v>
      </c>
      <c r="H102" s="117">
        <v>150</v>
      </c>
      <c r="I102" s="116">
        <v>2</v>
      </c>
      <c r="J102" s="116" t="s">
        <v>267</v>
      </c>
      <c r="K102" s="118" t="s">
        <v>84</v>
      </c>
      <c r="L102" s="43">
        <v>11520304</v>
      </c>
      <c r="M102" s="43">
        <f t="shared" si="19"/>
        <v>1152030.4000000001</v>
      </c>
      <c r="N102" s="35"/>
      <c r="O102" s="19"/>
      <c r="P102" s="35"/>
      <c r="Q102" s="19"/>
      <c r="R102" s="18"/>
      <c r="S102" s="34"/>
      <c r="T102" s="18"/>
      <c r="U102" s="17">
        <v>46092</v>
      </c>
      <c r="V102" s="20"/>
      <c r="W102" s="20"/>
      <c r="X102" s="22"/>
      <c r="Y102" s="19"/>
      <c r="Z102" s="20"/>
      <c r="AA102" s="20"/>
    </row>
    <row r="103" spans="2:27" x14ac:dyDescent="0.3">
      <c r="B103" s="166">
        <v>46066</v>
      </c>
      <c r="C103" s="166">
        <v>46078</v>
      </c>
      <c r="D103" s="167" t="s">
        <v>3562</v>
      </c>
      <c r="E103" s="116" t="s">
        <v>3565</v>
      </c>
      <c r="F103" s="116" t="s">
        <v>46</v>
      </c>
      <c r="G103" s="116" t="s">
        <v>21</v>
      </c>
      <c r="H103" s="117">
        <v>125</v>
      </c>
      <c r="I103" s="116">
        <v>2</v>
      </c>
      <c r="J103" s="116" t="s">
        <v>267</v>
      </c>
      <c r="K103" s="118" t="s">
        <v>84</v>
      </c>
      <c r="L103" s="43">
        <v>9457240</v>
      </c>
      <c r="M103" s="43">
        <f t="shared" si="19"/>
        <v>945724</v>
      </c>
      <c r="N103" s="35"/>
      <c r="O103" s="19"/>
      <c r="P103" s="35"/>
      <c r="Q103" s="19"/>
      <c r="R103" s="18"/>
      <c r="S103" s="34"/>
      <c r="T103" s="18"/>
      <c r="U103" s="17">
        <v>46092</v>
      </c>
      <c r="V103" s="20"/>
      <c r="W103" s="20"/>
      <c r="X103" s="22"/>
      <c r="Y103" s="19"/>
      <c r="Z103" s="20"/>
      <c r="AA103" s="20"/>
    </row>
    <row r="104" spans="2:27" x14ac:dyDescent="0.3">
      <c r="B104" s="166">
        <v>46066</v>
      </c>
      <c r="C104" s="166">
        <v>46078</v>
      </c>
      <c r="D104" s="167" t="s">
        <v>3563</v>
      </c>
      <c r="E104" s="116" t="s">
        <v>3566</v>
      </c>
      <c r="F104" s="116" t="s">
        <v>46</v>
      </c>
      <c r="G104" s="116" t="s">
        <v>21</v>
      </c>
      <c r="H104" s="117">
        <v>100</v>
      </c>
      <c r="I104" s="116">
        <v>2</v>
      </c>
      <c r="J104" s="116" t="s">
        <v>267</v>
      </c>
      <c r="K104" s="118" t="s">
        <v>84</v>
      </c>
      <c r="L104" s="43">
        <v>8206818</v>
      </c>
      <c r="M104" s="43">
        <f t="shared" si="19"/>
        <v>820681.8</v>
      </c>
      <c r="N104" s="35"/>
      <c r="O104" s="19"/>
      <c r="P104" s="35"/>
      <c r="Q104" s="19"/>
      <c r="R104" s="18"/>
      <c r="S104" s="34"/>
      <c r="T104" s="18"/>
      <c r="U104" s="17">
        <v>46092</v>
      </c>
      <c r="V104" s="20"/>
      <c r="W104" s="20"/>
      <c r="X104" s="22"/>
      <c r="Y104" s="19"/>
      <c r="Z104" s="20"/>
      <c r="AA104" s="20"/>
    </row>
    <row r="105" spans="2:27" x14ac:dyDescent="0.3">
      <c r="B105" s="166">
        <v>46076</v>
      </c>
      <c r="C105" s="166">
        <v>46082</v>
      </c>
      <c r="D105" s="167" t="s">
        <v>3567</v>
      </c>
      <c r="E105" s="116" t="s">
        <v>3568</v>
      </c>
      <c r="F105" s="116" t="s">
        <v>46</v>
      </c>
      <c r="G105" s="116" t="s">
        <v>21</v>
      </c>
      <c r="H105" s="117">
        <v>600</v>
      </c>
      <c r="I105" s="116">
        <v>2</v>
      </c>
      <c r="J105" s="116" t="s">
        <v>267</v>
      </c>
      <c r="K105" s="118" t="s">
        <v>84</v>
      </c>
      <c r="L105" s="43">
        <v>79988808</v>
      </c>
      <c r="M105" s="43">
        <f t="shared" si="19"/>
        <v>7998880.8000000007</v>
      </c>
      <c r="N105" s="35"/>
      <c r="O105" s="19"/>
      <c r="P105" s="35"/>
      <c r="Q105" s="19"/>
      <c r="R105" s="18"/>
      <c r="S105" s="34"/>
      <c r="T105" s="18"/>
      <c r="U105" s="17">
        <v>46092</v>
      </c>
      <c r="V105" s="20"/>
      <c r="W105" s="20"/>
      <c r="X105" s="22"/>
      <c r="Y105" s="19"/>
      <c r="Z105" s="20"/>
      <c r="AA105" s="20"/>
    </row>
    <row r="106" spans="2:27" x14ac:dyDescent="0.3">
      <c r="B106" s="166">
        <v>46079</v>
      </c>
      <c r="C106" s="166">
        <v>46085</v>
      </c>
      <c r="D106" s="167" t="s">
        <v>3569</v>
      </c>
      <c r="E106" s="116" t="s">
        <v>3570</v>
      </c>
      <c r="F106" s="116" t="s">
        <v>46</v>
      </c>
      <c r="G106" s="116" t="s">
        <v>21</v>
      </c>
      <c r="H106" s="117">
        <v>700</v>
      </c>
      <c r="I106" s="116">
        <v>4</v>
      </c>
      <c r="J106" s="116" t="s">
        <v>267</v>
      </c>
      <c r="K106" s="118" t="s">
        <v>84</v>
      </c>
      <c r="L106" s="43">
        <v>189618960</v>
      </c>
      <c r="M106" s="43">
        <f t="shared" si="19"/>
        <v>18961896</v>
      </c>
      <c r="N106" s="35"/>
      <c r="O106" s="19"/>
      <c r="P106" s="35"/>
      <c r="Q106" s="19"/>
      <c r="R106" s="18"/>
      <c r="S106" s="34"/>
      <c r="T106" s="18"/>
      <c r="U106" s="17">
        <v>46092</v>
      </c>
      <c r="V106" s="20"/>
      <c r="W106" s="20"/>
      <c r="X106" s="22"/>
      <c r="Y106" s="19"/>
      <c r="Z106" s="20"/>
      <c r="AA106" s="20"/>
    </row>
    <row r="107" spans="2:27" x14ac:dyDescent="0.3">
      <c r="B107" s="115"/>
      <c r="C107" s="115"/>
      <c r="D107" s="82" t="s">
        <v>3605</v>
      </c>
      <c r="E107" s="116"/>
      <c r="F107" s="116" t="s">
        <v>46</v>
      </c>
      <c r="G107" s="116" t="s">
        <v>21</v>
      </c>
      <c r="H107" s="117" t="s">
        <v>3607</v>
      </c>
      <c r="I107" s="116">
        <v>1</v>
      </c>
      <c r="J107" s="116" t="s">
        <v>267</v>
      </c>
      <c r="K107" s="118"/>
      <c r="L107" s="43">
        <f>480690000-433620394</f>
        <v>47069606</v>
      </c>
      <c r="M107" s="43">
        <f t="shared" si="19"/>
        <v>4706960.6000000006</v>
      </c>
      <c r="N107" s="35"/>
      <c r="O107" s="19"/>
      <c r="P107" s="35"/>
      <c r="Q107" s="19"/>
      <c r="R107" s="18">
        <f t="shared" si="20"/>
        <v>0</v>
      </c>
      <c r="S107" s="34">
        <f t="shared" si="21"/>
        <v>51776566.600000001</v>
      </c>
      <c r="T107" s="18">
        <f t="shared" ref="T107:T165" si="39">(L107*I107)+M107</f>
        <v>51776566.600000001</v>
      </c>
      <c r="U107" s="17">
        <v>46092</v>
      </c>
      <c r="V107" s="20"/>
      <c r="W107" s="20"/>
      <c r="X107" s="22"/>
      <c r="Y107" s="19"/>
      <c r="Z107" s="20"/>
      <c r="AA107" s="20"/>
    </row>
    <row r="108" spans="2:27" s="202" customFormat="1" x14ac:dyDescent="0.3">
      <c r="B108" s="193">
        <v>46092</v>
      </c>
      <c r="C108" s="193">
        <v>46092</v>
      </c>
      <c r="D108" s="201" t="s">
        <v>3606</v>
      </c>
      <c r="E108" s="194"/>
      <c r="F108" s="195" t="s">
        <v>46</v>
      </c>
      <c r="G108" s="195" t="s">
        <v>21</v>
      </c>
      <c r="H108" s="196" t="s">
        <v>3608</v>
      </c>
      <c r="I108" s="194">
        <v>1</v>
      </c>
      <c r="J108" s="194" t="s">
        <v>267</v>
      </c>
      <c r="K108" s="203"/>
      <c r="L108" s="197">
        <v>480690000</v>
      </c>
      <c r="M108" s="197">
        <f t="shared" si="19"/>
        <v>48069000</v>
      </c>
      <c r="N108" s="198"/>
      <c r="O108" s="197"/>
      <c r="P108" s="198"/>
      <c r="Q108" s="197"/>
      <c r="R108" s="199">
        <f t="shared" si="20"/>
        <v>0</v>
      </c>
      <c r="S108" s="200">
        <f t="shared" si="21"/>
        <v>528759000</v>
      </c>
      <c r="T108" s="199">
        <f t="shared" si="39"/>
        <v>528759000</v>
      </c>
      <c r="U108" s="193">
        <v>46092</v>
      </c>
      <c r="V108" s="201"/>
      <c r="W108" s="201"/>
      <c r="X108" s="58"/>
      <c r="Y108" s="197"/>
      <c r="Z108" s="201"/>
      <c r="AA108" s="201"/>
    </row>
    <row r="109" spans="2:27" x14ac:dyDescent="0.3">
      <c r="B109" s="17"/>
      <c r="C109" s="17"/>
      <c r="D109" s="20"/>
      <c r="E109" s="15"/>
      <c r="F109" s="15"/>
      <c r="G109" s="15"/>
      <c r="H109" s="16"/>
      <c r="I109" s="15"/>
      <c r="J109" s="15"/>
      <c r="K109" s="29"/>
      <c r="L109" s="19"/>
      <c r="M109" s="19">
        <f t="shared" si="19"/>
        <v>0</v>
      </c>
      <c r="N109" s="35"/>
      <c r="O109" s="19"/>
      <c r="P109" s="35"/>
      <c r="Q109" s="19"/>
      <c r="R109" s="18">
        <f t="shared" si="20"/>
        <v>0</v>
      </c>
      <c r="S109" s="34">
        <f t="shared" si="21"/>
        <v>0</v>
      </c>
      <c r="T109" s="18">
        <f t="shared" si="39"/>
        <v>0</v>
      </c>
      <c r="U109" s="17"/>
      <c r="V109" s="20"/>
      <c r="W109" s="20"/>
      <c r="X109" s="22"/>
      <c r="Y109" s="19"/>
      <c r="Z109" s="20"/>
      <c r="AA109" s="20"/>
    </row>
    <row r="110" spans="2:27" x14ac:dyDescent="0.3">
      <c r="B110" s="17"/>
      <c r="C110" s="17"/>
      <c r="D110" s="20"/>
      <c r="E110" s="15"/>
      <c r="F110" s="15"/>
      <c r="G110" s="15"/>
      <c r="H110" s="16"/>
      <c r="I110" s="15"/>
      <c r="J110" s="15"/>
      <c r="K110" s="29"/>
      <c r="L110" s="19"/>
      <c r="M110" s="19">
        <f t="shared" si="19"/>
        <v>0</v>
      </c>
      <c r="N110" s="35"/>
      <c r="O110" s="19"/>
      <c r="P110" s="35"/>
      <c r="Q110" s="19"/>
      <c r="R110" s="18">
        <f t="shared" si="20"/>
        <v>0</v>
      </c>
      <c r="S110" s="34">
        <f t="shared" si="21"/>
        <v>0</v>
      </c>
      <c r="T110" s="18">
        <f t="shared" si="39"/>
        <v>0</v>
      </c>
      <c r="U110" s="17"/>
      <c r="V110" s="20"/>
      <c r="W110" s="20"/>
      <c r="X110" s="22"/>
      <c r="Y110" s="19"/>
      <c r="Z110" s="20"/>
      <c r="AA110" s="20"/>
    </row>
    <row r="111" spans="2:27" x14ac:dyDescent="0.3">
      <c r="B111" s="17"/>
      <c r="C111" s="17"/>
      <c r="D111" s="20"/>
      <c r="E111" s="15"/>
      <c r="F111" s="15"/>
      <c r="G111" s="15"/>
      <c r="H111" s="16"/>
      <c r="I111" s="15"/>
      <c r="J111" s="15"/>
      <c r="K111" s="29"/>
      <c r="L111" s="19"/>
      <c r="M111" s="19">
        <f t="shared" ref="M111:M174" si="40">L111*0.1</f>
        <v>0</v>
      </c>
      <c r="N111" s="35"/>
      <c r="O111" s="19"/>
      <c r="P111" s="35"/>
      <c r="Q111" s="19"/>
      <c r="R111" s="18">
        <f t="shared" ref="R111:R174" si="41">O111+Q111</f>
        <v>0</v>
      </c>
      <c r="S111" s="34">
        <f t="shared" ref="S111:S174" si="42">T111-R111</f>
        <v>0</v>
      </c>
      <c r="T111" s="18">
        <f t="shared" si="39"/>
        <v>0</v>
      </c>
      <c r="U111" s="17"/>
      <c r="V111" s="20"/>
      <c r="W111" s="20"/>
      <c r="X111" s="22"/>
      <c r="Y111" s="19"/>
      <c r="Z111" s="20"/>
      <c r="AA111" s="20"/>
    </row>
    <row r="112" spans="2:27" ht="16.5" customHeight="1" x14ac:dyDescent="0.3">
      <c r="B112" s="17"/>
      <c r="C112" s="17"/>
      <c r="D112" s="20"/>
      <c r="E112" s="15"/>
      <c r="F112" s="15"/>
      <c r="G112" s="15"/>
      <c r="H112" s="16"/>
      <c r="I112" s="15"/>
      <c r="J112" s="15"/>
      <c r="K112" s="29"/>
      <c r="L112" s="19"/>
      <c r="M112" s="19">
        <f t="shared" si="40"/>
        <v>0</v>
      </c>
      <c r="N112" s="35"/>
      <c r="O112" s="19"/>
      <c r="P112" s="35"/>
      <c r="Q112" s="19"/>
      <c r="R112" s="18">
        <f t="shared" si="41"/>
        <v>0</v>
      </c>
      <c r="S112" s="34">
        <f t="shared" si="42"/>
        <v>0</v>
      </c>
      <c r="T112" s="18">
        <f t="shared" si="39"/>
        <v>0</v>
      </c>
      <c r="U112" s="17"/>
      <c r="V112" s="20"/>
      <c r="W112" s="20"/>
      <c r="X112" s="22"/>
      <c r="Y112" s="19"/>
      <c r="Z112" s="20"/>
      <c r="AA112" s="20"/>
    </row>
    <row r="113" spans="2:27" ht="16.5" customHeight="1" x14ac:dyDescent="0.3">
      <c r="B113" s="17"/>
      <c r="C113" s="17"/>
      <c r="D113" s="20"/>
      <c r="E113" s="15"/>
      <c r="F113" s="15"/>
      <c r="G113" s="15"/>
      <c r="H113" s="16"/>
      <c r="I113" s="15"/>
      <c r="J113" s="15"/>
      <c r="K113" s="29"/>
      <c r="L113" s="19"/>
      <c r="M113" s="19">
        <f t="shared" si="40"/>
        <v>0</v>
      </c>
      <c r="N113" s="35"/>
      <c r="O113" s="19"/>
      <c r="P113" s="35"/>
      <c r="Q113" s="19"/>
      <c r="R113" s="18">
        <f t="shared" si="41"/>
        <v>0</v>
      </c>
      <c r="S113" s="34">
        <f t="shared" si="42"/>
        <v>0</v>
      </c>
      <c r="T113" s="18">
        <f t="shared" si="39"/>
        <v>0</v>
      </c>
      <c r="U113" s="17"/>
      <c r="V113" s="20"/>
      <c r="W113" s="20"/>
      <c r="X113" s="22"/>
      <c r="Y113" s="19"/>
      <c r="Z113" s="20"/>
      <c r="AA113" s="20"/>
    </row>
    <row r="114" spans="2:27" ht="27" customHeight="1" x14ac:dyDescent="0.3">
      <c r="B114" s="17"/>
      <c r="C114" s="17"/>
      <c r="D114" s="20"/>
      <c r="E114" s="15"/>
      <c r="F114" s="15"/>
      <c r="G114" s="15"/>
      <c r="H114" s="16"/>
      <c r="I114" s="15"/>
      <c r="J114" s="15"/>
      <c r="K114" s="29"/>
      <c r="L114" s="19"/>
      <c r="M114" s="19">
        <f t="shared" si="40"/>
        <v>0</v>
      </c>
      <c r="N114" s="35"/>
      <c r="O114" s="19"/>
      <c r="P114" s="35"/>
      <c r="Q114" s="19"/>
      <c r="R114" s="18">
        <f t="shared" si="41"/>
        <v>0</v>
      </c>
      <c r="S114" s="34">
        <f t="shared" si="42"/>
        <v>0</v>
      </c>
      <c r="T114" s="18">
        <f t="shared" si="39"/>
        <v>0</v>
      </c>
      <c r="U114" s="17"/>
      <c r="V114" s="20"/>
      <c r="W114" s="20"/>
      <c r="X114" s="22"/>
      <c r="Y114" s="19"/>
      <c r="Z114" s="20"/>
      <c r="AA114" s="20"/>
    </row>
    <row r="115" spans="2:27" ht="27" customHeight="1" x14ac:dyDescent="0.3">
      <c r="B115" s="17"/>
      <c r="C115" s="17"/>
      <c r="D115" s="20"/>
      <c r="E115" s="15"/>
      <c r="F115" s="15"/>
      <c r="G115" s="15"/>
      <c r="H115" s="16"/>
      <c r="I115" s="15"/>
      <c r="J115" s="15"/>
      <c r="K115" s="29"/>
      <c r="L115" s="19"/>
      <c r="M115" s="19">
        <f t="shared" si="40"/>
        <v>0</v>
      </c>
      <c r="N115" s="35"/>
      <c r="O115" s="19"/>
      <c r="P115" s="35"/>
      <c r="Q115" s="19"/>
      <c r="R115" s="18">
        <f t="shared" si="41"/>
        <v>0</v>
      </c>
      <c r="S115" s="34">
        <f t="shared" si="42"/>
        <v>0</v>
      </c>
      <c r="T115" s="18">
        <f t="shared" si="39"/>
        <v>0</v>
      </c>
      <c r="U115" s="17"/>
      <c r="V115" s="20"/>
      <c r="W115" s="20"/>
      <c r="X115" s="22"/>
      <c r="Y115" s="19"/>
      <c r="Z115" s="20"/>
      <c r="AA115" s="20"/>
    </row>
    <row r="116" spans="2:27" ht="27" customHeight="1" x14ac:dyDescent="0.3">
      <c r="B116" s="17"/>
      <c r="C116" s="17"/>
      <c r="D116" s="20"/>
      <c r="E116" s="15"/>
      <c r="F116" s="15"/>
      <c r="G116" s="15"/>
      <c r="H116" s="16"/>
      <c r="I116" s="15"/>
      <c r="J116" s="15"/>
      <c r="K116" s="29"/>
      <c r="L116" s="19"/>
      <c r="M116" s="19">
        <f t="shared" si="40"/>
        <v>0</v>
      </c>
      <c r="N116" s="35"/>
      <c r="O116" s="19"/>
      <c r="P116" s="35"/>
      <c r="Q116" s="19"/>
      <c r="R116" s="18">
        <f t="shared" si="41"/>
        <v>0</v>
      </c>
      <c r="S116" s="34">
        <f t="shared" si="42"/>
        <v>0</v>
      </c>
      <c r="T116" s="18">
        <f t="shared" si="39"/>
        <v>0</v>
      </c>
      <c r="U116" s="17"/>
      <c r="V116" s="20"/>
      <c r="W116" s="20"/>
      <c r="X116" s="22"/>
      <c r="Y116" s="19"/>
      <c r="Z116" s="20"/>
      <c r="AA116" s="20"/>
    </row>
    <row r="117" spans="2:27" ht="27" customHeight="1" x14ac:dyDescent="0.3">
      <c r="B117" s="17"/>
      <c r="C117" s="17"/>
      <c r="D117" s="20"/>
      <c r="E117" s="15"/>
      <c r="F117" s="15"/>
      <c r="G117" s="15"/>
      <c r="H117" s="16"/>
      <c r="I117" s="15"/>
      <c r="J117" s="15"/>
      <c r="K117" s="29"/>
      <c r="L117" s="19"/>
      <c r="M117" s="19">
        <f t="shared" si="40"/>
        <v>0</v>
      </c>
      <c r="N117" s="35"/>
      <c r="O117" s="19"/>
      <c r="P117" s="35"/>
      <c r="Q117" s="19"/>
      <c r="R117" s="18">
        <f t="shared" si="41"/>
        <v>0</v>
      </c>
      <c r="S117" s="34">
        <f t="shared" si="42"/>
        <v>0</v>
      </c>
      <c r="T117" s="18">
        <f t="shared" si="39"/>
        <v>0</v>
      </c>
      <c r="U117" s="17"/>
      <c r="V117" s="20"/>
      <c r="W117" s="20"/>
      <c r="X117" s="22"/>
      <c r="Y117" s="19"/>
      <c r="Z117" s="20"/>
      <c r="AA117" s="20"/>
    </row>
    <row r="118" spans="2:27" ht="27" customHeight="1" x14ac:dyDescent="0.3">
      <c r="B118" s="17"/>
      <c r="C118" s="17"/>
      <c r="D118" s="20"/>
      <c r="E118" s="15"/>
      <c r="F118" s="15"/>
      <c r="G118" s="15"/>
      <c r="H118" s="16"/>
      <c r="I118" s="15"/>
      <c r="J118" s="15"/>
      <c r="K118" s="29"/>
      <c r="L118" s="19"/>
      <c r="M118" s="19">
        <f t="shared" si="40"/>
        <v>0</v>
      </c>
      <c r="N118" s="35"/>
      <c r="O118" s="19"/>
      <c r="P118" s="35"/>
      <c r="Q118" s="19"/>
      <c r="R118" s="18">
        <f t="shared" si="41"/>
        <v>0</v>
      </c>
      <c r="S118" s="34">
        <f t="shared" si="42"/>
        <v>0</v>
      </c>
      <c r="T118" s="18">
        <f t="shared" si="39"/>
        <v>0</v>
      </c>
      <c r="U118" s="17"/>
      <c r="V118" s="20"/>
      <c r="W118" s="20"/>
      <c r="X118" s="22"/>
      <c r="Y118" s="19"/>
      <c r="Z118" s="20"/>
      <c r="AA118" s="20"/>
    </row>
    <row r="119" spans="2:27" ht="27" customHeight="1" x14ac:dyDescent="0.3">
      <c r="B119" s="17"/>
      <c r="C119" s="17"/>
      <c r="D119" s="20"/>
      <c r="E119" s="15"/>
      <c r="F119" s="15"/>
      <c r="G119" s="15"/>
      <c r="H119" s="16"/>
      <c r="I119" s="15"/>
      <c r="J119" s="15"/>
      <c r="K119" s="29"/>
      <c r="L119" s="19"/>
      <c r="M119" s="19">
        <f t="shared" si="40"/>
        <v>0</v>
      </c>
      <c r="N119" s="35"/>
      <c r="O119" s="19"/>
      <c r="P119" s="35"/>
      <c r="Q119" s="19"/>
      <c r="R119" s="18">
        <f t="shared" si="41"/>
        <v>0</v>
      </c>
      <c r="S119" s="34">
        <f t="shared" si="42"/>
        <v>0</v>
      </c>
      <c r="T119" s="18">
        <f t="shared" si="39"/>
        <v>0</v>
      </c>
      <c r="U119" s="17"/>
      <c r="V119" s="20"/>
      <c r="W119" s="20"/>
      <c r="X119" s="22"/>
      <c r="Y119" s="19"/>
      <c r="Z119" s="20"/>
      <c r="AA119" s="20"/>
    </row>
    <row r="120" spans="2:27" ht="27" customHeight="1" x14ac:dyDescent="0.3">
      <c r="B120" s="17"/>
      <c r="C120" s="17"/>
      <c r="D120" s="20"/>
      <c r="E120" s="15"/>
      <c r="F120" s="15"/>
      <c r="G120" s="15"/>
      <c r="H120" s="16"/>
      <c r="I120" s="15"/>
      <c r="J120" s="15"/>
      <c r="K120" s="29"/>
      <c r="L120" s="19"/>
      <c r="M120" s="19">
        <f t="shared" si="40"/>
        <v>0</v>
      </c>
      <c r="N120" s="35"/>
      <c r="O120" s="19"/>
      <c r="P120" s="35"/>
      <c r="Q120" s="19"/>
      <c r="R120" s="18">
        <f t="shared" si="41"/>
        <v>0</v>
      </c>
      <c r="S120" s="34">
        <f t="shared" si="42"/>
        <v>0</v>
      </c>
      <c r="T120" s="18">
        <f t="shared" si="39"/>
        <v>0</v>
      </c>
      <c r="U120" s="17"/>
      <c r="V120" s="20"/>
      <c r="W120" s="20"/>
      <c r="X120" s="22"/>
      <c r="Y120" s="19"/>
      <c r="Z120" s="20"/>
      <c r="AA120" s="20"/>
    </row>
    <row r="121" spans="2:27" ht="27" customHeight="1" x14ac:dyDescent="0.3">
      <c r="B121" s="17"/>
      <c r="C121" s="17"/>
      <c r="D121" s="20"/>
      <c r="E121" s="15"/>
      <c r="F121" s="15"/>
      <c r="G121" s="15"/>
      <c r="H121" s="16"/>
      <c r="I121" s="15"/>
      <c r="J121" s="15"/>
      <c r="K121" s="29"/>
      <c r="L121" s="19"/>
      <c r="M121" s="19">
        <f t="shared" si="40"/>
        <v>0</v>
      </c>
      <c r="N121" s="35"/>
      <c r="O121" s="19"/>
      <c r="P121" s="35"/>
      <c r="Q121" s="19"/>
      <c r="R121" s="18">
        <f t="shared" si="41"/>
        <v>0</v>
      </c>
      <c r="S121" s="34">
        <f t="shared" si="42"/>
        <v>0</v>
      </c>
      <c r="T121" s="18">
        <f t="shared" si="39"/>
        <v>0</v>
      </c>
      <c r="U121" s="17"/>
      <c r="V121" s="20"/>
      <c r="W121" s="20"/>
      <c r="X121" s="22"/>
      <c r="Y121" s="19"/>
      <c r="Z121" s="20"/>
      <c r="AA121" s="20"/>
    </row>
    <row r="122" spans="2:27" ht="27" customHeight="1" x14ac:dyDescent="0.3">
      <c r="B122" s="17"/>
      <c r="C122" s="17"/>
      <c r="D122" s="20"/>
      <c r="E122" s="15"/>
      <c r="F122" s="15"/>
      <c r="G122" s="15"/>
      <c r="H122" s="16"/>
      <c r="I122" s="15"/>
      <c r="J122" s="15"/>
      <c r="K122" s="29"/>
      <c r="L122" s="19"/>
      <c r="M122" s="19">
        <f t="shared" si="40"/>
        <v>0</v>
      </c>
      <c r="N122" s="35"/>
      <c r="O122" s="19"/>
      <c r="P122" s="35"/>
      <c r="Q122" s="19"/>
      <c r="R122" s="18">
        <f t="shared" si="41"/>
        <v>0</v>
      </c>
      <c r="S122" s="34">
        <f t="shared" si="42"/>
        <v>0</v>
      </c>
      <c r="T122" s="18">
        <f t="shared" si="39"/>
        <v>0</v>
      </c>
      <c r="U122" s="17"/>
      <c r="V122" s="20"/>
      <c r="W122" s="20"/>
      <c r="X122" s="22"/>
      <c r="Y122" s="19"/>
      <c r="Z122" s="20"/>
      <c r="AA122" s="20"/>
    </row>
    <row r="123" spans="2:27" ht="27" customHeight="1" x14ac:dyDescent="0.3">
      <c r="B123" s="17"/>
      <c r="C123" s="17"/>
      <c r="D123" s="20"/>
      <c r="E123" s="15"/>
      <c r="F123" s="15"/>
      <c r="G123" s="15"/>
      <c r="H123" s="16"/>
      <c r="I123" s="15"/>
      <c r="J123" s="15"/>
      <c r="K123" s="29"/>
      <c r="L123" s="19"/>
      <c r="M123" s="19">
        <f t="shared" si="40"/>
        <v>0</v>
      </c>
      <c r="N123" s="35"/>
      <c r="O123" s="19"/>
      <c r="P123" s="35"/>
      <c r="Q123" s="19"/>
      <c r="R123" s="18">
        <f t="shared" si="41"/>
        <v>0</v>
      </c>
      <c r="S123" s="34">
        <f t="shared" si="42"/>
        <v>0</v>
      </c>
      <c r="T123" s="18">
        <f t="shared" si="39"/>
        <v>0</v>
      </c>
      <c r="U123" s="17"/>
      <c r="V123" s="20"/>
      <c r="W123" s="20"/>
      <c r="X123" s="22"/>
      <c r="Y123" s="19"/>
      <c r="Z123" s="20"/>
      <c r="AA123" s="20"/>
    </row>
    <row r="124" spans="2:27" ht="27" customHeight="1" x14ac:dyDescent="0.3">
      <c r="B124" s="17"/>
      <c r="C124" s="17"/>
      <c r="D124" s="20"/>
      <c r="E124" s="15"/>
      <c r="F124" s="15"/>
      <c r="G124" s="15"/>
      <c r="H124" s="16"/>
      <c r="I124" s="15"/>
      <c r="J124" s="15"/>
      <c r="K124" s="29"/>
      <c r="L124" s="19"/>
      <c r="M124" s="19">
        <f t="shared" si="40"/>
        <v>0</v>
      </c>
      <c r="N124" s="35"/>
      <c r="O124" s="19"/>
      <c r="P124" s="35"/>
      <c r="Q124" s="19"/>
      <c r="R124" s="18">
        <f t="shared" si="41"/>
        <v>0</v>
      </c>
      <c r="S124" s="34">
        <f t="shared" si="42"/>
        <v>0</v>
      </c>
      <c r="T124" s="18">
        <f t="shared" si="39"/>
        <v>0</v>
      </c>
      <c r="U124" s="17"/>
      <c r="V124" s="20"/>
      <c r="W124" s="20"/>
      <c r="X124" s="22"/>
      <c r="Y124" s="19"/>
      <c r="Z124" s="20"/>
      <c r="AA124" s="20"/>
    </row>
    <row r="125" spans="2:27" ht="27" customHeight="1" x14ac:dyDescent="0.3">
      <c r="B125" s="17"/>
      <c r="C125" s="17"/>
      <c r="D125" s="20"/>
      <c r="E125" s="15"/>
      <c r="F125" s="15"/>
      <c r="G125" s="15"/>
      <c r="H125" s="16"/>
      <c r="I125" s="15"/>
      <c r="J125" s="15"/>
      <c r="K125" s="29"/>
      <c r="L125" s="19"/>
      <c r="M125" s="19">
        <f t="shared" si="40"/>
        <v>0</v>
      </c>
      <c r="N125" s="35"/>
      <c r="O125" s="19"/>
      <c r="P125" s="35"/>
      <c r="Q125" s="19"/>
      <c r="R125" s="18">
        <f t="shared" si="41"/>
        <v>0</v>
      </c>
      <c r="S125" s="34">
        <f t="shared" si="42"/>
        <v>0</v>
      </c>
      <c r="T125" s="18">
        <f t="shared" si="39"/>
        <v>0</v>
      </c>
      <c r="U125" s="17"/>
      <c r="V125" s="20"/>
      <c r="W125" s="20"/>
      <c r="X125" s="22"/>
      <c r="Y125" s="19"/>
      <c r="Z125" s="20"/>
      <c r="AA125" s="20"/>
    </row>
    <row r="126" spans="2:27" ht="27" customHeight="1" x14ac:dyDescent="0.3">
      <c r="B126" s="17"/>
      <c r="C126" s="17"/>
      <c r="D126" s="20"/>
      <c r="E126" s="15"/>
      <c r="F126" s="15"/>
      <c r="G126" s="15"/>
      <c r="H126" s="16"/>
      <c r="I126" s="15"/>
      <c r="J126" s="15"/>
      <c r="K126" s="29"/>
      <c r="L126" s="19"/>
      <c r="M126" s="19">
        <f t="shared" si="40"/>
        <v>0</v>
      </c>
      <c r="N126" s="35"/>
      <c r="O126" s="19"/>
      <c r="P126" s="35"/>
      <c r="Q126" s="19"/>
      <c r="R126" s="18">
        <f t="shared" si="41"/>
        <v>0</v>
      </c>
      <c r="S126" s="34">
        <f t="shared" si="42"/>
        <v>0</v>
      </c>
      <c r="T126" s="18">
        <f t="shared" si="39"/>
        <v>0</v>
      </c>
      <c r="U126" s="17"/>
      <c r="V126" s="20"/>
      <c r="W126" s="20"/>
      <c r="X126" s="22"/>
      <c r="Y126" s="19"/>
      <c r="Z126" s="20"/>
      <c r="AA126" s="20"/>
    </row>
    <row r="127" spans="2:27" ht="27" customHeight="1" x14ac:dyDescent="0.3">
      <c r="B127" s="17"/>
      <c r="C127" s="17"/>
      <c r="D127" s="20"/>
      <c r="E127" s="15"/>
      <c r="F127" s="15"/>
      <c r="G127" s="15"/>
      <c r="H127" s="16"/>
      <c r="I127" s="15"/>
      <c r="J127" s="15"/>
      <c r="K127" s="29"/>
      <c r="L127" s="19"/>
      <c r="M127" s="19">
        <f t="shared" si="40"/>
        <v>0</v>
      </c>
      <c r="N127" s="35"/>
      <c r="O127" s="19"/>
      <c r="P127" s="35"/>
      <c r="Q127" s="19"/>
      <c r="R127" s="18">
        <f t="shared" si="41"/>
        <v>0</v>
      </c>
      <c r="S127" s="34">
        <f t="shared" si="42"/>
        <v>0</v>
      </c>
      <c r="T127" s="18">
        <f t="shared" si="39"/>
        <v>0</v>
      </c>
      <c r="U127" s="17"/>
      <c r="V127" s="20"/>
      <c r="W127" s="20"/>
      <c r="X127" s="22"/>
      <c r="Y127" s="19"/>
      <c r="Z127" s="20"/>
      <c r="AA127" s="20"/>
    </row>
    <row r="128" spans="2:27" x14ac:dyDescent="0.3">
      <c r="B128" s="17"/>
      <c r="C128" s="17"/>
      <c r="D128" s="20"/>
      <c r="E128" s="15"/>
      <c r="F128" s="15"/>
      <c r="G128" s="15"/>
      <c r="H128" s="16"/>
      <c r="I128" s="15"/>
      <c r="J128" s="15"/>
      <c r="K128" s="29"/>
      <c r="L128" s="19"/>
      <c r="M128" s="19">
        <f t="shared" si="40"/>
        <v>0</v>
      </c>
      <c r="N128" s="35"/>
      <c r="O128" s="19"/>
      <c r="P128" s="35"/>
      <c r="Q128" s="19"/>
      <c r="R128" s="18">
        <f t="shared" si="41"/>
        <v>0</v>
      </c>
      <c r="S128" s="34">
        <f t="shared" si="42"/>
        <v>0</v>
      </c>
      <c r="T128" s="18">
        <f t="shared" si="39"/>
        <v>0</v>
      </c>
      <c r="U128" s="17"/>
      <c r="V128" s="20"/>
      <c r="W128" s="20"/>
      <c r="X128" s="22"/>
      <c r="Y128" s="19"/>
      <c r="Z128" s="20"/>
      <c r="AA128" s="20"/>
    </row>
    <row r="129" spans="2:27" x14ac:dyDescent="0.3">
      <c r="B129" s="17"/>
      <c r="C129" s="17"/>
      <c r="D129" s="20"/>
      <c r="E129" s="15"/>
      <c r="F129" s="15"/>
      <c r="G129" s="15"/>
      <c r="H129" s="16"/>
      <c r="I129" s="15"/>
      <c r="J129" s="15"/>
      <c r="K129" s="29"/>
      <c r="L129" s="19"/>
      <c r="M129" s="19">
        <f t="shared" si="40"/>
        <v>0</v>
      </c>
      <c r="N129" s="35"/>
      <c r="O129" s="19"/>
      <c r="P129" s="35"/>
      <c r="Q129" s="19"/>
      <c r="R129" s="18">
        <f t="shared" si="41"/>
        <v>0</v>
      </c>
      <c r="S129" s="34">
        <f t="shared" si="42"/>
        <v>0</v>
      </c>
      <c r="T129" s="18">
        <f t="shared" si="39"/>
        <v>0</v>
      </c>
      <c r="U129" s="17"/>
      <c r="V129" s="20"/>
      <c r="W129" s="20"/>
      <c r="X129" s="22"/>
      <c r="Y129" s="19"/>
      <c r="Z129" s="20"/>
      <c r="AA129" s="20"/>
    </row>
    <row r="130" spans="2:27" x14ac:dyDescent="0.3">
      <c r="B130" s="17"/>
      <c r="C130" s="17"/>
      <c r="D130" s="20"/>
      <c r="E130" s="15"/>
      <c r="F130" s="15"/>
      <c r="G130" s="15"/>
      <c r="H130" s="16"/>
      <c r="I130" s="15"/>
      <c r="J130" s="15"/>
      <c r="K130" s="29"/>
      <c r="L130" s="19"/>
      <c r="M130" s="19">
        <f t="shared" si="40"/>
        <v>0</v>
      </c>
      <c r="N130" s="35"/>
      <c r="O130" s="19"/>
      <c r="P130" s="35"/>
      <c r="Q130" s="19"/>
      <c r="R130" s="18">
        <f t="shared" si="41"/>
        <v>0</v>
      </c>
      <c r="S130" s="34">
        <f t="shared" si="42"/>
        <v>0</v>
      </c>
      <c r="T130" s="18">
        <f t="shared" si="39"/>
        <v>0</v>
      </c>
      <c r="U130" s="17"/>
      <c r="V130" s="20"/>
      <c r="W130" s="20"/>
      <c r="X130" s="22"/>
      <c r="Y130" s="19"/>
      <c r="Z130" s="20"/>
      <c r="AA130" s="20"/>
    </row>
    <row r="131" spans="2:27" x14ac:dyDescent="0.3">
      <c r="B131" s="17"/>
      <c r="C131" s="17"/>
      <c r="D131" s="20"/>
      <c r="E131" s="15"/>
      <c r="F131" s="15"/>
      <c r="G131" s="15"/>
      <c r="H131" s="16"/>
      <c r="I131" s="15"/>
      <c r="J131" s="15"/>
      <c r="K131" s="29"/>
      <c r="L131" s="19"/>
      <c r="M131" s="19">
        <f t="shared" si="40"/>
        <v>0</v>
      </c>
      <c r="N131" s="35"/>
      <c r="O131" s="19"/>
      <c r="P131" s="35"/>
      <c r="Q131" s="19"/>
      <c r="R131" s="18">
        <f t="shared" si="41"/>
        <v>0</v>
      </c>
      <c r="S131" s="34">
        <f t="shared" si="42"/>
        <v>0</v>
      </c>
      <c r="T131" s="18">
        <f t="shared" si="39"/>
        <v>0</v>
      </c>
      <c r="U131" s="17"/>
      <c r="V131" s="20"/>
      <c r="W131" s="20"/>
      <c r="X131" s="22"/>
      <c r="Y131" s="19"/>
      <c r="Z131" s="20"/>
      <c r="AA131" s="20"/>
    </row>
    <row r="132" spans="2:27" x14ac:dyDescent="0.3">
      <c r="B132" s="17"/>
      <c r="C132" s="17"/>
      <c r="D132" s="20"/>
      <c r="E132" s="15"/>
      <c r="F132" s="15"/>
      <c r="G132" s="15"/>
      <c r="H132" s="16"/>
      <c r="I132" s="15"/>
      <c r="J132" s="15"/>
      <c r="K132" s="29"/>
      <c r="L132" s="19"/>
      <c r="M132" s="19">
        <f t="shared" si="40"/>
        <v>0</v>
      </c>
      <c r="N132" s="35"/>
      <c r="O132" s="19"/>
      <c r="P132" s="35"/>
      <c r="Q132" s="19"/>
      <c r="R132" s="18">
        <f t="shared" si="41"/>
        <v>0</v>
      </c>
      <c r="S132" s="34">
        <f t="shared" si="42"/>
        <v>0</v>
      </c>
      <c r="T132" s="18">
        <f t="shared" si="39"/>
        <v>0</v>
      </c>
      <c r="U132" s="17"/>
      <c r="V132" s="20"/>
      <c r="W132" s="20"/>
      <c r="X132" s="22"/>
      <c r="Y132" s="19"/>
      <c r="Z132" s="20"/>
      <c r="AA132" s="20"/>
    </row>
    <row r="133" spans="2:27" x14ac:dyDescent="0.3">
      <c r="B133" s="17"/>
      <c r="C133" s="17"/>
      <c r="D133" s="20"/>
      <c r="E133" s="15"/>
      <c r="F133" s="15"/>
      <c r="G133" s="15"/>
      <c r="H133" s="16"/>
      <c r="I133" s="15"/>
      <c r="J133" s="15"/>
      <c r="K133" s="29"/>
      <c r="L133" s="19"/>
      <c r="M133" s="19">
        <f t="shared" si="40"/>
        <v>0</v>
      </c>
      <c r="N133" s="35"/>
      <c r="O133" s="19"/>
      <c r="P133" s="35"/>
      <c r="Q133" s="19"/>
      <c r="R133" s="18">
        <f t="shared" si="41"/>
        <v>0</v>
      </c>
      <c r="S133" s="34">
        <f t="shared" si="42"/>
        <v>0</v>
      </c>
      <c r="T133" s="18">
        <f t="shared" si="39"/>
        <v>0</v>
      </c>
      <c r="U133" s="17"/>
      <c r="V133" s="20"/>
      <c r="W133" s="20"/>
      <c r="X133" s="22"/>
      <c r="Y133" s="19"/>
      <c r="Z133" s="20"/>
      <c r="AA133" s="20"/>
    </row>
    <row r="134" spans="2:27" x14ac:dyDescent="0.3">
      <c r="B134" s="17"/>
      <c r="C134" s="17"/>
      <c r="D134" s="20"/>
      <c r="E134" s="15"/>
      <c r="F134" s="15"/>
      <c r="G134" s="15"/>
      <c r="H134" s="16"/>
      <c r="I134" s="15"/>
      <c r="J134" s="15"/>
      <c r="K134" s="29"/>
      <c r="L134" s="19"/>
      <c r="M134" s="19">
        <f t="shared" si="40"/>
        <v>0</v>
      </c>
      <c r="N134" s="35"/>
      <c r="O134" s="19"/>
      <c r="P134" s="35"/>
      <c r="Q134" s="19"/>
      <c r="R134" s="18">
        <f t="shared" si="41"/>
        <v>0</v>
      </c>
      <c r="S134" s="34">
        <f t="shared" si="42"/>
        <v>0</v>
      </c>
      <c r="T134" s="18">
        <f t="shared" si="39"/>
        <v>0</v>
      </c>
      <c r="U134" s="17"/>
      <c r="V134" s="20"/>
      <c r="W134" s="20"/>
      <c r="X134" s="22"/>
      <c r="Y134" s="19"/>
      <c r="Z134" s="20"/>
      <c r="AA134" s="20"/>
    </row>
    <row r="135" spans="2:27" x14ac:dyDescent="0.3">
      <c r="B135" s="17"/>
      <c r="C135" s="17"/>
      <c r="D135" s="20"/>
      <c r="E135" s="15"/>
      <c r="F135" s="15"/>
      <c r="G135" s="15"/>
      <c r="H135" s="16"/>
      <c r="I135" s="15"/>
      <c r="J135" s="15"/>
      <c r="K135" s="29"/>
      <c r="L135" s="19"/>
      <c r="M135" s="19">
        <f t="shared" si="40"/>
        <v>0</v>
      </c>
      <c r="N135" s="35"/>
      <c r="O135" s="19"/>
      <c r="P135" s="35"/>
      <c r="Q135" s="19"/>
      <c r="R135" s="18">
        <f t="shared" si="41"/>
        <v>0</v>
      </c>
      <c r="S135" s="34">
        <f t="shared" si="42"/>
        <v>0</v>
      </c>
      <c r="T135" s="18">
        <f t="shared" si="39"/>
        <v>0</v>
      </c>
      <c r="U135" s="17"/>
      <c r="V135" s="20"/>
      <c r="W135" s="20"/>
      <c r="X135" s="22"/>
      <c r="Y135" s="19"/>
      <c r="Z135" s="20"/>
      <c r="AA135" s="20"/>
    </row>
    <row r="136" spans="2:27" x14ac:dyDescent="0.3">
      <c r="B136" s="17"/>
      <c r="C136" s="17"/>
      <c r="D136" s="20"/>
      <c r="E136" s="15"/>
      <c r="F136" s="15"/>
      <c r="G136" s="15"/>
      <c r="H136" s="16"/>
      <c r="I136" s="15"/>
      <c r="J136" s="15"/>
      <c r="K136" s="29"/>
      <c r="L136" s="19"/>
      <c r="M136" s="19">
        <f t="shared" si="40"/>
        <v>0</v>
      </c>
      <c r="N136" s="35"/>
      <c r="O136" s="19"/>
      <c r="P136" s="35"/>
      <c r="Q136" s="19"/>
      <c r="R136" s="18">
        <f t="shared" si="41"/>
        <v>0</v>
      </c>
      <c r="S136" s="34">
        <f t="shared" si="42"/>
        <v>0</v>
      </c>
      <c r="T136" s="18">
        <f t="shared" si="39"/>
        <v>0</v>
      </c>
      <c r="U136" s="17"/>
      <c r="V136" s="20"/>
      <c r="W136" s="20"/>
      <c r="X136" s="22"/>
      <c r="Y136" s="19"/>
      <c r="Z136" s="20"/>
      <c r="AA136" s="20"/>
    </row>
    <row r="137" spans="2:27" x14ac:dyDescent="0.3">
      <c r="B137" s="17"/>
      <c r="C137" s="17"/>
      <c r="D137" s="20"/>
      <c r="E137" s="15"/>
      <c r="F137" s="15"/>
      <c r="G137" s="15"/>
      <c r="H137" s="16"/>
      <c r="I137" s="15"/>
      <c r="J137" s="15"/>
      <c r="K137" s="29"/>
      <c r="L137" s="19"/>
      <c r="M137" s="19">
        <f t="shared" si="40"/>
        <v>0</v>
      </c>
      <c r="N137" s="35"/>
      <c r="O137" s="19"/>
      <c r="P137" s="35"/>
      <c r="Q137" s="19"/>
      <c r="R137" s="18">
        <f t="shared" si="41"/>
        <v>0</v>
      </c>
      <c r="S137" s="34">
        <f t="shared" si="42"/>
        <v>0</v>
      </c>
      <c r="T137" s="18">
        <f t="shared" si="39"/>
        <v>0</v>
      </c>
      <c r="U137" s="17"/>
      <c r="V137" s="20"/>
      <c r="W137" s="20"/>
      <c r="X137" s="22"/>
      <c r="Y137" s="19"/>
      <c r="Z137" s="20"/>
      <c r="AA137" s="20"/>
    </row>
    <row r="138" spans="2:27" x14ac:dyDescent="0.3">
      <c r="B138" s="17"/>
      <c r="C138" s="17"/>
      <c r="D138" s="20"/>
      <c r="E138" s="15"/>
      <c r="F138" s="15"/>
      <c r="G138" s="15"/>
      <c r="H138" s="16"/>
      <c r="I138" s="15"/>
      <c r="J138" s="15"/>
      <c r="K138" s="29"/>
      <c r="L138" s="19"/>
      <c r="M138" s="19">
        <f t="shared" si="40"/>
        <v>0</v>
      </c>
      <c r="N138" s="35"/>
      <c r="O138" s="19"/>
      <c r="P138" s="35"/>
      <c r="Q138" s="19"/>
      <c r="R138" s="18">
        <f t="shared" si="41"/>
        <v>0</v>
      </c>
      <c r="S138" s="34">
        <f t="shared" si="42"/>
        <v>0</v>
      </c>
      <c r="T138" s="18">
        <f t="shared" si="39"/>
        <v>0</v>
      </c>
      <c r="U138" s="17"/>
      <c r="V138" s="20"/>
      <c r="W138" s="20"/>
      <c r="X138" s="22"/>
      <c r="Y138" s="19"/>
      <c r="Z138" s="20"/>
      <c r="AA138" s="20"/>
    </row>
    <row r="139" spans="2:27" x14ac:dyDescent="0.3">
      <c r="B139" s="17"/>
      <c r="C139" s="17"/>
      <c r="D139" s="20"/>
      <c r="E139" s="15"/>
      <c r="F139" s="15"/>
      <c r="G139" s="15"/>
      <c r="H139" s="16"/>
      <c r="I139" s="15"/>
      <c r="J139" s="15"/>
      <c r="K139" s="29"/>
      <c r="L139" s="19"/>
      <c r="M139" s="19">
        <f t="shared" si="40"/>
        <v>0</v>
      </c>
      <c r="N139" s="35"/>
      <c r="O139" s="19"/>
      <c r="P139" s="35"/>
      <c r="Q139" s="19"/>
      <c r="R139" s="18">
        <f t="shared" si="41"/>
        <v>0</v>
      </c>
      <c r="S139" s="34">
        <f t="shared" si="42"/>
        <v>0</v>
      </c>
      <c r="T139" s="18">
        <f t="shared" si="39"/>
        <v>0</v>
      </c>
      <c r="U139" s="17"/>
      <c r="V139" s="20"/>
      <c r="W139" s="20"/>
      <c r="X139" s="22"/>
      <c r="Y139" s="19"/>
      <c r="Z139" s="20"/>
      <c r="AA139" s="20"/>
    </row>
    <row r="140" spans="2:27" x14ac:dyDescent="0.3">
      <c r="B140" s="17"/>
      <c r="C140" s="17"/>
      <c r="D140" s="20"/>
      <c r="E140" s="15"/>
      <c r="F140" s="15"/>
      <c r="G140" s="15"/>
      <c r="H140" s="16"/>
      <c r="I140" s="15"/>
      <c r="J140" s="15"/>
      <c r="K140" s="29"/>
      <c r="L140" s="19"/>
      <c r="M140" s="19">
        <f t="shared" si="40"/>
        <v>0</v>
      </c>
      <c r="N140" s="35"/>
      <c r="O140" s="19"/>
      <c r="P140" s="35"/>
      <c r="Q140" s="19"/>
      <c r="R140" s="18">
        <f t="shared" si="41"/>
        <v>0</v>
      </c>
      <c r="S140" s="34">
        <f t="shared" si="42"/>
        <v>0</v>
      </c>
      <c r="T140" s="18">
        <f t="shared" si="39"/>
        <v>0</v>
      </c>
      <c r="U140" s="17"/>
      <c r="V140" s="20"/>
      <c r="W140" s="20"/>
      <c r="X140" s="22"/>
      <c r="Y140" s="19"/>
      <c r="Z140" s="20"/>
      <c r="AA140" s="20"/>
    </row>
    <row r="141" spans="2:27" x14ac:dyDescent="0.3">
      <c r="B141" s="17"/>
      <c r="C141" s="17"/>
      <c r="D141" s="20"/>
      <c r="E141" s="15"/>
      <c r="F141" s="15"/>
      <c r="G141" s="15"/>
      <c r="H141" s="16"/>
      <c r="I141" s="15"/>
      <c r="J141" s="15"/>
      <c r="K141" s="29"/>
      <c r="L141" s="19"/>
      <c r="M141" s="19">
        <f t="shared" si="40"/>
        <v>0</v>
      </c>
      <c r="N141" s="35"/>
      <c r="O141" s="19"/>
      <c r="P141" s="35"/>
      <c r="Q141" s="19"/>
      <c r="R141" s="18">
        <f t="shared" si="41"/>
        <v>0</v>
      </c>
      <c r="S141" s="34">
        <f t="shared" si="42"/>
        <v>0</v>
      </c>
      <c r="T141" s="18">
        <f t="shared" si="39"/>
        <v>0</v>
      </c>
      <c r="U141" s="17"/>
      <c r="V141" s="20"/>
      <c r="W141" s="20"/>
      <c r="X141" s="22"/>
      <c r="Y141" s="19"/>
      <c r="Z141" s="20"/>
      <c r="AA141" s="20"/>
    </row>
    <row r="142" spans="2:27" x14ac:dyDescent="0.3">
      <c r="B142" s="17"/>
      <c r="C142" s="17"/>
      <c r="D142" s="20"/>
      <c r="E142" s="15"/>
      <c r="F142" s="15"/>
      <c r="G142" s="15"/>
      <c r="H142" s="16"/>
      <c r="I142" s="15"/>
      <c r="J142" s="15"/>
      <c r="K142" s="29"/>
      <c r="L142" s="19"/>
      <c r="M142" s="19">
        <f t="shared" si="40"/>
        <v>0</v>
      </c>
      <c r="N142" s="35"/>
      <c r="O142" s="19"/>
      <c r="P142" s="35"/>
      <c r="Q142" s="19"/>
      <c r="R142" s="18">
        <f t="shared" si="41"/>
        <v>0</v>
      </c>
      <c r="S142" s="34">
        <f t="shared" si="42"/>
        <v>0</v>
      </c>
      <c r="T142" s="18">
        <f t="shared" si="39"/>
        <v>0</v>
      </c>
      <c r="U142" s="17"/>
      <c r="V142" s="20"/>
      <c r="W142" s="20"/>
      <c r="X142" s="22"/>
      <c r="Y142" s="19"/>
      <c r="Z142" s="20"/>
      <c r="AA142" s="20"/>
    </row>
    <row r="143" spans="2:27" x14ac:dyDescent="0.3">
      <c r="B143" s="17"/>
      <c r="C143" s="17"/>
      <c r="D143" s="20"/>
      <c r="E143" s="15"/>
      <c r="F143" s="15"/>
      <c r="G143" s="15"/>
      <c r="H143" s="16"/>
      <c r="I143" s="15"/>
      <c r="J143" s="15"/>
      <c r="K143" s="29"/>
      <c r="L143" s="19"/>
      <c r="M143" s="19">
        <f t="shared" si="40"/>
        <v>0</v>
      </c>
      <c r="N143" s="35"/>
      <c r="O143" s="19"/>
      <c r="P143" s="35"/>
      <c r="Q143" s="19"/>
      <c r="R143" s="18">
        <f t="shared" si="41"/>
        <v>0</v>
      </c>
      <c r="S143" s="34">
        <f t="shared" si="42"/>
        <v>0</v>
      </c>
      <c r="T143" s="18">
        <f t="shared" si="39"/>
        <v>0</v>
      </c>
      <c r="U143" s="17"/>
      <c r="V143" s="20"/>
      <c r="W143" s="20"/>
      <c r="X143" s="22"/>
      <c r="Y143" s="19"/>
      <c r="Z143" s="20"/>
      <c r="AA143" s="20"/>
    </row>
    <row r="144" spans="2:27" x14ac:dyDescent="0.3">
      <c r="B144" s="17"/>
      <c r="C144" s="17"/>
      <c r="D144" s="20"/>
      <c r="E144" s="15"/>
      <c r="F144" s="15"/>
      <c r="G144" s="15"/>
      <c r="H144" s="16"/>
      <c r="I144" s="15"/>
      <c r="J144" s="15"/>
      <c r="K144" s="29"/>
      <c r="L144" s="19"/>
      <c r="M144" s="19">
        <f t="shared" si="40"/>
        <v>0</v>
      </c>
      <c r="N144" s="35"/>
      <c r="O144" s="19"/>
      <c r="P144" s="35"/>
      <c r="Q144" s="19"/>
      <c r="R144" s="18">
        <f t="shared" si="41"/>
        <v>0</v>
      </c>
      <c r="S144" s="34">
        <f t="shared" si="42"/>
        <v>0</v>
      </c>
      <c r="T144" s="18">
        <f t="shared" si="39"/>
        <v>0</v>
      </c>
      <c r="U144" s="17"/>
      <c r="V144" s="20"/>
      <c r="W144" s="20"/>
      <c r="X144" s="22"/>
      <c r="Y144" s="19"/>
      <c r="Z144" s="20"/>
      <c r="AA144" s="20"/>
    </row>
    <row r="145" spans="2:27" x14ac:dyDescent="0.3">
      <c r="B145" s="17"/>
      <c r="C145" s="17"/>
      <c r="D145" s="20"/>
      <c r="E145" s="15"/>
      <c r="F145" s="15"/>
      <c r="G145" s="15"/>
      <c r="H145" s="16"/>
      <c r="I145" s="15"/>
      <c r="J145" s="15"/>
      <c r="K145" s="29"/>
      <c r="L145" s="19"/>
      <c r="M145" s="19">
        <f t="shared" si="40"/>
        <v>0</v>
      </c>
      <c r="N145" s="35"/>
      <c r="O145" s="19"/>
      <c r="P145" s="35"/>
      <c r="Q145" s="19"/>
      <c r="R145" s="18">
        <f t="shared" si="41"/>
        <v>0</v>
      </c>
      <c r="S145" s="34">
        <f t="shared" si="42"/>
        <v>0</v>
      </c>
      <c r="T145" s="18">
        <f t="shared" si="39"/>
        <v>0</v>
      </c>
      <c r="U145" s="17"/>
      <c r="V145" s="20"/>
      <c r="W145" s="20"/>
      <c r="X145" s="22"/>
      <c r="Y145" s="19"/>
      <c r="Z145" s="20"/>
      <c r="AA145" s="20"/>
    </row>
    <row r="146" spans="2:27" x14ac:dyDescent="0.3">
      <c r="B146" s="17"/>
      <c r="C146" s="17"/>
      <c r="D146" s="20"/>
      <c r="E146" s="15"/>
      <c r="F146" s="15"/>
      <c r="G146" s="15"/>
      <c r="H146" s="16"/>
      <c r="I146" s="15"/>
      <c r="J146" s="15"/>
      <c r="K146" s="29"/>
      <c r="L146" s="19"/>
      <c r="M146" s="19">
        <f t="shared" si="40"/>
        <v>0</v>
      </c>
      <c r="N146" s="35"/>
      <c r="O146" s="19"/>
      <c r="P146" s="35"/>
      <c r="Q146" s="19"/>
      <c r="R146" s="18">
        <f t="shared" si="41"/>
        <v>0</v>
      </c>
      <c r="S146" s="34">
        <f t="shared" si="42"/>
        <v>0</v>
      </c>
      <c r="T146" s="18">
        <f t="shared" si="39"/>
        <v>0</v>
      </c>
      <c r="U146" s="17"/>
      <c r="V146" s="20"/>
      <c r="W146" s="20"/>
      <c r="X146" s="22"/>
      <c r="Y146" s="19"/>
      <c r="Z146" s="20"/>
      <c r="AA146" s="20"/>
    </row>
    <row r="147" spans="2:27" x14ac:dyDescent="0.3">
      <c r="B147" s="17"/>
      <c r="C147" s="17"/>
      <c r="D147" s="20"/>
      <c r="E147" s="15"/>
      <c r="F147" s="15"/>
      <c r="G147" s="15"/>
      <c r="H147" s="16"/>
      <c r="I147" s="15"/>
      <c r="J147" s="15"/>
      <c r="K147" s="29"/>
      <c r="L147" s="19"/>
      <c r="M147" s="19">
        <f t="shared" si="40"/>
        <v>0</v>
      </c>
      <c r="N147" s="35"/>
      <c r="O147" s="19"/>
      <c r="P147" s="35"/>
      <c r="Q147" s="19"/>
      <c r="R147" s="18">
        <f t="shared" si="41"/>
        <v>0</v>
      </c>
      <c r="S147" s="34">
        <f t="shared" si="42"/>
        <v>0</v>
      </c>
      <c r="T147" s="18">
        <f t="shared" si="39"/>
        <v>0</v>
      </c>
      <c r="U147" s="17"/>
      <c r="V147" s="20"/>
      <c r="W147" s="20"/>
      <c r="X147" s="22"/>
      <c r="Y147" s="19"/>
      <c r="Z147" s="20"/>
      <c r="AA147" s="20"/>
    </row>
    <row r="148" spans="2:27" x14ac:dyDescent="0.3">
      <c r="B148" s="17"/>
      <c r="C148" s="17"/>
      <c r="D148" s="20"/>
      <c r="E148" s="15"/>
      <c r="F148" s="15"/>
      <c r="G148" s="15"/>
      <c r="H148" s="16"/>
      <c r="I148" s="15"/>
      <c r="J148" s="15"/>
      <c r="K148" s="29"/>
      <c r="L148" s="19"/>
      <c r="M148" s="19">
        <f t="shared" si="40"/>
        <v>0</v>
      </c>
      <c r="N148" s="35"/>
      <c r="O148" s="19"/>
      <c r="P148" s="35"/>
      <c r="Q148" s="19"/>
      <c r="R148" s="18">
        <f t="shared" si="41"/>
        <v>0</v>
      </c>
      <c r="S148" s="34">
        <f t="shared" si="42"/>
        <v>0</v>
      </c>
      <c r="T148" s="18">
        <f t="shared" si="39"/>
        <v>0</v>
      </c>
      <c r="U148" s="17"/>
      <c r="V148" s="20"/>
      <c r="W148" s="20"/>
      <c r="X148" s="22"/>
      <c r="Y148" s="19"/>
      <c r="Z148" s="20"/>
      <c r="AA148" s="20"/>
    </row>
    <row r="149" spans="2:27" x14ac:dyDescent="0.3">
      <c r="B149" s="17"/>
      <c r="C149" s="17"/>
      <c r="D149" s="20"/>
      <c r="E149" s="15"/>
      <c r="F149" s="15"/>
      <c r="G149" s="15"/>
      <c r="H149" s="16"/>
      <c r="I149" s="15"/>
      <c r="J149" s="15"/>
      <c r="K149" s="29"/>
      <c r="L149" s="19"/>
      <c r="M149" s="19">
        <f t="shared" si="40"/>
        <v>0</v>
      </c>
      <c r="N149" s="35"/>
      <c r="O149" s="19"/>
      <c r="P149" s="35"/>
      <c r="Q149" s="19"/>
      <c r="R149" s="18">
        <f t="shared" si="41"/>
        <v>0</v>
      </c>
      <c r="S149" s="34">
        <f t="shared" si="42"/>
        <v>0</v>
      </c>
      <c r="T149" s="18">
        <f t="shared" si="39"/>
        <v>0</v>
      </c>
      <c r="U149" s="17"/>
      <c r="V149" s="20"/>
      <c r="W149" s="20"/>
      <c r="X149" s="22"/>
      <c r="Y149" s="19"/>
      <c r="Z149" s="20"/>
      <c r="AA149" s="20"/>
    </row>
    <row r="150" spans="2:27" x14ac:dyDescent="0.3">
      <c r="B150" s="17"/>
      <c r="C150" s="17"/>
      <c r="D150" s="20"/>
      <c r="E150" s="15"/>
      <c r="F150" s="15"/>
      <c r="G150" s="15"/>
      <c r="H150" s="16"/>
      <c r="I150" s="15"/>
      <c r="J150" s="15"/>
      <c r="K150" s="29"/>
      <c r="L150" s="19"/>
      <c r="M150" s="19">
        <f t="shared" si="40"/>
        <v>0</v>
      </c>
      <c r="N150" s="35"/>
      <c r="O150" s="19"/>
      <c r="P150" s="35"/>
      <c r="Q150" s="19"/>
      <c r="R150" s="18">
        <f t="shared" si="41"/>
        <v>0</v>
      </c>
      <c r="S150" s="34">
        <f t="shared" si="42"/>
        <v>0</v>
      </c>
      <c r="T150" s="18">
        <f t="shared" si="39"/>
        <v>0</v>
      </c>
      <c r="U150" s="17"/>
      <c r="V150" s="20"/>
      <c r="W150" s="20"/>
      <c r="X150" s="22"/>
      <c r="Y150" s="19"/>
      <c r="Z150" s="20"/>
      <c r="AA150" s="20"/>
    </row>
    <row r="151" spans="2:27" x14ac:dyDescent="0.3">
      <c r="B151" s="17"/>
      <c r="C151" s="17"/>
      <c r="D151" s="20"/>
      <c r="E151" s="15"/>
      <c r="F151" s="15"/>
      <c r="G151" s="15"/>
      <c r="H151" s="16"/>
      <c r="I151" s="15"/>
      <c r="J151" s="15"/>
      <c r="K151" s="29"/>
      <c r="L151" s="19"/>
      <c r="M151" s="19">
        <f t="shared" si="40"/>
        <v>0</v>
      </c>
      <c r="N151" s="35"/>
      <c r="O151" s="19"/>
      <c r="P151" s="35"/>
      <c r="Q151" s="19"/>
      <c r="R151" s="18">
        <f t="shared" si="41"/>
        <v>0</v>
      </c>
      <c r="S151" s="34">
        <f t="shared" si="42"/>
        <v>0</v>
      </c>
      <c r="T151" s="18">
        <f t="shared" si="39"/>
        <v>0</v>
      </c>
      <c r="U151" s="17"/>
      <c r="V151" s="20"/>
      <c r="W151" s="20"/>
      <c r="X151" s="22"/>
      <c r="Y151" s="19"/>
      <c r="Z151" s="20"/>
      <c r="AA151" s="20"/>
    </row>
    <row r="152" spans="2:27" x14ac:dyDescent="0.3">
      <c r="B152" s="17"/>
      <c r="C152" s="17"/>
      <c r="D152" s="20"/>
      <c r="E152" s="15"/>
      <c r="F152" s="15"/>
      <c r="G152" s="15"/>
      <c r="H152" s="16"/>
      <c r="I152" s="15"/>
      <c r="J152" s="15"/>
      <c r="K152" s="29"/>
      <c r="L152" s="19"/>
      <c r="M152" s="19">
        <f t="shared" si="40"/>
        <v>0</v>
      </c>
      <c r="N152" s="35"/>
      <c r="O152" s="19"/>
      <c r="P152" s="35"/>
      <c r="Q152" s="19"/>
      <c r="R152" s="18">
        <f t="shared" si="41"/>
        <v>0</v>
      </c>
      <c r="S152" s="34">
        <f t="shared" si="42"/>
        <v>0</v>
      </c>
      <c r="T152" s="18">
        <f t="shared" si="39"/>
        <v>0</v>
      </c>
      <c r="U152" s="17"/>
      <c r="V152" s="20"/>
      <c r="W152" s="20"/>
      <c r="X152" s="22"/>
      <c r="Y152" s="19"/>
      <c r="Z152" s="20"/>
      <c r="AA152" s="20"/>
    </row>
    <row r="153" spans="2:27" x14ac:dyDescent="0.3">
      <c r="B153" s="17"/>
      <c r="C153" s="17"/>
      <c r="D153" s="20"/>
      <c r="E153" s="15"/>
      <c r="F153" s="15"/>
      <c r="G153" s="15"/>
      <c r="H153" s="16"/>
      <c r="I153" s="15"/>
      <c r="J153" s="15"/>
      <c r="K153" s="29"/>
      <c r="L153" s="19"/>
      <c r="M153" s="19">
        <f t="shared" si="40"/>
        <v>0</v>
      </c>
      <c r="N153" s="35"/>
      <c r="O153" s="19"/>
      <c r="P153" s="35"/>
      <c r="Q153" s="19"/>
      <c r="R153" s="18">
        <f t="shared" si="41"/>
        <v>0</v>
      </c>
      <c r="S153" s="34">
        <f t="shared" si="42"/>
        <v>0</v>
      </c>
      <c r="T153" s="18">
        <f t="shared" si="39"/>
        <v>0</v>
      </c>
      <c r="U153" s="17"/>
      <c r="V153" s="20"/>
      <c r="W153" s="20"/>
      <c r="X153" s="22"/>
      <c r="Y153" s="19"/>
      <c r="Z153" s="20"/>
      <c r="AA153" s="20"/>
    </row>
    <row r="154" spans="2:27" x14ac:dyDescent="0.3">
      <c r="B154" s="17"/>
      <c r="C154" s="17"/>
      <c r="D154" s="20"/>
      <c r="E154" s="15"/>
      <c r="F154" s="15"/>
      <c r="G154" s="15"/>
      <c r="H154" s="16"/>
      <c r="I154" s="15"/>
      <c r="J154" s="15"/>
      <c r="K154" s="29"/>
      <c r="L154" s="19"/>
      <c r="M154" s="19">
        <f t="shared" si="40"/>
        <v>0</v>
      </c>
      <c r="N154" s="35"/>
      <c r="O154" s="19"/>
      <c r="P154" s="35"/>
      <c r="Q154" s="19"/>
      <c r="R154" s="18">
        <f t="shared" si="41"/>
        <v>0</v>
      </c>
      <c r="S154" s="34">
        <f t="shared" si="42"/>
        <v>0</v>
      </c>
      <c r="T154" s="18">
        <f t="shared" si="39"/>
        <v>0</v>
      </c>
      <c r="U154" s="17"/>
      <c r="V154" s="20"/>
      <c r="W154" s="20"/>
      <c r="X154" s="22"/>
      <c r="Y154" s="19"/>
      <c r="Z154" s="20"/>
      <c r="AA154" s="20"/>
    </row>
    <row r="155" spans="2:27" x14ac:dyDescent="0.3">
      <c r="B155" s="17"/>
      <c r="C155" s="17"/>
      <c r="D155" s="20"/>
      <c r="E155" s="15"/>
      <c r="F155" s="15"/>
      <c r="G155" s="15"/>
      <c r="H155" s="16"/>
      <c r="I155" s="15"/>
      <c r="J155" s="15"/>
      <c r="K155" s="29"/>
      <c r="L155" s="19"/>
      <c r="M155" s="19">
        <f t="shared" si="40"/>
        <v>0</v>
      </c>
      <c r="N155" s="35"/>
      <c r="O155" s="19"/>
      <c r="P155" s="35"/>
      <c r="Q155" s="19"/>
      <c r="R155" s="18">
        <f t="shared" si="41"/>
        <v>0</v>
      </c>
      <c r="S155" s="34">
        <f t="shared" si="42"/>
        <v>0</v>
      </c>
      <c r="T155" s="18">
        <f t="shared" si="39"/>
        <v>0</v>
      </c>
      <c r="U155" s="17"/>
      <c r="V155" s="20"/>
      <c r="W155" s="20"/>
      <c r="X155" s="22"/>
      <c r="Y155" s="19"/>
      <c r="Z155" s="20"/>
      <c r="AA155" s="20"/>
    </row>
    <row r="156" spans="2:27" x14ac:dyDescent="0.3">
      <c r="B156" s="17"/>
      <c r="C156" s="17"/>
      <c r="D156" s="20"/>
      <c r="E156" s="15"/>
      <c r="F156" s="15"/>
      <c r="G156" s="15"/>
      <c r="H156" s="16"/>
      <c r="I156" s="15"/>
      <c r="J156" s="15"/>
      <c r="K156" s="29"/>
      <c r="L156" s="19"/>
      <c r="M156" s="19">
        <f t="shared" si="40"/>
        <v>0</v>
      </c>
      <c r="N156" s="35"/>
      <c r="O156" s="19"/>
      <c r="P156" s="35"/>
      <c r="Q156" s="19"/>
      <c r="R156" s="18">
        <f t="shared" si="41"/>
        <v>0</v>
      </c>
      <c r="S156" s="34">
        <f t="shared" si="42"/>
        <v>0</v>
      </c>
      <c r="T156" s="18">
        <f t="shared" si="39"/>
        <v>0</v>
      </c>
      <c r="U156" s="17"/>
      <c r="V156" s="20"/>
      <c r="W156" s="20"/>
      <c r="X156" s="22"/>
      <c r="Y156" s="19"/>
      <c r="Z156" s="20"/>
      <c r="AA156" s="20"/>
    </row>
    <row r="157" spans="2:27" x14ac:dyDescent="0.3">
      <c r="B157" s="17"/>
      <c r="C157" s="17"/>
      <c r="D157" s="20"/>
      <c r="E157" s="15"/>
      <c r="F157" s="15"/>
      <c r="G157" s="15"/>
      <c r="H157" s="16"/>
      <c r="I157" s="15"/>
      <c r="J157" s="15"/>
      <c r="K157" s="29"/>
      <c r="L157" s="19"/>
      <c r="M157" s="19">
        <f t="shared" si="40"/>
        <v>0</v>
      </c>
      <c r="N157" s="35"/>
      <c r="O157" s="19"/>
      <c r="P157" s="35"/>
      <c r="Q157" s="19"/>
      <c r="R157" s="18">
        <f t="shared" si="41"/>
        <v>0</v>
      </c>
      <c r="S157" s="34">
        <f t="shared" si="42"/>
        <v>0</v>
      </c>
      <c r="T157" s="18">
        <f t="shared" si="39"/>
        <v>0</v>
      </c>
      <c r="U157" s="17"/>
      <c r="V157" s="20"/>
      <c r="W157" s="20"/>
      <c r="X157" s="22"/>
      <c r="Y157" s="19"/>
      <c r="Z157" s="20"/>
      <c r="AA157" s="20"/>
    </row>
    <row r="158" spans="2:27" x14ac:dyDescent="0.3">
      <c r="B158" s="17"/>
      <c r="C158" s="17"/>
      <c r="D158" s="20"/>
      <c r="E158" s="15"/>
      <c r="F158" s="15"/>
      <c r="G158" s="15"/>
      <c r="H158" s="16"/>
      <c r="I158" s="15"/>
      <c r="J158" s="15"/>
      <c r="K158" s="29"/>
      <c r="L158" s="19"/>
      <c r="M158" s="19">
        <f t="shared" si="40"/>
        <v>0</v>
      </c>
      <c r="N158" s="35"/>
      <c r="O158" s="19"/>
      <c r="P158" s="35"/>
      <c r="Q158" s="19"/>
      <c r="R158" s="18">
        <f t="shared" si="41"/>
        <v>0</v>
      </c>
      <c r="S158" s="34">
        <f t="shared" si="42"/>
        <v>0</v>
      </c>
      <c r="T158" s="18">
        <f t="shared" si="39"/>
        <v>0</v>
      </c>
      <c r="U158" s="17"/>
      <c r="V158" s="20"/>
      <c r="W158" s="20"/>
      <c r="X158" s="22"/>
      <c r="Y158" s="19"/>
      <c r="Z158" s="20"/>
      <c r="AA158" s="20"/>
    </row>
    <row r="159" spans="2:27" x14ac:dyDescent="0.3">
      <c r="B159" s="17"/>
      <c r="C159" s="17"/>
      <c r="D159" s="20"/>
      <c r="E159" s="15"/>
      <c r="F159" s="15"/>
      <c r="G159" s="15"/>
      <c r="H159" s="16"/>
      <c r="I159" s="15"/>
      <c r="J159" s="15"/>
      <c r="K159" s="29"/>
      <c r="L159" s="19"/>
      <c r="M159" s="19">
        <f t="shared" si="40"/>
        <v>0</v>
      </c>
      <c r="N159" s="35"/>
      <c r="O159" s="19"/>
      <c r="P159" s="35"/>
      <c r="Q159" s="19"/>
      <c r="R159" s="18">
        <f t="shared" si="41"/>
        <v>0</v>
      </c>
      <c r="S159" s="34">
        <f t="shared" si="42"/>
        <v>0</v>
      </c>
      <c r="T159" s="18">
        <f t="shared" si="39"/>
        <v>0</v>
      </c>
      <c r="U159" s="17"/>
      <c r="V159" s="20"/>
      <c r="W159" s="20"/>
      <c r="X159" s="22"/>
      <c r="Y159" s="19"/>
      <c r="Z159" s="20"/>
      <c r="AA159" s="20"/>
    </row>
    <row r="160" spans="2:27" x14ac:dyDescent="0.3">
      <c r="B160" s="17"/>
      <c r="C160" s="17"/>
      <c r="D160" s="20"/>
      <c r="E160" s="15"/>
      <c r="F160" s="15"/>
      <c r="G160" s="15"/>
      <c r="H160" s="16"/>
      <c r="I160" s="15"/>
      <c r="J160" s="15"/>
      <c r="K160" s="29"/>
      <c r="L160" s="19"/>
      <c r="M160" s="19">
        <f t="shared" si="40"/>
        <v>0</v>
      </c>
      <c r="N160" s="35"/>
      <c r="O160" s="19"/>
      <c r="P160" s="35"/>
      <c r="Q160" s="19"/>
      <c r="R160" s="18">
        <f t="shared" si="41"/>
        <v>0</v>
      </c>
      <c r="S160" s="34">
        <f t="shared" si="42"/>
        <v>0</v>
      </c>
      <c r="T160" s="18">
        <f t="shared" si="39"/>
        <v>0</v>
      </c>
      <c r="U160" s="17"/>
      <c r="V160" s="20"/>
      <c r="W160" s="20"/>
      <c r="X160" s="22"/>
      <c r="Y160" s="19"/>
      <c r="Z160" s="20"/>
      <c r="AA160" s="20"/>
    </row>
    <row r="161" spans="2:27" x14ac:dyDescent="0.3">
      <c r="B161" s="17"/>
      <c r="C161" s="17"/>
      <c r="D161" s="20"/>
      <c r="E161" s="15"/>
      <c r="F161" s="15"/>
      <c r="G161" s="15"/>
      <c r="H161" s="16"/>
      <c r="I161" s="15"/>
      <c r="J161" s="15"/>
      <c r="K161" s="29"/>
      <c r="L161" s="19"/>
      <c r="M161" s="19">
        <f t="shared" si="40"/>
        <v>0</v>
      </c>
      <c r="N161" s="35"/>
      <c r="O161" s="19"/>
      <c r="P161" s="35"/>
      <c r="Q161" s="19"/>
      <c r="R161" s="18">
        <f t="shared" si="41"/>
        <v>0</v>
      </c>
      <c r="S161" s="34">
        <f t="shared" si="42"/>
        <v>0</v>
      </c>
      <c r="T161" s="18">
        <f t="shared" si="39"/>
        <v>0</v>
      </c>
      <c r="U161" s="17"/>
      <c r="V161" s="20"/>
      <c r="W161" s="20"/>
      <c r="X161" s="22"/>
      <c r="Y161" s="19"/>
      <c r="Z161" s="20"/>
      <c r="AA161" s="20"/>
    </row>
    <row r="162" spans="2:27" x14ac:dyDescent="0.3">
      <c r="B162" s="17"/>
      <c r="C162" s="17"/>
      <c r="D162" s="20"/>
      <c r="E162" s="15"/>
      <c r="F162" s="15"/>
      <c r="G162" s="15"/>
      <c r="H162" s="16"/>
      <c r="I162" s="15"/>
      <c r="J162" s="15"/>
      <c r="K162" s="29"/>
      <c r="L162" s="19"/>
      <c r="M162" s="19">
        <f t="shared" si="40"/>
        <v>0</v>
      </c>
      <c r="N162" s="35"/>
      <c r="O162" s="19"/>
      <c r="P162" s="35"/>
      <c r="Q162" s="19"/>
      <c r="R162" s="18">
        <f t="shared" si="41"/>
        <v>0</v>
      </c>
      <c r="S162" s="34">
        <f t="shared" si="42"/>
        <v>0</v>
      </c>
      <c r="T162" s="18">
        <f t="shared" si="39"/>
        <v>0</v>
      </c>
      <c r="U162" s="17"/>
      <c r="V162" s="20"/>
      <c r="W162" s="20"/>
      <c r="X162" s="22"/>
      <c r="Y162" s="19"/>
      <c r="Z162" s="20"/>
      <c r="AA162" s="20"/>
    </row>
    <row r="163" spans="2:27" x14ac:dyDescent="0.3">
      <c r="B163" s="17"/>
      <c r="C163" s="17"/>
      <c r="D163" s="20"/>
      <c r="E163" s="15"/>
      <c r="F163" s="15"/>
      <c r="G163" s="15"/>
      <c r="H163" s="16"/>
      <c r="I163" s="15"/>
      <c r="J163" s="15"/>
      <c r="K163" s="29"/>
      <c r="L163" s="19"/>
      <c r="M163" s="19">
        <f t="shared" si="40"/>
        <v>0</v>
      </c>
      <c r="N163" s="35"/>
      <c r="O163" s="19"/>
      <c r="P163" s="35"/>
      <c r="Q163" s="19"/>
      <c r="R163" s="18">
        <f t="shared" si="41"/>
        <v>0</v>
      </c>
      <c r="S163" s="34">
        <f t="shared" si="42"/>
        <v>0</v>
      </c>
      <c r="T163" s="18">
        <f t="shared" si="39"/>
        <v>0</v>
      </c>
      <c r="U163" s="17"/>
      <c r="V163" s="20"/>
      <c r="W163" s="20"/>
      <c r="X163" s="22"/>
      <c r="Y163" s="19"/>
      <c r="Z163" s="20"/>
      <c r="AA163" s="20"/>
    </row>
    <row r="164" spans="2:27" x14ac:dyDescent="0.3">
      <c r="B164" s="17"/>
      <c r="C164" s="17"/>
      <c r="D164" s="20"/>
      <c r="E164" s="15"/>
      <c r="F164" s="15"/>
      <c r="G164" s="15"/>
      <c r="H164" s="16"/>
      <c r="I164" s="15"/>
      <c r="J164" s="15"/>
      <c r="K164" s="29"/>
      <c r="L164" s="19"/>
      <c r="M164" s="19">
        <f t="shared" si="40"/>
        <v>0</v>
      </c>
      <c r="N164" s="35"/>
      <c r="O164" s="19"/>
      <c r="P164" s="35"/>
      <c r="Q164" s="19"/>
      <c r="R164" s="18">
        <f t="shared" si="41"/>
        <v>0</v>
      </c>
      <c r="S164" s="34">
        <f t="shared" si="42"/>
        <v>0</v>
      </c>
      <c r="T164" s="18">
        <f t="shared" si="39"/>
        <v>0</v>
      </c>
      <c r="U164" s="17"/>
      <c r="V164" s="20"/>
      <c r="W164" s="20"/>
      <c r="X164" s="22"/>
      <c r="Y164" s="19"/>
      <c r="Z164" s="20"/>
      <c r="AA164" s="20"/>
    </row>
    <row r="165" spans="2:27" x14ac:dyDescent="0.3">
      <c r="B165" s="17"/>
      <c r="C165" s="17"/>
      <c r="D165" s="20"/>
      <c r="E165" s="15"/>
      <c r="F165" s="15"/>
      <c r="G165" s="15"/>
      <c r="H165" s="16"/>
      <c r="I165" s="15"/>
      <c r="J165" s="15"/>
      <c r="K165" s="29"/>
      <c r="L165" s="19"/>
      <c r="M165" s="19">
        <f t="shared" si="40"/>
        <v>0</v>
      </c>
      <c r="N165" s="35"/>
      <c r="O165" s="19"/>
      <c r="P165" s="35"/>
      <c r="Q165" s="19"/>
      <c r="R165" s="18">
        <f t="shared" si="41"/>
        <v>0</v>
      </c>
      <c r="S165" s="34">
        <f t="shared" si="42"/>
        <v>0</v>
      </c>
      <c r="T165" s="18">
        <f t="shared" si="39"/>
        <v>0</v>
      </c>
      <c r="U165" s="17"/>
      <c r="V165" s="20"/>
      <c r="W165" s="20"/>
      <c r="X165" s="22"/>
      <c r="Y165" s="19"/>
      <c r="Z165" s="20"/>
      <c r="AA165" s="20"/>
    </row>
    <row r="166" spans="2:27" x14ac:dyDescent="0.3">
      <c r="B166" s="17"/>
      <c r="C166" s="17"/>
      <c r="D166" s="20"/>
      <c r="E166" s="15"/>
      <c r="F166" s="15"/>
      <c r="G166" s="15"/>
      <c r="H166" s="16"/>
      <c r="I166" s="15"/>
      <c r="J166" s="15"/>
      <c r="K166" s="29"/>
      <c r="L166" s="19"/>
      <c r="M166" s="19">
        <f t="shared" si="40"/>
        <v>0</v>
      </c>
      <c r="N166" s="35"/>
      <c r="O166" s="19"/>
      <c r="P166" s="35"/>
      <c r="Q166" s="19"/>
      <c r="R166" s="18">
        <f t="shared" si="41"/>
        <v>0</v>
      </c>
      <c r="S166" s="34">
        <f t="shared" si="42"/>
        <v>0</v>
      </c>
      <c r="T166" s="18">
        <f t="shared" ref="T166:T229" si="43">(L166*I166)+M166</f>
        <v>0</v>
      </c>
      <c r="U166" s="17"/>
      <c r="V166" s="20"/>
      <c r="W166" s="20"/>
      <c r="X166" s="22"/>
      <c r="Y166" s="19"/>
      <c r="Z166" s="20"/>
      <c r="AA166" s="20"/>
    </row>
    <row r="167" spans="2:27" x14ac:dyDescent="0.3">
      <c r="B167" s="17"/>
      <c r="C167" s="17"/>
      <c r="D167" s="20"/>
      <c r="E167" s="15"/>
      <c r="F167" s="15"/>
      <c r="G167" s="15"/>
      <c r="H167" s="16"/>
      <c r="I167" s="15"/>
      <c r="J167" s="15"/>
      <c r="K167" s="29"/>
      <c r="L167" s="19"/>
      <c r="M167" s="19">
        <f t="shared" si="40"/>
        <v>0</v>
      </c>
      <c r="N167" s="35"/>
      <c r="O167" s="19"/>
      <c r="P167" s="35"/>
      <c r="Q167" s="19"/>
      <c r="R167" s="18">
        <f t="shared" si="41"/>
        <v>0</v>
      </c>
      <c r="S167" s="34">
        <f t="shared" si="42"/>
        <v>0</v>
      </c>
      <c r="T167" s="18">
        <f t="shared" si="43"/>
        <v>0</v>
      </c>
      <c r="U167" s="17"/>
      <c r="V167" s="20"/>
      <c r="W167" s="20"/>
      <c r="X167" s="22"/>
      <c r="Y167" s="19"/>
      <c r="Z167" s="20"/>
      <c r="AA167" s="20"/>
    </row>
    <row r="168" spans="2:27" x14ac:dyDescent="0.3">
      <c r="B168" s="17"/>
      <c r="C168" s="17"/>
      <c r="D168" s="20"/>
      <c r="E168" s="15"/>
      <c r="F168" s="15"/>
      <c r="G168" s="15"/>
      <c r="H168" s="16"/>
      <c r="I168" s="15"/>
      <c r="J168" s="15"/>
      <c r="K168" s="29"/>
      <c r="L168" s="19"/>
      <c r="M168" s="19">
        <f t="shared" si="40"/>
        <v>0</v>
      </c>
      <c r="N168" s="35"/>
      <c r="O168" s="19"/>
      <c r="P168" s="35"/>
      <c r="Q168" s="19"/>
      <c r="R168" s="18">
        <f t="shared" si="41"/>
        <v>0</v>
      </c>
      <c r="S168" s="34">
        <f t="shared" si="42"/>
        <v>0</v>
      </c>
      <c r="T168" s="18">
        <f t="shared" si="43"/>
        <v>0</v>
      </c>
      <c r="U168" s="17"/>
      <c r="V168" s="20"/>
      <c r="W168" s="20"/>
      <c r="X168" s="22"/>
      <c r="Y168" s="19"/>
      <c r="Z168" s="20"/>
      <c r="AA168" s="20"/>
    </row>
    <row r="169" spans="2:27" x14ac:dyDescent="0.3">
      <c r="B169" s="17"/>
      <c r="C169" s="17"/>
      <c r="D169" s="20"/>
      <c r="E169" s="15"/>
      <c r="F169" s="15"/>
      <c r="G169" s="15"/>
      <c r="H169" s="16"/>
      <c r="I169" s="15"/>
      <c r="J169" s="15"/>
      <c r="K169" s="29"/>
      <c r="L169" s="19"/>
      <c r="M169" s="19">
        <f t="shared" si="40"/>
        <v>0</v>
      </c>
      <c r="N169" s="35"/>
      <c r="O169" s="19"/>
      <c r="P169" s="35"/>
      <c r="Q169" s="19"/>
      <c r="R169" s="18">
        <f t="shared" si="41"/>
        <v>0</v>
      </c>
      <c r="S169" s="34">
        <f t="shared" si="42"/>
        <v>0</v>
      </c>
      <c r="T169" s="18">
        <f t="shared" si="43"/>
        <v>0</v>
      </c>
      <c r="U169" s="17"/>
      <c r="V169" s="20"/>
      <c r="W169" s="20"/>
      <c r="X169" s="22"/>
      <c r="Y169" s="19"/>
      <c r="Z169" s="20"/>
      <c r="AA169" s="20"/>
    </row>
    <row r="170" spans="2:27" x14ac:dyDescent="0.3">
      <c r="B170" s="17"/>
      <c r="C170" s="17"/>
      <c r="D170" s="20"/>
      <c r="E170" s="15"/>
      <c r="F170" s="15"/>
      <c r="G170" s="15"/>
      <c r="H170" s="16"/>
      <c r="I170" s="15"/>
      <c r="J170" s="15"/>
      <c r="K170" s="29"/>
      <c r="L170" s="19"/>
      <c r="M170" s="19">
        <f t="shared" si="40"/>
        <v>0</v>
      </c>
      <c r="N170" s="35"/>
      <c r="O170" s="19"/>
      <c r="P170" s="35"/>
      <c r="Q170" s="19"/>
      <c r="R170" s="18">
        <f t="shared" si="41"/>
        <v>0</v>
      </c>
      <c r="S170" s="34">
        <f t="shared" si="42"/>
        <v>0</v>
      </c>
      <c r="T170" s="18">
        <f t="shared" si="43"/>
        <v>0</v>
      </c>
      <c r="U170" s="17"/>
      <c r="V170" s="20"/>
      <c r="W170" s="20"/>
      <c r="X170" s="22"/>
      <c r="Y170" s="19"/>
      <c r="Z170" s="20"/>
      <c r="AA170" s="20"/>
    </row>
    <row r="171" spans="2:27" x14ac:dyDescent="0.3">
      <c r="B171" s="17"/>
      <c r="C171" s="17"/>
      <c r="D171" s="20"/>
      <c r="E171" s="15"/>
      <c r="F171" s="15"/>
      <c r="G171" s="15"/>
      <c r="H171" s="16"/>
      <c r="I171" s="15"/>
      <c r="J171" s="15"/>
      <c r="K171" s="29"/>
      <c r="L171" s="19"/>
      <c r="M171" s="19">
        <f t="shared" si="40"/>
        <v>0</v>
      </c>
      <c r="N171" s="35"/>
      <c r="O171" s="19"/>
      <c r="P171" s="35"/>
      <c r="Q171" s="19"/>
      <c r="R171" s="18">
        <f t="shared" si="41"/>
        <v>0</v>
      </c>
      <c r="S171" s="34">
        <f t="shared" si="42"/>
        <v>0</v>
      </c>
      <c r="T171" s="18">
        <f t="shared" si="43"/>
        <v>0</v>
      </c>
      <c r="U171" s="17"/>
      <c r="V171" s="20"/>
      <c r="W171" s="20"/>
      <c r="X171" s="22"/>
      <c r="Y171" s="19"/>
      <c r="Z171" s="20"/>
      <c r="AA171" s="20"/>
    </row>
    <row r="172" spans="2:27" x14ac:dyDescent="0.3">
      <c r="B172" s="17"/>
      <c r="C172" s="17"/>
      <c r="D172" s="20"/>
      <c r="E172" s="15"/>
      <c r="F172" s="15"/>
      <c r="G172" s="15"/>
      <c r="H172" s="16"/>
      <c r="I172" s="15"/>
      <c r="J172" s="15"/>
      <c r="K172" s="29"/>
      <c r="L172" s="19"/>
      <c r="M172" s="19">
        <f t="shared" si="40"/>
        <v>0</v>
      </c>
      <c r="N172" s="35"/>
      <c r="O172" s="19"/>
      <c r="P172" s="35"/>
      <c r="Q172" s="19"/>
      <c r="R172" s="18">
        <f t="shared" si="41"/>
        <v>0</v>
      </c>
      <c r="S172" s="34">
        <f t="shared" si="42"/>
        <v>0</v>
      </c>
      <c r="T172" s="18">
        <f t="shared" si="43"/>
        <v>0</v>
      </c>
      <c r="U172" s="17"/>
      <c r="V172" s="20"/>
      <c r="W172" s="20"/>
      <c r="X172" s="22"/>
      <c r="Y172" s="19"/>
      <c r="Z172" s="20"/>
      <c r="AA172" s="20"/>
    </row>
    <row r="173" spans="2:27" x14ac:dyDescent="0.3">
      <c r="B173" s="17"/>
      <c r="C173" s="17"/>
      <c r="D173" s="20"/>
      <c r="E173" s="15"/>
      <c r="F173" s="15"/>
      <c r="G173" s="15"/>
      <c r="H173" s="16"/>
      <c r="I173" s="15"/>
      <c r="J173" s="15"/>
      <c r="K173" s="29"/>
      <c r="L173" s="19"/>
      <c r="M173" s="19">
        <f t="shared" si="40"/>
        <v>0</v>
      </c>
      <c r="N173" s="35"/>
      <c r="O173" s="19"/>
      <c r="P173" s="35"/>
      <c r="Q173" s="19"/>
      <c r="R173" s="18">
        <f t="shared" si="41"/>
        <v>0</v>
      </c>
      <c r="S173" s="34">
        <f t="shared" si="42"/>
        <v>0</v>
      </c>
      <c r="T173" s="18">
        <f t="shared" si="43"/>
        <v>0</v>
      </c>
      <c r="U173" s="17"/>
      <c r="V173" s="20"/>
      <c r="W173" s="20"/>
      <c r="X173" s="22"/>
      <c r="Y173" s="19"/>
      <c r="Z173" s="20"/>
      <c r="AA173" s="20"/>
    </row>
    <row r="174" spans="2:27" x14ac:dyDescent="0.3">
      <c r="B174" s="17"/>
      <c r="C174" s="17"/>
      <c r="D174" s="20"/>
      <c r="E174" s="15"/>
      <c r="F174" s="15"/>
      <c r="G174" s="15"/>
      <c r="H174" s="16"/>
      <c r="I174" s="15"/>
      <c r="J174" s="15"/>
      <c r="K174" s="29"/>
      <c r="L174" s="19"/>
      <c r="M174" s="19">
        <f t="shared" si="40"/>
        <v>0</v>
      </c>
      <c r="N174" s="35"/>
      <c r="O174" s="19"/>
      <c r="P174" s="35"/>
      <c r="Q174" s="19"/>
      <c r="R174" s="18">
        <f t="shared" si="41"/>
        <v>0</v>
      </c>
      <c r="S174" s="34">
        <f t="shared" si="42"/>
        <v>0</v>
      </c>
      <c r="T174" s="18">
        <f t="shared" si="43"/>
        <v>0</v>
      </c>
      <c r="U174" s="17"/>
      <c r="V174" s="20"/>
      <c r="W174" s="20"/>
      <c r="X174" s="22"/>
      <c r="Y174" s="19"/>
      <c r="Z174" s="20"/>
      <c r="AA174" s="20"/>
    </row>
    <row r="175" spans="2:27" x14ac:dyDescent="0.3">
      <c r="B175" s="17"/>
      <c r="C175" s="17"/>
      <c r="D175" s="20"/>
      <c r="E175" s="15"/>
      <c r="F175" s="15"/>
      <c r="G175" s="15"/>
      <c r="H175" s="16"/>
      <c r="I175" s="15"/>
      <c r="J175" s="15"/>
      <c r="K175" s="29"/>
      <c r="L175" s="19"/>
      <c r="M175" s="19">
        <f t="shared" ref="M175:M238" si="44">L175*0.1</f>
        <v>0</v>
      </c>
      <c r="N175" s="35"/>
      <c r="O175" s="19"/>
      <c r="P175" s="35"/>
      <c r="Q175" s="19"/>
      <c r="R175" s="18">
        <f t="shared" ref="R175:R238" si="45">O175+Q175</f>
        <v>0</v>
      </c>
      <c r="S175" s="34">
        <f t="shared" ref="S175:S238" si="46">T175-R175</f>
        <v>0</v>
      </c>
      <c r="T175" s="18">
        <f t="shared" si="43"/>
        <v>0</v>
      </c>
      <c r="U175" s="17"/>
      <c r="V175" s="20"/>
      <c r="W175" s="20"/>
      <c r="X175" s="22"/>
      <c r="Y175" s="19"/>
      <c r="Z175" s="20"/>
      <c r="AA175" s="20"/>
    </row>
    <row r="176" spans="2:27" x14ac:dyDescent="0.3">
      <c r="B176" s="17"/>
      <c r="C176" s="17"/>
      <c r="D176" s="20"/>
      <c r="E176" s="15"/>
      <c r="F176" s="15"/>
      <c r="G176" s="15"/>
      <c r="H176" s="16"/>
      <c r="I176" s="15"/>
      <c r="J176" s="15"/>
      <c r="K176" s="29"/>
      <c r="L176" s="19"/>
      <c r="M176" s="19">
        <f t="shared" si="44"/>
        <v>0</v>
      </c>
      <c r="N176" s="35"/>
      <c r="O176" s="19"/>
      <c r="P176" s="35"/>
      <c r="Q176" s="19"/>
      <c r="R176" s="18">
        <f t="shared" si="45"/>
        <v>0</v>
      </c>
      <c r="S176" s="34">
        <f t="shared" si="46"/>
        <v>0</v>
      </c>
      <c r="T176" s="18">
        <f t="shared" si="43"/>
        <v>0</v>
      </c>
      <c r="U176" s="17"/>
      <c r="V176" s="20"/>
      <c r="W176" s="20"/>
      <c r="X176" s="22"/>
      <c r="Y176" s="19"/>
      <c r="Z176" s="20"/>
      <c r="AA176" s="20"/>
    </row>
    <row r="177" spans="2:27" x14ac:dyDescent="0.3">
      <c r="B177" s="17"/>
      <c r="C177" s="17"/>
      <c r="D177" s="20"/>
      <c r="E177" s="15"/>
      <c r="F177" s="15"/>
      <c r="G177" s="15"/>
      <c r="H177" s="16"/>
      <c r="I177" s="15"/>
      <c r="J177" s="15"/>
      <c r="K177" s="29"/>
      <c r="L177" s="19"/>
      <c r="M177" s="19">
        <f t="shared" si="44"/>
        <v>0</v>
      </c>
      <c r="N177" s="35"/>
      <c r="O177" s="19"/>
      <c r="P177" s="35"/>
      <c r="Q177" s="19"/>
      <c r="R177" s="18">
        <f t="shared" si="45"/>
        <v>0</v>
      </c>
      <c r="S177" s="34">
        <f t="shared" si="46"/>
        <v>0</v>
      </c>
      <c r="T177" s="18">
        <f t="shared" si="43"/>
        <v>0</v>
      </c>
      <c r="U177" s="17"/>
      <c r="V177" s="20"/>
      <c r="W177" s="20"/>
      <c r="X177" s="22"/>
      <c r="Y177" s="19"/>
      <c r="Z177" s="20"/>
      <c r="AA177" s="20"/>
    </row>
    <row r="178" spans="2:27" x14ac:dyDescent="0.3">
      <c r="B178" s="17"/>
      <c r="C178" s="17"/>
      <c r="D178" s="20"/>
      <c r="E178" s="15"/>
      <c r="F178" s="15"/>
      <c r="G178" s="15"/>
      <c r="H178" s="16"/>
      <c r="I178" s="15"/>
      <c r="J178" s="15"/>
      <c r="K178" s="29"/>
      <c r="L178" s="19"/>
      <c r="M178" s="19">
        <f t="shared" si="44"/>
        <v>0</v>
      </c>
      <c r="N178" s="35"/>
      <c r="O178" s="19"/>
      <c r="P178" s="35"/>
      <c r="Q178" s="19"/>
      <c r="R178" s="18">
        <f t="shared" si="45"/>
        <v>0</v>
      </c>
      <c r="S178" s="34">
        <f t="shared" si="46"/>
        <v>0</v>
      </c>
      <c r="T178" s="18">
        <f t="shared" si="43"/>
        <v>0</v>
      </c>
      <c r="U178" s="17"/>
      <c r="V178" s="20"/>
      <c r="W178" s="20"/>
      <c r="X178" s="22"/>
      <c r="Y178" s="19"/>
      <c r="Z178" s="20"/>
      <c r="AA178" s="20"/>
    </row>
    <row r="179" spans="2:27" x14ac:dyDescent="0.3">
      <c r="B179" s="17"/>
      <c r="C179" s="17"/>
      <c r="D179" s="20"/>
      <c r="E179" s="15"/>
      <c r="F179" s="15"/>
      <c r="G179" s="15"/>
      <c r="H179" s="16"/>
      <c r="I179" s="15"/>
      <c r="J179" s="15"/>
      <c r="K179" s="29"/>
      <c r="L179" s="19"/>
      <c r="M179" s="19">
        <f t="shared" si="44"/>
        <v>0</v>
      </c>
      <c r="N179" s="35"/>
      <c r="O179" s="19"/>
      <c r="P179" s="35"/>
      <c r="Q179" s="19"/>
      <c r="R179" s="18">
        <f t="shared" si="45"/>
        <v>0</v>
      </c>
      <c r="S179" s="34">
        <f t="shared" si="46"/>
        <v>0</v>
      </c>
      <c r="T179" s="18">
        <f t="shared" si="43"/>
        <v>0</v>
      </c>
      <c r="U179" s="17"/>
      <c r="V179" s="20"/>
      <c r="W179" s="20"/>
      <c r="X179" s="22"/>
      <c r="Y179" s="19"/>
      <c r="Z179" s="20"/>
      <c r="AA179" s="20"/>
    </row>
    <row r="180" spans="2:27" x14ac:dyDescent="0.3">
      <c r="B180" s="17"/>
      <c r="C180" s="17"/>
      <c r="D180" s="20"/>
      <c r="E180" s="15"/>
      <c r="F180" s="15"/>
      <c r="G180" s="15"/>
      <c r="H180" s="16"/>
      <c r="I180" s="15"/>
      <c r="J180" s="15"/>
      <c r="K180" s="29"/>
      <c r="L180" s="19"/>
      <c r="M180" s="19">
        <f t="shared" si="44"/>
        <v>0</v>
      </c>
      <c r="N180" s="35"/>
      <c r="O180" s="19"/>
      <c r="P180" s="35"/>
      <c r="Q180" s="19"/>
      <c r="R180" s="18">
        <f t="shared" si="45"/>
        <v>0</v>
      </c>
      <c r="S180" s="34">
        <f t="shared" si="46"/>
        <v>0</v>
      </c>
      <c r="T180" s="18">
        <f t="shared" si="43"/>
        <v>0</v>
      </c>
      <c r="U180" s="17"/>
      <c r="V180" s="20"/>
      <c r="W180" s="20"/>
      <c r="X180" s="22"/>
      <c r="Y180" s="19"/>
      <c r="Z180" s="20"/>
      <c r="AA180" s="20"/>
    </row>
    <row r="181" spans="2:27" x14ac:dyDescent="0.3">
      <c r="B181" s="17"/>
      <c r="C181" s="17"/>
      <c r="D181" s="20"/>
      <c r="E181" s="15"/>
      <c r="F181" s="15"/>
      <c r="G181" s="15"/>
      <c r="H181" s="16"/>
      <c r="I181" s="15"/>
      <c r="J181" s="15"/>
      <c r="K181" s="29"/>
      <c r="L181" s="19"/>
      <c r="M181" s="19">
        <f t="shared" si="44"/>
        <v>0</v>
      </c>
      <c r="N181" s="35"/>
      <c r="O181" s="19"/>
      <c r="P181" s="35"/>
      <c r="Q181" s="19"/>
      <c r="R181" s="18">
        <f t="shared" si="45"/>
        <v>0</v>
      </c>
      <c r="S181" s="34">
        <f t="shared" si="46"/>
        <v>0</v>
      </c>
      <c r="T181" s="18">
        <f t="shared" si="43"/>
        <v>0</v>
      </c>
      <c r="U181" s="17"/>
      <c r="V181" s="20"/>
      <c r="W181" s="20"/>
      <c r="X181" s="22"/>
      <c r="Y181" s="19"/>
      <c r="Z181" s="20"/>
      <c r="AA181" s="20"/>
    </row>
    <row r="182" spans="2:27" x14ac:dyDescent="0.3">
      <c r="B182" s="17"/>
      <c r="C182" s="17"/>
      <c r="D182" s="20"/>
      <c r="E182" s="15"/>
      <c r="F182" s="15"/>
      <c r="G182" s="15"/>
      <c r="H182" s="16"/>
      <c r="I182" s="15"/>
      <c r="J182" s="15"/>
      <c r="K182" s="29"/>
      <c r="L182" s="19"/>
      <c r="M182" s="19">
        <f t="shared" si="44"/>
        <v>0</v>
      </c>
      <c r="N182" s="35"/>
      <c r="O182" s="19"/>
      <c r="P182" s="35"/>
      <c r="Q182" s="19"/>
      <c r="R182" s="18">
        <f t="shared" si="45"/>
        <v>0</v>
      </c>
      <c r="S182" s="34">
        <f t="shared" si="46"/>
        <v>0</v>
      </c>
      <c r="T182" s="18">
        <f t="shared" si="43"/>
        <v>0</v>
      </c>
      <c r="U182" s="17"/>
      <c r="V182" s="20"/>
      <c r="W182" s="20"/>
      <c r="X182" s="22"/>
      <c r="Y182" s="19"/>
      <c r="Z182" s="20"/>
      <c r="AA182" s="20"/>
    </row>
    <row r="183" spans="2:27" x14ac:dyDescent="0.3">
      <c r="B183" s="17"/>
      <c r="C183" s="17"/>
      <c r="D183" s="20"/>
      <c r="E183" s="15"/>
      <c r="F183" s="15"/>
      <c r="G183" s="15"/>
      <c r="H183" s="16"/>
      <c r="I183" s="15"/>
      <c r="J183" s="15"/>
      <c r="K183" s="29"/>
      <c r="L183" s="19"/>
      <c r="M183" s="19">
        <f t="shared" si="44"/>
        <v>0</v>
      </c>
      <c r="N183" s="35"/>
      <c r="O183" s="19"/>
      <c r="P183" s="35"/>
      <c r="Q183" s="19"/>
      <c r="R183" s="18">
        <f t="shared" si="45"/>
        <v>0</v>
      </c>
      <c r="S183" s="34">
        <f t="shared" si="46"/>
        <v>0</v>
      </c>
      <c r="T183" s="18">
        <f t="shared" si="43"/>
        <v>0</v>
      </c>
      <c r="U183" s="17"/>
      <c r="V183" s="20"/>
      <c r="W183" s="20"/>
      <c r="X183" s="22"/>
      <c r="Y183" s="19"/>
      <c r="Z183" s="20"/>
      <c r="AA183" s="20"/>
    </row>
    <row r="184" spans="2:27" x14ac:dyDescent="0.3">
      <c r="B184" s="17"/>
      <c r="C184" s="17"/>
      <c r="D184" s="20"/>
      <c r="E184" s="15"/>
      <c r="F184" s="15"/>
      <c r="G184" s="15"/>
      <c r="H184" s="16"/>
      <c r="I184" s="15"/>
      <c r="J184" s="15"/>
      <c r="K184" s="29"/>
      <c r="L184" s="19"/>
      <c r="M184" s="19">
        <f t="shared" si="44"/>
        <v>0</v>
      </c>
      <c r="N184" s="35"/>
      <c r="O184" s="19"/>
      <c r="P184" s="35"/>
      <c r="Q184" s="19"/>
      <c r="R184" s="18">
        <f t="shared" si="45"/>
        <v>0</v>
      </c>
      <c r="S184" s="34">
        <f t="shared" si="46"/>
        <v>0</v>
      </c>
      <c r="T184" s="18">
        <f t="shared" si="43"/>
        <v>0</v>
      </c>
      <c r="U184" s="17"/>
      <c r="V184" s="20"/>
      <c r="W184" s="20"/>
      <c r="X184" s="22"/>
      <c r="Y184" s="19"/>
      <c r="Z184" s="20"/>
      <c r="AA184" s="20"/>
    </row>
    <row r="185" spans="2:27" x14ac:dyDescent="0.3">
      <c r="B185" s="17"/>
      <c r="C185" s="17"/>
      <c r="D185" s="20"/>
      <c r="E185" s="15"/>
      <c r="F185" s="15"/>
      <c r="G185" s="15"/>
      <c r="H185" s="16"/>
      <c r="I185" s="15"/>
      <c r="J185" s="15"/>
      <c r="K185" s="29"/>
      <c r="L185" s="19"/>
      <c r="M185" s="19">
        <f t="shared" si="44"/>
        <v>0</v>
      </c>
      <c r="N185" s="35"/>
      <c r="O185" s="19"/>
      <c r="P185" s="35"/>
      <c r="Q185" s="19"/>
      <c r="R185" s="18">
        <f t="shared" si="45"/>
        <v>0</v>
      </c>
      <c r="S185" s="34">
        <f t="shared" si="46"/>
        <v>0</v>
      </c>
      <c r="T185" s="18">
        <f t="shared" si="43"/>
        <v>0</v>
      </c>
      <c r="U185" s="17"/>
      <c r="V185" s="20"/>
      <c r="W185" s="20"/>
      <c r="X185" s="22"/>
      <c r="Y185" s="19"/>
      <c r="Z185" s="20"/>
      <c r="AA185" s="20"/>
    </row>
    <row r="186" spans="2:27" x14ac:dyDescent="0.3">
      <c r="B186" s="17"/>
      <c r="C186" s="17"/>
      <c r="D186" s="20"/>
      <c r="E186" s="15"/>
      <c r="F186" s="15"/>
      <c r="G186" s="15"/>
      <c r="H186" s="16"/>
      <c r="I186" s="15"/>
      <c r="J186" s="15"/>
      <c r="K186" s="29"/>
      <c r="L186" s="19"/>
      <c r="M186" s="19">
        <f t="shared" si="44"/>
        <v>0</v>
      </c>
      <c r="N186" s="35"/>
      <c r="O186" s="19"/>
      <c r="P186" s="35"/>
      <c r="Q186" s="19"/>
      <c r="R186" s="18">
        <f t="shared" si="45"/>
        <v>0</v>
      </c>
      <c r="S186" s="34">
        <f t="shared" si="46"/>
        <v>0</v>
      </c>
      <c r="T186" s="18">
        <f t="shared" si="43"/>
        <v>0</v>
      </c>
      <c r="U186" s="17"/>
      <c r="V186" s="20"/>
      <c r="W186" s="20"/>
      <c r="X186" s="22"/>
      <c r="Y186" s="19"/>
      <c r="Z186" s="20"/>
      <c r="AA186" s="20"/>
    </row>
    <row r="187" spans="2:27" x14ac:dyDescent="0.3">
      <c r="B187" s="17"/>
      <c r="C187" s="17"/>
      <c r="D187" s="20"/>
      <c r="E187" s="15"/>
      <c r="F187" s="15"/>
      <c r="G187" s="15"/>
      <c r="H187" s="16"/>
      <c r="I187" s="15"/>
      <c r="J187" s="15"/>
      <c r="K187" s="29"/>
      <c r="L187" s="19"/>
      <c r="M187" s="19">
        <f t="shared" si="44"/>
        <v>0</v>
      </c>
      <c r="N187" s="35"/>
      <c r="O187" s="19"/>
      <c r="P187" s="35"/>
      <c r="Q187" s="19"/>
      <c r="R187" s="18">
        <f t="shared" si="45"/>
        <v>0</v>
      </c>
      <c r="S187" s="34">
        <f t="shared" si="46"/>
        <v>0</v>
      </c>
      <c r="T187" s="18">
        <f t="shared" si="43"/>
        <v>0</v>
      </c>
      <c r="U187" s="17"/>
      <c r="V187" s="20"/>
      <c r="W187" s="20"/>
      <c r="X187" s="22"/>
      <c r="Y187" s="19"/>
      <c r="Z187" s="20"/>
      <c r="AA187" s="20"/>
    </row>
    <row r="188" spans="2:27" x14ac:dyDescent="0.3">
      <c r="B188" s="17"/>
      <c r="C188" s="17"/>
      <c r="D188" s="20"/>
      <c r="E188" s="15"/>
      <c r="F188" s="15"/>
      <c r="G188" s="15"/>
      <c r="H188" s="16"/>
      <c r="I188" s="15"/>
      <c r="J188" s="15"/>
      <c r="K188" s="29"/>
      <c r="L188" s="19"/>
      <c r="M188" s="19">
        <f t="shared" si="44"/>
        <v>0</v>
      </c>
      <c r="N188" s="35"/>
      <c r="O188" s="19"/>
      <c r="P188" s="35"/>
      <c r="Q188" s="19"/>
      <c r="R188" s="18">
        <f t="shared" si="45"/>
        <v>0</v>
      </c>
      <c r="S188" s="34">
        <f t="shared" si="46"/>
        <v>0</v>
      </c>
      <c r="T188" s="18">
        <f t="shared" si="43"/>
        <v>0</v>
      </c>
      <c r="U188" s="17"/>
      <c r="V188" s="20"/>
      <c r="W188" s="20"/>
      <c r="X188" s="22"/>
      <c r="Y188" s="19"/>
      <c r="Z188" s="20"/>
      <c r="AA188" s="20"/>
    </row>
    <row r="189" spans="2:27" x14ac:dyDescent="0.3">
      <c r="B189" s="17"/>
      <c r="C189" s="17"/>
      <c r="D189" s="20"/>
      <c r="E189" s="15"/>
      <c r="F189" s="15"/>
      <c r="G189" s="15"/>
      <c r="H189" s="16"/>
      <c r="I189" s="15"/>
      <c r="J189" s="15"/>
      <c r="K189" s="29"/>
      <c r="L189" s="19"/>
      <c r="M189" s="19">
        <f t="shared" si="44"/>
        <v>0</v>
      </c>
      <c r="N189" s="35"/>
      <c r="O189" s="19"/>
      <c r="P189" s="35"/>
      <c r="Q189" s="19"/>
      <c r="R189" s="18">
        <f t="shared" si="45"/>
        <v>0</v>
      </c>
      <c r="S189" s="34">
        <f t="shared" si="46"/>
        <v>0</v>
      </c>
      <c r="T189" s="18">
        <f t="shared" si="43"/>
        <v>0</v>
      </c>
      <c r="U189" s="17"/>
      <c r="V189" s="20"/>
      <c r="W189" s="20"/>
      <c r="X189" s="22"/>
      <c r="Y189" s="19"/>
      <c r="Z189" s="20"/>
      <c r="AA189" s="20"/>
    </row>
    <row r="190" spans="2:27" x14ac:dyDescent="0.3">
      <c r="B190" s="17"/>
      <c r="C190" s="17"/>
      <c r="D190" s="20"/>
      <c r="E190" s="15"/>
      <c r="F190" s="15"/>
      <c r="G190" s="15"/>
      <c r="H190" s="16"/>
      <c r="I190" s="15"/>
      <c r="J190" s="15"/>
      <c r="K190" s="29"/>
      <c r="L190" s="19"/>
      <c r="M190" s="19">
        <f t="shared" si="44"/>
        <v>0</v>
      </c>
      <c r="N190" s="35"/>
      <c r="O190" s="19"/>
      <c r="P190" s="35"/>
      <c r="Q190" s="19"/>
      <c r="R190" s="18">
        <f t="shared" si="45"/>
        <v>0</v>
      </c>
      <c r="S190" s="34">
        <f t="shared" si="46"/>
        <v>0</v>
      </c>
      <c r="T190" s="18">
        <f t="shared" si="43"/>
        <v>0</v>
      </c>
      <c r="U190" s="17"/>
      <c r="V190" s="20"/>
      <c r="W190" s="20"/>
      <c r="X190" s="22"/>
      <c r="Y190" s="19"/>
      <c r="Z190" s="20"/>
      <c r="AA190" s="20"/>
    </row>
    <row r="191" spans="2:27" x14ac:dyDescent="0.3">
      <c r="B191" s="17"/>
      <c r="C191" s="17"/>
      <c r="D191" s="20"/>
      <c r="E191" s="15"/>
      <c r="F191" s="15"/>
      <c r="G191" s="15"/>
      <c r="H191" s="16"/>
      <c r="I191" s="15"/>
      <c r="J191" s="15"/>
      <c r="K191" s="29"/>
      <c r="L191" s="19"/>
      <c r="M191" s="19">
        <f t="shared" si="44"/>
        <v>0</v>
      </c>
      <c r="N191" s="35"/>
      <c r="O191" s="19"/>
      <c r="P191" s="35"/>
      <c r="Q191" s="19"/>
      <c r="R191" s="18">
        <f t="shared" si="45"/>
        <v>0</v>
      </c>
      <c r="S191" s="34">
        <f t="shared" si="46"/>
        <v>0</v>
      </c>
      <c r="T191" s="18">
        <f t="shared" si="43"/>
        <v>0</v>
      </c>
      <c r="U191" s="17"/>
      <c r="V191" s="20"/>
      <c r="W191" s="20"/>
      <c r="X191" s="22"/>
      <c r="Y191" s="19"/>
      <c r="Z191" s="20"/>
      <c r="AA191" s="20"/>
    </row>
    <row r="192" spans="2:27" x14ac:dyDescent="0.3">
      <c r="B192" s="17"/>
      <c r="C192" s="17"/>
      <c r="D192" s="20"/>
      <c r="E192" s="15"/>
      <c r="F192" s="15"/>
      <c r="G192" s="15"/>
      <c r="H192" s="16"/>
      <c r="I192" s="15"/>
      <c r="J192" s="15"/>
      <c r="K192" s="29"/>
      <c r="L192" s="19"/>
      <c r="M192" s="19">
        <f t="shared" si="44"/>
        <v>0</v>
      </c>
      <c r="N192" s="35"/>
      <c r="O192" s="19"/>
      <c r="P192" s="35"/>
      <c r="Q192" s="19"/>
      <c r="R192" s="18">
        <f t="shared" si="45"/>
        <v>0</v>
      </c>
      <c r="S192" s="34">
        <f t="shared" si="46"/>
        <v>0</v>
      </c>
      <c r="T192" s="18">
        <f t="shared" si="43"/>
        <v>0</v>
      </c>
      <c r="U192" s="17"/>
      <c r="V192" s="20"/>
      <c r="W192" s="20"/>
      <c r="X192" s="22"/>
      <c r="Y192" s="19"/>
      <c r="Z192" s="20"/>
      <c r="AA192" s="20"/>
    </row>
    <row r="193" spans="2:27" x14ac:dyDescent="0.3">
      <c r="B193" s="17"/>
      <c r="C193" s="17"/>
      <c r="D193" s="20"/>
      <c r="E193" s="15"/>
      <c r="F193" s="15"/>
      <c r="G193" s="15"/>
      <c r="H193" s="16"/>
      <c r="I193" s="15"/>
      <c r="J193" s="15"/>
      <c r="K193" s="29"/>
      <c r="L193" s="19"/>
      <c r="M193" s="19">
        <f t="shared" si="44"/>
        <v>0</v>
      </c>
      <c r="N193" s="35"/>
      <c r="O193" s="19"/>
      <c r="P193" s="35"/>
      <c r="Q193" s="19"/>
      <c r="R193" s="18">
        <f t="shared" si="45"/>
        <v>0</v>
      </c>
      <c r="S193" s="34">
        <f t="shared" si="46"/>
        <v>0</v>
      </c>
      <c r="T193" s="18">
        <f t="shared" si="43"/>
        <v>0</v>
      </c>
      <c r="U193" s="17"/>
      <c r="V193" s="20"/>
      <c r="W193" s="20"/>
      <c r="X193" s="22"/>
      <c r="Y193" s="19"/>
      <c r="Z193" s="20"/>
      <c r="AA193" s="20"/>
    </row>
    <row r="194" spans="2:27" x14ac:dyDescent="0.3">
      <c r="B194" s="17"/>
      <c r="C194" s="17"/>
      <c r="D194" s="20"/>
      <c r="E194" s="15"/>
      <c r="F194" s="15"/>
      <c r="G194" s="15"/>
      <c r="H194" s="16"/>
      <c r="I194" s="15"/>
      <c r="J194" s="15"/>
      <c r="K194" s="29"/>
      <c r="L194" s="19"/>
      <c r="M194" s="19">
        <f t="shared" si="44"/>
        <v>0</v>
      </c>
      <c r="N194" s="35"/>
      <c r="O194" s="19"/>
      <c r="P194" s="35"/>
      <c r="Q194" s="19"/>
      <c r="R194" s="18">
        <f t="shared" si="45"/>
        <v>0</v>
      </c>
      <c r="S194" s="34">
        <f t="shared" si="46"/>
        <v>0</v>
      </c>
      <c r="T194" s="18">
        <f t="shared" si="43"/>
        <v>0</v>
      </c>
      <c r="U194" s="17"/>
      <c r="V194" s="20"/>
      <c r="W194" s="20"/>
      <c r="X194" s="22"/>
      <c r="Y194" s="19"/>
      <c r="Z194" s="20"/>
      <c r="AA194" s="20"/>
    </row>
    <row r="195" spans="2:27" x14ac:dyDescent="0.3">
      <c r="B195" s="17"/>
      <c r="C195" s="17"/>
      <c r="D195" s="20"/>
      <c r="E195" s="15"/>
      <c r="F195" s="15"/>
      <c r="G195" s="15"/>
      <c r="H195" s="16"/>
      <c r="I195" s="15"/>
      <c r="J195" s="15"/>
      <c r="K195" s="29"/>
      <c r="L195" s="19"/>
      <c r="M195" s="19">
        <f t="shared" si="44"/>
        <v>0</v>
      </c>
      <c r="N195" s="35"/>
      <c r="O195" s="19"/>
      <c r="P195" s="35"/>
      <c r="Q195" s="19"/>
      <c r="R195" s="18">
        <f t="shared" si="45"/>
        <v>0</v>
      </c>
      <c r="S195" s="34">
        <f t="shared" si="46"/>
        <v>0</v>
      </c>
      <c r="T195" s="18">
        <f t="shared" si="43"/>
        <v>0</v>
      </c>
      <c r="U195" s="17"/>
      <c r="V195" s="20"/>
      <c r="W195" s="20"/>
      <c r="X195" s="22"/>
      <c r="Y195" s="19"/>
      <c r="Z195" s="20"/>
      <c r="AA195" s="20"/>
    </row>
    <row r="196" spans="2:27" x14ac:dyDescent="0.3">
      <c r="B196" s="17"/>
      <c r="C196" s="17"/>
      <c r="D196" s="20"/>
      <c r="E196" s="15"/>
      <c r="F196" s="15"/>
      <c r="G196" s="15"/>
      <c r="H196" s="16"/>
      <c r="I196" s="15"/>
      <c r="J196" s="15"/>
      <c r="K196" s="29"/>
      <c r="L196" s="19"/>
      <c r="M196" s="19">
        <f t="shared" si="44"/>
        <v>0</v>
      </c>
      <c r="N196" s="35"/>
      <c r="O196" s="19"/>
      <c r="P196" s="35"/>
      <c r="Q196" s="19"/>
      <c r="R196" s="18">
        <f t="shared" si="45"/>
        <v>0</v>
      </c>
      <c r="S196" s="34">
        <f t="shared" si="46"/>
        <v>0</v>
      </c>
      <c r="T196" s="18">
        <f t="shared" si="43"/>
        <v>0</v>
      </c>
      <c r="U196" s="17"/>
      <c r="V196" s="20"/>
      <c r="W196" s="20"/>
      <c r="X196" s="22"/>
      <c r="Y196" s="19"/>
      <c r="Z196" s="20"/>
      <c r="AA196" s="20"/>
    </row>
    <row r="197" spans="2:27" x14ac:dyDescent="0.3">
      <c r="B197" s="17"/>
      <c r="C197" s="17"/>
      <c r="D197" s="20"/>
      <c r="E197" s="15"/>
      <c r="F197" s="15"/>
      <c r="G197" s="15"/>
      <c r="H197" s="16"/>
      <c r="I197" s="15"/>
      <c r="J197" s="15"/>
      <c r="K197" s="29"/>
      <c r="L197" s="19"/>
      <c r="M197" s="19">
        <f t="shared" si="44"/>
        <v>0</v>
      </c>
      <c r="N197" s="35"/>
      <c r="O197" s="19"/>
      <c r="P197" s="35"/>
      <c r="Q197" s="19"/>
      <c r="R197" s="18">
        <f t="shared" si="45"/>
        <v>0</v>
      </c>
      <c r="S197" s="34">
        <f t="shared" si="46"/>
        <v>0</v>
      </c>
      <c r="T197" s="18">
        <f t="shared" si="43"/>
        <v>0</v>
      </c>
      <c r="U197" s="17"/>
      <c r="V197" s="20"/>
      <c r="W197" s="20"/>
      <c r="X197" s="22"/>
      <c r="Y197" s="19"/>
      <c r="Z197" s="20"/>
      <c r="AA197" s="20"/>
    </row>
    <row r="198" spans="2:27" x14ac:dyDescent="0.3">
      <c r="B198" s="17"/>
      <c r="C198" s="17"/>
      <c r="D198" s="20"/>
      <c r="E198" s="15"/>
      <c r="F198" s="15"/>
      <c r="G198" s="15"/>
      <c r="H198" s="16"/>
      <c r="I198" s="15"/>
      <c r="J198" s="15"/>
      <c r="K198" s="29"/>
      <c r="L198" s="19"/>
      <c r="M198" s="19">
        <f t="shared" si="44"/>
        <v>0</v>
      </c>
      <c r="N198" s="35"/>
      <c r="O198" s="19"/>
      <c r="P198" s="35"/>
      <c r="Q198" s="19"/>
      <c r="R198" s="18">
        <f t="shared" si="45"/>
        <v>0</v>
      </c>
      <c r="S198" s="34">
        <f t="shared" si="46"/>
        <v>0</v>
      </c>
      <c r="T198" s="18">
        <f t="shared" si="43"/>
        <v>0</v>
      </c>
      <c r="U198" s="17"/>
      <c r="V198" s="20"/>
      <c r="W198" s="20"/>
      <c r="X198" s="22"/>
      <c r="Y198" s="19"/>
      <c r="Z198" s="20"/>
      <c r="AA198" s="20"/>
    </row>
    <row r="199" spans="2:27" x14ac:dyDescent="0.3">
      <c r="B199" s="17"/>
      <c r="C199" s="17"/>
      <c r="D199" s="20"/>
      <c r="E199" s="15"/>
      <c r="F199" s="15"/>
      <c r="G199" s="15"/>
      <c r="H199" s="16"/>
      <c r="I199" s="15"/>
      <c r="J199" s="15"/>
      <c r="K199" s="29"/>
      <c r="L199" s="19"/>
      <c r="M199" s="19">
        <f t="shared" si="44"/>
        <v>0</v>
      </c>
      <c r="N199" s="35"/>
      <c r="O199" s="19"/>
      <c r="P199" s="35"/>
      <c r="Q199" s="19"/>
      <c r="R199" s="18">
        <f t="shared" si="45"/>
        <v>0</v>
      </c>
      <c r="S199" s="34">
        <f t="shared" si="46"/>
        <v>0</v>
      </c>
      <c r="T199" s="18">
        <f t="shared" si="43"/>
        <v>0</v>
      </c>
      <c r="U199" s="17"/>
      <c r="V199" s="20"/>
      <c r="W199" s="20"/>
      <c r="X199" s="22"/>
      <c r="Y199" s="19"/>
      <c r="Z199" s="20"/>
      <c r="AA199" s="20"/>
    </row>
    <row r="200" spans="2:27" x14ac:dyDescent="0.3">
      <c r="B200" s="17"/>
      <c r="C200" s="17"/>
      <c r="D200" s="20"/>
      <c r="E200" s="15"/>
      <c r="F200" s="15"/>
      <c r="G200" s="15"/>
      <c r="H200" s="16"/>
      <c r="I200" s="15"/>
      <c r="J200" s="15"/>
      <c r="K200" s="29"/>
      <c r="L200" s="19"/>
      <c r="M200" s="19">
        <f t="shared" si="44"/>
        <v>0</v>
      </c>
      <c r="N200" s="35"/>
      <c r="O200" s="19"/>
      <c r="P200" s="35"/>
      <c r="Q200" s="19"/>
      <c r="R200" s="18">
        <f t="shared" si="45"/>
        <v>0</v>
      </c>
      <c r="S200" s="34">
        <f t="shared" si="46"/>
        <v>0</v>
      </c>
      <c r="T200" s="18">
        <f t="shared" si="43"/>
        <v>0</v>
      </c>
      <c r="U200" s="17"/>
      <c r="V200" s="20"/>
      <c r="W200" s="20"/>
      <c r="X200" s="22"/>
      <c r="Y200" s="19"/>
      <c r="Z200" s="20"/>
      <c r="AA200" s="20"/>
    </row>
    <row r="201" spans="2:27" x14ac:dyDescent="0.3">
      <c r="B201" s="17"/>
      <c r="C201" s="17"/>
      <c r="D201" s="20"/>
      <c r="E201" s="15"/>
      <c r="F201" s="15"/>
      <c r="G201" s="15"/>
      <c r="H201" s="16"/>
      <c r="I201" s="15"/>
      <c r="J201" s="15"/>
      <c r="K201" s="29"/>
      <c r="L201" s="19"/>
      <c r="M201" s="19">
        <f t="shared" si="44"/>
        <v>0</v>
      </c>
      <c r="N201" s="35"/>
      <c r="O201" s="19"/>
      <c r="P201" s="35"/>
      <c r="Q201" s="19"/>
      <c r="R201" s="18">
        <f t="shared" si="45"/>
        <v>0</v>
      </c>
      <c r="S201" s="34">
        <f t="shared" si="46"/>
        <v>0</v>
      </c>
      <c r="T201" s="18">
        <f t="shared" si="43"/>
        <v>0</v>
      </c>
      <c r="U201" s="17"/>
      <c r="V201" s="20"/>
      <c r="W201" s="20"/>
      <c r="X201" s="22"/>
      <c r="Y201" s="19"/>
      <c r="Z201" s="20"/>
      <c r="AA201" s="20"/>
    </row>
    <row r="202" spans="2:27" x14ac:dyDescent="0.3">
      <c r="B202" s="17"/>
      <c r="C202" s="17"/>
      <c r="D202" s="20"/>
      <c r="E202" s="15"/>
      <c r="F202" s="15"/>
      <c r="G202" s="15"/>
      <c r="H202" s="16"/>
      <c r="I202" s="15"/>
      <c r="J202" s="15"/>
      <c r="K202" s="29"/>
      <c r="L202" s="19"/>
      <c r="M202" s="19">
        <f t="shared" si="44"/>
        <v>0</v>
      </c>
      <c r="N202" s="35"/>
      <c r="O202" s="19"/>
      <c r="P202" s="35"/>
      <c r="Q202" s="19"/>
      <c r="R202" s="18">
        <f t="shared" si="45"/>
        <v>0</v>
      </c>
      <c r="S202" s="34">
        <f t="shared" si="46"/>
        <v>0</v>
      </c>
      <c r="T202" s="18">
        <f t="shared" si="43"/>
        <v>0</v>
      </c>
      <c r="U202" s="17"/>
      <c r="V202" s="20"/>
      <c r="W202" s="20"/>
      <c r="X202" s="22"/>
      <c r="Y202" s="19"/>
      <c r="Z202" s="20"/>
      <c r="AA202" s="20"/>
    </row>
    <row r="203" spans="2:27" x14ac:dyDescent="0.3">
      <c r="B203" s="17"/>
      <c r="C203" s="17"/>
      <c r="D203" s="20"/>
      <c r="E203" s="15"/>
      <c r="F203" s="15"/>
      <c r="G203" s="15"/>
      <c r="H203" s="16"/>
      <c r="I203" s="15"/>
      <c r="J203" s="15"/>
      <c r="K203" s="29"/>
      <c r="L203" s="19"/>
      <c r="M203" s="19">
        <f t="shared" si="44"/>
        <v>0</v>
      </c>
      <c r="N203" s="35"/>
      <c r="O203" s="19"/>
      <c r="P203" s="35"/>
      <c r="Q203" s="19"/>
      <c r="R203" s="18">
        <f t="shared" si="45"/>
        <v>0</v>
      </c>
      <c r="S203" s="34">
        <f t="shared" si="46"/>
        <v>0</v>
      </c>
      <c r="T203" s="18">
        <f t="shared" si="43"/>
        <v>0</v>
      </c>
      <c r="U203" s="17"/>
      <c r="V203" s="20"/>
      <c r="W203" s="20"/>
      <c r="X203" s="22"/>
      <c r="Y203" s="19"/>
      <c r="Z203" s="20"/>
      <c r="AA203" s="20"/>
    </row>
    <row r="204" spans="2:27" x14ac:dyDescent="0.3">
      <c r="B204" s="17"/>
      <c r="C204" s="17"/>
      <c r="D204" s="20"/>
      <c r="E204" s="15"/>
      <c r="F204" s="15"/>
      <c r="G204" s="15"/>
      <c r="H204" s="16"/>
      <c r="I204" s="15"/>
      <c r="J204" s="15"/>
      <c r="K204" s="29"/>
      <c r="L204" s="19"/>
      <c r="M204" s="19">
        <f t="shared" si="44"/>
        <v>0</v>
      </c>
      <c r="N204" s="35"/>
      <c r="O204" s="19"/>
      <c r="P204" s="35"/>
      <c r="Q204" s="19"/>
      <c r="R204" s="18">
        <f t="shared" si="45"/>
        <v>0</v>
      </c>
      <c r="S204" s="34">
        <f t="shared" si="46"/>
        <v>0</v>
      </c>
      <c r="T204" s="18">
        <f t="shared" si="43"/>
        <v>0</v>
      </c>
      <c r="U204" s="17"/>
      <c r="V204" s="20"/>
      <c r="W204" s="20"/>
      <c r="X204" s="22"/>
      <c r="Y204" s="19"/>
      <c r="Z204" s="20"/>
      <c r="AA204" s="20"/>
    </row>
    <row r="205" spans="2:27" x14ac:dyDescent="0.3">
      <c r="B205" s="17"/>
      <c r="C205" s="17"/>
      <c r="D205" s="20"/>
      <c r="E205" s="15"/>
      <c r="F205" s="15"/>
      <c r="G205" s="15"/>
      <c r="H205" s="16"/>
      <c r="I205" s="15"/>
      <c r="J205" s="15"/>
      <c r="K205" s="29"/>
      <c r="L205" s="19"/>
      <c r="M205" s="19">
        <f t="shared" si="44"/>
        <v>0</v>
      </c>
      <c r="N205" s="35"/>
      <c r="O205" s="19"/>
      <c r="P205" s="35"/>
      <c r="Q205" s="19"/>
      <c r="R205" s="18">
        <f t="shared" si="45"/>
        <v>0</v>
      </c>
      <c r="S205" s="34">
        <f t="shared" si="46"/>
        <v>0</v>
      </c>
      <c r="T205" s="18">
        <f t="shared" si="43"/>
        <v>0</v>
      </c>
      <c r="U205" s="17"/>
      <c r="V205" s="20"/>
      <c r="W205" s="20"/>
      <c r="X205" s="22"/>
      <c r="Y205" s="19"/>
      <c r="Z205" s="20"/>
      <c r="AA205" s="20"/>
    </row>
    <row r="206" spans="2:27" x14ac:dyDescent="0.3">
      <c r="B206" s="17"/>
      <c r="C206" s="17"/>
      <c r="D206" s="20"/>
      <c r="E206" s="15"/>
      <c r="F206" s="15"/>
      <c r="G206" s="15"/>
      <c r="H206" s="16"/>
      <c r="I206" s="15"/>
      <c r="J206" s="15"/>
      <c r="K206" s="29"/>
      <c r="L206" s="19"/>
      <c r="M206" s="19">
        <f t="shared" si="44"/>
        <v>0</v>
      </c>
      <c r="N206" s="35"/>
      <c r="O206" s="19"/>
      <c r="P206" s="35"/>
      <c r="Q206" s="19"/>
      <c r="R206" s="18">
        <f t="shared" si="45"/>
        <v>0</v>
      </c>
      <c r="S206" s="34">
        <f t="shared" si="46"/>
        <v>0</v>
      </c>
      <c r="T206" s="18">
        <f t="shared" si="43"/>
        <v>0</v>
      </c>
      <c r="U206" s="17"/>
      <c r="V206" s="20"/>
      <c r="W206" s="20"/>
      <c r="X206" s="22"/>
      <c r="Y206" s="19"/>
      <c r="Z206" s="20"/>
      <c r="AA206" s="20"/>
    </row>
    <row r="207" spans="2:27" x14ac:dyDescent="0.3">
      <c r="B207" s="17"/>
      <c r="C207" s="17"/>
      <c r="D207" s="20"/>
      <c r="E207" s="15"/>
      <c r="F207" s="15"/>
      <c r="G207" s="15"/>
      <c r="H207" s="16"/>
      <c r="I207" s="15"/>
      <c r="J207" s="15"/>
      <c r="K207" s="29"/>
      <c r="L207" s="19"/>
      <c r="M207" s="19">
        <f t="shared" si="44"/>
        <v>0</v>
      </c>
      <c r="N207" s="35"/>
      <c r="O207" s="19"/>
      <c r="P207" s="35"/>
      <c r="Q207" s="19"/>
      <c r="R207" s="18">
        <f t="shared" si="45"/>
        <v>0</v>
      </c>
      <c r="S207" s="34">
        <f t="shared" si="46"/>
        <v>0</v>
      </c>
      <c r="T207" s="18">
        <f t="shared" si="43"/>
        <v>0</v>
      </c>
      <c r="U207" s="17"/>
      <c r="V207" s="20"/>
      <c r="W207" s="20"/>
      <c r="X207" s="22"/>
      <c r="Y207" s="19"/>
      <c r="Z207" s="20"/>
      <c r="AA207" s="20"/>
    </row>
    <row r="208" spans="2:27" x14ac:dyDescent="0.3">
      <c r="B208" s="17"/>
      <c r="C208" s="17"/>
      <c r="D208" s="20"/>
      <c r="E208" s="15"/>
      <c r="F208" s="15"/>
      <c r="G208" s="15"/>
      <c r="H208" s="16"/>
      <c r="I208" s="15"/>
      <c r="J208" s="15"/>
      <c r="K208" s="29"/>
      <c r="L208" s="19"/>
      <c r="M208" s="19">
        <f t="shared" si="44"/>
        <v>0</v>
      </c>
      <c r="N208" s="35"/>
      <c r="O208" s="19"/>
      <c r="P208" s="35"/>
      <c r="Q208" s="19"/>
      <c r="R208" s="18">
        <f t="shared" si="45"/>
        <v>0</v>
      </c>
      <c r="S208" s="34">
        <f t="shared" si="46"/>
        <v>0</v>
      </c>
      <c r="T208" s="18">
        <f t="shared" si="43"/>
        <v>0</v>
      </c>
      <c r="U208" s="17"/>
      <c r="V208" s="20"/>
      <c r="W208" s="20"/>
      <c r="X208" s="22"/>
      <c r="Y208" s="19"/>
      <c r="Z208" s="20"/>
      <c r="AA208" s="20"/>
    </row>
    <row r="209" spans="2:27" x14ac:dyDescent="0.3">
      <c r="B209" s="17"/>
      <c r="C209" s="17"/>
      <c r="D209" s="20"/>
      <c r="E209" s="15"/>
      <c r="F209" s="15"/>
      <c r="G209" s="15"/>
      <c r="H209" s="16"/>
      <c r="I209" s="15"/>
      <c r="J209" s="15"/>
      <c r="K209" s="29"/>
      <c r="L209" s="19"/>
      <c r="M209" s="19">
        <f t="shared" si="44"/>
        <v>0</v>
      </c>
      <c r="N209" s="35"/>
      <c r="O209" s="19"/>
      <c r="P209" s="35"/>
      <c r="Q209" s="19"/>
      <c r="R209" s="18">
        <f t="shared" si="45"/>
        <v>0</v>
      </c>
      <c r="S209" s="34">
        <f t="shared" si="46"/>
        <v>0</v>
      </c>
      <c r="T209" s="18">
        <f t="shared" si="43"/>
        <v>0</v>
      </c>
      <c r="U209" s="17"/>
      <c r="V209" s="20"/>
      <c r="W209" s="20"/>
      <c r="X209" s="22"/>
      <c r="Y209" s="19"/>
      <c r="Z209" s="20"/>
      <c r="AA209" s="20"/>
    </row>
    <row r="210" spans="2:27" x14ac:dyDescent="0.3">
      <c r="B210" s="17"/>
      <c r="C210" s="17"/>
      <c r="D210" s="20"/>
      <c r="E210" s="15"/>
      <c r="F210" s="15"/>
      <c r="G210" s="15"/>
      <c r="H210" s="16"/>
      <c r="I210" s="15"/>
      <c r="J210" s="15"/>
      <c r="K210" s="29"/>
      <c r="L210" s="19"/>
      <c r="M210" s="19">
        <f t="shared" si="44"/>
        <v>0</v>
      </c>
      <c r="N210" s="35"/>
      <c r="O210" s="19"/>
      <c r="P210" s="35"/>
      <c r="Q210" s="19"/>
      <c r="R210" s="18">
        <f t="shared" si="45"/>
        <v>0</v>
      </c>
      <c r="S210" s="34">
        <f t="shared" si="46"/>
        <v>0</v>
      </c>
      <c r="T210" s="18">
        <f t="shared" si="43"/>
        <v>0</v>
      </c>
      <c r="U210" s="17"/>
      <c r="V210" s="20"/>
      <c r="W210" s="20"/>
      <c r="X210" s="22"/>
      <c r="Y210" s="19"/>
      <c r="Z210" s="20"/>
      <c r="AA210" s="20"/>
    </row>
    <row r="211" spans="2:27" x14ac:dyDescent="0.3">
      <c r="B211" s="17"/>
      <c r="C211" s="17"/>
      <c r="D211" s="20"/>
      <c r="E211" s="15"/>
      <c r="F211" s="15"/>
      <c r="G211" s="15"/>
      <c r="H211" s="16"/>
      <c r="I211" s="15"/>
      <c r="J211" s="15"/>
      <c r="K211" s="29"/>
      <c r="L211" s="19"/>
      <c r="M211" s="19">
        <f t="shared" si="44"/>
        <v>0</v>
      </c>
      <c r="N211" s="35"/>
      <c r="O211" s="19"/>
      <c r="P211" s="35"/>
      <c r="Q211" s="19"/>
      <c r="R211" s="18">
        <f t="shared" si="45"/>
        <v>0</v>
      </c>
      <c r="S211" s="34">
        <f t="shared" si="46"/>
        <v>0</v>
      </c>
      <c r="T211" s="18">
        <f t="shared" si="43"/>
        <v>0</v>
      </c>
      <c r="U211" s="17"/>
      <c r="V211" s="20"/>
      <c r="W211" s="20"/>
      <c r="X211" s="22"/>
      <c r="Y211" s="19"/>
      <c r="Z211" s="20"/>
      <c r="AA211" s="20"/>
    </row>
    <row r="212" spans="2:27" x14ac:dyDescent="0.3">
      <c r="B212" s="17"/>
      <c r="C212" s="17"/>
      <c r="D212" s="20"/>
      <c r="E212" s="15"/>
      <c r="F212" s="15"/>
      <c r="G212" s="15"/>
      <c r="H212" s="16"/>
      <c r="I212" s="15"/>
      <c r="J212" s="15"/>
      <c r="K212" s="29"/>
      <c r="L212" s="19"/>
      <c r="M212" s="19">
        <f t="shared" si="44"/>
        <v>0</v>
      </c>
      <c r="N212" s="35"/>
      <c r="O212" s="19"/>
      <c r="P212" s="35"/>
      <c r="Q212" s="19"/>
      <c r="R212" s="18">
        <f t="shared" si="45"/>
        <v>0</v>
      </c>
      <c r="S212" s="34">
        <f t="shared" si="46"/>
        <v>0</v>
      </c>
      <c r="T212" s="18">
        <f t="shared" si="43"/>
        <v>0</v>
      </c>
      <c r="U212" s="17"/>
      <c r="V212" s="20"/>
      <c r="W212" s="20"/>
      <c r="X212" s="22"/>
      <c r="Y212" s="19"/>
      <c r="Z212" s="20"/>
      <c r="AA212" s="20"/>
    </row>
    <row r="213" spans="2:27" x14ac:dyDescent="0.3">
      <c r="B213" s="17"/>
      <c r="C213" s="17"/>
      <c r="D213" s="20"/>
      <c r="E213" s="15"/>
      <c r="F213" s="15"/>
      <c r="G213" s="15"/>
      <c r="H213" s="16"/>
      <c r="I213" s="15"/>
      <c r="J213" s="15"/>
      <c r="K213" s="29"/>
      <c r="L213" s="19"/>
      <c r="M213" s="19">
        <f t="shared" si="44"/>
        <v>0</v>
      </c>
      <c r="N213" s="35"/>
      <c r="O213" s="19"/>
      <c r="P213" s="35"/>
      <c r="Q213" s="19"/>
      <c r="R213" s="18">
        <f t="shared" si="45"/>
        <v>0</v>
      </c>
      <c r="S213" s="34">
        <f t="shared" si="46"/>
        <v>0</v>
      </c>
      <c r="T213" s="18">
        <f t="shared" si="43"/>
        <v>0</v>
      </c>
      <c r="U213" s="17"/>
      <c r="V213" s="20"/>
      <c r="W213" s="20"/>
      <c r="X213" s="22"/>
      <c r="Y213" s="19"/>
      <c r="Z213" s="20"/>
      <c r="AA213" s="20"/>
    </row>
    <row r="214" spans="2:27" x14ac:dyDescent="0.3">
      <c r="B214" s="17"/>
      <c r="C214" s="17"/>
      <c r="D214" s="20"/>
      <c r="E214" s="15"/>
      <c r="F214" s="15"/>
      <c r="G214" s="15"/>
      <c r="H214" s="16"/>
      <c r="I214" s="15"/>
      <c r="J214" s="15"/>
      <c r="K214" s="29"/>
      <c r="L214" s="19"/>
      <c r="M214" s="19">
        <f t="shared" si="44"/>
        <v>0</v>
      </c>
      <c r="N214" s="35"/>
      <c r="O214" s="19"/>
      <c r="P214" s="35"/>
      <c r="Q214" s="19"/>
      <c r="R214" s="18">
        <f t="shared" si="45"/>
        <v>0</v>
      </c>
      <c r="S214" s="34">
        <f t="shared" si="46"/>
        <v>0</v>
      </c>
      <c r="T214" s="18">
        <f t="shared" si="43"/>
        <v>0</v>
      </c>
      <c r="U214" s="17"/>
      <c r="V214" s="20"/>
      <c r="W214" s="20"/>
      <c r="X214" s="22"/>
      <c r="Y214" s="19"/>
      <c r="Z214" s="20"/>
      <c r="AA214" s="20"/>
    </row>
    <row r="215" spans="2:27" x14ac:dyDescent="0.3">
      <c r="B215" s="17"/>
      <c r="C215" s="17"/>
      <c r="D215" s="20"/>
      <c r="E215" s="15"/>
      <c r="F215" s="15"/>
      <c r="G215" s="15"/>
      <c r="H215" s="16"/>
      <c r="I215" s="15"/>
      <c r="J215" s="15"/>
      <c r="K215" s="29"/>
      <c r="L215" s="19"/>
      <c r="M215" s="19">
        <f t="shared" si="44"/>
        <v>0</v>
      </c>
      <c r="N215" s="35"/>
      <c r="O215" s="19"/>
      <c r="P215" s="35"/>
      <c r="Q215" s="19"/>
      <c r="R215" s="18">
        <f t="shared" si="45"/>
        <v>0</v>
      </c>
      <c r="S215" s="34">
        <f t="shared" si="46"/>
        <v>0</v>
      </c>
      <c r="T215" s="18">
        <f t="shared" si="43"/>
        <v>0</v>
      </c>
      <c r="U215" s="17"/>
      <c r="V215" s="20"/>
      <c r="W215" s="20"/>
      <c r="X215" s="22"/>
      <c r="Y215" s="19"/>
      <c r="Z215" s="20"/>
      <c r="AA215" s="20"/>
    </row>
    <row r="216" spans="2:27" x14ac:dyDescent="0.3">
      <c r="B216" s="17"/>
      <c r="C216" s="17"/>
      <c r="D216" s="20"/>
      <c r="E216" s="15"/>
      <c r="F216" s="15"/>
      <c r="G216" s="15"/>
      <c r="H216" s="16"/>
      <c r="I216" s="15"/>
      <c r="J216" s="15"/>
      <c r="K216" s="29"/>
      <c r="L216" s="19"/>
      <c r="M216" s="19">
        <f t="shared" si="44"/>
        <v>0</v>
      </c>
      <c r="N216" s="35"/>
      <c r="O216" s="19"/>
      <c r="P216" s="35"/>
      <c r="Q216" s="19"/>
      <c r="R216" s="18">
        <f t="shared" si="45"/>
        <v>0</v>
      </c>
      <c r="S216" s="34">
        <f t="shared" si="46"/>
        <v>0</v>
      </c>
      <c r="T216" s="18">
        <f t="shared" si="43"/>
        <v>0</v>
      </c>
      <c r="U216" s="17"/>
      <c r="V216" s="20"/>
      <c r="W216" s="20"/>
      <c r="X216" s="22"/>
      <c r="Y216" s="19"/>
      <c r="Z216" s="20"/>
      <c r="AA216" s="20"/>
    </row>
    <row r="217" spans="2:27" x14ac:dyDescent="0.3">
      <c r="B217" s="17"/>
      <c r="C217" s="17"/>
      <c r="D217" s="20"/>
      <c r="E217" s="15"/>
      <c r="F217" s="15"/>
      <c r="G217" s="15"/>
      <c r="H217" s="16"/>
      <c r="I217" s="15"/>
      <c r="J217" s="15"/>
      <c r="K217" s="29"/>
      <c r="L217" s="19"/>
      <c r="M217" s="19">
        <f t="shared" si="44"/>
        <v>0</v>
      </c>
      <c r="N217" s="35"/>
      <c r="O217" s="19"/>
      <c r="P217" s="35"/>
      <c r="Q217" s="19"/>
      <c r="R217" s="18">
        <f t="shared" si="45"/>
        <v>0</v>
      </c>
      <c r="S217" s="34">
        <f t="shared" si="46"/>
        <v>0</v>
      </c>
      <c r="T217" s="18">
        <f t="shared" si="43"/>
        <v>0</v>
      </c>
      <c r="U217" s="17"/>
      <c r="V217" s="20"/>
      <c r="W217" s="20"/>
      <c r="X217" s="22"/>
      <c r="Y217" s="19"/>
      <c r="Z217" s="20"/>
      <c r="AA217" s="20"/>
    </row>
    <row r="218" spans="2:27" x14ac:dyDescent="0.3">
      <c r="B218" s="17"/>
      <c r="C218" s="17"/>
      <c r="D218" s="20"/>
      <c r="E218" s="15"/>
      <c r="F218" s="15"/>
      <c r="G218" s="15"/>
      <c r="H218" s="16"/>
      <c r="I218" s="15"/>
      <c r="J218" s="15"/>
      <c r="K218" s="29"/>
      <c r="L218" s="19"/>
      <c r="M218" s="19">
        <f t="shared" si="44"/>
        <v>0</v>
      </c>
      <c r="N218" s="35"/>
      <c r="O218" s="19"/>
      <c r="P218" s="35"/>
      <c r="Q218" s="19"/>
      <c r="R218" s="18">
        <f t="shared" si="45"/>
        <v>0</v>
      </c>
      <c r="S218" s="34">
        <f t="shared" si="46"/>
        <v>0</v>
      </c>
      <c r="T218" s="18">
        <f t="shared" si="43"/>
        <v>0</v>
      </c>
      <c r="U218" s="17"/>
      <c r="V218" s="20"/>
      <c r="W218" s="20"/>
      <c r="X218" s="22"/>
      <c r="Y218" s="19"/>
      <c r="Z218" s="20"/>
      <c r="AA218" s="20"/>
    </row>
    <row r="219" spans="2:27" x14ac:dyDescent="0.3">
      <c r="B219" s="17"/>
      <c r="C219" s="17"/>
      <c r="D219" s="20"/>
      <c r="E219" s="15"/>
      <c r="F219" s="15"/>
      <c r="G219" s="15"/>
      <c r="H219" s="16"/>
      <c r="I219" s="15"/>
      <c r="J219" s="15"/>
      <c r="K219" s="29"/>
      <c r="L219" s="19"/>
      <c r="M219" s="19">
        <f t="shared" si="44"/>
        <v>0</v>
      </c>
      <c r="N219" s="35"/>
      <c r="O219" s="19"/>
      <c r="P219" s="35"/>
      <c r="Q219" s="19"/>
      <c r="R219" s="18">
        <f t="shared" si="45"/>
        <v>0</v>
      </c>
      <c r="S219" s="34">
        <f t="shared" si="46"/>
        <v>0</v>
      </c>
      <c r="T219" s="18">
        <f t="shared" si="43"/>
        <v>0</v>
      </c>
      <c r="U219" s="17"/>
      <c r="V219" s="20"/>
      <c r="W219" s="20"/>
      <c r="X219" s="22"/>
      <c r="Y219" s="19"/>
      <c r="Z219" s="20"/>
      <c r="AA219" s="20"/>
    </row>
    <row r="220" spans="2:27" x14ac:dyDescent="0.3">
      <c r="B220" s="17"/>
      <c r="C220" s="17"/>
      <c r="D220" s="20"/>
      <c r="E220" s="15"/>
      <c r="F220" s="15"/>
      <c r="G220" s="15"/>
      <c r="H220" s="16"/>
      <c r="I220" s="15"/>
      <c r="J220" s="15"/>
      <c r="K220" s="29"/>
      <c r="L220" s="19"/>
      <c r="M220" s="19">
        <f t="shared" si="44"/>
        <v>0</v>
      </c>
      <c r="N220" s="35"/>
      <c r="O220" s="19"/>
      <c r="P220" s="35"/>
      <c r="Q220" s="19"/>
      <c r="R220" s="18">
        <f t="shared" si="45"/>
        <v>0</v>
      </c>
      <c r="S220" s="34">
        <f t="shared" si="46"/>
        <v>0</v>
      </c>
      <c r="T220" s="18">
        <f t="shared" si="43"/>
        <v>0</v>
      </c>
      <c r="U220" s="17"/>
      <c r="V220" s="20"/>
      <c r="W220" s="20"/>
      <c r="X220" s="22"/>
      <c r="Y220" s="19"/>
      <c r="Z220" s="20"/>
      <c r="AA220" s="20"/>
    </row>
    <row r="221" spans="2:27" x14ac:dyDescent="0.3">
      <c r="B221" s="17"/>
      <c r="C221" s="17"/>
      <c r="D221" s="20"/>
      <c r="E221" s="15"/>
      <c r="F221" s="15"/>
      <c r="G221" s="15"/>
      <c r="H221" s="16"/>
      <c r="I221" s="15"/>
      <c r="J221" s="15"/>
      <c r="K221" s="29"/>
      <c r="L221" s="19"/>
      <c r="M221" s="19">
        <f t="shared" si="44"/>
        <v>0</v>
      </c>
      <c r="N221" s="35"/>
      <c r="O221" s="19"/>
      <c r="P221" s="35"/>
      <c r="Q221" s="19"/>
      <c r="R221" s="18">
        <f t="shared" si="45"/>
        <v>0</v>
      </c>
      <c r="S221" s="34">
        <f t="shared" si="46"/>
        <v>0</v>
      </c>
      <c r="T221" s="18">
        <f t="shared" si="43"/>
        <v>0</v>
      </c>
      <c r="U221" s="17"/>
      <c r="V221" s="20"/>
      <c r="W221" s="20"/>
      <c r="X221" s="22"/>
      <c r="Y221" s="19"/>
      <c r="Z221" s="20"/>
      <c r="AA221" s="20"/>
    </row>
    <row r="222" spans="2:27" x14ac:dyDescent="0.3">
      <c r="B222" s="17"/>
      <c r="C222" s="17"/>
      <c r="D222" s="20"/>
      <c r="E222" s="15"/>
      <c r="F222" s="15"/>
      <c r="G222" s="15"/>
      <c r="H222" s="16"/>
      <c r="I222" s="15"/>
      <c r="J222" s="15"/>
      <c r="K222" s="29"/>
      <c r="L222" s="19"/>
      <c r="M222" s="19">
        <f t="shared" si="44"/>
        <v>0</v>
      </c>
      <c r="N222" s="35"/>
      <c r="O222" s="19"/>
      <c r="P222" s="35"/>
      <c r="Q222" s="19"/>
      <c r="R222" s="18">
        <f t="shared" si="45"/>
        <v>0</v>
      </c>
      <c r="S222" s="34">
        <f t="shared" si="46"/>
        <v>0</v>
      </c>
      <c r="T222" s="18">
        <f t="shared" si="43"/>
        <v>0</v>
      </c>
      <c r="U222" s="17"/>
      <c r="V222" s="20"/>
      <c r="W222" s="20"/>
      <c r="X222" s="22"/>
      <c r="Y222" s="19"/>
      <c r="Z222" s="20"/>
      <c r="AA222" s="20"/>
    </row>
    <row r="223" spans="2:27" x14ac:dyDescent="0.3">
      <c r="B223" s="17"/>
      <c r="C223" s="17"/>
      <c r="D223" s="20"/>
      <c r="E223" s="15"/>
      <c r="F223" s="15"/>
      <c r="G223" s="15"/>
      <c r="H223" s="16"/>
      <c r="I223" s="15"/>
      <c r="J223" s="15"/>
      <c r="K223" s="29"/>
      <c r="L223" s="19"/>
      <c r="M223" s="19">
        <f t="shared" si="44"/>
        <v>0</v>
      </c>
      <c r="N223" s="35"/>
      <c r="O223" s="19"/>
      <c r="P223" s="35"/>
      <c r="Q223" s="19"/>
      <c r="R223" s="18">
        <f t="shared" si="45"/>
        <v>0</v>
      </c>
      <c r="S223" s="34">
        <f t="shared" si="46"/>
        <v>0</v>
      </c>
      <c r="T223" s="18">
        <f t="shared" si="43"/>
        <v>0</v>
      </c>
      <c r="U223" s="17"/>
      <c r="V223" s="20"/>
      <c r="W223" s="20"/>
      <c r="X223" s="22"/>
      <c r="Y223" s="19"/>
      <c r="Z223" s="20"/>
      <c r="AA223" s="20"/>
    </row>
    <row r="224" spans="2:27" x14ac:dyDescent="0.3">
      <c r="B224" s="17"/>
      <c r="C224" s="17"/>
      <c r="D224" s="20"/>
      <c r="E224" s="15"/>
      <c r="F224" s="15"/>
      <c r="G224" s="15"/>
      <c r="H224" s="16"/>
      <c r="I224" s="15"/>
      <c r="J224" s="15"/>
      <c r="K224" s="29"/>
      <c r="L224" s="19"/>
      <c r="M224" s="19">
        <f t="shared" si="44"/>
        <v>0</v>
      </c>
      <c r="N224" s="35"/>
      <c r="O224" s="19"/>
      <c r="P224" s="35"/>
      <c r="Q224" s="19"/>
      <c r="R224" s="18">
        <f t="shared" si="45"/>
        <v>0</v>
      </c>
      <c r="S224" s="34">
        <f t="shared" si="46"/>
        <v>0</v>
      </c>
      <c r="T224" s="18">
        <f t="shared" si="43"/>
        <v>0</v>
      </c>
      <c r="U224" s="17"/>
      <c r="V224" s="20"/>
      <c r="W224" s="20"/>
      <c r="X224" s="22"/>
      <c r="Y224" s="19"/>
      <c r="Z224" s="20"/>
      <c r="AA224" s="20"/>
    </row>
    <row r="225" spans="2:27" x14ac:dyDescent="0.3">
      <c r="B225" s="17"/>
      <c r="C225" s="17"/>
      <c r="D225" s="20"/>
      <c r="E225" s="15"/>
      <c r="F225" s="15"/>
      <c r="G225" s="15"/>
      <c r="H225" s="16"/>
      <c r="I225" s="15"/>
      <c r="J225" s="15"/>
      <c r="K225" s="29"/>
      <c r="L225" s="19"/>
      <c r="M225" s="19">
        <f t="shared" si="44"/>
        <v>0</v>
      </c>
      <c r="N225" s="35"/>
      <c r="O225" s="19"/>
      <c r="P225" s="35"/>
      <c r="Q225" s="19"/>
      <c r="R225" s="18">
        <f t="shared" si="45"/>
        <v>0</v>
      </c>
      <c r="S225" s="34">
        <f t="shared" si="46"/>
        <v>0</v>
      </c>
      <c r="T225" s="18">
        <f t="shared" si="43"/>
        <v>0</v>
      </c>
      <c r="U225" s="17"/>
      <c r="V225" s="20"/>
      <c r="W225" s="20"/>
      <c r="X225" s="22"/>
      <c r="Y225" s="19"/>
      <c r="Z225" s="20"/>
      <c r="AA225" s="20"/>
    </row>
    <row r="226" spans="2:27" x14ac:dyDescent="0.3">
      <c r="B226" s="17"/>
      <c r="C226" s="17"/>
      <c r="D226" s="20"/>
      <c r="E226" s="15"/>
      <c r="F226" s="15"/>
      <c r="G226" s="15"/>
      <c r="H226" s="16"/>
      <c r="I226" s="15"/>
      <c r="J226" s="15"/>
      <c r="K226" s="29"/>
      <c r="L226" s="19"/>
      <c r="M226" s="19">
        <f t="shared" si="44"/>
        <v>0</v>
      </c>
      <c r="N226" s="35"/>
      <c r="O226" s="19"/>
      <c r="P226" s="35"/>
      <c r="Q226" s="19"/>
      <c r="R226" s="18">
        <f t="shared" si="45"/>
        <v>0</v>
      </c>
      <c r="S226" s="34">
        <f t="shared" si="46"/>
        <v>0</v>
      </c>
      <c r="T226" s="18">
        <f t="shared" si="43"/>
        <v>0</v>
      </c>
      <c r="U226" s="17"/>
      <c r="V226" s="20"/>
      <c r="W226" s="20"/>
      <c r="X226" s="22"/>
      <c r="Y226" s="19"/>
      <c r="Z226" s="20"/>
      <c r="AA226" s="20"/>
    </row>
    <row r="227" spans="2:27" x14ac:dyDescent="0.3">
      <c r="B227" s="17"/>
      <c r="C227" s="17"/>
      <c r="D227" s="20"/>
      <c r="E227" s="15"/>
      <c r="F227" s="15"/>
      <c r="G227" s="15"/>
      <c r="H227" s="16"/>
      <c r="I227" s="15"/>
      <c r="J227" s="15"/>
      <c r="K227" s="29"/>
      <c r="L227" s="19"/>
      <c r="M227" s="19">
        <f t="shared" si="44"/>
        <v>0</v>
      </c>
      <c r="N227" s="35"/>
      <c r="O227" s="19"/>
      <c r="P227" s="35"/>
      <c r="Q227" s="19"/>
      <c r="R227" s="18">
        <f t="shared" si="45"/>
        <v>0</v>
      </c>
      <c r="S227" s="34">
        <f t="shared" si="46"/>
        <v>0</v>
      </c>
      <c r="T227" s="18">
        <f t="shared" si="43"/>
        <v>0</v>
      </c>
      <c r="U227" s="17"/>
      <c r="V227" s="20"/>
      <c r="W227" s="20"/>
      <c r="X227" s="22"/>
      <c r="Y227" s="19"/>
      <c r="Z227" s="20"/>
      <c r="AA227" s="20"/>
    </row>
    <row r="228" spans="2:27" x14ac:dyDescent="0.3">
      <c r="B228" s="17"/>
      <c r="C228" s="17"/>
      <c r="D228" s="20"/>
      <c r="E228" s="15"/>
      <c r="F228" s="15"/>
      <c r="G228" s="15"/>
      <c r="H228" s="16"/>
      <c r="I228" s="15"/>
      <c r="J228" s="15"/>
      <c r="K228" s="29"/>
      <c r="L228" s="19"/>
      <c r="M228" s="19">
        <f t="shared" si="44"/>
        <v>0</v>
      </c>
      <c r="N228" s="35"/>
      <c r="O228" s="19"/>
      <c r="P228" s="35"/>
      <c r="Q228" s="19"/>
      <c r="R228" s="18">
        <f t="shared" si="45"/>
        <v>0</v>
      </c>
      <c r="S228" s="34">
        <f t="shared" si="46"/>
        <v>0</v>
      </c>
      <c r="T228" s="18">
        <f t="shared" si="43"/>
        <v>0</v>
      </c>
      <c r="U228" s="17"/>
      <c r="V228" s="20"/>
      <c r="W228" s="20"/>
      <c r="X228" s="22"/>
      <c r="Y228" s="19"/>
      <c r="Z228" s="20"/>
      <c r="AA228" s="20"/>
    </row>
    <row r="229" spans="2:27" x14ac:dyDescent="0.3">
      <c r="B229" s="17"/>
      <c r="C229" s="17"/>
      <c r="D229" s="20"/>
      <c r="E229" s="15"/>
      <c r="F229" s="15"/>
      <c r="G229" s="15"/>
      <c r="H229" s="16"/>
      <c r="I229" s="15"/>
      <c r="J229" s="15"/>
      <c r="K229" s="29"/>
      <c r="L229" s="19"/>
      <c r="M229" s="19">
        <f t="shared" si="44"/>
        <v>0</v>
      </c>
      <c r="N229" s="35"/>
      <c r="O229" s="19"/>
      <c r="P229" s="35"/>
      <c r="Q229" s="19"/>
      <c r="R229" s="18">
        <f t="shared" si="45"/>
        <v>0</v>
      </c>
      <c r="S229" s="34">
        <f t="shared" si="46"/>
        <v>0</v>
      </c>
      <c r="T229" s="18">
        <f t="shared" si="43"/>
        <v>0</v>
      </c>
      <c r="U229" s="17"/>
      <c r="V229" s="20"/>
      <c r="W229" s="20"/>
      <c r="X229" s="22"/>
      <c r="Y229" s="19"/>
      <c r="Z229" s="20"/>
      <c r="AA229" s="20"/>
    </row>
    <row r="230" spans="2:27" x14ac:dyDescent="0.3">
      <c r="B230" s="17"/>
      <c r="C230" s="17"/>
      <c r="D230" s="20"/>
      <c r="E230" s="15"/>
      <c r="F230" s="15"/>
      <c r="G230" s="15"/>
      <c r="H230" s="16"/>
      <c r="I230" s="15"/>
      <c r="J230" s="15"/>
      <c r="K230" s="29"/>
      <c r="L230" s="19"/>
      <c r="M230" s="19">
        <f t="shared" si="44"/>
        <v>0</v>
      </c>
      <c r="N230" s="35"/>
      <c r="O230" s="19"/>
      <c r="P230" s="35"/>
      <c r="Q230" s="19"/>
      <c r="R230" s="18">
        <f t="shared" si="45"/>
        <v>0</v>
      </c>
      <c r="S230" s="34">
        <f t="shared" si="46"/>
        <v>0</v>
      </c>
      <c r="T230" s="18">
        <f t="shared" ref="T230:T293" si="47">(L230*I230)+M230</f>
        <v>0</v>
      </c>
      <c r="U230" s="17"/>
      <c r="V230" s="20"/>
      <c r="W230" s="20"/>
      <c r="X230" s="22"/>
      <c r="Y230" s="19"/>
      <c r="Z230" s="20"/>
      <c r="AA230" s="20"/>
    </row>
    <row r="231" spans="2:27" x14ac:dyDescent="0.3">
      <c r="B231" s="17"/>
      <c r="C231" s="17"/>
      <c r="D231" s="20"/>
      <c r="E231" s="15"/>
      <c r="F231" s="15"/>
      <c r="G231" s="15"/>
      <c r="H231" s="16"/>
      <c r="I231" s="15"/>
      <c r="J231" s="15"/>
      <c r="K231" s="29"/>
      <c r="L231" s="19"/>
      <c r="M231" s="19">
        <f t="shared" si="44"/>
        <v>0</v>
      </c>
      <c r="N231" s="35"/>
      <c r="O231" s="19"/>
      <c r="P231" s="35"/>
      <c r="Q231" s="19"/>
      <c r="R231" s="18">
        <f t="shared" si="45"/>
        <v>0</v>
      </c>
      <c r="S231" s="34">
        <f t="shared" si="46"/>
        <v>0</v>
      </c>
      <c r="T231" s="18">
        <f t="shared" si="47"/>
        <v>0</v>
      </c>
      <c r="U231" s="17"/>
      <c r="V231" s="20"/>
      <c r="W231" s="20"/>
      <c r="X231" s="22"/>
      <c r="Y231" s="19"/>
      <c r="Z231" s="20"/>
      <c r="AA231" s="20"/>
    </row>
    <row r="232" spans="2:27" x14ac:dyDescent="0.3">
      <c r="B232" s="17"/>
      <c r="C232" s="17"/>
      <c r="D232" s="20"/>
      <c r="E232" s="15"/>
      <c r="F232" s="15"/>
      <c r="G232" s="15"/>
      <c r="H232" s="16"/>
      <c r="I232" s="15"/>
      <c r="J232" s="15"/>
      <c r="K232" s="29"/>
      <c r="L232" s="19"/>
      <c r="M232" s="19">
        <f t="shared" si="44"/>
        <v>0</v>
      </c>
      <c r="N232" s="35"/>
      <c r="O232" s="19"/>
      <c r="P232" s="35"/>
      <c r="Q232" s="19"/>
      <c r="R232" s="18">
        <f t="shared" si="45"/>
        <v>0</v>
      </c>
      <c r="S232" s="34">
        <f t="shared" si="46"/>
        <v>0</v>
      </c>
      <c r="T232" s="18">
        <f t="shared" si="47"/>
        <v>0</v>
      </c>
      <c r="U232" s="17"/>
      <c r="V232" s="20"/>
      <c r="W232" s="20"/>
      <c r="X232" s="22"/>
      <c r="Y232" s="19"/>
      <c r="Z232" s="20"/>
      <c r="AA232" s="20"/>
    </row>
    <row r="233" spans="2:27" x14ac:dyDescent="0.3">
      <c r="B233" s="17"/>
      <c r="C233" s="17"/>
      <c r="D233" s="20"/>
      <c r="E233" s="15"/>
      <c r="F233" s="15"/>
      <c r="G233" s="15"/>
      <c r="H233" s="16"/>
      <c r="I233" s="15"/>
      <c r="J233" s="15"/>
      <c r="K233" s="29"/>
      <c r="L233" s="19"/>
      <c r="M233" s="19">
        <f t="shared" si="44"/>
        <v>0</v>
      </c>
      <c r="N233" s="35"/>
      <c r="O233" s="19"/>
      <c r="P233" s="35"/>
      <c r="Q233" s="19"/>
      <c r="R233" s="18">
        <f t="shared" si="45"/>
        <v>0</v>
      </c>
      <c r="S233" s="34">
        <f t="shared" si="46"/>
        <v>0</v>
      </c>
      <c r="T233" s="18">
        <f t="shared" si="47"/>
        <v>0</v>
      </c>
      <c r="U233" s="17"/>
      <c r="V233" s="20"/>
      <c r="W233" s="20"/>
      <c r="X233" s="22"/>
      <c r="Y233" s="19"/>
      <c r="Z233" s="20"/>
      <c r="AA233" s="20"/>
    </row>
    <row r="234" spans="2:27" x14ac:dyDescent="0.3">
      <c r="B234" s="17"/>
      <c r="C234" s="17"/>
      <c r="D234" s="20"/>
      <c r="E234" s="15"/>
      <c r="F234" s="15"/>
      <c r="G234" s="15"/>
      <c r="H234" s="16"/>
      <c r="I234" s="15"/>
      <c r="J234" s="15"/>
      <c r="K234" s="29"/>
      <c r="L234" s="19"/>
      <c r="M234" s="19">
        <f t="shared" si="44"/>
        <v>0</v>
      </c>
      <c r="N234" s="35"/>
      <c r="O234" s="19"/>
      <c r="P234" s="35"/>
      <c r="Q234" s="19"/>
      <c r="R234" s="18">
        <f t="shared" si="45"/>
        <v>0</v>
      </c>
      <c r="S234" s="34">
        <f t="shared" si="46"/>
        <v>0</v>
      </c>
      <c r="T234" s="18">
        <f t="shared" si="47"/>
        <v>0</v>
      </c>
      <c r="U234" s="17"/>
      <c r="V234" s="20"/>
      <c r="W234" s="20"/>
      <c r="X234" s="22"/>
      <c r="Y234" s="19"/>
      <c r="Z234" s="20"/>
      <c r="AA234" s="20"/>
    </row>
    <row r="235" spans="2:27" x14ac:dyDescent="0.3">
      <c r="B235" s="17"/>
      <c r="C235" s="17"/>
      <c r="D235" s="20"/>
      <c r="E235" s="15"/>
      <c r="F235" s="15"/>
      <c r="G235" s="15"/>
      <c r="H235" s="16"/>
      <c r="I235" s="15"/>
      <c r="J235" s="15"/>
      <c r="K235" s="29"/>
      <c r="L235" s="19"/>
      <c r="M235" s="19">
        <f t="shared" si="44"/>
        <v>0</v>
      </c>
      <c r="N235" s="35"/>
      <c r="O235" s="19"/>
      <c r="P235" s="35"/>
      <c r="Q235" s="19"/>
      <c r="R235" s="18">
        <f t="shared" si="45"/>
        <v>0</v>
      </c>
      <c r="S235" s="34">
        <f t="shared" si="46"/>
        <v>0</v>
      </c>
      <c r="T235" s="18">
        <f t="shared" si="47"/>
        <v>0</v>
      </c>
      <c r="U235" s="17"/>
      <c r="V235" s="20"/>
      <c r="W235" s="20"/>
      <c r="X235" s="22"/>
      <c r="Y235" s="19"/>
      <c r="Z235" s="20"/>
      <c r="AA235" s="20"/>
    </row>
    <row r="236" spans="2:27" x14ac:dyDescent="0.3">
      <c r="B236" s="17"/>
      <c r="C236" s="17"/>
      <c r="D236" s="20"/>
      <c r="E236" s="15"/>
      <c r="F236" s="15"/>
      <c r="G236" s="15"/>
      <c r="H236" s="16"/>
      <c r="I236" s="15"/>
      <c r="J236" s="15"/>
      <c r="K236" s="29"/>
      <c r="L236" s="19"/>
      <c r="M236" s="19">
        <f t="shared" si="44"/>
        <v>0</v>
      </c>
      <c r="N236" s="35"/>
      <c r="O236" s="19"/>
      <c r="P236" s="35"/>
      <c r="Q236" s="19"/>
      <c r="R236" s="18">
        <f t="shared" si="45"/>
        <v>0</v>
      </c>
      <c r="S236" s="34">
        <f t="shared" si="46"/>
        <v>0</v>
      </c>
      <c r="T236" s="18">
        <f t="shared" si="47"/>
        <v>0</v>
      </c>
      <c r="U236" s="17"/>
      <c r="V236" s="20"/>
      <c r="W236" s="20"/>
      <c r="X236" s="22"/>
      <c r="Y236" s="19"/>
      <c r="Z236" s="20"/>
      <c r="AA236" s="20"/>
    </row>
    <row r="237" spans="2:27" x14ac:dyDescent="0.3">
      <c r="B237" s="17"/>
      <c r="C237" s="17"/>
      <c r="D237" s="20"/>
      <c r="E237" s="15"/>
      <c r="F237" s="15"/>
      <c r="G237" s="15"/>
      <c r="H237" s="16"/>
      <c r="I237" s="15"/>
      <c r="J237" s="15"/>
      <c r="K237" s="29"/>
      <c r="L237" s="19"/>
      <c r="M237" s="19">
        <f t="shared" si="44"/>
        <v>0</v>
      </c>
      <c r="N237" s="35"/>
      <c r="O237" s="19"/>
      <c r="P237" s="35"/>
      <c r="Q237" s="19"/>
      <c r="R237" s="18">
        <f t="shared" si="45"/>
        <v>0</v>
      </c>
      <c r="S237" s="34">
        <f t="shared" si="46"/>
        <v>0</v>
      </c>
      <c r="T237" s="18">
        <f t="shared" si="47"/>
        <v>0</v>
      </c>
      <c r="U237" s="17"/>
      <c r="V237" s="20"/>
      <c r="W237" s="20"/>
      <c r="X237" s="22"/>
      <c r="Y237" s="19"/>
      <c r="Z237" s="20"/>
      <c r="AA237" s="20"/>
    </row>
    <row r="238" spans="2:27" x14ac:dyDescent="0.3">
      <c r="B238" s="17"/>
      <c r="C238" s="17"/>
      <c r="D238" s="20"/>
      <c r="E238" s="15"/>
      <c r="F238" s="15"/>
      <c r="G238" s="15"/>
      <c r="H238" s="16"/>
      <c r="I238" s="15"/>
      <c r="J238" s="15"/>
      <c r="K238" s="29"/>
      <c r="L238" s="19"/>
      <c r="M238" s="19">
        <f t="shared" si="44"/>
        <v>0</v>
      </c>
      <c r="N238" s="35"/>
      <c r="O238" s="19"/>
      <c r="P238" s="35"/>
      <c r="Q238" s="19"/>
      <c r="R238" s="18">
        <f t="shared" si="45"/>
        <v>0</v>
      </c>
      <c r="S238" s="34">
        <f t="shared" si="46"/>
        <v>0</v>
      </c>
      <c r="T238" s="18">
        <f t="shared" si="47"/>
        <v>0</v>
      </c>
      <c r="U238" s="17"/>
      <c r="V238" s="20"/>
      <c r="W238" s="20"/>
      <c r="X238" s="22"/>
      <c r="Y238" s="19"/>
      <c r="Z238" s="20"/>
      <c r="AA238" s="20"/>
    </row>
    <row r="239" spans="2:27" x14ac:dyDescent="0.3">
      <c r="B239" s="17"/>
      <c r="C239" s="17"/>
      <c r="D239" s="20"/>
      <c r="E239" s="15"/>
      <c r="F239" s="15"/>
      <c r="G239" s="15"/>
      <c r="H239" s="16"/>
      <c r="I239" s="15"/>
      <c r="J239" s="15"/>
      <c r="K239" s="29"/>
      <c r="L239" s="19"/>
      <c r="M239" s="19">
        <f t="shared" ref="M239:M302" si="48">L239*0.1</f>
        <v>0</v>
      </c>
      <c r="N239" s="35"/>
      <c r="O239" s="19"/>
      <c r="P239" s="35"/>
      <c r="Q239" s="19"/>
      <c r="R239" s="18">
        <f t="shared" ref="R239:R302" si="49">O239+Q239</f>
        <v>0</v>
      </c>
      <c r="S239" s="34">
        <f t="shared" ref="S239:S302" si="50">T239-R239</f>
        <v>0</v>
      </c>
      <c r="T239" s="18">
        <f t="shared" si="47"/>
        <v>0</v>
      </c>
      <c r="U239" s="17"/>
      <c r="V239" s="20"/>
      <c r="W239" s="20"/>
      <c r="X239" s="22"/>
      <c r="Y239" s="19"/>
      <c r="Z239" s="20"/>
      <c r="AA239" s="20"/>
    </row>
    <row r="240" spans="2:27" x14ac:dyDescent="0.3">
      <c r="B240" s="17"/>
      <c r="C240" s="17"/>
      <c r="D240" s="20"/>
      <c r="E240" s="15"/>
      <c r="F240" s="15"/>
      <c r="G240" s="15"/>
      <c r="H240" s="16"/>
      <c r="I240" s="15"/>
      <c r="J240" s="15"/>
      <c r="K240" s="29"/>
      <c r="L240" s="19"/>
      <c r="M240" s="19">
        <f t="shared" si="48"/>
        <v>0</v>
      </c>
      <c r="N240" s="35"/>
      <c r="O240" s="19"/>
      <c r="P240" s="35"/>
      <c r="Q240" s="19"/>
      <c r="R240" s="18">
        <f t="shared" si="49"/>
        <v>0</v>
      </c>
      <c r="S240" s="34">
        <f t="shared" si="50"/>
        <v>0</v>
      </c>
      <c r="T240" s="18">
        <f t="shared" si="47"/>
        <v>0</v>
      </c>
      <c r="U240" s="17"/>
      <c r="V240" s="20"/>
      <c r="W240" s="20"/>
      <c r="X240" s="22"/>
      <c r="Y240" s="19"/>
      <c r="Z240" s="20"/>
      <c r="AA240" s="20"/>
    </row>
    <row r="241" spans="2:27" x14ac:dyDescent="0.3">
      <c r="B241" s="17"/>
      <c r="C241" s="17"/>
      <c r="D241" s="20"/>
      <c r="E241" s="15"/>
      <c r="F241" s="15"/>
      <c r="G241" s="15"/>
      <c r="H241" s="16"/>
      <c r="I241" s="15"/>
      <c r="J241" s="15"/>
      <c r="K241" s="29"/>
      <c r="L241" s="19"/>
      <c r="M241" s="19">
        <f t="shared" si="48"/>
        <v>0</v>
      </c>
      <c r="N241" s="35"/>
      <c r="O241" s="19"/>
      <c r="P241" s="35"/>
      <c r="Q241" s="19"/>
      <c r="R241" s="18">
        <f t="shared" si="49"/>
        <v>0</v>
      </c>
      <c r="S241" s="34">
        <f t="shared" si="50"/>
        <v>0</v>
      </c>
      <c r="T241" s="18">
        <f t="shared" si="47"/>
        <v>0</v>
      </c>
      <c r="U241" s="17"/>
      <c r="V241" s="20"/>
      <c r="W241" s="20"/>
      <c r="X241" s="22"/>
      <c r="Y241" s="19"/>
      <c r="Z241" s="20"/>
      <c r="AA241" s="20"/>
    </row>
    <row r="242" spans="2:27" x14ac:dyDescent="0.3">
      <c r="B242" s="17"/>
      <c r="C242" s="17"/>
      <c r="D242" s="20"/>
      <c r="E242" s="15"/>
      <c r="F242" s="15"/>
      <c r="G242" s="15"/>
      <c r="H242" s="16"/>
      <c r="I242" s="15"/>
      <c r="J242" s="15"/>
      <c r="K242" s="29"/>
      <c r="L242" s="19"/>
      <c r="M242" s="19">
        <f t="shared" si="48"/>
        <v>0</v>
      </c>
      <c r="N242" s="35"/>
      <c r="O242" s="19"/>
      <c r="P242" s="35"/>
      <c r="Q242" s="19"/>
      <c r="R242" s="18">
        <f t="shared" si="49"/>
        <v>0</v>
      </c>
      <c r="S242" s="34">
        <f t="shared" si="50"/>
        <v>0</v>
      </c>
      <c r="T242" s="18">
        <f t="shared" si="47"/>
        <v>0</v>
      </c>
      <c r="U242" s="17"/>
      <c r="V242" s="20"/>
      <c r="W242" s="20"/>
      <c r="X242" s="22"/>
      <c r="Y242" s="19"/>
      <c r="Z242" s="20"/>
      <c r="AA242" s="20"/>
    </row>
    <row r="243" spans="2:27" x14ac:dyDescent="0.3">
      <c r="B243" s="17"/>
      <c r="C243" s="17"/>
      <c r="D243" s="20"/>
      <c r="E243" s="15"/>
      <c r="F243" s="15"/>
      <c r="G243" s="15"/>
      <c r="H243" s="16"/>
      <c r="I243" s="15"/>
      <c r="J243" s="15"/>
      <c r="K243" s="29"/>
      <c r="L243" s="19"/>
      <c r="M243" s="19">
        <f t="shared" si="48"/>
        <v>0</v>
      </c>
      <c r="N243" s="35"/>
      <c r="O243" s="19"/>
      <c r="P243" s="35"/>
      <c r="Q243" s="19"/>
      <c r="R243" s="18">
        <f t="shared" si="49"/>
        <v>0</v>
      </c>
      <c r="S243" s="34">
        <f t="shared" si="50"/>
        <v>0</v>
      </c>
      <c r="T243" s="18">
        <f t="shared" si="47"/>
        <v>0</v>
      </c>
      <c r="U243" s="17"/>
      <c r="V243" s="20"/>
      <c r="W243" s="20"/>
      <c r="X243" s="22"/>
      <c r="Y243" s="19"/>
      <c r="Z243" s="20"/>
      <c r="AA243" s="20"/>
    </row>
    <row r="244" spans="2:27" x14ac:dyDescent="0.3">
      <c r="B244" s="17"/>
      <c r="C244" s="17"/>
      <c r="D244" s="20"/>
      <c r="E244" s="15"/>
      <c r="F244" s="15"/>
      <c r="G244" s="15"/>
      <c r="H244" s="16"/>
      <c r="I244" s="15"/>
      <c r="J244" s="15"/>
      <c r="K244" s="29"/>
      <c r="L244" s="19"/>
      <c r="M244" s="19">
        <f t="shared" si="48"/>
        <v>0</v>
      </c>
      <c r="N244" s="35"/>
      <c r="O244" s="19"/>
      <c r="P244" s="35"/>
      <c r="Q244" s="19"/>
      <c r="R244" s="18">
        <f t="shared" si="49"/>
        <v>0</v>
      </c>
      <c r="S244" s="34">
        <f t="shared" si="50"/>
        <v>0</v>
      </c>
      <c r="T244" s="18">
        <f t="shared" si="47"/>
        <v>0</v>
      </c>
      <c r="U244" s="17"/>
      <c r="V244" s="20"/>
      <c r="W244" s="20"/>
      <c r="X244" s="22"/>
      <c r="Y244" s="19"/>
      <c r="Z244" s="20"/>
      <c r="AA244" s="20"/>
    </row>
    <row r="245" spans="2:27" x14ac:dyDescent="0.3">
      <c r="B245" s="17"/>
      <c r="C245" s="17"/>
      <c r="D245" s="20"/>
      <c r="E245" s="15"/>
      <c r="F245" s="15"/>
      <c r="G245" s="15"/>
      <c r="H245" s="16"/>
      <c r="I245" s="15"/>
      <c r="J245" s="15"/>
      <c r="K245" s="29"/>
      <c r="L245" s="19"/>
      <c r="M245" s="19">
        <f t="shared" si="48"/>
        <v>0</v>
      </c>
      <c r="N245" s="35"/>
      <c r="O245" s="19"/>
      <c r="P245" s="35"/>
      <c r="Q245" s="19"/>
      <c r="R245" s="18">
        <f t="shared" si="49"/>
        <v>0</v>
      </c>
      <c r="S245" s="34">
        <f t="shared" si="50"/>
        <v>0</v>
      </c>
      <c r="T245" s="18">
        <f t="shared" si="47"/>
        <v>0</v>
      </c>
      <c r="U245" s="17"/>
      <c r="V245" s="20"/>
      <c r="W245" s="20"/>
      <c r="X245" s="22"/>
      <c r="Y245" s="19"/>
      <c r="Z245" s="20"/>
      <c r="AA245" s="20"/>
    </row>
    <row r="246" spans="2:27" x14ac:dyDescent="0.3">
      <c r="B246" s="17"/>
      <c r="C246" s="17"/>
      <c r="D246" s="20"/>
      <c r="E246" s="15"/>
      <c r="F246" s="15"/>
      <c r="G246" s="15"/>
      <c r="H246" s="16"/>
      <c r="I246" s="15"/>
      <c r="J246" s="15"/>
      <c r="K246" s="29"/>
      <c r="L246" s="19"/>
      <c r="M246" s="19">
        <f t="shared" si="48"/>
        <v>0</v>
      </c>
      <c r="N246" s="35"/>
      <c r="O246" s="19"/>
      <c r="P246" s="35"/>
      <c r="Q246" s="19"/>
      <c r="R246" s="18">
        <f t="shared" si="49"/>
        <v>0</v>
      </c>
      <c r="S246" s="34">
        <f t="shared" si="50"/>
        <v>0</v>
      </c>
      <c r="T246" s="18">
        <f t="shared" si="47"/>
        <v>0</v>
      </c>
      <c r="U246" s="17"/>
      <c r="V246" s="20"/>
      <c r="W246" s="20"/>
      <c r="X246" s="22"/>
      <c r="Y246" s="19"/>
      <c r="Z246" s="20"/>
      <c r="AA246" s="20"/>
    </row>
    <row r="247" spans="2:27" x14ac:dyDescent="0.3">
      <c r="B247" s="17"/>
      <c r="C247" s="17"/>
      <c r="D247" s="20"/>
      <c r="E247" s="15"/>
      <c r="F247" s="15"/>
      <c r="G247" s="15"/>
      <c r="H247" s="16"/>
      <c r="I247" s="15"/>
      <c r="J247" s="15"/>
      <c r="K247" s="29"/>
      <c r="L247" s="19"/>
      <c r="M247" s="19">
        <f t="shared" si="48"/>
        <v>0</v>
      </c>
      <c r="N247" s="35"/>
      <c r="O247" s="19"/>
      <c r="P247" s="35"/>
      <c r="Q247" s="19"/>
      <c r="R247" s="18">
        <f t="shared" si="49"/>
        <v>0</v>
      </c>
      <c r="S247" s="34">
        <f t="shared" si="50"/>
        <v>0</v>
      </c>
      <c r="T247" s="18">
        <f t="shared" si="47"/>
        <v>0</v>
      </c>
      <c r="U247" s="17"/>
      <c r="V247" s="20"/>
      <c r="W247" s="20"/>
      <c r="X247" s="22"/>
      <c r="Y247" s="19"/>
      <c r="Z247" s="20"/>
      <c r="AA247" s="20"/>
    </row>
    <row r="248" spans="2:27" x14ac:dyDescent="0.3">
      <c r="B248" s="17"/>
      <c r="C248" s="17"/>
      <c r="D248" s="20"/>
      <c r="E248" s="15"/>
      <c r="F248" s="15"/>
      <c r="G248" s="15"/>
      <c r="H248" s="16"/>
      <c r="I248" s="15"/>
      <c r="J248" s="15"/>
      <c r="K248" s="29"/>
      <c r="L248" s="19"/>
      <c r="M248" s="19">
        <f t="shared" si="48"/>
        <v>0</v>
      </c>
      <c r="N248" s="35"/>
      <c r="O248" s="19"/>
      <c r="P248" s="35"/>
      <c r="Q248" s="19"/>
      <c r="R248" s="18">
        <f t="shared" si="49"/>
        <v>0</v>
      </c>
      <c r="S248" s="34">
        <f t="shared" si="50"/>
        <v>0</v>
      </c>
      <c r="T248" s="18">
        <f t="shared" si="47"/>
        <v>0</v>
      </c>
      <c r="U248" s="17"/>
      <c r="V248" s="20"/>
      <c r="W248" s="20"/>
      <c r="X248" s="22"/>
      <c r="Y248" s="19"/>
      <c r="Z248" s="20"/>
      <c r="AA248" s="20"/>
    </row>
    <row r="249" spans="2:27" x14ac:dyDescent="0.3">
      <c r="B249" s="17"/>
      <c r="C249" s="17"/>
      <c r="D249" s="20"/>
      <c r="E249" s="15"/>
      <c r="F249" s="15"/>
      <c r="G249" s="15"/>
      <c r="H249" s="16"/>
      <c r="I249" s="15"/>
      <c r="J249" s="15"/>
      <c r="K249" s="29"/>
      <c r="L249" s="19"/>
      <c r="M249" s="19">
        <f t="shared" si="48"/>
        <v>0</v>
      </c>
      <c r="N249" s="35"/>
      <c r="O249" s="19"/>
      <c r="P249" s="35"/>
      <c r="Q249" s="19"/>
      <c r="R249" s="18">
        <f t="shared" si="49"/>
        <v>0</v>
      </c>
      <c r="S249" s="34">
        <f t="shared" si="50"/>
        <v>0</v>
      </c>
      <c r="T249" s="18">
        <f t="shared" si="47"/>
        <v>0</v>
      </c>
      <c r="U249" s="17"/>
      <c r="V249" s="20"/>
      <c r="W249" s="20"/>
      <c r="X249" s="22"/>
      <c r="Y249" s="19"/>
      <c r="Z249" s="20"/>
      <c r="AA249" s="20"/>
    </row>
    <row r="250" spans="2:27" x14ac:dyDescent="0.3">
      <c r="B250" s="17"/>
      <c r="C250" s="17"/>
      <c r="D250" s="20"/>
      <c r="E250" s="15"/>
      <c r="F250" s="15"/>
      <c r="G250" s="15"/>
      <c r="H250" s="16"/>
      <c r="I250" s="15"/>
      <c r="J250" s="15"/>
      <c r="K250" s="29"/>
      <c r="L250" s="19"/>
      <c r="M250" s="19">
        <f t="shared" si="48"/>
        <v>0</v>
      </c>
      <c r="N250" s="35"/>
      <c r="O250" s="19"/>
      <c r="P250" s="35"/>
      <c r="Q250" s="19"/>
      <c r="R250" s="18">
        <f t="shared" si="49"/>
        <v>0</v>
      </c>
      <c r="S250" s="34">
        <f t="shared" si="50"/>
        <v>0</v>
      </c>
      <c r="T250" s="18">
        <f t="shared" si="47"/>
        <v>0</v>
      </c>
      <c r="U250" s="17"/>
      <c r="V250" s="20"/>
      <c r="W250" s="20"/>
      <c r="X250" s="22"/>
      <c r="Y250" s="19"/>
      <c r="Z250" s="20"/>
      <c r="AA250" s="20"/>
    </row>
    <row r="251" spans="2:27" x14ac:dyDescent="0.3">
      <c r="B251" s="17"/>
      <c r="C251" s="17"/>
      <c r="D251" s="20"/>
      <c r="E251" s="15"/>
      <c r="F251" s="15"/>
      <c r="G251" s="15"/>
      <c r="H251" s="16"/>
      <c r="I251" s="15"/>
      <c r="J251" s="15"/>
      <c r="K251" s="29"/>
      <c r="L251" s="19"/>
      <c r="M251" s="19">
        <f t="shared" si="48"/>
        <v>0</v>
      </c>
      <c r="N251" s="35"/>
      <c r="O251" s="19"/>
      <c r="P251" s="35"/>
      <c r="Q251" s="19"/>
      <c r="R251" s="18">
        <f t="shared" si="49"/>
        <v>0</v>
      </c>
      <c r="S251" s="34">
        <f t="shared" si="50"/>
        <v>0</v>
      </c>
      <c r="T251" s="18">
        <f t="shared" si="47"/>
        <v>0</v>
      </c>
      <c r="U251" s="17"/>
      <c r="V251" s="20"/>
      <c r="W251" s="20"/>
      <c r="X251" s="22"/>
      <c r="Y251" s="19"/>
      <c r="Z251" s="20"/>
      <c r="AA251" s="20"/>
    </row>
    <row r="252" spans="2:27" x14ac:dyDescent="0.3">
      <c r="B252" s="17"/>
      <c r="C252" s="17"/>
      <c r="D252" s="20"/>
      <c r="E252" s="15"/>
      <c r="F252" s="15"/>
      <c r="G252" s="15"/>
      <c r="H252" s="16"/>
      <c r="I252" s="15"/>
      <c r="J252" s="15"/>
      <c r="K252" s="29"/>
      <c r="L252" s="19"/>
      <c r="M252" s="19">
        <f t="shared" si="48"/>
        <v>0</v>
      </c>
      <c r="N252" s="35"/>
      <c r="O252" s="19"/>
      <c r="P252" s="35"/>
      <c r="Q252" s="19"/>
      <c r="R252" s="18">
        <f t="shared" si="49"/>
        <v>0</v>
      </c>
      <c r="S252" s="34">
        <f t="shared" si="50"/>
        <v>0</v>
      </c>
      <c r="T252" s="18">
        <f t="shared" si="47"/>
        <v>0</v>
      </c>
      <c r="U252" s="17"/>
      <c r="V252" s="20"/>
      <c r="W252" s="20"/>
      <c r="X252" s="22"/>
      <c r="Y252" s="19"/>
      <c r="Z252" s="20"/>
      <c r="AA252" s="20"/>
    </row>
    <row r="253" spans="2:27" x14ac:dyDescent="0.3">
      <c r="B253" s="17"/>
      <c r="C253" s="17"/>
      <c r="D253" s="20"/>
      <c r="E253" s="15"/>
      <c r="F253" s="15"/>
      <c r="G253" s="15"/>
      <c r="H253" s="16"/>
      <c r="I253" s="15"/>
      <c r="J253" s="15"/>
      <c r="K253" s="29"/>
      <c r="L253" s="19"/>
      <c r="M253" s="19">
        <f t="shared" si="48"/>
        <v>0</v>
      </c>
      <c r="N253" s="35"/>
      <c r="O253" s="19"/>
      <c r="P253" s="35"/>
      <c r="Q253" s="19"/>
      <c r="R253" s="18">
        <f t="shared" si="49"/>
        <v>0</v>
      </c>
      <c r="S253" s="34">
        <f t="shared" si="50"/>
        <v>0</v>
      </c>
      <c r="T253" s="18">
        <f t="shared" si="47"/>
        <v>0</v>
      </c>
      <c r="U253" s="17"/>
      <c r="V253" s="20"/>
      <c r="W253" s="20"/>
      <c r="X253" s="22"/>
      <c r="Y253" s="19"/>
      <c r="Z253" s="20"/>
      <c r="AA253" s="20"/>
    </row>
    <row r="254" spans="2:27" x14ac:dyDescent="0.3">
      <c r="B254" s="17"/>
      <c r="C254" s="17"/>
      <c r="D254" s="20"/>
      <c r="E254" s="15"/>
      <c r="F254" s="15"/>
      <c r="G254" s="15"/>
      <c r="H254" s="16"/>
      <c r="I254" s="15"/>
      <c r="J254" s="15"/>
      <c r="K254" s="29"/>
      <c r="L254" s="19"/>
      <c r="M254" s="19">
        <f t="shared" si="48"/>
        <v>0</v>
      </c>
      <c r="N254" s="35"/>
      <c r="O254" s="19"/>
      <c r="P254" s="35"/>
      <c r="Q254" s="19"/>
      <c r="R254" s="18">
        <f t="shared" si="49"/>
        <v>0</v>
      </c>
      <c r="S254" s="34">
        <f t="shared" si="50"/>
        <v>0</v>
      </c>
      <c r="T254" s="18">
        <f t="shared" si="47"/>
        <v>0</v>
      </c>
      <c r="U254" s="17"/>
      <c r="V254" s="20"/>
      <c r="W254" s="20"/>
      <c r="X254" s="22"/>
      <c r="Y254" s="19"/>
      <c r="Z254" s="20"/>
      <c r="AA254" s="20"/>
    </row>
    <row r="255" spans="2:27" x14ac:dyDescent="0.3">
      <c r="B255" s="17"/>
      <c r="C255" s="17"/>
      <c r="D255" s="20"/>
      <c r="E255" s="15"/>
      <c r="F255" s="15"/>
      <c r="G255" s="15"/>
      <c r="H255" s="16"/>
      <c r="I255" s="15"/>
      <c r="J255" s="15"/>
      <c r="K255" s="29"/>
      <c r="L255" s="19"/>
      <c r="M255" s="19">
        <f t="shared" si="48"/>
        <v>0</v>
      </c>
      <c r="N255" s="35"/>
      <c r="O255" s="19"/>
      <c r="P255" s="35"/>
      <c r="Q255" s="19"/>
      <c r="R255" s="18">
        <f t="shared" si="49"/>
        <v>0</v>
      </c>
      <c r="S255" s="34">
        <f t="shared" si="50"/>
        <v>0</v>
      </c>
      <c r="T255" s="18">
        <f t="shared" si="47"/>
        <v>0</v>
      </c>
      <c r="U255" s="17"/>
      <c r="V255" s="20"/>
      <c r="W255" s="20"/>
      <c r="X255" s="22"/>
      <c r="Y255" s="19"/>
      <c r="Z255" s="20"/>
      <c r="AA255" s="20"/>
    </row>
    <row r="256" spans="2:27" x14ac:dyDescent="0.3">
      <c r="B256" s="17"/>
      <c r="C256" s="17"/>
      <c r="D256" s="20"/>
      <c r="E256" s="15"/>
      <c r="F256" s="15"/>
      <c r="G256" s="15"/>
      <c r="H256" s="16"/>
      <c r="I256" s="15"/>
      <c r="J256" s="15"/>
      <c r="K256" s="29"/>
      <c r="L256" s="19"/>
      <c r="M256" s="19">
        <f t="shared" si="48"/>
        <v>0</v>
      </c>
      <c r="N256" s="35"/>
      <c r="O256" s="19"/>
      <c r="P256" s="35"/>
      <c r="Q256" s="19"/>
      <c r="R256" s="18">
        <f t="shared" si="49"/>
        <v>0</v>
      </c>
      <c r="S256" s="34">
        <f t="shared" si="50"/>
        <v>0</v>
      </c>
      <c r="T256" s="18">
        <f t="shared" si="47"/>
        <v>0</v>
      </c>
      <c r="U256" s="17"/>
      <c r="V256" s="20"/>
      <c r="W256" s="20"/>
      <c r="X256" s="22"/>
      <c r="Y256" s="19"/>
      <c r="Z256" s="20"/>
      <c r="AA256" s="20"/>
    </row>
    <row r="257" spans="2:27" x14ac:dyDescent="0.3">
      <c r="B257" s="17"/>
      <c r="C257" s="17"/>
      <c r="D257" s="20"/>
      <c r="E257" s="15"/>
      <c r="F257" s="15"/>
      <c r="G257" s="15"/>
      <c r="H257" s="16"/>
      <c r="I257" s="15"/>
      <c r="J257" s="15"/>
      <c r="K257" s="29"/>
      <c r="L257" s="19"/>
      <c r="M257" s="19">
        <f t="shared" si="48"/>
        <v>0</v>
      </c>
      <c r="N257" s="35"/>
      <c r="O257" s="19"/>
      <c r="P257" s="35"/>
      <c r="Q257" s="19"/>
      <c r="R257" s="18">
        <f t="shared" si="49"/>
        <v>0</v>
      </c>
      <c r="S257" s="34">
        <f t="shared" si="50"/>
        <v>0</v>
      </c>
      <c r="T257" s="18">
        <f t="shared" si="47"/>
        <v>0</v>
      </c>
      <c r="U257" s="17"/>
      <c r="V257" s="20"/>
      <c r="W257" s="20"/>
      <c r="X257" s="22"/>
      <c r="Y257" s="19"/>
      <c r="Z257" s="20"/>
      <c r="AA257" s="20"/>
    </row>
    <row r="258" spans="2:27" x14ac:dyDescent="0.3">
      <c r="B258" s="17"/>
      <c r="C258" s="17"/>
      <c r="D258" s="20"/>
      <c r="E258" s="15"/>
      <c r="F258" s="15"/>
      <c r="G258" s="15"/>
      <c r="H258" s="16"/>
      <c r="I258" s="15"/>
      <c r="J258" s="15"/>
      <c r="K258" s="29"/>
      <c r="L258" s="19"/>
      <c r="M258" s="19">
        <f t="shared" si="48"/>
        <v>0</v>
      </c>
      <c r="N258" s="35"/>
      <c r="O258" s="19"/>
      <c r="P258" s="35"/>
      <c r="Q258" s="19"/>
      <c r="R258" s="18">
        <f t="shared" si="49"/>
        <v>0</v>
      </c>
      <c r="S258" s="34">
        <f t="shared" si="50"/>
        <v>0</v>
      </c>
      <c r="T258" s="18">
        <f t="shared" si="47"/>
        <v>0</v>
      </c>
      <c r="U258" s="17"/>
      <c r="V258" s="20"/>
      <c r="W258" s="20"/>
      <c r="X258" s="22"/>
      <c r="Y258" s="19"/>
      <c r="Z258" s="20"/>
      <c r="AA258" s="20"/>
    </row>
    <row r="259" spans="2:27" x14ac:dyDescent="0.3">
      <c r="B259" s="17"/>
      <c r="C259" s="17"/>
      <c r="D259" s="20"/>
      <c r="E259" s="15"/>
      <c r="F259" s="15"/>
      <c r="G259" s="15"/>
      <c r="H259" s="16"/>
      <c r="I259" s="15"/>
      <c r="J259" s="15"/>
      <c r="K259" s="29"/>
      <c r="L259" s="19"/>
      <c r="M259" s="19">
        <f t="shared" si="48"/>
        <v>0</v>
      </c>
      <c r="N259" s="35"/>
      <c r="O259" s="19"/>
      <c r="P259" s="35"/>
      <c r="Q259" s="19"/>
      <c r="R259" s="18">
        <f t="shared" si="49"/>
        <v>0</v>
      </c>
      <c r="S259" s="34">
        <f t="shared" si="50"/>
        <v>0</v>
      </c>
      <c r="T259" s="18">
        <f t="shared" si="47"/>
        <v>0</v>
      </c>
      <c r="U259" s="17"/>
      <c r="V259" s="20"/>
      <c r="W259" s="20"/>
      <c r="X259" s="22"/>
      <c r="Y259" s="19"/>
      <c r="Z259" s="20"/>
      <c r="AA259" s="20"/>
    </row>
    <row r="260" spans="2:27" x14ac:dyDescent="0.3">
      <c r="B260" s="17"/>
      <c r="C260" s="17"/>
      <c r="D260" s="20"/>
      <c r="E260" s="15"/>
      <c r="F260" s="15"/>
      <c r="G260" s="15"/>
      <c r="H260" s="16"/>
      <c r="I260" s="15"/>
      <c r="J260" s="15"/>
      <c r="K260" s="29"/>
      <c r="L260" s="19"/>
      <c r="M260" s="19">
        <f t="shared" si="48"/>
        <v>0</v>
      </c>
      <c r="N260" s="35"/>
      <c r="O260" s="19"/>
      <c r="P260" s="35"/>
      <c r="Q260" s="19"/>
      <c r="R260" s="18">
        <f t="shared" si="49"/>
        <v>0</v>
      </c>
      <c r="S260" s="34">
        <f t="shared" si="50"/>
        <v>0</v>
      </c>
      <c r="T260" s="18">
        <f t="shared" si="47"/>
        <v>0</v>
      </c>
      <c r="U260" s="17"/>
      <c r="V260" s="20"/>
      <c r="W260" s="20"/>
      <c r="X260" s="22"/>
      <c r="Y260" s="19"/>
      <c r="Z260" s="20"/>
      <c r="AA260" s="20"/>
    </row>
    <row r="261" spans="2:27" x14ac:dyDescent="0.3">
      <c r="B261" s="17"/>
      <c r="C261" s="17"/>
      <c r="D261" s="20"/>
      <c r="E261" s="15"/>
      <c r="F261" s="15"/>
      <c r="G261" s="15"/>
      <c r="H261" s="16"/>
      <c r="I261" s="15"/>
      <c r="J261" s="15"/>
      <c r="K261" s="29"/>
      <c r="L261" s="19"/>
      <c r="M261" s="19">
        <f t="shared" si="48"/>
        <v>0</v>
      </c>
      <c r="N261" s="35"/>
      <c r="O261" s="19"/>
      <c r="P261" s="35"/>
      <c r="Q261" s="19"/>
      <c r="R261" s="18">
        <f t="shared" si="49"/>
        <v>0</v>
      </c>
      <c r="S261" s="34">
        <f t="shared" si="50"/>
        <v>0</v>
      </c>
      <c r="T261" s="18">
        <f t="shared" si="47"/>
        <v>0</v>
      </c>
      <c r="U261" s="17"/>
      <c r="V261" s="20"/>
      <c r="W261" s="20"/>
      <c r="X261" s="22"/>
      <c r="Y261" s="19"/>
      <c r="Z261" s="20"/>
      <c r="AA261" s="20"/>
    </row>
    <row r="262" spans="2:27" x14ac:dyDescent="0.3">
      <c r="B262" s="17"/>
      <c r="C262" s="17"/>
      <c r="D262" s="20"/>
      <c r="E262" s="15"/>
      <c r="F262" s="15"/>
      <c r="G262" s="15"/>
      <c r="H262" s="16"/>
      <c r="I262" s="15"/>
      <c r="J262" s="15"/>
      <c r="K262" s="29"/>
      <c r="L262" s="19"/>
      <c r="M262" s="19">
        <f t="shared" si="48"/>
        <v>0</v>
      </c>
      <c r="N262" s="35"/>
      <c r="O262" s="19"/>
      <c r="P262" s="35"/>
      <c r="Q262" s="19"/>
      <c r="R262" s="18">
        <f t="shared" si="49"/>
        <v>0</v>
      </c>
      <c r="S262" s="34">
        <f t="shared" si="50"/>
        <v>0</v>
      </c>
      <c r="T262" s="18">
        <f t="shared" si="47"/>
        <v>0</v>
      </c>
      <c r="U262" s="17"/>
      <c r="V262" s="20"/>
      <c r="W262" s="20"/>
      <c r="X262" s="22"/>
      <c r="Y262" s="19"/>
      <c r="Z262" s="20"/>
      <c r="AA262" s="20"/>
    </row>
    <row r="263" spans="2:27" x14ac:dyDescent="0.3">
      <c r="B263" s="17"/>
      <c r="C263" s="17"/>
      <c r="D263" s="20"/>
      <c r="E263" s="15"/>
      <c r="F263" s="15"/>
      <c r="G263" s="15"/>
      <c r="H263" s="16"/>
      <c r="I263" s="15"/>
      <c r="J263" s="15"/>
      <c r="K263" s="29"/>
      <c r="L263" s="19"/>
      <c r="M263" s="19">
        <f t="shared" si="48"/>
        <v>0</v>
      </c>
      <c r="N263" s="35"/>
      <c r="O263" s="19"/>
      <c r="P263" s="35"/>
      <c r="Q263" s="19"/>
      <c r="R263" s="18">
        <f t="shared" si="49"/>
        <v>0</v>
      </c>
      <c r="S263" s="34">
        <f t="shared" si="50"/>
        <v>0</v>
      </c>
      <c r="T263" s="18">
        <f t="shared" si="47"/>
        <v>0</v>
      </c>
      <c r="U263" s="17"/>
      <c r="V263" s="20"/>
      <c r="W263" s="20"/>
      <c r="X263" s="22"/>
      <c r="Y263" s="19"/>
      <c r="Z263" s="20"/>
      <c r="AA263" s="20"/>
    </row>
    <row r="264" spans="2:27" x14ac:dyDescent="0.3">
      <c r="B264" s="17"/>
      <c r="C264" s="17"/>
      <c r="D264" s="20"/>
      <c r="E264" s="15"/>
      <c r="F264" s="15"/>
      <c r="G264" s="15"/>
      <c r="H264" s="16"/>
      <c r="I264" s="15"/>
      <c r="J264" s="15"/>
      <c r="K264" s="29"/>
      <c r="L264" s="19"/>
      <c r="M264" s="19">
        <f t="shared" si="48"/>
        <v>0</v>
      </c>
      <c r="N264" s="35"/>
      <c r="O264" s="19"/>
      <c r="P264" s="35"/>
      <c r="Q264" s="19"/>
      <c r="R264" s="18">
        <f t="shared" si="49"/>
        <v>0</v>
      </c>
      <c r="S264" s="34">
        <f t="shared" si="50"/>
        <v>0</v>
      </c>
      <c r="T264" s="18">
        <f t="shared" si="47"/>
        <v>0</v>
      </c>
      <c r="U264" s="17"/>
      <c r="V264" s="20"/>
      <c r="W264" s="20"/>
      <c r="X264" s="22"/>
      <c r="Y264" s="19"/>
      <c r="Z264" s="20"/>
      <c r="AA264" s="20"/>
    </row>
    <row r="265" spans="2:27" x14ac:dyDescent="0.3">
      <c r="B265" s="17"/>
      <c r="C265" s="17"/>
      <c r="D265" s="20"/>
      <c r="E265" s="15"/>
      <c r="F265" s="15"/>
      <c r="G265" s="15"/>
      <c r="H265" s="16"/>
      <c r="I265" s="15"/>
      <c r="J265" s="15"/>
      <c r="K265" s="29"/>
      <c r="L265" s="19"/>
      <c r="M265" s="19">
        <f t="shared" si="48"/>
        <v>0</v>
      </c>
      <c r="N265" s="35"/>
      <c r="O265" s="19"/>
      <c r="P265" s="35"/>
      <c r="Q265" s="19"/>
      <c r="R265" s="18">
        <f t="shared" si="49"/>
        <v>0</v>
      </c>
      <c r="S265" s="34">
        <f t="shared" si="50"/>
        <v>0</v>
      </c>
      <c r="T265" s="18">
        <f t="shared" si="47"/>
        <v>0</v>
      </c>
      <c r="U265" s="17"/>
      <c r="V265" s="20"/>
      <c r="W265" s="20"/>
      <c r="X265" s="22"/>
      <c r="Y265" s="19"/>
      <c r="Z265" s="20"/>
      <c r="AA265" s="20"/>
    </row>
    <row r="266" spans="2:27" x14ac:dyDescent="0.3">
      <c r="B266" s="17"/>
      <c r="C266" s="17"/>
      <c r="D266" s="20"/>
      <c r="E266" s="15"/>
      <c r="F266" s="15"/>
      <c r="G266" s="15"/>
      <c r="H266" s="16"/>
      <c r="I266" s="15"/>
      <c r="J266" s="15"/>
      <c r="K266" s="29"/>
      <c r="L266" s="19"/>
      <c r="M266" s="19">
        <f t="shared" si="48"/>
        <v>0</v>
      </c>
      <c r="N266" s="35"/>
      <c r="O266" s="19"/>
      <c r="P266" s="35"/>
      <c r="Q266" s="19"/>
      <c r="R266" s="18">
        <f t="shared" si="49"/>
        <v>0</v>
      </c>
      <c r="S266" s="34">
        <f t="shared" si="50"/>
        <v>0</v>
      </c>
      <c r="T266" s="18">
        <f t="shared" si="47"/>
        <v>0</v>
      </c>
      <c r="U266" s="17"/>
      <c r="V266" s="20"/>
      <c r="W266" s="20"/>
      <c r="X266" s="22"/>
      <c r="Y266" s="19"/>
      <c r="Z266" s="20"/>
      <c r="AA266" s="20"/>
    </row>
    <row r="267" spans="2:27" x14ac:dyDescent="0.3">
      <c r="B267" s="17"/>
      <c r="C267" s="17"/>
      <c r="D267" s="20"/>
      <c r="E267" s="15"/>
      <c r="F267" s="15"/>
      <c r="G267" s="15"/>
      <c r="H267" s="16"/>
      <c r="I267" s="15"/>
      <c r="J267" s="15"/>
      <c r="K267" s="29"/>
      <c r="L267" s="19"/>
      <c r="M267" s="19">
        <f t="shared" si="48"/>
        <v>0</v>
      </c>
      <c r="N267" s="35"/>
      <c r="O267" s="19"/>
      <c r="P267" s="35"/>
      <c r="Q267" s="19"/>
      <c r="R267" s="18">
        <f t="shared" si="49"/>
        <v>0</v>
      </c>
      <c r="S267" s="34">
        <f t="shared" si="50"/>
        <v>0</v>
      </c>
      <c r="T267" s="18">
        <f t="shared" si="47"/>
        <v>0</v>
      </c>
      <c r="U267" s="17"/>
      <c r="V267" s="20"/>
      <c r="W267" s="20"/>
      <c r="X267" s="22"/>
      <c r="Y267" s="19"/>
      <c r="Z267" s="20"/>
      <c r="AA267" s="20"/>
    </row>
    <row r="268" spans="2:27" x14ac:dyDescent="0.3">
      <c r="B268" s="17"/>
      <c r="C268" s="17"/>
      <c r="D268" s="20"/>
      <c r="E268" s="15"/>
      <c r="F268" s="15"/>
      <c r="G268" s="15"/>
      <c r="H268" s="16"/>
      <c r="I268" s="15"/>
      <c r="J268" s="15"/>
      <c r="K268" s="29"/>
      <c r="L268" s="19"/>
      <c r="M268" s="19">
        <f t="shared" si="48"/>
        <v>0</v>
      </c>
      <c r="N268" s="35"/>
      <c r="O268" s="19"/>
      <c r="P268" s="35"/>
      <c r="Q268" s="19"/>
      <c r="R268" s="18">
        <f t="shared" si="49"/>
        <v>0</v>
      </c>
      <c r="S268" s="34">
        <f t="shared" si="50"/>
        <v>0</v>
      </c>
      <c r="T268" s="18">
        <f t="shared" si="47"/>
        <v>0</v>
      </c>
      <c r="U268" s="17"/>
      <c r="V268" s="20"/>
      <c r="W268" s="20"/>
      <c r="X268" s="22"/>
      <c r="Y268" s="19"/>
      <c r="Z268" s="20"/>
      <c r="AA268" s="20"/>
    </row>
    <row r="269" spans="2:27" x14ac:dyDescent="0.3">
      <c r="B269" s="17"/>
      <c r="C269" s="17"/>
      <c r="D269" s="20"/>
      <c r="E269" s="15"/>
      <c r="F269" s="15"/>
      <c r="G269" s="15"/>
      <c r="H269" s="16"/>
      <c r="I269" s="15"/>
      <c r="J269" s="15"/>
      <c r="K269" s="29"/>
      <c r="L269" s="19"/>
      <c r="M269" s="19">
        <f t="shared" si="48"/>
        <v>0</v>
      </c>
      <c r="N269" s="35"/>
      <c r="O269" s="19"/>
      <c r="P269" s="35"/>
      <c r="Q269" s="19"/>
      <c r="R269" s="18">
        <f t="shared" si="49"/>
        <v>0</v>
      </c>
      <c r="S269" s="34">
        <f t="shared" si="50"/>
        <v>0</v>
      </c>
      <c r="T269" s="18">
        <f t="shared" si="47"/>
        <v>0</v>
      </c>
      <c r="U269" s="17"/>
      <c r="V269" s="20"/>
      <c r="W269" s="20"/>
      <c r="X269" s="22"/>
      <c r="Y269" s="19"/>
      <c r="Z269" s="20"/>
      <c r="AA269" s="20"/>
    </row>
    <row r="270" spans="2:27" x14ac:dyDescent="0.3">
      <c r="B270" s="17"/>
      <c r="C270" s="17"/>
      <c r="D270" s="20"/>
      <c r="E270" s="15"/>
      <c r="F270" s="15"/>
      <c r="G270" s="15"/>
      <c r="H270" s="16"/>
      <c r="I270" s="15"/>
      <c r="J270" s="15"/>
      <c r="K270" s="29"/>
      <c r="L270" s="19"/>
      <c r="M270" s="19">
        <f t="shared" si="48"/>
        <v>0</v>
      </c>
      <c r="N270" s="35"/>
      <c r="O270" s="19"/>
      <c r="P270" s="35"/>
      <c r="Q270" s="19"/>
      <c r="R270" s="18">
        <f t="shared" si="49"/>
        <v>0</v>
      </c>
      <c r="S270" s="34">
        <f t="shared" si="50"/>
        <v>0</v>
      </c>
      <c r="T270" s="18">
        <f t="shared" si="47"/>
        <v>0</v>
      </c>
      <c r="U270" s="17"/>
      <c r="V270" s="20"/>
      <c r="W270" s="20"/>
      <c r="X270" s="22"/>
      <c r="Y270" s="19"/>
      <c r="Z270" s="20"/>
      <c r="AA270" s="20"/>
    </row>
    <row r="271" spans="2:27" x14ac:dyDescent="0.3">
      <c r="B271" s="17"/>
      <c r="C271" s="17"/>
      <c r="D271" s="20"/>
      <c r="E271" s="15"/>
      <c r="F271" s="15"/>
      <c r="G271" s="15"/>
      <c r="H271" s="16"/>
      <c r="I271" s="15"/>
      <c r="J271" s="15"/>
      <c r="K271" s="29"/>
      <c r="L271" s="19"/>
      <c r="M271" s="19">
        <f t="shared" si="48"/>
        <v>0</v>
      </c>
      <c r="N271" s="35"/>
      <c r="O271" s="19"/>
      <c r="P271" s="35"/>
      <c r="Q271" s="19"/>
      <c r="R271" s="18">
        <f t="shared" si="49"/>
        <v>0</v>
      </c>
      <c r="S271" s="34">
        <f t="shared" si="50"/>
        <v>0</v>
      </c>
      <c r="T271" s="18">
        <f t="shared" si="47"/>
        <v>0</v>
      </c>
      <c r="U271" s="17"/>
      <c r="V271" s="20"/>
      <c r="W271" s="20"/>
      <c r="X271" s="22"/>
      <c r="Y271" s="19"/>
      <c r="Z271" s="20"/>
      <c r="AA271" s="20"/>
    </row>
    <row r="272" spans="2:27" x14ac:dyDescent="0.3">
      <c r="B272" s="17"/>
      <c r="C272" s="17"/>
      <c r="D272" s="20"/>
      <c r="E272" s="15"/>
      <c r="F272" s="15"/>
      <c r="G272" s="15"/>
      <c r="H272" s="16"/>
      <c r="I272" s="15"/>
      <c r="J272" s="15"/>
      <c r="K272" s="29"/>
      <c r="L272" s="19"/>
      <c r="M272" s="19">
        <f t="shared" si="48"/>
        <v>0</v>
      </c>
      <c r="N272" s="35"/>
      <c r="O272" s="19"/>
      <c r="P272" s="35"/>
      <c r="Q272" s="19"/>
      <c r="R272" s="18">
        <f t="shared" si="49"/>
        <v>0</v>
      </c>
      <c r="S272" s="34">
        <f t="shared" si="50"/>
        <v>0</v>
      </c>
      <c r="T272" s="18">
        <f t="shared" si="47"/>
        <v>0</v>
      </c>
      <c r="U272" s="17"/>
      <c r="V272" s="20"/>
      <c r="W272" s="20"/>
      <c r="X272" s="22"/>
      <c r="Y272" s="19"/>
      <c r="Z272" s="20"/>
      <c r="AA272" s="20"/>
    </row>
    <row r="273" spans="2:27" x14ac:dyDescent="0.3">
      <c r="B273" s="17"/>
      <c r="C273" s="17"/>
      <c r="D273" s="20"/>
      <c r="E273" s="15"/>
      <c r="F273" s="15"/>
      <c r="G273" s="15"/>
      <c r="H273" s="16"/>
      <c r="I273" s="15"/>
      <c r="J273" s="15"/>
      <c r="K273" s="29"/>
      <c r="L273" s="19"/>
      <c r="M273" s="19">
        <f t="shared" si="48"/>
        <v>0</v>
      </c>
      <c r="N273" s="35"/>
      <c r="O273" s="19"/>
      <c r="P273" s="35"/>
      <c r="Q273" s="19"/>
      <c r="R273" s="18">
        <f t="shared" si="49"/>
        <v>0</v>
      </c>
      <c r="S273" s="34">
        <f t="shared" si="50"/>
        <v>0</v>
      </c>
      <c r="T273" s="18">
        <f t="shared" si="47"/>
        <v>0</v>
      </c>
      <c r="U273" s="17"/>
      <c r="V273" s="20"/>
      <c r="W273" s="20"/>
      <c r="X273" s="22"/>
      <c r="Y273" s="19"/>
      <c r="Z273" s="20"/>
      <c r="AA273" s="20"/>
    </row>
    <row r="274" spans="2:27" x14ac:dyDescent="0.3">
      <c r="B274" s="17"/>
      <c r="C274" s="17"/>
      <c r="D274" s="20"/>
      <c r="E274" s="15"/>
      <c r="F274" s="15"/>
      <c r="G274" s="15"/>
      <c r="H274" s="16"/>
      <c r="I274" s="15"/>
      <c r="J274" s="15"/>
      <c r="K274" s="29"/>
      <c r="L274" s="19"/>
      <c r="M274" s="19">
        <f t="shared" si="48"/>
        <v>0</v>
      </c>
      <c r="N274" s="35"/>
      <c r="O274" s="19"/>
      <c r="P274" s="35"/>
      <c r="Q274" s="19"/>
      <c r="R274" s="18">
        <f t="shared" si="49"/>
        <v>0</v>
      </c>
      <c r="S274" s="34">
        <f t="shared" si="50"/>
        <v>0</v>
      </c>
      <c r="T274" s="18">
        <f t="shared" si="47"/>
        <v>0</v>
      </c>
      <c r="U274" s="17"/>
      <c r="V274" s="20"/>
      <c r="W274" s="20"/>
      <c r="X274" s="22"/>
      <c r="Y274" s="19"/>
      <c r="Z274" s="20"/>
      <c r="AA274" s="20"/>
    </row>
    <row r="275" spans="2:27" x14ac:dyDescent="0.3">
      <c r="B275" s="17"/>
      <c r="C275" s="17"/>
      <c r="D275" s="20"/>
      <c r="E275" s="15"/>
      <c r="F275" s="15"/>
      <c r="G275" s="15"/>
      <c r="H275" s="16"/>
      <c r="I275" s="15"/>
      <c r="J275" s="15"/>
      <c r="K275" s="29"/>
      <c r="L275" s="19"/>
      <c r="M275" s="19">
        <f t="shared" si="48"/>
        <v>0</v>
      </c>
      <c r="N275" s="35"/>
      <c r="O275" s="19"/>
      <c r="P275" s="35"/>
      <c r="Q275" s="19"/>
      <c r="R275" s="18">
        <f t="shared" si="49"/>
        <v>0</v>
      </c>
      <c r="S275" s="34">
        <f t="shared" si="50"/>
        <v>0</v>
      </c>
      <c r="T275" s="18">
        <f t="shared" si="47"/>
        <v>0</v>
      </c>
      <c r="U275" s="17"/>
      <c r="V275" s="20"/>
      <c r="W275" s="20"/>
      <c r="X275" s="22"/>
      <c r="Y275" s="19"/>
      <c r="Z275" s="20"/>
      <c r="AA275" s="20"/>
    </row>
    <row r="276" spans="2:27" x14ac:dyDescent="0.3">
      <c r="B276" s="17"/>
      <c r="C276" s="17"/>
      <c r="D276" s="20"/>
      <c r="E276" s="15"/>
      <c r="F276" s="15"/>
      <c r="G276" s="15"/>
      <c r="H276" s="16"/>
      <c r="I276" s="15"/>
      <c r="J276" s="15"/>
      <c r="K276" s="29"/>
      <c r="L276" s="19"/>
      <c r="M276" s="19">
        <f t="shared" si="48"/>
        <v>0</v>
      </c>
      <c r="N276" s="35"/>
      <c r="O276" s="19"/>
      <c r="P276" s="35"/>
      <c r="Q276" s="19"/>
      <c r="R276" s="18">
        <f t="shared" si="49"/>
        <v>0</v>
      </c>
      <c r="S276" s="34">
        <f t="shared" si="50"/>
        <v>0</v>
      </c>
      <c r="T276" s="18">
        <f t="shared" si="47"/>
        <v>0</v>
      </c>
      <c r="U276" s="17"/>
      <c r="V276" s="20"/>
      <c r="W276" s="20"/>
      <c r="X276" s="22"/>
      <c r="Y276" s="19"/>
      <c r="Z276" s="20"/>
      <c r="AA276" s="20"/>
    </row>
    <row r="277" spans="2:27" x14ac:dyDescent="0.3">
      <c r="B277" s="17"/>
      <c r="C277" s="17"/>
      <c r="D277" s="20"/>
      <c r="E277" s="15"/>
      <c r="F277" s="15"/>
      <c r="G277" s="15"/>
      <c r="H277" s="16"/>
      <c r="I277" s="15"/>
      <c r="J277" s="15"/>
      <c r="K277" s="29"/>
      <c r="L277" s="19"/>
      <c r="M277" s="19">
        <f t="shared" si="48"/>
        <v>0</v>
      </c>
      <c r="N277" s="35"/>
      <c r="O277" s="19"/>
      <c r="P277" s="35"/>
      <c r="Q277" s="19"/>
      <c r="R277" s="18">
        <f t="shared" si="49"/>
        <v>0</v>
      </c>
      <c r="S277" s="34">
        <f t="shared" si="50"/>
        <v>0</v>
      </c>
      <c r="T277" s="18">
        <f t="shared" si="47"/>
        <v>0</v>
      </c>
      <c r="U277" s="17"/>
      <c r="V277" s="20"/>
      <c r="W277" s="20"/>
      <c r="X277" s="22"/>
      <c r="Y277" s="19"/>
      <c r="Z277" s="20"/>
      <c r="AA277" s="20"/>
    </row>
    <row r="278" spans="2:27" x14ac:dyDescent="0.3">
      <c r="B278" s="17"/>
      <c r="C278" s="17"/>
      <c r="D278" s="20"/>
      <c r="E278" s="15"/>
      <c r="F278" s="15"/>
      <c r="G278" s="15"/>
      <c r="H278" s="16"/>
      <c r="I278" s="15"/>
      <c r="J278" s="15"/>
      <c r="K278" s="29"/>
      <c r="L278" s="19"/>
      <c r="M278" s="19">
        <f t="shared" si="48"/>
        <v>0</v>
      </c>
      <c r="N278" s="35"/>
      <c r="O278" s="19"/>
      <c r="P278" s="35"/>
      <c r="Q278" s="19"/>
      <c r="R278" s="18">
        <f t="shared" si="49"/>
        <v>0</v>
      </c>
      <c r="S278" s="34">
        <f t="shared" si="50"/>
        <v>0</v>
      </c>
      <c r="T278" s="18">
        <f t="shared" si="47"/>
        <v>0</v>
      </c>
      <c r="U278" s="17"/>
      <c r="V278" s="20"/>
      <c r="W278" s="20"/>
      <c r="X278" s="22"/>
      <c r="Y278" s="19"/>
      <c r="Z278" s="20"/>
      <c r="AA278" s="20"/>
    </row>
    <row r="279" spans="2:27" x14ac:dyDescent="0.3">
      <c r="B279" s="17"/>
      <c r="C279" s="17"/>
      <c r="D279" s="20"/>
      <c r="E279" s="15"/>
      <c r="F279" s="15"/>
      <c r="G279" s="15"/>
      <c r="H279" s="16"/>
      <c r="I279" s="15"/>
      <c r="J279" s="15"/>
      <c r="K279" s="29"/>
      <c r="L279" s="19"/>
      <c r="M279" s="19">
        <f t="shared" si="48"/>
        <v>0</v>
      </c>
      <c r="N279" s="35"/>
      <c r="O279" s="19"/>
      <c r="P279" s="35"/>
      <c r="Q279" s="19"/>
      <c r="R279" s="18">
        <f t="shared" si="49"/>
        <v>0</v>
      </c>
      <c r="S279" s="34">
        <f t="shared" si="50"/>
        <v>0</v>
      </c>
      <c r="T279" s="18">
        <f t="shared" si="47"/>
        <v>0</v>
      </c>
      <c r="U279" s="17"/>
      <c r="V279" s="20"/>
      <c r="W279" s="20"/>
      <c r="X279" s="22"/>
      <c r="Y279" s="19"/>
      <c r="Z279" s="20"/>
      <c r="AA279" s="20"/>
    </row>
    <row r="280" spans="2:27" x14ac:dyDescent="0.3">
      <c r="B280" s="17"/>
      <c r="C280" s="17"/>
      <c r="D280" s="20"/>
      <c r="E280" s="15"/>
      <c r="F280" s="15"/>
      <c r="G280" s="15"/>
      <c r="H280" s="16"/>
      <c r="I280" s="15"/>
      <c r="J280" s="15"/>
      <c r="K280" s="29"/>
      <c r="L280" s="19"/>
      <c r="M280" s="19">
        <f t="shared" si="48"/>
        <v>0</v>
      </c>
      <c r="N280" s="35"/>
      <c r="O280" s="19"/>
      <c r="P280" s="35"/>
      <c r="Q280" s="19"/>
      <c r="R280" s="18">
        <f t="shared" si="49"/>
        <v>0</v>
      </c>
      <c r="S280" s="34">
        <f t="shared" si="50"/>
        <v>0</v>
      </c>
      <c r="T280" s="18">
        <f t="shared" si="47"/>
        <v>0</v>
      </c>
      <c r="U280" s="17"/>
      <c r="V280" s="20"/>
      <c r="W280" s="20"/>
      <c r="X280" s="22"/>
      <c r="Y280" s="19"/>
      <c r="Z280" s="20"/>
      <c r="AA280" s="20"/>
    </row>
    <row r="281" spans="2:27" x14ac:dyDescent="0.3">
      <c r="B281" s="17"/>
      <c r="C281" s="17"/>
      <c r="D281" s="20"/>
      <c r="E281" s="15"/>
      <c r="F281" s="15"/>
      <c r="G281" s="15"/>
      <c r="H281" s="16"/>
      <c r="I281" s="15"/>
      <c r="J281" s="15"/>
      <c r="K281" s="29"/>
      <c r="L281" s="19"/>
      <c r="M281" s="19">
        <f t="shared" si="48"/>
        <v>0</v>
      </c>
      <c r="N281" s="35"/>
      <c r="O281" s="19"/>
      <c r="P281" s="35"/>
      <c r="Q281" s="19"/>
      <c r="R281" s="18">
        <f t="shared" si="49"/>
        <v>0</v>
      </c>
      <c r="S281" s="34">
        <f t="shared" si="50"/>
        <v>0</v>
      </c>
      <c r="T281" s="18">
        <f t="shared" si="47"/>
        <v>0</v>
      </c>
      <c r="U281" s="17"/>
      <c r="V281" s="20"/>
      <c r="W281" s="20"/>
      <c r="X281" s="22"/>
      <c r="Y281" s="19"/>
      <c r="Z281" s="20"/>
      <c r="AA281" s="20"/>
    </row>
    <row r="282" spans="2:27" x14ac:dyDescent="0.3">
      <c r="B282" s="17"/>
      <c r="C282" s="17"/>
      <c r="D282" s="20"/>
      <c r="E282" s="15"/>
      <c r="F282" s="15"/>
      <c r="G282" s="15"/>
      <c r="H282" s="16"/>
      <c r="I282" s="15"/>
      <c r="J282" s="15"/>
      <c r="K282" s="29"/>
      <c r="L282" s="19"/>
      <c r="M282" s="19">
        <f t="shared" si="48"/>
        <v>0</v>
      </c>
      <c r="N282" s="35"/>
      <c r="O282" s="19"/>
      <c r="P282" s="35"/>
      <c r="Q282" s="19"/>
      <c r="R282" s="18">
        <f t="shared" si="49"/>
        <v>0</v>
      </c>
      <c r="S282" s="34">
        <f t="shared" si="50"/>
        <v>0</v>
      </c>
      <c r="T282" s="18">
        <f t="shared" si="47"/>
        <v>0</v>
      </c>
      <c r="U282" s="17"/>
      <c r="V282" s="20"/>
      <c r="W282" s="20"/>
      <c r="X282" s="22"/>
      <c r="Y282" s="19"/>
      <c r="Z282" s="20"/>
      <c r="AA282" s="20"/>
    </row>
    <row r="283" spans="2:27" x14ac:dyDescent="0.3">
      <c r="B283" s="17"/>
      <c r="C283" s="17"/>
      <c r="D283" s="20"/>
      <c r="E283" s="15"/>
      <c r="F283" s="15"/>
      <c r="G283" s="15"/>
      <c r="H283" s="16"/>
      <c r="I283" s="15"/>
      <c r="J283" s="15"/>
      <c r="K283" s="29"/>
      <c r="L283" s="19"/>
      <c r="M283" s="19">
        <f t="shared" si="48"/>
        <v>0</v>
      </c>
      <c r="N283" s="35"/>
      <c r="O283" s="19"/>
      <c r="P283" s="35"/>
      <c r="Q283" s="19"/>
      <c r="R283" s="18">
        <f t="shared" si="49"/>
        <v>0</v>
      </c>
      <c r="S283" s="34">
        <f t="shared" si="50"/>
        <v>0</v>
      </c>
      <c r="T283" s="18">
        <f t="shared" si="47"/>
        <v>0</v>
      </c>
      <c r="U283" s="17"/>
      <c r="V283" s="20"/>
      <c r="W283" s="20"/>
      <c r="X283" s="22"/>
      <c r="Y283" s="19"/>
      <c r="Z283" s="20"/>
      <c r="AA283" s="20"/>
    </row>
    <row r="284" spans="2:27" x14ac:dyDescent="0.3">
      <c r="B284" s="17"/>
      <c r="C284" s="17"/>
      <c r="D284" s="20"/>
      <c r="E284" s="15"/>
      <c r="F284" s="15"/>
      <c r="G284" s="15"/>
      <c r="H284" s="16"/>
      <c r="I284" s="15"/>
      <c r="J284" s="15"/>
      <c r="K284" s="29"/>
      <c r="L284" s="19"/>
      <c r="M284" s="19">
        <f t="shared" si="48"/>
        <v>0</v>
      </c>
      <c r="N284" s="35"/>
      <c r="O284" s="19"/>
      <c r="P284" s="35"/>
      <c r="Q284" s="19"/>
      <c r="R284" s="18">
        <f t="shared" si="49"/>
        <v>0</v>
      </c>
      <c r="S284" s="34">
        <f t="shared" si="50"/>
        <v>0</v>
      </c>
      <c r="T284" s="18">
        <f t="shared" si="47"/>
        <v>0</v>
      </c>
      <c r="U284" s="17"/>
      <c r="V284" s="20"/>
      <c r="W284" s="20"/>
      <c r="X284" s="22"/>
      <c r="Y284" s="19"/>
      <c r="Z284" s="20"/>
      <c r="AA284" s="20"/>
    </row>
    <row r="285" spans="2:27" x14ac:dyDescent="0.3">
      <c r="B285" s="17"/>
      <c r="C285" s="17"/>
      <c r="D285" s="20"/>
      <c r="E285" s="15"/>
      <c r="F285" s="15"/>
      <c r="G285" s="15"/>
      <c r="H285" s="16"/>
      <c r="I285" s="15"/>
      <c r="J285" s="15"/>
      <c r="K285" s="29"/>
      <c r="L285" s="19"/>
      <c r="M285" s="19">
        <f t="shared" si="48"/>
        <v>0</v>
      </c>
      <c r="N285" s="35"/>
      <c r="O285" s="19"/>
      <c r="P285" s="35"/>
      <c r="Q285" s="19"/>
      <c r="R285" s="18">
        <f t="shared" si="49"/>
        <v>0</v>
      </c>
      <c r="S285" s="34">
        <f t="shared" si="50"/>
        <v>0</v>
      </c>
      <c r="T285" s="18">
        <f t="shared" si="47"/>
        <v>0</v>
      </c>
      <c r="U285" s="17"/>
      <c r="V285" s="20"/>
      <c r="W285" s="20"/>
      <c r="X285" s="22"/>
      <c r="Y285" s="19"/>
      <c r="Z285" s="20"/>
      <c r="AA285" s="20"/>
    </row>
    <row r="286" spans="2:27" x14ac:dyDescent="0.3">
      <c r="B286" s="17"/>
      <c r="C286" s="17"/>
      <c r="D286" s="20"/>
      <c r="E286" s="15"/>
      <c r="F286" s="15"/>
      <c r="G286" s="15"/>
      <c r="H286" s="16"/>
      <c r="I286" s="15"/>
      <c r="J286" s="15"/>
      <c r="K286" s="29"/>
      <c r="L286" s="19"/>
      <c r="M286" s="19">
        <f t="shared" si="48"/>
        <v>0</v>
      </c>
      <c r="N286" s="35"/>
      <c r="O286" s="19"/>
      <c r="P286" s="35"/>
      <c r="Q286" s="19"/>
      <c r="R286" s="18">
        <f t="shared" si="49"/>
        <v>0</v>
      </c>
      <c r="S286" s="34">
        <f t="shared" si="50"/>
        <v>0</v>
      </c>
      <c r="T286" s="18">
        <f t="shared" si="47"/>
        <v>0</v>
      </c>
      <c r="U286" s="17"/>
      <c r="V286" s="20"/>
      <c r="W286" s="20"/>
      <c r="X286" s="22"/>
      <c r="Y286" s="19"/>
      <c r="Z286" s="20"/>
      <c r="AA286" s="20"/>
    </row>
    <row r="287" spans="2:27" x14ac:dyDescent="0.3">
      <c r="B287" s="17"/>
      <c r="C287" s="17"/>
      <c r="D287" s="20"/>
      <c r="E287" s="15"/>
      <c r="F287" s="15"/>
      <c r="G287" s="15"/>
      <c r="H287" s="16"/>
      <c r="I287" s="15"/>
      <c r="J287" s="15"/>
      <c r="K287" s="29"/>
      <c r="L287" s="19"/>
      <c r="M287" s="19">
        <f t="shared" si="48"/>
        <v>0</v>
      </c>
      <c r="N287" s="35"/>
      <c r="O287" s="19"/>
      <c r="P287" s="35"/>
      <c r="Q287" s="19"/>
      <c r="R287" s="18">
        <f t="shared" si="49"/>
        <v>0</v>
      </c>
      <c r="S287" s="34">
        <f t="shared" si="50"/>
        <v>0</v>
      </c>
      <c r="T287" s="18">
        <f t="shared" si="47"/>
        <v>0</v>
      </c>
      <c r="U287" s="17"/>
      <c r="V287" s="20"/>
      <c r="W287" s="20"/>
      <c r="X287" s="22"/>
      <c r="Y287" s="19"/>
      <c r="Z287" s="20"/>
      <c r="AA287" s="20"/>
    </row>
    <row r="288" spans="2:27" x14ac:dyDescent="0.3">
      <c r="B288" s="17"/>
      <c r="C288" s="17"/>
      <c r="D288" s="20"/>
      <c r="E288" s="15"/>
      <c r="F288" s="15"/>
      <c r="G288" s="15"/>
      <c r="H288" s="16"/>
      <c r="I288" s="15"/>
      <c r="J288" s="15"/>
      <c r="K288" s="29"/>
      <c r="L288" s="19"/>
      <c r="M288" s="19">
        <f t="shared" si="48"/>
        <v>0</v>
      </c>
      <c r="N288" s="35"/>
      <c r="O288" s="19"/>
      <c r="P288" s="35"/>
      <c r="Q288" s="19"/>
      <c r="R288" s="18">
        <f t="shared" si="49"/>
        <v>0</v>
      </c>
      <c r="S288" s="34">
        <f t="shared" si="50"/>
        <v>0</v>
      </c>
      <c r="T288" s="18">
        <f t="shared" si="47"/>
        <v>0</v>
      </c>
      <c r="U288" s="17"/>
      <c r="V288" s="20"/>
      <c r="W288" s="20"/>
      <c r="X288" s="22"/>
      <c r="Y288" s="19"/>
      <c r="Z288" s="20"/>
      <c r="AA288" s="20"/>
    </row>
    <row r="289" spans="2:27" x14ac:dyDescent="0.3">
      <c r="B289" s="17"/>
      <c r="C289" s="17"/>
      <c r="D289" s="20"/>
      <c r="E289" s="15"/>
      <c r="F289" s="15"/>
      <c r="G289" s="15"/>
      <c r="H289" s="16"/>
      <c r="I289" s="15"/>
      <c r="J289" s="15"/>
      <c r="K289" s="29"/>
      <c r="L289" s="19"/>
      <c r="M289" s="19">
        <f t="shared" si="48"/>
        <v>0</v>
      </c>
      <c r="N289" s="35"/>
      <c r="O289" s="19"/>
      <c r="P289" s="35"/>
      <c r="Q289" s="19"/>
      <c r="R289" s="18">
        <f t="shared" si="49"/>
        <v>0</v>
      </c>
      <c r="S289" s="34">
        <f t="shared" si="50"/>
        <v>0</v>
      </c>
      <c r="T289" s="18">
        <f t="shared" si="47"/>
        <v>0</v>
      </c>
      <c r="U289" s="17"/>
      <c r="V289" s="20"/>
      <c r="W289" s="20"/>
      <c r="X289" s="22"/>
      <c r="Y289" s="19"/>
      <c r="Z289" s="20"/>
      <c r="AA289" s="20"/>
    </row>
    <row r="290" spans="2:27" x14ac:dyDescent="0.3">
      <c r="B290" s="17"/>
      <c r="C290" s="17"/>
      <c r="D290" s="20"/>
      <c r="E290" s="15"/>
      <c r="F290" s="15"/>
      <c r="G290" s="15"/>
      <c r="H290" s="16"/>
      <c r="I290" s="15"/>
      <c r="J290" s="15"/>
      <c r="K290" s="29"/>
      <c r="L290" s="19"/>
      <c r="M290" s="19">
        <f t="shared" si="48"/>
        <v>0</v>
      </c>
      <c r="N290" s="35"/>
      <c r="O290" s="19"/>
      <c r="P290" s="35"/>
      <c r="Q290" s="19"/>
      <c r="R290" s="18">
        <f t="shared" si="49"/>
        <v>0</v>
      </c>
      <c r="S290" s="34">
        <f t="shared" si="50"/>
        <v>0</v>
      </c>
      <c r="T290" s="18">
        <f t="shared" si="47"/>
        <v>0</v>
      </c>
      <c r="U290" s="17"/>
      <c r="V290" s="20"/>
      <c r="W290" s="20"/>
      <c r="X290" s="22"/>
      <c r="Y290" s="19"/>
      <c r="Z290" s="20"/>
      <c r="AA290" s="20"/>
    </row>
    <row r="291" spans="2:27" x14ac:dyDescent="0.3">
      <c r="B291" s="17"/>
      <c r="C291" s="17"/>
      <c r="D291" s="20"/>
      <c r="E291" s="15"/>
      <c r="F291" s="15"/>
      <c r="G291" s="15"/>
      <c r="H291" s="16"/>
      <c r="I291" s="15"/>
      <c r="J291" s="15"/>
      <c r="K291" s="29"/>
      <c r="L291" s="19"/>
      <c r="M291" s="19">
        <f t="shared" si="48"/>
        <v>0</v>
      </c>
      <c r="N291" s="35"/>
      <c r="O291" s="19"/>
      <c r="P291" s="35"/>
      <c r="Q291" s="19"/>
      <c r="R291" s="18">
        <f t="shared" si="49"/>
        <v>0</v>
      </c>
      <c r="S291" s="34">
        <f t="shared" si="50"/>
        <v>0</v>
      </c>
      <c r="T291" s="18">
        <f t="shared" si="47"/>
        <v>0</v>
      </c>
      <c r="U291" s="17"/>
      <c r="V291" s="20"/>
      <c r="W291" s="20"/>
      <c r="X291" s="22"/>
      <c r="Y291" s="19"/>
      <c r="Z291" s="20"/>
      <c r="AA291" s="20"/>
    </row>
    <row r="292" spans="2:27" x14ac:dyDescent="0.3">
      <c r="B292" s="17"/>
      <c r="C292" s="17"/>
      <c r="D292" s="20"/>
      <c r="E292" s="15"/>
      <c r="F292" s="15"/>
      <c r="G292" s="15"/>
      <c r="H292" s="16"/>
      <c r="I292" s="15"/>
      <c r="J292" s="15"/>
      <c r="K292" s="29"/>
      <c r="L292" s="19"/>
      <c r="M292" s="19">
        <f t="shared" si="48"/>
        <v>0</v>
      </c>
      <c r="N292" s="35"/>
      <c r="O292" s="19"/>
      <c r="P292" s="35"/>
      <c r="Q292" s="19"/>
      <c r="R292" s="18">
        <f t="shared" si="49"/>
        <v>0</v>
      </c>
      <c r="S292" s="34">
        <f t="shared" si="50"/>
        <v>0</v>
      </c>
      <c r="T292" s="18">
        <f t="shared" si="47"/>
        <v>0</v>
      </c>
      <c r="U292" s="17"/>
      <c r="V292" s="20"/>
      <c r="W292" s="20"/>
      <c r="X292" s="22"/>
      <c r="Y292" s="19"/>
      <c r="Z292" s="20"/>
      <c r="AA292" s="20"/>
    </row>
    <row r="293" spans="2:27" x14ac:dyDescent="0.3">
      <c r="B293" s="17"/>
      <c r="C293" s="17"/>
      <c r="D293" s="20"/>
      <c r="E293" s="15"/>
      <c r="F293" s="15"/>
      <c r="G293" s="15"/>
      <c r="H293" s="16"/>
      <c r="I293" s="15"/>
      <c r="J293" s="15"/>
      <c r="K293" s="29"/>
      <c r="L293" s="19"/>
      <c r="M293" s="19">
        <f t="shared" si="48"/>
        <v>0</v>
      </c>
      <c r="N293" s="35"/>
      <c r="O293" s="19"/>
      <c r="P293" s="35"/>
      <c r="Q293" s="19"/>
      <c r="R293" s="18">
        <f t="shared" si="49"/>
        <v>0</v>
      </c>
      <c r="S293" s="34">
        <f t="shared" si="50"/>
        <v>0</v>
      </c>
      <c r="T293" s="18">
        <f t="shared" si="47"/>
        <v>0</v>
      </c>
      <c r="U293" s="17"/>
      <c r="V293" s="20"/>
      <c r="W293" s="20"/>
      <c r="X293" s="22"/>
      <c r="Y293" s="19"/>
      <c r="Z293" s="20"/>
      <c r="AA293" s="20"/>
    </row>
    <row r="294" spans="2:27" x14ac:dyDescent="0.3">
      <c r="B294" s="17"/>
      <c r="C294" s="17"/>
      <c r="D294" s="20"/>
      <c r="E294" s="15"/>
      <c r="F294" s="15"/>
      <c r="G294" s="15"/>
      <c r="H294" s="16"/>
      <c r="I294" s="15"/>
      <c r="J294" s="15"/>
      <c r="K294" s="29"/>
      <c r="L294" s="19"/>
      <c r="M294" s="19">
        <f t="shared" si="48"/>
        <v>0</v>
      </c>
      <c r="N294" s="35"/>
      <c r="O294" s="19"/>
      <c r="P294" s="35"/>
      <c r="Q294" s="19"/>
      <c r="R294" s="18">
        <f t="shared" si="49"/>
        <v>0</v>
      </c>
      <c r="S294" s="34">
        <f t="shared" si="50"/>
        <v>0</v>
      </c>
      <c r="T294" s="18">
        <f t="shared" ref="T294:T357" si="51">(L294*I294)+M294</f>
        <v>0</v>
      </c>
      <c r="U294" s="17"/>
      <c r="V294" s="20"/>
      <c r="W294" s="20"/>
      <c r="X294" s="22"/>
      <c r="Y294" s="19"/>
      <c r="Z294" s="20"/>
      <c r="AA294" s="20"/>
    </row>
    <row r="295" spans="2:27" x14ac:dyDescent="0.3">
      <c r="B295" s="17"/>
      <c r="C295" s="17"/>
      <c r="D295" s="20"/>
      <c r="E295" s="15"/>
      <c r="F295" s="15"/>
      <c r="G295" s="15"/>
      <c r="H295" s="16"/>
      <c r="I295" s="15"/>
      <c r="J295" s="15"/>
      <c r="K295" s="29"/>
      <c r="L295" s="19"/>
      <c r="M295" s="19">
        <f t="shared" si="48"/>
        <v>0</v>
      </c>
      <c r="N295" s="35"/>
      <c r="O295" s="19"/>
      <c r="P295" s="35"/>
      <c r="Q295" s="19"/>
      <c r="R295" s="18">
        <f t="shared" si="49"/>
        <v>0</v>
      </c>
      <c r="S295" s="34">
        <f t="shared" si="50"/>
        <v>0</v>
      </c>
      <c r="T295" s="18">
        <f t="shared" si="51"/>
        <v>0</v>
      </c>
      <c r="U295" s="17"/>
      <c r="V295" s="20"/>
      <c r="W295" s="20"/>
      <c r="X295" s="22"/>
      <c r="Y295" s="19"/>
      <c r="Z295" s="20"/>
      <c r="AA295" s="20"/>
    </row>
    <row r="296" spans="2:27" x14ac:dyDescent="0.3">
      <c r="B296" s="17"/>
      <c r="C296" s="17"/>
      <c r="D296" s="20"/>
      <c r="E296" s="15"/>
      <c r="F296" s="15"/>
      <c r="G296" s="15"/>
      <c r="H296" s="16"/>
      <c r="I296" s="15"/>
      <c r="J296" s="15"/>
      <c r="K296" s="29"/>
      <c r="L296" s="19"/>
      <c r="M296" s="19">
        <f t="shared" si="48"/>
        <v>0</v>
      </c>
      <c r="N296" s="35"/>
      <c r="O296" s="19"/>
      <c r="P296" s="35"/>
      <c r="Q296" s="19"/>
      <c r="R296" s="18">
        <f t="shared" si="49"/>
        <v>0</v>
      </c>
      <c r="S296" s="34">
        <f t="shared" si="50"/>
        <v>0</v>
      </c>
      <c r="T296" s="18">
        <f t="shared" si="51"/>
        <v>0</v>
      </c>
      <c r="U296" s="17"/>
      <c r="V296" s="20"/>
      <c r="W296" s="20"/>
      <c r="X296" s="22"/>
      <c r="Y296" s="19"/>
      <c r="Z296" s="20"/>
      <c r="AA296" s="20"/>
    </row>
    <row r="297" spans="2:27" x14ac:dyDescent="0.3">
      <c r="B297" s="17"/>
      <c r="C297" s="17"/>
      <c r="D297" s="20"/>
      <c r="E297" s="15"/>
      <c r="F297" s="15"/>
      <c r="G297" s="15"/>
      <c r="H297" s="16"/>
      <c r="I297" s="15"/>
      <c r="J297" s="15"/>
      <c r="K297" s="29"/>
      <c r="L297" s="19"/>
      <c r="M297" s="19">
        <f t="shared" si="48"/>
        <v>0</v>
      </c>
      <c r="N297" s="35"/>
      <c r="O297" s="19"/>
      <c r="P297" s="35"/>
      <c r="Q297" s="19"/>
      <c r="R297" s="18">
        <f t="shared" si="49"/>
        <v>0</v>
      </c>
      <c r="S297" s="34">
        <f t="shared" si="50"/>
        <v>0</v>
      </c>
      <c r="T297" s="18">
        <f t="shared" si="51"/>
        <v>0</v>
      </c>
      <c r="U297" s="17"/>
      <c r="V297" s="20"/>
      <c r="W297" s="20"/>
      <c r="X297" s="22"/>
      <c r="Y297" s="19"/>
      <c r="Z297" s="20"/>
      <c r="AA297" s="20"/>
    </row>
    <row r="298" spans="2:27" x14ac:dyDescent="0.3">
      <c r="B298" s="17"/>
      <c r="C298" s="17"/>
      <c r="D298" s="20"/>
      <c r="E298" s="15"/>
      <c r="F298" s="15"/>
      <c r="G298" s="15"/>
      <c r="H298" s="16"/>
      <c r="I298" s="15"/>
      <c r="J298" s="15"/>
      <c r="K298" s="29"/>
      <c r="L298" s="19"/>
      <c r="M298" s="19">
        <f t="shared" si="48"/>
        <v>0</v>
      </c>
      <c r="N298" s="35"/>
      <c r="O298" s="19"/>
      <c r="P298" s="35"/>
      <c r="Q298" s="19"/>
      <c r="R298" s="18">
        <f t="shared" si="49"/>
        <v>0</v>
      </c>
      <c r="S298" s="34">
        <f t="shared" si="50"/>
        <v>0</v>
      </c>
      <c r="T298" s="18">
        <f t="shared" si="51"/>
        <v>0</v>
      </c>
      <c r="U298" s="17"/>
      <c r="V298" s="20"/>
      <c r="W298" s="20"/>
      <c r="X298" s="22"/>
      <c r="Y298" s="19"/>
      <c r="Z298" s="20"/>
      <c r="AA298" s="20"/>
    </row>
    <row r="299" spans="2:27" x14ac:dyDescent="0.3">
      <c r="B299" s="17"/>
      <c r="C299" s="17"/>
      <c r="D299" s="20"/>
      <c r="E299" s="15"/>
      <c r="F299" s="15"/>
      <c r="G299" s="15"/>
      <c r="H299" s="16"/>
      <c r="I299" s="15"/>
      <c r="J299" s="15"/>
      <c r="K299" s="29"/>
      <c r="L299" s="19"/>
      <c r="M299" s="19">
        <f t="shared" si="48"/>
        <v>0</v>
      </c>
      <c r="N299" s="35"/>
      <c r="O299" s="19"/>
      <c r="P299" s="35"/>
      <c r="Q299" s="19"/>
      <c r="R299" s="18">
        <f t="shared" si="49"/>
        <v>0</v>
      </c>
      <c r="S299" s="34">
        <f t="shared" si="50"/>
        <v>0</v>
      </c>
      <c r="T299" s="18">
        <f t="shared" si="51"/>
        <v>0</v>
      </c>
      <c r="U299" s="17"/>
      <c r="V299" s="20"/>
      <c r="W299" s="20"/>
      <c r="X299" s="22"/>
      <c r="Y299" s="19"/>
      <c r="Z299" s="20"/>
      <c r="AA299" s="20"/>
    </row>
    <row r="300" spans="2:27" x14ac:dyDescent="0.3">
      <c r="B300" s="17"/>
      <c r="C300" s="17"/>
      <c r="D300" s="20"/>
      <c r="E300" s="15"/>
      <c r="F300" s="15"/>
      <c r="G300" s="15"/>
      <c r="H300" s="16"/>
      <c r="I300" s="15"/>
      <c r="J300" s="15"/>
      <c r="K300" s="29"/>
      <c r="L300" s="19"/>
      <c r="M300" s="19">
        <f t="shared" si="48"/>
        <v>0</v>
      </c>
      <c r="N300" s="35"/>
      <c r="O300" s="19"/>
      <c r="P300" s="35"/>
      <c r="Q300" s="19"/>
      <c r="R300" s="18">
        <f t="shared" si="49"/>
        <v>0</v>
      </c>
      <c r="S300" s="34">
        <f t="shared" si="50"/>
        <v>0</v>
      </c>
      <c r="T300" s="18">
        <f t="shared" si="51"/>
        <v>0</v>
      </c>
      <c r="U300" s="17"/>
      <c r="V300" s="20"/>
      <c r="W300" s="20"/>
      <c r="X300" s="22"/>
      <c r="Y300" s="19"/>
      <c r="Z300" s="20"/>
      <c r="AA300" s="20"/>
    </row>
    <row r="301" spans="2:27" x14ac:dyDescent="0.3">
      <c r="B301" s="17"/>
      <c r="C301" s="17"/>
      <c r="D301" s="20"/>
      <c r="E301" s="15"/>
      <c r="F301" s="15"/>
      <c r="G301" s="15"/>
      <c r="H301" s="16"/>
      <c r="I301" s="15"/>
      <c r="J301" s="15"/>
      <c r="K301" s="29"/>
      <c r="L301" s="19"/>
      <c r="M301" s="19">
        <f t="shared" si="48"/>
        <v>0</v>
      </c>
      <c r="N301" s="35"/>
      <c r="O301" s="19"/>
      <c r="P301" s="35"/>
      <c r="Q301" s="19"/>
      <c r="R301" s="18">
        <f t="shared" si="49"/>
        <v>0</v>
      </c>
      <c r="S301" s="34">
        <f t="shared" si="50"/>
        <v>0</v>
      </c>
      <c r="T301" s="18">
        <f t="shared" si="51"/>
        <v>0</v>
      </c>
      <c r="U301" s="17"/>
      <c r="V301" s="20"/>
      <c r="W301" s="20"/>
      <c r="X301" s="22"/>
      <c r="Y301" s="19"/>
      <c r="Z301" s="20"/>
      <c r="AA301" s="20"/>
    </row>
    <row r="302" spans="2:27" x14ac:dyDescent="0.3">
      <c r="B302" s="17"/>
      <c r="C302" s="17"/>
      <c r="D302" s="20"/>
      <c r="E302" s="15"/>
      <c r="F302" s="15"/>
      <c r="G302" s="15"/>
      <c r="H302" s="16"/>
      <c r="I302" s="15"/>
      <c r="J302" s="15"/>
      <c r="K302" s="29"/>
      <c r="L302" s="19"/>
      <c r="M302" s="19">
        <f t="shared" si="48"/>
        <v>0</v>
      </c>
      <c r="N302" s="35"/>
      <c r="O302" s="19"/>
      <c r="P302" s="35"/>
      <c r="Q302" s="19"/>
      <c r="R302" s="18">
        <f t="shared" si="49"/>
        <v>0</v>
      </c>
      <c r="S302" s="34">
        <f t="shared" si="50"/>
        <v>0</v>
      </c>
      <c r="T302" s="18">
        <f t="shared" si="51"/>
        <v>0</v>
      </c>
      <c r="U302" s="17"/>
      <c r="V302" s="20"/>
      <c r="W302" s="20"/>
      <c r="X302" s="22"/>
      <c r="Y302" s="19"/>
      <c r="Z302" s="20"/>
      <c r="AA302" s="20"/>
    </row>
    <row r="303" spans="2:27" x14ac:dyDescent="0.3">
      <c r="B303" s="17"/>
      <c r="C303" s="17"/>
      <c r="D303" s="20"/>
      <c r="E303" s="15"/>
      <c r="F303" s="15"/>
      <c r="G303" s="15"/>
      <c r="H303" s="16"/>
      <c r="I303" s="15"/>
      <c r="J303" s="15"/>
      <c r="K303" s="29"/>
      <c r="L303" s="19"/>
      <c r="M303" s="19">
        <f t="shared" ref="M303:M366" si="52">L303*0.1</f>
        <v>0</v>
      </c>
      <c r="N303" s="35"/>
      <c r="O303" s="19"/>
      <c r="P303" s="35"/>
      <c r="Q303" s="19"/>
      <c r="R303" s="18">
        <f t="shared" ref="R303:R366" si="53">O303+Q303</f>
        <v>0</v>
      </c>
      <c r="S303" s="34">
        <f t="shared" ref="S303:S366" si="54">T303-R303</f>
        <v>0</v>
      </c>
      <c r="T303" s="18">
        <f t="shared" si="51"/>
        <v>0</v>
      </c>
      <c r="U303" s="17"/>
      <c r="V303" s="20"/>
      <c r="W303" s="20"/>
      <c r="X303" s="22"/>
      <c r="Y303" s="19"/>
      <c r="Z303" s="20"/>
      <c r="AA303" s="20"/>
    </row>
    <row r="304" spans="2:27" x14ac:dyDescent="0.3">
      <c r="B304" s="17"/>
      <c r="C304" s="17"/>
      <c r="D304" s="20"/>
      <c r="E304" s="15"/>
      <c r="F304" s="15"/>
      <c r="G304" s="15"/>
      <c r="H304" s="16"/>
      <c r="I304" s="15"/>
      <c r="J304" s="15"/>
      <c r="K304" s="29"/>
      <c r="L304" s="19"/>
      <c r="M304" s="19">
        <f t="shared" si="52"/>
        <v>0</v>
      </c>
      <c r="N304" s="35"/>
      <c r="O304" s="19"/>
      <c r="P304" s="35"/>
      <c r="Q304" s="19"/>
      <c r="R304" s="18">
        <f t="shared" si="53"/>
        <v>0</v>
      </c>
      <c r="S304" s="34">
        <f t="shared" si="54"/>
        <v>0</v>
      </c>
      <c r="T304" s="18">
        <f t="shared" si="51"/>
        <v>0</v>
      </c>
      <c r="U304" s="17"/>
      <c r="V304" s="20"/>
      <c r="W304" s="20"/>
      <c r="X304" s="22"/>
      <c r="Y304" s="19"/>
      <c r="Z304" s="20"/>
      <c r="AA304" s="20"/>
    </row>
    <row r="305" spans="2:27" x14ac:dyDescent="0.3">
      <c r="B305" s="17"/>
      <c r="C305" s="17"/>
      <c r="D305" s="20"/>
      <c r="E305" s="15"/>
      <c r="F305" s="15"/>
      <c r="G305" s="15"/>
      <c r="H305" s="16"/>
      <c r="I305" s="15"/>
      <c r="J305" s="15"/>
      <c r="K305" s="29"/>
      <c r="L305" s="19"/>
      <c r="M305" s="19">
        <f t="shared" si="52"/>
        <v>0</v>
      </c>
      <c r="N305" s="35"/>
      <c r="O305" s="19"/>
      <c r="P305" s="35"/>
      <c r="Q305" s="19"/>
      <c r="R305" s="18">
        <f t="shared" si="53"/>
        <v>0</v>
      </c>
      <c r="S305" s="34">
        <f t="shared" si="54"/>
        <v>0</v>
      </c>
      <c r="T305" s="18">
        <f t="shared" si="51"/>
        <v>0</v>
      </c>
      <c r="U305" s="17"/>
      <c r="V305" s="20"/>
      <c r="W305" s="20"/>
      <c r="X305" s="22"/>
      <c r="Y305" s="19"/>
      <c r="Z305" s="20"/>
      <c r="AA305" s="20"/>
    </row>
    <row r="306" spans="2:27" x14ac:dyDescent="0.3">
      <c r="B306" s="17"/>
      <c r="C306" s="17"/>
      <c r="D306" s="20"/>
      <c r="E306" s="15"/>
      <c r="F306" s="15"/>
      <c r="G306" s="15"/>
      <c r="H306" s="16"/>
      <c r="I306" s="15"/>
      <c r="J306" s="15"/>
      <c r="K306" s="29"/>
      <c r="L306" s="19"/>
      <c r="M306" s="19">
        <f t="shared" si="52"/>
        <v>0</v>
      </c>
      <c r="N306" s="35"/>
      <c r="O306" s="19"/>
      <c r="P306" s="35"/>
      <c r="Q306" s="19"/>
      <c r="R306" s="18">
        <f t="shared" si="53"/>
        <v>0</v>
      </c>
      <c r="S306" s="34">
        <f t="shared" si="54"/>
        <v>0</v>
      </c>
      <c r="T306" s="18">
        <f t="shared" si="51"/>
        <v>0</v>
      </c>
      <c r="U306" s="17"/>
      <c r="V306" s="20"/>
      <c r="W306" s="20"/>
      <c r="X306" s="22"/>
      <c r="Y306" s="19"/>
      <c r="Z306" s="20"/>
      <c r="AA306" s="20"/>
    </row>
    <row r="307" spans="2:27" x14ac:dyDescent="0.3">
      <c r="B307" s="17"/>
      <c r="C307" s="17"/>
      <c r="D307" s="20"/>
      <c r="E307" s="15"/>
      <c r="F307" s="15"/>
      <c r="G307" s="15"/>
      <c r="H307" s="16"/>
      <c r="I307" s="15"/>
      <c r="J307" s="15"/>
      <c r="K307" s="29"/>
      <c r="L307" s="19"/>
      <c r="M307" s="19">
        <f t="shared" si="52"/>
        <v>0</v>
      </c>
      <c r="N307" s="35"/>
      <c r="O307" s="19"/>
      <c r="P307" s="35"/>
      <c r="Q307" s="19"/>
      <c r="R307" s="18">
        <f t="shared" si="53"/>
        <v>0</v>
      </c>
      <c r="S307" s="34">
        <f t="shared" si="54"/>
        <v>0</v>
      </c>
      <c r="T307" s="18">
        <f t="shared" si="51"/>
        <v>0</v>
      </c>
      <c r="U307" s="17"/>
      <c r="V307" s="20"/>
      <c r="W307" s="20"/>
      <c r="X307" s="22"/>
      <c r="Y307" s="19"/>
      <c r="Z307" s="20"/>
      <c r="AA307" s="20"/>
    </row>
    <row r="308" spans="2:27" x14ac:dyDescent="0.3">
      <c r="B308" s="17"/>
      <c r="C308" s="17"/>
      <c r="D308" s="20"/>
      <c r="E308" s="15"/>
      <c r="F308" s="15"/>
      <c r="G308" s="15"/>
      <c r="H308" s="16"/>
      <c r="I308" s="15"/>
      <c r="J308" s="15"/>
      <c r="K308" s="29"/>
      <c r="L308" s="19"/>
      <c r="M308" s="19">
        <f t="shared" si="52"/>
        <v>0</v>
      </c>
      <c r="N308" s="35"/>
      <c r="O308" s="19"/>
      <c r="P308" s="35"/>
      <c r="Q308" s="19"/>
      <c r="R308" s="18">
        <f t="shared" si="53"/>
        <v>0</v>
      </c>
      <c r="S308" s="34">
        <f t="shared" si="54"/>
        <v>0</v>
      </c>
      <c r="T308" s="18">
        <f t="shared" si="51"/>
        <v>0</v>
      </c>
      <c r="U308" s="17"/>
      <c r="V308" s="20"/>
      <c r="W308" s="20"/>
      <c r="X308" s="22"/>
      <c r="Y308" s="19"/>
      <c r="Z308" s="20"/>
      <c r="AA308" s="20"/>
    </row>
    <row r="309" spans="2:27" x14ac:dyDescent="0.3">
      <c r="B309" s="17"/>
      <c r="C309" s="17"/>
      <c r="D309" s="20"/>
      <c r="E309" s="15"/>
      <c r="F309" s="15"/>
      <c r="G309" s="15"/>
      <c r="H309" s="16"/>
      <c r="I309" s="15"/>
      <c r="J309" s="15"/>
      <c r="K309" s="29"/>
      <c r="L309" s="19"/>
      <c r="M309" s="19">
        <f t="shared" si="52"/>
        <v>0</v>
      </c>
      <c r="N309" s="35"/>
      <c r="O309" s="19"/>
      <c r="P309" s="35"/>
      <c r="Q309" s="19"/>
      <c r="R309" s="18">
        <f t="shared" si="53"/>
        <v>0</v>
      </c>
      <c r="S309" s="34">
        <f t="shared" si="54"/>
        <v>0</v>
      </c>
      <c r="T309" s="18">
        <f t="shared" si="51"/>
        <v>0</v>
      </c>
      <c r="U309" s="17"/>
      <c r="V309" s="20"/>
      <c r="W309" s="20"/>
      <c r="X309" s="22"/>
      <c r="Y309" s="19"/>
      <c r="Z309" s="20"/>
      <c r="AA309" s="20"/>
    </row>
    <row r="310" spans="2:27" x14ac:dyDescent="0.3">
      <c r="B310" s="17"/>
      <c r="C310" s="17"/>
      <c r="D310" s="20"/>
      <c r="E310" s="15"/>
      <c r="F310" s="15"/>
      <c r="G310" s="15"/>
      <c r="H310" s="16"/>
      <c r="I310" s="15"/>
      <c r="J310" s="15"/>
      <c r="K310" s="29"/>
      <c r="L310" s="19"/>
      <c r="M310" s="19">
        <f t="shared" si="52"/>
        <v>0</v>
      </c>
      <c r="N310" s="35"/>
      <c r="O310" s="19"/>
      <c r="P310" s="35"/>
      <c r="Q310" s="19"/>
      <c r="R310" s="18">
        <f t="shared" si="53"/>
        <v>0</v>
      </c>
      <c r="S310" s="34">
        <f t="shared" si="54"/>
        <v>0</v>
      </c>
      <c r="T310" s="18">
        <f t="shared" si="51"/>
        <v>0</v>
      </c>
      <c r="U310" s="17"/>
      <c r="V310" s="20"/>
      <c r="W310" s="20"/>
      <c r="X310" s="22"/>
      <c r="Y310" s="19"/>
      <c r="Z310" s="20"/>
      <c r="AA310" s="20"/>
    </row>
    <row r="311" spans="2:27" x14ac:dyDescent="0.3">
      <c r="B311" s="17"/>
      <c r="C311" s="17"/>
      <c r="D311" s="20"/>
      <c r="E311" s="15"/>
      <c r="F311" s="15"/>
      <c r="G311" s="15"/>
      <c r="H311" s="16"/>
      <c r="I311" s="15"/>
      <c r="J311" s="15"/>
      <c r="K311" s="29"/>
      <c r="L311" s="19"/>
      <c r="M311" s="19">
        <f t="shared" si="52"/>
        <v>0</v>
      </c>
      <c r="N311" s="35"/>
      <c r="O311" s="19"/>
      <c r="P311" s="35"/>
      <c r="Q311" s="19"/>
      <c r="R311" s="18">
        <f t="shared" si="53"/>
        <v>0</v>
      </c>
      <c r="S311" s="34">
        <f t="shared" si="54"/>
        <v>0</v>
      </c>
      <c r="T311" s="18">
        <f t="shared" si="51"/>
        <v>0</v>
      </c>
      <c r="U311" s="17"/>
      <c r="V311" s="20"/>
      <c r="W311" s="20"/>
      <c r="X311" s="22"/>
      <c r="Y311" s="19"/>
      <c r="Z311" s="20"/>
      <c r="AA311" s="20"/>
    </row>
    <row r="312" spans="2:27" x14ac:dyDescent="0.3">
      <c r="B312" s="17"/>
      <c r="C312" s="17"/>
      <c r="D312" s="20"/>
      <c r="E312" s="15"/>
      <c r="F312" s="15"/>
      <c r="G312" s="15"/>
      <c r="H312" s="16"/>
      <c r="I312" s="15"/>
      <c r="J312" s="15"/>
      <c r="K312" s="29"/>
      <c r="L312" s="19"/>
      <c r="M312" s="19">
        <f t="shared" si="52"/>
        <v>0</v>
      </c>
      <c r="N312" s="35"/>
      <c r="O312" s="19"/>
      <c r="P312" s="35"/>
      <c r="Q312" s="19"/>
      <c r="R312" s="18">
        <f t="shared" si="53"/>
        <v>0</v>
      </c>
      <c r="S312" s="34">
        <f t="shared" si="54"/>
        <v>0</v>
      </c>
      <c r="T312" s="18">
        <f t="shared" si="51"/>
        <v>0</v>
      </c>
      <c r="U312" s="17"/>
      <c r="V312" s="20"/>
      <c r="W312" s="20"/>
      <c r="X312" s="22"/>
      <c r="Y312" s="19"/>
      <c r="Z312" s="20"/>
      <c r="AA312" s="20"/>
    </row>
    <row r="313" spans="2:27" x14ac:dyDescent="0.3">
      <c r="B313" s="17"/>
      <c r="C313" s="17"/>
      <c r="D313" s="20"/>
      <c r="E313" s="15"/>
      <c r="F313" s="15"/>
      <c r="G313" s="15"/>
      <c r="H313" s="16"/>
      <c r="I313" s="15"/>
      <c r="J313" s="15"/>
      <c r="K313" s="29"/>
      <c r="L313" s="19"/>
      <c r="M313" s="19">
        <f t="shared" si="52"/>
        <v>0</v>
      </c>
      <c r="N313" s="35"/>
      <c r="O313" s="19"/>
      <c r="P313" s="35"/>
      <c r="Q313" s="19"/>
      <c r="R313" s="18">
        <f t="shared" si="53"/>
        <v>0</v>
      </c>
      <c r="S313" s="34">
        <f t="shared" si="54"/>
        <v>0</v>
      </c>
      <c r="T313" s="18">
        <f t="shared" si="51"/>
        <v>0</v>
      </c>
      <c r="U313" s="17"/>
      <c r="V313" s="20"/>
      <c r="W313" s="20"/>
      <c r="X313" s="22"/>
      <c r="Y313" s="19"/>
      <c r="Z313" s="20"/>
      <c r="AA313" s="20"/>
    </row>
    <row r="314" spans="2:27" x14ac:dyDescent="0.3">
      <c r="B314" s="17"/>
      <c r="C314" s="17"/>
      <c r="D314" s="20"/>
      <c r="E314" s="15"/>
      <c r="F314" s="15"/>
      <c r="G314" s="15"/>
      <c r="H314" s="16"/>
      <c r="I314" s="15"/>
      <c r="J314" s="15"/>
      <c r="K314" s="29"/>
      <c r="L314" s="19"/>
      <c r="M314" s="19">
        <f t="shared" si="52"/>
        <v>0</v>
      </c>
      <c r="N314" s="35"/>
      <c r="O314" s="19"/>
      <c r="P314" s="35"/>
      <c r="Q314" s="19"/>
      <c r="R314" s="18">
        <f t="shared" si="53"/>
        <v>0</v>
      </c>
      <c r="S314" s="34">
        <f t="shared" si="54"/>
        <v>0</v>
      </c>
      <c r="T314" s="18">
        <f t="shared" si="51"/>
        <v>0</v>
      </c>
      <c r="U314" s="17"/>
      <c r="V314" s="20"/>
      <c r="W314" s="20"/>
      <c r="X314" s="22"/>
      <c r="Y314" s="19"/>
      <c r="Z314" s="20"/>
      <c r="AA314" s="20"/>
    </row>
    <row r="315" spans="2:27" x14ac:dyDescent="0.3">
      <c r="B315" s="17"/>
      <c r="C315" s="17"/>
      <c r="D315" s="20"/>
      <c r="E315" s="15"/>
      <c r="F315" s="15"/>
      <c r="G315" s="15"/>
      <c r="H315" s="16"/>
      <c r="I315" s="15"/>
      <c r="J315" s="15"/>
      <c r="K315" s="29"/>
      <c r="L315" s="19"/>
      <c r="M315" s="19">
        <f t="shared" si="52"/>
        <v>0</v>
      </c>
      <c r="N315" s="35"/>
      <c r="O315" s="19"/>
      <c r="P315" s="35"/>
      <c r="Q315" s="19"/>
      <c r="R315" s="18">
        <f t="shared" si="53"/>
        <v>0</v>
      </c>
      <c r="S315" s="34">
        <f t="shared" si="54"/>
        <v>0</v>
      </c>
      <c r="T315" s="18">
        <f t="shared" si="51"/>
        <v>0</v>
      </c>
      <c r="U315" s="17"/>
      <c r="V315" s="20"/>
      <c r="W315" s="20"/>
      <c r="X315" s="22"/>
      <c r="Y315" s="19"/>
      <c r="Z315" s="20"/>
      <c r="AA315" s="20"/>
    </row>
    <row r="316" spans="2:27" x14ac:dyDescent="0.3">
      <c r="B316" s="17"/>
      <c r="C316" s="17"/>
      <c r="D316" s="20"/>
      <c r="E316" s="15"/>
      <c r="F316" s="15"/>
      <c r="G316" s="15"/>
      <c r="H316" s="16"/>
      <c r="I316" s="15"/>
      <c r="J316" s="15"/>
      <c r="K316" s="29"/>
      <c r="L316" s="19"/>
      <c r="M316" s="19">
        <f t="shared" si="52"/>
        <v>0</v>
      </c>
      <c r="N316" s="35"/>
      <c r="O316" s="19"/>
      <c r="P316" s="35"/>
      <c r="Q316" s="19"/>
      <c r="R316" s="18">
        <f t="shared" si="53"/>
        <v>0</v>
      </c>
      <c r="S316" s="34">
        <f t="shared" si="54"/>
        <v>0</v>
      </c>
      <c r="T316" s="18">
        <f t="shared" si="51"/>
        <v>0</v>
      </c>
      <c r="U316" s="17"/>
      <c r="V316" s="20"/>
      <c r="W316" s="20"/>
      <c r="X316" s="22"/>
      <c r="Y316" s="19"/>
      <c r="Z316" s="20"/>
      <c r="AA316" s="20"/>
    </row>
    <row r="317" spans="2:27" x14ac:dyDescent="0.3">
      <c r="B317" s="17"/>
      <c r="C317" s="17"/>
      <c r="D317" s="20"/>
      <c r="E317" s="15"/>
      <c r="F317" s="15"/>
      <c r="G317" s="15"/>
      <c r="H317" s="16"/>
      <c r="I317" s="15"/>
      <c r="J317" s="15"/>
      <c r="K317" s="29"/>
      <c r="L317" s="19"/>
      <c r="M317" s="19">
        <f t="shared" si="52"/>
        <v>0</v>
      </c>
      <c r="N317" s="35"/>
      <c r="O317" s="19"/>
      <c r="P317" s="35"/>
      <c r="Q317" s="19"/>
      <c r="R317" s="18">
        <f t="shared" si="53"/>
        <v>0</v>
      </c>
      <c r="S317" s="34">
        <f t="shared" si="54"/>
        <v>0</v>
      </c>
      <c r="T317" s="18">
        <f t="shared" si="51"/>
        <v>0</v>
      </c>
      <c r="U317" s="17"/>
      <c r="V317" s="20"/>
      <c r="W317" s="20"/>
      <c r="X317" s="22"/>
      <c r="Y317" s="19"/>
      <c r="Z317" s="20"/>
      <c r="AA317" s="20"/>
    </row>
    <row r="318" spans="2:27" x14ac:dyDescent="0.3">
      <c r="B318" s="17"/>
      <c r="C318" s="17"/>
      <c r="D318" s="20"/>
      <c r="E318" s="15"/>
      <c r="F318" s="15"/>
      <c r="G318" s="15"/>
      <c r="H318" s="16"/>
      <c r="I318" s="15"/>
      <c r="J318" s="15"/>
      <c r="K318" s="29"/>
      <c r="L318" s="19"/>
      <c r="M318" s="19">
        <f t="shared" si="52"/>
        <v>0</v>
      </c>
      <c r="N318" s="35"/>
      <c r="O318" s="19"/>
      <c r="P318" s="35"/>
      <c r="Q318" s="19"/>
      <c r="R318" s="18">
        <f t="shared" si="53"/>
        <v>0</v>
      </c>
      <c r="S318" s="34">
        <f t="shared" si="54"/>
        <v>0</v>
      </c>
      <c r="T318" s="18">
        <f t="shared" si="51"/>
        <v>0</v>
      </c>
      <c r="U318" s="17"/>
      <c r="V318" s="20"/>
      <c r="W318" s="20"/>
      <c r="X318" s="22"/>
      <c r="Y318" s="19"/>
      <c r="Z318" s="20"/>
      <c r="AA318" s="20"/>
    </row>
    <row r="319" spans="2:27" x14ac:dyDescent="0.3">
      <c r="B319" s="17"/>
      <c r="C319" s="17"/>
      <c r="D319" s="20"/>
      <c r="E319" s="15"/>
      <c r="F319" s="15"/>
      <c r="G319" s="15"/>
      <c r="H319" s="16"/>
      <c r="I319" s="15"/>
      <c r="J319" s="15"/>
      <c r="K319" s="29"/>
      <c r="L319" s="19"/>
      <c r="M319" s="19">
        <f t="shared" si="52"/>
        <v>0</v>
      </c>
      <c r="N319" s="35"/>
      <c r="O319" s="19"/>
      <c r="P319" s="35"/>
      <c r="Q319" s="19"/>
      <c r="R319" s="18">
        <f t="shared" si="53"/>
        <v>0</v>
      </c>
      <c r="S319" s="34">
        <f t="shared" si="54"/>
        <v>0</v>
      </c>
      <c r="T319" s="18">
        <f t="shared" si="51"/>
        <v>0</v>
      </c>
      <c r="U319" s="17"/>
      <c r="V319" s="20"/>
      <c r="W319" s="20"/>
      <c r="X319" s="22"/>
      <c r="Y319" s="19"/>
      <c r="Z319" s="20"/>
      <c r="AA319" s="20"/>
    </row>
    <row r="320" spans="2:27" x14ac:dyDescent="0.3">
      <c r="B320" s="17"/>
      <c r="C320" s="17"/>
      <c r="D320" s="20"/>
      <c r="E320" s="15"/>
      <c r="F320" s="15"/>
      <c r="G320" s="15"/>
      <c r="H320" s="16"/>
      <c r="I320" s="15"/>
      <c r="J320" s="15"/>
      <c r="K320" s="29"/>
      <c r="L320" s="19"/>
      <c r="M320" s="19">
        <f t="shared" si="52"/>
        <v>0</v>
      </c>
      <c r="N320" s="35"/>
      <c r="O320" s="19"/>
      <c r="P320" s="35"/>
      <c r="Q320" s="19"/>
      <c r="R320" s="18">
        <f t="shared" si="53"/>
        <v>0</v>
      </c>
      <c r="S320" s="34">
        <f t="shared" si="54"/>
        <v>0</v>
      </c>
      <c r="T320" s="18">
        <f t="shared" si="51"/>
        <v>0</v>
      </c>
      <c r="U320" s="17"/>
      <c r="V320" s="20"/>
      <c r="W320" s="20"/>
      <c r="X320" s="22"/>
      <c r="Y320" s="19"/>
      <c r="Z320" s="20"/>
      <c r="AA320" s="20"/>
    </row>
    <row r="321" spans="2:27" x14ac:dyDescent="0.3">
      <c r="B321" s="17"/>
      <c r="C321" s="17"/>
      <c r="D321" s="20"/>
      <c r="E321" s="15"/>
      <c r="F321" s="15"/>
      <c r="G321" s="15"/>
      <c r="H321" s="16"/>
      <c r="I321" s="15"/>
      <c r="J321" s="15"/>
      <c r="K321" s="29"/>
      <c r="L321" s="19"/>
      <c r="M321" s="19">
        <f t="shared" si="52"/>
        <v>0</v>
      </c>
      <c r="N321" s="35"/>
      <c r="O321" s="19"/>
      <c r="P321" s="35"/>
      <c r="Q321" s="19"/>
      <c r="R321" s="18">
        <f t="shared" si="53"/>
        <v>0</v>
      </c>
      <c r="S321" s="34">
        <f t="shared" si="54"/>
        <v>0</v>
      </c>
      <c r="T321" s="18">
        <f t="shared" si="51"/>
        <v>0</v>
      </c>
      <c r="U321" s="17"/>
      <c r="V321" s="20"/>
      <c r="W321" s="20"/>
      <c r="X321" s="22"/>
      <c r="Y321" s="19"/>
      <c r="Z321" s="20"/>
      <c r="AA321" s="20"/>
    </row>
    <row r="322" spans="2:27" x14ac:dyDescent="0.3">
      <c r="B322" s="17"/>
      <c r="C322" s="17"/>
      <c r="D322" s="20"/>
      <c r="E322" s="15"/>
      <c r="F322" s="15"/>
      <c r="G322" s="15"/>
      <c r="H322" s="16"/>
      <c r="I322" s="15"/>
      <c r="J322" s="15"/>
      <c r="K322" s="29"/>
      <c r="L322" s="19"/>
      <c r="M322" s="19">
        <f t="shared" si="52"/>
        <v>0</v>
      </c>
      <c r="N322" s="35"/>
      <c r="O322" s="19"/>
      <c r="P322" s="35"/>
      <c r="Q322" s="19"/>
      <c r="R322" s="18">
        <f t="shared" si="53"/>
        <v>0</v>
      </c>
      <c r="S322" s="34">
        <f t="shared" si="54"/>
        <v>0</v>
      </c>
      <c r="T322" s="18">
        <f t="shared" si="51"/>
        <v>0</v>
      </c>
      <c r="U322" s="17"/>
      <c r="V322" s="20"/>
      <c r="W322" s="20"/>
      <c r="X322" s="22"/>
      <c r="Y322" s="19"/>
      <c r="Z322" s="20"/>
      <c r="AA322" s="20"/>
    </row>
    <row r="323" spans="2:27" x14ac:dyDescent="0.3">
      <c r="B323" s="17"/>
      <c r="C323" s="17"/>
      <c r="D323" s="20"/>
      <c r="E323" s="15"/>
      <c r="F323" s="15"/>
      <c r="G323" s="15"/>
      <c r="H323" s="16"/>
      <c r="I323" s="15"/>
      <c r="J323" s="15"/>
      <c r="K323" s="29"/>
      <c r="L323" s="19"/>
      <c r="M323" s="19">
        <f t="shared" si="52"/>
        <v>0</v>
      </c>
      <c r="N323" s="35"/>
      <c r="O323" s="19"/>
      <c r="P323" s="35"/>
      <c r="Q323" s="19"/>
      <c r="R323" s="18">
        <f t="shared" si="53"/>
        <v>0</v>
      </c>
      <c r="S323" s="34">
        <f t="shared" si="54"/>
        <v>0</v>
      </c>
      <c r="T323" s="18">
        <f t="shared" si="51"/>
        <v>0</v>
      </c>
      <c r="U323" s="17"/>
      <c r="V323" s="20"/>
      <c r="W323" s="20"/>
      <c r="X323" s="22"/>
      <c r="Y323" s="19"/>
      <c r="Z323" s="20"/>
      <c r="AA323" s="20"/>
    </row>
    <row r="324" spans="2:27" x14ac:dyDescent="0.3">
      <c r="B324" s="17"/>
      <c r="C324" s="17"/>
      <c r="D324" s="20"/>
      <c r="E324" s="15"/>
      <c r="F324" s="15"/>
      <c r="G324" s="15"/>
      <c r="H324" s="16"/>
      <c r="I324" s="15"/>
      <c r="J324" s="15"/>
      <c r="K324" s="29"/>
      <c r="L324" s="19"/>
      <c r="M324" s="19">
        <f t="shared" si="52"/>
        <v>0</v>
      </c>
      <c r="N324" s="35"/>
      <c r="O324" s="19"/>
      <c r="P324" s="35"/>
      <c r="Q324" s="19"/>
      <c r="R324" s="18">
        <f t="shared" si="53"/>
        <v>0</v>
      </c>
      <c r="S324" s="34">
        <f t="shared" si="54"/>
        <v>0</v>
      </c>
      <c r="T324" s="18">
        <f t="shared" si="51"/>
        <v>0</v>
      </c>
      <c r="U324" s="17"/>
      <c r="V324" s="20"/>
      <c r="W324" s="20"/>
      <c r="X324" s="22"/>
      <c r="Y324" s="19"/>
      <c r="Z324" s="20"/>
      <c r="AA324" s="20"/>
    </row>
    <row r="325" spans="2:27" x14ac:dyDescent="0.3">
      <c r="B325" s="17"/>
      <c r="C325" s="17"/>
      <c r="D325" s="20"/>
      <c r="E325" s="15"/>
      <c r="F325" s="15"/>
      <c r="G325" s="15"/>
      <c r="H325" s="16"/>
      <c r="I325" s="15"/>
      <c r="J325" s="15"/>
      <c r="K325" s="29"/>
      <c r="L325" s="19"/>
      <c r="M325" s="19">
        <f t="shared" si="52"/>
        <v>0</v>
      </c>
      <c r="N325" s="35"/>
      <c r="O325" s="19"/>
      <c r="P325" s="35"/>
      <c r="Q325" s="19"/>
      <c r="R325" s="18">
        <f t="shared" si="53"/>
        <v>0</v>
      </c>
      <c r="S325" s="34">
        <f t="shared" si="54"/>
        <v>0</v>
      </c>
      <c r="T325" s="18">
        <f t="shared" si="51"/>
        <v>0</v>
      </c>
      <c r="U325" s="17"/>
      <c r="V325" s="20"/>
      <c r="W325" s="20"/>
      <c r="X325" s="22"/>
      <c r="Y325" s="19"/>
      <c r="Z325" s="20"/>
      <c r="AA325" s="20"/>
    </row>
    <row r="326" spans="2:27" x14ac:dyDescent="0.3">
      <c r="B326" s="17"/>
      <c r="C326" s="17"/>
      <c r="D326" s="20"/>
      <c r="E326" s="15"/>
      <c r="F326" s="15"/>
      <c r="G326" s="15"/>
      <c r="H326" s="16"/>
      <c r="I326" s="15"/>
      <c r="J326" s="15"/>
      <c r="K326" s="29"/>
      <c r="L326" s="19"/>
      <c r="M326" s="19">
        <f t="shared" si="52"/>
        <v>0</v>
      </c>
      <c r="N326" s="35"/>
      <c r="O326" s="19"/>
      <c r="P326" s="35"/>
      <c r="Q326" s="19"/>
      <c r="R326" s="18">
        <f t="shared" si="53"/>
        <v>0</v>
      </c>
      <c r="S326" s="34">
        <f t="shared" si="54"/>
        <v>0</v>
      </c>
      <c r="T326" s="18">
        <f t="shared" si="51"/>
        <v>0</v>
      </c>
      <c r="U326" s="17"/>
      <c r="V326" s="20"/>
      <c r="W326" s="20"/>
      <c r="X326" s="22"/>
      <c r="Y326" s="19"/>
      <c r="Z326" s="20"/>
      <c r="AA326" s="20"/>
    </row>
    <row r="327" spans="2:27" x14ac:dyDescent="0.3">
      <c r="B327" s="17"/>
      <c r="C327" s="17"/>
      <c r="D327" s="20"/>
      <c r="E327" s="15"/>
      <c r="F327" s="15"/>
      <c r="G327" s="15"/>
      <c r="H327" s="16"/>
      <c r="I327" s="15"/>
      <c r="J327" s="15"/>
      <c r="K327" s="29"/>
      <c r="L327" s="19"/>
      <c r="M327" s="19">
        <f t="shared" si="52"/>
        <v>0</v>
      </c>
      <c r="N327" s="35"/>
      <c r="O327" s="19"/>
      <c r="P327" s="35"/>
      <c r="Q327" s="19"/>
      <c r="R327" s="18">
        <f t="shared" si="53"/>
        <v>0</v>
      </c>
      <c r="S327" s="34">
        <f t="shared" si="54"/>
        <v>0</v>
      </c>
      <c r="T327" s="18">
        <f t="shared" si="51"/>
        <v>0</v>
      </c>
      <c r="U327" s="17"/>
      <c r="V327" s="20"/>
      <c r="W327" s="20"/>
      <c r="X327" s="22"/>
      <c r="Y327" s="19"/>
      <c r="Z327" s="20"/>
      <c r="AA327" s="20"/>
    </row>
    <row r="328" spans="2:27" x14ac:dyDescent="0.3">
      <c r="B328" s="17"/>
      <c r="C328" s="17"/>
      <c r="D328" s="20"/>
      <c r="E328" s="15"/>
      <c r="F328" s="15"/>
      <c r="G328" s="15"/>
      <c r="H328" s="16"/>
      <c r="I328" s="15"/>
      <c r="J328" s="15"/>
      <c r="K328" s="29"/>
      <c r="L328" s="19"/>
      <c r="M328" s="19">
        <f t="shared" si="52"/>
        <v>0</v>
      </c>
      <c r="N328" s="35"/>
      <c r="O328" s="19"/>
      <c r="P328" s="35"/>
      <c r="Q328" s="19"/>
      <c r="R328" s="18">
        <f t="shared" si="53"/>
        <v>0</v>
      </c>
      <c r="S328" s="34">
        <f t="shared" si="54"/>
        <v>0</v>
      </c>
      <c r="T328" s="18">
        <f t="shared" si="51"/>
        <v>0</v>
      </c>
      <c r="U328" s="17"/>
      <c r="V328" s="20"/>
      <c r="W328" s="20"/>
      <c r="X328" s="22"/>
      <c r="Y328" s="19"/>
      <c r="Z328" s="20"/>
      <c r="AA328" s="20"/>
    </row>
    <row r="329" spans="2:27" x14ac:dyDescent="0.3">
      <c r="B329" s="17"/>
      <c r="C329" s="17"/>
      <c r="D329" s="20"/>
      <c r="E329" s="15"/>
      <c r="F329" s="15"/>
      <c r="G329" s="15"/>
      <c r="H329" s="16"/>
      <c r="I329" s="15"/>
      <c r="J329" s="15"/>
      <c r="K329" s="29"/>
      <c r="L329" s="19"/>
      <c r="M329" s="19">
        <f t="shared" si="52"/>
        <v>0</v>
      </c>
      <c r="N329" s="35"/>
      <c r="O329" s="19"/>
      <c r="P329" s="35"/>
      <c r="Q329" s="19"/>
      <c r="R329" s="18">
        <f t="shared" si="53"/>
        <v>0</v>
      </c>
      <c r="S329" s="34">
        <f t="shared" si="54"/>
        <v>0</v>
      </c>
      <c r="T329" s="18">
        <f t="shared" si="51"/>
        <v>0</v>
      </c>
      <c r="U329" s="17"/>
      <c r="V329" s="20"/>
      <c r="W329" s="20"/>
      <c r="X329" s="22"/>
      <c r="Y329" s="19"/>
      <c r="Z329" s="20"/>
      <c r="AA329" s="20"/>
    </row>
    <row r="330" spans="2:27" x14ac:dyDescent="0.3">
      <c r="B330" s="17"/>
      <c r="C330" s="17"/>
      <c r="D330" s="20"/>
      <c r="E330" s="15"/>
      <c r="F330" s="15"/>
      <c r="G330" s="15"/>
      <c r="H330" s="16"/>
      <c r="I330" s="15"/>
      <c r="J330" s="15"/>
      <c r="K330" s="29"/>
      <c r="L330" s="19"/>
      <c r="M330" s="19">
        <f t="shared" si="52"/>
        <v>0</v>
      </c>
      <c r="N330" s="35"/>
      <c r="O330" s="19"/>
      <c r="P330" s="35"/>
      <c r="Q330" s="19"/>
      <c r="R330" s="18">
        <f t="shared" si="53"/>
        <v>0</v>
      </c>
      <c r="S330" s="34">
        <f t="shared" si="54"/>
        <v>0</v>
      </c>
      <c r="T330" s="18">
        <f t="shared" si="51"/>
        <v>0</v>
      </c>
      <c r="U330" s="17"/>
      <c r="V330" s="20"/>
      <c r="W330" s="20"/>
      <c r="X330" s="22"/>
      <c r="Y330" s="19"/>
      <c r="Z330" s="20"/>
      <c r="AA330" s="20"/>
    </row>
    <row r="331" spans="2:27" x14ac:dyDescent="0.3">
      <c r="B331" s="17"/>
      <c r="C331" s="17"/>
      <c r="D331" s="20"/>
      <c r="E331" s="15"/>
      <c r="F331" s="15"/>
      <c r="G331" s="15"/>
      <c r="H331" s="16"/>
      <c r="I331" s="15"/>
      <c r="J331" s="15"/>
      <c r="K331" s="29"/>
      <c r="L331" s="19"/>
      <c r="M331" s="19">
        <f t="shared" si="52"/>
        <v>0</v>
      </c>
      <c r="N331" s="35"/>
      <c r="O331" s="19"/>
      <c r="P331" s="35"/>
      <c r="Q331" s="19"/>
      <c r="R331" s="18">
        <f t="shared" si="53"/>
        <v>0</v>
      </c>
      <c r="S331" s="34">
        <f t="shared" si="54"/>
        <v>0</v>
      </c>
      <c r="T331" s="18">
        <f t="shared" si="51"/>
        <v>0</v>
      </c>
      <c r="U331" s="17"/>
      <c r="V331" s="20"/>
      <c r="W331" s="20"/>
      <c r="X331" s="22"/>
      <c r="Y331" s="19"/>
      <c r="Z331" s="20"/>
      <c r="AA331" s="20"/>
    </row>
    <row r="332" spans="2:27" x14ac:dyDescent="0.3">
      <c r="B332" s="17"/>
      <c r="C332" s="17"/>
      <c r="D332" s="20"/>
      <c r="E332" s="15"/>
      <c r="F332" s="15"/>
      <c r="G332" s="15"/>
      <c r="H332" s="16"/>
      <c r="I332" s="15"/>
      <c r="J332" s="15"/>
      <c r="K332" s="29"/>
      <c r="L332" s="19"/>
      <c r="M332" s="19">
        <f t="shared" si="52"/>
        <v>0</v>
      </c>
      <c r="N332" s="35"/>
      <c r="O332" s="19"/>
      <c r="P332" s="35"/>
      <c r="Q332" s="19"/>
      <c r="R332" s="18">
        <f t="shared" si="53"/>
        <v>0</v>
      </c>
      <c r="S332" s="34">
        <f t="shared" si="54"/>
        <v>0</v>
      </c>
      <c r="T332" s="18">
        <f t="shared" si="51"/>
        <v>0</v>
      </c>
      <c r="U332" s="17"/>
      <c r="V332" s="20"/>
      <c r="W332" s="20"/>
      <c r="X332" s="22"/>
      <c r="Y332" s="19"/>
      <c r="Z332" s="20"/>
      <c r="AA332" s="20"/>
    </row>
    <row r="333" spans="2:27" x14ac:dyDescent="0.3">
      <c r="B333" s="17"/>
      <c r="C333" s="17"/>
      <c r="D333" s="20"/>
      <c r="E333" s="15"/>
      <c r="F333" s="15"/>
      <c r="G333" s="15"/>
      <c r="H333" s="16"/>
      <c r="I333" s="15"/>
      <c r="J333" s="15"/>
      <c r="K333" s="29"/>
      <c r="L333" s="19"/>
      <c r="M333" s="19">
        <f t="shared" si="52"/>
        <v>0</v>
      </c>
      <c r="N333" s="35"/>
      <c r="O333" s="19"/>
      <c r="P333" s="35"/>
      <c r="Q333" s="19"/>
      <c r="R333" s="18">
        <f t="shared" si="53"/>
        <v>0</v>
      </c>
      <c r="S333" s="34">
        <f t="shared" si="54"/>
        <v>0</v>
      </c>
      <c r="T333" s="18">
        <f t="shared" si="51"/>
        <v>0</v>
      </c>
      <c r="U333" s="17"/>
      <c r="V333" s="20"/>
      <c r="W333" s="20"/>
      <c r="X333" s="22"/>
      <c r="Y333" s="19"/>
      <c r="Z333" s="20"/>
      <c r="AA333" s="20"/>
    </row>
    <row r="334" spans="2:27" x14ac:dyDescent="0.3">
      <c r="B334" s="17"/>
      <c r="C334" s="17"/>
      <c r="D334" s="20"/>
      <c r="E334" s="15"/>
      <c r="F334" s="15"/>
      <c r="G334" s="15"/>
      <c r="H334" s="16"/>
      <c r="I334" s="15"/>
      <c r="J334" s="15"/>
      <c r="K334" s="29"/>
      <c r="L334" s="19"/>
      <c r="M334" s="19">
        <f t="shared" si="52"/>
        <v>0</v>
      </c>
      <c r="N334" s="35"/>
      <c r="O334" s="19"/>
      <c r="P334" s="35"/>
      <c r="Q334" s="19"/>
      <c r="R334" s="18">
        <f t="shared" si="53"/>
        <v>0</v>
      </c>
      <c r="S334" s="34">
        <f t="shared" si="54"/>
        <v>0</v>
      </c>
      <c r="T334" s="18">
        <f t="shared" si="51"/>
        <v>0</v>
      </c>
      <c r="U334" s="17"/>
      <c r="V334" s="20"/>
      <c r="W334" s="20"/>
      <c r="X334" s="22"/>
      <c r="Y334" s="19"/>
      <c r="Z334" s="20"/>
      <c r="AA334" s="20"/>
    </row>
    <row r="335" spans="2:27" x14ac:dyDescent="0.3">
      <c r="B335" s="17"/>
      <c r="C335" s="17"/>
      <c r="D335" s="20"/>
      <c r="E335" s="15"/>
      <c r="F335" s="15"/>
      <c r="G335" s="15"/>
      <c r="H335" s="16"/>
      <c r="I335" s="15"/>
      <c r="J335" s="15"/>
      <c r="K335" s="29"/>
      <c r="L335" s="19"/>
      <c r="M335" s="19">
        <f t="shared" si="52"/>
        <v>0</v>
      </c>
      <c r="N335" s="35"/>
      <c r="O335" s="19"/>
      <c r="P335" s="35"/>
      <c r="Q335" s="19"/>
      <c r="R335" s="18">
        <f t="shared" si="53"/>
        <v>0</v>
      </c>
      <c r="S335" s="34">
        <f t="shared" si="54"/>
        <v>0</v>
      </c>
      <c r="T335" s="18">
        <f t="shared" si="51"/>
        <v>0</v>
      </c>
      <c r="U335" s="17"/>
      <c r="V335" s="20"/>
      <c r="W335" s="20"/>
      <c r="X335" s="22"/>
      <c r="Y335" s="19"/>
      <c r="Z335" s="20"/>
      <c r="AA335" s="20"/>
    </row>
    <row r="336" spans="2:27" x14ac:dyDescent="0.3">
      <c r="B336" s="17"/>
      <c r="C336" s="17"/>
      <c r="D336" s="20"/>
      <c r="E336" s="15"/>
      <c r="F336" s="15"/>
      <c r="G336" s="15"/>
      <c r="H336" s="16"/>
      <c r="I336" s="15"/>
      <c r="J336" s="15"/>
      <c r="K336" s="29"/>
      <c r="L336" s="19"/>
      <c r="M336" s="19">
        <f t="shared" si="52"/>
        <v>0</v>
      </c>
      <c r="N336" s="35"/>
      <c r="O336" s="19"/>
      <c r="P336" s="35"/>
      <c r="Q336" s="19"/>
      <c r="R336" s="18">
        <f t="shared" si="53"/>
        <v>0</v>
      </c>
      <c r="S336" s="34">
        <f t="shared" si="54"/>
        <v>0</v>
      </c>
      <c r="T336" s="18">
        <f t="shared" si="51"/>
        <v>0</v>
      </c>
      <c r="U336" s="17"/>
      <c r="V336" s="20"/>
      <c r="W336" s="20"/>
      <c r="X336" s="22"/>
      <c r="Y336" s="19"/>
      <c r="Z336" s="20"/>
      <c r="AA336" s="20"/>
    </row>
    <row r="337" spans="2:27" x14ac:dyDescent="0.3">
      <c r="B337" s="17"/>
      <c r="C337" s="17"/>
      <c r="D337" s="20"/>
      <c r="E337" s="15"/>
      <c r="F337" s="15"/>
      <c r="G337" s="15"/>
      <c r="H337" s="16"/>
      <c r="I337" s="15"/>
      <c r="J337" s="15"/>
      <c r="K337" s="29"/>
      <c r="L337" s="19"/>
      <c r="M337" s="19">
        <f t="shared" si="52"/>
        <v>0</v>
      </c>
      <c r="N337" s="35"/>
      <c r="O337" s="19"/>
      <c r="P337" s="35"/>
      <c r="Q337" s="19"/>
      <c r="R337" s="18">
        <f t="shared" si="53"/>
        <v>0</v>
      </c>
      <c r="S337" s="34">
        <f t="shared" si="54"/>
        <v>0</v>
      </c>
      <c r="T337" s="18">
        <f t="shared" si="51"/>
        <v>0</v>
      </c>
      <c r="U337" s="17"/>
      <c r="V337" s="20"/>
      <c r="W337" s="20"/>
      <c r="X337" s="22"/>
      <c r="Y337" s="19"/>
      <c r="Z337" s="20"/>
      <c r="AA337" s="20"/>
    </row>
    <row r="338" spans="2:27" x14ac:dyDescent="0.3">
      <c r="B338" s="17"/>
      <c r="C338" s="17"/>
      <c r="D338" s="20"/>
      <c r="E338" s="15"/>
      <c r="F338" s="15"/>
      <c r="G338" s="15"/>
      <c r="H338" s="16"/>
      <c r="I338" s="15"/>
      <c r="J338" s="15"/>
      <c r="K338" s="29"/>
      <c r="L338" s="19"/>
      <c r="M338" s="19">
        <f t="shared" si="52"/>
        <v>0</v>
      </c>
      <c r="N338" s="35"/>
      <c r="O338" s="19"/>
      <c r="P338" s="35"/>
      <c r="Q338" s="19"/>
      <c r="R338" s="18">
        <f t="shared" si="53"/>
        <v>0</v>
      </c>
      <c r="S338" s="34">
        <f t="shared" si="54"/>
        <v>0</v>
      </c>
      <c r="T338" s="18">
        <f t="shared" si="51"/>
        <v>0</v>
      </c>
      <c r="U338" s="17"/>
      <c r="V338" s="20"/>
      <c r="W338" s="20"/>
      <c r="X338" s="22"/>
      <c r="Y338" s="19"/>
      <c r="Z338" s="20"/>
      <c r="AA338" s="20"/>
    </row>
    <row r="339" spans="2:27" x14ac:dyDescent="0.3">
      <c r="B339" s="17"/>
      <c r="C339" s="17"/>
      <c r="D339" s="20"/>
      <c r="E339" s="15"/>
      <c r="F339" s="15"/>
      <c r="G339" s="15"/>
      <c r="H339" s="16"/>
      <c r="I339" s="15"/>
      <c r="J339" s="15"/>
      <c r="K339" s="29"/>
      <c r="L339" s="19"/>
      <c r="M339" s="19">
        <f t="shared" si="52"/>
        <v>0</v>
      </c>
      <c r="N339" s="35"/>
      <c r="O339" s="19"/>
      <c r="P339" s="35"/>
      <c r="Q339" s="19"/>
      <c r="R339" s="18">
        <f t="shared" si="53"/>
        <v>0</v>
      </c>
      <c r="S339" s="34">
        <f t="shared" si="54"/>
        <v>0</v>
      </c>
      <c r="T339" s="18">
        <f t="shared" si="51"/>
        <v>0</v>
      </c>
      <c r="U339" s="17"/>
      <c r="V339" s="20"/>
      <c r="W339" s="20"/>
      <c r="X339" s="22"/>
      <c r="Y339" s="19"/>
      <c r="Z339" s="20"/>
      <c r="AA339" s="20"/>
    </row>
    <row r="340" spans="2:27" x14ac:dyDescent="0.3">
      <c r="B340" s="17"/>
      <c r="C340" s="17"/>
      <c r="D340" s="20"/>
      <c r="E340" s="15"/>
      <c r="F340" s="15"/>
      <c r="G340" s="15"/>
      <c r="H340" s="16"/>
      <c r="I340" s="15"/>
      <c r="J340" s="15"/>
      <c r="K340" s="29"/>
      <c r="L340" s="19"/>
      <c r="M340" s="19">
        <f t="shared" si="52"/>
        <v>0</v>
      </c>
      <c r="N340" s="35"/>
      <c r="O340" s="19"/>
      <c r="P340" s="35"/>
      <c r="Q340" s="19"/>
      <c r="R340" s="18">
        <f t="shared" si="53"/>
        <v>0</v>
      </c>
      <c r="S340" s="34">
        <f t="shared" si="54"/>
        <v>0</v>
      </c>
      <c r="T340" s="18">
        <f t="shared" si="51"/>
        <v>0</v>
      </c>
      <c r="U340" s="17"/>
      <c r="V340" s="20"/>
      <c r="W340" s="20"/>
      <c r="X340" s="22"/>
      <c r="Y340" s="19"/>
      <c r="Z340" s="20"/>
      <c r="AA340" s="20"/>
    </row>
    <row r="341" spans="2:27" x14ac:dyDescent="0.3">
      <c r="B341" s="17"/>
      <c r="C341" s="17"/>
      <c r="D341" s="20"/>
      <c r="E341" s="15"/>
      <c r="F341" s="15"/>
      <c r="G341" s="15"/>
      <c r="H341" s="16"/>
      <c r="I341" s="15"/>
      <c r="J341" s="15"/>
      <c r="K341" s="29"/>
      <c r="L341" s="19"/>
      <c r="M341" s="19">
        <f t="shared" si="52"/>
        <v>0</v>
      </c>
      <c r="N341" s="35"/>
      <c r="O341" s="19"/>
      <c r="P341" s="35"/>
      <c r="Q341" s="19"/>
      <c r="R341" s="18">
        <f t="shared" si="53"/>
        <v>0</v>
      </c>
      <c r="S341" s="34">
        <f t="shared" si="54"/>
        <v>0</v>
      </c>
      <c r="T341" s="18">
        <f t="shared" si="51"/>
        <v>0</v>
      </c>
      <c r="U341" s="17"/>
      <c r="V341" s="20"/>
      <c r="W341" s="20"/>
      <c r="X341" s="22"/>
      <c r="Y341" s="19"/>
      <c r="Z341" s="20"/>
      <c r="AA341" s="20"/>
    </row>
    <row r="342" spans="2:27" x14ac:dyDescent="0.3">
      <c r="B342" s="17"/>
      <c r="C342" s="17"/>
      <c r="D342" s="20"/>
      <c r="E342" s="15"/>
      <c r="F342" s="15"/>
      <c r="G342" s="15"/>
      <c r="H342" s="16"/>
      <c r="I342" s="15"/>
      <c r="J342" s="15"/>
      <c r="K342" s="29"/>
      <c r="L342" s="19"/>
      <c r="M342" s="19">
        <f t="shared" si="52"/>
        <v>0</v>
      </c>
      <c r="N342" s="35"/>
      <c r="O342" s="19"/>
      <c r="P342" s="35"/>
      <c r="Q342" s="19"/>
      <c r="R342" s="18">
        <f t="shared" si="53"/>
        <v>0</v>
      </c>
      <c r="S342" s="34">
        <f t="shared" si="54"/>
        <v>0</v>
      </c>
      <c r="T342" s="18">
        <f t="shared" si="51"/>
        <v>0</v>
      </c>
      <c r="U342" s="17"/>
      <c r="V342" s="20"/>
      <c r="W342" s="20"/>
      <c r="X342" s="22"/>
      <c r="Y342" s="19"/>
      <c r="Z342" s="20"/>
      <c r="AA342" s="20"/>
    </row>
    <row r="343" spans="2:27" x14ac:dyDescent="0.3">
      <c r="B343" s="17"/>
      <c r="C343" s="17"/>
      <c r="D343" s="20"/>
      <c r="E343" s="15"/>
      <c r="F343" s="15"/>
      <c r="G343" s="15"/>
      <c r="H343" s="16"/>
      <c r="I343" s="15"/>
      <c r="J343" s="15"/>
      <c r="K343" s="29"/>
      <c r="L343" s="19"/>
      <c r="M343" s="19">
        <f t="shared" si="52"/>
        <v>0</v>
      </c>
      <c r="N343" s="35"/>
      <c r="O343" s="19"/>
      <c r="P343" s="35"/>
      <c r="Q343" s="19"/>
      <c r="R343" s="18">
        <f t="shared" si="53"/>
        <v>0</v>
      </c>
      <c r="S343" s="34">
        <f t="shared" si="54"/>
        <v>0</v>
      </c>
      <c r="T343" s="18">
        <f t="shared" si="51"/>
        <v>0</v>
      </c>
      <c r="U343" s="17"/>
      <c r="V343" s="20"/>
      <c r="W343" s="20"/>
      <c r="X343" s="22"/>
      <c r="Y343" s="19"/>
      <c r="Z343" s="20"/>
      <c r="AA343" s="20"/>
    </row>
    <row r="344" spans="2:27" x14ac:dyDescent="0.3">
      <c r="B344" s="17"/>
      <c r="C344" s="17"/>
      <c r="D344" s="20"/>
      <c r="E344" s="15"/>
      <c r="F344" s="15"/>
      <c r="G344" s="15"/>
      <c r="H344" s="16"/>
      <c r="I344" s="15"/>
      <c r="J344" s="15"/>
      <c r="K344" s="29"/>
      <c r="L344" s="19"/>
      <c r="M344" s="19">
        <f t="shared" si="52"/>
        <v>0</v>
      </c>
      <c r="N344" s="35"/>
      <c r="O344" s="19"/>
      <c r="P344" s="35"/>
      <c r="Q344" s="19"/>
      <c r="R344" s="18">
        <f t="shared" si="53"/>
        <v>0</v>
      </c>
      <c r="S344" s="34">
        <f t="shared" si="54"/>
        <v>0</v>
      </c>
      <c r="T344" s="18">
        <f t="shared" si="51"/>
        <v>0</v>
      </c>
      <c r="U344" s="17"/>
      <c r="V344" s="20"/>
      <c r="W344" s="20"/>
      <c r="X344" s="22"/>
      <c r="Y344" s="19"/>
      <c r="Z344" s="20"/>
      <c r="AA344" s="20"/>
    </row>
    <row r="345" spans="2:27" x14ac:dyDescent="0.3">
      <c r="B345" s="17"/>
      <c r="C345" s="17"/>
      <c r="D345" s="20"/>
      <c r="E345" s="15"/>
      <c r="F345" s="15"/>
      <c r="G345" s="15"/>
      <c r="H345" s="16"/>
      <c r="I345" s="15"/>
      <c r="J345" s="15"/>
      <c r="K345" s="29"/>
      <c r="L345" s="19"/>
      <c r="M345" s="19">
        <f t="shared" si="52"/>
        <v>0</v>
      </c>
      <c r="N345" s="35"/>
      <c r="O345" s="19"/>
      <c r="P345" s="35"/>
      <c r="Q345" s="19"/>
      <c r="R345" s="18">
        <f t="shared" si="53"/>
        <v>0</v>
      </c>
      <c r="S345" s="34">
        <f t="shared" si="54"/>
        <v>0</v>
      </c>
      <c r="T345" s="18">
        <f t="shared" si="51"/>
        <v>0</v>
      </c>
      <c r="U345" s="17"/>
      <c r="V345" s="20"/>
      <c r="W345" s="20"/>
      <c r="X345" s="22"/>
      <c r="Y345" s="19"/>
      <c r="Z345" s="20"/>
      <c r="AA345" s="20"/>
    </row>
    <row r="346" spans="2:27" x14ac:dyDescent="0.3">
      <c r="B346" s="17"/>
      <c r="C346" s="17"/>
      <c r="D346" s="20"/>
      <c r="E346" s="15"/>
      <c r="F346" s="15"/>
      <c r="G346" s="15"/>
      <c r="H346" s="16"/>
      <c r="I346" s="15"/>
      <c r="J346" s="15"/>
      <c r="K346" s="29"/>
      <c r="L346" s="19"/>
      <c r="M346" s="19">
        <f t="shared" si="52"/>
        <v>0</v>
      </c>
      <c r="N346" s="35"/>
      <c r="O346" s="19"/>
      <c r="P346" s="35"/>
      <c r="Q346" s="19"/>
      <c r="R346" s="18">
        <f t="shared" si="53"/>
        <v>0</v>
      </c>
      <c r="S346" s="34">
        <f t="shared" si="54"/>
        <v>0</v>
      </c>
      <c r="T346" s="18">
        <f t="shared" si="51"/>
        <v>0</v>
      </c>
      <c r="U346" s="17"/>
      <c r="V346" s="20"/>
      <c r="W346" s="20"/>
      <c r="X346" s="22"/>
      <c r="Y346" s="19"/>
      <c r="Z346" s="20"/>
      <c r="AA346" s="20"/>
    </row>
    <row r="347" spans="2:27" x14ac:dyDescent="0.3">
      <c r="B347" s="17"/>
      <c r="C347" s="17"/>
      <c r="D347" s="20"/>
      <c r="E347" s="15"/>
      <c r="F347" s="15"/>
      <c r="G347" s="15"/>
      <c r="H347" s="16"/>
      <c r="I347" s="15"/>
      <c r="J347" s="15"/>
      <c r="K347" s="29"/>
      <c r="L347" s="19"/>
      <c r="M347" s="19">
        <f t="shared" si="52"/>
        <v>0</v>
      </c>
      <c r="N347" s="35"/>
      <c r="O347" s="19"/>
      <c r="P347" s="35"/>
      <c r="Q347" s="19"/>
      <c r="R347" s="18">
        <f t="shared" si="53"/>
        <v>0</v>
      </c>
      <c r="S347" s="34">
        <f t="shared" si="54"/>
        <v>0</v>
      </c>
      <c r="T347" s="18">
        <f t="shared" si="51"/>
        <v>0</v>
      </c>
      <c r="U347" s="17"/>
      <c r="V347" s="20"/>
      <c r="W347" s="20"/>
      <c r="X347" s="22"/>
      <c r="Y347" s="19"/>
      <c r="Z347" s="20"/>
      <c r="AA347" s="20"/>
    </row>
    <row r="348" spans="2:27" x14ac:dyDescent="0.3">
      <c r="B348" s="17"/>
      <c r="C348" s="17"/>
      <c r="D348" s="20"/>
      <c r="E348" s="15"/>
      <c r="F348" s="15"/>
      <c r="G348" s="15"/>
      <c r="H348" s="16"/>
      <c r="I348" s="15"/>
      <c r="J348" s="15"/>
      <c r="K348" s="29"/>
      <c r="L348" s="19"/>
      <c r="M348" s="19">
        <f t="shared" si="52"/>
        <v>0</v>
      </c>
      <c r="N348" s="35"/>
      <c r="O348" s="19"/>
      <c r="P348" s="35"/>
      <c r="Q348" s="19"/>
      <c r="R348" s="18">
        <f t="shared" si="53"/>
        <v>0</v>
      </c>
      <c r="S348" s="34">
        <f t="shared" si="54"/>
        <v>0</v>
      </c>
      <c r="T348" s="18">
        <f t="shared" si="51"/>
        <v>0</v>
      </c>
      <c r="U348" s="17"/>
      <c r="V348" s="20"/>
      <c r="W348" s="20"/>
      <c r="X348" s="22"/>
      <c r="Y348" s="19"/>
      <c r="Z348" s="20"/>
      <c r="AA348" s="20"/>
    </row>
    <row r="349" spans="2:27" x14ac:dyDescent="0.3">
      <c r="B349" s="17"/>
      <c r="C349" s="17"/>
      <c r="D349" s="20"/>
      <c r="E349" s="15"/>
      <c r="F349" s="15"/>
      <c r="G349" s="15"/>
      <c r="H349" s="16"/>
      <c r="I349" s="15"/>
      <c r="J349" s="15"/>
      <c r="K349" s="29"/>
      <c r="L349" s="19"/>
      <c r="M349" s="19">
        <f t="shared" si="52"/>
        <v>0</v>
      </c>
      <c r="N349" s="35"/>
      <c r="O349" s="19"/>
      <c r="P349" s="35"/>
      <c r="Q349" s="19"/>
      <c r="R349" s="18">
        <f t="shared" si="53"/>
        <v>0</v>
      </c>
      <c r="S349" s="34">
        <f t="shared" si="54"/>
        <v>0</v>
      </c>
      <c r="T349" s="18">
        <f t="shared" si="51"/>
        <v>0</v>
      </c>
      <c r="U349" s="17"/>
      <c r="V349" s="20"/>
      <c r="W349" s="20"/>
      <c r="X349" s="22"/>
      <c r="Y349" s="19"/>
      <c r="Z349" s="20"/>
      <c r="AA349" s="20"/>
    </row>
    <row r="350" spans="2:27" x14ac:dyDescent="0.3">
      <c r="B350" s="17"/>
      <c r="C350" s="17"/>
      <c r="D350" s="20"/>
      <c r="E350" s="15"/>
      <c r="F350" s="15"/>
      <c r="G350" s="15"/>
      <c r="H350" s="16"/>
      <c r="I350" s="15"/>
      <c r="J350" s="15"/>
      <c r="K350" s="29"/>
      <c r="L350" s="19"/>
      <c r="M350" s="19">
        <f t="shared" si="52"/>
        <v>0</v>
      </c>
      <c r="N350" s="35"/>
      <c r="O350" s="19"/>
      <c r="P350" s="35"/>
      <c r="Q350" s="19"/>
      <c r="R350" s="18">
        <f t="shared" si="53"/>
        <v>0</v>
      </c>
      <c r="S350" s="34">
        <f t="shared" si="54"/>
        <v>0</v>
      </c>
      <c r="T350" s="18">
        <f t="shared" si="51"/>
        <v>0</v>
      </c>
      <c r="U350" s="17"/>
      <c r="V350" s="20"/>
      <c r="W350" s="20"/>
      <c r="X350" s="22"/>
      <c r="Y350" s="19"/>
      <c r="Z350" s="20"/>
      <c r="AA350" s="20"/>
    </row>
    <row r="351" spans="2:27" x14ac:dyDescent="0.3">
      <c r="B351" s="17"/>
      <c r="C351" s="17"/>
      <c r="D351" s="20"/>
      <c r="E351" s="15"/>
      <c r="F351" s="15"/>
      <c r="G351" s="15"/>
      <c r="H351" s="16"/>
      <c r="I351" s="15"/>
      <c r="J351" s="15"/>
      <c r="K351" s="29"/>
      <c r="L351" s="19"/>
      <c r="M351" s="19">
        <f t="shared" si="52"/>
        <v>0</v>
      </c>
      <c r="N351" s="35"/>
      <c r="O351" s="19"/>
      <c r="P351" s="35"/>
      <c r="Q351" s="19"/>
      <c r="R351" s="18">
        <f t="shared" si="53"/>
        <v>0</v>
      </c>
      <c r="S351" s="34">
        <f t="shared" si="54"/>
        <v>0</v>
      </c>
      <c r="T351" s="18">
        <f t="shared" si="51"/>
        <v>0</v>
      </c>
      <c r="U351" s="17"/>
      <c r="V351" s="20"/>
      <c r="W351" s="20"/>
      <c r="X351" s="22"/>
      <c r="Y351" s="19"/>
      <c r="Z351" s="20"/>
      <c r="AA351" s="20"/>
    </row>
    <row r="352" spans="2:27" x14ac:dyDescent="0.3">
      <c r="B352" s="17"/>
      <c r="C352" s="17"/>
      <c r="D352" s="20"/>
      <c r="E352" s="15"/>
      <c r="F352" s="15"/>
      <c r="G352" s="15"/>
      <c r="H352" s="16"/>
      <c r="I352" s="15"/>
      <c r="J352" s="15"/>
      <c r="K352" s="29"/>
      <c r="L352" s="19"/>
      <c r="M352" s="19">
        <f t="shared" si="52"/>
        <v>0</v>
      </c>
      <c r="N352" s="35"/>
      <c r="O352" s="19"/>
      <c r="P352" s="35"/>
      <c r="Q352" s="19"/>
      <c r="R352" s="18">
        <f t="shared" si="53"/>
        <v>0</v>
      </c>
      <c r="S352" s="34">
        <f t="shared" si="54"/>
        <v>0</v>
      </c>
      <c r="T352" s="18">
        <f t="shared" si="51"/>
        <v>0</v>
      </c>
      <c r="U352" s="17"/>
      <c r="V352" s="20"/>
      <c r="W352" s="20"/>
      <c r="X352" s="22"/>
      <c r="Y352" s="19"/>
      <c r="Z352" s="20"/>
      <c r="AA352" s="20"/>
    </row>
    <row r="353" spans="2:27" x14ac:dyDescent="0.3">
      <c r="B353" s="17"/>
      <c r="C353" s="17"/>
      <c r="D353" s="20"/>
      <c r="E353" s="15"/>
      <c r="F353" s="15"/>
      <c r="G353" s="15"/>
      <c r="H353" s="16"/>
      <c r="I353" s="15"/>
      <c r="J353" s="15"/>
      <c r="K353" s="29"/>
      <c r="L353" s="19"/>
      <c r="M353" s="19">
        <f t="shared" si="52"/>
        <v>0</v>
      </c>
      <c r="N353" s="35"/>
      <c r="O353" s="19"/>
      <c r="P353" s="35"/>
      <c r="Q353" s="19"/>
      <c r="R353" s="18">
        <f t="shared" si="53"/>
        <v>0</v>
      </c>
      <c r="S353" s="34">
        <f t="shared" si="54"/>
        <v>0</v>
      </c>
      <c r="T353" s="18">
        <f t="shared" si="51"/>
        <v>0</v>
      </c>
      <c r="U353" s="17"/>
      <c r="V353" s="20"/>
      <c r="W353" s="20"/>
      <c r="X353" s="22"/>
      <c r="Y353" s="19"/>
      <c r="Z353" s="20"/>
      <c r="AA353" s="20"/>
    </row>
    <row r="354" spans="2:27" x14ac:dyDescent="0.3">
      <c r="B354" s="17"/>
      <c r="C354" s="17"/>
      <c r="D354" s="20"/>
      <c r="E354" s="15"/>
      <c r="F354" s="15"/>
      <c r="G354" s="15"/>
      <c r="H354" s="16"/>
      <c r="I354" s="15"/>
      <c r="J354" s="15"/>
      <c r="K354" s="29"/>
      <c r="L354" s="19"/>
      <c r="M354" s="19">
        <f t="shared" si="52"/>
        <v>0</v>
      </c>
      <c r="N354" s="35"/>
      <c r="O354" s="19"/>
      <c r="P354" s="35"/>
      <c r="Q354" s="19"/>
      <c r="R354" s="18">
        <f t="shared" si="53"/>
        <v>0</v>
      </c>
      <c r="S354" s="34">
        <f t="shared" si="54"/>
        <v>0</v>
      </c>
      <c r="T354" s="18">
        <f t="shared" si="51"/>
        <v>0</v>
      </c>
      <c r="U354" s="17"/>
      <c r="V354" s="20"/>
      <c r="W354" s="20"/>
      <c r="X354" s="22"/>
      <c r="Y354" s="19"/>
      <c r="Z354" s="20"/>
      <c r="AA354" s="20"/>
    </row>
    <row r="355" spans="2:27" x14ac:dyDescent="0.3">
      <c r="B355" s="17"/>
      <c r="C355" s="17"/>
      <c r="D355" s="20"/>
      <c r="E355" s="15"/>
      <c r="F355" s="15"/>
      <c r="G355" s="15"/>
      <c r="H355" s="16"/>
      <c r="I355" s="15"/>
      <c r="J355" s="15"/>
      <c r="K355" s="29"/>
      <c r="L355" s="19"/>
      <c r="M355" s="19">
        <f t="shared" si="52"/>
        <v>0</v>
      </c>
      <c r="N355" s="35"/>
      <c r="O355" s="19"/>
      <c r="P355" s="35"/>
      <c r="Q355" s="19"/>
      <c r="R355" s="18">
        <f t="shared" si="53"/>
        <v>0</v>
      </c>
      <c r="S355" s="34">
        <f t="shared" si="54"/>
        <v>0</v>
      </c>
      <c r="T355" s="18">
        <f t="shared" si="51"/>
        <v>0</v>
      </c>
      <c r="U355" s="17"/>
      <c r="V355" s="20"/>
      <c r="W355" s="20"/>
      <c r="X355" s="22"/>
      <c r="Y355" s="19"/>
      <c r="Z355" s="20"/>
      <c r="AA355" s="20"/>
    </row>
    <row r="356" spans="2:27" x14ac:dyDescent="0.3">
      <c r="B356" s="17"/>
      <c r="C356" s="17"/>
      <c r="D356" s="20"/>
      <c r="E356" s="15"/>
      <c r="F356" s="15"/>
      <c r="G356" s="15"/>
      <c r="H356" s="16"/>
      <c r="I356" s="15"/>
      <c r="J356" s="15"/>
      <c r="K356" s="29"/>
      <c r="L356" s="19"/>
      <c r="M356" s="19">
        <f t="shared" si="52"/>
        <v>0</v>
      </c>
      <c r="N356" s="35"/>
      <c r="O356" s="19"/>
      <c r="P356" s="35"/>
      <c r="Q356" s="19"/>
      <c r="R356" s="18">
        <f t="shared" si="53"/>
        <v>0</v>
      </c>
      <c r="S356" s="34">
        <f t="shared" si="54"/>
        <v>0</v>
      </c>
      <c r="T356" s="18">
        <f t="shared" si="51"/>
        <v>0</v>
      </c>
      <c r="U356" s="17"/>
      <c r="V356" s="20"/>
      <c r="W356" s="20"/>
      <c r="X356" s="22"/>
      <c r="Y356" s="19"/>
      <c r="Z356" s="20"/>
      <c r="AA356" s="20"/>
    </row>
    <row r="357" spans="2:27" x14ac:dyDescent="0.3">
      <c r="B357" s="17"/>
      <c r="C357" s="17"/>
      <c r="D357" s="20"/>
      <c r="E357" s="15"/>
      <c r="F357" s="15"/>
      <c r="G357" s="15"/>
      <c r="H357" s="16"/>
      <c r="I357" s="15"/>
      <c r="J357" s="15"/>
      <c r="K357" s="29"/>
      <c r="L357" s="19"/>
      <c r="M357" s="19">
        <f t="shared" si="52"/>
        <v>0</v>
      </c>
      <c r="N357" s="35"/>
      <c r="O357" s="19"/>
      <c r="P357" s="35"/>
      <c r="Q357" s="19"/>
      <c r="R357" s="18">
        <f t="shared" si="53"/>
        <v>0</v>
      </c>
      <c r="S357" s="34">
        <f t="shared" si="54"/>
        <v>0</v>
      </c>
      <c r="T357" s="18">
        <f t="shared" si="51"/>
        <v>0</v>
      </c>
      <c r="U357" s="17"/>
      <c r="V357" s="20"/>
      <c r="W357" s="20"/>
      <c r="X357" s="22"/>
      <c r="Y357" s="19"/>
      <c r="Z357" s="20"/>
      <c r="AA357" s="20"/>
    </row>
    <row r="358" spans="2:27" x14ac:dyDescent="0.3">
      <c r="B358" s="17"/>
      <c r="C358" s="17"/>
      <c r="D358" s="20"/>
      <c r="E358" s="15"/>
      <c r="F358" s="15"/>
      <c r="G358" s="15"/>
      <c r="H358" s="16"/>
      <c r="I358" s="15"/>
      <c r="J358" s="15"/>
      <c r="K358" s="29"/>
      <c r="L358" s="19"/>
      <c r="M358" s="19">
        <f t="shared" si="52"/>
        <v>0</v>
      </c>
      <c r="N358" s="35"/>
      <c r="O358" s="19"/>
      <c r="P358" s="35"/>
      <c r="Q358" s="19"/>
      <c r="R358" s="18">
        <f t="shared" si="53"/>
        <v>0</v>
      </c>
      <c r="S358" s="34">
        <f t="shared" si="54"/>
        <v>0</v>
      </c>
      <c r="T358" s="18">
        <f t="shared" ref="T358:T409" si="55">(L358*I358)+M358</f>
        <v>0</v>
      </c>
      <c r="U358" s="17"/>
      <c r="V358" s="20"/>
      <c r="W358" s="20"/>
      <c r="X358" s="22"/>
      <c r="Y358" s="19"/>
      <c r="Z358" s="20"/>
      <c r="AA358" s="20"/>
    </row>
    <row r="359" spans="2:27" x14ac:dyDescent="0.3">
      <c r="B359" s="17"/>
      <c r="C359" s="17"/>
      <c r="D359" s="20"/>
      <c r="E359" s="15"/>
      <c r="F359" s="15"/>
      <c r="G359" s="15"/>
      <c r="H359" s="16"/>
      <c r="I359" s="15"/>
      <c r="J359" s="15"/>
      <c r="K359" s="29"/>
      <c r="L359" s="19"/>
      <c r="M359" s="19">
        <f t="shared" si="52"/>
        <v>0</v>
      </c>
      <c r="N359" s="35"/>
      <c r="O359" s="19"/>
      <c r="P359" s="35"/>
      <c r="Q359" s="19"/>
      <c r="R359" s="18">
        <f t="shared" si="53"/>
        <v>0</v>
      </c>
      <c r="S359" s="34">
        <f t="shared" si="54"/>
        <v>0</v>
      </c>
      <c r="T359" s="18">
        <f t="shared" si="55"/>
        <v>0</v>
      </c>
      <c r="U359" s="17"/>
      <c r="V359" s="20"/>
      <c r="W359" s="20"/>
      <c r="X359" s="22"/>
      <c r="Y359" s="19"/>
      <c r="Z359" s="20"/>
      <c r="AA359" s="20"/>
    </row>
    <row r="360" spans="2:27" x14ac:dyDescent="0.3">
      <c r="B360" s="17"/>
      <c r="C360" s="17"/>
      <c r="D360" s="20"/>
      <c r="E360" s="15"/>
      <c r="F360" s="15"/>
      <c r="G360" s="15"/>
      <c r="H360" s="16"/>
      <c r="I360" s="15"/>
      <c r="J360" s="15"/>
      <c r="K360" s="29"/>
      <c r="L360" s="19"/>
      <c r="M360" s="19">
        <f t="shared" si="52"/>
        <v>0</v>
      </c>
      <c r="N360" s="35"/>
      <c r="O360" s="19"/>
      <c r="P360" s="35"/>
      <c r="Q360" s="19"/>
      <c r="R360" s="18">
        <f t="shared" si="53"/>
        <v>0</v>
      </c>
      <c r="S360" s="34">
        <f t="shared" si="54"/>
        <v>0</v>
      </c>
      <c r="T360" s="18">
        <f t="shared" si="55"/>
        <v>0</v>
      </c>
      <c r="U360" s="17"/>
      <c r="V360" s="20"/>
      <c r="W360" s="20"/>
      <c r="X360" s="22"/>
      <c r="Y360" s="19"/>
      <c r="Z360" s="20"/>
      <c r="AA360" s="20"/>
    </row>
    <row r="361" spans="2:27" x14ac:dyDescent="0.3">
      <c r="B361" s="17"/>
      <c r="C361" s="17"/>
      <c r="D361" s="20"/>
      <c r="E361" s="15"/>
      <c r="F361" s="15"/>
      <c r="G361" s="15"/>
      <c r="H361" s="16"/>
      <c r="I361" s="15"/>
      <c r="J361" s="15"/>
      <c r="K361" s="29"/>
      <c r="L361" s="19"/>
      <c r="M361" s="19">
        <f t="shared" si="52"/>
        <v>0</v>
      </c>
      <c r="N361" s="35"/>
      <c r="O361" s="19"/>
      <c r="P361" s="35"/>
      <c r="Q361" s="19"/>
      <c r="R361" s="18">
        <f t="shared" si="53"/>
        <v>0</v>
      </c>
      <c r="S361" s="34">
        <f t="shared" si="54"/>
        <v>0</v>
      </c>
      <c r="T361" s="18">
        <f t="shared" si="55"/>
        <v>0</v>
      </c>
      <c r="U361" s="17"/>
      <c r="V361" s="20"/>
      <c r="W361" s="20"/>
      <c r="X361" s="22"/>
      <c r="Y361" s="19"/>
      <c r="Z361" s="20"/>
      <c r="AA361" s="20"/>
    </row>
    <row r="362" spans="2:27" x14ac:dyDescent="0.3">
      <c r="B362" s="17"/>
      <c r="C362" s="17"/>
      <c r="D362" s="20"/>
      <c r="E362" s="15"/>
      <c r="F362" s="15"/>
      <c r="G362" s="15"/>
      <c r="H362" s="16"/>
      <c r="I362" s="15"/>
      <c r="J362" s="15"/>
      <c r="K362" s="29"/>
      <c r="L362" s="19"/>
      <c r="M362" s="19">
        <f t="shared" si="52"/>
        <v>0</v>
      </c>
      <c r="N362" s="35"/>
      <c r="O362" s="19"/>
      <c r="P362" s="35"/>
      <c r="Q362" s="19"/>
      <c r="R362" s="18">
        <f t="shared" si="53"/>
        <v>0</v>
      </c>
      <c r="S362" s="34">
        <f t="shared" si="54"/>
        <v>0</v>
      </c>
      <c r="T362" s="18">
        <f t="shared" si="55"/>
        <v>0</v>
      </c>
      <c r="U362" s="17"/>
      <c r="V362" s="20"/>
      <c r="W362" s="20"/>
      <c r="X362" s="22"/>
      <c r="Y362" s="19"/>
      <c r="Z362" s="20"/>
      <c r="AA362" s="20"/>
    </row>
    <row r="363" spans="2:27" x14ac:dyDescent="0.3">
      <c r="B363" s="17"/>
      <c r="C363" s="17"/>
      <c r="D363" s="20"/>
      <c r="E363" s="15"/>
      <c r="F363" s="15"/>
      <c r="G363" s="15"/>
      <c r="H363" s="16"/>
      <c r="I363" s="15"/>
      <c r="J363" s="15"/>
      <c r="K363" s="29"/>
      <c r="L363" s="19"/>
      <c r="M363" s="19">
        <f t="shared" si="52"/>
        <v>0</v>
      </c>
      <c r="N363" s="35"/>
      <c r="O363" s="19"/>
      <c r="P363" s="35"/>
      <c r="Q363" s="19"/>
      <c r="R363" s="18">
        <f t="shared" si="53"/>
        <v>0</v>
      </c>
      <c r="S363" s="34">
        <f t="shared" si="54"/>
        <v>0</v>
      </c>
      <c r="T363" s="18">
        <f t="shared" si="55"/>
        <v>0</v>
      </c>
      <c r="U363" s="17"/>
      <c r="V363" s="20"/>
      <c r="W363" s="20"/>
      <c r="X363" s="22"/>
      <c r="Y363" s="19"/>
      <c r="Z363" s="20"/>
      <c r="AA363" s="20"/>
    </row>
    <row r="364" spans="2:27" x14ac:dyDescent="0.3">
      <c r="B364" s="17"/>
      <c r="C364" s="17"/>
      <c r="D364" s="20"/>
      <c r="E364" s="15"/>
      <c r="F364" s="15"/>
      <c r="G364" s="15"/>
      <c r="H364" s="16"/>
      <c r="I364" s="15"/>
      <c r="J364" s="15"/>
      <c r="K364" s="29"/>
      <c r="L364" s="19"/>
      <c r="M364" s="19">
        <f t="shared" si="52"/>
        <v>0</v>
      </c>
      <c r="N364" s="35"/>
      <c r="O364" s="19"/>
      <c r="P364" s="35"/>
      <c r="Q364" s="19"/>
      <c r="R364" s="18">
        <f t="shared" si="53"/>
        <v>0</v>
      </c>
      <c r="S364" s="34">
        <f t="shared" si="54"/>
        <v>0</v>
      </c>
      <c r="T364" s="18">
        <f t="shared" si="55"/>
        <v>0</v>
      </c>
      <c r="U364" s="17"/>
      <c r="V364" s="20"/>
      <c r="W364" s="20"/>
      <c r="X364" s="22"/>
      <c r="Y364" s="19"/>
      <c r="Z364" s="20"/>
      <c r="AA364" s="20"/>
    </row>
    <row r="365" spans="2:27" x14ac:dyDescent="0.3">
      <c r="B365" s="17"/>
      <c r="C365" s="17"/>
      <c r="D365" s="20"/>
      <c r="E365" s="15"/>
      <c r="F365" s="15"/>
      <c r="G365" s="15"/>
      <c r="H365" s="16"/>
      <c r="I365" s="15"/>
      <c r="J365" s="15"/>
      <c r="K365" s="29"/>
      <c r="L365" s="19"/>
      <c r="M365" s="19">
        <f t="shared" si="52"/>
        <v>0</v>
      </c>
      <c r="N365" s="35"/>
      <c r="O365" s="19"/>
      <c r="P365" s="35"/>
      <c r="Q365" s="19"/>
      <c r="R365" s="18">
        <f t="shared" si="53"/>
        <v>0</v>
      </c>
      <c r="S365" s="34">
        <f t="shared" si="54"/>
        <v>0</v>
      </c>
      <c r="T365" s="18">
        <f t="shared" si="55"/>
        <v>0</v>
      </c>
      <c r="U365" s="17"/>
      <c r="V365" s="20"/>
      <c r="W365" s="20"/>
      <c r="X365" s="22"/>
      <c r="Y365" s="19"/>
      <c r="Z365" s="20"/>
      <c r="AA365" s="20"/>
    </row>
    <row r="366" spans="2:27" x14ac:dyDescent="0.3">
      <c r="B366" s="17"/>
      <c r="C366" s="17"/>
      <c r="D366" s="20"/>
      <c r="E366" s="15"/>
      <c r="F366" s="15"/>
      <c r="G366" s="15"/>
      <c r="H366" s="16"/>
      <c r="I366" s="15"/>
      <c r="J366" s="15"/>
      <c r="K366" s="29"/>
      <c r="L366" s="19"/>
      <c r="M366" s="19">
        <f t="shared" si="52"/>
        <v>0</v>
      </c>
      <c r="N366" s="35"/>
      <c r="O366" s="19"/>
      <c r="P366" s="35"/>
      <c r="Q366" s="19"/>
      <c r="R366" s="18">
        <f t="shared" si="53"/>
        <v>0</v>
      </c>
      <c r="S366" s="34">
        <f t="shared" si="54"/>
        <v>0</v>
      </c>
      <c r="T366" s="18">
        <f t="shared" si="55"/>
        <v>0</v>
      </c>
      <c r="U366" s="17"/>
      <c r="V366" s="20"/>
      <c r="W366" s="20"/>
      <c r="X366" s="22"/>
      <c r="Y366" s="19"/>
      <c r="Z366" s="20"/>
      <c r="AA366" s="20"/>
    </row>
    <row r="367" spans="2:27" x14ac:dyDescent="0.3">
      <c r="B367" s="17"/>
      <c r="C367" s="17"/>
      <c r="D367" s="20"/>
      <c r="E367" s="15"/>
      <c r="F367" s="15"/>
      <c r="G367" s="15"/>
      <c r="H367" s="16"/>
      <c r="I367" s="15"/>
      <c r="J367" s="15"/>
      <c r="K367" s="29"/>
      <c r="L367" s="19"/>
      <c r="M367" s="19">
        <f t="shared" ref="M367:M409" si="56">L367*0.1</f>
        <v>0</v>
      </c>
      <c r="N367" s="35"/>
      <c r="O367" s="19"/>
      <c r="P367" s="35"/>
      <c r="Q367" s="19"/>
      <c r="R367" s="18">
        <f t="shared" ref="R367:R409" si="57">O367+Q367</f>
        <v>0</v>
      </c>
      <c r="S367" s="34">
        <f t="shared" ref="S367:S409" si="58">T367-R367</f>
        <v>0</v>
      </c>
      <c r="T367" s="18">
        <f t="shared" si="55"/>
        <v>0</v>
      </c>
      <c r="U367" s="17"/>
      <c r="V367" s="20"/>
      <c r="W367" s="20"/>
      <c r="X367" s="22"/>
      <c r="Y367" s="19"/>
      <c r="Z367" s="20"/>
      <c r="AA367" s="20"/>
    </row>
    <row r="368" spans="2:27" x14ac:dyDescent="0.3">
      <c r="B368" s="17"/>
      <c r="C368" s="17"/>
      <c r="D368" s="20"/>
      <c r="E368" s="15"/>
      <c r="F368" s="15"/>
      <c r="G368" s="15"/>
      <c r="H368" s="16"/>
      <c r="I368" s="15"/>
      <c r="J368" s="15"/>
      <c r="K368" s="29"/>
      <c r="L368" s="19"/>
      <c r="M368" s="19">
        <f t="shared" si="56"/>
        <v>0</v>
      </c>
      <c r="N368" s="35"/>
      <c r="O368" s="19"/>
      <c r="P368" s="35"/>
      <c r="Q368" s="19"/>
      <c r="R368" s="18">
        <f t="shared" si="57"/>
        <v>0</v>
      </c>
      <c r="S368" s="34">
        <f t="shared" si="58"/>
        <v>0</v>
      </c>
      <c r="T368" s="18">
        <f t="shared" si="55"/>
        <v>0</v>
      </c>
      <c r="U368" s="17"/>
      <c r="V368" s="20"/>
      <c r="W368" s="20"/>
      <c r="X368" s="22"/>
      <c r="Y368" s="19"/>
      <c r="Z368" s="20"/>
      <c r="AA368" s="20"/>
    </row>
    <row r="369" spans="2:27" x14ac:dyDescent="0.3">
      <c r="B369" s="17"/>
      <c r="C369" s="17"/>
      <c r="D369" s="20"/>
      <c r="E369" s="15"/>
      <c r="F369" s="15"/>
      <c r="G369" s="15"/>
      <c r="H369" s="16"/>
      <c r="I369" s="15"/>
      <c r="J369" s="15"/>
      <c r="K369" s="29"/>
      <c r="L369" s="19"/>
      <c r="M369" s="19">
        <f t="shared" si="56"/>
        <v>0</v>
      </c>
      <c r="N369" s="35"/>
      <c r="O369" s="19"/>
      <c r="P369" s="35"/>
      <c r="Q369" s="19"/>
      <c r="R369" s="18">
        <f t="shared" si="57"/>
        <v>0</v>
      </c>
      <c r="S369" s="34">
        <f t="shared" si="58"/>
        <v>0</v>
      </c>
      <c r="T369" s="18">
        <f t="shared" si="55"/>
        <v>0</v>
      </c>
      <c r="U369" s="17"/>
      <c r="V369" s="20"/>
      <c r="W369" s="20"/>
      <c r="X369" s="22"/>
      <c r="Y369" s="19"/>
      <c r="Z369" s="20"/>
      <c r="AA369" s="20"/>
    </row>
    <row r="370" spans="2:27" x14ac:dyDescent="0.3">
      <c r="B370" s="17"/>
      <c r="C370" s="17"/>
      <c r="D370" s="20"/>
      <c r="E370" s="15"/>
      <c r="F370" s="15"/>
      <c r="G370" s="15"/>
      <c r="H370" s="16"/>
      <c r="I370" s="15"/>
      <c r="J370" s="15"/>
      <c r="K370" s="29"/>
      <c r="L370" s="19"/>
      <c r="M370" s="19">
        <f t="shared" si="56"/>
        <v>0</v>
      </c>
      <c r="N370" s="35"/>
      <c r="O370" s="19"/>
      <c r="P370" s="35"/>
      <c r="Q370" s="19"/>
      <c r="R370" s="18">
        <f t="shared" si="57"/>
        <v>0</v>
      </c>
      <c r="S370" s="34">
        <f t="shared" si="58"/>
        <v>0</v>
      </c>
      <c r="T370" s="18">
        <f t="shared" si="55"/>
        <v>0</v>
      </c>
      <c r="U370" s="17"/>
      <c r="V370" s="20"/>
      <c r="W370" s="20"/>
      <c r="X370" s="22"/>
      <c r="Y370" s="19"/>
      <c r="Z370" s="20"/>
      <c r="AA370" s="20"/>
    </row>
    <row r="371" spans="2:27" x14ac:dyDescent="0.3">
      <c r="B371" s="17"/>
      <c r="C371" s="17"/>
      <c r="D371" s="20"/>
      <c r="E371" s="15"/>
      <c r="F371" s="15"/>
      <c r="G371" s="15"/>
      <c r="H371" s="16"/>
      <c r="I371" s="15"/>
      <c r="J371" s="15"/>
      <c r="K371" s="29"/>
      <c r="L371" s="19"/>
      <c r="M371" s="19">
        <f t="shared" si="56"/>
        <v>0</v>
      </c>
      <c r="N371" s="35"/>
      <c r="O371" s="19"/>
      <c r="P371" s="35"/>
      <c r="Q371" s="19"/>
      <c r="R371" s="18">
        <f t="shared" si="57"/>
        <v>0</v>
      </c>
      <c r="S371" s="34">
        <f t="shared" si="58"/>
        <v>0</v>
      </c>
      <c r="T371" s="18">
        <f t="shared" si="55"/>
        <v>0</v>
      </c>
      <c r="U371" s="17"/>
      <c r="V371" s="20"/>
      <c r="W371" s="20"/>
      <c r="X371" s="22"/>
      <c r="Y371" s="19"/>
      <c r="Z371" s="20"/>
      <c r="AA371" s="20"/>
    </row>
    <row r="372" spans="2:27" x14ac:dyDescent="0.3">
      <c r="B372" s="17"/>
      <c r="C372" s="17"/>
      <c r="D372" s="20"/>
      <c r="E372" s="15"/>
      <c r="F372" s="15"/>
      <c r="G372" s="15"/>
      <c r="H372" s="16"/>
      <c r="I372" s="15"/>
      <c r="J372" s="15"/>
      <c r="K372" s="29"/>
      <c r="L372" s="19"/>
      <c r="M372" s="19">
        <f t="shared" si="56"/>
        <v>0</v>
      </c>
      <c r="N372" s="35"/>
      <c r="O372" s="19"/>
      <c r="P372" s="35"/>
      <c r="Q372" s="19"/>
      <c r="R372" s="18">
        <f t="shared" si="57"/>
        <v>0</v>
      </c>
      <c r="S372" s="34">
        <f t="shared" si="58"/>
        <v>0</v>
      </c>
      <c r="T372" s="18">
        <f t="shared" si="55"/>
        <v>0</v>
      </c>
      <c r="U372" s="17"/>
      <c r="V372" s="20"/>
      <c r="W372" s="20"/>
      <c r="X372" s="22"/>
      <c r="Y372" s="19"/>
      <c r="Z372" s="20"/>
      <c r="AA372" s="20"/>
    </row>
    <row r="373" spans="2:27" x14ac:dyDescent="0.3">
      <c r="B373" s="17"/>
      <c r="C373" s="17"/>
      <c r="D373" s="20"/>
      <c r="E373" s="15"/>
      <c r="F373" s="15"/>
      <c r="G373" s="15"/>
      <c r="H373" s="16"/>
      <c r="I373" s="15"/>
      <c r="J373" s="15"/>
      <c r="K373" s="29"/>
      <c r="L373" s="19"/>
      <c r="M373" s="19">
        <f t="shared" si="56"/>
        <v>0</v>
      </c>
      <c r="N373" s="35"/>
      <c r="O373" s="19"/>
      <c r="P373" s="35"/>
      <c r="Q373" s="19"/>
      <c r="R373" s="18">
        <f t="shared" si="57"/>
        <v>0</v>
      </c>
      <c r="S373" s="34">
        <f t="shared" si="58"/>
        <v>0</v>
      </c>
      <c r="T373" s="18">
        <f t="shared" si="55"/>
        <v>0</v>
      </c>
      <c r="U373" s="17"/>
      <c r="V373" s="20"/>
      <c r="W373" s="20"/>
      <c r="X373" s="22"/>
      <c r="Y373" s="19"/>
      <c r="Z373" s="20"/>
      <c r="AA373" s="20"/>
    </row>
    <row r="374" spans="2:27" x14ac:dyDescent="0.3">
      <c r="B374" s="17"/>
      <c r="C374" s="17"/>
      <c r="D374" s="20"/>
      <c r="E374" s="15"/>
      <c r="F374" s="15"/>
      <c r="G374" s="15"/>
      <c r="H374" s="16"/>
      <c r="I374" s="15"/>
      <c r="J374" s="15"/>
      <c r="K374" s="29"/>
      <c r="L374" s="19"/>
      <c r="M374" s="19">
        <f t="shared" si="56"/>
        <v>0</v>
      </c>
      <c r="N374" s="35"/>
      <c r="O374" s="19"/>
      <c r="P374" s="35"/>
      <c r="Q374" s="19"/>
      <c r="R374" s="18">
        <f t="shared" si="57"/>
        <v>0</v>
      </c>
      <c r="S374" s="34">
        <f t="shared" si="58"/>
        <v>0</v>
      </c>
      <c r="T374" s="18">
        <f t="shared" si="55"/>
        <v>0</v>
      </c>
      <c r="U374" s="17"/>
      <c r="V374" s="20"/>
      <c r="W374" s="20"/>
      <c r="X374" s="22"/>
      <c r="Y374" s="19"/>
      <c r="Z374" s="20"/>
      <c r="AA374" s="20"/>
    </row>
    <row r="375" spans="2:27" x14ac:dyDescent="0.3">
      <c r="B375" s="17"/>
      <c r="C375" s="17"/>
      <c r="D375" s="20"/>
      <c r="E375" s="15"/>
      <c r="F375" s="15"/>
      <c r="G375" s="15"/>
      <c r="H375" s="16"/>
      <c r="I375" s="15"/>
      <c r="J375" s="15"/>
      <c r="K375" s="29"/>
      <c r="L375" s="19"/>
      <c r="M375" s="19">
        <f t="shared" si="56"/>
        <v>0</v>
      </c>
      <c r="N375" s="35"/>
      <c r="O375" s="19"/>
      <c r="P375" s="35"/>
      <c r="Q375" s="19"/>
      <c r="R375" s="18">
        <f t="shared" si="57"/>
        <v>0</v>
      </c>
      <c r="S375" s="34">
        <f t="shared" si="58"/>
        <v>0</v>
      </c>
      <c r="T375" s="18">
        <f t="shared" si="55"/>
        <v>0</v>
      </c>
      <c r="U375" s="17"/>
      <c r="V375" s="20"/>
      <c r="W375" s="20"/>
      <c r="X375" s="22"/>
      <c r="Y375" s="19"/>
      <c r="Z375" s="20"/>
      <c r="AA375" s="20"/>
    </row>
    <row r="376" spans="2:27" x14ac:dyDescent="0.3">
      <c r="B376" s="17"/>
      <c r="C376" s="17"/>
      <c r="D376" s="20"/>
      <c r="E376" s="15"/>
      <c r="F376" s="15"/>
      <c r="G376" s="15"/>
      <c r="H376" s="16"/>
      <c r="I376" s="15"/>
      <c r="J376" s="15"/>
      <c r="K376" s="29"/>
      <c r="L376" s="19"/>
      <c r="M376" s="19">
        <f t="shared" si="56"/>
        <v>0</v>
      </c>
      <c r="N376" s="35"/>
      <c r="O376" s="19"/>
      <c r="P376" s="35"/>
      <c r="Q376" s="19"/>
      <c r="R376" s="18">
        <f t="shared" si="57"/>
        <v>0</v>
      </c>
      <c r="S376" s="34">
        <f t="shared" si="58"/>
        <v>0</v>
      </c>
      <c r="T376" s="18">
        <f t="shared" si="55"/>
        <v>0</v>
      </c>
      <c r="U376" s="17"/>
      <c r="V376" s="20"/>
      <c r="W376" s="20"/>
      <c r="X376" s="22"/>
      <c r="Y376" s="19"/>
      <c r="Z376" s="20"/>
      <c r="AA376" s="20"/>
    </row>
    <row r="377" spans="2:27" x14ac:dyDescent="0.3">
      <c r="B377" s="17"/>
      <c r="C377" s="17"/>
      <c r="D377" s="20"/>
      <c r="E377" s="15"/>
      <c r="F377" s="15"/>
      <c r="G377" s="15"/>
      <c r="H377" s="16"/>
      <c r="I377" s="15"/>
      <c r="J377" s="15"/>
      <c r="K377" s="29"/>
      <c r="L377" s="19"/>
      <c r="M377" s="19">
        <f t="shared" si="56"/>
        <v>0</v>
      </c>
      <c r="N377" s="35"/>
      <c r="O377" s="19"/>
      <c r="P377" s="35"/>
      <c r="Q377" s="19"/>
      <c r="R377" s="18">
        <f t="shared" si="57"/>
        <v>0</v>
      </c>
      <c r="S377" s="34">
        <f t="shared" si="58"/>
        <v>0</v>
      </c>
      <c r="T377" s="18">
        <f t="shared" si="55"/>
        <v>0</v>
      </c>
      <c r="U377" s="17"/>
      <c r="V377" s="20"/>
      <c r="W377" s="20"/>
      <c r="X377" s="22"/>
      <c r="Y377" s="19"/>
      <c r="Z377" s="20"/>
      <c r="AA377" s="20"/>
    </row>
    <row r="378" spans="2:27" x14ac:dyDescent="0.3">
      <c r="B378" s="17"/>
      <c r="C378" s="17"/>
      <c r="D378" s="20"/>
      <c r="E378" s="15"/>
      <c r="F378" s="15"/>
      <c r="G378" s="15"/>
      <c r="H378" s="16"/>
      <c r="I378" s="15"/>
      <c r="J378" s="15"/>
      <c r="K378" s="29"/>
      <c r="L378" s="19"/>
      <c r="M378" s="19">
        <f t="shared" si="56"/>
        <v>0</v>
      </c>
      <c r="N378" s="35"/>
      <c r="O378" s="19"/>
      <c r="P378" s="35"/>
      <c r="Q378" s="19"/>
      <c r="R378" s="18">
        <f t="shared" si="57"/>
        <v>0</v>
      </c>
      <c r="S378" s="34">
        <f t="shared" si="58"/>
        <v>0</v>
      </c>
      <c r="T378" s="18">
        <f t="shared" si="55"/>
        <v>0</v>
      </c>
      <c r="U378" s="17"/>
      <c r="V378" s="20"/>
      <c r="W378" s="20"/>
      <c r="X378" s="22"/>
      <c r="Y378" s="19"/>
      <c r="Z378" s="20"/>
      <c r="AA378" s="20"/>
    </row>
    <row r="379" spans="2:27" x14ac:dyDescent="0.3">
      <c r="B379" s="17"/>
      <c r="C379" s="17"/>
      <c r="D379" s="20"/>
      <c r="E379" s="15"/>
      <c r="F379" s="15"/>
      <c r="G379" s="15"/>
      <c r="H379" s="16"/>
      <c r="I379" s="15"/>
      <c r="J379" s="15"/>
      <c r="K379" s="29"/>
      <c r="L379" s="19"/>
      <c r="M379" s="19">
        <f t="shared" si="56"/>
        <v>0</v>
      </c>
      <c r="N379" s="35"/>
      <c r="O379" s="19"/>
      <c r="P379" s="35"/>
      <c r="Q379" s="19"/>
      <c r="R379" s="18">
        <f t="shared" si="57"/>
        <v>0</v>
      </c>
      <c r="S379" s="34">
        <f t="shared" si="58"/>
        <v>0</v>
      </c>
      <c r="T379" s="18">
        <f t="shared" si="55"/>
        <v>0</v>
      </c>
      <c r="U379" s="17"/>
      <c r="V379" s="20"/>
      <c r="W379" s="20"/>
      <c r="X379" s="22"/>
      <c r="Y379" s="19"/>
      <c r="Z379" s="20"/>
      <c r="AA379" s="20"/>
    </row>
    <row r="380" spans="2:27" x14ac:dyDescent="0.3">
      <c r="B380" s="17"/>
      <c r="C380" s="17"/>
      <c r="D380" s="20"/>
      <c r="E380" s="15"/>
      <c r="F380" s="15"/>
      <c r="G380" s="15"/>
      <c r="H380" s="16"/>
      <c r="I380" s="15"/>
      <c r="J380" s="15"/>
      <c r="K380" s="29"/>
      <c r="L380" s="19"/>
      <c r="M380" s="19">
        <f t="shared" si="56"/>
        <v>0</v>
      </c>
      <c r="N380" s="35"/>
      <c r="O380" s="19"/>
      <c r="P380" s="35"/>
      <c r="Q380" s="19"/>
      <c r="R380" s="18">
        <f t="shared" si="57"/>
        <v>0</v>
      </c>
      <c r="S380" s="34">
        <f t="shared" si="58"/>
        <v>0</v>
      </c>
      <c r="T380" s="18">
        <f t="shared" si="55"/>
        <v>0</v>
      </c>
      <c r="U380" s="17"/>
      <c r="V380" s="20"/>
      <c r="W380" s="20"/>
      <c r="X380" s="22"/>
      <c r="Y380" s="19"/>
      <c r="Z380" s="20"/>
      <c r="AA380" s="20"/>
    </row>
    <row r="381" spans="2:27" x14ac:dyDescent="0.3">
      <c r="B381" s="17"/>
      <c r="C381" s="17"/>
      <c r="D381" s="20"/>
      <c r="E381" s="15"/>
      <c r="F381" s="15"/>
      <c r="G381" s="15"/>
      <c r="H381" s="16"/>
      <c r="I381" s="15"/>
      <c r="J381" s="15"/>
      <c r="K381" s="29"/>
      <c r="L381" s="19"/>
      <c r="M381" s="19">
        <f t="shared" si="56"/>
        <v>0</v>
      </c>
      <c r="N381" s="35"/>
      <c r="O381" s="19"/>
      <c r="P381" s="35"/>
      <c r="Q381" s="19"/>
      <c r="R381" s="18">
        <f t="shared" si="57"/>
        <v>0</v>
      </c>
      <c r="S381" s="34">
        <f t="shared" si="58"/>
        <v>0</v>
      </c>
      <c r="T381" s="18">
        <f t="shared" si="55"/>
        <v>0</v>
      </c>
      <c r="U381" s="17"/>
      <c r="V381" s="20"/>
      <c r="W381" s="20"/>
      <c r="X381" s="22"/>
      <c r="Y381" s="19"/>
      <c r="Z381" s="20"/>
      <c r="AA381" s="20"/>
    </row>
    <row r="382" spans="2:27" x14ac:dyDescent="0.3">
      <c r="B382" s="17"/>
      <c r="C382" s="17"/>
      <c r="D382" s="20"/>
      <c r="E382" s="15"/>
      <c r="F382" s="15"/>
      <c r="G382" s="15"/>
      <c r="H382" s="16"/>
      <c r="I382" s="15"/>
      <c r="J382" s="15"/>
      <c r="K382" s="29"/>
      <c r="L382" s="19"/>
      <c r="M382" s="19">
        <f t="shared" si="56"/>
        <v>0</v>
      </c>
      <c r="N382" s="35"/>
      <c r="O382" s="19"/>
      <c r="P382" s="35"/>
      <c r="Q382" s="19"/>
      <c r="R382" s="18">
        <f t="shared" si="57"/>
        <v>0</v>
      </c>
      <c r="S382" s="34">
        <f t="shared" si="58"/>
        <v>0</v>
      </c>
      <c r="T382" s="18">
        <f t="shared" si="55"/>
        <v>0</v>
      </c>
      <c r="U382" s="17"/>
      <c r="V382" s="20"/>
      <c r="W382" s="20"/>
      <c r="X382" s="22"/>
      <c r="Y382" s="19"/>
      <c r="Z382" s="20"/>
      <c r="AA382" s="20"/>
    </row>
    <row r="383" spans="2:27" x14ac:dyDescent="0.3">
      <c r="B383" s="17"/>
      <c r="C383" s="17"/>
      <c r="D383" s="20"/>
      <c r="E383" s="15"/>
      <c r="F383" s="15"/>
      <c r="G383" s="15"/>
      <c r="H383" s="16"/>
      <c r="I383" s="15"/>
      <c r="J383" s="15"/>
      <c r="K383" s="29"/>
      <c r="L383" s="19"/>
      <c r="M383" s="19">
        <f t="shared" si="56"/>
        <v>0</v>
      </c>
      <c r="N383" s="35"/>
      <c r="O383" s="19"/>
      <c r="P383" s="35"/>
      <c r="Q383" s="19"/>
      <c r="R383" s="18">
        <f t="shared" si="57"/>
        <v>0</v>
      </c>
      <c r="S383" s="34">
        <f t="shared" si="58"/>
        <v>0</v>
      </c>
      <c r="T383" s="18">
        <f t="shared" si="55"/>
        <v>0</v>
      </c>
      <c r="U383" s="17"/>
      <c r="V383" s="20"/>
      <c r="W383" s="20"/>
      <c r="X383" s="22"/>
      <c r="Y383" s="19"/>
      <c r="Z383" s="20"/>
      <c r="AA383" s="20"/>
    </row>
    <row r="384" spans="2:27" x14ac:dyDescent="0.3">
      <c r="B384" s="17"/>
      <c r="C384" s="17"/>
      <c r="D384" s="20"/>
      <c r="E384" s="15"/>
      <c r="F384" s="15"/>
      <c r="G384" s="15"/>
      <c r="H384" s="16"/>
      <c r="I384" s="15"/>
      <c r="J384" s="15"/>
      <c r="K384" s="29"/>
      <c r="L384" s="19"/>
      <c r="M384" s="19">
        <f t="shared" si="56"/>
        <v>0</v>
      </c>
      <c r="N384" s="35"/>
      <c r="O384" s="19"/>
      <c r="P384" s="35"/>
      <c r="Q384" s="19"/>
      <c r="R384" s="18">
        <f t="shared" si="57"/>
        <v>0</v>
      </c>
      <c r="S384" s="34">
        <f t="shared" si="58"/>
        <v>0</v>
      </c>
      <c r="T384" s="18">
        <f t="shared" si="55"/>
        <v>0</v>
      </c>
      <c r="U384" s="17"/>
      <c r="V384" s="20"/>
      <c r="W384" s="20"/>
      <c r="X384" s="22"/>
      <c r="Y384" s="19"/>
      <c r="Z384" s="20"/>
      <c r="AA384" s="20"/>
    </row>
    <row r="385" spans="2:27" x14ac:dyDescent="0.3">
      <c r="B385" s="17"/>
      <c r="C385" s="17"/>
      <c r="D385" s="20"/>
      <c r="E385" s="15"/>
      <c r="F385" s="15"/>
      <c r="G385" s="15"/>
      <c r="H385" s="16"/>
      <c r="I385" s="15"/>
      <c r="J385" s="15"/>
      <c r="K385" s="29"/>
      <c r="L385" s="19"/>
      <c r="M385" s="19">
        <f t="shared" si="56"/>
        <v>0</v>
      </c>
      <c r="N385" s="35"/>
      <c r="O385" s="19"/>
      <c r="P385" s="35"/>
      <c r="Q385" s="19"/>
      <c r="R385" s="18">
        <f t="shared" si="57"/>
        <v>0</v>
      </c>
      <c r="S385" s="34">
        <f t="shared" si="58"/>
        <v>0</v>
      </c>
      <c r="T385" s="18">
        <f t="shared" si="55"/>
        <v>0</v>
      </c>
      <c r="U385" s="17"/>
      <c r="V385" s="20"/>
      <c r="W385" s="20"/>
      <c r="X385" s="22"/>
      <c r="Y385" s="19"/>
      <c r="Z385" s="20"/>
      <c r="AA385" s="20"/>
    </row>
    <row r="386" spans="2:27" x14ac:dyDescent="0.3">
      <c r="B386" s="17"/>
      <c r="C386" s="17"/>
      <c r="D386" s="20"/>
      <c r="E386" s="15"/>
      <c r="F386" s="15"/>
      <c r="G386" s="15"/>
      <c r="H386" s="16"/>
      <c r="I386" s="15"/>
      <c r="J386" s="15"/>
      <c r="K386" s="29"/>
      <c r="L386" s="19"/>
      <c r="M386" s="19">
        <f t="shared" si="56"/>
        <v>0</v>
      </c>
      <c r="N386" s="35"/>
      <c r="O386" s="19"/>
      <c r="P386" s="35"/>
      <c r="Q386" s="19"/>
      <c r="R386" s="18">
        <f t="shared" si="57"/>
        <v>0</v>
      </c>
      <c r="S386" s="34">
        <f t="shared" si="58"/>
        <v>0</v>
      </c>
      <c r="T386" s="18">
        <f t="shared" si="55"/>
        <v>0</v>
      </c>
      <c r="U386" s="17"/>
      <c r="V386" s="20"/>
      <c r="W386" s="20"/>
      <c r="X386" s="22"/>
      <c r="Y386" s="19"/>
      <c r="Z386" s="20"/>
      <c r="AA386" s="20"/>
    </row>
    <row r="387" spans="2:27" x14ac:dyDescent="0.3">
      <c r="B387" s="17"/>
      <c r="C387" s="17"/>
      <c r="D387" s="20"/>
      <c r="E387" s="15"/>
      <c r="F387" s="15"/>
      <c r="G387" s="15"/>
      <c r="H387" s="16"/>
      <c r="I387" s="15"/>
      <c r="J387" s="15"/>
      <c r="K387" s="29"/>
      <c r="L387" s="19"/>
      <c r="M387" s="19">
        <f t="shared" si="56"/>
        <v>0</v>
      </c>
      <c r="N387" s="35"/>
      <c r="O387" s="19"/>
      <c r="P387" s="35"/>
      <c r="Q387" s="19"/>
      <c r="R387" s="18">
        <f t="shared" si="57"/>
        <v>0</v>
      </c>
      <c r="S387" s="34">
        <f t="shared" si="58"/>
        <v>0</v>
      </c>
      <c r="T387" s="18">
        <f t="shared" si="55"/>
        <v>0</v>
      </c>
      <c r="U387" s="17"/>
      <c r="V387" s="20"/>
      <c r="W387" s="20"/>
      <c r="X387" s="22"/>
      <c r="Y387" s="19"/>
      <c r="Z387" s="20"/>
      <c r="AA387" s="20"/>
    </row>
    <row r="388" spans="2:27" x14ac:dyDescent="0.3">
      <c r="B388" s="17"/>
      <c r="C388" s="17"/>
      <c r="D388" s="20"/>
      <c r="E388" s="15"/>
      <c r="F388" s="15"/>
      <c r="G388" s="15"/>
      <c r="H388" s="16"/>
      <c r="I388" s="15"/>
      <c r="J388" s="15"/>
      <c r="K388" s="29"/>
      <c r="L388" s="19"/>
      <c r="M388" s="19">
        <f t="shared" si="56"/>
        <v>0</v>
      </c>
      <c r="N388" s="35"/>
      <c r="O388" s="19"/>
      <c r="P388" s="35"/>
      <c r="Q388" s="19"/>
      <c r="R388" s="18">
        <f t="shared" si="57"/>
        <v>0</v>
      </c>
      <c r="S388" s="34">
        <f t="shared" si="58"/>
        <v>0</v>
      </c>
      <c r="T388" s="18">
        <f t="shared" si="55"/>
        <v>0</v>
      </c>
      <c r="U388" s="17"/>
      <c r="V388" s="20"/>
      <c r="W388" s="20"/>
      <c r="X388" s="22"/>
      <c r="Y388" s="19"/>
      <c r="Z388" s="20"/>
      <c r="AA388" s="20"/>
    </row>
    <row r="389" spans="2:27" x14ac:dyDescent="0.3">
      <c r="B389" s="17"/>
      <c r="C389" s="17"/>
      <c r="D389" s="20"/>
      <c r="E389" s="15"/>
      <c r="F389" s="15"/>
      <c r="G389" s="15"/>
      <c r="H389" s="16"/>
      <c r="I389" s="15"/>
      <c r="J389" s="15"/>
      <c r="K389" s="29"/>
      <c r="L389" s="19"/>
      <c r="M389" s="19">
        <f t="shared" si="56"/>
        <v>0</v>
      </c>
      <c r="N389" s="35"/>
      <c r="O389" s="19"/>
      <c r="P389" s="35"/>
      <c r="Q389" s="19"/>
      <c r="R389" s="18">
        <f t="shared" si="57"/>
        <v>0</v>
      </c>
      <c r="S389" s="34">
        <f t="shared" si="58"/>
        <v>0</v>
      </c>
      <c r="T389" s="18">
        <f t="shared" si="55"/>
        <v>0</v>
      </c>
      <c r="U389" s="17"/>
      <c r="V389" s="20"/>
      <c r="W389" s="20"/>
      <c r="X389" s="22"/>
      <c r="Y389" s="19"/>
      <c r="Z389" s="20"/>
      <c r="AA389" s="20"/>
    </row>
    <row r="390" spans="2:27" x14ac:dyDescent="0.3">
      <c r="B390" s="17"/>
      <c r="C390" s="17"/>
      <c r="D390" s="20"/>
      <c r="E390" s="15"/>
      <c r="F390" s="15"/>
      <c r="G390" s="15"/>
      <c r="H390" s="16"/>
      <c r="I390" s="15"/>
      <c r="J390" s="15"/>
      <c r="K390" s="29"/>
      <c r="L390" s="19"/>
      <c r="M390" s="19">
        <f t="shared" si="56"/>
        <v>0</v>
      </c>
      <c r="N390" s="35"/>
      <c r="O390" s="19"/>
      <c r="P390" s="35"/>
      <c r="Q390" s="19"/>
      <c r="R390" s="18">
        <f t="shared" si="57"/>
        <v>0</v>
      </c>
      <c r="S390" s="34">
        <f t="shared" si="58"/>
        <v>0</v>
      </c>
      <c r="T390" s="18">
        <f t="shared" si="55"/>
        <v>0</v>
      </c>
      <c r="U390" s="17"/>
      <c r="V390" s="20"/>
      <c r="W390" s="20"/>
      <c r="X390" s="22"/>
      <c r="Y390" s="19"/>
      <c r="Z390" s="20"/>
      <c r="AA390" s="20"/>
    </row>
    <row r="391" spans="2:27" x14ac:dyDescent="0.3">
      <c r="B391" s="17"/>
      <c r="C391" s="17"/>
      <c r="D391" s="20"/>
      <c r="E391" s="15"/>
      <c r="F391" s="15"/>
      <c r="G391" s="15"/>
      <c r="H391" s="16"/>
      <c r="I391" s="15"/>
      <c r="J391" s="15"/>
      <c r="K391" s="29"/>
      <c r="L391" s="19"/>
      <c r="M391" s="19">
        <f t="shared" si="56"/>
        <v>0</v>
      </c>
      <c r="N391" s="35"/>
      <c r="O391" s="19"/>
      <c r="P391" s="35"/>
      <c r="Q391" s="19"/>
      <c r="R391" s="18">
        <f t="shared" si="57"/>
        <v>0</v>
      </c>
      <c r="S391" s="34">
        <f t="shared" si="58"/>
        <v>0</v>
      </c>
      <c r="T391" s="18">
        <f t="shared" si="55"/>
        <v>0</v>
      </c>
      <c r="U391" s="17"/>
      <c r="V391" s="20"/>
      <c r="W391" s="20"/>
      <c r="X391" s="22"/>
      <c r="Y391" s="19"/>
      <c r="Z391" s="20"/>
      <c r="AA391" s="20"/>
    </row>
    <row r="392" spans="2:27" x14ac:dyDescent="0.3">
      <c r="B392" s="17"/>
      <c r="C392" s="17"/>
      <c r="D392" s="20"/>
      <c r="E392" s="15"/>
      <c r="F392" s="15"/>
      <c r="G392" s="15"/>
      <c r="H392" s="16"/>
      <c r="I392" s="15"/>
      <c r="J392" s="15"/>
      <c r="K392" s="29"/>
      <c r="L392" s="19"/>
      <c r="M392" s="19">
        <f t="shared" si="56"/>
        <v>0</v>
      </c>
      <c r="N392" s="35"/>
      <c r="O392" s="19"/>
      <c r="P392" s="35"/>
      <c r="Q392" s="19"/>
      <c r="R392" s="18">
        <f t="shared" si="57"/>
        <v>0</v>
      </c>
      <c r="S392" s="34">
        <f t="shared" si="58"/>
        <v>0</v>
      </c>
      <c r="T392" s="18">
        <f t="shared" si="55"/>
        <v>0</v>
      </c>
      <c r="U392" s="17"/>
      <c r="V392" s="20"/>
      <c r="W392" s="20"/>
      <c r="X392" s="22"/>
      <c r="Y392" s="19"/>
      <c r="Z392" s="20"/>
      <c r="AA392" s="20"/>
    </row>
    <row r="393" spans="2:27" x14ac:dyDescent="0.3">
      <c r="B393" s="17"/>
      <c r="C393" s="17"/>
      <c r="D393" s="20"/>
      <c r="E393" s="15"/>
      <c r="F393" s="15"/>
      <c r="G393" s="15"/>
      <c r="H393" s="16"/>
      <c r="I393" s="15"/>
      <c r="J393" s="15"/>
      <c r="K393" s="29"/>
      <c r="L393" s="19"/>
      <c r="M393" s="19">
        <f t="shared" si="56"/>
        <v>0</v>
      </c>
      <c r="N393" s="35"/>
      <c r="O393" s="19"/>
      <c r="P393" s="35"/>
      <c r="Q393" s="19"/>
      <c r="R393" s="18">
        <f t="shared" si="57"/>
        <v>0</v>
      </c>
      <c r="S393" s="34">
        <f t="shared" si="58"/>
        <v>0</v>
      </c>
      <c r="T393" s="18">
        <f t="shared" si="55"/>
        <v>0</v>
      </c>
      <c r="U393" s="17"/>
      <c r="V393" s="20"/>
      <c r="W393" s="20"/>
      <c r="X393" s="22"/>
      <c r="Y393" s="19"/>
      <c r="Z393" s="20"/>
      <c r="AA393" s="20"/>
    </row>
    <row r="394" spans="2:27" x14ac:dyDescent="0.3">
      <c r="B394" s="17"/>
      <c r="C394" s="17"/>
      <c r="D394" s="20"/>
      <c r="E394" s="15"/>
      <c r="F394" s="15"/>
      <c r="G394" s="15"/>
      <c r="H394" s="16"/>
      <c r="I394" s="15"/>
      <c r="J394" s="15"/>
      <c r="K394" s="29"/>
      <c r="L394" s="19"/>
      <c r="M394" s="19">
        <f t="shared" si="56"/>
        <v>0</v>
      </c>
      <c r="N394" s="35"/>
      <c r="O394" s="19"/>
      <c r="P394" s="35"/>
      <c r="Q394" s="19"/>
      <c r="R394" s="18">
        <f t="shared" si="57"/>
        <v>0</v>
      </c>
      <c r="S394" s="34">
        <f t="shared" si="58"/>
        <v>0</v>
      </c>
      <c r="T394" s="18">
        <f t="shared" si="55"/>
        <v>0</v>
      </c>
      <c r="U394" s="17"/>
      <c r="V394" s="20"/>
      <c r="W394" s="20"/>
      <c r="X394" s="22"/>
      <c r="Y394" s="19"/>
      <c r="Z394" s="20"/>
      <c r="AA394" s="20"/>
    </row>
    <row r="395" spans="2:27" x14ac:dyDescent="0.3">
      <c r="B395" s="17"/>
      <c r="C395" s="17"/>
      <c r="D395" s="20"/>
      <c r="E395" s="15"/>
      <c r="F395" s="15"/>
      <c r="G395" s="15"/>
      <c r="H395" s="16"/>
      <c r="I395" s="15"/>
      <c r="J395" s="15"/>
      <c r="K395" s="29"/>
      <c r="L395" s="19"/>
      <c r="M395" s="19">
        <f t="shared" si="56"/>
        <v>0</v>
      </c>
      <c r="N395" s="35"/>
      <c r="O395" s="19"/>
      <c r="P395" s="35"/>
      <c r="Q395" s="19"/>
      <c r="R395" s="18">
        <f t="shared" si="57"/>
        <v>0</v>
      </c>
      <c r="S395" s="34">
        <f t="shared" si="58"/>
        <v>0</v>
      </c>
      <c r="T395" s="18">
        <f t="shared" si="55"/>
        <v>0</v>
      </c>
      <c r="U395" s="17"/>
      <c r="V395" s="20"/>
      <c r="W395" s="20"/>
      <c r="X395" s="22"/>
      <c r="Y395" s="19"/>
      <c r="Z395" s="20"/>
      <c r="AA395" s="20"/>
    </row>
    <row r="396" spans="2:27" x14ac:dyDescent="0.3">
      <c r="B396" s="17"/>
      <c r="C396" s="17"/>
      <c r="D396" s="20"/>
      <c r="E396" s="15"/>
      <c r="F396" s="15"/>
      <c r="G396" s="15"/>
      <c r="H396" s="16"/>
      <c r="I396" s="15"/>
      <c r="J396" s="15"/>
      <c r="K396" s="29"/>
      <c r="L396" s="19"/>
      <c r="M396" s="19">
        <f t="shared" si="56"/>
        <v>0</v>
      </c>
      <c r="N396" s="35"/>
      <c r="O396" s="19"/>
      <c r="P396" s="35"/>
      <c r="Q396" s="19"/>
      <c r="R396" s="18">
        <f t="shared" si="57"/>
        <v>0</v>
      </c>
      <c r="S396" s="34">
        <f t="shared" si="58"/>
        <v>0</v>
      </c>
      <c r="T396" s="18">
        <f t="shared" si="55"/>
        <v>0</v>
      </c>
      <c r="U396" s="17"/>
      <c r="V396" s="20"/>
      <c r="W396" s="20"/>
      <c r="X396" s="22"/>
      <c r="Y396" s="19"/>
      <c r="Z396" s="20"/>
      <c r="AA396" s="20"/>
    </row>
    <row r="397" spans="2:27" x14ac:dyDescent="0.3">
      <c r="B397" s="17"/>
      <c r="C397" s="17"/>
      <c r="D397" s="20"/>
      <c r="E397" s="15"/>
      <c r="F397" s="15"/>
      <c r="G397" s="15"/>
      <c r="H397" s="16"/>
      <c r="I397" s="15"/>
      <c r="J397" s="15"/>
      <c r="K397" s="29"/>
      <c r="L397" s="19"/>
      <c r="M397" s="19">
        <f t="shared" si="56"/>
        <v>0</v>
      </c>
      <c r="N397" s="35"/>
      <c r="O397" s="19"/>
      <c r="P397" s="35"/>
      <c r="Q397" s="19"/>
      <c r="R397" s="18">
        <f t="shared" si="57"/>
        <v>0</v>
      </c>
      <c r="S397" s="34">
        <f t="shared" si="58"/>
        <v>0</v>
      </c>
      <c r="T397" s="18">
        <f t="shared" si="55"/>
        <v>0</v>
      </c>
      <c r="U397" s="17"/>
      <c r="V397" s="20"/>
      <c r="W397" s="20"/>
      <c r="X397" s="22"/>
      <c r="Y397" s="19"/>
      <c r="Z397" s="20"/>
      <c r="AA397" s="20"/>
    </row>
    <row r="398" spans="2:27" x14ac:dyDescent="0.3">
      <c r="B398" s="17"/>
      <c r="C398" s="17"/>
      <c r="D398" s="20"/>
      <c r="E398" s="15"/>
      <c r="F398" s="15"/>
      <c r="G398" s="15"/>
      <c r="H398" s="16"/>
      <c r="I398" s="15"/>
      <c r="J398" s="15"/>
      <c r="K398" s="29"/>
      <c r="L398" s="19"/>
      <c r="M398" s="19">
        <f t="shared" si="56"/>
        <v>0</v>
      </c>
      <c r="N398" s="35"/>
      <c r="O398" s="19"/>
      <c r="P398" s="35"/>
      <c r="Q398" s="19"/>
      <c r="R398" s="18">
        <f t="shared" si="57"/>
        <v>0</v>
      </c>
      <c r="S398" s="34">
        <f t="shared" si="58"/>
        <v>0</v>
      </c>
      <c r="T398" s="18">
        <f t="shared" si="55"/>
        <v>0</v>
      </c>
      <c r="U398" s="17"/>
      <c r="V398" s="20"/>
      <c r="W398" s="20"/>
      <c r="X398" s="22"/>
      <c r="Y398" s="19"/>
      <c r="Z398" s="20"/>
      <c r="AA398" s="20"/>
    </row>
    <row r="399" spans="2:27" x14ac:dyDescent="0.3">
      <c r="B399" s="17"/>
      <c r="C399" s="17"/>
      <c r="D399" s="20"/>
      <c r="E399" s="15"/>
      <c r="F399" s="15"/>
      <c r="G399" s="15"/>
      <c r="H399" s="16"/>
      <c r="I399" s="15"/>
      <c r="J399" s="15"/>
      <c r="K399" s="29"/>
      <c r="L399" s="19"/>
      <c r="M399" s="19">
        <f t="shared" si="56"/>
        <v>0</v>
      </c>
      <c r="N399" s="35"/>
      <c r="O399" s="19"/>
      <c r="P399" s="35"/>
      <c r="Q399" s="19"/>
      <c r="R399" s="18">
        <f t="shared" si="57"/>
        <v>0</v>
      </c>
      <c r="S399" s="34">
        <f t="shared" si="58"/>
        <v>0</v>
      </c>
      <c r="T399" s="18">
        <f t="shared" si="55"/>
        <v>0</v>
      </c>
      <c r="U399" s="17"/>
      <c r="V399" s="20"/>
      <c r="W399" s="20"/>
      <c r="X399" s="22"/>
      <c r="Y399" s="19"/>
      <c r="Z399" s="20"/>
      <c r="AA399" s="20"/>
    </row>
    <row r="400" spans="2:27" x14ac:dyDescent="0.3">
      <c r="B400" s="17"/>
      <c r="C400" s="17"/>
      <c r="D400" s="20"/>
      <c r="E400" s="15"/>
      <c r="F400" s="15"/>
      <c r="G400" s="15"/>
      <c r="H400" s="16"/>
      <c r="I400" s="15"/>
      <c r="J400" s="15"/>
      <c r="K400" s="29"/>
      <c r="L400" s="19"/>
      <c r="M400" s="19">
        <f t="shared" si="56"/>
        <v>0</v>
      </c>
      <c r="N400" s="35"/>
      <c r="O400" s="19"/>
      <c r="P400" s="35"/>
      <c r="Q400" s="19"/>
      <c r="R400" s="18">
        <f t="shared" si="57"/>
        <v>0</v>
      </c>
      <c r="S400" s="34">
        <f t="shared" si="58"/>
        <v>0</v>
      </c>
      <c r="T400" s="18">
        <f t="shared" si="55"/>
        <v>0</v>
      </c>
      <c r="U400" s="17"/>
      <c r="V400" s="20"/>
      <c r="W400" s="20"/>
      <c r="X400" s="22"/>
      <c r="Y400" s="19"/>
      <c r="Z400" s="20"/>
      <c r="AA400" s="20"/>
    </row>
    <row r="401" spans="2:27" x14ac:dyDescent="0.3">
      <c r="B401" s="17"/>
      <c r="C401" s="17"/>
      <c r="D401" s="20"/>
      <c r="E401" s="15"/>
      <c r="F401" s="15"/>
      <c r="G401" s="15"/>
      <c r="H401" s="16"/>
      <c r="I401" s="15"/>
      <c r="J401" s="15"/>
      <c r="K401" s="29"/>
      <c r="L401" s="19"/>
      <c r="M401" s="19">
        <f t="shared" si="56"/>
        <v>0</v>
      </c>
      <c r="N401" s="35"/>
      <c r="O401" s="19"/>
      <c r="P401" s="35"/>
      <c r="Q401" s="19"/>
      <c r="R401" s="18">
        <f t="shared" si="57"/>
        <v>0</v>
      </c>
      <c r="S401" s="34">
        <f t="shared" si="58"/>
        <v>0</v>
      </c>
      <c r="T401" s="18">
        <f t="shared" si="55"/>
        <v>0</v>
      </c>
      <c r="U401" s="17"/>
      <c r="V401" s="20"/>
      <c r="W401" s="20"/>
      <c r="X401" s="22"/>
      <c r="Y401" s="19"/>
      <c r="Z401" s="20"/>
      <c r="AA401" s="20"/>
    </row>
    <row r="402" spans="2:27" x14ac:dyDescent="0.3">
      <c r="B402" s="17"/>
      <c r="C402" s="17"/>
      <c r="D402" s="20"/>
      <c r="E402" s="15"/>
      <c r="F402" s="15"/>
      <c r="G402" s="15"/>
      <c r="H402" s="16"/>
      <c r="I402" s="15"/>
      <c r="J402" s="15"/>
      <c r="K402" s="29"/>
      <c r="L402" s="19"/>
      <c r="M402" s="19">
        <f t="shared" si="56"/>
        <v>0</v>
      </c>
      <c r="N402" s="35"/>
      <c r="O402" s="19"/>
      <c r="P402" s="35"/>
      <c r="Q402" s="19"/>
      <c r="R402" s="18">
        <f t="shared" si="57"/>
        <v>0</v>
      </c>
      <c r="S402" s="34">
        <f t="shared" si="58"/>
        <v>0</v>
      </c>
      <c r="T402" s="18">
        <f t="shared" si="55"/>
        <v>0</v>
      </c>
      <c r="U402" s="17"/>
      <c r="V402" s="20"/>
      <c r="W402" s="20"/>
      <c r="X402" s="22"/>
      <c r="Y402" s="19"/>
      <c r="Z402" s="20"/>
      <c r="AA402" s="20"/>
    </row>
    <row r="403" spans="2:27" x14ac:dyDescent="0.3">
      <c r="B403" s="17"/>
      <c r="C403" s="17"/>
      <c r="D403" s="20"/>
      <c r="E403" s="15"/>
      <c r="F403" s="15"/>
      <c r="G403" s="15"/>
      <c r="H403" s="16"/>
      <c r="I403" s="15"/>
      <c r="J403" s="15"/>
      <c r="K403" s="29"/>
      <c r="L403" s="19"/>
      <c r="M403" s="19">
        <f t="shared" si="56"/>
        <v>0</v>
      </c>
      <c r="N403" s="35"/>
      <c r="O403" s="19"/>
      <c r="P403" s="35"/>
      <c r="Q403" s="19"/>
      <c r="R403" s="18">
        <f t="shared" si="57"/>
        <v>0</v>
      </c>
      <c r="S403" s="34">
        <f t="shared" si="58"/>
        <v>0</v>
      </c>
      <c r="T403" s="18">
        <f t="shared" si="55"/>
        <v>0</v>
      </c>
      <c r="U403" s="17"/>
      <c r="V403" s="20"/>
      <c r="W403" s="20"/>
      <c r="X403" s="22"/>
      <c r="Y403" s="19"/>
      <c r="Z403" s="20"/>
      <c r="AA403" s="20"/>
    </row>
    <row r="404" spans="2:27" x14ac:dyDescent="0.3">
      <c r="B404" s="17"/>
      <c r="C404" s="17"/>
      <c r="D404" s="20"/>
      <c r="E404" s="15"/>
      <c r="F404" s="15"/>
      <c r="G404" s="15"/>
      <c r="H404" s="16"/>
      <c r="I404" s="15"/>
      <c r="J404" s="15"/>
      <c r="K404" s="29"/>
      <c r="L404" s="19"/>
      <c r="M404" s="19">
        <f t="shared" si="56"/>
        <v>0</v>
      </c>
      <c r="N404" s="35"/>
      <c r="O404" s="19"/>
      <c r="P404" s="35"/>
      <c r="Q404" s="19"/>
      <c r="R404" s="18">
        <f t="shared" si="57"/>
        <v>0</v>
      </c>
      <c r="S404" s="34">
        <f t="shared" si="58"/>
        <v>0</v>
      </c>
      <c r="T404" s="18">
        <f t="shared" si="55"/>
        <v>0</v>
      </c>
      <c r="U404" s="17"/>
      <c r="V404" s="20"/>
      <c r="W404" s="20"/>
      <c r="X404" s="22"/>
      <c r="Y404" s="19"/>
      <c r="Z404" s="20"/>
      <c r="AA404" s="20"/>
    </row>
    <row r="405" spans="2:27" x14ac:dyDescent="0.3">
      <c r="B405" s="17"/>
      <c r="C405" s="17"/>
      <c r="D405" s="20"/>
      <c r="E405" s="15"/>
      <c r="F405" s="15"/>
      <c r="G405" s="15"/>
      <c r="H405" s="16"/>
      <c r="I405" s="15"/>
      <c r="J405" s="15"/>
      <c r="K405" s="29"/>
      <c r="L405" s="19"/>
      <c r="M405" s="19">
        <f t="shared" si="56"/>
        <v>0</v>
      </c>
      <c r="N405" s="35"/>
      <c r="O405" s="19"/>
      <c r="P405" s="35"/>
      <c r="Q405" s="19"/>
      <c r="R405" s="18">
        <f t="shared" si="57"/>
        <v>0</v>
      </c>
      <c r="S405" s="34">
        <f t="shared" si="58"/>
        <v>0</v>
      </c>
      <c r="T405" s="18">
        <f t="shared" si="55"/>
        <v>0</v>
      </c>
      <c r="U405" s="17"/>
      <c r="V405" s="20"/>
      <c r="W405" s="20"/>
      <c r="X405" s="22"/>
      <c r="Y405" s="19"/>
      <c r="Z405" s="20"/>
      <c r="AA405" s="20"/>
    </row>
    <row r="406" spans="2:27" x14ac:dyDescent="0.3">
      <c r="B406" s="17"/>
      <c r="C406" s="17"/>
      <c r="D406" s="20"/>
      <c r="E406" s="15"/>
      <c r="F406" s="15"/>
      <c r="G406" s="15"/>
      <c r="H406" s="16"/>
      <c r="I406" s="15"/>
      <c r="J406" s="15"/>
      <c r="K406" s="29"/>
      <c r="L406" s="19"/>
      <c r="M406" s="19">
        <f t="shared" si="56"/>
        <v>0</v>
      </c>
      <c r="N406" s="35"/>
      <c r="O406" s="19"/>
      <c r="P406" s="35"/>
      <c r="Q406" s="19"/>
      <c r="R406" s="18">
        <f t="shared" si="57"/>
        <v>0</v>
      </c>
      <c r="S406" s="34">
        <f t="shared" si="58"/>
        <v>0</v>
      </c>
      <c r="T406" s="18">
        <f t="shared" si="55"/>
        <v>0</v>
      </c>
      <c r="U406" s="17"/>
      <c r="V406" s="20"/>
      <c r="W406" s="20"/>
      <c r="X406" s="22"/>
      <c r="Y406" s="19"/>
      <c r="Z406" s="20"/>
      <c r="AA406" s="20"/>
    </row>
    <row r="407" spans="2:27" x14ac:dyDescent="0.3">
      <c r="B407" s="17"/>
      <c r="C407" s="17"/>
      <c r="D407" s="20"/>
      <c r="E407" s="15"/>
      <c r="F407" s="15"/>
      <c r="G407" s="15"/>
      <c r="H407" s="16"/>
      <c r="I407" s="15"/>
      <c r="J407" s="15"/>
      <c r="K407" s="29"/>
      <c r="L407" s="19"/>
      <c r="M407" s="19">
        <f t="shared" si="56"/>
        <v>0</v>
      </c>
      <c r="N407" s="35"/>
      <c r="O407" s="19"/>
      <c r="P407" s="35"/>
      <c r="Q407" s="19"/>
      <c r="R407" s="18">
        <f t="shared" si="57"/>
        <v>0</v>
      </c>
      <c r="S407" s="34">
        <f t="shared" si="58"/>
        <v>0</v>
      </c>
      <c r="T407" s="18">
        <f t="shared" si="55"/>
        <v>0</v>
      </c>
      <c r="U407" s="17"/>
      <c r="V407" s="20"/>
      <c r="W407" s="20"/>
      <c r="X407" s="22"/>
      <c r="Y407" s="19"/>
      <c r="Z407" s="20"/>
      <c r="AA407" s="20"/>
    </row>
    <row r="408" spans="2:27" x14ac:dyDescent="0.3">
      <c r="B408" s="17"/>
      <c r="C408" s="17"/>
      <c r="D408" s="20"/>
      <c r="E408" s="15"/>
      <c r="F408" s="15"/>
      <c r="G408" s="15"/>
      <c r="H408" s="16"/>
      <c r="I408" s="15"/>
      <c r="J408" s="15"/>
      <c r="K408" s="29"/>
      <c r="L408" s="19"/>
      <c r="M408" s="19">
        <f t="shared" si="56"/>
        <v>0</v>
      </c>
      <c r="N408" s="35"/>
      <c r="O408" s="19"/>
      <c r="P408" s="35"/>
      <c r="Q408" s="19"/>
      <c r="R408" s="18">
        <f t="shared" si="57"/>
        <v>0</v>
      </c>
      <c r="S408" s="34">
        <f t="shared" si="58"/>
        <v>0</v>
      </c>
      <c r="T408" s="18">
        <f t="shared" si="55"/>
        <v>0</v>
      </c>
      <c r="U408" s="17"/>
      <c r="V408" s="20"/>
      <c r="W408" s="20"/>
      <c r="X408" s="22"/>
      <c r="Y408" s="19"/>
      <c r="Z408" s="20"/>
      <c r="AA408" s="20"/>
    </row>
    <row r="409" spans="2:27" x14ac:dyDescent="0.3">
      <c r="B409" s="17"/>
      <c r="C409" s="17"/>
      <c r="D409" s="20"/>
      <c r="E409" s="15"/>
      <c r="F409" s="15"/>
      <c r="G409" s="15"/>
      <c r="H409" s="16"/>
      <c r="I409" s="15"/>
      <c r="J409" s="15"/>
      <c r="K409" s="29"/>
      <c r="L409" s="19"/>
      <c r="M409" s="19">
        <f t="shared" si="56"/>
        <v>0</v>
      </c>
      <c r="N409" s="35"/>
      <c r="O409" s="19"/>
      <c r="P409" s="35"/>
      <c r="Q409" s="19"/>
      <c r="R409" s="18">
        <f t="shared" si="57"/>
        <v>0</v>
      </c>
      <c r="S409" s="34">
        <f t="shared" si="58"/>
        <v>0</v>
      </c>
      <c r="T409" s="18">
        <f t="shared" si="55"/>
        <v>0</v>
      </c>
      <c r="U409" s="17"/>
      <c r="V409" s="20"/>
      <c r="W409" s="20"/>
      <c r="X409" s="22"/>
      <c r="Y409" s="19"/>
      <c r="Z409" s="20"/>
      <c r="AA409" s="20"/>
    </row>
    <row r="412" spans="2:27" x14ac:dyDescent="0.3">
      <c r="L412" s="4">
        <f>520000000-293040000</f>
        <v>226960000</v>
      </c>
    </row>
  </sheetData>
  <autoFilter ref="A4:AC409" xr:uid="{00000000-0009-0000-0000-000001000000}">
    <filterColumn colId="13" showButton="0"/>
    <filterColumn colId="15" showButton="0"/>
  </autoFilter>
  <mergeCells count="24">
    <mergeCell ref="A2:A4"/>
    <mergeCell ref="B2:B4"/>
    <mergeCell ref="C2:C4"/>
    <mergeCell ref="D2:D4"/>
    <mergeCell ref="E2:E4"/>
    <mergeCell ref="Z2:Z4"/>
    <mergeCell ref="L3:L4"/>
    <mergeCell ref="M3:M4"/>
    <mergeCell ref="N3:Q3"/>
    <mergeCell ref="R3:R4"/>
    <mergeCell ref="S3:S4"/>
    <mergeCell ref="V2:V4"/>
    <mergeCell ref="L2:T2"/>
    <mergeCell ref="U2:U4"/>
    <mergeCell ref="T3:T4"/>
    <mergeCell ref="N4:O4"/>
    <mergeCell ref="P4:Q4"/>
    <mergeCell ref="W2:W4"/>
    <mergeCell ref="X2:X4"/>
    <mergeCell ref="F2:G3"/>
    <mergeCell ref="H2:I3"/>
    <mergeCell ref="J2:J4"/>
    <mergeCell ref="K2:K4"/>
    <mergeCell ref="Y2:Y4"/>
  </mergeCells>
  <phoneticPr fontId="33" type="noConversion"/>
  <conditionalFormatting sqref="F23">
    <cfRule type="containsText" dxfId="86" priority="193" operator="containsText" text="상수도">
      <formula>NOT(ISERROR(SEARCH("상수도",F23)))</formula>
    </cfRule>
  </conditionalFormatting>
  <conditionalFormatting sqref="F33">
    <cfRule type="containsText" dxfId="85" priority="162" operator="containsText" text="상수도">
      <formula>NOT(ISERROR(SEARCH("상수도",F33)))</formula>
    </cfRule>
  </conditionalFormatting>
  <conditionalFormatting sqref="F52">
    <cfRule type="containsText" dxfId="84" priority="116" operator="containsText" text="지역난방">
      <formula>NOT(ISERROR(SEARCH("지역난방",F52)))</formula>
    </cfRule>
  </conditionalFormatting>
  <conditionalFormatting sqref="F90">
    <cfRule type="containsText" dxfId="83" priority="18" operator="containsText" text="상수도">
      <formula>NOT(ISERROR(SEARCH("상수도",F90)))</formula>
    </cfRule>
    <cfRule type="containsText" dxfId="82" priority="19" operator="containsText" text="지역난방">
      <formula>NOT(ISERROR(SEARCH("지역난방",F90)))</formula>
    </cfRule>
  </conditionalFormatting>
  <conditionalFormatting sqref="F1:G8 G9 F10:G10">
    <cfRule type="containsText" dxfId="81" priority="563" operator="containsText" text="상수도">
      <formula>NOT(ISERROR(SEARCH("상수도",F1)))</formula>
    </cfRule>
  </conditionalFormatting>
  <conditionalFormatting sqref="F1:G8">
    <cfRule type="containsText" dxfId="80" priority="214" operator="containsText" text="지역난방">
      <formula>NOT(ISERROR(SEARCH("지역난방",F1)))</formula>
    </cfRule>
  </conditionalFormatting>
  <conditionalFormatting sqref="F9:G9">
    <cfRule type="containsText" dxfId="79" priority="207" operator="containsText" text="상수도">
      <formula>NOT(ISERROR(SEARCH("상수도",F9)))</formula>
    </cfRule>
  </conditionalFormatting>
  <conditionalFormatting sqref="F9:G10">
    <cfRule type="containsText" dxfId="78" priority="210" operator="containsText" text="지역난방">
      <formula>NOT(ISERROR(SEARCH("지역난방",F9)))</formula>
    </cfRule>
  </conditionalFormatting>
  <conditionalFormatting sqref="F11:G17">
    <cfRule type="containsText" dxfId="77" priority="182" operator="containsText" text="지역난방">
      <formula>NOT(ISERROR(SEARCH("지역난방",F11)))</formula>
    </cfRule>
  </conditionalFormatting>
  <conditionalFormatting sqref="F11:G25">
    <cfRule type="containsText" dxfId="76" priority="181" operator="containsText" text="상수도">
      <formula>NOT(ISERROR(SEARCH("상수도",F11)))</formula>
    </cfRule>
  </conditionalFormatting>
  <conditionalFormatting sqref="F18:G23">
    <cfRule type="containsText" dxfId="75" priority="194" operator="containsText" text="지역난방">
      <formula>NOT(ISERROR(SEARCH("지역난방",F18)))</formula>
    </cfRule>
  </conditionalFormatting>
  <conditionalFormatting sqref="F24:G26">
    <cfRule type="containsText" dxfId="74" priority="189" operator="containsText" text="지역난방">
      <formula>NOT(ISERROR(SEARCH("지역난방",F24)))</formula>
    </cfRule>
  </conditionalFormatting>
  <conditionalFormatting sqref="F26:G26">
    <cfRule type="containsText" dxfId="73" priority="205" operator="containsText" text="상수도">
      <formula>NOT(ISERROR(SEARCH("상수도",F26)))</formula>
    </cfRule>
  </conditionalFormatting>
  <conditionalFormatting sqref="F27:G33">
    <cfRule type="containsText" dxfId="72" priority="163" operator="containsText" text="지역난방">
      <formula>NOT(ISERROR(SEARCH("지역난방",F27)))</formula>
    </cfRule>
  </conditionalFormatting>
  <conditionalFormatting sqref="F27:G40">
    <cfRule type="containsText" dxfId="71" priority="126" operator="containsText" text="상수도">
      <formula>NOT(ISERROR(SEARCH("상수도",F27)))</formula>
    </cfRule>
  </conditionalFormatting>
  <conditionalFormatting sqref="F34:G46">
    <cfRule type="containsText" dxfId="70" priority="127" operator="containsText" text="지역난방">
      <formula>NOT(ISERROR(SEARCH("지역난방",F34)))</formula>
    </cfRule>
  </conditionalFormatting>
  <conditionalFormatting sqref="F41:G41">
    <cfRule type="containsText" dxfId="69" priority="159" operator="containsText" text="상수도">
      <formula>NOT(ISERROR(SEARCH("상수도",F41)))</formula>
    </cfRule>
  </conditionalFormatting>
  <conditionalFormatting sqref="F42:G48">
    <cfRule type="containsText" dxfId="68" priority="122" operator="containsText" text="상수도">
      <formula>NOT(ISERROR(SEARCH("상수도",F42)))</formula>
    </cfRule>
  </conditionalFormatting>
  <conditionalFormatting sqref="F47:G49">
    <cfRule type="containsText" dxfId="67" priority="123" operator="containsText" text="지역난방">
      <formula>NOT(ISERROR(SEARCH("지역난방",F47)))</formula>
    </cfRule>
  </conditionalFormatting>
  <conditionalFormatting sqref="F49:G49">
    <cfRule type="containsText" dxfId="66" priority="130" operator="containsText" text="상수도">
      <formula>NOT(ISERROR(SEARCH("상수도",F49)))</formula>
    </cfRule>
  </conditionalFormatting>
  <conditionalFormatting sqref="F50:G51">
    <cfRule type="containsText" dxfId="65" priority="121" operator="containsText" text="지역난방">
      <formula>NOT(ISERROR(SEARCH("지역난방",F50)))</formula>
    </cfRule>
  </conditionalFormatting>
  <conditionalFormatting sqref="F50:G52">
    <cfRule type="containsText" dxfId="64" priority="117" operator="containsText" text="상수도">
      <formula>NOT(ISERROR(SEARCH("상수도",F50)))</formula>
    </cfRule>
  </conditionalFormatting>
  <conditionalFormatting sqref="F53:G61">
    <cfRule type="containsText" dxfId="63" priority="86" operator="containsText" text="지역난방">
      <formula>NOT(ISERROR(SEARCH("지역난방",F53)))</formula>
    </cfRule>
  </conditionalFormatting>
  <conditionalFormatting sqref="F53:G69">
    <cfRule type="containsText" dxfId="62" priority="71" operator="containsText" text="상수도">
      <formula>NOT(ISERROR(SEARCH("상수도",F53)))</formula>
    </cfRule>
  </conditionalFormatting>
  <conditionalFormatting sqref="F62:G70">
    <cfRule type="containsText" dxfId="61" priority="68" operator="containsText" text="지역난방">
      <formula>NOT(ISERROR(SEARCH("지역난방",F62)))</formula>
    </cfRule>
  </conditionalFormatting>
  <conditionalFormatting sqref="F70:G71">
    <cfRule type="containsText" dxfId="60" priority="59" operator="containsText" text="상수도">
      <formula>NOT(ISERROR(SEARCH("상수도",F70)))</formula>
    </cfRule>
  </conditionalFormatting>
  <conditionalFormatting sqref="F71:G83">
    <cfRule type="containsText" dxfId="59" priority="46" operator="containsText" text="지역난방">
      <formula>NOT(ISERROR(SEARCH("지역난방",F71)))</formula>
    </cfRule>
  </conditionalFormatting>
  <conditionalFormatting sqref="F72:G76">
    <cfRule type="containsText" dxfId="58" priority="45" operator="containsText" text="상수도">
      <formula>NOT(ISERROR(SEARCH("상수도",F72)))</formula>
    </cfRule>
  </conditionalFormatting>
  <conditionalFormatting sqref="F77:G77">
    <cfRule type="containsText" dxfId="57" priority="104" operator="containsText" text="상수도">
      <formula>NOT(ISERROR(SEARCH("상수도",F77)))</formula>
    </cfRule>
  </conditionalFormatting>
  <conditionalFormatting sqref="F78:G86">
    <cfRule type="containsText" dxfId="56" priority="26" operator="containsText" text="상수도">
      <formula>NOT(ISERROR(SEARCH("상수도",F78)))</formula>
    </cfRule>
  </conditionalFormatting>
  <conditionalFormatting sqref="F84:G85">
    <cfRule type="containsText" dxfId="55" priority="32" operator="containsText" text="지역난방">
      <formula>NOT(ISERROR(SEARCH("지역난방",F84)))</formula>
    </cfRule>
  </conditionalFormatting>
  <conditionalFormatting sqref="F86:G89">
    <cfRule type="containsText" dxfId="54" priority="21" operator="containsText" text="지역난방">
      <formula>NOT(ISERROR(SEARCH("지역난방",F86)))</formula>
    </cfRule>
  </conditionalFormatting>
  <conditionalFormatting sqref="F87:G88">
    <cfRule type="containsText" dxfId="53" priority="20" operator="containsText" text="상수도">
      <formula>NOT(ISERROR(SEARCH("상수도",F87)))</formula>
    </cfRule>
  </conditionalFormatting>
  <conditionalFormatting sqref="F89:G89 F91:G93 F109:G1048576">
    <cfRule type="containsText" dxfId="52" priority="30" operator="containsText" text="상수도">
      <formula>NOT(ISERROR(SEARCH("상수도",F89)))</formula>
    </cfRule>
  </conditionalFormatting>
  <conditionalFormatting sqref="F90:G93">
    <cfRule type="containsText" dxfId="51" priority="17" operator="containsText" text="지역난방">
      <formula>NOT(ISERROR(SEARCH("지역난방",F90)))</formula>
    </cfRule>
  </conditionalFormatting>
  <conditionalFormatting sqref="F94:G96">
    <cfRule type="containsText" dxfId="50" priority="11" operator="containsText" text="상수도">
      <formula>NOT(ISERROR(SEARCH("상수도",F94)))</formula>
    </cfRule>
  </conditionalFormatting>
  <conditionalFormatting sqref="F94:G1048576">
    <cfRule type="containsText" dxfId="49" priority="2" operator="containsText" text="지역난방">
      <formula>NOT(ISERROR(SEARCH("지역난방",F94)))</formula>
    </cfRule>
  </conditionalFormatting>
  <conditionalFormatting sqref="F97:G108">
    <cfRule type="containsText" dxfId="48" priority="1" operator="containsText" text="상수도">
      <formula>NOT(ISERROR(SEARCH("상수도",F97)))</formula>
    </cfRule>
  </conditionalFormatting>
  <conditionalFormatting sqref="G6">
    <cfRule type="containsText" dxfId="47" priority="213" operator="containsText" text="상수도">
      <formula>NOT(ISERROR(SEARCH("상수도",G6)))</formula>
    </cfRule>
  </conditionalFormatting>
  <conditionalFormatting sqref="G9">
    <cfRule type="containsText" dxfId="46" priority="206" operator="containsText" text="지역난방">
      <formula>NOT(ISERROR(SEARCH("지역난방",G9)))</formula>
    </cfRule>
    <cfRule type="containsText" dxfId="45" priority="208" operator="containsText" text="지역난방">
      <formula>NOT(ISERROR(SEARCH("지역난방",G9)))</formula>
    </cfRule>
  </conditionalFormatting>
  <conditionalFormatting sqref="G52">
    <cfRule type="containsText" dxfId="44" priority="118" operator="containsText" text="지역난방">
      <formula>NOT(ISERROR(SEARCH("지역난방",G52)))</formula>
    </cfRule>
    <cfRule type="containsText" dxfId="43" priority="119" operator="containsText" text="상수도">
      <formula>NOT(ISERROR(SEARCH("상수도",G52)))</formula>
    </cfRule>
  </conditionalFormatting>
  <conditionalFormatting sqref="G90">
    <cfRule type="containsText" dxfId="42" priority="16" operator="containsText" text="상수도">
      <formula>NOT(ISERROR(SEARCH("상수도",G90)))</formula>
    </cfRule>
  </conditionalFormatting>
  <conditionalFormatting sqref="T5:T409">
    <cfRule type="cellIs" dxfId="41" priority="15" operator="greaterThan">
      <formula>50000000</formula>
    </cfRule>
  </conditionalFormatting>
  <conditionalFormatting sqref="Y5">
    <cfRule type="cellIs" dxfId="40" priority="815" operator="greaterThan">
      <formula>50000000</formula>
    </cfRule>
  </conditionalFormatting>
  <conditionalFormatting sqref="Y26">
    <cfRule type="cellIs" dxfId="39" priority="180" operator="greaterThan">
      <formula>50000000</formula>
    </cfRule>
  </conditionalFormatting>
  <conditionalFormatting sqref="Y41">
    <cfRule type="cellIs" dxfId="38" priority="157" operator="greaterThan">
      <formula>50000000</formula>
    </cfRule>
  </conditionalFormatting>
  <conditionalFormatting sqref="Y49">
    <cfRule type="cellIs" dxfId="37" priority="128" operator="greaterThan">
      <formula>50000000</formula>
    </cfRule>
  </conditionalFormatting>
  <conditionalFormatting sqref="Y77">
    <cfRule type="cellIs" dxfId="36" priority="102" operator="greaterThan">
      <formula>50000000</formula>
    </cfRule>
  </conditionalFormatting>
  <conditionalFormatting sqref="Y86">
    <cfRule type="cellIs" dxfId="35" priority="25" operator="greaterThan">
      <formula>50000000</formula>
    </cfRule>
  </conditionalFormatting>
  <conditionalFormatting sqref="Y94">
    <cfRule type="cellIs" dxfId="34" priority="13" operator="greaterThan">
      <formula>50000000</formula>
    </cfRule>
  </conditionalFormatting>
  <hyperlinks>
    <hyperlink ref="X29" r:id="rId1" xr:uid="{00000000-0004-0000-0100-000000000000}"/>
    <hyperlink ref="X28" r:id="rId2" xr:uid="{00000000-0004-0000-0100-000001000000}"/>
  </hyperlinks>
  <pageMargins left="0.70866141732283472" right="0.70866141732283472" top="0.74803149606299213" bottom="0.74803149606299213" header="0.31496062992125984" footer="0.31496062992125984"/>
  <pageSetup paperSize="8" scale="11" orientation="landscape"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B19"/>
  <sheetViews>
    <sheetView workbookViewId="0">
      <selection activeCell="A18" sqref="A18"/>
    </sheetView>
  </sheetViews>
  <sheetFormatPr defaultRowHeight="16.5" x14ac:dyDescent="0.3"/>
  <cols>
    <col min="1" max="1" width="16.125" bestFit="1" customWidth="1"/>
    <col min="2" max="2" width="14.25" bestFit="1" customWidth="1"/>
  </cols>
  <sheetData>
    <row r="1" spans="1:2" x14ac:dyDescent="0.3">
      <c r="A1" s="4">
        <v>56540000</v>
      </c>
    </row>
    <row r="2" spans="1:2" x14ac:dyDescent="0.3">
      <c r="A2" s="4">
        <v>15000000</v>
      </c>
    </row>
    <row r="4" spans="1:2" x14ac:dyDescent="0.3">
      <c r="A4" s="183">
        <f>A1-A2</f>
        <v>41540000</v>
      </c>
    </row>
    <row r="5" spans="1:2" x14ac:dyDescent="0.3">
      <c r="A5" s="184">
        <f>A4/1.1</f>
        <v>37763636.36363636</v>
      </c>
    </row>
    <row r="10" spans="1:2" x14ac:dyDescent="0.3">
      <c r="A10" s="185" t="s">
        <v>3437</v>
      </c>
      <c r="B10" s="4">
        <v>829060000</v>
      </c>
    </row>
    <row r="11" spans="1:2" x14ac:dyDescent="0.3">
      <c r="A11" s="185" t="s">
        <v>3438</v>
      </c>
      <c r="B11" s="4">
        <v>835827000</v>
      </c>
    </row>
    <row r="12" spans="1:2" x14ac:dyDescent="0.3">
      <c r="A12" s="185" t="s">
        <v>3439</v>
      </c>
      <c r="B12" s="4">
        <v>391210000</v>
      </c>
    </row>
    <row r="13" spans="1:2" x14ac:dyDescent="0.3">
      <c r="A13" s="185" t="s">
        <v>3440</v>
      </c>
      <c r="B13" s="4">
        <v>356520000</v>
      </c>
    </row>
    <row r="14" spans="1:2" x14ac:dyDescent="0.3">
      <c r="A14" s="185" t="s">
        <v>3441</v>
      </c>
      <c r="B14" s="4">
        <v>768810000</v>
      </c>
    </row>
    <row r="15" spans="1:2" x14ac:dyDescent="0.3">
      <c r="A15" s="185" t="s">
        <v>3443</v>
      </c>
      <c r="B15" s="4">
        <v>4980000</v>
      </c>
    </row>
    <row r="16" spans="1:2" x14ac:dyDescent="0.3">
      <c r="A16" s="185" t="s">
        <v>3442</v>
      </c>
      <c r="B16" s="4">
        <v>60510000</v>
      </c>
    </row>
    <row r="17" spans="1:2" x14ac:dyDescent="0.3">
      <c r="A17" s="185" t="s">
        <v>3444</v>
      </c>
      <c r="B17" s="4">
        <v>400000</v>
      </c>
    </row>
    <row r="18" spans="1:2" x14ac:dyDescent="0.3">
      <c r="A18" s="185" t="s">
        <v>3445</v>
      </c>
      <c r="B18" s="4">
        <v>810000</v>
      </c>
    </row>
    <row r="19" spans="1:2" x14ac:dyDescent="0.3">
      <c r="B19" s="183">
        <f>SUM(B10:B18)</f>
        <v>3248127000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79998168889431442"/>
    <pageSetUpPr fitToPage="1"/>
  </sheetPr>
  <dimension ref="A1:AF553"/>
  <sheetViews>
    <sheetView zoomScale="85" zoomScaleNormal="85" workbookViewId="0">
      <pane xSplit="5" ySplit="4" topLeftCell="F23" activePane="bottomRight" state="frozen"/>
      <selection activeCell="N27" sqref="N27"/>
      <selection pane="topRight" activeCell="N27" sqref="N27"/>
      <selection pane="bottomLeft" activeCell="N27" sqref="N27"/>
      <selection pane="bottomRight" activeCell="K27" sqref="K27:V27"/>
    </sheetView>
  </sheetViews>
  <sheetFormatPr defaultRowHeight="16.5" x14ac:dyDescent="0.3"/>
  <cols>
    <col min="1" max="1" width="5.75" hidden="1" customWidth="1"/>
    <col min="2" max="2" width="8.5" style="3" customWidth="1"/>
    <col min="3" max="3" width="47" style="97" customWidth="1"/>
    <col min="4" max="4" width="7.625" style="3" customWidth="1"/>
    <col min="5" max="5" width="7.625" style="90" customWidth="1"/>
    <col min="6" max="7" width="7.625" style="1" customWidth="1"/>
    <col min="8" max="8" width="17.625" style="1" customWidth="1"/>
    <col min="9" max="9" width="16.625" style="28" customWidth="1"/>
    <col min="10" max="13" width="14.625" style="4" customWidth="1"/>
    <col min="14" max="14" width="7.625" style="87" customWidth="1"/>
    <col min="15" max="15" width="14.625" style="4" customWidth="1"/>
    <col min="16" max="16" width="7.75" style="87" customWidth="1"/>
    <col min="17" max="20" width="14.625" style="4" customWidth="1"/>
    <col min="21" max="21" width="9" style="3" customWidth="1"/>
    <col min="22" max="22" width="26.5" style="37" bestFit="1" customWidth="1"/>
    <col min="23" max="23" width="10" style="37" bestFit="1" customWidth="1"/>
    <col min="24" max="25" width="15.25" style="4" customWidth="1"/>
    <col min="26" max="26" width="11.125" customWidth="1"/>
    <col min="27" max="27" width="6" customWidth="1"/>
  </cols>
  <sheetData>
    <row r="1" spans="1:27" ht="20.25" x14ac:dyDescent="0.3">
      <c r="B1" s="101" t="s">
        <v>1020</v>
      </c>
      <c r="C1" s="37"/>
      <c r="D1"/>
      <c r="F1" s="170"/>
      <c r="H1" s="169" t="s">
        <v>2808</v>
      </c>
      <c r="I1" s="169">
        <v>45722</v>
      </c>
    </row>
    <row r="2" spans="1:27" s="14" customFormat="1" ht="16.5" customHeight="1" x14ac:dyDescent="0.3">
      <c r="A2" s="248" t="s">
        <v>0</v>
      </c>
      <c r="B2" s="244" t="s">
        <v>1005</v>
      </c>
      <c r="C2" s="247" t="s">
        <v>14</v>
      </c>
      <c r="D2" s="244" t="s">
        <v>994</v>
      </c>
      <c r="E2" s="244" t="s">
        <v>1001</v>
      </c>
      <c r="F2" s="228" t="s">
        <v>18</v>
      </c>
      <c r="G2" s="228"/>
      <c r="H2" s="228" t="s">
        <v>7</v>
      </c>
      <c r="I2" s="229" t="s">
        <v>8</v>
      </c>
      <c r="J2" s="242" t="s">
        <v>9</v>
      </c>
      <c r="K2" s="242"/>
      <c r="L2" s="242"/>
      <c r="M2" s="242"/>
      <c r="N2" s="242"/>
      <c r="O2" s="242"/>
      <c r="P2" s="242"/>
      <c r="Q2" s="242"/>
      <c r="R2" s="242"/>
      <c r="S2" s="242"/>
      <c r="T2" s="242"/>
      <c r="U2" s="244" t="s">
        <v>12</v>
      </c>
      <c r="V2" s="247" t="s">
        <v>22</v>
      </c>
      <c r="W2" s="247" t="s">
        <v>13</v>
      </c>
      <c r="X2" s="230" t="s">
        <v>3004</v>
      </c>
      <c r="Y2" s="230" t="s">
        <v>425</v>
      </c>
      <c r="Z2" s="233" t="s">
        <v>426</v>
      </c>
      <c r="AA2" s="257" t="s">
        <v>632</v>
      </c>
    </row>
    <row r="3" spans="1:27" s="14" customFormat="1" ht="16.5" customHeight="1" x14ac:dyDescent="0.3">
      <c r="A3" s="248"/>
      <c r="B3" s="244"/>
      <c r="C3" s="247"/>
      <c r="D3" s="244"/>
      <c r="E3" s="244"/>
      <c r="F3" s="233" t="s">
        <v>19</v>
      </c>
      <c r="G3" s="233" t="s">
        <v>20</v>
      </c>
      <c r="H3" s="228"/>
      <c r="I3" s="229"/>
      <c r="J3" s="230" t="s">
        <v>1006</v>
      </c>
      <c r="K3" s="230" t="s">
        <v>1007</v>
      </c>
      <c r="L3" s="230" t="s">
        <v>996</v>
      </c>
      <c r="M3" s="236" t="s">
        <v>997</v>
      </c>
      <c r="N3" s="238" t="s">
        <v>181</v>
      </c>
      <c r="O3" s="239"/>
      <c r="P3" s="239"/>
      <c r="Q3" s="239"/>
      <c r="R3" s="230" t="s">
        <v>185</v>
      </c>
      <c r="S3" s="240" t="s">
        <v>186</v>
      </c>
      <c r="T3" s="230" t="s">
        <v>187</v>
      </c>
      <c r="U3" s="244"/>
      <c r="V3" s="247"/>
      <c r="W3" s="247"/>
      <c r="X3" s="231"/>
      <c r="Y3" s="231"/>
      <c r="Z3" s="234"/>
      <c r="AA3" s="277"/>
    </row>
    <row r="4" spans="1:27" s="14" customFormat="1" x14ac:dyDescent="0.3">
      <c r="A4" s="248"/>
      <c r="B4" s="244"/>
      <c r="C4" s="247"/>
      <c r="D4" s="244"/>
      <c r="E4" s="244"/>
      <c r="F4" s="235"/>
      <c r="G4" s="235"/>
      <c r="H4" s="228"/>
      <c r="I4" s="229"/>
      <c r="J4" s="237"/>
      <c r="K4" s="237"/>
      <c r="L4" s="237"/>
      <c r="M4" s="237"/>
      <c r="N4" s="245" t="s">
        <v>182</v>
      </c>
      <c r="O4" s="246"/>
      <c r="P4" s="245" t="s">
        <v>183</v>
      </c>
      <c r="Q4" s="246"/>
      <c r="R4" s="237"/>
      <c r="S4" s="241"/>
      <c r="T4" s="237"/>
      <c r="U4" s="244"/>
      <c r="V4" s="247"/>
      <c r="W4" s="247"/>
      <c r="X4" s="232"/>
      <c r="Y4" s="232"/>
      <c r="Z4" s="235"/>
      <c r="AA4" s="258"/>
    </row>
    <row r="5" spans="1:27" s="20" customFormat="1" ht="17.100000000000001" customHeight="1" x14ac:dyDescent="0.3">
      <c r="B5" s="17"/>
      <c r="C5" s="94"/>
      <c r="D5" s="17"/>
      <c r="E5" s="91"/>
      <c r="F5" s="15"/>
      <c r="G5" s="15"/>
      <c r="H5" s="15"/>
      <c r="I5" s="29"/>
      <c r="J5" s="19"/>
      <c r="K5" s="19"/>
      <c r="L5" s="99"/>
      <c r="M5" s="18">
        <f t="shared" ref="M5:M108" si="0">L5*0.1</f>
        <v>0</v>
      </c>
      <c r="N5" s="35"/>
      <c r="O5" s="18"/>
      <c r="P5" s="35"/>
      <c r="Q5" s="18"/>
      <c r="R5" s="18">
        <f t="shared" ref="R5:R108" si="1">O5+Q5</f>
        <v>0</v>
      </c>
      <c r="S5" s="18">
        <f t="shared" ref="S5:S108" si="2">T5-R5</f>
        <v>0</v>
      </c>
      <c r="T5" s="18">
        <f t="shared" ref="T5:T108" si="3">L5+M5</f>
        <v>0</v>
      </c>
      <c r="U5" s="17"/>
      <c r="V5" s="41"/>
      <c r="W5" s="38"/>
      <c r="X5" s="122"/>
      <c r="Y5" s="19"/>
      <c r="Z5" s="45"/>
    </row>
    <row r="6" spans="1:27" s="20" customFormat="1" ht="17.100000000000001" customHeight="1" x14ac:dyDescent="0.3">
      <c r="B6" s="265">
        <v>44999</v>
      </c>
      <c r="C6" s="273" t="s">
        <v>1726</v>
      </c>
      <c r="D6" s="17" t="s">
        <v>995</v>
      </c>
      <c r="E6" s="91" t="s">
        <v>1000</v>
      </c>
      <c r="F6" s="259" t="s">
        <v>25</v>
      </c>
      <c r="G6" s="15"/>
      <c r="H6" s="259" t="s">
        <v>1727</v>
      </c>
      <c r="I6" s="262" t="s">
        <v>1728</v>
      </c>
      <c r="J6" s="251">
        <v>2669090909</v>
      </c>
      <c r="K6" s="18">
        <f>L6</f>
        <v>95081819</v>
      </c>
      <c r="L6" s="99">
        <v>95081819</v>
      </c>
      <c r="M6" s="18">
        <f>L6*0.1-1</f>
        <v>9508180.9000000004</v>
      </c>
      <c r="N6" s="35">
        <v>45107</v>
      </c>
      <c r="O6" s="18">
        <v>104590000</v>
      </c>
      <c r="P6" s="35"/>
      <c r="Q6" s="18"/>
      <c r="R6" s="18">
        <f t="shared" si="1"/>
        <v>104590000</v>
      </c>
      <c r="S6" s="18">
        <f t="shared" si="2"/>
        <v>-9.9999994039535522E-2</v>
      </c>
      <c r="T6" s="18">
        <f>L6+M6</f>
        <v>104589999.90000001</v>
      </c>
      <c r="U6" s="17">
        <v>45077</v>
      </c>
      <c r="V6" s="22"/>
      <c r="W6" s="38" t="s">
        <v>3031</v>
      </c>
      <c r="X6" s="122"/>
      <c r="Y6" s="19"/>
    </row>
    <row r="7" spans="1:27" s="20" customFormat="1" ht="17.100000000000001" customHeight="1" x14ac:dyDescent="0.3">
      <c r="B7" s="266"/>
      <c r="C7" s="274"/>
      <c r="D7" s="17" t="s">
        <v>995</v>
      </c>
      <c r="E7" s="91" t="s">
        <v>1008</v>
      </c>
      <c r="F7" s="272"/>
      <c r="G7" s="15"/>
      <c r="H7" s="272"/>
      <c r="I7" s="276"/>
      <c r="J7" s="268"/>
      <c r="K7" s="19">
        <f t="shared" ref="K7:K14" si="4">K6+L7</f>
        <v>248081819</v>
      </c>
      <c r="L7" s="99">
        <v>153000000</v>
      </c>
      <c r="M7" s="18">
        <f t="shared" si="0"/>
        <v>15300000</v>
      </c>
      <c r="N7" s="35">
        <v>45138</v>
      </c>
      <c r="O7" s="18">
        <v>168300000</v>
      </c>
      <c r="P7" s="35"/>
      <c r="Q7" s="18"/>
      <c r="R7" s="18">
        <f t="shared" si="1"/>
        <v>168300000</v>
      </c>
      <c r="S7" s="18">
        <f t="shared" si="2"/>
        <v>0</v>
      </c>
      <c r="T7" s="18">
        <f t="shared" si="3"/>
        <v>168300000</v>
      </c>
      <c r="U7" s="17">
        <v>45107</v>
      </c>
      <c r="V7" s="22"/>
      <c r="W7" s="38"/>
      <c r="X7" s="122"/>
      <c r="Y7" s="19"/>
      <c r="Z7" s="45"/>
    </row>
    <row r="8" spans="1:27" s="20" customFormat="1" ht="17.100000000000001" customHeight="1" x14ac:dyDescent="0.3">
      <c r="B8" s="266"/>
      <c r="C8" s="274"/>
      <c r="D8" s="17" t="s">
        <v>995</v>
      </c>
      <c r="E8" s="91" t="s">
        <v>1928</v>
      </c>
      <c r="F8" s="272"/>
      <c r="G8" s="15"/>
      <c r="H8" s="272"/>
      <c r="I8" s="276"/>
      <c r="J8" s="268"/>
      <c r="K8" s="19">
        <f t="shared" si="4"/>
        <v>272081819</v>
      </c>
      <c r="L8" s="99">
        <v>24000000</v>
      </c>
      <c r="M8" s="18">
        <f t="shared" si="0"/>
        <v>2400000</v>
      </c>
      <c r="N8" s="35">
        <v>45230</v>
      </c>
      <c r="O8" s="18">
        <v>26400000</v>
      </c>
      <c r="P8" s="35"/>
      <c r="Q8" s="18"/>
      <c r="R8" s="18">
        <f t="shared" ref="R8" si="5">O8+Q8</f>
        <v>26400000</v>
      </c>
      <c r="S8" s="18">
        <f t="shared" ref="S8" si="6">T8-R8</f>
        <v>0</v>
      </c>
      <c r="T8" s="18">
        <f t="shared" si="3"/>
        <v>26400000</v>
      </c>
      <c r="U8" s="17">
        <v>45199</v>
      </c>
      <c r="V8" s="22"/>
      <c r="W8" s="38"/>
      <c r="X8" s="122"/>
      <c r="Y8" s="19"/>
      <c r="Z8" s="45"/>
    </row>
    <row r="9" spans="1:27" s="20" customFormat="1" ht="17.100000000000001" customHeight="1" x14ac:dyDescent="0.3">
      <c r="B9" s="266"/>
      <c r="C9" s="274"/>
      <c r="D9" s="17" t="s">
        <v>995</v>
      </c>
      <c r="E9" s="91" t="s">
        <v>1929</v>
      </c>
      <c r="F9" s="272"/>
      <c r="G9" s="15"/>
      <c r="H9" s="272"/>
      <c r="I9" s="276"/>
      <c r="J9" s="268"/>
      <c r="K9" s="19">
        <f t="shared" si="4"/>
        <v>321990910</v>
      </c>
      <c r="L9" s="99">
        <v>49909091</v>
      </c>
      <c r="M9" s="18">
        <f t="shared" si="0"/>
        <v>4990909.1000000006</v>
      </c>
      <c r="N9" s="35">
        <v>45260</v>
      </c>
      <c r="O9" s="18">
        <v>54900000</v>
      </c>
      <c r="P9" s="35"/>
      <c r="Q9" s="18"/>
      <c r="R9" s="18">
        <f t="shared" si="1"/>
        <v>54900000</v>
      </c>
      <c r="S9" s="18">
        <f t="shared" si="2"/>
        <v>0.10000000149011612</v>
      </c>
      <c r="T9" s="18">
        <f t="shared" si="3"/>
        <v>54900000.100000001</v>
      </c>
      <c r="U9" s="17">
        <v>45230</v>
      </c>
      <c r="V9" s="22"/>
      <c r="W9" s="38"/>
      <c r="X9" s="122"/>
      <c r="Y9" s="19"/>
      <c r="Z9" s="45"/>
    </row>
    <row r="10" spans="1:27" s="20" customFormat="1" ht="17.100000000000001" customHeight="1" x14ac:dyDescent="0.3">
      <c r="B10" s="266"/>
      <c r="C10" s="274"/>
      <c r="D10" s="17" t="s">
        <v>995</v>
      </c>
      <c r="E10" s="91" t="s">
        <v>1108</v>
      </c>
      <c r="F10" s="272"/>
      <c r="G10" s="15"/>
      <c r="H10" s="272"/>
      <c r="I10" s="276"/>
      <c r="J10" s="268"/>
      <c r="K10" s="19">
        <f t="shared" si="4"/>
        <v>482745456</v>
      </c>
      <c r="L10" s="99">
        <v>160754546</v>
      </c>
      <c r="M10" s="18">
        <f>L10*0.1-1</f>
        <v>16075453.600000001</v>
      </c>
      <c r="N10" s="35">
        <v>45296</v>
      </c>
      <c r="O10" s="18">
        <v>176830000</v>
      </c>
      <c r="P10" s="35"/>
      <c r="Q10" s="18"/>
      <c r="R10" s="18">
        <f t="shared" si="1"/>
        <v>176830000</v>
      </c>
      <c r="S10" s="18">
        <f t="shared" si="2"/>
        <v>-0.40000000596046448</v>
      </c>
      <c r="T10" s="18">
        <f>L10+M10</f>
        <v>176829999.59999999</v>
      </c>
      <c r="U10" s="17">
        <v>45260</v>
      </c>
      <c r="V10" s="22"/>
      <c r="W10" s="38"/>
      <c r="X10" s="122"/>
      <c r="Y10" s="19"/>
      <c r="Z10" s="45"/>
    </row>
    <row r="11" spans="1:27" s="20" customFormat="1" ht="17.100000000000001" customHeight="1" x14ac:dyDescent="0.3">
      <c r="B11" s="266"/>
      <c r="C11" s="274"/>
      <c r="D11" s="17" t="s">
        <v>995</v>
      </c>
      <c r="E11" s="91" t="s">
        <v>1012</v>
      </c>
      <c r="F11" s="272"/>
      <c r="G11" s="15"/>
      <c r="H11" s="272"/>
      <c r="I11" s="276"/>
      <c r="J11" s="268"/>
      <c r="K11" s="19">
        <f t="shared" si="4"/>
        <v>613245456</v>
      </c>
      <c r="L11" s="99">
        <v>130500000</v>
      </c>
      <c r="M11" s="18">
        <f t="shared" si="0"/>
        <v>13050000</v>
      </c>
      <c r="N11" s="35">
        <v>45322</v>
      </c>
      <c r="O11" s="18">
        <v>143550000</v>
      </c>
      <c r="P11" s="35"/>
      <c r="Q11" s="18"/>
      <c r="R11" s="18">
        <f t="shared" si="1"/>
        <v>143550000</v>
      </c>
      <c r="S11" s="18">
        <f t="shared" si="2"/>
        <v>0</v>
      </c>
      <c r="T11" s="18">
        <f t="shared" si="3"/>
        <v>143550000</v>
      </c>
      <c r="U11" s="17">
        <v>45291</v>
      </c>
      <c r="V11" s="22"/>
      <c r="W11" s="38"/>
      <c r="X11" s="122"/>
      <c r="Y11" s="19"/>
    </row>
    <row r="12" spans="1:27" s="20" customFormat="1" ht="17.100000000000001" customHeight="1" x14ac:dyDescent="0.3">
      <c r="B12" s="266"/>
      <c r="C12" s="274"/>
      <c r="D12" s="17" t="s">
        <v>995</v>
      </c>
      <c r="E12" s="91" t="s">
        <v>1013</v>
      </c>
      <c r="F12" s="272"/>
      <c r="G12" s="15"/>
      <c r="H12" s="272"/>
      <c r="I12" s="276"/>
      <c r="J12" s="268"/>
      <c r="K12" s="19">
        <f>K11+L12-2</f>
        <v>668200000</v>
      </c>
      <c r="L12" s="99">
        <v>54954546</v>
      </c>
      <c r="M12" s="18">
        <f>L12*0.1-1</f>
        <v>5495453.6000000006</v>
      </c>
      <c r="N12" s="35">
        <v>45351</v>
      </c>
      <c r="O12" s="18">
        <v>60450000</v>
      </c>
      <c r="P12" s="35"/>
      <c r="Q12" s="18"/>
      <c r="R12" s="18">
        <f t="shared" si="1"/>
        <v>60450000</v>
      </c>
      <c r="S12" s="18">
        <f t="shared" si="2"/>
        <v>-0.39999999850988388</v>
      </c>
      <c r="T12" s="18">
        <f t="shared" si="3"/>
        <v>60449999.600000001</v>
      </c>
      <c r="U12" s="17">
        <v>45322</v>
      </c>
      <c r="V12" s="22"/>
      <c r="W12" s="38"/>
      <c r="X12" s="122"/>
      <c r="Y12" s="19"/>
    </row>
    <row r="13" spans="1:27" s="20" customFormat="1" ht="17.100000000000001" customHeight="1" x14ac:dyDescent="0.3">
      <c r="B13" s="266"/>
      <c r="C13" s="274"/>
      <c r="D13" s="17" t="s">
        <v>995</v>
      </c>
      <c r="E13" s="91" t="s">
        <v>1014</v>
      </c>
      <c r="F13" s="272"/>
      <c r="G13" s="15"/>
      <c r="H13" s="272"/>
      <c r="I13" s="276"/>
      <c r="J13" s="268"/>
      <c r="K13" s="19">
        <f t="shared" si="4"/>
        <v>716000000</v>
      </c>
      <c r="L13" s="99">
        <v>47800000</v>
      </c>
      <c r="M13" s="18">
        <f t="shared" si="0"/>
        <v>4780000</v>
      </c>
      <c r="N13" s="35">
        <v>45443</v>
      </c>
      <c r="O13" s="18">
        <v>52580000</v>
      </c>
      <c r="P13" s="35"/>
      <c r="Q13" s="18"/>
      <c r="R13" s="18">
        <f t="shared" si="1"/>
        <v>52580000</v>
      </c>
      <c r="S13" s="18">
        <f t="shared" si="2"/>
        <v>0</v>
      </c>
      <c r="T13" s="18">
        <f t="shared" si="3"/>
        <v>52580000</v>
      </c>
      <c r="U13" s="17">
        <v>45412</v>
      </c>
      <c r="V13" s="22"/>
      <c r="W13" s="38"/>
      <c r="X13" s="122"/>
      <c r="Y13" s="19"/>
    </row>
    <row r="14" spans="1:27" s="20" customFormat="1" ht="17.100000000000001" customHeight="1" x14ac:dyDescent="0.3">
      <c r="B14" s="266"/>
      <c r="C14" s="274"/>
      <c r="D14" s="17" t="s">
        <v>995</v>
      </c>
      <c r="E14" s="91" t="s">
        <v>1731</v>
      </c>
      <c r="F14" s="272"/>
      <c r="G14" s="15"/>
      <c r="H14" s="272"/>
      <c r="I14" s="276"/>
      <c r="J14" s="268"/>
      <c r="K14" s="19">
        <f t="shared" si="4"/>
        <v>772600000</v>
      </c>
      <c r="L14" s="99">
        <v>56600000</v>
      </c>
      <c r="M14" s="18">
        <f t="shared" ref="M14:M21" si="7">L14*0.1</f>
        <v>5660000</v>
      </c>
      <c r="N14" s="35">
        <v>45471</v>
      </c>
      <c r="O14" s="18">
        <v>62260000</v>
      </c>
      <c r="P14" s="35"/>
      <c r="Q14" s="18"/>
      <c r="R14" s="18">
        <f t="shared" ref="R14:R26" si="8">O14+Q14</f>
        <v>62260000</v>
      </c>
      <c r="S14" s="18">
        <f t="shared" ref="S14:S19" si="9">T14-R14</f>
        <v>0</v>
      </c>
      <c r="T14" s="18">
        <f t="shared" ref="T14:T26" si="10">L14+M14</f>
        <v>62260000</v>
      </c>
      <c r="U14" s="17">
        <v>45443</v>
      </c>
      <c r="V14" s="22"/>
      <c r="W14" s="38"/>
      <c r="X14" s="122"/>
      <c r="Y14" s="19"/>
    </row>
    <row r="15" spans="1:27" s="20" customFormat="1" ht="17.100000000000001" customHeight="1" x14ac:dyDescent="0.3">
      <c r="B15" s="266"/>
      <c r="C15" s="274"/>
      <c r="D15" s="17" t="s">
        <v>995</v>
      </c>
      <c r="E15" s="91" t="s">
        <v>2244</v>
      </c>
      <c r="F15" s="272"/>
      <c r="G15" s="15"/>
      <c r="H15" s="272"/>
      <c r="I15" s="276"/>
      <c r="J15" s="268"/>
      <c r="K15" s="19">
        <f t="shared" ref="K15:K26" si="11">K14+L15</f>
        <v>818100000</v>
      </c>
      <c r="L15" s="99">
        <v>45500000</v>
      </c>
      <c r="M15" s="18">
        <f t="shared" si="7"/>
        <v>4550000</v>
      </c>
      <c r="N15" s="35">
        <v>45504</v>
      </c>
      <c r="O15" s="18">
        <v>50050000</v>
      </c>
      <c r="P15" s="35"/>
      <c r="Q15" s="18"/>
      <c r="R15" s="18">
        <f t="shared" si="8"/>
        <v>50050000</v>
      </c>
      <c r="S15" s="18">
        <f t="shared" si="9"/>
        <v>0</v>
      </c>
      <c r="T15" s="18">
        <f t="shared" si="10"/>
        <v>50050000</v>
      </c>
      <c r="U15" s="17">
        <v>45473</v>
      </c>
      <c r="V15" s="22"/>
      <c r="W15" s="38"/>
      <c r="X15" s="122"/>
      <c r="Y15" s="19"/>
    </row>
    <row r="16" spans="1:27" s="20" customFormat="1" ht="17.100000000000001" customHeight="1" x14ac:dyDescent="0.3">
      <c r="B16" s="266"/>
      <c r="C16" s="274"/>
      <c r="D16" s="17" t="s">
        <v>995</v>
      </c>
      <c r="E16" s="91" t="s">
        <v>2245</v>
      </c>
      <c r="F16" s="272"/>
      <c r="G16" s="15"/>
      <c r="H16" s="272"/>
      <c r="I16" s="276"/>
      <c r="J16" s="268"/>
      <c r="K16" s="19">
        <f t="shared" si="11"/>
        <v>852645455</v>
      </c>
      <c r="L16" s="99">
        <v>34545455</v>
      </c>
      <c r="M16" s="18">
        <f>L16*0.1-1</f>
        <v>3454544.5</v>
      </c>
      <c r="N16" s="35">
        <v>45534</v>
      </c>
      <c r="O16" s="18">
        <v>38000000</v>
      </c>
      <c r="P16" s="35"/>
      <c r="Q16" s="18"/>
      <c r="R16" s="18">
        <f t="shared" si="8"/>
        <v>38000000</v>
      </c>
      <c r="S16" s="18">
        <f t="shared" si="9"/>
        <v>-0.5</v>
      </c>
      <c r="T16" s="18">
        <f t="shared" si="10"/>
        <v>37999999.5</v>
      </c>
      <c r="U16" s="17">
        <v>45504</v>
      </c>
      <c r="V16" s="22"/>
      <c r="W16" s="38"/>
      <c r="X16" s="122"/>
      <c r="Y16" s="19"/>
    </row>
    <row r="17" spans="2:25" s="20" customFormat="1" ht="17.100000000000001" customHeight="1" x14ac:dyDescent="0.3">
      <c r="B17" s="266"/>
      <c r="C17" s="274"/>
      <c r="D17" s="17" t="s">
        <v>995</v>
      </c>
      <c r="E17" s="91" t="s">
        <v>1003</v>
      </c>
      <c r="F17" s="272"/>
      <c r="G17" s="15"/>
      <c r="H17" s="272"/>
      <c r="I17" s="276"/>
      <c r="J17" s="268"/>
      <c r="K17" s="19">
        <f t="shared" si="11"/>
        <v>864963637</v>
      </c>
      <c r="L17" s="99">
        <v>12318182</v>
      </c>
      <c r="M17" s="18">
        <f t="shared" si="7"/>
        <v>1231818.2</v>
      </c>
      <c r="N17" s="35">
        <v>45565</v>
      </c>
      <c r="O17" s="18">
        <v>13550000</v>
      </c>
      <c r="P17" s="35"/>
      <c r="Q17" s="18"/>
      <c r="R17" s="18">
        <f t="shared" si="8"/>
        <v>13550000</v>
      </c>
      <c r="S17" s="18">
        <f t="shared" si="9"/>
        <v>0.19999999925494194</v>
      </c>
      <c r="T17" s="18">
        <f t="shared" si="10"/>
        <v>13550000.199999999</v>
      </c>
      <c r="U17" s="17">
        <v>45535</v>
      </c>
      <c r="V17" s="22"/>
      <c r="W17" s="38"/>
      <c r="X17" s="122"/>
      <c r="Y17" s="19"/>
    </row>
    <row r="18" spans="2:25" s="20" customFormat="1" ht="17.100000000000001" customHeight="1" x14ac:dyDescent="0.3">
      <c r="B18" s="266">
        <v>45572</v>
      </c>
      <c r="C18" s="274"/>
      <c r="D18" s="17" t="s">
        <v>995</v>
      </c>
      <c r="E18" s="91" t="s">
        <v>2499</v>
      </c>
      <c r="F18" s="272"/>
      <c r="G18" s="15"/>
      <c r="H18" s="272"/>
      <c r="I18" s="276"/>
      <c r="J18" s="268"/>
      <c r="K18" s="19">
        <f t="shared" si="11"/>
        <v>968563637</v>
      </c>
      <c r="L18" s="99">
        <v>103600000</v>
      </c>
      <c r="M18" s="18">
        <f t="shared" si="7"/>
        <v>10360000</v>
      </c>
      <c r="N18" s="35">
        <v>45625</v>
      </c>
      <c r="O18" s="18">
        <v>113960000</v>
      </c>
      <c r="P18" s="35"/>
      <c r="Q18" s="18"/>
      <c r="R18" s="18">
        <f t="shared" si="8"/>
        <v>113960000</v>
      </c>
      <c r="S18" s="18">
        <f t="shared" si="9"/>
        <v>0</v>
      </c>
      <c r="T18" s="18">
        <f t="shared" si="10"/>
        <v>113960000</v>
      </c>
      <c r="U18" s="17">
        <v>45596</v>
      </c>
      <c r="V18" s="22"/>
      <c r="W18" s="38"/>
      <c r="X18" s="122">
        <v>64024000</v>
      </c>
      <c r="Y18" s="19">
        <v>-50000000</v>
      </c>
    </row>
    <row r="19" spans="2:25" s="20" customFormat="1" ht="17.100000000000001" customHeight="1" x14ac:dyDescent="0.3">
      <c r="B19" s="266"/>
      <c r="C19" s="274"/>
      <c r="D19" s="17" t="s">
        <v>995</v>
      </c>
      <c r="E19" s="91" t="s">
        <v>1169</v>
      </c>
      <c r="F19" s="272"/>
      <c r="G19" s="15"/>
      <c r="H19" s="272"/>
      <c r="I19" s="276"/>
      <c r="J19" s="268"/>
      <c r="K19" s="19">
        <f t="shared" si="11"/>
        <v>1391860002</v>
      </c>
      <c r="L19" s="99">
        <v>423296365</v>
      </c>
      <c r="M19" s="18">
        <f>L19*0.1-2</f>
        <v>42329634.5</v>
      </c>
      <c r="N19" s="35">
        <v>45653</v>
      </c>
      <c r="O19" s="18">
        <v>465626000</v>
      </c>
      <c r="P19" s="35"/>
      <c r="Q19" s="18"/>
      <c r="R19" s="18">
        <f t="shared" si="8"/>
        <v>465626000</v>
      </c>
      <c r="S19" s="18">
        <f t="shared" si="9"/>
        <v>-0.5</v>
      </c>
      <c r="T19" s="18">
        <f t="shared" si="10"/>
        <v>465625999.5</v>
      </c>
      <c r="U19" s="17">
        <v>45626</v>
      </c>
      <c r="V19" s="22"/>
      <c r="W19" s="38"/>
      <c r="X19" s="122">
        <v>332376000</v>
      </c>
      <c r="Y19" s="19"/>
    </row>
    <row r="20" spans="2:25" s="20" customFormat="1" ht="17.100000000000001" customHeight="1" x14ac:dyDescent="0.3">
      <c r="B20" s="266"/>
      <c r="C20" s="274"/>
      <c r="D20" s="17" t="s">
        <v>995</v>
      </c>
      <c r="E20" s="91" t="s">
        <v>2804</v>
      </c>
      <c r="F20" s="272"/>
      <c r="G20" s="15"/>
      <c r="H20" s="272"/>
      <c r="I20" s="276"/>
      <c r="J20" s="268"/>
      <c r="K20" s="19">
        <f t="shared" si="11"/>
        <v>1509420002</v>
      </c>
      <c r="L20" s="99">
        <v>117560000</v>
      </c>
      <c r="M20" s="18">
        <f t="shared" si="7"/>
        <v>11756000</v>
      </c>
      <c r="N20" s="35">
        <v>45680</v>
      </c>
      <c r="O20" s="18">
        <v>129415000</v>
      </c>
      <c r="P20" s="35"/>
      <c r="Q20" s="18"/>
      <c r="R20" s="18">
        <f t="shared" si="8"/>
        <v>129415000</v>
      </c>
      <c r="S20" s="18"/>
      <c r="T20" s="18">
        <f t="shared" si="10"/>
        <v>129316000</v>
      </c>
      <c r="U20" s="17">
        <v>45657</v>
      </c>
      <c r="V20" s="22"/>
      <c r="W20" s="38"/>
      <c r="X20" s="122"/>
      <c r="Y20" s="19"/>
    </row>
    <row r="21" spans="2:25" s="20" customFormat="1" ht="17.100000000000001" customHeight="1" x14ac:dyDescent="0.3">
      <c r="B21" s="266">
        <v>45670</v>
      </c>
      <c r="C21" s="274"/>
      <c r="D21" s="17" t="s">
        <v>995</v>
      </c>
      <c r="E21" s="91" t="s">
        <v>2805</v>
      </c>
      <c r="F21" s="272"/>
      <c r="G21" s="15"/>
      <c r="H21" s="272"/>
      <c r="I21" s="276"/>
      <c r="J21" s="268"/>
      <c r="K21" s="19">
        <f t="shared" si="11"/>
        <v>1567850002</v>
      </c>
      <c r="L21" s="99">
        <v>58430000</v>
      </c>
      <c r="M21" s="18">
        <f t="shared" si="7"/>
        <v>5843000</v>
      </c>
      <c r="N21" s="35">
        <v>45716</v>
      </c>
      <c r="O21" s="18">
        <v>64273000</v>
      </c>
      <c r="P21" s="35"/>
      <c r="Q21" s="18"/>
      <c r="R21" s="18">
        <f t="shared" si="8"/>
        <v>64273000</v>
      </c>
      <c r="S21" s="18"/>
      <c r="T21" s="18">
        <f t="shared" si="10"/>
        <v>64273000</v>
      </c>
      <c r="U21" s="17">
        <v>45688</v>
      </c>
      <c r="V21" s="22"/>
      <c r="W21" s="38"/>
      <c r="X21" s="122">
        <v>24800000</v>
      </c>
      <c r="Y21" s="19"/>
    </row>
    <row r="22" spans="2:25" s="20" customFormat="1" ht="17.100000000000001" customHeight="1" x14ac:dyDescent="0.3">
      <c r="B22" s="266"/>
      <c r="C22" s="274"/>
      <c r="D22" s="17" t="s">
        <v>995</v>
      </c>
      <c r="E22" s="91" t="s">
        <v>2806</v>
      </c>
      <c r="F22" s="272"/>
      <c r="G22" s="15"/>
      <c r="H22" s="272"/>
      <c r="I22" s="276"/>
      <c r="J22" s="268"/>
      <c r="K22" s="19">
        <f t="shared" si="11"/>
        <v>1769522730</v>
      </c>
      <c r="L22" s="99">
        <v>201672728</v>
      </c>
      <c r="M22" s="18">
        <f>L22*0.1-1</f>
        <v>20167271.800000001</v>
      </c>
      <c r="N22" s="35">
        <v>45747</v>
      </c>
      <c r="O22" s="18">
        <v>163831769</v>
      </c>
      <c r="P22" s="35">
        <v>45954</v>
      </c>
      <c r="Q22" s="133">
        <v>58008231</v>
      </c>
      <c r="R22" s="18">
        <f t="shared" si="8"/>
        <v>221840000</v>
      </c>
      <c r="S22" s="18">
        <f t="shared" ref="S22:S26" si="12">T22-R22</f>
        <v>-0.19999998807907104</v>
      </c>
      <c r="T22" s="18">
        <f t="shared" si="10"/>
        <v>221839999.80000001</v>
      </c>
      <c r="U22" s="17">
        <v>45716</v>
      </c>
      <c r="W22" s="38"/>
      <c r="X22" s="122">
        <v>133800000</v>
      </c>
      <c r="Y22" s="19"/>
    </row>
    <row r="23" spans="2:25" s="20" customFormat="1" ht="17.100000000000001" customHeight="1" x14ac:dyDescent="0.3">
      <c r="B23" s="266"/>
      <c r="C23" s="274"/>
      <c r="D23" s="17" t="s">
        <v>995</v>
      </c>
      <c r="E23" s="91" t="s">
        <v>2948</v>
      </c>
      <c r="F23" s="272"/>
      <c r="G23" s="15"/>
      <c r="H23" s="272"/>
      <c r="I23" s="276"/>
      <c r="J23" s="268"/>
      <c r="K23" s="19">
        <f t="shared" si="11"/>
        <v>2091742730</v>
      </c>
      <c r="L23" s="99">
        <v>322220000</v>
      </c>
      <c r="M23" s="18">
        <f>L23*0.1</f>
        <v>32222000</v>
      </c>
      <c r="N23" s="35">
        <v>45777</v>
      </c>
      <c r="O23" s="18">
        <v>354442000</v>
      </c>
      <c r="P23" s="35"/>
      <c r="Q23" s="18"/>
      <c r="R23" s="18">
        <f t="shared" si="8"/>
        <v>354442000</v>
      </c>
      <c r="S23" s="18">
        <f t="shared" si="12"/>
        <v>0</v>
      </c>
      <c r="T23" s="18">
        <f t="shared" si="10"/>
        <v>354442000</v>
      </c>
      <c r="U23" s="17">
        <v>45747</v>
      </c>
      <c r="W23" s="38"/>
      <c r="X23" s="122">
        <v>167520000</v>
      </c>
      <c r="Y23" s="19"/>
    </row>
    <row r="24" spans="2:25" s="20" customFormat="1" ht="17.100000000000001" customHeight="1" x14ac:dyDescent="0.3">
      <c r="B24" s="266"/>
      <c r="C24" s="274"/>
      <c r="D24" s="17" t="s">
        <v>995</v>
      </c>
      <c r="E24" s="91" t="s">
        <v>2949</v>
      </c>
      <c r="F24" s="272"/>
      <c r="G24" s="15"/>
      <c r="H24" s="272"/>
      <c r="I24" s="276"/>
      <c r="J24" s="268"/>
      <c r="K24" s="19">
        <f t="shared" si="11"/>
        <v>2404242730</v>
      </c>
      <c r="L24" s="99">
        <v>312500000</v>
      </c>
      <c r="M24" s="18">
        <f>L24*0.1</f>
        <v>31250000</v>
      </c>
      <c r="N24" s="35">
        <v>45807</v>
      </c>
      <c r="O24" s="18">
        <v>343750000</v>
      </c>
      <c r="P24" s="35"/>
      <c r="Q24" s="18"/>
      <c r="R24" s="18">
        <f t="shared" si="8"/>
        <v>343750000</v>
      </c>
      <c r="S24" s="18">
        <f t="shared" si="12"/>
        <v>0</v>
      </c>
      <c r="T24" s="18">
        <f t="shared" si="10"/>
        <v>343750000</v>
      </c>
      <c r="U24" s="17">
        <v>45777</v>
      </c>
      <c r="V24" s="22"/>
      <c r="W24" s="38"/>
      <c r="X24" s="122">
        <v>169480000</v>
      </c>
      <c r="Y24" s="19"/>
    </row>
    <row r="25" spans="2:25" s="20" customFormat="1" ht="17.100000000000001" customHeight="1" x14ac:dyDescent="0.3">
      <c r="B25" s="266"/>
      <c r="C25" s="274"/>
      <c r="D25" s="17" t="s">
        <v>995</v>
      </c>
      <c r="E25" s="91" t="s">
        <v>3005</v>
      </c>
      <c r="F25" s="272"/>
      <c r="G25" s="15"/>
      <c r="H25" s="272"/>
      <c r="I25" s="276"/>
      <c r="J25" s="268"/>
      <c r="K25" s="19">
        <f t="shared" si="11"/>
        <v>2411302730</v>
      </c>
      <c r="L25" s="99">
        <v>7060000</v>
      </c>
      <c r="M25" s="18">
        <f>L25*0.1</f>
        <v>706000</v>
      </c>
      <c r="N25" s="35">
        <v>45838</v>
      </c>
      <c r="O25" s="18">
        <v>7766000</v>
      </c>
      <c r="P25" s="35"/>
      <c r="Q25" s="18"/>
      <c r="R25" s="18">
        <f t="shared" si="8"/>
        <v>7766000</v>
      </c>
      <c r="S25" s="18">
        <f t="shared" si="12"/>
        <v>0</v>
      </c>
      <c r="T25" s="18">
        <f t="shared" si="10"/>
        <v>7766000</v>
      </c>
      <c r="U25" s="17">
        <v>45808</v>
      </c>
      <c r="V25" s="22" t="s">
        <v>2807</v>
      </c>
      <c r="W25" s="38"/>
      <c r="X25" s="122"/>
      <c r="Y25" s="19"/>
    </row>
    <row r="26" spans="2:25" s="20" customFormat="1" ht="17.100000000000001" customHeight="1" x14ac:dyDescent="0.3">
      <c r="B26" s="267"/>
      <c r="C26" s="275"/>
      <c r="D26" s="17" t="s">
        <v>3542</v>
      </c>
      <c r="E26" s="91" t="s">
        <v>3543</v>
      </c>
      <c r="F26" s="260"/>
      <c r="G26" s="15"/>
      <c r="H26" s="260"/>
      <c r="I26" s="263"/>
      <c r="J26" s="252"/>
      <c r="K26" s="19">
        <f t="shared" si="11"/>
        <v>2411352730</v>
      </c>
      <c r="L26" s="99">
        <v>50000</v>
      </c>
      <c r="M26" s="18">
        <f>L26*0.1</f>
        <v>5000</v>
      </c>
      <c r="N26" s="35">
        <v>45947</v>
      </c>
      <c r="O26" s="18">
        <v>55000</v>
      </c>
      <c r="P26" s="35"/>
      <c r="Q26" s="18"/>
      <c r="R26" s="18">
        <f t="shared" si="8"/>
        <v>55000</v>
      </c>
      <c r="S26" s="18">
        <f t="shared" si="12"/>
        <v>0</v>
      </c>
      <c r="T26" s="18">
        <f t="shared" si="10"/>
        <v>55000</v>
      </c>
      <c r="U26" s="17">
        <v>45910</v>
      </c>
      <c r="V26" s="22"/>
      <c r="W26" s="38"/>
      <c r="X26" s="122"/>
      <c r="Y26" s="19"/>
    </row>
    <row r="27" spans="2:25" s="20" customFormat="1" ht="17.100000000000001" customHeight="1" x14ac:dyDescent="0.3">
      <c r="B27" s="55"/>
      <c r="C27" s="138"/>
      <c r="D27" s="17"/>
      <c r="E27" s="91"/>
      <c r="F27" s="54"/>
      <c r="G27" s="15"/>
      <c r="H27" s="54"/>
      <c r="I27" s="52"/>
      <c r="J27" s="53"/>
      <c r="K27" s="19"/>
      <c r="L27" s="99"/>
      <c r="M27" s="18"/>
      <c r="N27" s="35"/>
      <c r="O27" s="18"/>
      <c r="P27" s="35"/>
      <c r="Q27" s="18"/>
      <c r="R27" s="18"/>
      <c r="S27" s="18"/>
      <c r="T27" s="18"/>
      <c r="U27" s="17"/>
      <c r="V27" s="22"/>
      <c r="W27" s="38"/>
      <c r="X27" s="122"/>
      <c r="Y27" s="19"/>
    </row>
    <row r="28" spans="2:25" s="20" customFormat="1" ht="17.100000000000001" customHeight="1" x14ac:dyDescent="0.3">
      <c r="B28" s="55"/>
      <c r="C28" s="138"/>
      <c r="D28" s="17"/>
      <c r="E28" s="91"/>
      <c r="F28" s="54"/>
      <c r="G28" s="15"/>
      <c r="H28" s="54"/>
      <c r="I28" s="52"/>
      <c r="J28" s="53"/>
      <c r="K28" s="19"/>
      <c r="L28" s="99"/>
      <c r="M28" s="18"/>
      <c r="N28" s="35"/>
      <c r="O28" s="18"/>
      <c r="P28" s="35"/>
      <c r="Q28" s="18"/>
      <c r="R28" s="18"/>
      <c r="S28" s="18"/>
      <c r="T28" s="18"/>
      <c r="U28" s="17"/>
      <c r="V28" s="22"/>
      <c r="W28" s="38"/>
      <c r="X28" s="122"/>
      <c r="Y28" s="19"/>
    </row>
    <row r="29" spans="2:25" s="20" customFormat="1" ht="17.100000000000001" customHeight="1" x14ac:dyDescent="0.3">
      <c r="B29" s="55"/>
      <c r="C29" s="138"/>
      <c r="D29" s="17"/>
      <c r="E29" s="91"/>
      <c r="F29" s="54"/>
      <c r="G29" s="15"/>
      <c r="H29" s="54"/>
      <c r="I29" s="52"/>
      <c r="J29" s="53"/>
      <c r="K29" s="19"/>
      <c r="L29" s="99"/>
      <c r="M29" s="18"/>
      <c r="N29" s="35"/>
      <c r="O29" s="18"/>
      <c r="P29" s="35"/>
      <c r="Q29" s="18"/>
      <c r="R29" s="18"/>
      <c r="S29" s="18"/>
      <c r="T29" s="18"/>
      <c r="U29" s="17"/>
      <c r="V29" s="22"/>
      <c r="W29" s="38"/>
      <c r="X29" s="122"/>
      <c r="Y29" s="19"/>
    </row>
    <row r="30" spans="2:25" s="20" customFormat="1" ht="17.100000000000001" customHeight="1" x14ac:dyDescent="0.3">
      <c r="B30" s="55"/>
      <c r="C30" s="138"/>
      <c r="D30" s="17"/>
      <c r="E30" s="91"/>
      <c r="F30" s="15"/>
      <c r="G30" s="15"/>
      <c r="H30" s="15"/>
      <c r="I30" s="29"/>
      <c r="J30" s="53"/>
      <c r="K30" s="19"/>
      <c r="L30" s="99"/>
      <c r="M30" s="18"/>
      <c r="N30" s="35"/>
      <c r="O30" s="18"/>
      <c r="P30" s="35"/>
      <c r="Q30" s="18"/>
      <c r="R30" s="18"/>
      <c r="S30" s="18"/>
      <c r="T30" s="18"/>
      <c r="U30" s="17"/>
      <c r="V30" s="22"/>
      <c r="W30" s="38"/>
      <c r="X30" s="122"/>
      <c r="Y30" s="19"/>
    </row>
    <row r="31" spans="2:25" s="20" customFormat="1" ht="17.100000000000001" customHeight="1" x14ac:dyDescent="0.3">
      <c r="B31" s="55"/>
      <c r="C31" s="138"/>
      <c r="D31" s="17"/>
      <c r="E31" s="91"/>
      <c r="F31" s="15"/>
      <c r="G31" s="15"/>
      <c r="H31" s="15"/>
      <c r="I31" s="29"/>
      <c r="J31" s="53"/>
      <c r="K31" s="19"/>
      <c r="L31" s="99"/>
      <c r="M31" s="18"/>
      <c r="N31" s="35"/>
      <c r="O31" s="18"/>
      <c r="P31" s="35"/>
      <c r="Q31" s="18"/>
      <c r="R31" s="18">
        <f t="shared" ref="R31:R34" si="13">O31+Q31</f>
        <v>0</v>
      </c>
      <c r="S31" s="18">
        <f t="shared" ref="S31:S34" si="14">T31-R31</f>
        <v>0</v>
      </c>
      <c r="T31" s="18">
        <f t="shared" ref="T31:T34" si="15">L31+M31</f>
        <v>0</v>
      </c>
      <c r="U31" s="17"/>
      <c r="V31" s="22"/>
      <c r="W31" s="38"/>
      <c r="X31" s="122"/>
      <c r="Y31" s="19"/>
    </row>
    <row r="32" spans="2:25" s="20" customFormat="1" ht="17.100000000000001" customHeight="1" x14ac:dyDescent="0.3">
      <c r="B32" s="265">
        <v>45499</v>
      </c>
      <c r="C32" s="273" t="s">
        <v>2323</v>
      </c>
      <c r="D32" s="17" t="s">
        <v>995</v>
      </c>
      <c r="E32" s="91" t="s">
        <v>1000</v>
      </c>
      <c r="F32" s="259" t="s">
        <v>25</v>
      </c>
      <c r="G32" s="15"/>
      <c r="H32" s="259" t="s">
        <v>820</v>
      </c>
      <c r="I32" s="262" t="s">
        <v>2324</v>
      </c>
      <c r="J32" s="251">
        <v>6300000000</v>
      </c>
      <c r="K32" s="19">
        <f t="shared" ref="K32:K41" si="16">K31+L32</f>
        <v>199900000</v>
      </c>
      <c r="L32" s="99">
        <v>199900000</v>
      </c>
      <c r="M32" s="18">
        <f t="shared" si="0"/>
        <v>19990000</v>
      </c>
      <c r="N32" s="35">
        <v>45565</v>
      </c>
      <c r="O32" s="18">
        <v>219890000</v>
      </c>
      <c r="P32" s="35"/>
      <c r="Q32" s="18"/>
      <c r="R32" s="18">
        <f t="shared" si="13"/>
        <v>219890000</v>
      </c>
      <c r="S32" s="18">
        <f t="shared" si="14"/>
        <v>0</v>
      </c>
      <c r="T32" s="18">
        <f t="shared" si="15"/>
        <v>219890000</v>
      </c>
      <c r="U32" s="17">
        <v>45535</v>
      </c>
      <c r="V32" s="22"/>
      <c r="W32" s="38"/>
      <c r="X32" s="122"/>
      <c r="Y32" s="19"/>
    </row>
    <row r="33" spans="2:28" s="20" customFormat="1" ht="17.100000000000001" customHeight="1" x14ac:dyDescent="0.3">
      <c r="B33" s="266"/>
      <c r="C33" s="274"/>
      <c r="D33" s="17" t="s">
        <v>995</v>
      </c>
      <c r="E33" s="91" t="s">
        <v>1002</v>
      </c>
      <c r="F33" s="272"/>
      <c r="G33" s="15"/>
      <c r="H33" s="272"/>
      <c r="I33" s="276"/>
      <c r="J33" s="268"/>
      <c r="K33" s="19">
        <f t="shared" si="16"/>
        <v>588700000</v>
      </c>
      <c r="L33" s="99">
        <v>388800000</v>
      </c>
      <c r="M33" s="18">
        <f t="shared" si="0"/>
        <v>38880000</v>
      </c>
      <c r="N33" s="35">
        <v>45632</v>
      </c>
      <c r="O33" s="18">
        <v>427680000</v>
      </c>
      <c r="P33" s="35"/>
      <c r="Q33" s="18"/>
      <c r="R33" s="18">
        <f t="shared" si="13"/>
        <v>427680000</v>
      </c>
      <c r="S33" s="18">
        <f t="shared" si="14"/>
        <v>0</v>
      </c>
      <c r="T33" s="18">
        <f t="shared" si="15"/>
        <v>427680000</v>
      </c>
      <c r="U33" s="17">
        <v>45596</v>
      </c>
      <c r="V33" s="22"/>
      <c r="W33" s="38"/>
      <c r="X33" s="122"/>
      <c r="Y33" s="19"/>
    </row>
    <row r="34" spans="2:28" s="20" customFormat="1" ht="17.100000000000001" customHeight="1" x14ac:dyDescent="0.3">
      <c r="B34" s="266"/>
      <c r="C34" s="274"/>
      <c r="D34" s="17" t="s">
        <v>995</v>
      </c>
      <c r="E34" s="91" t="s">
        <v>1009</v>
      </c>
      <c r="F34" s="272"/>
      <c r="G34" s="15"/>
      <c r="H34" s="272"/>
      <c r="I34" s="276"/>
      <c r="J34" s="268"/>
      <c r="K34" s="19">
        <f t="shared" si="16"/>
        <v>1000600000</v>
      </c>
      <c r="L34" s="175">
        <v>411900000</v>
      </c>
      <c r="M34" s="18">
        <f t="shared" si="0"/>
        <v>41190000</v>
      </c>
      <c r="N34" s="35">
        <v>45657</v>
      </c>
      <c r="O34" s="18">
        <v>453090000</v>
      </c>
      <c r="P34" s="35"/>
      <c r="Q34" s="18"/>
      <c r="R34" s="18">
        <f t="shared" si="13"/>
        <v>453090000</v>
      </c>
      <c r="S34" s="18">
        <f t="shared" si="14"/>
        <v>0</v>
      </c>
      <c r="T34" s="18">
        <f t="shared" si="15"/>
        <v>453090000</v>
      </c>
      <c r="U34" s="17">
        <v>45626</v>
      </c>
      <c r="V34" s="22" t="s">
        <v>3006</v>
      </c>
      <c r="W34" s="38"/>
      <c r="X34" s="122"/>
      <c r="Y34" s="19"/>
    </row>
    <row r="35" spans="2:28" s="20" customFormat="1" ht="17.100000000000001" customHeight="1" x14ac:dyDescent="0.3">
      <c r="B35" s="266"/>
      <c r="C35" s="274"/>
      <c r="D35" s="17" t="s">
        <v>995</v>
      </c>
      <c r="E35" s="91" t="s">
        <v>1010</v>
      </c>
      <c r="F35" s="272"/>
      <c r="G35" s="15"/>
      <c r="H35" s="272"/>
      <c r="I35" s="276"/>
      <c r="J35" s="268"/>
      <c r="K35" s="19">
        <f t="shared" si="16"/>
        <v>1390000000</v>
      </c>
      <c r="L35" s="99">
        <v>389400000</v>
      </c>
      <c r="M35" s="18">
        <f t="shared" si="0"/>
        <v>38940000</v>
      </c>
      <c r="N35" s="35">
        <v>45680</v>
      </c>
      <c r="O35" s="18">
        <v>428340000</v>
      </c>
      <c r="P35" s="35"/>
      <c r="Q35" s="18"/>
      <c r="R35" s="18">
        <f t="shared" ref="R35:R42" si="17">O35+Q35</f>
        <v>428340000</v>
      </c>
      <c r="S35" s="18">
        <f t="shared" ref="S35:S42" si="18">T35-R35</f>
        <v>0</v>
      </c>
      <c r="T35" s="18">
        <f t="shared" ref="T35:T42" si="19">L35+M35</f>
        <v>428340000</v>
      </c>
      <c r="U35" s="17">
        <v>45657</v>
      </c>
      <c r="W35" s="38"/>
      <c r="X35" s="122"/>
      <c r="Y35" s="19"/>
    </row>
    <row r="36" spans="2:28" s="20" customFormat="1" ht="17.100000000000001" customHeight="1" x14ac:dyDescent="0.3">
      <c r="B36" s="266"/>
      <c r="C36" s="274"/>
      <c r="D36" s="17" t="s">
        <v>995</v>
      </c>
      <c r="E36" s="91" t="s">
        <v>2885</v>
      </c>
      <c r="F36" s="272"/>
      <c r="G36" s="15"/>
      <c r="H36" s="272"/>
      <c r="I36" s="276"/>
      <c r="J36" s="268"/>
      <c r="K36" s="19">
        <f t="shared" si="16"/>
        <v>1532500000</v>
      </c>
      <c r="L36" s="99">
        <v>142500000</v>
      </c>
      <c r="M36" s="18">
        <f t="shared" si="0"/>
        <v>14250000</v>
      </c>
      <c r="N36" s="35">
        <v>45745</v>
      </c>
      <c r="O36" s="18">
        <v>156750000</v>
      </c>
      <c r="P36" s="35"/>
      <c r="Q36" s="18"/>
      <c r="R36" s="18">
        <f t="shared" si="17"/>
        <v>156750000</v>
      </c>
      <c r="S36" s="18">
        <f t="shared" si="18"/>
        <v>0</v>
      </c>
      <c r="T36" s="18">
        <f t="shared" si="19"/>
        <v>156750000</v>
      </c>
      <c r="U36" s="17">
        <v>45716</v>
      </c>
      <c r="V36" s="22"/>
      <c r="W36" s="38"/>
      <c r="X36" s="122"/>
      <c r="Y36" s="19"/>
    </row>
    <row r="37" spans="2:28" s="20" customFormat="1" ht="17.100000000000001" customHeight="1" x14ac:dyDescent="0.3">
      <c r="B37" s="266"/>
      <c r="C37" s="274"/>
      <c r="D37" s="17" t="s">
        <v>995</v>
      </c>
      <c r="E37" s="91" t="s">
        <v>1012</v>
      </c>
      <c r="F37" s="272"/>
      <c r="G37" s="15"/>
      <c r="H37" s="272"/>
      <c r="I37" s="276"/>
      <c r="J37" s="268"/>
      <c r="K37" s="19">
        <f t="shared" si="16"/>
        <v>1827200000</v>
      </c>
      <c r="L37" s="99">
        <v>294700000</v>
      </c>
      <c r="M37" s="18">
        <f t="shared" si="0"/>
        <v>29470000</v>
      </c>
      <c r="N37" s="35">
        <v>45777</v>
      </c>
      <c r="O37" s="18">
        <v>324170000</v>
      </c>
      <c r="P37" s="35"/>
      <c r="Q37" s="18"/>
      <c r="R37" s="18">
        <f t="shared" si="17"/>
        <v>324170000</v>
      </c>
      <c r="S37" s="18">
        <f t="shared" si="18"/>
        <v>0</v>
      </c>
      <c r="T37" s="18">
        <f t="shared" si="19"/>
        <v>324170000</v>
      </c>
      <c r="U37" s="17">
        <v>45747</v>
      </c>
      <c r="V37" s="22"/>
      <c r="W37" s="38"/>
      <c r="X37" s="122">
        <v>248765060</v>
      </c>
      <c r="Y37" s="19"/>
    </row>
    <row r="38" spans="2:28" s="20" customFormat="1" ht="17.100000000000001" customHeight="1" x14ac:dyDescent="0.3">
      <c r="B38" s="266"/>
      <c r="C38" s="274"/>
      <c r="D38" s="17" t="s">
        <v>995</v>
      </c>
      <c r="E38" s="91" t="s">
        <v>1013</v>
      </c>
      <c r="F38" s="272"/>
      <c r="G38" s="15"/>
      <c r="H38" s="272"/>
      <c r="I38" s="276"/>
      <c r="J38" s="268"/>
      <c r="K38" s="19">
        <f t="shared" si="16"/>
        <v>2433900000</v>
      </c>
      <c r="L38" s="99">
        <v>606700000</v>
      </c>
      <c r="M38" s="18">
        <f t="shared" si="0"/>
        <v>60670000</v>
      </c>
      <c r="N38" s="35">
        <v>45806</v>
      </c>
      <c r="O38" s="18">
        <v>667370000</v>
      </c>
      <c r="P38" s="35"/>
      <c r="Q38" s="18"/>
      <c r="R38" s="18">
        <f t="shared" si="17"/>
        <v>667370000</v>
      </c>
      <c r="S38" s="18"/>
      <c r="T38" s="18">
        <f t="shared" si="19"/>
        <v>667370000</v>
      </c>
      <c r="U38" s="17">
        <v>45777</v>
      </c>
      <c r="V38" s="22"/>
      <c r="W38" s="38"/>
      <c r="X38" s="122">
        <v>414608434</v>
      </c>
      <c r="Y38" s="19"/>
    </row>
    <row r="39" spans="2:28" s="20" customFormat="1" ht="17.100000000000001" customHeight="1" x14ac:dyDescent="0.3">
      <c r="B39" s="266"/>
      <c r="C39" s="274"/>
      <c r="D39" s="17" t="s">
        <v>995</v>
      </c>
      <c r="E39" s="91" t="s">
        <v>1014</v>
      </c>
      <c r="F39" s="272"/>
      <c r="G39" s="15"/>
      <c r="H39" s="272"/>
      <c r="I39" s="276"/>
      <c r="J39" s="268"/>
      <c r="K39" s="19">
        <f t="shared" si="16"/>
        <v>3072500000</v>
      </c>
      <c r="L39" s="99">
        <v>638600000</v>
      </c>
      <c r="M39" s="18">
        <f t="shared" si="0"/>
        <v>63860000</v>
      </c>
      <c r="N39" s="35">
        <v>45838</v>
      </c>
      <c r="O39" s="18">
        <v>702460000</v>
      </c>
      <c r="P39" s="35"/>
      <c r="Q39" s="18"/>
      <c r="R39" s="18">
        <f t="shared" si="17"/>
        <v>702460000</v>
      </c>
      <c r="S39" s="18"/>
      <c r="T39" s="18">
        <f t="shared" si="19"/>
        <v>702460000</v>
      </c>
      <c r="U39" s="17">
        <v>45808</v>
      </c>
      <c r="W39" s="38"/>
      <c r="X39" s="122">
        <v>663373494</v>
      </c>
      <c r="Y39" s="19"/>
    </row>
    <row r="40" spans="2:28" s="20" customFormat="1" ht="17.100000000000001" customHeight="1" x14ac:dyDescent="0.3">
      <c r="B40" s="266"/>
      <c r="C40" s="274"/>
      <c r="D40" s="17" t="s">
        <v>995</v>
      </c>
      <c r="E40" s="91" t="s">
        <v>3007</v>
      </c>
      <c r="F40" s="272"/>
      <c r="G40" s="15"/>
      <c r="H40" s="272"/>
      <c r="I40" s="276"/>
      <c r="J40" s="268"/>
      <c r="K40" s="19">
        <f>K39+L40</f>
        <v>3752500000</v>
      </c>
      <c r="L40" s="99">
        <v>680000000</v>
      </c>
      <c r="M40" s="18">
        <f t="shared" si="0"/>
        <v>68000000</v>
      </c>
      <c r="N40" s="35">
        <v>45898</v>
      </c>
      <c r="O40" s="18">
        <v>748000000</v>
      </c>
      <c r="P40" s="35"/>
      <c r="Q40" s="18"/>
      <c r="R40" s="18">
        <f t="shared" si="17"/>
        <v>748000000</v>
      </c>
      <c r="S40" s="18">
        <f t="shared" si="18"/>
        <v>0</v>
      </c>
      <c r="T40" s="18">
        <f t="shared" si="19"/>
        <v>748000000</v>
      </c>
      <c r="U40" s="17">
        <v>45838</v>
      </c>
      <c r="V40" s="22"/>
      <c r="W40" s="38"/>
      <c r="X40" s="122">
        <v>331686748</v>
      </c>
      <c r="Y40" s="19"/>
      <c r="AB40" s="20" t="s">
        <v>3078</v>
      </c>
    </row>
    <row r="41" spans="2:28" s="20" customFormat="1" ht="17.100000000000001" customHeight="1" x14ac:dyDescent="0.3">
      <c r="B41" s="267"/>
      <c r="C41" s="275"/>
      <c r="D41" s="17" t="s">
        <v>995</v>
      </c>
      <c r="E41" s="91" t="s">
        <v>3143</v>
      </c>
      <c r="F41" s="260"/>
      <c r="G41" s="15"/>
      <c r="H41" s="260"/>
      <c r="I41" s="263"/>
      <c r="J41" s="252"/>
      <c r="K41" s="19">
        <f t="shared" si="16"/>
        <v>3910700000</v>
      </c>
      <c r="L41" s="99">
        <v>158200000</v>
      </c>
      <c r="M41" s="18">
        <f t="shared" si="0"/>
        <v>15820000</v>
      </c>
      <c r="N41" s="35">
        <v>45929</v>
      </c>
      <c r="O41" s="18">
        <v>174020000</v>
      </c>
      <c r="P41" s="35"/>
      <c r="Q41" s="18"/>
      <c r="R41" s="18">
        <f t="shared" si="17"/>
        <v>174020000</v>
      </c>
      <c r="S41" s="18">
        <f t="shared" si="18"/>
        <v>0</v>
      </c>
      <c r="T41" s="18">
        <f t="shared" si="19"/>
        <v>174020000</v>
      </c>
      <c r="U41" s="17">
        <v>45869</v>
      </c>
      <c r="V41" s="22" t="s">
        <v>2807</v>
      </c>
      <c r="W41" s="38"/>
      <c r="X41" s="122"/>
      <c r="Y41" s="19"/>
    </row>
    <row r="42" spans="2:28" s="20" customFormat="1" ht="17.100000000000001" customHeight="1" x14ac:dyDescent="0.3">
      <c r="B42" s="55"/>
      <c r="C42" s="138"/>
      <c r="D42" s="17"/>
      <c r="E42" s="91"/>
      <c r="F42" s="15"/>
      <c r="G42" s="15"/>
      <c r="H42" s="15"/>
      <c r="I42" s="29"/>
      <c r="J42" s="53"/>
      <c r="K42" s="19"/>
      <c r="L42" s="99"/>
      <c r="M42" s="18"/>
      <c r="N42" s="35"/>
      <c r="O42" s="18"/>
      <c r="P42" s="35"/>
      <c r="Q42" s="18"/>
      <c r="R42" s="18">
        <f t="shared" si="17"/>
        <v>0</v>
      </c>
      <c r="S42" s="18">
        <f t="shared" si="18"/>
        <v>0</v>
      </c>
      <c r="T42" s="18">
        <f t="shared" si="19"/>
        <v>0</v>
      </c>
      <c r="U42" s="17"/>
      <c r="V42" s="22"/>
      <c r="W42" s="38"/>
      <c r="X42" s="122"/>
      <c r="Y42" s="19"/>
    </row>
    <row r="43" spans="2:28" s="20" customFormat="1" ht="17.100000000000001" customHeight="1" x14ac:dyDescent="0.3">
      <c r="B43" s="55"/>
      <c r="C43" s="138"/>
      <c r="D43" s="17"/>
      <c r="E43" s="91"/>
      <c r="F43" s="15"/>
      <c r="G43" s="15"/>
      <c r="H43" s="15"/>
      <c r="I43" s="29"/>
      <c r="J43" s="53"/>
      <c r="K43" s="19"/>
      <c r="L43" s="99"/>
      <c r="M43" s="18"/>
      <c r="N43" s="35"/>
      <c r="O43" s="18"/>
      <c r="P43" s="35"/>
      <c r="Q43" s="18"/>
      <c r="R43" s="18">
        <f t="shared" ref="R43:R55" si="20">O43+Q43</f>
        <v>0</v>
      </c>
      <c r="S43" s="18">
        <f t="shared" ref="S43:S61" si="21">T43-R43</f>
        <v>0</v>
      </c>
      <c r="T43" s="18">
        <f t="shared" ref="T43:T62" si="22">L43+M43</f>
        <v>0</v>
      </c>
      <c r="U43" s="17"/>
      <c r="V43" s="22"/>
      <c r="W43" s="38"/>
      <c r="X43" s="122"/>
      <c r="Y43" s="19"/>
    </row>
    <row r="44" spans="2:28" s="20" customFormat="1" ht="17.100000000000001" customHeight="1" x14ac:dyDescent="0.3">
      <c r="B44" s="55"/>
      <c r="C44" s="138"/>
      <c r="D44" s="17"/>
      <c r="E44" s="91"/>
      <c r="F44" s="15"/>
      <c r="G44" s="15"/>
      <c r="H44" s="15"/>
      <c r="I44" s="29"/>
      <c r="J44" s="53"/>
      <c r="K44" s="19"/>
      <c r="L44" s="99"/>
      <c r="M44" s="18"/>
      <c r="N44" s="35"/>
      <c r="O44" s="18"/>
      <c r="P44" s="35"/>
      <c r="Q44" s="18"/>
      <c r="R44" s="18"/>
      <c r="S44" s="18"/>
      <c r="T44" s="18"/>
      <c r="U44" s="17"/>
      <c r="V44" s="22"/>
      <c r="W44" s="38"/>
      <c r="X44" s="122"/>
      <c r="Y44" s="19"/>
    </row>
    <row r="45" spans="2:28" s="20" customFormat="1" ht="17.100000000000001" customHeight="1" x14ac:dyDescent="0.3">
      <c r="B45" s="55"/>
      <c r="C45" s="138"/>
      <c r="D45" s="17"/>
      <c r="E45" s="91"/>
      <c r="F45" s="15"/>
      <c r="G45" s="15"/>
      <c r="H45" s="15"/>
      <c r="I45" s="29"/>
      <c r="J45" s="53"/>
      <c r="K45" s="19"/>
      <c r="L45" s="99"/>
      <c r="M45" s="18"/>
      <c r="N45" s="35"/>
      <c r="O45" s="18"/>
      <c r="P45" s="35"/>
      <c r="Q45" s="18"/>
      <c r="R45" s="18"/>
      <c r="S45" s="18"/>
      <c r="T45" s="18"/>
      <c r="U45" s="17"/>
      <c r="V45" s="22"/>
      <c r="W45" s="38"/>
      <c r="X45" s="122"/>
      <c r="Y45" s="19"/>
    </row>
    <row r="46" spans="2:28" s="20" customFormat="1" x14ac:dyDescent="0.3">
      <c r="B46" s="265">
        <v>45532</v>
      </c>
      <c r="C46" s="273" t="s">
        <v>2481</v>
      </c>
      <c r="D46" s="17" t="s">
        <v>2482</v>
      </c>
      <c r="E46" s="91" t="s">
        <v>2485</v>
      </c>
      <c r="F46" s="259" t="s">
        <v>25</v>
      </c>
      <c r="G46" s="15"/>
      <c r="H46" s="259" t="s">
        <v>2483</v>
      </c>
      <c r="I46" s="262" t="s">
        <v>2484</v>
      </c>
      <c r="J46" s="251">
        <v>13390000000</v>
      </c>
      <c r="K46" s="19">
        <f>K45+L46</f>
        <v>317000000</v>
      </c>
      <c r="L46" s="99">
        <v>317000000</v>
      </c>
      <c r="M46" s="18">
        <f t="shared" ref="M46:M62" si="23">L46*0.1</f>
        <v>31700000</v>
      </c>
      <c r="N46" s="35">
        <v>45624</v>
      </c>
      <c r="O46" s="18">
        <v>348700000</v>
      </c>
      <c r="P46" s="35"/>
      <c r="Q46" s="18"/>
      <c r="R46" s="18">
        <f t="shared" ref="R46:R50" si="24">O46+Q46</f>
        <v>348700000</v>
      </c>
      <c r="S46" s="18">
        <f t="shared" ref="S46:S50" si="25">T46-R46</f>
        <v>0</v>
      </c>
      <c r="T46" s="18">
        <f t="shared" ref="T46:T50" si="26">L46+M46</f>
        <v>348700000</v>
      </c>
      <c r="U46" s="17">
        <v>45565</v>
      </c>
      <c r="V46" s="22"/>
      <c r="W46" s="38"/>
      <c r="X46" s="122"/>
      <c r="Y46" s="19"/>
    </row>
    <row r="47" spans="2:28" s="20" customFormat="1" ht="17.100000000000001" customHeight="1" x14ac:dyDescent="0.3">
      <c r="B47" s="266"/>
      <c r="C47" s="274"/>
      <c r="D47" s="17" t="s">
        <v>995</v>
      </c>
      <c r="E47" s="91" t="s">
        <v>1002</v>
      </c>
      <c r="F47" s="272"/>
      <c r="G47" s="15"/>
      <c r="H47" s="272"/>
      <c r="I47" s="276"/>
      <c r="J47" s="268"/>
      <c r="K47" s="19">
        <f t="shared" ref="K47:K62" si="27">K46+L47</f>
        <v>416000000</v>
      </c>
      <c r="L47" s="99">
        <v>99000000</v>
      </c>
      <c r="M47" s="18">
        <f t="shared" si="23"/>
        <v>9900000</v>
      </c>
      <c r="N47" s="35">
        <v>46018</v>
      </c>
      <c r="O47" s="18">
        <v>108900000</v>
      </c>
      <c r="P47" s="35"/>
      <c r="Q47" s="78"/>
      <c r="R47" s="18">
        <f t="shared" si="24"/>
        <v>108900000</v>
      </c>
      <c r="S47" s="18">
        <f t="shared" si="25"/>
        <v>0</v>
      </c>
      <c r="T47" s="18">
        <f t="shared" si="26"/>
        <v>108900000</v>
      </c>
      <c r="U47" s="17">
        <v>45596</v>
      </c>
      <c r="V47" s="22"/>
      <c r="W47" s="38"/>
      <c r="X47" s="122"/>
      <c r="Y47" s="19"/>
    </row>
    <row r="48" spans="2:28" s="20" customFormat="1" ht="17.100000000000001" customHeight="1" x14ac:dyDescent="0.3">
      <c r="B48" s="266"/>
      <c r="C48" s="274"/>
      <c r="D48" s="17" t="s">
        <v>995</v>
      </c>
      <c r="E48" s="91" t="s">
        <v>1009</v>
      </c>
      <c r="F48" s="272"/>
      <c r="G48" s="15"/>
      <c r="H48" s="272"/>
      <c r="I48" s="276"/>
      <c r="J48" s="268"/>
      <c r="K48" s="19">
        <f t="shared" si="27"/>
        <v>1563000000</v>
      </c>
      <c r="L48" s="99">
        <v>1147000000</v>
      </c>
      <c r="M48" s="18">
        <f t="shared" si="23"/>
        <v>114700000</v>
      </c>
      <c r="N48" s="35">
        <v>45667</v>
      </c>
      <c r="O48" s="18">
        <v>1261700000</v>
      </c>
      <c r="P48" s="35"/>
      <c r="Q48" s="78"/>
      <c r="R48" s="18">
        <f t="shared" si="24"/>
        <v>1261700000</v>
      </c>
      <c r="S48" s="18">
        <f t="shared" si="25"/>
        <v>0</v>
      </c>
      <c r="T48" s="18">
        <f t="shared" si="26"/>
        <v>1261700000</v>
      </c>
      <c r="U48" s="17">
        <v>45626</v>
      </c>
      <c r="V48" s="22"/>
      <c r="W48" s="38"/>
      <c r="X48" s="122"/>
      <c r="Y48" s="19"/>
    </row>
    <row r="49" spans="2:25" s="20" customFormat="1" ht="17.100000000000001" customHeight="1" x14ac:dyDescent="0.3">
      <c r="B49" s="266"/>
      <c r="C49" s="274"/>
      <c r="D49" s="17" t="s">
        <v>995</v>
      </c>
      <c r="E49" s="91" t="s">
        <v>1010</v>
      </c>
      <c r="F49" s="272"/>
      <c r="G49" s="15"/>
      <c r="H49" s="272"/>
      <c r="I49" s="276"/>
      <c r="J49" s="268"/>
      <c r="K49" s="19">
        <f t="shared" si="27"/>
        <v>2523000000</v>
      </c>
      <c r="L49" s="99">
        <v>960000000</v>
      </c>
      <c r="M49" s="18">
        <f t="shared" si="23"/>
        <v>96000000</v>
      </c>
      <c r="N49" s="35">
        <v>45667</v>
      </c>
      <c r="O49" s="18">
        <v>1056000000</v>
      </c>
      <c r="P49" s="35"/>
      <c r="Q49" s="78"/>
      <c r="R49" s="18">
        <f t="shared" si="24"/>
        <v>1056000000</v>
      </c>
      <c r="S49" s="18">
        <f t="shared" si="25"/>
        <v>0</v>
      </c>
      <c r="T49" s="18">
        <f t="shared" si="26"/>
        <v>1056000000</v>
      </c>
      <c r="U49" s="17">
        <v>45657</v>
      </c>
      <c r="W49" s="38"/>
      <c r="X49" s="122"/>
      <c r="Y49" s="19"/>
    </row>
    <row r="50" spans="2:25" s="20" customFormat="1" ht="17.100000000000001" customHeight="1" x14ac:dyDescent="0.3">
      <c r="B50" s="266"/>
      <c r="C50" s="274"/>
      <c r="D50" s="17" t="s">
        <v>995</v>
      </c>
      <c r="E50" s="91" t="s">
        <v>1011</v>
      </c>
      <c r="F50" s="272"/>
      <c r="G50" s="15"/>
      <c r="H50" s="272"/>
      <c r="I50" s="276"/>
      <c r="J50" s="268"/>
      <c r="K50" s="19">
        <f t="shared" si="27"/>
        <v>3323000000</v>
      </c>
      <c r="L50" s="99">
        <v>800000000</v>
      </c>
      <c r="M50" s="18">
        <f t="shared" si="23"/>
        <v>80000000</v>
      </c>
      <c r="N50" s="35">
        <v>45747</v>
      </c>
      <c r="O50" s="18">
        <v>880000000</v>
      </c>
      <c r="P50" s="35"/>
      <c r="Q50" s="18"/>
      <c r="R50" s="18">
        <f t="shared" si="24"/>
        <v>880000000</v>
      </c>
      <c r="S50" s="18">
        <f t="shared" si="25"/>
        <v>0</v>
      </c>
      <c r="T50" s="18">
        <f t="shared" si="26"/>
        <v>880000000</v>
      </c>
      <c r="U50" s="17">
        <v>45688</v>
      </c>
      <c r="V50" s="22"/>
      <c r="W50" s="38"/>
      <c r="X50" s="122"/>
      <c r="Y50" s="19"/>
    </row>
    <row r="51" spans="2:25" s="20" customFormat="1" ht="17.100000000000001" customHeight="1" x14ac:dyDescent="0.3">
      <c r="B51" s="266"/>
      <c r="C51" s="274"/>
      <c r="D51" s="17" t="s">
        <v>3009</v>
      </c>
      <c r="E51" s="91" t="s">
        <v>3010</v>
      </c>
      <c r="F51" s="272"/>
      <c r="G51" s="15"/>
      <c r="H51" s="272"/>
      <c r="I51" s="276"/>
      <c r="J51" s="268"/>
      <c r="K51" s="19">
        <f t="shared" si="27"/>
        <v>4323000000</v>
      </c>
      <c r="L51" s="99">
        <v>1000000000</v>
      </c>
      <c r="M51" s="18">
        <f t="shared" si="23"/>
        <v>100000000</v>
      </c>
      <c r="N51" s="35">
        <v>45776</v>
      </c>
      <c r="O51" s="18">
        <v>1100000000</v>
      </c>
      <c r="P51" s="35"/>
      <c r="Q51" s="18"/>
      <c r="R51" s="18">
        <f t="shared" si="20"/>
        <v>1100000000</v>
      </c>
      <c r="S51" s="18">
        <f t="shared" si="21"/>
        <v>0</v>
      </c>
      <c r="T51" s="18">
        <f t="shared" si="22"/>
        <v>1100000000</v>
      </c>
      <c r="U51" s="17">
        <v>45769</v>
      </c>
      <c r="V51" s="22" t="s">
        <v>3014</v>
      </c>
      <c r="W51" s="38"/>
      <c r="X51" s="122"/>
      <c r="Y51" s="19"/>
    </row>
    <row r="52" spans="2:25" s="20" customFormat="1" ht="17.100000000000001" customHeight="1" x14ac:dyDescent="0.3">
      <c r="B52" s="266"/>
      <c r="C52" s="274"/>
      <c r="D52" s="17" t="s">
        <v>995</v>
      </c>
      <c r="E52" s="91" t="s">
        <v>3008</v>
      </c>
      <c r="F52" s="272"/>
      <c r="G52" s="15"/>
      <c r="H52" s="272"/>
      <c r="I52" s="276"/>
      <c r="J52" s="268"/>
      <c r="K52" s="19">
        <f t="shared" si="27"/>
        <v>4973000000</v>
      </c>
      <c r="L52" s="99">
        <v>650000000</v>
      </c>
      <c r="M52" s="18">
        <f t="shared" si="23"/>
        <v>65000000</v>
      </c>
      <c r="N52" s="35">
        <v>45776</v>
      </c>
      <c r="O52" s="18">
        <v>715000000</v>
      </c>
      <c r="P52" s="35"/>
      <c r="Q52" s="18"/>
      <c r="R52" s="18">
        <f t="shared" si="20"/>
        <v>715000000</v>
      </c>
      <c r="S52" s="18">
        <f t="shared" si="21"/>
        <v>0</v>
      </c>
      <c r="T52" s="129">
        <f t="shared" si="22"/>
        <v>715000000</v>
      </c>
      <c r="U52" s="17">
        <v>45716</v>
      </c>
      <c r="W52" s="38"/>
      <c r="X52" s="122"/>
      <c r="Y52" s="19"/>
    </row>
    <row r="53" spans="2:25" s="20" customFormat="1" ht="17.100000000000001" customHeight="1" x14ac:dyDescent="0.3">
      <c r="B53" s="266"/>
      <c r="C53" s="274"/>
      <c r="D53" s="17" t="s">
        <v>995</v>
      </c>
      <c r="E53" s="91" t="s">
        <v>3000</v>
      </c>
      <c r="F53" s="272"/>
      <c r="G53" s="15"/>
      <c r="H53" s="272"/>
      <c r="I53" s="276"/>
      <c r="J53" s="268"/>
      <c r="K53" s="19">
        <f t="shared" si="27"/>
        <v>5503000000</v>
      </c>
      <c r="L53" s="99">
        <f>O53/1.1</f>
        <v>529999999.99999994</v>
      </c>
      <c r="M53" s="18">
        <f t="shared" si="23"/>
        <v>53000000</v>
      </c>
      <c r="N53" s="35">
        <v>45806</v>
      </c>
      <c r="O53" s="18">
        <v>583000000</v>
      </c>
      <c r="P53" s="35"/>
      <c r="Q53" s="18"/>
      <c r="R53" s="18">
        <f t="shared" si="20"/>
        <v>583000000</v>
      </c>
      <c r="S53" s="18">
        <f t="shared" si="21"/>
        <v>0</v>
      </c>
      <c r="T53" s="18">
        <f t="shared" si="22"/>
        <v>583000000</v>
      </c>
      <c r="U53" s="17">
        <v>45747</v>
      </c>
      <c r="V53" s="22"/>
      <c r="W53" s="38"/>
      <c r="X53" s="122"/>
      <c r="Y53" s="19"/>
    </row>
    <row r="54" spans="2:25" s="20" customFormat="1" ht="17.100000000000001" customHeight="1" x14ac:dyDescent="0.3">
      <c r="B54" s="266"/>
      <c r="C54" s="274"/>
      <c r="D54" s="17" t="s">
        <v>995</v>
      </c>
      <c r="E54" s="91" t="s">
        <v>3001</v>
      </c>
      <c r="F54" s="272"/>
      <c r="G54" s="15"/>
      <c r="H54" s="272"/>
      <c r="I54" s="276"/>
      <c r="J54" s="268"/>
      <c r="K54" s="19">
        <f t="shared" si="27"/>
        <v>6203000000</v>
      </c>
      <c r="L54" s="99">
        <v>700000000</v>
      </c>
      <c r="M54" s="18">
        <f t="shared" si="23"/>
        <v>70000000</v>
      </c>
      <c r="N54" s="35">
        <v>45835</v>
      </c>
      <c r="O54" s="18">
        <v>770000000</v>
      </c>
      <c r="P54" s="35"/>
      <c r="Q54" s="18"/>
      <c r="R54" s="18">
        <f t="shared" si="20"/>
        <v>770000000</v>
      </c>
      <c r="S54" s="18">
        <f t="shared" si="21"/>
        <v>0</v>
      </c>
      <c r="T54" s="18">
        <f t="shared" si="22"/>
        <v>770000000</v>
      </c>
      <c r="U54" s="17">
        <v>45777</v>
      </c>
      <c r="V54" s="22"/>
      <c r="W54" s="38"/>
      <c r="X54" s="122"/>
      <c r="Y54" s="19"/>
    </row>
    <row r="55" spans="2:25" s="20" customFormat="1" ht="16.5" customHeight="1" x14ac:dyDescent="0.3">
      <c r="B55" s="266"/>
      <c r="C55" s="274"/>
      <c r="D55" s="17" t="s">
        <v>995</v>
      </c>
      <c r="E55" s="91" t="s">
        <v>1731</v>
      </c>
      <c r="F55" s="272"/>
      <c r="G55" s="15"/>
      <c r="H55" s="272"/>
      <c r="I55" s="276"/>
      <c r="J55" s="268"/>
      <c r="K55" s="19">
        <f t="shared" si="27"/>
        <v>6670500000</v>
      </c>
      <c r="L55" s="99">
        <v>467500000</v>
      </c>
      <c r="M55" s="18">
        <f t="shared" si="23"/>
        <v>46750000</v>
      </c>
      <c r="N55" s="35">
        <v>45845</v>
      </c>
      <c r="O55" s="18">
        <v>514250000</v>
      </c>
      <c r="P55" s="35"/>
      <c r="Q55" s="18"/>
      <c r="R55" s="18">
        <f t="shared" si="20"/>
        <v>514250000</v>
      </c>
      <c r="S55" s="18">
        <f t="shared" si="21"/>
        <v>0</v>
      </c>
      <c r="T55" s="18">
        <f t="shared" si="22"/>
        <v>514250000</v>
      </c>
      <c r="U55" s="17">
        <v>45808</v>
      </c>
      <c r="W55" s="38"/>
      <c r="X55" s="122"/>
      <c r="Y55" s="19"/>
    </row>
    <row r="56" spans="2:25" s="20" customFormat="1" ht="17.100000000000001" customHeight="1" x14ac:dyDescent="0.3">
      <c r="B56" s="266"/>
      <c r="C56" s="274"/>
      <c r="D56" s="17" t="s">
        <v>995</v>
      </c>
      <c r="E56" s="91" t="s">
        <v>2244</v>
      </c>
      <c r="F56" s="272"/>
      <c r="G56" s="15"/>
      <c r="H56" s="272"/>
      <c r="I56" s="276"/>
      <c r="J56" s="268"/>
      <c r="K56" s="19">
        <f t="shared" si="27"/>
        <v>7183500000</v>
      </c>
      <c r="L56" s="99">
        <v>513000000</v>
      </c>
      <c r="M56" s="18">
        <f t="shared" si="23"/>
        <v>51300000</v>
      </c>
      <c r="N56" s="35">
        <v>45897</v>
      </c>
      <c r="O56" s="19">
        <v>564300000</v>
      </c>
      <c r="P56" s="35"/>
      <c r="Q56" s="18"/>
      <c r="R56" s="18">
        <f t="shared" ref="R56:R60" si="28">O56+Q56</f>
        <v>564300000</v>
      </c>
      <c r="S56" s="18">
        <f t="shared" si="21"/>
        <v>0</v>
      </c>
      <c r="T56" s="18">
        <f t="shared" si="22"/>
        <v>564300000</v>
      </c>
      <c r="U56" s="17">
        <v>45838</v>
      </c>
      <c r="W56" s="38"/>
      <c r="X56" s="122"/>
      <c r="Y56" s="19"/>
    </row>
    <row r="57" spans="2:25" s="20" customFormat="1" ht="17.100000000000001" customHeight="1" x14ac:dyDescent="0.3">
      <c r="B57" s="266"/>
      <c r="C57" s="274"/>
      <c r="D57" s="17" t="s">
        <v>995</v>
      </c>
      <c r="E57" s="91" t="s">
        <v>3142</v>
      </c>
      <c r="F57" s="272"/>
      <c r="G57" s="15"/>
      <c r="H57" s="272"/>
      <c r="I57" s="276"/>
      <c r="J57" s="268"/>
      <c r="K57" s="19">
        <f t="shared" si="27"/>
        <v>7778500000</v>
      </c>
      <c r="L57" s="99">
        <v>595000000</v>
      </c>
      <c r="M57" s="18">
        <f t="shared" si="23"/>
        <v>59500000</v>
      </c>
      <c r="N57" s="35">
        <v>45929</v>
      </c>
      <c r="O57" s="18">
        <v>654500000</v>
      </c>
      <c r="P57" s="35"/>
      <c r="Q57" s="18"/>
      <c r="R57" s="18">
        <f t="shared" si="28"/>
        <v>654500000</v>
      </c>
      <c r="S57" s="18">
        <f t="shared" si="21"/>
        <v>0</v>
      </c>
      <c r="T57" s="18">
        <f t="shared" si="22"/>
        <v>654500000</v>
      </c>
      <c r="U57" s="17">
        <v>45869</v>
      </c>
      <c r="V57" s="22"/>
      <c r="W57" s="38"/>
      <c r="X57" s="122"/>
      <c r="Y57" s="19"/>
    </row>
    <row r="58" spans="2:25" s="20" customFormat="1" ht="17.100000000000001" customHeight="1" x14ac:dyDescent="0.3">
      <c r="B58" s="266"/>
      <c r="C58" s="274"/>
      <c r="D58" s="17" t="s">
        <v>995</v>
      </c>
      <c r="E58" s="91" t="s">
        <v>3255</v>
      </c>
      <c r="F58" s="272"/>
      <c r="G58" s="15"/>
      <c r="H58" s="272"/>
      <c r="I58" s="276"/>
      <c r="J58" s="268"/>
      <c r="K58" s="19">
        <f t="shared" si="27"/>
        <v>8373500000</v>
      </c>
      <c r="L58" s="99">
        <v>595000000</v>
      </c>
      <c r="M58" s="18">
        <f t="shared" si="23"/>
        <v>59500000</v>
      </c>
      <c r="N58" s="180">
        <v>45932</v>
      </c>
      <c r="O58" s="127">
        <v>654500000</v>
      </c>
      <c r="P58" s="35"/>
      <c r="Q58" s="18"/>
      <c r="R58" s="18">
        <f t="shared" si="28"/>
        <v>654500000</v>
      </c>
      <c r="S58" s="18">
        <f t="shared" si="21"/>
        <v>0</v>
      </c>
      <c r="T58" s="18">
        <f t="shared" si="22"/>
        <v>654500000</v>
      </c>
      <c r="U58" s="17">
        <v>45900</v>
      </c>
      <c r="V58" s="22" t="s">
        <v>3256</v>
      </c>
      <c r="W58" s="38"/>
      <c r="X58" s="122"/>
      <c r="Y58" s="19"/>
    </row>
    <row r="59" spans="2:25" s="20" customFormat="1" ht="17.100000000000001" customHeight="1" x14ac:dyDescent="0.3">
      <c r="B59" s="266"/>
      <c r="C59" s="274"/>
      <c r="D59" s="17"/>
      <c r="E59" s="91"/>
      <c r="F59" s="272"/>
      <c r="G59" s="15"/>
      <c r="H59" s="272"/>
      <c r="I59" s="276"/>
      <c r="J59" s="268"/>
      <c r="K59" s="19">
        <f t="shared" si="27"/>
        <v>8739500000</v>
      </c>
      <c r="L59" s="99">
        <v>366000000</v>
      </c>
      <c r="M59" s="18">
        <f t="shared" si="23"/>
        <v>36600000</v>
      </c>
      <c r="N59" s="180">
        <v>45989</v>
      </c>
      <c r="O59" s="127">
        <v>402600000</v>
      </c>
      <c r="P59" s="35"/>
      <c r="Q59" s="18"/>
      <c r="R59" s="18">
        <f t="shared" si="28"/>
        <v>402600000</v>
      </c>
      <c r="S59" s="18">
        <f t="shared" si="21"/>
        <v>0</v>
      </c>
      <c r="T59" s="18">
        <f t="shared" si="22"/>
        <v>402600000</v>
      </c>
      <c r="U59" s="17">
        <v>45930</v>
      </c>
      <c r="V59" s="22"/>
      <c r="W59" s="38"/>
      <c r="X59" s="122"/>
      <c r="Y59" s="19"/>
    </row>
    <row r="60" spans="2:25" s="20" customFormat="1" ht="17.100000000000001" customHeight="1" x14ac:dyDescent="0.3">
      <c r="B60" s="266"/>
      <c r="C60" s="274"/>
      <c r="D60" s="17"/>
      <c r="E60" s="91"/>
      <c r="F60" s="272"/>
      <c r="G60" s="15"/>
      <c r="H60" s="272"/>
      <c r="I60" s="276"/>
      <c r="J60" s="268"/>
      <c r="K60" s="19">
        <f t="shared" si="27"/>
        <v>8964500000</v>
      </c>
      <c r="L60" s="99">
        <v>225000000</v>
      </c>
      <c r="M60" s="18">
        <f t="shared" si="23"/>
        <v>22500000</v>
      </c>
      <c r="N60" s="180">
        <v>46021</v>
      </c>
      <c r="O60" s="127">
        <v>247500000</v>
      </c>
      <c r="P60" s="35"/>
      <c r="Q60" s="18"/>
      <c r="R60" s="18">
        <f t="shared" si="28"/>
        <v>247500000</v>
      </c>
      <c r="S60" s="18">
        <f t="shared" si="21"/>
        <v>0</v>
      </c>
      <c r="T60" s="18">
        <f t="shared" si="22"/>
        <v>247500000</v>
      </c>
      <c r="U60" s="35">
        <v>45961</v>
      </c>
      <c r="V60" s="22"/>
      <c r="W60" s="38"/>
      <c r="X60" s="122"/>
      <c r="Y60" s="19"/>
    </row>
    <row r="61" spans="2:25" s="20" customFormat="1" ht="17.100000000000001" customHeight="1" x14ac:dyDescent="0.3">
      <c r="B61" s="266"/>
      <c r="C61" s="274"/>
      <c r="D61" s="17"/>
      <c r="E61" s="91"/>
      <c r="F61" s="272"/>
      <c r="G61" s="15"/>
      <c r="H61" s="272"/>
      <c r="I61" s="276"/>
      <c r="J61" s="268"/>
      <c r="K61" s="19">
        <f t="shared" si="27"/>
        <v>9136000000</v>
      </c>
      <c r="L61" s="99">
        <v>171500000</v>
      </c>
      <c r="M61" s="18">
        <f t="shared" si="23"/>
        <v>17150000</v>
      </c>
      <c r="N61" s="180">
        <v>46052</v>
      </c>
      <c r="O61" s="127">
        <v>188650000</v>
      </c>
      <c r="P61" s="35"/>
      <c r="Q61" s="18"/>
      <c r="R61" s="18">
        <f>O61+Q61</f>
        <v>188650000</v>
      </c>
      <c r="S61" s="18">
        <f t="shared" si="21"/>
        <v>0</v>
      </c>
      <c r="T61" s="18">
        <f t="shared" si="22"/>
        <v>188650000</v>
      </c>
      <c r="U61" s="35">
        <v>45991</v>
      </c>
      <c r="V61" s="22"/>
      <c r="W61" s="38"/>
      <c r="X61" s="122"/>
      <c r="Y61" s="19"/>
    </row>
    <row r="62" spans="2:25" s="20" customFormat="1" ht="17.100000000000001" customHeight="1" x14ac:dyDescent="0.3">
      <c r="B62" s="267"/>
      <c r="C62" s="275"/>
      <c r="D62" s="17"/>
      <c r="E62" s="91"/>
      <c r="F62" s="260"/>
      <c r="G62" s="15"/>
      <c r="H62" s="260"/>
      <c r="I62" s="263"/>
      <c r="J62" s="252"/>
      <c r="K62" s="19">
        <f t="shared" si="27"/>
        <v>9216000000</v>
      </c>
      <c r="L62" s="99">
        <v>80000000</v>
      </c>
      <c r="M62" s="18">
        <f t="shared" si="23"/>
        <v>8000000</v>
      </c>
      <c r="N62" s="35"/>
      <c r="O62" s="18"/>
      <c r="P62" s="35"/>
      <c r="Q62" s="18"/>
      <c r="R62" s="18"/>
      <c r="S62" s="18"/>
      <c r="T62" s="18">
        <f t="shared" si="22"/>
        <v>88000000</v>
      </c>
      <c r="U62" s="35">
        <v>46022</v>
      </c>
      <c r="V62" s="22"/>
      <c r="W62" s="38"/>
      <c r="X62" s="122"/>
      <c r="Y62" s="19"/>
    </row>
    <row r="63" spans="2:25" s="20" customFormat="1" ht="17.100000000000001" customHeight="1" x14ac:dyDescent="0.3">
      <c r="B63" s="55"/>
      <c r="C63" s="138"/>
      <c r="D63" s="17"/>
      <c r="E63" s="91"/>
      <c r="F63" s="15"/>
      <c r="G63" s="15"/>
      <c r="H63" s="15"/>
      <c r="I63" s="52"/>
      <c r="J63" s="53"/>
      <c r="K63" s="19"/>
      <c r="L63" s="99"/>
      <c r="M63" s="18"/>
      <c r="N63" s="35"/>
      <c r="O63" s="18"/>
      <c r="P63" s="35"/>
      <c r="Q63" s="18"/>
      <c r="R63" s="18"/>
      <c r="S63" s="18"/>
      <c r="T63" s="18"/>
      <c r="U63" s="17"/>
      <c r="V63" s="22"/>
      <c r="W63" s="38"/>
      <c r="X63" s="122"/>
      <c r="Y63" s="19"/>
    </row>
    <row r="64" spans="2:25" s="20" customFormat="1" ht="17.100000000000001" customHeight="1" x14ac:dyDescent="0.3">
      <c r="B64" s="55"/>
      <c r="C64" s="138"/>
      <c r="D64" s="17"/>
      <c r="E64" s="91"/>
      <c r="F64" s="15"/>
      <c r="G64" s="15"/>
      <c r="H64" s="15"/>
      <c r="I64" s="29"/>
      <c r="J64" s="53"/>
      <c r="K64" s="19"/>
      <c r="L64" s="99"/>
      <c r="M64" s="18"/>
      <c r="N64" s="35"/>
      <c r="O64" s="18"/>
      <c r="P64" s="35"/>
      <c r="Q64" s="18"/>
      <c r="R64" s="18"/>
      <c r="S64" s="18"/>
      <c r="T64" s="18"/>
      <c r="U64" s="17"/>
      <c r="V64" s="22"/>
      <c r="W64" s="38"/>
      <c r="X64" s="122"/>
      <c r="Y64" s="19"/>
    </row>
    <row r="65" spans="2:25" s="20" customFormat="1" ht="17.100000000000001" customHeight="1" x14ac:dyDescent="0.3">
      <c r="B65" s="17"/>
      <c r="C65" s="94"/>
      <c r="D65" s="17"/>
      <c r="E65" s="91"/>
      <c r="F65" s="15"/>
      <c r="G65" s="15"/>
      <c r="H65" s="15"/>
      <c r="I65" s="132"/>
      <c r="J65" s="19"/>
      <c r="K65" s="19"/>
      <c r="L65" s="99">
        <f>K65/1.1</f>
        <v>0</v>
      </c>
      <c r="M65" s="18">
        <f t="shared" si="0"/>
        <v>0</v>
      </c>
      <c r="N65" s="35"/>
      <c r="O65" s="18"/>
      <c r="P65" s="35"/>
      <c r="Q65" s="18"/>
      <c r="R65" s="18">
        <f t="shared" si="1"/>
        <v>0</v>
      </c>
      <c r="S65" s="18">
        <f t="shared" si="2"/>
        <v>0</v>
      </c>
      <c r="T65" s="18">
        <f t="shared" si="3"/>
        <v>0</v>
      </c>
      <c r="U65" s="17"/>
      <c r="V65" s="22"/>
      <c r="W65" s="38"/>
      <c r="X65" s="122"/>
      <c r="Y65" s="19"/>
    </row>
    <row r="66" spans="2:25" s="20" customFormat="1" ht="17.100000000000001" customHeight="1" x14ac:dyDescent="0.3">
      <c r="B66" s="265">
        <v>45289</v>
      </c>
      <c r="C66" s="273" t="s">
        <v>2032</v>
      </c>
      <c r="D66" s="17" t="s">
        <v>2033</v>
      </c>
      <c r="E66" s="91"/>
      <c r="F66" s="259" t="s">
        <v>25</v>
      </c>
      <c r="G66" s="15"/>
      <c r="H66" s="259" t="s">
        <v>626</v>
      </c>
      <c r="I66" s="269" t="s">
        <v>3011</v>
      </c>
      <c r="J66" s="251">
        <v>1956500000</v>
      </c>
      <c r="K66" s="19">
        <v>547272727</v>
      </c>
      <c r="L66" s="99">
        <f>K66</f>
        <v>547272727</v>
      </c>
      <c r="M66" s="18">
        <f>INT(L66*0.1)</f>
        <v>54727272</v>
      </c>
      <c r="N66" s="35">
        <v>45356</v>
      </c>
      <c r="O66" s="18">
        <v>602000000</v>
      </c>
      <c r="P66" s="35"/>
      <c r="Q66" s="18"/>
      <c r="R66" s="18">
        <f>INT(O66+Q66)</f>
        <v>602000000</v>
      </c>
      <c r="S66" s="18">
        <f>INT(T66-R66)</f>
        <v>-1</v>
      </c>
      <c r="T66" s="18">
        <f t="shared" si="3"/>
        <v>601999999</v>
      </c>
      <c r="U66" s="17">
        <v>45356</v>
      </c>
      <c r="V66" s="22" t="s">
        <v>2973</v>
      </c>
      <c r="W66" s="38" t="s">
        <v>3025</v>
      </c>
      <c r="X66" s="122"/>
      <c r="Y66" s="19"/>
    </row>
    <row r="67" spans="2:25" s="20" customFormat="1" ht="17.100000000000001" customHeight="1" x14ac:dyDescent="0.3">
      <c r="B67" s="266"/>
      <c r="C67" s="274"/>
      <c r="D67" s="17" t="s">
        <v>3015</v>
      </c>
      <c r="E67" s="91" t="s">
        <v>3016</v>
      </c>
      <c r="F67" s="272"/>
      <c r="G67" s="15"/>
      <c r="H67" s="272"/>
      <c r="I67" s="270"/>
      <c r="J67" s="268"/>
      <c r="K67" s="19">
        <f t="shared" ref="K67:K72" si="29">K66+L67</f>
        <v>587453373</v>
      </c>
      <c r="L67" s="99">
        <v>40180646</v>
      </c>
      <c r="M67" s="18">
        <f>INT(L67*0.1)</f>
        <v>4018064</v>
      </c>
      <c r="N67" s="35">
        <v>45545</v>
      </c>
      <c r="O67" s="18">
        <v>44198711</v>
      </c>
      <c r="P67" s="35"/>
      <c r="Q67" s="18"/>
      <c r="R67" s="18">
        <f t="shared" ref="R67:R84" si="30">INT(O67+Q67)</f>
        <v>44198711</v>
      </c>
      <c r="S67" s="18">
        <f t="shared" ref="S67:S84" si="31">INT(T67-R67)</f>
        <v>-1</v>
      </c>
      <c r="T67" s="18">
        <f t="shared" si="3"/>
        <v>44198710</v>
      </c>
      <c r="U67" s="17">
        <v>45541</v>
      </c>
      <c r="V67" s="22" t="s">
        <v>3026</v>
      </c>
      <c r="W67" s="38"/>
      <c r="X67" s="122"/>
      <c r="Y67" s="19"/>
    </row>
    <row r="68" spans="2:25" s="20" customFormat="1" ht="17.100000000000001" customHeight="1" x14ac:dyDescent="0.3">
      <c r="B68" s="266"/>
      <c r="C68" s="274"/>
      <c r="D68" s="17" t="s">
        <v>3015</v>
      </c>
      <c r="E68" s="91" t="s">
        <v>3017</v>
      </c>
      <c r="F68" s="272"/>
      <c r="G68" s="15"/>
      <c r="H68" s="272"/>
      <c r="I68" s="270"/>
      <c r="J68" s="268"/>
      <c r="K68" s="19">
        <f t="shared" si="29"/>
        <v>644311818</v>
      </c>
      <c r="L68" s="99">
        <v>56858445</v>
      </c>
      <c r="M68" s="18">
        <f t="shared" ref="M68:M88" si="32">INT(L68*0.1)</f>
        <v>5685844</v>
      </c>
      <c r="N68" s="35">
        <v>45565</v>
      </c>
      <c r="O68" s="18">
        <v>62544290</v>
      </c>
      <c r="P68" s="35"/>
      <c r="Q68" s="18"/>
      <c r="R68" s="18">
        <f t="shared" si="30"/>
        <v>62544290</v>
      </c>
      <c r="S68" s="18">
        <f t="shared" si="31"/>
        <v>-1</v>
      </c>
      <c r="T68" s="18">
        <f t="shared" si="3"/>
        <v>62544289</v>
      </c>
      <c r="U68" s="17">
        <v>45560</v>
      </c>
      <c r="V68" s="22" t="s">
        <v>3027</v>
      </c>
      <c r="W68" s="38"/>
      <c r="X68" s="122"/>
      <c r="Y68" s="19"/>
    </row>
    <row r="69" spans="2:25" s="20" customFormat="1" ht="17.100000000000001" customHeight="1" x14ac:dyDescent="0.3">
      <c r="B69" s="266"/>
      <c r="C69" s="274"/>
      <c r="D69" s="17" t="s">
        <v>3015</v>
      </c>
      <c r="E69" s="91" t="s">
        <v>3019</v>
      </c>
      <c r="F69" s="272"/>
      <c r="G69" s="15"/>
      <c r="H69" s="272"/>
      <c r="I69" s="270"/>
      <c r="J69" s="268"/>
      <c r="K69" s="19">
        <f t="shared" si="29"/>
        <v>665548009</v>
      </c>
      <c r="L69" s="99">
        <v>21236191</v>
      </c>
      <c r="M69" s="18">
        <f t="shared" si="32"/>
        <v>2123619</v>
      </c>
      <c r="N69" s="35">
        <v>45575</v>
      </c>
      <c r="O69" s="18">
        <v>23359810</v>
      </c>
      <c r="P69" s="35"/>
      <c r="Q69" s="18"/>
      <c r="R69" s="18">
        <f t="shared" si="30"/>
        <v>23359810</v>
      </c>
      <c r="S69" s="18">
        <f t="shared" si="31"/>
        <v>0</v>
      </c>
      <c r="T69" s="18">
        <f t="shared" si="3"/>
        <v>23359810</v>
      </c>
      <c r="U69" s="17">
        <v>45573</v>
      </c>
      <c r="V69" s="22" t="s">
        <v>3028</v>
      </c>
      <c r="W69" s="38"/>
      <c r="X69" s="122"/>
      <c r="Y69" s="19"/>
    </row>
    <row r="70" spans="2:25" s="20" customFormat="1" ht="17.100000000000001" customHeight="1" x14ac:dyDescent="0.3">
      <c r="B70" s="266"/>
      <c r="C70" s="274"/>
      <c r="D70" s="17" t="s">
        <v>3015</v>
      </c>
      <c r="E70" s="91" t="s">
        <v>3020</v>
      </c>
      <c r="F70" s="272"/>
      <c r="G70" s="15"/>
      <c r="H70" s="272"/>
      <c r="I70" s="270"/>
      <c r="J70" s="268"/>
      <c r="K70" s="19">
        <f t="shared" si="29"/>
        <v>698363336</v>
      </c>
      <c r="L70" s="99">
        <v>32815327</v>
      </c>
      <c r="M70" s="18">
        <f t="shared" si="32"/>
        <v>3281532</v>
      </c>
      <c r="N70" s="35">
        <v>45604</v>
      </c>
      <c r="O70" s="18">
        <v>36096860</v>
      </c>
      <c r="P70" s="35"/>
      <c r="Q70" s="18"/>
      <c r="R70" s="18">
        <f t="shared" si="30"/>
        <v>36096860</v>
      </c>
      <c r="S70" s="18">
        <f t="shared" si="31"/>
        <v>-1</v>
      </c>
      <c r="T70" s="18">
        <f t="shared" si="3"/>
        <v>36096859</v>
      </c>
      <c r="U70" s="17">
        <v>45601</v>
      </c>
      <c r="V70" s="22" t="s">
        <v>3028</v>
      </c>
      <c r="W70" s="38"/>
      <c r="X70" s="122"/>
      <c r="Y70" s="19"/>
    </row>
    <row r="71" spans="2:25" s="20" customFormat="1" ht="17.100000000000001" customHeight="1" x14ac:dyDescent="0.3">
      <c r="B71" s="266"/>
      <c r="C71" s="274"/>
      <c r="D71" s="17" t="s">
        <v>3015</v>
      </c>
      <c r="E71" s="91" t="s">
        <v>3021</v>
      </c>
      <c r="F71" s="272"/>
      <c r="G71" s="15"/>
      <c r="H71" s="272"/>
      <c r="I71" s="270"/>
      <c r="J71" s="268"/>
      <c r="K71" s="19">
        <f t="shared" si="29"/>
        <v>746573336</v>
      </c>
      <c r="L71" s="99">
        <v>48210000</v>
      </c>
      <c r="M71" s="18">
        <f t="shared" si="32"/>
        <v>4821000</v>
      </c>
      <c r="N71" s="35">
        <v>45636</v>
      </c>
      <c r="O71" s="18">
        <v>53031000</v>
      </c>
      <c r="P71" s="35"/>
      <c r="Q71" s="18"/>
      <c r="R71" s="18">
        <f t="shared" si="30"/>
        <v>53031000</v>
      </c>
      <c r="S71" s="18">
        <f t="shared" si="31"/>
        <v>0</v>
      </c>
      <c r="T71" s="18">
        <f t="shared" si="3"/>
        <v>53031000</v>
      </c>
      <c r="U71" s="17">
        <v>45631</v>
      </c>
      <c r="V71" s="22" t="s">
        <v>3029</v>
      </c>
      <c r="W71" s="38"/>
      <c r="X71" s="122"/>
      <c r="Y71" s="19"/>
    </row>
    <row r="72" spans="2:25" s="20" customFormat="1" ht="17.100000000000001" customHeight="1" x14ac:dyDescent="0.3">
      <c r="B72" s="267"/>
      <c r="C72" s="275"/>
      <c r="D72" s="176" t="s">
        <v>3022</v>
      </c>
      <c r="E72" s="91"/>
      <c r="F72" s="272"/>
      <c r="G72" s="15"/>
      <c r="H72" s="272"/>
      <c r="I72" s="270"/>
      <c r="J72" s="252"/>
      <c r="K72" s="19">
        <f t="shared" si="29"/>
        <v>1956500000</v>
      </c>
      <c r="L72" s="99">
        <v>1209926664</v>
      </c>
      <c r="M72" s="18">
        <f t="shared" si="32"/>
        <v>120992666</v>
      </c>
      <c r="N72" s="35">
        <v>45653</v>
      </c>
      <c r="O72" s="18">
        <v>1330919330</v>
      </c>
      <c r="P72" s="35"/>
      <c r="Q72" s="18"/>
      <c r="R72" s="18">
        <f t="shared" si="30"/>
        <v>1330919330</v>
      </c>
      <c r="S72" s="18">
        <f t="shared" si="31"/>
        <v>0</v>
      </c>
      <c r="T72" s="18">
        <f t="shared" ref="T72:T85" si="33">L72+M72</f>
        <v>1330919330</v>
      </c>
      <c r="U72" s="17">
        <v>45651</v>
      </c>
      <c r="V72" s="22" t="s">
        <v>3018</v>
      </c>
      <c r="W72" s="38"/>
      <c r="X72" s="122"/>
      <c r="Y72" s="19"/>
    </row>
    <row r="73" spans="2:25" s="20" customFormat="1" ht="17.100000000000001" customHeight="1" x14ac:dyDescent="0.3">
      <c r="B73" s="265">
        <v>45692</v>
      </c>
      <c r="C73" s="273" t="s">
        <v>3013</v>
      </c>
      <c r="D73" s="17" t="s">
        <v>3012</v>
      </c>
      <c r="E73" s="91"/>
      <c r="F73" s="272"/>
      <c r="G73" s="15"/>
      <c r="H73" s="272"/>
      <c r="I73" s="270"/>
      <c r="J73" s="251">
        <v>2273000000</v>
      </c>
      <c r="K73" s="177">
        <v>1363818182</v>
      </c>
      <c r="L73" s="99">
        <v>1363818182</v>
      </c>
      <c r="M73" s="18">
        <f t="shared" si="32"/>
        <v>136381818</v>
      </c>
      <c r="N73" s="35">
        <v>45716</v>
      </c>
      <c r="O73" s="18">
        <v>1500200000</v>
      </c>
      <c r="P73" s="35"/>
      <c r="Q73" s="18"/>
      <c r="R73" s="18">
        <f t="shared" si="30"/>
        <v>1500200000</v>
      </c>
      <c r="S73" s="18">
        <f t="shared" si="31"/>
        <v>0</v>
      </c>
      <c r="T73" s="18">
        <f t="shared" ref="T73:T80" si="34">L73+M73</f>
        <v>1500200000</v>
      </c>
      <c r="U73" s="17">
        <v>45714</v>
      </c>
      <c r="V73" s="22" t="s">
        <v>3012</v>
      </c>
      <c r="W73" s="38"/>
      <c r="X73" s="122"/>
      <c r="Y73" s="19"/>
    </row>
    <row r="74" spans="2:25" s="20" customFormat="1" ht="17.100000000000001" customHeight="1" x14ac:dyDescent="0.3">
      <c r="B74" s="266"/>
      <c r="C74" s="274"/>
      <c r="D74" s="17" t="s">
        <v>3015</v>
      </c>
      <c r="E74" s="91" t="s">
        <v>3016</v>
      </c>
      <c r="F74" s="272"/>
      <c r="G74" s="15"/>
      <c r="H74" s="272"/>
      <c r="I74" s="270"/>
      <c r="J74" s="268"/>
      <c r="K74" s="19">
        <f t="shared" ref="K74:K82" si="35">K73+L74</f>
        <v>1457143182</v>
      </c>
      <c r="L74" s="99">
        <v>93325000</v>
      </c>
      <c r="M74" s="18">
        <f t="shared" si="32"/>
        <v>9332500</v>
      </c>
      <c r="N74" s="35">
        <v>45709</v>
      </c>
      <c r="O74" s="18">
        <v>102657500</v>
      </c>
      <c r="P74" s="35"/>
      <c r="Q74" s="18"/>
      <c r="R74" s="18">
        <f t="shared" si="30"/>
        <v>102657500</v>
      </c>
      <c r="S74" s="18">
        <f t="shared" si="31"/>
        <v>0</v>
      </c>
      <c r="T74" s="18">
        <f t="shared" si="34"/>
        <v>102657500</v>
      </c>
      <c r="U74" s="17">
        <v>45707</v>
      </c>
      <c r="V74" s="22" t="s">
        <v>3026</v>
      </c>
      <c r="W74" s="38"/>
      <c r="X74" s="122"/>
      <c r="Y74" s="19"/>
    </row>
    <row r="75" spans="2:25" s="20" customFormat="1" ht="17.100000000000001" customHeight="1" x14ac:dyDescent="0.3">
      <c r="B75" s="266"/>
      <c r="C75" s="274"/>
      <c r="D75" s="17" t="s">
        <v>3015</v>
      </c>
      <c r="E75" s="91" t="s">
        <v>3017</v>
      </c>
      <c r="F75" s="272"/>
      <c r="G75" s="15"/>
      <c r="H75" s="272"/>
      <c r="I75" s="270"/>
      <c r="J75" s="268"/>
      <c r="K75" s="19">
        <f t="shared" si="35"/>
        <v>1486401182</v>
      </c>
      <c r="L75" s="99">
        <v>29258000</v>
      </c>
      <c r="M75" s="18">
        <f t="shared" si="32"/>
        <v>2925800</v>
      </c>
      <c r="N75" s="35">
        <v>45730</v>
      </c>
      <c r="O75" s="18">
        <v>32183800</v>
      </c>
      <c r="P75" s="35"/>
      <c r="Q75" s="18"/>
      <c r="R75" s="18">
        <f t="shared" si="30"/>
        <v>32183800</v>
      </c>
      <c r="S75" s="18">
        <f t="shared" si="31"/>
        <v>0</v>
      </c>
      <c r="T75" s="18">
        <f t="shared" si="34"/>
        <v>32183800</v>
      </c>
      <c r="U75" s="17">
        <v>45728</v>
      </c>
      <c r="V75" s="22" t="s">
        <v>3026</v>
      </c>
      <c r="W75" s="38"/>
      <c r="X75" s="122"/>
      <c r="Y75" s="19"/>
    </row>
    <row r="76" spans="2:25" s="20" customFormat="1" ht="17.100000000000001" customHeight="1" x14ac:dyDescent="0.3">
      <c r="B76" s="266"/>
      <c r="C76" s="274"/>
      <c r="D76" s="17" t="s">
        <v>3015</v>
      </c>
      <c r="E76" s="91" t="s">
        <v>3023</v>
      </c>
      <c r="F76" s="272"/>
      <c r="G76" s="15"/>
      <c r="H76" s="272"/>
      <c r="I76" s="270"/>
      <c r="J76" s="268"/>
      <c r="K76" s="19">
        <f t="shared" si="35"/>
        <v>1487618182</v>
      </c>
      <c r="L76" s="99">
        <v>1217000</v>
      </c>
      <c r="M76" s="18">
        <f t="shared" si="32"/>
        <v>121700</v>
      </c>
      <c r="N76" s="35">
        <v>45743</v>
      </c>
      <c r="O76" s="18">
        <v>1338700</v>
      </c>
      <c r="P76" s="35"/>
      <c r="Q76" s="18"/>
      <c r="R76" s="18">
        <f t="shared" si="30"/>
        <v>1338700</v>
      </c>
      <c r="S76" s="18">
        <f t="shared" si="31"/>
        <v>0</v>
      </c>
      <c r="T76" s="18">
        <f t="shared" si="34"/>
        <v>1338700</v>
      </c>
      <c r="U76" s="17">
        <v>45741</v>
      </c>
      <c r="V76" s="22" t="s">
        <v>3027</v>
      </c>
      <c r="W76" s="38"/>
      <c r="X76" s="122"/>
      <c r="Y76" s="19"/>
    </row>
    <row r="77" spans="2:25" s="20" customFormat="1" ht="17.100000000000001" customHeight="1" x14ac:dyDescent="0.3">
      <c r="B77" s="266"/>
      <c r="C77" s="274"/>
      <c r="D77" s="17" t="s">
        <v>3015</v>
      </c>
      <c r="E77" s="91" t="s">
        <v>3019</v>
      </c>
      <c r="F77" s="272"/>
      <c r="G77" s="15"/>
      <c r="H77" s="272"/>
      <c r="I77" s="270"/>
      <c r="J77" s="268"/>
      <c r="K77" s="19">
        <f t="shared" si="35"/>
        <v>1525503182</v>
      </c>
      <c r="L77" s="99">
        <v>37885000</v>
      </c>
      <c r="M77" s="18">
        <f t="shared" si="32"/>
        <v>3788500</v>
      </c>
      <c r="N77" s="35">
        <v>45756</v>
      </c>
      <c r="O77" s="18">
        <v>41673500</v>
      </c>
      <c r="P77" s="35"/>
      <c r="Q77" s="18"/>
      <c r="R77" s="18">
        <f t="shared" si="30"/>
        <v>41673500</v>
      </c>
      <c r="S77" s="18">
        <f t="shared" si="31"/>
        <v>0</v>
      </c>
      <c r="T77" s="18">
        <f t="shared" si="34"/>
        <v>41673500</v>
      </c>
      <c r="U77" s="17">
        <v>45754</v>
      </c>
      <c r="V77" s="22" t="s">
        <v>3028</v>
      </c>
      <c r="W77" s="38"/>
      <c r="X77" s="122"/>
      <c r="Y77" s="19"/>
    </row>
    <row r="78" spans="2:25" s="20" customFormat="1" ht="17.100000000000001" customHeight="1" x14ac:dyDescent="0.3">
      <c r="B78" s="266"/>
      <c r="C78" s="274"/>
      <c r="D78" s="17" t="s">
        <v>3015</v>
      </c>
      <c r="E78" s="91" t="s">
        <v>3020</v>
      </c>
      <c r="F78" s="272"/>
      <c r="G78" s="15"/>
      <c r="H78" s="272"/>
      <c r="I78" s="270"/>
      <c r="J78" s="268"/>
      <c r="K78" s="19">
        <f t="shared" si="35"/>
        <v>1535351182</v>
      </c>
      <c r="L78" s="99">
        <v>9848000</v>
      </c>
      <c r="M78" s="18">
        <f t="shared" si="32"/>
        <v>984800</v>
      </c>
      <c r="N78" s="35">
        <v>45786</v>
      </c>
      <c r="O78" s="18">
        <v>10832800</v>
      </c>
      <c r="P78" s="35"/>
      <c r="Q78" s="18"/>
      <c r="R78" s="18">
        <f t="shared" si="30"/>
        <v>10832800</v>
      </c>
      <c r="S78" s="18">
        <f t="shared" si="31"/>
        <v>0</v>
      </c>
      <c r="T78" s="18">
        <f t="shared" si="34"/>
        <v>10832800</v>
      </c>
      <c r="U78" s="17">
        <v>45786</v>
      </c>
      <c r="V78" s="22" t="s">
        <v>3028</v>
      </c>
      <c r="W78" s="38"/>
      <c r="X78" s="122"/>
      <c r="Y78" s="19"/>
    </row>
    <row r="79" spans="2:25" s="20" customFormat="1" ht="17.100000000000001" customHeight="1" x14ac:dyDescent="0.3">
      <c r="B79" s="266"/>
      <c r="C79" s="274"/>
      <c r="D79" s="17" t="s">
        <v>3015</v>
      </c>
      <c r="E79" s="91" t="s">
        <v>3021</v>
      </c>
      <c r="F79" s="272"/>
      <c r="G79" s="15"/>
      <c r="H79" s="272"/>
      <c r="I79" s="270"/>
      <c r="J79" s="268"/>
      <c r="K79" s="19">
        <f t="shared" si="35"/>
        <v>1554491182</v>
      </c>
      <c r="L79" s="99">
        <v>19140000</v>
      </c>
      <c r="M79" s="18">
        <f t="shared" si="32"/>
        <v>1914000</v>
      </c>
      <c r="N79" s="35">
        <v>45819</v>
      </c>
      <c r="O79" s="18">
        <v>21054000</v>
      </c>
      <c r="P79" s="35"/>
      <c r="Q79" s="18"/>
      <c r="R79" s="18">
        <f t="shared" si="30"/>
        <v>21054000</v>
      </c>
      <c r="S79" s="18">
        <f t="shared" si="31"/>
        <v>0</v>
      </c>
      <c r="T79" s="18">
        <f t="shared" si="34"/>
        <v>21054000</v>
      </c>
      <c r="U79" s="17">
        <v>45817</v>
      </c>
      <c r="V79" s="22" t="s">
        <v>3028</v>
      </c>
      <c r="W79" s="38"/>
      <c r="X79" s="122"/>
      <c r="Y79" s="19"/>
    </row>
    <row r="80" spans="2:25" s="20" customFormat="1" ht="17.100000000000001" customHeight="1" x14ac:dyDescent="0.3">
      <c r="B80" s="266"/>
      <c r="C80" s="274"/>
      <c r="D80" s="17" t="s">
        <v>3015</v>
      </c>
      <c r="E80" s="91" t="s">
        <v>3024</v>
      </c>
      <c r="F80" s="272"/>
      <c r="G80" s="15"/>
      <c r="H80" s="272"/>
      <c r="I80" s="270"/>
      <c r="J80" s="268"/>
      <c r="K80" s="19">
        <f t="shared" si="35"/>
        <v>1613163637</v>
      </c>
      <c r="L80" s="99">
        <v>58672455</v>
      </c>
      <c r="M80" s="18">
        <f t="shared" si="32"/>
        <v>5867245</v>
      </c>
      <c r="N80" s="35">
        <v>45835</v>
      </c>
      <c r="O80" s="18">
        <v>64539700</v>
      </c>
      <c r="P80" s="35"/>
      <c r="Q80" s="18"/>
      <c r="R80" s="18">
        <f t="shared" si="30"/>
        <v>64539700</v>
      </c>
      <c r="S80" s="18">
        <f t="shared" si="31"/>
        <v>0</v>
      </c>
      <c r="T80" s="18">
        <f t="shared" si="34"/>
        <v>64539700</v>
      </c>
      <c r="U80" s="17">
        <v>45831</v>
      </c>
      <c r="V80" s="22" t="s">
        <v>3029</v>
      </c>
      <c r="W80" s="38"/>
      <c r="X80" s="122"/>
      <c r="Y80" s="19"/>
    </row>
    <row r="81" spans="2:26" s="20" customFormat="1" ht="17.100000000000001" customHeight="1" x14ac:dyDescent="0.3">
      <c r="B81" s="266"/>
      <c r="C81" s="274"/>
      <c r="D81" s="17" t="s">
        <v>3015</v>
      </c>
      <c r="E81" s="91" t="s">
        <v>3050</v>
      </c>
      <c r="F81" s="272"/>
      <c r="G81" s="15"/>
      <c r="H81" s="272"/>
      <c r="I81" s="270"/>
      <c r="J81" s="268"/>
      <c r="K81" s="19">
        <f t="shared" si="35"/>
        <v>1634631637</v>
      </c>
      <c r="L81" s="99">
        <v>21468000</v>
      </c>
      <c r="M81" s="18">
        <f t="shared" si="32"/>
        <v>2146800</v>
      </c>
      <c r="N81" s="35">
        <v>45847</v>
      </c>
      <c r="O81" s="18">
        <v>23614800</v>
      </c>
      <c r="P81" s="35"/>
      <c r="Q81" s="18"/>
      <c r="R81" s="18">
        <f t="shared" si="30"/>
        <v>23614800</v>
      </c>
      <c r="S81" s="18">
        <f t="shared" si="31"/>
        <v>0</v>
      </c>
      <c r="T81" s="18">
        <f t="shared" si="33"/>
        <v>23614800</v>
      </c>
      <c r="U81" s="17">
        <v>45845</v>
      </c>
      <c r="V81" s="22" t="s">
        <v>3051</v>
      </c>
      <c r="W81" s="38"/>
      <c r="X81" s="122"/>
      <c r="Y81" s="19"/>
    </row>
    <row r="82" spans="2:26" s="20" customFormat="1" ht="17.100000000000001" customHeight="1" x14ac:dyDescent="0.3">
      <c r="B82" s="266"/>
      <c r="C82" s="274"/>
      <c r="D82" s="17" t="s">
        <v>995</v>
      </c>
      <c r="E82" s="91" t="s">
        <v>3108</v>
      </c>
      <c r="F82" s="272"/>
      <c r="G82" s="15"/>
      <c r="H82" s="272"/>
      <c r="I82" s="270"/>
      <c r="J82" s="268"/>
      <c r="K82" s="19">
        <f t="shared" si="35"/>
        <v>1647527637</v>
      </c>
      <c r="L82" s="99">
        <v>12895999.999999998</v>
      </c>
      <c r="M82" s="18">
        <f t="shared" si="32"/>
        <v>1289600</v>
      </c>
      <c r="N82" s="35">
        <v>45876</v>
      </c>
      <c r="O82" s="18">
        <v>14185600</v>
      </c>
      <c r="P82" s="35"/>
      <c r="Q82" s="18"/>
      <c r="R82" s="18">
        <f t="shared" si="30"/>
        <v>14185600</v>
      </c>
      <c r="S82" s="18">
        <f t="shared" si="31"/>
        <v>-1</v>
      </c>
      <c r="T82" s="18">
        <f t="shared" si="33"/>
        <v>14185599.999999998</v>
      </c>
      <c r="U82" s="17">
        <v>45874</v>
      </c>
      <c r="V82" s="22" t="s">
        <v>3107</v>
      </c>
      <c r="W82" s="38"/>
      <c r="X82" s="122"/>
      <c r="Y82" s="19"/>
    </row>
    <row r="83" spans="2:26" s="20" customFormat="1" ht="17.100000000000001" customHeight="1" x14ac:dyDescent="0.3">
      <c r="B83" s="266"/>
      <c r="C83" s="274"/>
      <c r="D83" s="17" t="s">
        <v>995</v>
      </c>
      <c r="E83" s="91" t="s">
        <v>1435</v>
      </c>
      <c r="F83" s="272"/>
      <c r="G83" s="15"/>
      <c r="H83" s="272"/>
      <c r="I83" s="270"/>
      <c r="J83" s="268"/>
      <c r="K83" s="19">
        <f t="shared" ref="K83:K88" si="36">K82+L83</f>
        <v>1660907637</v>
      </c>
      <c r="L83" s="99">
        <v>13380000</v>
      </c>
      <c r="M83" s="18">
        <f t="shared" si="32"/>
        <v>1338000</v>
      </c>
      <c r="N83" s="35">
        <v>45910</v>
      </c>
      <c r="O83" s="18">
        <v>14718000</v>
      </c>
      <c r="P83" s="35"/>
      <c r="Q83" s="18"/>
      <c r="R83" s="18">
        <f t="shared" si="30"/>
        <v>14718000</v>
      </c>
      <c r="S83" s="18">
        <f t="shared" si="31"/>
        <v>0</v>
      </c>
      <c r="T83" s="18">
        <f t="shared" si="33"/>
        <v>14718000</v>
      </c>
      <c r="U83" s="17">
        <v>45909</v>
      </c>
      <c r="V83" s="22" t="s">
        <v>3211</v>
      </c>
      <c r="W83" s="38"/>
      <c r="X83" s="122"/>
      <c r="Y83" s="19"/>
      <c r="Z83" s="17"/>
    </row>
    <row r="84" spans="2:26" s="20" customFormat="1" ht="17.100000000000001" customHeight="1" x14ac:dyDescent="0.3">
      <c r="B84" s="266"/>
      <c r="C84" s="274"/>
      <c r="D84" s="17"/>
      <c r="E84" s="91"/>
      <c r="F84" s="272"/>
      <c r="G84" s="15"/>
      <c r="H84" s="272"/>
      <c r="I84" s="270"/>
      <c r="J84" s="268"/>
      <c r="K84" s="19">
        <f t="shared" si="36"/>
        <v>1661816727.909091</v>
      </c>
      <c r="L84" s="99">
        <f>1000000/1.1</f>
        <v>909090.90909090906</v>
      </c>
      <c r="M84" s="18">
        <f t="shared" si="32"/>
        <v>90909</v>
      </c>
      <c r="N84" s="35">
        <v>45926</v>
      </c>
      <c r="O84" s="18">
        <v>1000000</v>
      </c>
      <c r="P84" s="35"/>
      <c r="Q84" s="18"/>
      <c r="R84" s="18">
        <f t="shared" si="30"/>
        <v>1000000</v>
      </c>
      <c r="S84" s="18">
        <f t="shared" si="31"/>
        <v>-1</v>
      </c>
      <c r="T84" s="18">
        <f t="shared" si="33"/>
        <v>999999.90909090906</v>
      </c>
      <c r="U84" s="17">
        <v>45923</v>
      </c>
      <c r="V84" s="22" t="s">
        <v>3544</v>
      </c>
      <c r="W84" s="38"/>
      <c r="X84" s="122"/>
      <c r="Y84" s="19"/>
      <c r="Z84" s="17"/>
    </row>
    <row r="85" spans="2:26" s="20" customFormat="1" ht="17.100000000000001" customHeight="1" x14ac:dyDescent="0.3">
      <c r="B85" s="266"/>
      <c r="C85" s="274"/>
      <c r="D85" s="17" t="s">
        <v>995</v>
      </c>
      <c r="E85" s="91" t="s">
        <v>3273</v>
      </c>
      <c r="F85" s="272"/>
      <c r="G85" s="15"/>
      <c r="H85" s="272"/>
      <c r="I85" s="270"/>
      <c r="J85" s="268"/>
      <c r="K85" s="19">
        <f t="shared" si="36"/>
        <v>1700984927.909091</v>
      </c>
      <c r="L85" s="99">
        <v>39168200</v>
      </c>
      <c r="M85" s="18">
        <f t="shared" si="32"/>
        <v>3916820</v>
      </c>
      <c r="N85" s="35">
        <v>45951</v>
      </c>
      <c r="O85" s="18">
        <v>43085020</v>
      </c>
      <c r="P85" s="35"/>
      <c r="Q85" s="18"/>
      <c r="R85" s="18">
        <f t="shared" ref="R85" si="37">O85+Q85</f>
        <v>43085020</v>
      </c>
      <c r="S85" s="18">
        <f t="shared" ref="S85" si="38">T85-R85</f>
        <v>0</v>
      </c>
      <c r="T85" s="18">
        <f t="shared" si="33"/>
        <v>43085020</v>
      </c>
      <c r="U85" s="17">
        <v>45945</v>
      </c>
      <c r="V85" s="22" t="s">
        <v>3272</v>
      </c>
      <c r="W85" s="38"/>
      <c r="X85" s="122"/>
      <c r="Y85" s="19"/>
    </row>
    <row r="86" spans="2:26" s="20" customFormat="1" ht="17.100000000000001" customHeight="1" x14ac:dyDescent="0.3">
      <c r="B86" s="266"/>
      <c r="C86" s="274"/>
      <c r="D86" s="17"/>
      <c r="E86" s="91"/>
      <c r="F86" s="272"/>
      <c r="G86" s="15"/>
      <c r="H86" s="272"/>
      <c r="I86" s="270"/>
      <c r="J86" s="268"/>
      <c r="K86" s="19">
        <f t="shared" si="36"/>
        <v>1736014927.909091</v>
      </c>
      <c r="L86" s="99">
        <f>38533000/1.1</f>
        <v>35030000</v>
      </c>
      <c r="M86" s="18">
        <f t="shared" si="32"/>
        <v>3503000</v>
      </c>
      <c r="N86" s="35">
        <v>45968</v>
      </c>
      <c r="O86" s="18">
        <v>38533000</v>
      </c>
      <c r="P86" s="35"/>
      <c r="Q86" s="18"/>
      <c r="R86" s="18">
        <f t="shared" si="1"/>
        <v>38533000</v>
      </c>
      <c r="S86" s="18">
        <f t="shared" si="2"/>
        <v>0</v>
      </c>
      <c r="T86" s="18">
        <f t="shared" si="3"/>
        <v>38533000</v>
      </c>
      <c r="U86" s="17">
        <v>45967</v>
      </c>
      <c r="V86" s="22" t="s">
        <v>3340</v>
      </c>
      <c r="W86" s="38"/>
      <c r="X86" s="122"/>
      <c r="Y86" s="19"/>
      <c r="Z86" s="45"/>
    </row>
    <row r="87" spans="2:26" s="20" customFormat="1" ht="17.100000000000001" customHeight="1" x14ac:dyDescent="0.3">
      <c r="B87" s="266"/>
      <c r="C87" s="274"/>
      <c r="D87" s="17"/>
      <c r="E87" s="91"/>
      <c r="F87" s="272"/>
      <c r="G87" s="15"/>
      <c r="H87" s="272"/>
      <c r="I87" s="270"/>
      <c r="J87" s="268"/>
      <c r="K87" s="19">
        <f t="shared" si="36"/>
        <v>1812569927.909091</v>
      </c>
      <c r="L87" s="99">
        <f>84210500/1.1</f>
        <v>76555000</v>
      </c>
      <c r="M87" s="18">
        <f t="shared" si="32"/>
        <v>7655500</v>
      </c>
      <c r="N87" s="35">
        <v>46003</v>
      </c>
      <c r="O87" s="18">
        <v>84210500</v>
      </c>
      <c r="P87" s="35"/>
      <c r="Q87" s="18"/>
      <c r="R87" s="18">
        <f t="shared" ref="R87" si="39">O87+Q87</f>
        <v>84210500</v>
      </c>
      <c r="S87" s="18">
        <f t="shared" ref="S87" si="40">T87-R87</f>
        <v>0</v>
      </c>
      <c r="T87" s="18">
        <f t="shared" ref="T87" si="41">L87+M87</f>
        <v>84210500</v>
      </c>
      <c r="U87" s="17">
        <v>46000</v>
      </c>
      <c r="V87" s="22" t="s">
        <v>3458</v>
      </c>
      <c r="W87" s="38"/>
      <c r="X87" s="122"/>
      <c r="Y87" s="19"/>
      <c r="Z87" s="45"/>
    </row>
    <row r="88" spans="2:26" s="20" customFormat="1" ht="17.100000000000001" customHeight="1" x14ac:dyDescent="0.3">
      <c r="B88" s="267"/>
      <c r="C88" s="275"/>
      <c r="D88" s="17"/>
      <c r="E88" s="91"/>
      <c r="F88" s="260"/>
      <c r="G88" s="15"/>
      <c r="H88" s="260"/>
      <c r="I88" s="271"/>
      <c r="J88" s="252"/>
      <c r="K88" s="19">
        <f t="shared" si="36"/>
        <v>2070000000.6363637</v>
      </c>
      <c r="L88" s="99">
        <f>283173080/1.1</f>
        <v>257430072.72727272</v>
      </c>
      <c r="M88" s="18">
        <f t="shared" si="32"/>
        <v>25743007</v>
      </c>
      <c r="N88" s="35">
        <v>46015</v>
      </c>
      <c r="O88" s="18">
        <v>283173080</v>
      </c>
      <c r="P88" s="35"/>
      <c r="Q88" s="18"/>
      <c r="R88" s="18">
        <f t="shared" ref="R88" si="42">O88+Q88</f>
        <v>283173080</v>
      </c>
      <c r="S88" s="18">
        <f t="shared" ref="S88" si="43">T88-R88</f>
        <v>-0.27272725105285645</v>
      </c>
      <c r="T88" s="18">
        <f t="shared" ref="T88" si="44">L88+M88</f>
        <v>283173079.72727275</v>
      </c>
      <c r="U88" s="17">
        <v>46015</v>
      </c>
      <c r="V88" s="22" t="s">
        <v>3545</v>
      </c>
      <c r="W88" s="38"/>
      <c r="X88" s="122"/>
      <c r="Y88" s="19"/>
      <c r="Z88" s="45"/>
    </row>
    <row r="89" spans="2:26" s="20" customFormat="1" ht="17.100000000000001" customHeight="1" x14ac:dyDescent="0.3">
      <c r="B89" s="17"/>
      <c r="C89" s="94"/>
      <c r="D89" s="17"/>
      <c r="E89" s="91"/>
      <c r="F89" s="15"/>
      <c r="G89" s="15"/>
      <c r="H89" s="15"/>
      <c r="I89" s="29"/>
      <c r="J89" s="19"/>
      <c r="K89" s="19"/>
      <c r="L89" s="99"/>
      <c r="M89" s="18"/>
      <c r="N89" s="35"/>
      <c r="O89" s="18"/>
      <c r="P89" s="35"/>
      <c r="Q89" s="18"/>
      <c r="R89" s="18"/>
      <c r="S89" s="18"/>
      <c r="T89" s="18"/>
      <c r="U89" s="17"/>
      <c r="V89" s="22"/>
      <c r="W89" s="38"/>
      <c r="X89" s="122"/>
      <c r="Y89" s="19"/>
      <c r="Z89" s="45"/>
    </row>
    <row r="90" spans="2:26" s="20" customFormat="1" ht="17.100000000000001" customHeight="1" x14ac:dyDescent="0.3">
      <c r="B90" s="17"/>
      <c r="C90" s="94"/>
      <c r="D90" s="17"/>
      <c r="E90" s="91"/>
      <c r="F90" s="15"/>
      <c r="G90" s="15"/>
      <c r="H90" s="15"/>
      <c r="I90" s="29"/>
      <c r="J90" s="19"/>
      <c r="K90" s="19"/>
      <c r="L90" s="99"/>
      <c r="M90" s="18">
        <f t="shared" si="0"/>
        <v>0</v>
      </c>
      <c r="N90" s="35"/>
      <c r="O90" s="18"/>
      <c r="P90" s="35"/>
      <c r="Q90" s="18"/>
      <c r="R90" s="18">
        <f t="shared" si="1"/>
        <v>0</v>
      </c>
      <c r="S90" s="18">
        <f t="shared" si="2"/>
        <v>0</v>
      </c>
      <c r="T90" s="18">
        <f t="shared" si="3"/>
        <v>0</v>
      </c>
      <c r="U90" s="17"/>
      <c r="V90" s="22"/>
      <c r="W90" s="38"/>
      <c r="X90" s="122"/>
      <c r="Y90" s="19"/>
      <c r="Z90" s="45"/>
    </row>
    <row r="91" spans="2:26" s="20" customFormat="1" ht="17.100000000000001" hidden="1" customHeight="1" x14ac:dyDescent="0.3">
      <c r="B91" s="17"/>
      <c r="C91" s="94"/>
      <c r="D91" s="17"/>
      <c r="E91" s="91"/>
      <c r="F91" s="15"/>
      <c r="G91" s="15"/>
      <c r="H91" s="15"/>
      <c r="I91" s="15"/>
      <c r="J91" s="19"/>
      <c r="K91" s="19"/>
      <c r="L91" s="99"/>
      <c r="M91" s="18">
        <f t="shared" si="0"/>
        <v>0</v>
      </c>
      <c r="N91" s="35"/>
      <c r="O91" s="18"/>
      <c r="P91" s="35"/>
      <c r="Q91" s="18"/>
      <c r="R91" s="18">
        <f t="shared" si="1"/>
        <v>0</v>
      </c>
      <c r="S91" s="18">
        <f t="shared" si="2"/>
        <v>0</v>
      </c>
      <c r="T91" s="18">
        <f t="shared" si="3"/>
        <v>0</v>
      </c>
      <c r="U91" s="17"/>
      <c r="V91" s="22"/>
      <c r="W91" s="38"/>
      <c r="X91" s="122"/>
      <c r="Y91" s="19"/>
    </row>
    <row r="92" spans="2:26" s="20" customFormat="1" ht="17.100000000000001" hidden="1" customHeight="1" x14ac:dyDescent="0.3">
      <c r="B92" s="17"/>
      <c r="C92" s="94"/>
      <c r="D92" s="17"/>
      <c r="E92" s="91"/>
      <c r="F92" s="15"/>
      <c r="G92" s="15"/>
      <c r="H92" s="15"/>
      <c r="I92" s="15"/>
      <c r="J92" s="19"/>
      <c r="K92" s="19"/>
      <c r="L92" s="99"/>
      <c r="M92" s="18">
        <f t="shared" si="0"/>
        <v>0</v>
      </c>
      <c r="N92" s="35"/>
      <c r="O92" s="18"/>
      <c r="P92" s="35"/>
      <c r="Q92" s="18"/>
      <c r="R92" s="18">
        <f t="shared" si="1"/>
        <v>0</v>
      </c>
      <c r="S92" s="18">
        <f t="shared" si="2"/>
        <v>0</v>
      </c>
      <c r="T92" s="18">
        <f t="shared" si="3"/>
        <v>0</v>
      </c>
      <c r="U92" s="17"/>
      <c r="V92" s="22"/>
      <c r="W92" s="38"/>
      <c r="X92" s="122"/>
      <c r="Y92" s="19"/>
    </row>
    <row r="93" spans="2:26" s="20" customFormat="1" ht="17.100000000000001" hidden="1" customHeight="1" x14ac:dyDescent="0.3">
      <c r="B93" s="17"/>
      <c r="C93" s="94"/>
      <c r="D93" s="17"/>
      <c r="E93" s="91"/>
      <c r="F93" s="15"/>
      <c r="G93" s="15"/>
      <c r="H93" s="15"/>
      <c r="I93" s="29"/>
      <c r="J93" s="19"/>
      <c r="K93" s="19"/>
      <c r="L93" s="99"/>
      <c r="M93" s="18">
        <f t="shared" si="0"/>
        <v>0</v>
      </c>
      <c r="N93" s="35"/>
      <c r="O93" s="18"/>
      <c r="P93" s="35"/>
      <c r="Q93" s="18"/>
      <c r="R93" s="18">
        <f t="shared" si="1"/>
        <v>0</v>
      </c>
      <c r="S93" s="18">
        <f t="shared" si="2"/>
        <v>0</v>
      </c>
      <c r="T93" s="18">
        <f t="shared" si="3"/>
        <v>0</v>
      </c>
      <c r="U93" s="17"/>
      <c r="V93" s="22"/>
      <c r="W93" s="38"/>
      <c r="X93" s="122"/>
      <c r="Y93" s="19"/>
    </row>
    <row r="94" spans="2:26" s="20" customFormat="1" ht="17.100000000000001" hidden="1" customHeight="1" x14ac:dyDescent="0.3">
      <c r="B94" s="17"/>
      <c r="C94" s="94"/>
      <c r="D94" s="17"/>
      <c r="E94" s="91"/>
      <c r="F94" s="15"/>
      <c r="G94" s="15"/>
      <c r="H94" s="15"/>
      <c r="I94" s="29"/>
      <c r="J94" s="19"/>
      <c r="K94" s="19"/>
      <c r="L94" s="99"/>
      <c r="M94" s="18">
        <f t="shared" si="0"/>
        <v>0</v>
      </c>
      <c r="N94" s="35"/>
      <c r="O94" s="18"/>
      <c r="P94" s="35"/>
      <c r="Q94" s="18"/>
      <c r="R94" s="18">
        <f t="shared" si="1"/>
        <v>0</v>
      </c>
      <c r="S94" s="18">
        <f t="shared" si="2"/>
        <v>0</v>
      </c>
      <c r="T94" s="18">
        <f t="shared" si="3"/>
        <v>0</v>
      </c>
      <c r="U94" s="17"/>
      <c r="V94" s="22"/>
      <c r="W94" s="38"/>
      <c r="X94" s="122"/>
      <c r="Y94" s="19"/>
      <c r="Z94" s="45"/>
    </row>
    <row r="95" spans="2:26" s="20" customFormat="1" ht="17.100000000000001" hidden="1" customHeight="1" x14ac:dyDescent="0.3">
      <c r="B95" s="17"/>
      <c r="C95" s="94"/>
      <c r="D95" s="17"/>
      <c r="E95" s="91"/>
      <c r="F95" s="15"/>
      <c r="G95" s="15"/>
      <c r="H95" s="15"/>
      <c r="I95" s="29"/>
      <c r="J95" s="19"/>
      <c r="K95" s="19"/>
      <c r="L95" s="99"/>
      <c r="M95" s="18">
        <f t="shared" si="0"/>
        <v>0</v>
      </c>
      <c r="N95" s="35"/>
      <c r="O95" s="18"/>
      <c r="P95" s="35"/>
      <c r="Q95" s="18"/>
      <c r="R95" s="18">
        <f t="shared" si="1"/>
        <v>0</v>
      </c>
      <c r="S95" s="18">
        <f t="shared" si="2"/>
        <v>0</v>
      </c>
      <c r="T95" s="18">
        <f t="shared" si="3"/>
        <v>0</v>
      </c>
      <c r="U95" s="17"/>
      <c r="V95" s="22"/>
      <c r="W95" s="38"/>
      <c r="X95" s="122"/>
      <c r="Y95" s="19"/>
    </row>
    <row r="96" spans="2:26" s="20" customFormat="1" ht="17.100000000000001" hidden="1" customHeight="1" x14ac:dyDescent="0.3">
      <c r="B96" s="17"/>
      <c r="C96" s="94"/>
      <c r="D96" s="17"/>
      <c r="E96" s="91"/>
      <c r="F96" s="15"/>
      <c r="G96" s="15"/>
      <c r="H96" s="15"/>
      <c r="I96" s="29"/>
      <c r="J96" s="19"/>
      <c r="K96" s="19"/>
      <c r="L96" s="99"/>
      <c r="M96" s="18">
        <f t="shared" si="0"/>
        <v>0</v>
      </c>
      <c r="N96" s="35"/>
      <c r="O96" s="18"/>
      <c r="P96" s="35"/>
      <c r="Q96" s="18"/>
      <c r="R96" s="18">
        <f t="shared" si="1"/>
        <v>0</v>
      </c>
      <c r="S96" s="18">
        <f t="shared" si="2"/>
        <v>0</v>
      </c>
      <c r="T96" s="18">
        <f t="shared" si="3"/>
        <v>0</v>
      </c>
      <c r="U96" s="17"/>
      <c r="V96" s="22"/>
      <c r="W96" s="38"/>
      <c r="X96" s="122"/>
      <c r="Y96" s="19"/>
      <c r="Z96" s="45"/>
    </row>
    <row r="97" spans="2:26" s="20" customFormat="1" ht="17.100000000000001" hidden="1" customHeight="1" x14ac:dyDescent="0.3">
      <c r="B97" s="17"/>
      <c r="C97" s="94"/>
      <c r="D97" s="17"/>
      <c r="E97" s="91"/>
      <c r="F97" s="15"/>
      <c r="G97" s="15"/>
      <c r="H97" s="15"/>
      <c r="I97" s="29"/>
      <c r="J97" s="19"/>
      <c r="K97" s="19"/>
      <c r="L97" s="99"/>
      <c r="M97" s="18">
        <f t="shared" si="0"/>
        <v>0</v>
      </c>
      <c r="N97" s="35"/>
      <c r="O97" s="18"/>
      <c r="P97" s="35"/>
      <c r="Q97" s="18"/>
      <c r="R97" s="18">
        <f t="shared" si="1"/>
        <v>0</v>
      </c>
      <c r="S97" s="18">
        <f t="shared" si="2"/>
        <v>0</v>
      </c>
      <c r="T97" s="18">
        <f t="shared" si="3"/>
        <v>0</v>
      </c>
      <c r="U97" s="17"/>
      <c r="V97" s="22"/>
      <c r="W97" s="38"/>
      <c r="X97" s="122"/>
      <c r="Y97" s="19"/>
    </row>
    <row r="98" spans="2:26" s="20" customFormat="1" ht="17.100000000000001" hidden="1" customHeight="1" x14ac:dyDescent="0.3">
      <c r="B98" s="17"/>
      <c r="C98" s="94"/>
      <c r="D98" s="17"/>
      <c r="E98" s="91"/>
      <c r="F98" s="15"/>
      <c r="G98" s="15"/>
      <c r="H98" s="15"/>
      <c r="I98" s="29"/>
      <c r="J98" s="19"/>
      <c r="K98" s="19"/>
      <c r="L98" s="99"/>
      <c r="M98" s="18">
        <f t="shared" si="0"/>
        <v>0</v>
      </c>
      <c r="N98" s="35"/>
      <c r="O98" s="18"/>
      <c r="P98" s="35"/>
      <c r="Q98" s="18"/>
      <c r="R98" s="18">
        <f t="shared" si="1"/>
        <v>0</v>
      </c>
      <c r="S98" s="18">
        <f t="shared" si="2"/>
        <v>0</v>
      </c>
      <c r="T98" s="18">
        <f t="shared" si="3"/>
        <v>0</v>
      </c>
      <c r="U98" s="17"/>
      <c r="V98" s="22"/>
      <c r="W98" s="38"/>
      <c r="X98" s="122"/>
      <c r="Y98" s="19"/>
    </row>
    <row r="99" spans="2:26" s="20" customFormat="1" ht="17.100000000000001" hidden="1" customHeight="1" x14ac:dyDescent="0.3">
      <c r="B99" s="17"/>
      <c r="C99" s="94"/>
      <c r="D99" s="17"/>
      <c r="E99" s="91"/>
      <c r="F99" s="15"/>
      <c r="G99" s="15"/>
      <c r="H99" s="15"/>
      <c r="I99" s="29"/>
      <c r="J99" s="19"/>
      <c r="K99" s="19"/>
      <c r="L99" s="99"/>
      <c r="M99" s="18">
        <f t="shared" si="0"/>
        <v>0</v>
      </c>
      <c r="N99" s="35"/>
      <c r="O99" s="18"/>
      <c r="P99" s="35"/>
      <c r="Q99" s="18"/>
      <c r="R99" s="18">
        <f t="shared" si="1"/>
        <v>0</v>
      </c>
      <c r="S99" s="18">
        <f t="shared" si="2"/>
        <v>0</v>
      </c>
      <c r="T99" s="18">
        <f t="shared" si="3"/>
        <v>0</v>
      </c>
      <c r="U99" s="17"/>
      <c r="V99" s="22"/>
      <c r="W99" s="38"/>
      <c r="X99" s="122"/>
      <c r="Y99" s="19"/>
    </row>
    <row r="100" spans="2:26" s="20" customFormat="1" ht="17.100000000000001" hidden="1" customHeight="1" x14ac:dyDescent="0.3">
      <c r="B100" s="17"/>
      <c r="C100" s="94"/>
      <c r="D100" s="17"/>
      <c r="E100" s="91"/>
      <c r="F100" s="15"/>
      <c r="G100" s="15"/>
      <c r="H100" s="15"/>
      <c r="I100" s="29"/>
      <c r="J100" s="19"/>
      <c r="K100" s="19"/>
      <c r="L100" s="99"/>
      <c r="M100" s="18">
        <f t="shared" si="0"/>
        <v>0</v>
      </c>
      <c r="N100" s="35"/>
      <c r="O100" s="18"/>
      <c r="P100" s="35"/>
      <c r="Q100" s="18"/>
      <c r="R100" s="18">
        <f t="shared" si="1"/>
        <v>0</v>
      </c>
      <c r="S100" s="18">
        <f t="shared" si="2"/>
        <v>0</v>
      </c>
      <c r="T100" s="18">
        <f t="shared" si="3"/>
        <v>0</v>
      </c>
      <c r="U100" s="17"/>
      <c r="V100" s="22"/>
      <c r="W100" s="38"/>
      <c r="X100" s="122"/>
      <c r="Y100" s="19"/>
    </row>
    <row r="101" spans="2:26" s="20" customFormat="1" ht="17.100000000000001" hidden="1" customHeight="1" x14ac:dyDescent="0.3">
      <c r="B101" s="17"/>
      <c r="C101" s="94"/>
      <c r="D101" s="17"/>
      <c r="E101" s="91"/>
      <c r="F101" s="15"/>
      <c r="G101" s="15"/>
      <c r="H101" s="15"/>
      <c r="I101" s="29"/>
      <c r="J101" s="19"/>
      <c r="K101" s="19"/>
      <c r="L101" s="99"/>
      <c r="M101" s="18">
        <f t="shared" si="0"/>
        <v>0</v>
      </c>
      <c r="N101" s="35"/>
      <c r="O101" s="18"/>
      <c r="P101" s="35"/>
      <c r="Q101" s="18"/>
      <c r="R101" s="18">
        <f t="shared" si="1"/>
        <v>0</v>
      </c>
      <c r="S101" s="18">
        <f t="shared" si="2"/>
        <v>0</v>
      </c>
      <c r="T101" s="18">
        <f t="shared" si="3"/>
        <v>0</v>
      </c>
      <c r="U101" s="17"/>
      <c r="V101" s="22"/>
      <c r="W101" s="38"/>
      <c r="X101" s="122"/>
      <c r="Y101" s="19"/>
    </row>
    <row r="102" spans="2:26" s="20" customFormat="1" ht="17.100000000000001" hidden="1" customHeight="1" x14ac:dyDescent="0.3">
      <c r="B102" s="17"/>
      <c r="C102" s="94"/>
      <c r="D102" s="17"/>
      <c r="E102" s="91"/>
      <c r="F102" s="15"/>
      <c r="G102" s="15"/>
      <c r="H102" s="15"/>
      <c r="I102" s="29"/>
      <c r="J102" s="19"/>
      <c r="K102" s="19"/>
      <c r="L102" s="99"/>
      <c r="M102" s="18">
        <f t="shared" si="0"/>
        <v>0</v>
      </c>
      <c r="N102" s="35"/>
      <c r="O102" s="18"/>
      <c r="P102" s="35"/>
      <c r="Q102" s="18"/>
      <c r="R102" s="18">
        <f t="shared" si="1"/>
        <v>0</v>
      </c>
      <c r="S102" s="18">
        <f t="shared" si="2"/>
        <v>0</v>
      </c>
      <c r="T102" s="18">
        <f t="shared" si="3"/>
        <v>0</v>
      </c>
      <c r="U102" s="17"/>
      <c r="V102" s="22"/>
      <c r="W102" s="38"/>
      <c r="X102" s="122"/>
      <c r="Y102" s="19"/>
    </row>
    <row r="103" spans="2:26" s="20" customFormat="1" ht="17.100000000000001" hidden="1" customHeight="1" x14ac:dyDescent="0.3">
      <c r="B103" s="17"/>
      <c r="C103" s="94"/>
      <c r="D103" s="17"/>
      <c r="E103" s="91"/>
      <c r="F103" s="15"/>
      <c r="G103" s="15"/>
      <c r="H103" s="15"/>
      <c r="I103" s="29"/>
      <c r="J103" s="19"/>
      <c r="K103" s="19"/>
      <c r="L103" s="99"/>
      <c r="M103" s="18">
        <f t="shared" si="0"/>
        <v>0</v>
      </c>
      <c r="N103" s="35"/>
      <c r="O103" s="18"/>
      <c r="P103" s="35"/>
      <c r="Q103" s="18"/>
      <c r="R103" s="18">
        <f t="shared" si="1"/>
        <v>0</v>
      </c>
      <c r="S103" s="18">
        <f t="shared" si="2"/>
        <v>0</v>
      </c>
      <c r="T103" s="18">
        <f t="shared" si="3"/>
        <v>0</v>
      </c>
      <c r="U103" s="17"/>
      <c r="V103" s="41"/>
      <c r="W103" s="38"/>
      <c r="X103" s="122"/>
      <c r="Y103" s="19"/>
      <c r="Z103" s="45"/>
    </row>
    <row r="104" spans="2:26" s="20" customFormat="1" ht="17.100000000000001" hidden="1" customHeight="1" x14ac:dyDescent="0.3">
      <c r="B104" s="17"/>
      <c r="C104" s="94"/>
      <c r="D104" s="17"/>
      <c r="E104" s="91"/>
      <c r="F104" s="15"/>
      <c r="G104" s="15"/>
      <c r="H104" s="15"/>
      <c r="I104" s="29"/>
      <c r="J104" s="19"/>
      <c r="K104" s="19"/>
      <c r="L104" s="99"/>
      <c r="M104" s="18">
        <f t="shared" si="0"/>
        <v>0</v>
      </c>
      <c r="N104" s="35"/>
      <c r="O104" s="18"/>
      <c r="P104" s="35"/>
      <c r="Q104" s="18"/>
      <c r="R104" s="18">
        <f t="shared" si="1"/>
        <v>0</v>
      </c>
      <c r="S104" s="18">
        <f t="shared" si="2"/>
        <v>0</v>
      </c>
      <c r="T104" s="18">
        <f t="shared" si="3"/>
        <v>0</v>
      </c>
      <c r="U104" s="17"/>
      <c r="V104" s="22"/>
      <c r="W104" s="38"/>
      <c r="X104" s="122"/>
      <c r="Y104" s="19"/>
    </row>
    <row r="105" spans="2:26" s="20" customFormat="1" ht="17.100000000000001" hidden="1" customHeight="1" x14ac:dyDescent="0.3">
      <c r="B105" s="17"/>
      <c r="C105" s="94"/>
      <c r="D105" s="17"/>
      <c r="E105" s="91"/>
      <c r="F105" s="15"/>
      <c r="G105" s="15"/>
      <c r="H105" s="15"/>
      <c r="I105" s="29"/>
      <c r="J105" s="19"/>
      <c r="K105" s="19"/>
      <c r="L105" s="99"/>
      <c r="M105" s="18">
        <f t="shared" si="0"/>
        <v>0</v>
      </c>
      <c r="N105" s="35"/>
      <c r="O105" s="18"/>
      <c r="P105" s="35"/>
      <c r="Q105" s="18"/>
      <c r="R105" s="18">
        <f t="shared" si="1"/>
        <v>0</v>
      </c>
      <c r="S105" s="18">
        <f t="shared" si="2"/>
        <v>0</v>
      </c>
      <c r="T105" s="18">
        <f t="shared" si="3"/>
        <v>0</v>
      </c>
      <c r="U105" s="17"/>
      <c r="V105" s="22"/>
      <c r="W105" s="38"/>
      <c r="X105" s="122"/>
      <c r="Y105" s="19"/>
    </row>
    <row r="106" spans="2:26" s="20" customFormat="1" ht="17.100000000000001" hidden="1" customHeight="1" x14ac:dyDescent="0.3">
      <c r="B106" s="17"/>
      <c r="C106" s="94"/>
      <c r="D106" s="17"/>
      <c r="E106" s="91"/>
      <c r="F106" s="15"/>
      <c r="G106" s="15"/>
      <c r="H106" s="15"/>
      <c r="I106" s="29"/>
      <c r="J106" s="19"/>
      <c r="K106" s="19"/>
      <c r="L106" s="99"/>
      <c r="M106" s="18">
        <f t="shared" si="0"/>
        <v>0</v>
      </c>
      <c r="N106" s="35"/>
      <c r="O106" s="18"/>
      <c r="P106" s="35"/>
      <c r="Q106" s="18"/>
      <c r="R106" s="18">
        <f t="shared" si="1"/>
        <v>0</v>
      </c>
      <c r="S106" s="18">
        <f t="shared" si="2"/>
        <v>0</v>
      </c>
      <c r="T106" s="18">
        <f t="shared" si="3"/>
        <v>0</v>
      </c>
      <c r="U106" s="17"/>
      <c r="V106" s="22"/>
      <c r="W106" s="38"/>
      <c r="X106" s="122"/>
      <c r="Y106" s="19"/>
    </row>
    <row r="107" spans="2:26" s="20" customFormat="1" ht="17.100000000000001" hidden="1" customHeight="1" x14ac:dyDescent="0.3">
      <c r="B107" s="17"/>
      <c r="C107" s="94"/>
      <c r="D107" s="17"/>
      <c r="E107" s="91"/>
      <c r="F107" s="15"/>
      <c r="G107" s="15"/>
      <c r="H107" s="15"/>
      <c r="I107" s="29"/>
      <c r="J107" s="19"/>
      <c r="K107" s="19"/>
      <c r="L107" s="99"/>
      <c r="M107" s="18">
        <f t="shared" si="0"/>
        <v>0</v>
      </c>
      <c r="N107" s="35"/>
      <c r="O107" s="18"/>
      <c r="P107" s="35"/>
      <c r="Q107" s="18"/>
      <c r="R107" s="18">
        <f t="shared" si="1"/>
        <v>0</v>
      </c>
      <c r="S107" s="18">
        <f t="shared" si="2"/>
        <v>0</v>
      </c>
      <c r="T107" s="18">
        <f t="shared" si="3"/>
        <v>0</v>
      </c>
      <c r="U107" s="17"/>
      <c r="V107" s="22"/>
      <c r="W107" s="38"/>
      <c r="X107" s="122"/>
      <c r="Y107" s="19"/>
    </row>
    <row r="108" spans="2:26" s="20" customFormat="1" ht="17.100000000000001" hidden="1" customHeight="1" x14ac:dyDescent="0.3">
      <c r="B108" s="17"/>
      <c r="C108" s="94"/>
      <c r="D108" s="17"/>
      <c r="E108" s="91"/>
      <c r="F108" s="15"/>
      <c r="G108" s="15"/>
      <c r="H108" s="15"/>
      <c r="I108" s="29"/>
      <c r="J108" s="18"/>
      <c r="K108" s="18"/>
      <c r="L108" s="98"/>
      <c r="M108" s="18">
        <f t="shared" si="0"/>
        <v>0</v>
      </c>
      <c r="N108" s="35"/>
      <c r="O108" s="18"/>
      <c r="P108" s="35"/>
      <c r="Q108" s="18"/>
      <c r="R108" s="18">
        <f t="shared" si="1"/>
        <v>0</v>
      </c>
      <c r="S108" s="18">
        <f t="shared" si="2"/>
        <v>0</v>
      </c>
      <c r="T108" s="18">
        <f t="shared" si="3"/>
        <v>0</v>
      </c>
      <c r="U108" s="17"/>
      <c r="V108" s="41"/>
      <c r="W108" s="38"/>
      <c r="X108" s="122"/>
      <c r="Y108" s="19"/>
    </row>
    <row r="109" spans="2:26" s="20" customFormat="1" ht="17.100000000000001" hidden="1" customHeight="1" x14ac:dyDescent="0.3">
      <c r="B109" s="17"/>
      <c r="C109" s="94"/>
      <c r="D109" s="17"/>
      <c r="E109" s="91"/>
      <c r="F109" s="15"/>
      <c r="G109" s="15"/>
      <c r="H109" s="15"/>
      <c r="I109" s="29"/>
      <c r="J109" s="19"/>
      <c r="K109" s="19"/>
      <c r="L109" s="99"/>
      <c r="M109" s="18">
        <f t="shared" ref="M109:M184" si="45">L109*0.1</f>
        <v>0</v>
      </c>
      <c r="N109" s="35"/>
      <c r="O109" s="18"/>
      <c r="P109" s="35"/>
      <c r="Q109" s="18"/>
      <c r="R109" s="18">
        <f t="shared" ref="R109:R184" si="46">O109+Q109</f>
        <v>0</v>
      </c>
      <c r="S109" s="18">
        <f t="shared" ref="S109:S184" si="47">T109-R109</f>
        <v>0</v>
      </c>
      <c r="T109" s="18">
        <f t="shared" ref="T109:T184" si="48">L109+M109</f>
        <v>0</v>
      </c>
      <c r="U109" s="17"/>
      <c r="V109" s="22"/>
      <c r="W109" s="38"/>
      <c r="X109" s="122"/>
      <c r="Y109" s="19"/>
      <c r="Z109" s="45"/>
    </row>
    <row r="110" spans="2:26" s="20" customFormat="1" ht="17.100000000000001" hidden="1" customHeight="1" x14ac:dyDescent="0.3">
      <c r="B110" s="17"/>
      <c r="C110" s="94"/>
      <c r="D110" s="17"/>
      <c r="E110" s="91"/>
      <c r="F110" s="15"/>
      <c r="G110" s="15"/>
      <c r="H110" s="15"/>
      <c r="I110" s="29"/>
      <c r="J110" s="19"/>
      <c r="K110" s="19"/>
      <c r="L110" s="99"/>
      <c r="M110" s="18">
        <f t="shared" si="45"/>
        <v>0</v>
      </c>
      <c r="N110" s="35"/>
      <c r="O110" s="18"/>
      <c r="P110" s="35"/>
      <c r="Q110" s="18"/>
      <c r="R110" s="18">
        <f t="shared" si="46"/>
        <v>0</v>
      </c>
      <c r="S110" s="18">
        <f t="shared" si="47"/>
        <v>0</v>
      </c>
      <c r="T110" s="18">
        <f t="shared" si="48"/>
        <v>0</v>
      </c>
      <c r="U110" s="17"/>
      <c r="V110" s="22"/>
      <c r="W110" s="38"/>
      <c r="X110" s="122"/>
      <c r="Y110" s="19"/>
    </row>
    <row r="111" spans="2:26" s="20" customFormat="1" ht="17.100000000000001" hidden="1" customHeight="1" x14ac:dyDescent="0.3">
      <c r="B111" s="17"/>
      <c r="C111" s="94"/>
      <c r="D111" s="17"/>
      <c r="E111" s="91"/>
      <c r="F111" s="15"/>
      <c r="G111" s="15"/>
      <c r="H111" s="15"/>
      <c r="I111" s="29"/>
      <c r="J111" s="19"/>
      <c r="K111" s="19"/>
      <c r="L111" s="99"/>
      <c r="M111" s="18">
        <f t="shared" si="45"/>
        <v>0</v>
      </c>
      <c r="N111" s="35"/>
      <c r="O111" s="18"/>
      <c r="P111" s="35"/>
      <c r="Q111" s="18"/>
      <c r="R111" s="18">
        <f t="shared" si="46"/>
        <v>0</v>
      </c>
      <c r="S111" s="18">
        <f t="shared" si="47"/>
        <v>0</v>
      </c>
      <c r="T111" s="18">
        <f t="shared" si="48"/>
        <v>0</v>
      </c>
      <c r="U111" s="17"/>
      <c r="V111" s="22"/>
      <c r="W111" s="38"/>
      <c r="X111" s="122"/>
      <c r="Y111" s="19"/>
      <c r="Z111" s="45"/>
    </row>
    <row r="112" spans="2:26" s="20" customFormat="1" ht="17.100000000000001" hidden="1" customHeight="1" x14ac:dyDescent="0.3">
      <c r="B112" s="17"/>
      <c r="C112" s="94"/>
      <c r="D112" s="17"/>
      <c r="E112" s="91"/>
      <c r="F112" s="15"/>
      <c r="G112" s="15"/>
      <c r="H112" s="15"/>
      <c r="I112" s="29"/>
      <c r="J112" s="19"/>
      <c r="K112" s="19"/>
      <c r="L112" s="99"/>
      <c r="M112" s="18">
        <f t="shared" si="45"/>
        <v>0</v>
      </c>
      <c r="N112" s="35"/>
      <c r="O112" s="18"/>
      <c r="P112" s="35"/>
      <c r="Q112" s="18"/>
      <c r="R112" s="18">
        <f t="shared" si="46"/>
        <v>0</v>
      </c>
      <c r="S112" s="18">
        <f t="shared" si="47"/>
        <v>0</v>
      </c>
      <c r="T112" s="18">
        <f t="shared" si="48"/>
        <v>0</v>
      </c>
      <c r="U112" s="17"/>
      <c r="V112" s="22"/>
      <c r="W112" s="38"/>
      <c r="X112" s="122"/>
      <c r="Y112" s="19"/>
    </row>
    <row r="113" spans="2:27" s="20" customFormat="1" ht="17.100000000000001" hidden="1" customHeight="1" x14ac:dyDescent="0.3">
      <c r="B113" s="17"/>
      <c r="C113" s="94"/>
      <c r="D113" s="17"/>
      <c r="E113" s="91"/>
      <c r="F113" s="15"/>
      <c r="G113" s="15"/>
      <c r="H113" s="15"/>
      <c r="I113" s="29"/>
      <c r="J113" s="19"/>
      <c r="K113" s="19"/>
      <c r="L113" s="99"/>
      <c r="M113" s="18">
        <f t="shared" si="45"/>
        <v>0</v>
      </c>
      <c r="N113" s="35"/>
      <c r="O113" s="18"/>
      <c r="P113" s="35"/>
      <c r="Q113" s="18"/>
      <c r="R113" s="18">
        <f t="shared" si="46"/>
        <v>0</v>
      </c>
      <c r="S113" s="18">
        <f t="shared" si="47"/>
        <v>0</v>
      </c>
      <c r="T113" s="18">
        <f t="shared" si="48"/>
        <v>0</v>
      </c>
      <c r="U113" s="17"/>
      <c r="V113" s="22"/>
      <c r="W113" s="38"/>
      <c r="X113" s="122"/>
      <c r="Y113" s="19"/>
    </row>
    <row r="114" spans="2:27" s="20" customFormat="1" ht="17.100000000000001" hidden="1" customHeight="1" x14ac:dyDescent="0.3">
      <c r="B114" s="17"/>
      <c r="C114" s="94"/>
      <c r="D114" s="17"/>
      <c r="E114" s="91"/>
      <c r="F114" s="15"/>
      <c r="G114" s="15"/>
      <c r="H114" s="15"/>
      <c r="I114" s="29"/>
      <c r="J114" s="19"/>
      <c r="K114" s="19"/>
      <c r="L114" s="99"/>
      <c r="M114" s="18">
        <f t="shared" si="45"/>
        <v>0</v>
      </c>
      <c r="N114" s="35"/>
      <c r="O114" s="18"/>
      <c r="P114" s="35"/>
      <c r="Q114" s="18"/>
      <c r="R114" s="18">
        <f t="shared" si="46"/>
        <v>0</v>
      </c>
      <c r="S114" s="18">
        <f t="shared" si="47"/>
        <v>0</v>
      </c>
      <c r="T114" s="18">
        <f t="shared" si="48"/>
        <v>0</v>
      </c>
      <c r="U114" s="17"/>
      <c r="V114" s="22"/>
      <c r="W114" s="38"/>
      <c r="X114" s="122"/>
      <c r="Y114" s="19"/>
    </row>
    <row r="115" spans="2:27" s="20" customFormat="1" ht="17.100000000000001" hidden="1" customHeight="1" x14ac:dyDescent="0.3">
      <c r="B115" s="17"/>
      <c r="C115" s="94"/>
      <c r="D115" s="17"/>
      <c r="E115" s="91"/>
      <c r="F115" s="15"/>
      <c r="G115" s="15"/>
      <c r="H115" s="15"/>
      <c r="I115" s="29"/>
      <c r="J115" s="19"/>
      <c r="K115" s="19"/>
      <c r="L115" s="99"/>
      <c r="M115" s="18">
        <f t="shared" si="45"/>
        <v>0</v>
      </c>
      <c r="N115" s="35"/>
      <c r="O115" s="18"/>
      <c r="P115" s="35"/>
      <c r="Q115" s="18"/>
      <c r="R115" s="18">
        <f t="shared" si="46"/>
        <v>0</v>
      </c>
      <c r="S115" s="18">
        <f t="shared" si="47"/>
        <v>0</v>
      </c>
      <c r="T115" s="18">
        <f t="shared" si="48"/>
        <v>0</v>
      </c>
      <c r="U115" s="17"/>
      <c r="V115" s="22"/>
      <c r="W115" s="38"/>
      <c r="X115" s="122"/>
      <c r="Y115" s="19"/>
    </row>
    <row r="116" spans="2:27" s="20" customFormat="1" ht="17.100000000000001" hidden="1" customHeight="1" x14ac:dyDescent="0.3">
      <c r="B116" s="17"/>
      <c r="C116" s="94"/>
      <c r="D116" s="17"/>
      <c r="E116" s="91"/>
      <c r="F116" s="15"/>
      <c r="G116" s="15"/>
      <c r="H116" s="15"/>
      <c r="I116" s="29"/>
      <c r="J116" s="19"/>
      <c r="K116" s="19"/>
      <c r="L116" s="99"/>
      <c r="M116" s="18">
        <f t="shared" si="45"/>
        <v>0</v>
      </c>
      <c r="N116" s="35"/>
      <c r="O116" s="18"/>
      <c r="P116" s="35"/>
      <c r="Q116" s="18"/>
      <c r="R116" s="18">
        <f t="shared" si="46"/>
        <v>0</v>
      </c>
      <c r="S116" s="18">
        <f t="shared" si="47"/>
        <v>0</v>
      </c>
      <c r="T116" s="18">
        <f t="shared" si="48"/>
        <v>0</v>
      </c>
      <c r="U116" s="17"/>
      <c r="V116" s="22"/>
      <c r="W116" s="38"/>
      <c r="X116" s="122"/>
      <c r="Y116" s="19"/>
    </row>
    <row r="117" spans="2:27" s="20" customFormat="1" ht="17.100000000000001" hidden="1" customHeight="1" x14ac:dyDescent="0.3">
      <c r="B117" s="17"/>
      <c r="C117" s="94"/>
      <c r="D117" s="17"/>
      <c r="E117" s="91"/>
      <c r="F117" s="15"/>
      <c r="G117" s="15"/>
      <c r="H117" s="15"/>
      <c r="I117" s="29"/>
      <c r="J117" s="19"/>
      <c r="K117" s="19"/>
      <c r="L117" s="99"/>
      <c r="M117" s="18">
        <f t="shared" si="45"/>
        <v>0</v>
      </c>
      <c r="N117" s="35"/>
      <c r="O117" s="18"/>
      <c r="P117" s="35"/>
      <c r="Q117" s="18"/>
      <c r="R117" s="18">
        <f t="shared" si="46"/>
        <v>0</v>
      </c>
      <c r="S117" s="18">
        <f t="shared" si="47"/>
        <v>0</v>
      </c>
      <c r="T117" s="18">
        <f t="shared" si="48"/>
        <v>0</v>
      </c>
      <c r="U117" s="17"/>
      <c r="V117" s="22"/>
      <c r="W117" s="38"/>
      <c r="X117" s="122"/>
      <c r="Y117" s="19"/>
    </row>
    <row r="118" spans="2:27" s="20" customFormat="1" ht="17.100000000000001" hidden="1" customHeight="1" x14ac:dyDescent="0.3">
      <c r="B118" s="17"/>
      <c r="C118" s="94"/>
      <c r="D118" s="17"/>
      <c r="E118" s="91"/>
      <c r="F118" s="15"/>
      <c r="G118" s="15"/>
      <c r="H118" s="15"/>
      <c r="I118" s="29"/>
      <c r="J118" s="19"/>
      <c r="K118" s="19"/>
      <c r="L118" s="99"/>
      <c r="M118" s="18">
        <f t="shared" si="45"/>
        <v>0</v>
      </c>
      <c r="N118" s="35"/>
      <c r="O118" s="18"/>
      <c r="P118" s="35"/>
      <c r="Q118" s="18"/>
      <c r="R118" s="18">
        <f t="shared" si="46"/>
        <v>0</v>
      </c>
      <c r="S118" s="18">
        <f t="shared" si="47"/>
        <v>0</v>
      </c>
      <c r="T118" s="18">
        <f t="shared" si="48"/>
        <v>0</v>
      </c>
      <c r="U118" s="17"/>
      <c r="V118" s="22"/>
      <c r="W118" s="38"/>
      <c r="X118" s="122"/>
      <c r="Y118" s="19"/>
      <c r="Z118" s="45"/>
    </row>
    <row r="119" spans="2:27" s="20" customFormat="1" ht="52.5" customHeight="1" x14ac:dyDescent="0.3">
      <c r="B119" s="278" t="s">
        <v>1829</v>
      </c>
      <c r="C119" s="279"/>
      <c r="D119" s="279"/>
      <c r="E119" s="279"/>
      <c r="F119" s="279"/>
      <c r="G119" s="279"/>
      <c r="H119" s="279"/>
      <c r="I119" s="279"/>
      <c r="J119" s="279"/>
      <c r="K119" s="279"/>
      <c r="L119" s="279"/>
      <c r="M119" s="279"/>
      <c r="N119" s="279"/>
      <c r="O119" s="279"/>
      <c r="P119" s="279"/>
      <c r="Q119" s="279"/>
      <c r="R119" s="279"/>
      <c r="S119" s="279"/>
      <c r="T119" s="279"/>
      <c r="U119" s="279"/>
      <c r="V119" s="279"/>
      <c r="W119" s="279"/>
      <c r="X119" s="279"/>
      <c r="Y119" s="279"/>
      <c r="Z119" s="279"/>
      <c r="AA119" s="280"/>
    </row>
    <row r="120" spans="2:27" s="20" customFormat="1" ht="17.100000000000001" customHeight="1" x14ac:dyDescent="0.3">
      <c r="B120" s="265">
        <v>44558</v>
      </c>
      <c r="C120" s="273" t="s">
        <v>1019</v>
      </c>
      <c r="D120" s="17" t="s">
        <v>995</v>
      </c>
      <c r="E120" s="91" t="s">
        <v>1000</v>
      </c>
      <c r="F120" s="259" t="s">
        <v>25</v>
      </c>
      <c r="G120" s="259" t="s">
        <v>47</v>
      </c>
      <c r="H120" s="259" t="s">
        <v>820</v>
      </c>
      <c r="I120" s="262" t="s">
        <v>1437</v>
      </c>
      <c r="J120" s="251">
        <v>254000000</v>
      </c>
      <c r="K120" s="18">
        <f>L120</f>
        <v>19000000</v>
      </c>
      <c r="L120" s="99">
        <v>19000000</v>
      </c>
      <c r="M120" s="18">
        <f>L120*0.1</f>
        <v>1900000</v>
      </c>
      <c r="N120" s="35">
        <v>44679</v>
      </c>
      <c r="O120" s="18">
        <v>20900000</v>
      </c>
      <c r="P120" s="35"/>
      <c r="Q120" s="18"/>
      <c r="R120" s="18">
        <f>O120+Q120</f>
        <v>20900000</v>
      </c>
      <c r="S120" s="18">
        <f>T120-R120</f>
        <v>0</v>
      </c>
      <c r="T120" s="18">
        <f>L120+M120</f>
        <v>20900000</v>
      </c>
      <c r="U120" s="17">
        <v>44661</v>
      </c>
      <c r="V120" s="22"/>
      <c r="W120" s="38"/>
      <c r="X120" s="122"/>
      <c r="Y120" s="19"/>
    </row>
    <row r="121" spans="2:27" s="20" customFormat="1" ht="17.100000000000001" customHeight="1" x14ac:dyDescent="0.3">
      <c r="B121" s="266"/>
      <c r="C121" s="274"/>
      <c r="D121" s="17" t="s">
        <v>995</v>
      </c>
      <c r="E121" s="91" t="s">
        <v>1002</v>
      </c>
      <c r="F121" s="272"/>
      <c r="G121" s="272"/>
      <c r="H121" s="272"/>
      <c r="I121" s="276"/>
      <c r="J121" s="268"/>
      <c r="K121" s="18">
        <f t="shared" ref="K121:K127" si="49">K120+L121</f>
        <v>95300000</v>
      </c>
      <c r="L121" s="99">
        <v>76300000</v>
      </c>
      <c r="M121" s="18">
        <f>L121*0.1</f>
        <v>7630000</v>
      </c>
      <c r="N121" s="35">
        <v>44711</v>
      </c>
      <c r="O121" s="18">
        <v>83930000</v>
      </c>
      <c r="P121" s="35"/>
      <c r="Q121" s="18"/>
      <c r="R121" s="18">
        <f>O121+Q121</f>
        <v>83930000</v>
      </c>
      <c r="S121" s="18">
        <f>T121-R121</f>
        <v>0</v>
      </c>
      <c r="T121" s="18">
        <f>L121+M121</f>
        <v>83930000</v>
      </c>
      <c r="U121" s="17">
        <v>44691</v>
      </c>
      <c r="V121" s="22"/>
      <c r="W121" s="38"/>
      <c r="X121" s="123"/>
      <c r="Y121" s="19"/>
      <c r="Z121" s="45"/>
    </row>
    <row r="122" spans="2:27" s="20" customFormat="1" ht="17.100000000000001" customHeight="1" x14ac:dyDescent="0.3">
      <c r="B122" s="266">
        <v>44726</v>
      </c>
      <c r="C122" s="274"/>
      <c r="D122" s="17" t="s">
        <v>995</v>
      </c>
      <c r="E122" s="91" t="s">
        <v>1009</v>
      </c>
      <c r="F122" s="272"/>
      <c r="G122" s="272"/>
      <c r="H122" s="272"/>
      <c r="I122" s="276"/>
      <c r="J122" s="268">
        <v>304000000</v>
      </c>
      <c r="K122" s="18">
        <f t="shared" si="49"/>
        <v>114800000</v>
      </c>
      <c r="L122" s="99">
        <v>19500000</v>
      </c>
      <c r="M122" s="18">
        <f>L122*0.1</f>
        <v>1950000</v>
      </c>
      <c r="N122" s="35">
        <v>44741</v>
      </c>
      <c r="O122" s="18">
        <v>21450000</v>
      </c>
      <c r="P122" s="35"/>
      <c r="Q122" s="18"/>
      <c r="R122" s="18">
        <f>O122+Q122</f>
        <v>21450000</v>
      </c>
      <c r="S122" s="18">
        <f>T122-R122</f>
        <v>0</v>
      </c>
      <c r="T122" s="18">
        <f>L122+M122</f>
        <v>21450000</v>
      </c>
      <c r="U122" s="17">
        <v>44722</v>
      </c>
      <c r="V122" s="22"/>
      <c r="W122" s="38"/>
      <c r="X122" s="122"/>
      <c r="Y122" s="19"/>
    </row>
    <row r="123" spans="2:27" s="20" customFormat="1" ht="17.100000000000001" customHeight="1" x14ac:dyDescent="0.3">
      <c r="B123" s="266"/>
      <c r="C123" s="274"/>
      <c r="D123" s="17" t="s">
        <v>995</v>
      </c>
      <c r="E123" s="91" t="s">
        <v>1010</v>
      </c>
      <c r="F123" s="272"/>
      <c r="G123" s="272"/>
      <c r="H123" s="272"/>
      <c r="I123" s="276"/>
      <c r="J123" s="268"/>
      <c r="K123" s="18">
        <f t="shared" si="49"/>
        <v>168900000</v>
      </c>
      <c r="L123" s="99">
        <v>54100000</v>
      </c>
      <c r="M123" s="18">
        <f>L123*0.1</f>
        <v>5410000</v>
      </c>
      <c r="N123" s="35">
        <v>44770</v>
      </c>
      <c r="O123" s="18">
        <v>59510000</v>
      </c>
      <c r="P123" s="35"/>
      <c r="Q123" s="18"/>
      <c r="R123" s="18">
        <f>O123+Q123</f>
        <v>59510000</v>
      </c>
      <c r="S123" s="18">
        <f>T123-R123</f>
        <v>0</v>
      </c>
      <c r="T123" s="18">
        <f>L123+M123</f>
        <v>59510000</v>
      </c>
      <c r="U123" s="17">
        <v>44752</v>
      </c>
      <c r="V123" s="22"/>
      <c r="W123" s="38"/>
      <c r="X123" s="122"/>
      <c r="Y123" s="19"/>
    </row>
    <row r="124" spans="2:27" s="20" customFormat="1" ht="17.100000000000001" customHeight="1" x14ac:dyDescent="0.3">
      <c r="B124" s="266">
        <v>44756</v>
      </c>
      <c r="C124" s="274"/>
      <c r="D124" s="17" t="s">
        <v>995</v>
      </c>
      <c r="E124" s="91" t="s">
        <v>1108</v>
      </c>
      <c r="F124" s="272"/>
      <c r="G124" s="272"/>
      <c r="H124" s="272"/>
      <c r="I124" s="276"/>
      <c r="J124" s="268">
        <v>339000000</v>
      </c>
      <c r="K124" s="18">
        <f t="shared" si="49"/>
        <v>278900000</v>
      </c>
      <c r="L124" s="99">
        <v>110000000</v>
      </c>
      <c r="M124" s="18">
        <f t="shared" ref="M124:M127" si="50">L124*0.1</f>
        <v>11000000</v>
      </c>
      <c r="N124" s="35">
        <v>44803</v>
      </c>
      <c r="O124" s="18">
        <v>121000000</v>
      </c>
      <c r="P124" s="35"/>
      <c r="Q124" s="18"/>
      <c r="R124" s="18">
        <f t="shared" ref="R124:R125" si="51">O124+Q124</f>
        <v>121000000</v>
      </c>
      <c r="S124" s="18">
        <f t="shared" ref="S124:S125" si="52">T124-R124</f>
        <v>0</v>
      </c>
      <c r="T124" s="18">
        <f t="shared" ref="T124:T125" si="53">L124+M124</f>
        <v>121000000</v>
      </c>
      <c r="U124" s="17">
        <v>44783</v>
      </c>
      <c r="V124" s="22"/>
      <c r="W124" s="38"/>
      <c r="X124" s="122"/>
      <c r="Y124" s="19"/>
    </row>
    <row r="125" spans="2:27" s="20" customFormat="1" ht="17.100000000000001" customHeight="1" x14ac:dyDescent="0.3">
      <c r="B125" s="266"/>
      <c r="C125" s="274"/>
      <c r="D125" s="17" t="s">
        <v>995</v>
      </c>
      <c r="E125" s="91" t="s">
        <v>1109</v>
      </c>
      <c r="F125" s="272"/>
      <c r="G125" s="272"/>
      <c r="H125" s="272"/>
      <c r="I125" s="276"/>
      <c r="J125" s="268"/>
      <c r="K125" s="18">
        <f t="shared" si="49"/>
        <v>301800000</v>
      </c>
      <c r="L125" s="99">
        <v>22900000</v>
      </c>
      <c r="M125" s="18">
        <f t="shared" si="50"/>
        <v>2290000</v>
      </c>
      <c r="N125" s="35">
        <v>44834</v>
      </c>
      <c r="O125" s="18">
        <v>25190000</v>
      </c>
      <c r="P125" s="35"/>
      <c r="Q125" s="18"/>
      <c r="R125" s="18">
        <f t="shared" si="51"/>
        <v>25190000</v>
      </c>
      <c r="S125" s="18">
        <f t="shared" si="52"/>
        <v>0</v>
      </c>
      <c r="T125" s="18">
        <f t="shared" si="53"/>
        <v>25190000</v>
      </c>
      <c r="U125" s="17">
        <v>44814</v>
      </c>
      <c r="V125" s="22"/>
      <c r="W125" s="38"/>
      <c r="X125" s="122"/>
      <c r="Y125" s="19"/>
    </row>
    <row r="126" spans="2:27" s="20" customFormat="1" ht="17.100000000000001" customHeight="1" x14ac:dyDescent="0.3">
      <c r="B126" s="266"/>
      <c r="C126" s="274"/>
      <c r="D126" s="17" t="s">
        <v>995</v>
      </c>
      <c r="E126" s="91" t="s">
        <v>1434</v>
      </c>
      <c r="F126" s="272"/>
      <c r="G126" s="272"/>
      <c r="H126" s="272"/>
      <c r="I126" s="276"/>
      <c r="J126" s="268"/>
      <c r="K126" s="18">
        <f t="shared" si="49"/>
        <v>316900000</v>
      </c>
      <c r="L126" s="99">
        <v>15100000</v>
      </c>
      <c r="M126" s="18">
        <f t="shared" si="50"/>
        <v>1510000</v>
      </c>
      <c r="N126" s="35">
        <v>44895</v>
      </c>
      <c r="O126" s="18">
        <v>16610000</v>
      </c>
      <c r="P126" s="35"/>
      <c r="Q126" s="18"/>
      <c r="R126" s="18">
        <f t="shared" ref="R126:R127" si="54">O126+Q126</f>
        <v>16610000</v>
      </c>
      <c r="S126" s="18">
        <f t="shared" ref="S126:S127" si="55">T126-R126</f>
        <v>0</v>
      </c>
      <c r="T126" s="18">
        <f t="shared" ref="T126:T127" si="56">L126+M126</f>
        <v>16610000</v>
      </c>
      <c r="U126" s="17">
        <v>44875</v>
      </c>
      <c r="V126" s="22"/>
      <c r="W126" s="38"/>
      <c r="X126" s="122"/>
      <c r="Y126" s="19"/>
    </row>
    <row r="127" spans="2:27" s="20" customFormat="1" ht="17.100000000000001" customHeight="1" x14ac:dyDescent="0.3">
      <c r="B127" s="266"/>
      <c r="C127" s="274"/>
      <c r="D127" s="17" t="s">
        <v>995</v>
      </c>
      <c r="E127" s="91" t="s">
        <v>1435</v>
      </c>
      <c r="F127" s="272"/>
      <c r="G127" s="272"/>
      <c r="H127" s="272"/>
      <c r="I127" s="276"/>
      <c r="J127" s="268"/>
      <c r="K127" s="18">
        <f t="shared" si="49"/>
        <v>322000000</v>
      </c>
      <c r="L127" s="99">
        <v>5100000</v>
      </c>
      <c r="M127" s="18">
        <f t="shared" si="50"/>
        <v>510000</v>
      </c>
      <c r="N127" s="35">
        <v>44925</v>
      </c>
      <c r="O127" s="18">
        <v>5610000</v>
      </c>
      <c r="P127" s="35"/>
      <c r="Q127" s="18"/>
      <c r="R127" s="18">
        <f t="shared" si="54"/>
        <v>5610000</v>
      </c>
      <c r="S127" s="18">
        <f t="shared" si="55"/>
        <v>0</v>
      </c>
      <c r="T127" s="18">
        <f t="shared" si="56"/>
        <v>5610000</v>
      </c>
      <c r="U127" s="17">
        <v>44905</v>
      </c>
      <c r="V127" s="22"/>
      <c r="W127" s="38"/>
      <c r="X127" s="122"/>
      <c r="Y127" s="19"/>
    </row>
    <row r="128" spans="2:27" s="20" customFormat="1" ht="17.100000000000001" customHeight="1" x14ac:dyDescent="0.3">
      <c r="B128" s="17"/>
      <c r="C128" s="94"/>
      <c r="D128" s="17"/>
      <c r="E128" s="91"/>
      <c r="F128" s="15"/>
      <c r="G128" s="15"/>
      <c r="H128" s="15"/>
      <c r="I128" s="29"/>
      <c r="J128" s="19"/>
      <c r="K128" s="19"/>
      <c r="L128" s="99"/>
      <c r="M128" s="18">
        <f t="shared" si="45"/>
        <v>0</v>
      </c>
      <c r="N128" s="35"/>
      <c r="O128" s="18"/>
      <c r="P128" s="35"/>
      <c r="Q128" s="18"/>
      <c r="R128" s="18">
        <f t="shared" si="46"/>
        <v>0</v>
      </c>
      <c r="S128" s="18">
        <f t="shared" si="47"/>
        <v>0</v>
      </c>
      <c r="T128" s="18">
        <f t="shared" si="48"/>
        <v>0</v>
      </c>
      <c r="U128" s="17"/>
      <c r="V128" s="22"/>
      <c r="W128" s="38"/>
      <c r="X128" s="122"/>
      <c r="Y128" s="19"/>
    </row>
    <row r="129" spans="2:26" s="20" customFormat="1" ht="17.100000000000001" customHeight="1" x14ac:dyDescent="0.3">
      <c r="B129" s="33">
        <v>44578</v>
      </c>
      <c r="C129" s="273" t="s">
        <v>1439</v>
      </c>
      <c r="D129" s="17" t="s">
        <v>995</v>
      </c>
      <c r="E129" s="91" t="s">
        <v>1732</v>
      </c>
      <c r="F129" s="259" t="s">
        <v>1440</v>
      </c>
      <c r="G129" s="259" t="s">
        <v>1441</v>
      </c>
      <c r="H129" s="259" t="s">
        <v>572</v>
      </c>
      <c r="I129" s="262" t="s">
        <v>1442</v>
      </c>
      <c r="J129" s="125">
        <v>356000000</v>
      </c>
      <c r="K129" s="18">
        <f>L129</f>
        <v>1450000000</v>
      </c>
      <c r="L129" s="99">
        <v>1450000000</v>
      </c>
      <c r="M129" s="18">
        <f>L129*0.1</f>
        <v>145000000</v>
      </c>
      <c r="N129" s="35">
        <v>44714</v>
      </c>
      <c r="O129" s="18">
        <v>1595000000</v>
      </c>
      <c r="P129" s="35"/>
      <c r="Q129" s="18"/>
      <c r="R129" s="18">
        <f>O129+Q129</f>
        <v>1595000000</v>
      </c>
      <c r="S129" s="18">
        <f>T129-R129</f>
        <v>0</v>
      </c>
      <c r="T129" s="18">
        <f>L129+M129</f>
        <v>1595000000</v>
      </c>
      <c r="U129" s="17">
        <v>44705</v>
      </c>
      <c r="V129" s="22"/>
      <c r="W129" s="38"/>
      <c r="X129" s="122"/>
      <c r="Y129" s="19"/>
      <c r="Z129" s="45"/>
    </row>
    <row r="130" spans="2:26" s="20" customFormat="1" ht="17.100000000000001" customHeight="1" x14ac:dyDescent="0.3">
      <c r="B130" s="265">
        <v>44685</v>
      </c>
      <c r="C130" s="274"/>
      <c r="D130" s="17" t="s">
        <v>995</v>
      </c>
      <c r="E130" s="91" t="s">
        <v>1733</v>
      </c>
      <c r="F130" s="272"/>
      <c r="G130" s="272"/>
      <c r="H130" s="272"/>
      <c r="I130" s="276"/>
      <c r="J130" s="251">
        <v>2353000000</v>
      </c>
      <c r="K130" s="18">
        <f t="shared" ref="K130:K132" si="57">K129+L130</f>
        <v>1997000000</v>
      </c>
      <c r="L130" s="99">
        <v>547000000</v>
      </c>
      <c r="M130" s="18">
        <f>L130*0.1</f>
        <v>54700000</v>
      </c>
      <c r="N130" s="35">
        <v>44846</v>
      </c>
      <c r="O130" s="18">
        <v>601700000</v>
      </c>
      <c r="P130" s="35"/>
      <c r="Q130" s="18"/>
      <c r="R130" s="18">
        <f>O130+Q130</f>
        <v>601700000</v>
      </c>
      <c r="S130" s="18">
        <f>T130-R130</f>
        <v>0</v>
      </c>
      <c r="T130" s="18">
        <f>L130+M130</f>
        <v>601700000</v>
      </c>
      <c r="U130" s="17">
        <v>44840</v>
      </c>
      <c r="V130" s="22"/>
      <c r="W130" s="38"/>
      <c r="X130" s="122"/>
      <c r="Y130" s="19"/>
      <c r="Z130" s="45"/>
    </row>
    <row r="131" spans="2:26" s="20" customFormat="1" ht="17.100000000000001" customHeight="1" x14ac:dyDescent="0.3">
      <c r="B131" s="266"/>
      <c r="C131" s="274"/>
      <c r="D131" s="17" t="s">
        <v>995</v>
      </c>
      <c r="E131" s="91" t="s">
        <v>1009</v>
      </c>
      <c r="F131" s="272"/>
      <c r="G131" s="272"/>
      <c r="H131" s="272"/>
      <c r="I131" s="276"/>
      <c r="J131" s="252"/>
      <c r="K131" s="18">
        <f t="shared" si="57"/>
        <v>2070000000</v>
      </c>
      <c r="L131" s="99">
        <v>73000000</v>
      </c>
      <c r="M131" s="18">
        <f>L131*0.1</f>
        <v>7300000</v>
      </c>
      <c r="N131" s="35">
        <v>44875</v>
      </c>
      <c r="O131" s="18">
        <v>80300000</v>
      </c>
      <c r="P131" s="35"/>
      <c r="Q131" s="18"/>
      <c r="R131" s="18">
        <f>O131+Q131</f>
        <v>80300000</v>
      </c>
      <c r="S131" s="18">
        <f>T131-R131</f>
        <v>0</v>
      </c>
      <c r="T131" s="18">
        <f>L131+M131</f>
        <v>80300000</v>
      </c>
      <c r="U131" s="17">
        <v>44869</v>
      </c>
      <c r="V131" s="22"/>
      <c r="W131" s="38"/>
      <c r="X131" s="122"/>
      <c r="Y131" s="19"/>
    </row>
    <row r="132" spans="2:26" s="20" customFormat="1" ht="17.100000000000001" customHeight="1" x14ac:dyDescent="0.3">
      <c r="B132" s="55">
        <v>45035</v>
      </c>
      <c r="C132" s="275"/>
      <c r="D132" s="17" t="s">
        <v>995</v>
      </c>
      <c r="E132" s="91" t="s">
        <v>1010</v>
      </c>
      <c r="F132" s="260"/>
      <c r="G132" s="260"/>
      <c r="H132" s="260"/>
      <c r="I132" s="263"/>
      <c r="J132" s="125">
        <v>2347000000</v>
      </c>
      <c r="K132" s="18">
        <f t="shared" si="57"/>
        <v>2347000000</v>
      </c>
      <c r="L132" s="99">
        <v>277000000</v>
      </c>
      <c r="M132" s="18">
        <f>L132*0.1</f>
        <v>27700000</v>
      </c>
      <c r="N132" s="35">
        <v>45072</v>
      </c>
      <c r="O132" s="18">
        <v>304700000</v>
      </c>
      <c r="P132" s="35"/>
      <c r="Q132" s="18"/>
      <c r="R132" s="18">
        <f>O132+Q132</f>
        <v>304700000</v>
      </c>
      <c r="S132" s="18">
        <f>T132-R132</f>
        <v>0</v>
      </c>
      <c r="T132" s="18">
        <f>L132+M132</f>
        <v>304700000</v>
      </c>
      <c r="U132" s="17">
        <v>45072</v>
      </c>
      <c r="V132" s="22"/>
      <c r="W132" s="38"/>
      <c r="X132" s="122">
        <v>83910798</v>
      </c>
      <c r="Y132" s="19"/>
    </row>
    <row r="133" spans="2:26" s="20" customFormat="1" ht="17.100000000000001" customHeight="1" x14ac:dyDescent="0.3">
      <c r="B133" s="17"/>
      <c r="C133" s="94"/>
      <c r="D133" s="17"/>
      <c r="E133" s="91"/>
      <c r="F133" s="15"/>
      <c r="G133" s="15"/>
      <c r="H133" s="15"/>
      <c r="I133" s="29"/>
      <c r="J133" s="19"/>
      <c r="K133" s="19"/>
      <c r="L133" s="99"/>
      <c r="M133" s="18">
        <f t="shared" si="45"/>
        <v>0</v>
      </c>
      <c r="N133" s="35"/>
      <c r="O133" s="18"/>
      <c r="P133" s="35"/>
      <c r="Q133" s="18"/>
      <c r="R133" s="18">
        <f t="shared" si="46"/>
        <v>0</v>
      </c>
      <c r="S133" s="18">
        <f t="shared" si="47"/>
        <v>0</v>
      </c>
      <c r="T133" s="18">
        <f t="shared" si="48"/>
        <v>0</v>
      </c>
      <c r="U133" s="17"/>
      <c r="V133" s="22"/>
      <c r="W133" s="38"/>
      <c r="X133" s="122"/>
      <c r="Y133" s="19"/>
    </row>
    <row r="134" spans="2:26" s="23" customFormat="1" ht="17.100000000000001" customHeight="1" x14ac:dyDescent="0.3">
      <c r="B134" s="265">
        <v>44137</v>
      </c>
      <c r="C134" s="273" t="s">
        <v>353</v>
      </c>
      <c r="D134" s="17" t="s">
        <v>995</v>
      </c>
      <c r="E134" s="91" t="s">
        <v>1000</v>
      </c>
      <c r="F134" s="259" t="s">
        <v>25</v>
      </c>
      <c r="G134" s="259" t="s">
        <v>21</v>
      </c>
      <c r="H134" s="259" t="s">
        <v>998</v>
      </c>
      <c r="I134" s="262" t="s">
        <v>1004</v>
      </c>
      <c r="J134" s="251">
        <f>3908000000/1.1</f>
        <v>3552727272.7272725</v>
      </c>
      <c r="K134" s="18">
        <f>L134</f>
        <v>181000000</v>
      </c>
      <c r="L134" s="98">
        <v>181000000</v>
      </c>
      <c r="M134" s="18">
        <f>L134*0.1</f>
        <v>18100000</v>
      </c>
      <c r="N134" s="35">
        <v>44591</v>
      </c>
      <c r="O134" s="18">
        <v>199100000</v>
      </c>
      <c r="P134" s="35"/>
      <c r="Q134" s="18"/>
      <c r="R134" s="18">
        <f>O134+Q134</f>
        <v>199100000</v>
      </c>
      <c r="S134" s="18">
        <f>T134-R134</f>
        <v>0</v>
      </c>
      <c r="T134" s="18">
        <f>L134+M134</f>
        <v>199100000</v>
      </c>
      <c r="U134" s="17">
        <v>44196</v>
      </c>
      <c r="V134" s="41"/>
      <c r="W134" s="38"/>
      <c r="X134" s="121"/>
      <c r="Y134" s="42"/>
    </row>
    <row r="135" spans="2:26" s="23" customFormat="1" ht="17.100000000000001" customHeight="1" x14ac:dyDescent="0.3">
      <c r="B135" s="266"/>
      <c r="C135" s="274"/>
      <c r="D135" s="17" t="s">
        <v>995</v>
      </c>
      <c r="E135" s="91" t="s">
        <v>1008</v>
      </c>
      <c r="F135" s="272"/>
      <c r="G135" s="272"/>
      <c r="H135" s="272"/>
      <c r="I135" s="276"/>
      <c r="J135" s="268"/>
      <c r="K135" s="18">
        <f>K134+L135</f>
        <v>355000000</v>
      </c>
      <c r="L135" s="98">
        <v>174000000</v>
      </c>
      <c r="M135" s="18">
        <f t="shared" ref="M135:M156" si="58">L135*0.1</f>
        <v>17400000</v>
      </c>
      <c r="N135" s="35">
        <v>44618</v>
      </c>
      <c r="O135" s="18">
        <v>191400000</v>
      </c>
      <c r="P135" s="35"/>
      <c r="Q135" s="18"/>
      <c r="R135" s="18">
        <f t="shared" ref="R135:R156" si="59">O135+Q135</f>
        <v>191400000</v>
      </c>
      <c r="S135" s="18">
        <f t="shared" ref="S135:S148" si="60">T135-R135</f>
        <v>0</v>
      </c>
      <c r="T135" s="18">
        <f t="shared" ref="T135:T154" si="61">L135+M135</f>
        <v>191400000</v>
      </c>
      <c r="U135" s="17">
        <v>44227</v>
      </c>
      <c r="V135" s="41"/>
      <c r="W135" s="38"/>
      <c r="X135" s="121"/>
      <c r="Y135" s="42"/>
    </row>
    <row r="136" spans="2:26" s="23" customFormat="1" ht="17.100000000000001" customHeight="1" x14ac:dyDescent="0.3">
      <c r="B136" s="267"/>
      <c r="C136" s="274"/>
      <c r="D136" s="17" t="s">
        <v>995</v>
      </c>
      <c r="E136" s="91" t="s">
        <v>1009</v>
      </c>
      <c r="F136" s="272"/>
      <c r="G136" s="272"/>
      <c r="H136" s="272"/>
      <c r="I136" s="276"/>
      <c r="J136" s="252"/>
      <c r="K136" s="18">
        <f t="shared" ref="K136:K157" si="62">K135+L136</f>
        <v>507000000</v>
      </c>
      <c r="L136" s="98">
        <v>152000000</v>
      </c>
      <c r="M136" s="18">
        <f t="shared" si="58"/>
        <v>15200000</v>
      </c>
      <c r="N136" s="35">
        <v>44650</v>
      </c>
      <c r="O136" s="18">
        <v>167200000</v>
      </c>
      <c r="P136" s="35"/>
      <c r="Q136" s="18"/>
      <c r="R136" s="18">
        <f t="shared" si="59"/>
        <v>167200000</v>
      </c>
      <c r="S136" s="18">
        <f t="shared" si="60"/>
        <v>0</v>
      </c>
      <c r="T136" s="18">
        <f t="shared" si="61"/>
        <v>167200000</v>
      </c>
      <c r="U136" s="17">
        <v>44255</v>
      </c>
      <c r="V136" s="41"/>
      <c r="W136" s="38"/>
      <c r="X136" s="121"/>
      <c r="Y136" s="42"/>
    </row>
    <row r="137" spans="2:26" s="23" customFormat="1" ht="17.100000000000001" customHeight="1" x14ac:dyDescent="0.3">
      <c r="B137" s="265">
        <v>44271</v>
      </c>
      <c r="C137" s="274"/>
      <c r="D137" s="17" t="s">
        <v>995</v>
      </c>
      <c r="E137" s="91" t="s">
        <v>1010</v>
      </c>
      <c r="F137" s="272"/>
      <c r="G137" s="272"/>
      <c r="H137" s="272"/>
      <c r="I137" s="276"/>
      <c r="J137" s="251">
        <v>3309000000</v>
      </c>
      <c r="K137" s="18">
        <f t="shared" si="62"/>
        <v>588000000</v>
      </c>
      <c r="L137" s="98">
        <v>81000000</v>
      </c>
      <c r="M137" s="18">
        <f t="shared" si="58"/>
        <v>8100000</v>
      </c>
      <c r="N137" s="35">
        <v>44680</v>
      </c>
      <c r="O137" s="18">
        <v>89100000</v>
      </c>
      <c r="P137" s="35"/>
      <c r="Q137" s="18"/>
      <c r="R137" s="18">
        <f t="shared" si="59"/>
        <v>89100000</v>
      </c>
      <c r="S137" s="18">
        <f t="shared" si="60"/>
        <v>0</v>
      </c>
      <c r="T137" s="18">
        <f t="shared" si="61"/>
        <v>89100000</v>
      </c>
      <c r="U137" s="17">
        <v>44286</v>
      </c>
      <c r="V137" s="41"/>
      <c r="W137" s="38"/>
      <c r="X137" s="121"/>
      <c r="Y137" s="42"/>
    </row>
    <row r="138" spans="2:26" s="23" customFormat="1" ht="17.100000000000001" customHeight="1" x14ac:dyDescent="0.3">
      <c r="B138" s="266"/>
      <c r="C138" s="274"/>
      <c r="D138" s="17" t="s">
        <v>995</v>
      </c>
      <c r="E138" s="91" t="s">
        <v>1011</v>
      </c>
      <c r="F138" s="272"/>
      <c r="G138" s="272"/>
      <c r="H138" s="272"/>
      <c r="I138" s="276"/>
      <c r="J138" s="268"/>
      <c r="K138" s="18">
        <f t="shared" si="62"/>
        <v>822000000</v>
      </c>
      <c r="L138" s="98">
        <v>234000000</v>
      </c>
      <c r="M138" s="18">
        <f t="shared" si="58"/>
        <v>23400000</v>
      </c>
      <c r="N138" s="35">
        <v>44712</v>
      </c>
      <c r="O138" s="18">
        <v>257400000</v>
      </c>
      <c r="P138" s="35"/>
      <c r="Q138" s="18"/>
      <c r="R138" s="18">
        <f t="shared" si="59"/>
        <v>257400000</v>
      </c>
      <c r="S138" s="18">
        <f t="shared" si="60"/>
        <v>0</v>
      </c>
      <c r="T138" s="18">
        <f t="shared" si="61"/>
        <v>257400000</v>
      </c>
      <c r="U138" s="17">
        <v>44316</v>
      </c>
      <c r="V138" s="41"/>
      <c r="W138" s="38"/>
      <c r="X138" s="121"/>
      <c r="Y138" s="42"/>
    </row>
    <row r="139" spans="2:26" s="23" customFormat="1" ht="17.100000000000001" customHeight="1" x14ac:dyDescent="0.3">
      <c r="B139" s="266"/>
      <c r="C139" s="274"/>
      <c r="D139" s="17" t="s">
        <v>995</v>
      </c>
      <c r="E139" s="91" t="s">
        <v>1012</v>
      </c>
      <c r="F139" s="272"/>
      <c r="G139" s="272"/>
      <c r="H139" s="272"/>
      <c r="I139" s="276"/>
      <c r="J139" s="268"/>
      <c r="K139" s="18">
        <f t="shared" si="62"/>
        <v>1019000000</v>
      </c>
      <c r="L139" s="98">
        <v>197000000</v>
      </c>
      <c r="M139" s="18">
        <f t="shared" si="58"/>
        <v>19700000</v>
      </c>
      <c r="N139" s="35">
        <v>44741</v>
      </c>
      <c r="O139" s="18">
        <v>216700000</v>
      </c>
      <c r="P139" s="35"/>
      <c r="Q139" s="18"/>
      <c r="R139" s="18">
        <f t="shared" si="59"/>
        <v>216700000</v>
      </c>
      <c r="S139" s="18">
        <f t="shared" si="60"/>
        <v>0</v>
      </c>
      <c r="T139" s="18">
        <f t="shared" si="61"/>
        <v>216700000</v>
      </c>
      <c r="U139" s="17">
        <v>44347</v>
      </c>
      <c r="V139" s="41"/>
      <c r="W139" s="38"/>
      <c r="X139" s="121"/>
      <c r="Y139" s="42"/>
    </row>
    <row r="140" spans="2:26" s="23" customFormat="1" ht="17.100000000000001" customHeight="1" x14ac:dyDescent="0.3">
      <c r="B140" s="266"/>
      <c r="C140" s="274"/>
      <c r="D140" s="17" t="s">
        <v>995</v>
      </c>
      <c r="E140" s="91" t="s">
        <v>1013</v>
      </c>
      <c r="F140" s="272"/>
      <c r="G140" s="272"/>
      <c r="H140" s="272"/>
      <c r="I140" s="276"/>
      <c r="J140" s="268"/>
      <c r="K140" s="18">
        <f t="shared" si="62"/>
        <v>1882000000</v>
      </c>
      <c r="L140" s="98">
        <v>863000000</v>
      </c>
      <c r="M140" s="18">
        <f t="shared" si="58"/>
        <v>86300000</v>
      </c>
      <c r="N140" s="35">
        <v>44772</v>
      </c>
      <c r="O140" s="18">
        <v>949300000</v>
      </c>
      <c r="P140" s="35"/>
      <c r="Q140" s="18"/>
      <c r="R140" s="18">
        <f t="shared" si="59"/>
        <v>949300000</v>
      </c>
      <c r="S140" s="18">
        <f t="shared" si="60"/>
        <v>0</v>
      </c>
      <c r="T140" s="18">
        <f t="shared" si="61"/>
        <v>949300000</v>
      </c>
      <c r="U140" s="17">
        <v>44377</v>
      </c>
      <c r="V140" s="41"/>
      <c r="W140" s="38"/>
      <c r="X140" s="121"/>
      <c r="Y140" s="42"/>
    </row>
    <row r="141" spans="2:26" s="23" customFormat="1" ht="17.100000000000001" customHeight="1" x14ac:dyDescent="0.3">
      <c r="B141" s="267"/>
      <c r="C141" s="274"/>
      <c r="D141" s="17" t="s">
        <v>995</v>
      </c>
      <c r="E141" s="91" t="s">
        <v>1014</v>
      </c>
      <c r="F141" s="272"/>
      <c r="G141" s="272"/>
      <c r="H141" s="272"/>
      <c r="I141" s="276"/>
      <c r="J141" s="252"/>
      <c r="K141" s="18">
        <f t="shared" si="62"/>
        <v>2548000000</v>
      </c>
      <c r="L141" s="98">
        <v>666000000</v>
      </c>
      <c r="M141" s="18">
        <f t="shared" si="58"/>
        <v>66600000</v>
      </c>
      <c r="N141" s="35">
        <v>44803</v>
      </c>
      <c r="O141" s="18">
        <v>732600000</v>
      </c>
      <c r="P141" s="35"/>
      <c r="Q141" s="18"/>
      <c r="R141" s="18">
        <f t="shared" si="59"/>
        <v>732600000</v>
      </c>
      <c r="S141" s="18">
        <f t="shared" si="60"/>
        <v>0</v>
      </c>
      <c r="T141" s="18">
        <f t="shared" si="61"/>
        <v>732600000</v>
      </c>
      <c r="U141" s="17">
        <v>44408</v>
      </c>
      <c r="V141" s="41"/>
      <c r="W141" s="38"/>
      <c r="X141" s="121"/>
      <c r="Y141" s="42"/>
    </row>
    <row r="142" spans="2:26" s="23" customFormat="1" ht="17.100000000000001" customHeight="1" x14ac:dyDescent="0.3">
      <c r="B142" s="265">
        <v>44431</v>
      </c>
      <c r="C142" s="274"/>
      <c r="D142" s="17" t="s">
        <v>995</v>
      </c>
      <c r="E142" s="91" t="s">
        <v>1015</v>
      </c>
      <c r="F142" s="272"/>
      <c r="G142" s="272"/>
      <c r="H142" s="272"/>
      <c r="I142" s="276"/>
      <c r="J142" s="251">
        <v>6227636363</v>
      </c>
      <c r="K142" s="18">
        <f t="shared" si="62"/>
        <v>2715000000</v>
      </c>
      <c r="L142" s="98">
        <v>167000000</v>
      </c>
      <c r="M142" s="18">
        <f t="shared" si="58"/>
        <v>16700000</v>
      </c>
      <c r="N142" s="35">
        <v>44834</v>
      </c>
      <c r="O142" s="18">
        <v>183700000</v>
      </c>
      <c r="P142" s="35"/>
      <c r="Q142" s="18"/>
      <c r="R142" s="18">
        <f t="shared" si="59"/>
        <v>183700000</v>
      </c>
      <c r="S142" s="18">
        <f t="shared" si="60"/>
        <v>0</v>
      </c>
      <c r="T142" s="18">
        <f t="shared" si="61"/>
        <v>183700000</v>
      </c>
      <c r="U142" s="17">
        <v>44439</v>
      </c>
      <c r="V142" s="41"/>
      <c r="W142" s="38"/>
      <c r="X142" s="121"/>
      <c r="Y142" s="42"/>
    </row>
    <row r="143" spans="2:26" s="23" customFormat="1" ht="17.100000000000001" customHeight="1" x14ac:dyDescent="0.3">
      <c r="B143" s="266"/>
      <c r="C143" s="274"/>
      <c r="D143" s="17" t="s">
        <v>995</v>
      </c>
      <c r="E143" s="91" t="s">
        <v>1016</v>
      </c>
      <c r="F143" s="272"/>
      <c r="G143" s="272"/>
      <c r="H143" s="272"/>
      <c r="I143" s="276"/>
      <c r="J143" s="268"/>
      <c r="K143" s="18">
        <f t="shared" si="62"/>
        <v>3146000000</v>
      </c>
      <c r="L143" s="98">
        <v>431000000</v>
      </c>
      <c r="M143" s="18">
        <f t="shared" si="58"/>
        <v>43100000</v>
      </c>
      <c r="N143" s="35">
        <v>44863</v>
      </c>
      <c r="O143" s="18">
        <v>474100000</v>
      </c>
      <c r="P143" s="35"/>
      <c r="Q143" s="18"/>
      <c r="R143" s="18">
        <f t="shared" si="59"/>
        <v>474100000</v>
      </c>
      <c r="S143" s="18">
        <f t="shared" si="60"/>
        <v>0</v>
      </c>
      <c r="T143" s="18">
        <f t="shared" si="61"/>
        <v>474100000</v>
      </c>
      <c r="U143" s="17">
        <v>44469</v>
      </c>
      <c r="V143" s="41"/>
      <c r="W143" s="38"/>
      <c r="X143" s="121"/>
      <c r="Y143" s="42"/>
    </row>
    <row r="144" spans="2:26" s="23" customFormat="1" ht="17.100000000000001" customHeight="1" x14ac:dyDescent="0.3">
      <c r="B144" s="266"/>
      <c r="C144" s="274"/>
      <c r="D144" s="17" t="s">
        <v>995</v>
      </c>
      <c r="E144" s="91" t="s">
        <v>1017</v>
      </c>
      <c r="F144" s="272"/>
      <c r="G144" s="272"/>
      <c r="H144" s="272"/>
      <c r="I144" s="276"/>
      <c r="J144" s="268"/>
      <c r="K144" s="18">
        <f t="shared" si="62"/>
        <v>3329000000</v>
      </c>
      <c r="L144" s="98">
        <v>183000000</v>
      </c>
      <c r="M144" s="18">
        <f t="shared" si="58"/>
        <v>18300000</v>
      </c>
      <c r="N144" s="35">
        <v>44588</v>
      </c>
      <c r="O144" s="18">
        <v>201300000</v>
      </c>
      <c r="P144" s="35"/>
      <c r="Q144" s="18"/>
      <c r="R144" s="18">
        <f t="shared" si="59"/>
        <v>201300000</v>
      </c>
      <c r="S144" s="18">
        <f t="shared" si="60"/>
        <v>0</v>
      </c>
      <c r="T144" s="18">
        <f t="shared" si="61"/>
        <v>201300000</v>
      </c>
      <c r="U144" s="17">
        <v>44561</v>
      </c>
      <c r="V144" s="41"/>
      <c r="W144" s="38"/>
      <c r="X144" s="121"/>
      <c r="Y144" s="42"/>
      <c r="Z144" s="45"/>
    </row>
    <row r="145" spans="2:26" s="23" customFormat="1" ht="17.100000000000001" customHeight="1" x14ac:dyDescent="0.3">
      <c r="B145" s="266"/>
      <c r="C145" s="274"/>
      <c r="D145" s="17" t="s">
        <v>995</v>
      </c>
      <c r="E145" s="91" t="s">
        <v>1003</v>
      </c>
      <c r="F145" s="272"/>
      <c r="G145" s="272"/>
      <c r="H145" s="272"/>
      <c r="I145" s="276"/>
      <c r="J145" s="268"/>
      <c r="K145" s="18">
        <f t="shared" si="62"/>
        <v>3464000000</v>
      </c>
      <c r="L145" s="99">
        <v>135000000</v>
      </c>
      <c r="M145" s="18">
        <f t="shared" si="58"/>
        <v>13500000</v>
      </c>
      <c r="N145" s="35">
        <v>44620</v>
      </c>
      <c r="O145" s="18">
        <v>148500000</v>
      </c>
      <c r="P145" s="35"/>
      <c r="Q145" s="18"/>
      <c r="R145" s="18">
        <f t="shared" si="59"/>
        <v>148500000</v>
      </c>
      <c r="S145" s="18">
        <f t="shared" si="60"/>
        <v>0</v>
      </c>
      <c r="T145" s="18">
        <f t="shared" si="61"/>
        <v>148500000</v>
      </c>
      <c r="U145" s="17">
        <v>44592</v>
      </c>
      <c r="V145" s="41"/>
      <c r="W145" s="38"/>
      <c r="X145" s="121"/>
      <c r="Y145" s="42"/>
      <c r="Z145" s="45"/>
    </row>
    <row r="146" spans="2:26" s="20" customFormat="1" ht="17.100000000000001" customHeight="1" x14ac:dyDescent="0.3">
      <c r="B146" s="266">
        <v>44723</v>
      </c>
      <c r="C146" s="274"/>
      <c r="D146" s="17" t="s">
        <v>995</v>
      </c>
      <c r="E146" s="91" t="s">
        <v>1018</v>
      </c>
      <c r="F146" s="272"/>
      <c r="G146" s="272"/>
      <c r="H146" s="272"/>
      <c r="I146" s="276"/>
      <c r="J146" s="268">
        <v>6101600000</v>
      </c>
      <c r="K146" s="18">
        <f t="shared" si="62"/>
        <v>3502000000</v>
      </c>
      <c r="L146" s="99">
        <v>38000000</v>
      </c>
      <c r="M146" s="18">
        <f t="shared" si="58"/>
        <v>3800000</v>
      </c>
      <c r="N146" s="35">
        <v>44771</v>
      </c>
      <c r="O146" s="18">
        <v>41800000</v>
      </c>
      <c r="P146" s="35"/>
      <c r="Q146" s="18"/>
      <c r="R146" s="18">
        <f t="shared" si="59"/>
        <v>41800000</v>
      </c>
      <c r="S146" s="18">
        <f t="shared" si="60"/>
        <v>0</v>
      </c>
      <c r="T146" s="18">
        <f t="shared" si="61"/>
        <v>41800000</v>
      </c>
      <c r="U146" s="17">
        <v>44742</v>
      </c>
      <c r="V146" s="22"/>
      <c r="W146" s="38"/>
      <c r="X146" s="122"/>
      <c r="Y146" s="19"/>
    </row>
    <row r="147" spans="2:26" s="20" customFormat="1" ht="17.100000000000001" customHeight="1" x14ac:dyDescent="0.3">
      <c r="B147" s="266"/>
      <c r="C147" s="274"/>
      <c r="D147" s="17" t="s">
        <v>995</v>
      </c>
      <c r="E147" s="91" t="s">
        <v>1169</v>
      </c>
      <c r="F147" s="272"/>
      <c r="G147" s="272"/>
      <c r="H147" s="272"/>
      <c r="I147" s="276"/>
      <c r="J147" s="268"/>
      <c r="K147" s="18">
        <f t="shared" si="62"/>
        <v>3519000000</v>
      </c>
      <c r="L147" s="99">
        <v>17000000</v>
      </c>
      <c r="M147" s="18">
        <f t="shared" si="58"/>
        <v>1700000</v>
      </c>
      <c r="N147" s="35">
        <v>44823</v>
      </c>
      <c r="O147" s="18">
        <v>18700000</v>
      </c>
      <c r="P147" s="35"/>
      <c r="Q147" s="18"/>
      <c r="R147" s="18">
        <f t="shared" si="59"/>
        <v>18700000</v>
      </c>
      <c r="S147" s="18">
        <f t="shared" si="60"/>
        <v>0</v>
      </c>
      <c r="T147" s="18">
        <f t="shared" si="61"/>
        <v>18700000</v>
      </c>
      <c r="U147" s="17">
        <v>44804</v>
      </c>
      <c r="V147" s="22"/>
      <c r="W147" s="38"/>
      <c r="X147" s="122"/>
      <c r="Y147" s="19"/>
    </row>
    <row r="148" spans="2:26" s="20" customFormat="1" ht="17.100000000000001" customHeight="1" x14ac:dyDescent="0.3">
      <c r="B148" s="266">
        <v>44800</v>
      </c>
      <c r="C148" s="274"/>
      <c r="D148" s="17" t="s">
        <v>995</v>
      </c>
      <c r="E148" s="91" t="s">
        <v>1433</v>
      </c>
      <c r="F148" s="272"/>
      <c r="G148" s="272"/>
      <c r="H148" s="272"/>
      <c r="I148" s="276"/>
      <c r="J148" s="268">
        <v>6192000000</v>
      </c>
      <c r="K148" s="18">
        <f t="shared" si="62"/>
        <v>3562000000</v>
      </c>
      <c r="L148" s="99">
        <v>43000000</v>
      </c>
      <c r="M148" s="18">
        <f t="shared" si="58"/>
        <v>4300000</v>
      </c>
      <c r="N148" s="35">
        <v>44894</v>
      </c>
      <c r="O148" s="18">
        <v>47300000</v>
      </c>
      <c r="P148" s="35"/>
      <c r="Q148" s="18"/>
      <c r="R148" s="18">
        <f t="shared" si="59"/>
        <v>47300000</v>
      </c>
      <c r="S148" s="18">
        <f t="shared" si="60"/>
        <v>0</v>
      </c>
      <c r="T148" s="18">
        <f t="shared" si="61"/>
        <v>47300000</v>
      </c>
      <c r="U148" s="17">
        <v>44865</v>
      </c>
      <c r="V148" s="22"/>
      <c r="W148" s="38"/>
      <c r="X148" s="122"/>
      <c r="Y148" s="19"/>
    </row>
    <row r="149" spans="2:26" s="20" customFormat="1" ht="17.100000000000001" customHeight="1" x14ac:dyDescent="0.3">
      <c r="B149" s="266"/>
      <c r="C149" s="274"/>
      <c r="D149" s="17" t="s">
        <v>995</v>
      </c>
      <c r="E149" s="91" t="s">
        <v>1455</v>
      </c>
      <c r="F149" s="272"/>
      <c r="G149" s="272"/>
      <c r="H149" s="272"/>
      <c r="I149" s="276"/>
      <c r="J149" s="268"/>
      <c r="K149" s="18">
        <f t="shared" si="62"/>
        <v>3608000000</v>
      </c>
      <c r="L149" s="99">
        <v>46000000</v>
      </c>
      <c r="M149" s="18">
        <f t="shared" si="58"/>
        <v>4600000</v>
      </c>
      <c r="N149" s="35">
        <v>44956</v>
      </c>
      <c r="O149" s="18">
        <v>50600000</v>
      </c>
      <c r="P149" s="35"/>
      <c r="Q149" s="18"/>
      <c r="R149" s="18">
        <f t="shared" si="59"/>
        <v>50600000</v>
      </c>
      <c r="S149" s="18">
        <f>T149-R149</f>
        <v>0</v>
      </c>
      <c r="T149" s="18">
        <f t="shared" si="61"/>
        <v>50600000</v>
      </c>
      <c r="U149" s="17">
        <v>44926</v>
      </c>
      <c r="V149" s="22"/>
      <c r="W149" s="63"/>
      <c r="X149" s="122"/>
      <c r="Y149" s="19"/>
    </row>
    <row r="150" spans="2:26" s="20" customFormat="1" ht="17.100000000000001" customHeight="1" x14ac:dyDescent="0.3">
      <c r="B150" s="266"/>
      <c r="C150" s="274"/>
      <c r="D150" s="17" t="s">
        <v>995</v>
      </c>
      <c r="E150" s="91" t="s">
        <v>1700</v>
      </c>
      <c r="F150" s="272"/>
      <c r="G150" s="272"/>
      <c r="H150" s="272"/>
      <c r="I150" s="276"/>
      <c r="J150" s="268"/>
      <c r="K150" s="18">
        <f t="shared" si="62"/>
        <v>3674000000</v>
      </c>
      <c r="L150" s="99">
        <v>66000000</v>
      </c>
      <c r="M150" s="18">
        <f t="shared" si="58"/>
        <v>6600000</v>
      </c>
      <c r="N150" s="35">
        <v>45014</v>
      </c>
      <c r="O150" s="18">
        <v>72600000</v>
      </c>
      <c r="P150" s="35"/>
      <c r="Q150" s="18"/>
      <c r="R150" s="18">
        <f t="shared" si="59"/>
        <v>72600000</v>
      </c>
      <c r="S150" s="18">
        <f>T150-R150</f>
        <v>0</v>
      </c>
      <c r="T150" s="18">
        <f t="shared" si="61"/>
        <v>72600000</v>
      </c>
      <c r="U150" s="131">
        <v>44985</v>
      </c>
      <c r="V150" s="22"/>
      <c r="W150" s="63"/>
      <c r="X150" s="122"/>
      <c r="Y150" s="19"/>
    </row>
    <row r="151" spans="2:26" s="20" customFormat="1" ht="17.100000000000001" customHeight="1" x14ac:dyDescent="0.3">
      <c r="B151" s="266"/>
      <c r="C151" s="274"/>
      <c r="D151" s="17" t="s">
        <v>995</v>
      </c>
      <c r="E151" s="91" t="s">
        <v>1701</v>
      </c>
      <c r="F151" s="272"/>
      <c r="G151" s="272"/>
      <c r="H151" s="272"/>
      <c r="I151" s="276"/>
      <c r="J151" s="268"/>
      <c r="K151" s="18">
        <f t="shared" si="62"/>
        <v>3833500000</v>
      </c>
      <c r="L151" s="99">
        <v>159500000</v>
      </c>
      <c r="M151" s="18">
        <f t="shared" si="58"/>
        <v>15950000</v>
      </c>
      <c r="N151" s="35">
        <v>45044</v>
      </c>
      <c r="O151" s="18">
        <v>159500000</v>
      </c>
      <c r="P151" s="35"/>
      <c r="Q151" s="18"/>
      <c r="R151" s="18">
        <f t="shared" si="59"/>
        <v>159500000</v>
      </c>
      <c r="S151" s="18"/>
      <c r="T151" s="18">
        <f t="shared" si="61"/>
        <v>175450000</v>
      </c>
      <c r="U151" s="131">
        <v>45016</v>
      </c>
      <c r="V151" s="22"/>
      <c r="W151" s="63"/>
      <c r="X151" s="122"/>
      <c r="Y151" s="19"/>
    </row>
    <row r="152" spans="2:26" s="20" customFormat="1" ht="17.100000000000001" customHeight="1" x14ac:dyDescent="0.3">
      <c r="B152" s="266"/>
      <c r="C152" s="274"/>
      <c r="D152" s="17" t="s">
        <v>995</v>
      </c>
      <c r="E152" s="91" t="s">
        <v>1702</v>
      </c>
      <c r="F152" s="272"/>
      <c r="G152" s="272"/>
      <c r="H152" s="272"/>
      <c r="I152" s="276"/>
      <c r="J152" s="268"/>
      <c r="K152" s="18">
        <f t="shared" si="62"/>
        <v>3852500000</v>
      </c>
      <c r="L152" s="99">
        <v>19000000</v>
      </c>
      <c r="M152" s="18">
        <f t="shared" si="58"/>
        <v>1900000</v>
      </c>
      <c r="N152" s="35">
        <v>45077</v>
      </c>
      <c r="O152" s="18">
        <v>20900000</v>
      </c>
      <c r="P152" s="35"/>
      <c r="Q152" s="18"/>
      <c r="R152" s="18">
        <f t="shared" si="59"/>
        <v>20900000</v>
      </c>
      <c r="S152" s="18"/>
      <c r="T152" s="18">
        <f t="shared" si="61"/>
        <v>20900000</v>
      </c>
      <c r="U152" s="131">
        <v>45046</v>
      </c>
      <c r="V152" s="22"/>
      <c r="W152" s="63"/>
      <c r="X152" s="122"/>
      <c r="Y152" s="19"/>
    </row>
    <row r="153" spans="2:26" s="20" customFormat="1" ht="17.100000000000001" customHeight="1" x14ac:dyDescent="0.3">
      <c r="B153" s="266"/>
      <c r="C153" s="274"/>
      <c r="D153" s="17" t="s">
        <v>995</v>
      </c>
      <c r="E153" s="91" t="s">
        <v>1729</v>
      </c>
      <c r="F153" s="272"/>
      <c r="G153" s="272"/>
      <c r="H153" s="272"/>
      <c r="I153" s="276"/>
      <c r="J153" s="268"/>
      <c r="K153" s="18">
        <f t="shared" si="62"/>
        <v>3883500000</v>
      </c>
      <c r="L153" s="99">
        <v>31000000</v>
      </c>
      <c r="M153" s="18">
        <f t="shared" si="58"/>
        <v>3100000</v>
      </c>
      <c r="N153" s="35">
        <v>45107</v>
      </c>
      <c r="O153" s="18">
        <v>34100000</v>
      </c>
      <c r="P153" s="35"/>
      <c r="Q153" s="18"/>
      <c r="R153" s="18">
        <f t="shared" si="59"/>
        <v>34100000</v>
      </c>
      <c r="S153" s="18"/>
      <c r="T153" s="18">
        <f t="shared" si="61"/>
        <v>34100000</v>
      </c>
      <c r="U153" s="131">
        <v>45077</v>
      </c>
      <c r="V153" s="22"/>
      <c r="W153" s="63"/>
      <c r="X153" s="122"/>
      <c r="Y153" s="19"/>
    </row>
    <row r="154" spans="2:26" s="20" customFormat="1" ht="17.100000000000001" customHeight="1" x14ac:dyDescent="0.3">
      <c r="B154" s="266"/>
      <c r="C154" s="274"/>
      <c r="D154" s="17" t="s">
        <v>995</v>
      </c>
      <c r="E154" s="91" t="s">
        <v>1730</v>
      </c>
      <c r="F154" s="272"/>
      <c r="G154" s="272"/>
      <c r="H154" s="272"/>
      <c r="I154" s="276"/>
      <c r="J154" s="268"/>
      <c r="K154" s="18">
        <f t="shared" si="62"/>
        <v>3917000000</v>
      </c>
      <c r="L154" s="99">
        <v>33500000</v>
      </c>
      <c r="M154" s="18">
        <f t="shared" si="58"/>
        <v>3350000</v>
      </c>
      <c r="N154" s="35">
        <v>45138</v>
      </c>
      <c r="O154" s="18">
        <v>36850000</v>
      </c>
      <c r="P154" s="35"/>
      <c r="Q154" s="18"/>
      <c r="R154" s="18">
        <f t="shared" si="59"/>
        <v>36850000</v>
      </c>
      <c r="S154" s="18"/>
      <c r="T154" s="18">
        <f t="shared" si="61"/>
        <v>36850000</v>
      </c>
      <c r="U154" s="131">
        <v>45107</v>
      </c>
      <c r="V154" s="22"/>
      <c r="W154" s="63"/>
      <c r="X154" s="122"/>
      <c r="Y154" s="19"/>
    </row>
    <row r="155" spans="2:26" s="20" customFormat="1" ht="17.100000000000001" customHeight="1" x14ac:dyDescent="0.3">
      <c r="B155" s="266"/>
      <c r="C155" s="274"/>
      <c r="D155" s="17" t="s">
        <v>995</v>
      </c>
      <c r="E155" s="91" t="s">
        <v>1812</v>
      </c>
      <c r="F155" s="272"/>
      <c r="G155" s="272"/>
      <c r="H155" s="272"/>
      <c r="I155" s="276"/>
      <c r="J155" s="268"/>
      <c r="K155" s="18">
        <f t="shared" si="62"/>
        <v>3957000000</v>
      </c>
      <c r="L155" s="99">
        <v>40000000</v>
      </c>
      <c r="M155" s="18">
        <f t="shared" si="58"/>
        <v>4000000</v>
      </c>
      <c r="N155" s="35">
        <v>45167</v>
      </c>
      <c r="O155" s="18">
        <v>35080000</v>
      </c>
      <c r="P155" s="35">
        <v>45167</v>
      </c>
      <c r="Q155" s="18">
        <v>8920000</v>
      </c>
      <c r="R155" s="18">
        <f t="shared" si="59"/>
        <v>44000000</v>
      </c>
      <c r="S155" s="18">
        <f>T155-R155</f>
        <v>0</v>
      </c>
      <c r="T155" s="18">
        <f>L155+M155</f>
        <v>44000000</v>
      </c>
      <c r="U155" s="131">
        <v>45138</v>
      </c>
      <c r="V155" s="22"/>
      <c r="W155" s="63"/>
      <c r="X155" s="122"/>
      <c r="Y155" s="19"/>
    </row>
    <row r="156" spans="2:26" s="20" customFormat="1" ht="17.100000000000001" customHeight="1" x14ac:dyDescent="0.3">
      <c r="B156" s="267"/>
      <c r="C156" s="274"/>
      <c r="D156" s="17" t="s">
        <v>995</v>
      </c>
      <c r="E156" s="91" t="s">
        <v>1828</v>
      </c>
      <c r="F156" s="260"/>
      <c r="G156" s="260"/>
      <c r="H156" s="260"/>
      <c r="I156" s="263"/>
      <c r="J156" s="252"/>
      <c r="K156" s="18">
        <f t="shared" si="62"/>
        <v>4080000000</v>
      </c>
      <c r="L156" s="99">
        <v>123000000</v>
      </c>
      <c r="M156" s="18">
        <f t="shared" si="58"/>
        <v>12300000</v>
      </c>
      <c r="N156" s="35">
        <v>45196</v>
      </c>
      <c r="O156" s="18">
        <v>109380000</v>
      </c>
      <c r="P156" s="35">
        <v>45196</v>
      </c>
      <c r="Q156" s="18">
        <v>25920000</v>
      </c>
      <c r="R156" s="18">
        <f t="shared" si="59"/>
        <v>135300000</v>
      </c>
      <c r="S156" s="18">
        <f t="shared" ref="S156" si="63">T156-R156</f>
        <v>0</v>
      </c>
      <c r="T156" s="18">
        <f>L156+M156</f>
        <v>135300000</v>
      </c>
      <c r="U156" s="131">
        <v>45169</v>
      </c>
      <c r="V156" s="22"/>
      <c r="W156" s="63"/>
      <c r="X156" s="122">
        <v>79156422</v>
      </c>
      <c r="Y156" s="19"/>
    </row>
    <row r="157" spans="2:26" s="20" customFormat="1" ht="17.100000000000001" customHeight="1" x14ac:dyDescent="0.3">
      <c r="B157" s="17">
        <v>45412</v>
      </c>
      <c r="C157" s="275"/>
      <c r="D157" s="17" t="s">
        <v>995</v>
      </c>
      <c r="E157" s="91" t="s">
        <v>2118</v>
      </c>
      <c r="F157" s="15"/>
      <c r="G157" s="15"/>
      <c r="H157" s="15"/>
      <c r="I157" s="29"/>
      <c r="J157" s="19">
        <v>4544126000</v>
      </c>
      <c r="K157" s="18">
        <f t="shared" si="62"/>
        <v>4558626000</v>
      </c>
      <c r="L157" s="99">
        <v>478626000</v>
      </c>
      <c r="M157" s="18">
        <f t="shared" si="45"/>
        <v>47862600</v>
      </c>
      <c r="N157" s="35">
        <v>45443</v>
      </c>
      <c r="O157" s="18">
        <v>526488600</v>
      </c>
      <c r="P157" s="35"/>
      <c r="Q157" s="18"/>
      <c r="R157" s="18">
        <f t="shared" si="46"/>
        <v>526488600</v>
      </c>
      <c r="S157" s="18">
        <f t="shared" si="47"/>
        <v>0</v>
      </c>
      <c r="T157" s="18">
        <f t="shared" si="48"/>
        <v>526488600</v>
      </c>
      <c r="U157" s="17">
        <v>45412</v>
      </c>
      <c r="V157" s="22"/>
      <c r="W157" s="38"/>
      <c r="X157" s="122"/>
      <c r="Y157" s="19"/>
    </row>
    <row r="158" spans="2:26" s="20" customFormat="1" ht="17.100000000000001" customHeight="1" x14ac:dyDescent="0.3">
      <c r="B158" s="17"/>
      <c r="C158" s="94"/>
      <c r="D158" s="17"/>
      <c r="E158" s="91"/>
      <c r="F158" s="15"/>
      <c r="G158" s="15"/>
      <c r="H158" s="15"/>
      <c r="I158" s="29"/>
      <c r="J158" s="19"/>
      <c r="K158" s="19"/>
      <c r="L158" s="99"/>
      <c r="M158" s="18">
        <f t="shared" si="45"/>
        <v>0</v>
      </c>
      <c r="N158" s="35"/>
      <c r="O158" s="18"/>
      <c r="P158" s="35"/>
      <c r="Q158" s="18"/>
      <c r="R158" s="18">
        <f t="shared" si="46"/>
        <v>0</v>
      </c>
      <c r="S158" s="18">
        <f t="shared" si="47"/>
        <v>0</v>
      </c>
      <c r="T158" s="18">
        <f t="shared" si="48"/>
        <v>0</v>
      </c>
      <c r="U158" s="17"/>
      <c r="V158" s="22"/>
      <c r="W158" s="38"/>
      <c r="X158" s="122"/>
      <c r="Y158" s="19"/>
      <c r="Z158" s="45"/>
    </row>
    <row r="159" spans="2:26" s="20" customFormat="1" ht="17.100000000000001" customHeight="1" x14ac:dyDescent="0.3">
      <c r="B159" s="17">
        <v>44288</v>
      </c>
      <c r="C159" s="273" t="s">
        <v>999</v>
      </c>
      <c r="D159" s="17" t="s">
        <v>995</v>
      </c>
      <c r="E159" s="91" t="s">
        <v>1000</v>
      </c>
      <c r="F159" s="259" t="s">
        <v>25</v>
      </c>
      <c r="G159" s="259" t="s">
        <v>21</v>
      </c>
      <c r="H159" s="259" t="s">
        <v>998</v>
      </c>
      <c r="I159" s="262" t="s">
        <v>1436</v>
      </c>
      <c r="J159" s="251">
        <v>2646000000</v>
      </c>
      <c r="K159" s="18">
        <f>L159</f>
        <v>101818182</v>
      </c>
      <c r="L159" s="99">
        <v>101818182</v>
      </c>
      <c r="M159" s="18">
        <f t="shared" si="45"/>
        <v>10181818.200000001</v>
      </c>
      <c r="N159" s="35">
        <v>44585</v>
      </c>
      <c r="O159" s="18">
        <v>112000000</v>
      </c>
      <c r="P159" s="35"/>
      <c r="Q159" s="18"/>
      <c r="R159" s="18">
        <f t="shared" si="46"/>
        <v>112000000</v>
      </c>
      <c r="S159" s="18">
        <f t="shared" si="47"/>
        <v>0.20000000298023224</v>
      </c>
      <c r="T159" s="18">
        <f t="shared" si="48"/>
        <v>112000000.2</v>
      </c>
      <c r="U159" s="17">
        <v>44581</v>
      </c>
      <c r="V159" s="22"/>
      <c r="W159" s="38"/>
      <c r="X159" s="122"/>
      <c r="Y159" s="19"/>
      <c r="Z159" s="45"/>
    </row>
    <row r="160" spans="2:26" s="20" customFormat="1" ht="17.100000000000001" customHeight="1" x14ac:dyDescent="0.3">
      <c r="B160" s="265">
        <v>44390</v>
      </c>
      <c r="C160" s="274"/>
      <c r="D160" s="17" t="s">
        <v>995</v>
      </c>
      <c r="E160" s="91" t="s">
        <v>1002</v>
      </c>
      <c r="F160" s="272"/>
      <c r="G160" s="272"/>
      <c r="H160" s="272"/>
      <c r="I160" s="276"/>
      <c r="J160" s="268"/>
      <c r="K160" s="18">
        <f t="shared" ref="K160:K168" si="64">K159+L160</f>
        <v>200000000</v>
      </c>
      <c r="L160" s="99">
        <v>98181818</v>
      </c>
      <c r="M160" s="18">
        <f t="shared" si="45"/>
        <v>9818181.8000000007</v>
      </c>
      <c r="N160" s="35">
        <v>44616</v>
      </c>
      <c r="O160" s="18">
        <v>108000000</v>
      </c>
      <c r="P160" s="35"/>
      <c r="Q160" s="18"/>
      <c r="R160" s="18">
        <f t="shared" si="46"/>
        <v>108000000</v>
      </c>
      <c r="S160" s="18">
        <f t="shared" si="47"/>
        <v>-0.20000000298023224</v>
      </c>
      <c r="T160" s="18">
        <f t="shared" si="48"/>
        <v>107999999.8</v>
      </c>
      <c r="U160" s="17">
        <v>44613</v>
      </c>
      <c r="V160" s="22"/>
      <c r="W160" s="38"/>
      <c r="X160" s="122"/>
      <c r="Y160" s="19"/>
    </row>
    <row r="161" spans="2:26" s="20" customFormat="1" ht="17.100000000000001" customHeight="1" x14ac:dyDescent="0.3">
      <c r="B161" s="266"/>
      <c r="C161" s="274"/>
      <c r="D161" s="17" t="s">
        <v>995</v>
      </c>
      <c r="E161" s="91" t="s">
        <v>1009</v>
      </c>
      <c r="F161" s="272"/>
      <c r="G161" s="272"/>
      <c r="H161" s="272"/>
      <c r="I161" s="276"/>
      <c r="J161" s="268"/>
      <c r="K161" s="18">
        <f t="shared" si="64"/>
        <v>343818182</v>
      </c>
      <c r="L161" s="99">
        <v>143818182</v>
      </c>
      <c r="M161" s="18">
        <f t="shared" si="45"/>
        <v>14381818.200000001</v>
      </c>
      <c r="N161" s="35">
        <v>44736</v>
      </c>
      <c r="O161" s="18">
        <v>158200000</v>
      </c>
      <c r="P161" s="35"/>
      <c r="Q161" s="18"/>
      <c r="R161" s="18">
        <f t="shared" si="46"/>
        <v>158200000</v>
      </c>
      <c r="S161" s="18">
        <f t="shared" si="47"/>
        <v>0.19999998807907104</v>
      </c>
      <c r="T161" s="18">
        <f t="shared" si="48"/>
        <v>158200000.19999999</v>
      </c>
      <c r="U161" s="17">
        <v>44732</v>
      </c>
      <c r="V161" s="22"/>
      <c r="W161" s="38"/>
      <c r="X161" s="122"/>
      <c r="Y161" s="19"/>
    </row>
    <row r="162" spans="2:26" s="20" customFormat="1" ht="17.100000000000001" customHeight="1" x14ac:dyDescent="0.3">
      <c r="B162" s="266"/>
      <c r="C162" s="274"/>
      <c r="D162" s="17" t="s">
        <v>995</v>
      </c>
      <c r="E162" s="91" t="s">
        <v>1010</v>
      </c>
      <c r="F162" s="272"/>
      <c r="G162" s="272"/>
      <c r="H162" s="272"/>
      <c r="I162" s="276"/>
      <c r="J162" s="268"/>
      <c r="K162" s="18">
        <f t="shared" si="64"/>
        <v>400181818</v>
      </c>
      <c r="L162" s="99">
        <v>56363636</v>
      </c>
      <c r="M162" s="18">
        <f t="shared" si="45"/>
        <v>5636363.6000000006</v>
      </c>
      <c r="N162" s="35">
        <v>44767</v>
      </c>
      <c r="O162" s="18">
        <v>62000000</v>
      </c>
      <c r="P162" s="35"/>
      <c r="Q162" s="18"/>
      <c r="R162" s="18">
        <f t="shared" si="46"/>
        <v>62000000</v>
      </c>
      <c r="S162" s="18">
        <f t="shared" si="47"/>
        <v>-0.39999999850988388</v>
      </c>
      <c r="T162" s="18">
        <f t="shared" si="48"/>
        <v>61999999.600000001</v>
      </c>
      <c r="U162" s="17">
        <v>44762</v>
      </c>
      <c r="V162" s="22"/>
      <c r="W162" s="38"/>
      <c r="X162" s="122"/>
      <c r="Y162" s="19"/>
    </row>
    <row r="163" spans="2:26" s="20" customFormat="1" ht="17.100000000000001" customHeight="1" x14ac:dyDescent="0.3">
      <c r="B163" s="266"/>
      <c r="C163" s="274"/>
      <c r="D163" s="17" t="s">
        <v>995</v>
      </c>
      <c r="E163" s="91" t="s">
        <v>1108</v>
      </c>
      <c r="F163" s="272"/>
      <c r="G163" s="272"/>
      <c r="H163" s="272"/>
      <c r="I163" s="276"/>
      <c r="J163" s="268"/>
      <c r="K163" s="18">
        <f t="shared" si="64"/>
        <v>457545455</v>
      </c>
      <c r="L163" s="99">
        <v>57363637</v>
      </c>
      <c r="M163" s="18">
        <f>L163*0.1-1</f>
        <v>5736362.7000000002</v>
      </c>
      <c r="N163" s="35">
        <v>44858</v>
      </c>
      <c r="O163" s="18">
        <v>63100000</v>
      </c>
      <c r="P163" s="35"/>
      <c r="Q163" s="18"/>
      <c r="R163" s="18">
        <f t="shared" si="46"/>
        <v>63100000</v>
      </c>
      <c r="S163" s="18">
        <f t="shared" si="47"/>
        <v>-0.29999999701976776</v>
      </c>
      <c r="T163" s="18">
        <f t="shared" si="48"/>
        <v>63099999.700000003</v>
      </c>
      <c r="U163" s="17">
        <v>44849</v>
      </c>
      <c r="V163" s="22"/>
      <c r="W163" s="38"/>
      <c r="X163" s="122"/>
      <c r="Y163" s="19"/>
    </row>
    <row r="164" spans="2:26" s="20" customFormat="1" ht="17.100000000000001" customHeight="1" x14ac:dyDescent="0.3">
      <c r="B164" s="266"/>
      <c r="C164" s="274"/>
      <c r="D164" s="17" t="s">
        <v>995</v>
      </c>
      <c r="E164" s="91" t="s">
        <v>1109</v>
      </c>
      <c r="F164" s="272"/>
      <c r="G164" s="272"/>
      <c r="H164" s="272"/>
      <c r="I164" s="276"/>
      <c r="J164" s="268"/>
      <c r="K164" s="18">
        <f t="shared" si="64"/>
        <v>537545455</v>
      </c>
      <c r="L164" s="99">
        <v>80000000</v>
      </c>
      <c r="M164" s="18">
        <f t="shared" ref="M164:M168" si="65">L164*0.1</f>
        <v>8000000</v>
      </c>
      <c r="N164" s="35">
        <v>44889</v>
      </c>
      <c r="O164" s="18">
        <v>88000000</v>
      </c>
      <c r="P164" s="35"/>
      <c r="Q164" s="18"/>
      <c r="R164" s="18">
        <f t="shared" si="46"/>
        <v>88000000</v>
      </c>
      <c r="S164" s="18">
        <f t="shared" si="47"/>
        <v>0</v>
      </c>
      <c r="T164" s="18">
        <f t="shared" si="48"/>
        <v>88000000</v>
      </c>
      <c r="U164" s="17">
        <v>44886</v>
      </c>
      <c r="V164" s="22"/>
      <c r="W164" s="38"/>
      <c r="X164" s="122"/>
      <c r="Y164" s="19"/>
    </row>
    <row r="165" spans="2:26" s="20" customFormat="1" ht="17.100000000000001" customHeight="1" x14ac:dyDescent="0.3">
      <c r="B165" s="266"/>
      <c r="C165" s="274"/>
      <c r="D165" s="17" t="s">
        <v>995</v>
      </c>
      <c r="E165" s="91" t="s">
        <v>1434</v>
      </c>
      <c r="F165" s="272"/>
      <c r="G165" s="272"/>
      <c r="H165" s="272"/>
      <c r="I165" s="276"/>
      <c r="J165" s="268"/>
      <c r="K165" s="18">
        <f t="shared" si="64"/>
        <v>685727273</v>
      </c>
      <c r="L165" s="99">
        <v>148181818</v>
      </c>
      <c r="M165" s="18">
        <f t="shared" si="65"/>
        <v>14818181.800000001</v>
      </c>
      <c r="N165" s="35">
        <v>44918</v>
      </c>
      <c r="O165" s="18">
        <v>163000000</v>
      </c>
      <c r="P165" s="35"/>
      <c r="Q165" s="18"/>
      <c r="R165" s="18">
        <f t="shared" si="46"/>
        <v>163000000</v>
      </c>
      <c r="S165" s="18">
        <f t="shared" si="47"/>
        <v>-0.19999998807907104</v>
      </c>
      <c r="T165" s="18">
        <f t="shared" si="48"/>
        <v>162999999.80000001</v>
      </c>
      <c r="U165" s="17">
        <v>44911</v>
      </c>
      <c r="V165" s="22"/>
      <c r="W165" s="38"/>
      <c r="X165" s="122"/>
      <c r="Y165" s="19"/>
    </row>
    <row r="166" spans="2:26" s="20" customFormat="1" ht="17.100000000000001" customHeight="1" x14ac:dyDescent="0.3">
      <c r="B166" s="266"/>
      <c r="C166" s="274"/>
      <c r="D166" s="17" t="s">
        <v>995</v>
      </c>
      <c r="E166" s="91" t="s">
        <v>1435</v>
      </c>
      <c r="F166" s="272"/>
      <c r="G166" s="272"/>
      <c r="H166" s="272"/>
      <c r="I166" s="276"/>
      <c r="J166" s="268"/>
      <c r="K166" s="18">
        <f t="shared" si="64"/>
        <v>734818182</v>
      </c>
      <c r="L166" s="99">
        <v>49090909</v>
      </c>
      <c r="M166" s="18">
        <f t="shared" si="65"/>
        <v>4909090.9000000004</v>
      </c>
      <c r="N166" s="35">
        <v>44944</v>
      </c>
      <c r="O166" s="18">
        <v>54000000</v>
      </c>
      <c r="P166" s="35"/>
      <c r="Q166" s="18"/>
      <c r="R166" s="18">
        <f t="shared" si="46"/>
        <v>54000000</v>
      </c>
      <c r="S166" s="18">
        <f t="shared" si="47"/>
        <v>-0.10000000149011612</v>
      </c>
      <c r="T166" s="18">
        <f t="shared" si="48"/>
        <v>53999999.899999999</v>
      </c>
      <c r="U166" s="17">
        <v>44945</v>
      </c>
      <c r="V166" s="22"/>
      <c r="W166" s="38"/>
      <c r="X166" s="122"/>
      <c r="Y166" s="19"/>
    </row>
    <row r="167" spans="2:26" s="20" customFormat="1" ht="17.100000000000001" customHeight="1" x14ac:dyDescent="0.3">
      <c r="B167" s="266"/>
      <c r="C167" s="274"/>
      <c r="D167" s="17" t="s">
        <v>995</v>
      </c>
      <c r="E167" s="91" t="s">
        <v>1731</v>
      </c>
      <c r="F167" s="272"/>
      <c r="G167" s="272"/>
      <c r="H167" s="272"/>
      <c r="I167" s="276"/>
      <c r="J167" s="268"/>
      <c r="K167" s="18">
        <f t="shared" si="64"/>
        <v>811818182</v>
      </c>
      <c r="L167" s="99">
        <v>77000000</v>
      </c>
      <c r="M167" s="18">
        <f t="shared" si="65"/>
        <v>7700000</v>
      </c>
      <c r="N167" s="35">
        <v>45100</v>
      </c>
      <c r="O167" s="18">
        <v>84700000</v>
      </c>
      <c r="P167" s="35"/>
      <c r="Q167" s="18"/>
      <c r="R167" s="18">
        <f t="shared" si="46"/>
        <v>84700000</v>
      </c>
      <c r="S167" s="18">
        <f t="shared" si="47"/>
        <v>0</v>
      </c>
      <c r="T167" s="18">
        <f t="shared" si="48"/>
        <v>84700000</v>
      </c>
      <c r="U167" s="17">
        <v>45096</v>
      </c>
      <c r="V167" s="22"/>
      <c r="W167" s="38"/>
      <c r="X167" s="122"/>
      <c r="Y167" s="19"/>
    </row>
    <row r="168" spans="2:26" s="20" customFormat="1" ht="17.100000000000001" customHeight="1" x14ac:dyDescent="0.3">
      <c r="B168" s="130"/>
      <c r="C168" s="275"/>
      <c r="D168" s="17" t="s">
        <v>995</v>
      </c>
      <c r="E168" s="91" t="s">
        <v>2244</v>
      </c>
      <c r="F168" s="260"/>
      <c r="G168" s="260"/>
      <c r="H168" s="260"/>
      <c r="I168" s="263"/>
      <c r="J168" s="252"/>
      <c r="K168" s="18">
        <f t="shared" si="64"/>
        <v>887272727</v>
      </c>
      <c r="L168" s="99">
        <v>75454545</v>
      </c>
      <c r="M168" s="18">
        <f t="shared" si="65"/>
        <v>7545454.5</v>
      </c>
      <c r="N168" s="35">
        <v>45498</v>
      </c>
      <c r="O168" s="18">
        <v>83000000</v>
      </c>
      <c r="P168" s="35"/>
      <c r="Q168" s="18"/>
      <c r="R168" s="18">
        <f t="shared" si="46"/>
        <v>83000000</v>
      </c>
      <c r="S168" s="18">
        <f t="shared" si="47"/>
        <v>-0.5</v>
      </c>
      <c r="T168" s="18">
        <f t="shared" si="48"/>
        <v>82999999.5</v>
      </c>
      <c r="U168" s="17">
        <v>45495</v>
      </c>
      <c r="V168" s="22"/>
      <c r="W168" s="38"/>
      <c r="X168" s="122"/>
      <c r="Y168" s="19"/>
      <c r="Z168" s="45"/>
    </row>
    <row r="169" spans="2:26" s="20" customFormat="1" ht="17.100000000000001" customHeight="1" x14ac:dyDescent="0.3">
      <c r="B169" s="17"/>
      <c r="C169" s="94"/>
      <c r="D169" s="17"/>
      <c r="E169" s="91"/>
      <c r="F169" s="15"/>
      <c r="G169" s="15"/>
      <c r="H169" s="15"/>
      <c r="I169" s="29"/>
      <c r="J169" s="19"/>
      <c r="K169" s="19"/>
      <c r="L169" s="99"/>
      <c r="M169" s="18">
        <f t="shared" si="45"/>
        <v>0</v>
      </c>
      <c r="N169" s="35"/>
      <c r="O169" s="18"/>
      <c r="P169" s="35"/>
      <c r="Q169" s="18"/>
      <c r="R169" s="18">
        <f t="shared" si="46"/>
        <v>0</v>
      </c>
      <c r="S169" s="18">
        <f t="shared" si="47"/>
        <v>0</v>
      </c>
      <c r="T169" s="18">
        <f t="shared" si="48"/>
        <v>0</v>
      </c>
      <c r="U169" s="17"/>
      <c r="V169" s="22"/>
      <c r="W169" s="38"/>
      <c r="X169" s="122"/>
      <c r="Y169" s="19"/>
      <c r="Z169" s="45"/>
    </row>
    <row r="170" spans="2:26" s="20" customFormat="1" ht="17.100000000000001" customHeight="1" x14ac:dyDescent="0.3">
      <c r="B170" s="17"/>
      <c r="C170" s="94"/>
      <c r="D170" s="17"/>
      <c r="E170" s="91"/>
      <c r="F170" s="15"/>
      <c r="G170" s="15"/>
      <c r="H170" s="15"/>
      <c r="I170" s="29"/>
      <c r="J170" s="19"/>
      <c r="K170" s="19"/>
      <c r="L170" s="99"/>
      <c r="M170" s="18">
        <f t="shared" si="45"/>
        <v>0</v>
      </c>
      <c r="N170" s="35"/>
      <c r="O170" s="18"/>
      <c r="P170" s="35"/>
      <c r="Q170" s="18"/>
      <c r="R170" s="18">
        <f t="shared" si="46"/>
        <v>0</v>
      </c>
      <c r="S170" s="18">
        <f t="shared" si="47"/>
        <v>0</v>
      </c>
      <c r="T170" s="18">
        <f t="shared" si="48"/>
        <v>0</v>
      </c>
      <c r="U170" s="17"/>
      <c r="V170" s="22"/>
      <c r="W170" s="38"/>
      <c r="X170" s="122"/>
      <c r="Y170" s="19"/>
    </row>
    <row r="171" spans="2:26" s="20" customFormat="1" ht="17.100000000000001" customHeight="1" x14ac:dyDescent="0.3">
      <c r="B171" s="17"/>
      <c r="C171" s="94"/>
      <c r="D171" s="17"/>
      <c r="E171" s="91"/>
      <c r="F171" s="15"/>
      <c r="G171" s="15"/>
      <c r="H171" s="15"/>
      <c r="I171" s="29"/>
      <c r="J171" s="19"/>
      <c r="K171" s="19"/>
      <c r="L171" s="99"/>
      <c r="M171" s="18">
        <f t="shared" si="45"/>
        <v>0</v>
      </c>
      <c r="N171" s="35"/>
      <c r="O171" s="18"/>
      <c r="P171" s="35"/>
      <c r="Q171" s="18"/>
      <c r="R171" s="18">
        <f t="shared" si="46"/>
        <v>0</v>
      </c>
      <c r="S171" s="18">
        <f t="shared" si="47"/>
        <v>0</v>
      </c>
      <c r="T171" s="18">
        <f t="shared" si="48"/>
        <v>0</v>
      </c>
      <c r="U171" s="17"/>
      <c r="V171" s="22"/>
      <c r="W171" s="38"/>
      <c r="X171" s="122"/>
      <c r="Y171" s="19"/>
      <c r="Z171" s="45"/>
    </row>
    <row r="172" spans="2:26" s="20" customFormat="1" ht="17.100000000000001" customHeight="1" x14ac:dyDescent="0.3">
      <c r="B172" s="17"/>
      <c r="C172" s="94"/>
      <c r="D172" s="17"/>
      <c r="E172" s="91"/>
      <c r="F172" s="15"/>
      <c r="G172" s="15"/>
      <c r="H172" s="15"/>
      <c r="I172" s="29"/>
      <c r="J172" s="19"/>
      <c r="K172" s="19"/>
      <c r="L172" s="99"/>
      <c r="M172" s="18">
        <f t="shared" si="45"/>
        <v>0</v>
      </c>
      <c r="N172" s="35"/>
      <c r="O172" s="18"/>
      <c r="P172" s="35"/>
      <c r="Q172" s="18"/>
      <c r="R172" s="18">
        <f t="shared" si="46"/>
        <v>0</v>
      </c>
      <c r="S172" s="18">
        <f t="shared" si="47"/>
        <v>0</v>
      </c>
      <c r="T172" s="18">
        <f t="shared" si="48"/>
        <v>0</v>
      </c>
      <c r="U172" s="17"/>
      <c r="V172" s="22"/>
      <c r="W172" s="38"/>
      <c r="X172" s="122"/>
      <c r="Y172" s="19"/>
    </row>
    <row r="173" spans="2:26" s="20" customFormat="1" ht="17.100000000000001" customHeight="1" x14ac:dyDescent="0.3">
      <c r="B173" s="17"/>
      <c r="C173" s="94"/>
      <c r="D173" s="17"/>
      <c r="E173" s="91"/>
      <c r="F173" s="15"/>
      <c r="G173" s="15"/>
      <c r="H173" s="15"/>
      <c r="I173" s="29"/>
      <c r="J173" s="19"/>
      <c r="K173" s="19"/>
      <c r="L173" s="99"/>
      <c r="M173" s="18">
        <f t="shared" si="45"/>
        <v>0</v>
      </c>
      <c r="N173" s="35"/>
      <c r="O173" s="18"/>
      <c r="P173" s="35"/>
      <c r="Q173" s="18"/>
      <c r="R173" s="18">
        <f t="shared" si="46"/>
        <v>0</v>
      </c>
      <c r="S173" s="18">
        <f t="shared" si="47"/>
        <v>0</v>
      </c>
      <c r="T173" s="18">
        <f t="shared" si="48"/>
        <v>0</v>
      </c>
      <c r="U173" s="17"/>
      <c r="V173" s="22"/>
      <c r="W173" s="38"/>
      <c r="X173" s="122"/>
      <c r="Y173" s="19"/>
    </row>
    <row r="174" spans="2:26" s="20" customFormat="1" ht="17.100000000000001" customHeight="1" x14ac:dyDescent="0.3">
      <c r="B174" s="17"/>
      <c r="C174" s="94"/>
      <c r="D174" s="17"/>
      <c r="E174" s="91"/>
      <c r="F174" s="15"/>
      <c r="G174" s="15"/>
      <c r="H174" s="15"/>
      <c r="I174" s="29"/>
      <c r="J174" s="19"/>
      <c r="K174" s="19"/>
      <c r="L174" s="99"/>
      <c r="M174" s="18">
        <f t="shared" si="45"/>
        <v>0</v>
      </c>
      <c r="N174" s="35"/>
      <c r="O174" s="18"/>
      <c r="P174" s="35"/>
      <c r="Q174" s="18"/>
      <c r="R174" s="18">
        <f t="shared" si="46"/>
        <v>0</v>
      </c>
      <c r="S174" s="18">
        <f t="shared" si="47"/>
        <v>0</v>
      </c>
      <c r="T174" s="18">
        <f t="shared" si="48"/>
        <v>0</v>
      </c>
      <c r="U174" s="17"/>
      <c r="V174" s="22"/>
      <c r="W174" s="38"/>
      <c r="X174" s="122"/>
      <c r="Y174" s="19"/>
    </row>
    <row r="175" spans="2:26" s="20" customFormat="1" ht="17.100000000000001" customHeight="1" x14ac:dyDescent="0.3">
      <c r="B175" s="17"/>
      <c r="C175" s="94"/>
      <c r="D175" s="17"/>
      <c r="E175" s="91"/>
      <c r="F175" s="15"/>
      <c r="G175" s="15"/>
      <c r="H175" s="15"/>
      <c r="I175" s="29"/>
      <c r="J175" s="19"/>
      <c r="K175" s="19"/>
      <c r="L175" s="99"/>
      <c r="M175" s="18">
        <f t="shared" si="45"/>
        <v>0</v>
      </c>
      <c r="N175" s="35"/>
      <c r="O175" s="18"/>
      <c r="P175" s="35"/>
      <c r="Q175" s="18"/>
      <c r="R175" s="18">
        <f t="shared" si="46"/>
        <v>0</v>
      </c>
      <c r="S175" s="18">
        <f t="shared" si="47"/>
        <v>0</v>
      </c>
      <c r="T175" s="18">
        <f t="shared" si="48"/>
        <v>0</v>
      </c>
      <c r="U175" s="17"/>
      <c r="V175" s="22"/>
      <c r="W175" s="38"/>
      <c r="X175" s="122"/>
      <c r="Y175" s="19"/>
      <c r="Z175" s="45"/>
    </row>
    <row r="176" spans="2:26" s="20" customFormat="1" ht="17.100000000000001" customHeight="1" x14ac:dyDescent="0.3">
      <c r="B176" s="17"/>
      <c r="C176" s="94"/>
      <c r="D176" s="17"/>
      <c r="E176" s="91"/>
      <c r="F176" s="15"/>
      <c r="G176" s="15"/>
      <c r="H176" s="15"/>
      <c r="I176" s="29"/>
      <c r="J176" s="19"/>
      <c r="K176" s="19"/>
      <c r="L176" s="99"/>
      <c r="M176" s="18">
        <f t="shared" si="45"/>
        <v>0</v>
      </c>
      <c r="N176" s="35"/>
      <c r="O176" s="18"/>
      <c r="P176" s="35"/>
      <c r="Q176" s="18"/>
      <c r="R176" s="18">
        <f t="shared" si="46"/>
        <v>0</v>
      </c>
      <c r="S176" s="18">
        <f t="shared" si="47"/>
        <v>0</v>
      </c>
      <c r="T176" s="18">
        <f t="shared" si="48"/>
        <v>0</v>
      </c>
      <c r="U176" s="17"/>
      <c r="V176" s="22"/>
      <c r="W176" s="38"/>
      <c r="X176" s="122"/>
      <c r="Y176" s="19"/>
      <c r="Z176" s="45"/>
    </row>
    <row r="177" spans="2:26" s="20" customFormat="1" ht="17.100000000000001" customHeight="1" x14ac:dyDescent="0.3">
      <c r="B177" s="17"/>
      <c r="C177" s="94"/>
      <c r="D177" s="17"/>
      <c r="E177" s="91"/>
      <c r="F177" s="15"/>
      <c r="G177" s="15"/>
      <c r="H177" s="15"/>
      <c r="I177" s="29"/>
      <c r="J177" s="19"/>
      <c r="K177" s="19"/>
      <c r="L177" s="99"/>
      <c r="M177" s="18">
        <f t="shared" si="45"/>
        <v>0</v>
      </c>
      <c r="N177" s="35"/>
      <c r="O177" s="18"/>
      <c r="P177" s="35"/>
      <c r="Q177" s="18"/>
      <c r="R177" s="18">
        <f t="shared" si="46"/>
        <v>0</v>
      </c>
      <c r="S177" s="18">
        <f t="shared" si="47"/>
        <v>0</v>
      </c>
      <c r="T177" s="18">
        <f t="shared" si="48"/>
        <v>0</v>
      </c>
      <c r="U177" s="17"/>
      <c r="V177" s="22"/>
      <c r="W177" s="38"/>
      <c r="X177" s="122"/>
      <c r="Y177" s="19"/>
    </row>
    <row r="178" spans="2:26" s="20" customFormat="1" ht="17.100000000000001" customHeight="1" x14ac:dyDescent="0.3">
      <c r="B178" s="17"/>
      <c r="C178" s="94"/>
      <c r="D178" s="17"/>
      <c r="E178" s="91"/>
      <c r="F178" s="15"/>
      <c r="G178" s="15"/>
      <c r="H178" s="15"/>
      <c r="I178" s="29"/>
      <c r="J178" s="19"/>
      <c r="K178" s="19"/>
      <c r="L178" s="99"/>
      <c r="M178" s="18">
        <f t="shared" si="45"/>
        <v>0</v>
      </c>
      <c r="N178" s="35"/>
      <c r="O178" s="18"/>
      <c r="P178" s="35"/>
      <c r="Q178" s="18"/>
      <c r="R178" s="18">
        <f t="shared" si="46"/>
        <v>0</v>
      </c>
      <c r="S178" s="18">
        <f t="shared" si="47"/>
        <v>0</v>
      </c>
      <c r="T178" s="18">
        <f t="shared" si="48"/>
        <v>0</v>
      </c>
      <c r="U178" s="17"/>
      <c r="V178" s="22"/>
      <c r="W178" s="38"/>
      <c r="X178" s="122"/>
      <c r="Y178" s="19"/>
    </row>
    <row r="179" spans="2:26" s="20" customFormat="1" ht="17.100000000000001" customHeight="1" x14ac:dyDescent="0.3">
      <c r="B179" s="17"/>
      <c r="C179" s="94"/>
      <c r="D179" s="17"/>
      <c r="E179" s="91"/>
      <c r="F179" s="15"/>
      <c r="G179" s="15"/>
      <c r="H179" s="15"/>
      <c r="I179" s="29"/>
      <c r="J179" s="19"/>
      <c r="K179" s="19"/>
      <c r="L179" s="99"/>
      <c r="M179" s="18">
        <f t="shared" si="45"/>
        <v>0</v>
      </c>
      <c r="N179" s="35"/>
      <c r="O179" s="18"/>
      <c r="P179" s="35"/>
      <c r="Q179" s="18"/>
      <c r="R179" s="18">
        <f t="shared" si="46"/>
        <v>0</v>
      </c>
      <c r="S179" s="18">
        <f t="shared" si="47"/>
        <v>0</v>
      </c>
      <c r="T179" s="18">
        <f t="shared" si="48"/>
        <v>0</v>
      </c>
      <c r="U179" s="17"/>
      <c r="V179" s="22"/>
      <c r="W179" s="38"/>
      <c r="X179" s="122"/>
      <c r="Y179" s="19"/>
    </row>
    <row r="180" spans="2:26" s="20" customFormat="1" ht="17.100000000000001" customHeight="1" x14ac:dyDescent="0.3">
      <c r="B180" s="17"/>
      <c r="C180" s="94"/>
      <c r="D180" s="17"/>
      <c r="E180" s="91"/>
      <c r="F180" s="15"/>
      <c r="G180" s="15"/>
      <c r="H180" s="15"/>
      <c r="I180" s="29"/>
      <c r="J180" s="19"/>
      <c r="K180" s="19"/>
      <c r="L180" s="99"/>
      <c r="M180" s="18">
        <f t="shared" si="45"/>
        <v>0</v>
      </c>
      <c r="N180" s="35"/>
      <c r="O180" s="18"/>
      <c r="P180" s="35"/>
      <c r="Q180" s="18"/>
      <c r="R180" s="18">
        <f t="shared" si="46"/>
        <v>0</v>
      </c>
      <c r="S180" s="18">
        <f t="shared" si="47"/>
        <v>0</v>
      </c>
      <c r="T180" s="18">
        <f t="shared" si="48"/>
        <v>0</v>
      </c>
      <c r="U180" s="17"/>
      <c r="V180" s="22"/>
      <c r="W180" s="38"/>
      <c r="X180" s="122"/>
      <c r="Y180" s="19"/>
    </row>
    <row r="181" spans="2:26" s="20" customFormat="1" ht="17.100000000000001" customHeight="1" x14ac:dyDescent="0.3">
      <c r="B181" s="17"/>
      <c r="C181" s="94"/>
      <c r="D181" s="17"/>
      <c r="E181" s="91"/>
      <c r="F181" s="15"/>
      <c r="G181" s="15"/>
      <c r="H181" s="15"/>
      <c r="I181" s="29"/>
      <c r="J181" s="19"/>
      <c r="K181" s="19"/>
      <c r="L181" s="99"/>
      <c r="M181" s="18">
        <f t="shared" si="45"/>
        <v>0</v>
      </c>
      <c r="N181" s="35"/>
      <c r="O181" s="18"/>
      <c r="P181" s="35"/>
      <c r="Q181" s="18"/>
      <c r="R181" s="18">
        <f t="shared" si="46"/>
        <v>0</v>
      </c>
      <c r="S181" s="18">
        <f t="shared" si="47"/>
        <v>0</v>
      </c>
      <c r="T181" s="18">
        <f t="shared" si="48"/>
        <v>0</v>
      </c>
      <c r="U181" s="17"/>
      <c r="V181" s="22"/>
      <c r="W181" s="38"/>
      <c r="X181" s="122"/>
      <c r="Y181" s="19"/>
      <c r="Z181" s="45"/>
    </row>
    <row r="182" spans="2:26" s="20" customFormat="1" ht="17.100000000000001" customHeight="1" x14ac:dyDescent="0.3">
      <c r="B182" s="17"/>
      <c r="C182" s="94"/>
      <c r="D182" s="17"/>
      <c r="E182" s="91"/>
      <c r="F182" s="15"/>
      <c r="G182" s="15"/>
      <c r="H182" s="15"/>
      <c r="I182" s="29"/>
      <c r="J182" s="19"/>
      <c r="K182" s="19"/>
      <c r="L182" s="99"/>
      <c r="M182" s="18">
        <f t="shared" si="45"/>
        <v>0</v>
      </c>
      <c r="N182" s="35"/>
      <c r="O182" s="18"/>
      <c r="P182" s="35"/>
      <c r="Q182" s="18"/>
      <c r="R182" s="18">
        <f t="shared" si="46"/>
        <v>0</v>
      </c>
      <c r="S182" s="18">
        <f t="shared" si="47"/>
        <v>0</v>
      </c>
      <c r="T182" s="18">
        <f t="shared" si="48"/>
        <v>0</v>
      </c>
      <c r="U182" s="17"/>
      <c r="V182" s="22"/>
      <c r="W182" s="38"/>
      <c r="X182" s="122"/>
      <c r="Y182" s="19"/>
    </row>
    <row r="183" spans="2:26" s="20" customFormat="1" ht="17.100000000000001" customHeight="1" x14ac:dyDescent="0.3">
      <c r="B183" s="17"/>
      <c r="C183" s="94"/>
      <c r="D183" s="17"/>
      <c r="E183" s="91"/>
      <c r="F183" s="15"/>
      <c r="G183" s="15"/>
      <c r="H183" s="15"/>
      <c r="I183" s="29"/>
      <c r="J183" s="19"/>
      <c r="K183" s="19"/>
      <c r="L183" s="99"/>
      <c r="M183" s="18">
        <f t="shared" si="45"/>
        <v>0</v>
      </c>
      <c r="N183" s="35"/>
      <c r="O183" s="18"/>
      <c r="P183" s="35"/>
      <c r="Q183" s="18"/>
      <c r="R183" s="18">
        <f t="shared" si="46"/>
        <v>0</v>
      </c>
      <c r="S183" s="18">
        <f t="shared" si="47"/>
        <v>0</v>
      </c>
      <c r="T183" s="18">
        <f t="shared" si="48"/>
        <v>0</v>
      </c>
      <c r="U183" s="17"/>
      <c r="V183" s="22"/>
      <c r="W183" s="38"/>
      <c r="X183" s="122"/>
      <c r="Y183" s="19"/>
      <c r="Z183" s="45"/>
    </row>
    <row r="184" spans="2:26" s="20" customFormat="1" ht="17.100000000000001" customHeight="1" x14ac:dyDescent="0.3">
      <c r="B184" s="17"/>
      <c r="C184" s="94"/>
      <c r="D184" s="17"/>
      <c r="E184" s="91"/>
      <c r="F184" s="15"/>
      <c r="G184" s="15"/>
      <c r="H184" s="15"/>
      <c r="I184" s="29"/>
      <c r="J184" s="19"/>
      <c r="K184" s="19"/>
      <c r="L184" s="99"/>
      <c r="M184" s="18">
        <f t="shared" si="45"/>
        <v>0</v>
      </c>
      <c r="N184" s="35"/>
      <c r="O184" s="18"/>
      <c r="P184" s="35"/>
      <c r="Q184" s="18"/>
      <c r="R184" s="18">
        <f t="shared" si="46"/>
        <v>0</v>
      </c>
      <c r="S184" s="18">
        <f t="shared" si="47"/>
        <v>0</v>
      </c>
      <c r="T184" s="18">
        <f t="shared" si="48"/>
        <v>0</v>
      </c>
      <c r="U184" s="17"/>
      <c r="V184" s="22"/>
      <c r="W184" s="38"/>
      <c r="X184" s="122"/>
      <c r="Y184" s="19"/>
      <c r="Z184" s="45"/>
    </row>
    <row r="185" spans="2:26" s="20" customFormat="1" ht="17.100000000000001" customHeight="1" x14ac:dyDescent="0.3">
      <c r="B185" s="17"/>
      <c r="C185" s="94"/>
      <c r="D185" s="17"/>
      <c r="E185" s="91"/>
      <c r="F185" s="15"/>
      <c r="G185" s="15"/>
      <c r="H185" s="15"/>
      <c r="I185" s="29"/>
      <c r="J185" s="19"/>
      <c r="K185" s="19"/>
      <c r="L185" s="99"/>
      <c r="M185" s="18">
        <f t="shared" ref="M185:M248" si="66">L185*0.1</f>
        <v>0</v>
      </c>
      <c r="N185" s="35"/>
      <c r="O185" s="18"/>
      <c r="P185" s="35"/>
      <c r="Q185" s="18"/>
      <c r="R185" s="18">
        <f t="shared" ref="R185:R248" si="67">O185+Q185</f>
        <v>0</v>
      </c>
      <c r="S185" s="18">
        <f t="shared" ref="S185:S248" si="68">T185-R185</f>
        <v>0</v>
      </c>
      <c r="T185" s="18">
        <f t="shared" ref="T185:T248" si="69">L185+M185</f>
        <v>0</v>
      </c>
      <c r="U185" s="17"/>
      <c r="V185" s="22"/>
      <c r="W185" s="38"/>
      <c r="X185" s="122"/>
      <c r="Y185" s="19"/>
      <c r="Z185" s="45"/>
    </row>
    <row r="186" spans="2:26" s="20" customFormat="1" ht="17.100000000000001" customHeight="1" x14ac:dyDescent="0.3">
      <c r="B186" s="17"/>
      <c r="C186" s="94"/>
      <c r="D186" s="17"/>
      <c r="E186" s="91"/>
      <c r="F186" s="15"/>
      <c r="G186" s="15"/>
      <c r="H186" s="15"/>
      <c r="I186" s="29"/>
      <c r="J186" s="19"/>
      <c r="K186" s="19"/>
      <c r="L186" s="99"/>
      <c r="M186" s="18">
        <f t="shared" si="66"/>
        <v>0</v>
      </c>
      <c r="N186" s="35"/>
      <c r="O186" s="18"/>
      <c r="P186" s="35"/>
      <c r="Q186" s="18"/>
      <c r="R186" s="18">
        <f t="shared" si="67"/>
        <v>0</v>
      </c>
      <c r="S186" s="18">
        <f t="shared" si="68"/>
        <v>0</v>
      </c>
      <c r="T186" s="18">
        <f t="shared" si="69"/>
        <v>0</v>
      </c>
      <c r="U186" s="17"/>
      <c r="V186" s="22"/>
      <c r="W186" s="38"/>
      <c r="X186" s="122"/>
      <c r="Y186" s="19"/>
    </row>
    <row r="187" spans="2:26" s="20" customFormat="1" ht="17.100000000000001" customHeight="1" x14ac:dyDescent="0.3">
      <c r="B187" s="17"/>
      <c r="C187" s="94"/>
      <c r="D187" s="17"/>
      <c r="E187" s="91"/>
      <c r="F187" s="15"/>
      <c r="G187" s="15"/>
      <c r="H187" s="15"/>
      <c r="I187" s="29"/>
      <c r="J187" s="19"/>
      <c r="K187" s="19"/>
      <c r="L187" s="99"/>
      <c r="M187" s="18">
        <f t="shared" si="66"/>
        <v>0</v>
      </c>
      <c r="N187" s="35"/>
      <c r="O187" s="18"/>
      <c r="P187" s="35"/>
      <c r="Q187" s="18"/>
      <c r="R187" s="18">
        <f t="shared" si="67"/>
        <v>0</v>
      </c>
      <c r="S187" s="18">
        <f t="shared" si="68"/>
        <v>0</v>
      </c>
      <c r="T187" s="18">
        <f t="shared" si="69"/>
        <v>0</v>
      </c>
      <c r="U187" s="17"/>
      <c r="V187" s="22"/>
      <c r="W187" s="38"/>
      <c r="X187" s="122"/>
      <c r="Y187" s="19"/>
    </row>
    <row r="188" spans="2:26" s="20" customFormat="1" ht="17.100000000000001" customHeight="1" x14ac:dyDescent="0.3">
      <c r="B188" s="17"/>
      <c r="C188" s="94"/>
      <c r="D188" s="17"/>
      <c r="E188" s="91"/>
      <c r="F188" s="15"/>
      <c r="G188" s="15"/>
      <c r="H188" s="15"/>
      <c r="I188" s="29"/>
      <c r="J188" s="19"/>
      <c r="K188" s="19"/>
      <c r="L188" s="99"/>
      <c r="M188" s="18">
        <f t="shared" si="66"/>
        <v>0</v>
      </c>
      <c r="N188" s="35"/>
      <c r="O188" s="18"/>
      <c r="P188" s="35"/>
      <c r="Q188" s="18"/>
      <c r="R188" s="18">
        <f t="shared" si="67"/>
        <v>0</v>
      </c>
      <c r="S188" s="18">
        <f t="shared" si="68"/>
        <v>0</v>
      </c>
      <c r="T188" s="18">
        <f t="shared" si="69"/>
        <v>0</v>
      </c>
      <c r="U188" s="17"/>
      <c r="V188" s="22"/>
      <c r="W188" s="38"/>
      <c r="X188" s="122"/>
      <c r="Y188" s="19"/>
      <c r="Z188" s="45"/>
    </row>
    <row r="189" spans="2:26" s="20" customFormat="1" ht="17.100000000000001" customHeight="1" x14ac:dyDescent="0.3">
      <c r="B189" s="17"/>
      <c r="C189" s="94"/>
      <c r="D189" s="17"/>
      <c r="E189" s="91"/>
      <c r="F189" s="15"/>
      <c r="G189" s="15"/>
      <c r="H189" s="15"/>
      <c r="I189" s="29"/>
      <c r="J189" s="19"/>
      <c r="K189" s="19"/>
      <c r="L189" s="99"/>
      <c r="M189" s="18">
        <f t="shared" si="66"/>
        <v>0</v>
      </c>
      <c r="N189" s="35"/>
      <c r="O189" s="18"/>
      <c r="P189" s="35"/>
      <c r="Q189" s="18"/>
      <c r="R189" s="18">
        <f t="shared" si="67"/>
        <v>0</v>
      </c>
      <c r="S189" s="18">
        <f t="shared" si="68"/>
        <v>0</v>
      </c>
      <c r="T189" s="18">
        <f t="shared" si="69"/>
        <v>0</v>
      </c>
      <c r="U189" s="17"/>
      <c r="V189" s="22"/>
      <c r="W189" s="22"/>
      <c r="X189" s="122"/>
      <c r="Y189" s="19"/>
    </row>
    <row r="190" spans="2:26" s="20" customFormat="1" ht="17.100000000000001" customHeight="1" x14ac:dyDescent="0.3">
      <c r="B190" s="17"/>
      <c r="C190" s="94"/>
      <c r="D190" s="17"/>
      <c r="E190" s="91"/>
      <c r="F190" s="15"/>
      <c r="G190" s="15"/>
      <c r="H190" s="15"/>
      <c r="I190" s="29"/>
      <c r="J190" s="19"/>
      <c r="K190" s="19"/>
      <c r="L190" s="99"/>
      <c r="M190" s="18">
        <f t="shared" si="66"/>
        <v>0</v>
      </c>
      <c r="N190" s="35"/>
      <c r="O190" s="18"/>
      <c r="P190" s="35"/>
      <c r="Q190" s="18"/>
      <c r="R190" s="18">
        <f t="shared" si="67"/>
        <v>0</v>
      </c>
      <c r="S190" s="18">
        <f t="shared" si="68"/>
        <v>0</v>
      </c>
      <c r="T190" s="18">
        <f t="shared" si="69"/>
        <v>0</v>
      </c>
      <c r="U190" s="17"/>
      <c r="V190" s="22"/>
      <c r="W190" s="38"/>
      <c r="X190" s="122"/>
      <c r="Y190" s="19"/>
      <c r="Z190" s="45"/>
    </row>
    <row r="191" spans="2:26" s="20" customFormat="1" ht="17.100000000000001" customHeight="1" x14ac:dyDescent="0.3">
      <c r="B191" s="17"/>
      <c r="C191" s="94"/>
      <c r="D191" s="17"/>
      <c r="E191" s="91"/>
      <c r="F191" s="15"/>
      <c r="G191" s="15"/>
      <c r="H191" s="15"/>
      <c r="I191" s="29"/>
      <c r="J191" s="19"/>
      <c r="K191" s="19"/>
      <c r="L191" s="99"/>
      <c r="M191" s="18">
        <f t="shared" si="66"/>
        <v>0</v>
      </c>
      <c r="N191" s="35"/>
      <c r="O191" s="18"/>
      <c r="P191" s="35"/>
      <c r="Q191" s="18"/>
      <c r="R191" s="18">
        <f t="shared" si="67"/>
        <v>0</v>
      </c>
      <c r="S191" s="18">
        <f t="shared" si="68"/>
        <v>0</v>
      </c>
      <c r="T191" s="18">
        <f t="shared" si="69"/>
        <v>0</v>
      </c>
      <c r="U191" s="17"/>
      <c r="V191" s="22"/>
      <c r="W191" s="38"/>
      <c r="X191" s="122"/>
      <c r="Y191" s="19"/>
    </row>
    <row r="192" spans="2:26" s="20" customFormat="1" ht="17.100000000000001" customHeight="1" x14ac:dyDescent="0.3">
      <c r="B192" s="17"/>
      <c r="C192" s="94"/>
      <c r="D192" s="17"/>
      <c r="E192" s="91"/>
      <c r="F192" s="15"/>
      <c r="G192" s="15"/>
      <c r="H192" s="15"/>
      <c r="I192" s="29"/>
      <c r="J192" s="19"/>
      <c r="K192" s="19"/>
      <c r="L192" s="99"/>
      <c r="M192" s="18">
        <f t="shared" si="66"/>
        <v>0</v>
      </c>
      <c r="N192" s="35"/>
      <c r="O192" s="18"/>
      <c r="P192" s="35"/>
      <c r="Q192" s="18"/>
      <c r="R192" s="18">
        <f t="shared" si="67"/>
        <v>0</v>
      </c>
      <c r="S192" s="18">
        <f t="shared" si="68"/>
        <v>0</v>
      </c>
      <c r="T192" s="18">
        <f t="shared" si="69"/>
        <v>0</v>
      </c>
      <c r="U192" s="17"/>
      <c r="V192" s="22"/>
      <c r="W192" s="38"/>
      <c r="X192" s="122"/>
      <c r="Y192" s="19"/>
    </row>
    <row r="193" spans="2:26" s="20" customFormat="1" ht="17.100000000000001" customHeight="1" x14ac:dyDescent="0.3">
      <c r="B193" s="17"/>
      <c r="C193" s="94"/>
      <c r="D193" s="17"/>
      <c r="E193" s="91"/>
      <c r="F193" s="15"/>
      <c r="G193" s="15"/>
      <c r="H193" s="15"/>
      <c r="I193" s="29"/>
      <c r="J193" s="19"/>
      <c r="K193" s="19"/>
      <c r="L193" s="99"/>
      <c r="M193" s="18">
        <f t="shared" si="66"/>
        <v>0</v>
      </c>
      <c r="N193" s="35"/>
      <c r="O193" s="18"/>
      <c r="P193" s="35"/>
      <c r="Q193" s="18"/>
      <c r="R193" s="18">
        <f t="shared" si="67"/>
        <v>0</v>
      </c>
      <c r="S193" s="18">
        <f t="shared" si="68"/>
        <v>0</v>
      </c>
      <c r="T193" s="18">
        <f t="shared" si="69"/>
        <v>0</v>
      </c>
      <c r="U193" s="17"/>
      <c r="V193" s="22"/>
      <c r="W193" s="38"/>
      <c r="X193" s="122"/>
      <c r="Y193" s="19"/>
      <c r="Z193" s="45"/>
    </row>
    <row r="194" spans="2:26" s="20" customFormat="1" ht="17.100000000000001" customHeight="1" x14ac:dyDescent="0.3">
      <c r="B194" s="17"/>
      <c r="C194" s="94"/>
      <c r="D194" s="17"/>
      <c r="E194" s="91"/>
      <c r="F194" s="15"/>
      <c r="G194" s="15"/>
      <c r="H194" s="57"/>
      <c r="I194" s="51"/>
      <c r="J194" s="47"/>
      <c r="K194" s="47"/>
      <c r="L194" s="100"/>
      <c r="M194" s="18">
        <f t="shared" si="66"/>
        <v>0</v>
      </c>
      <c r="N194" s="35"/>
      <c r="O194" s="18"/>
      <c r="P194" s="35"/>
      <c r="Q194" s="18"/>
      <c r="R194" s="18">
        <f t="shared" si="67"/>
        <v>0</v>
      </c>
      <c r="S194" s="18">
        <f t="shared" si="68"/>
        <v>0</v>
      </c>
      <c r="T194" s="18">
        <f t="shared" si="69"/>
        <v>0</v>
      </c>
      <c r="U194" s="17"/>
      <c r="V194" s="22"/>
      <c r="W194" s="38"/>
      <c r="X194" s="122"/>
      <c r="Y194" s="19"/>
    </row>
    <row r="195" spans="2:26" s="20" customFormat="1" ht="17.100000000000001" customHeight="1" x14ac:dyDescent="0.3">
      <c r="B195" s="17"/>
      <c r="C195" s="94"/>
      <c r="D195" s="17"/>
      <c r="E195" s="91"/>
      <c r="F195" s="15"/>
      <c r="G195" s="15"/>
      <c r="H195" s="15"/>
      <c r="I195" s="29"/>
      <c r="J195" s="19"/>
      <c r="K195" s="19"/>
      <c r="L195" s="99"/>
      <c r="M195" s="18">
        <f t="shared" si="66"/>
        <v>0</v>
      </c>
      <c r="N195" s="35"/>
      <c r="O195" s="18"/>
      <c r="P195" s="35"/>
      <c r="Q195" s="18"/>
      <c r="R195" s="18">
        <f t="shared" si="67"/>
        <v>0</v>
      </c>
      <c r="S195" s="18">
        <f t="shared" si="68"/>
        <v>0</v>
      </c>
      <c r="T195" s="18">
        <f t="shared" si="69"/>
        <v>0</v>
      </c>
      <c r="U195" s="17"/>
      <c r="V195" s="22"/>
      <c r="W195" s="22"/>
      <c r="X195" s="122"/>
      <c r="Y195" s="19"/>
    </row>
    <row r="196" spans="2:26" s="20" customFormat="1" ht="17.100000000000001" customHeight="1" x14ac:dyDescent="0.3">
      <c r="B196" s="17"/>
      <c r="C196" s="94"/>
      <c r="D196" s="17"/>
      <c r="E196" s="91"/>
      <c r="F196" s="15"/>
      <c r="G196" s="15"/>
      <c r="H196" s="15"/>
      <c r="I196" s="29"/>
      <c r="J196" s="19"/>
      <c r="K196" s="19"/>
      <c r="L196" s="99"/>
      <c r="M196" s="18">
        <f t="shared" si="66"/>
        <v>0</v>
      </c>
      <c r="N196" s="35"/>
      <c r="O196" s="18"/>
      <c r="P196" s="35"/>
      <c r="Q196" s="18"/>
      <c r="R196" s="18">
        <f t="shared" si="67"/>
        <v>0</v>
      </c>
      <c r="S196" s="18">
        <f t="shared" si="68"/>
        <v>0</v>
      </c>
      <c r="T196" s="18">
        <f t="shared" si="69"/>
        <v>0</v>
      </c>
      <c r="U196" s="17"/>
      <c r="V196" s="22"/>
      <c r="W196" s="38"/>
      <c r="X196" s="122"/>
      <c r="Y196" s="19"/>
    </row>
    <row r="197" spans="2:26" s="20" customFormat="1" ht="17.100000000000001" customHeight="1" x14ac:dyDescent="0.3">
      <c r="B197" s="17"/>
      <c r="C197" s="94"/>
      <c r="D197" s="17"/>
      <c r="E197" s="91"/>
      <c r="F197" s="15"/>
      <c r="G197" s="15"/>
      <c r="H197" s="15"/>
      <c r="I197" s="29"/>
      <c r="J197" s="19"/>
      <c r="K197" s="19"/>
      <c r="L197" s="99"/>
      <c r="M197" s="18">
        <f t="shared" si="66"/>
        <v>0</v>
      </c>
      <c r="N197" s="35"/>
      <c r="O197" s="18"/>
      <c r="P197" s="35"/>
      <c r="Q197" s="18"/>
      <c r="R197" s="18">
        <f t="shared" si="67"/>
        <v>0</v>
      </c>
      <c r="S197" s="18">
        <f t="shared" si="68"/>
        <v>0</v>
      </c>
      <c r="T197" s="18">
        <f t="shared" si="69"/>
        <v>0</v>
      </c>
      <c r="U197" s="17"/>
      <c r="V197" s="22"/>
      <c r="W197" s="38"/>
      <c r="X197" s="122"/>
      <c r="Y197" s="19"/>
    </row>
    <row r="198" spans="2:26" s="20" customFormat="1" ht="17.100000000000001" customHeight="1" x14ac:dyDescent="0.3">
      <c r="B198" s="17"/>
      <c r="C198" s="94"/>
      <c r="D198" s="17"/>
      <c r="E198" s="91"/>
      <c r="F198" s="15"/>
      <c r="G198" s="15"/>
      <c r="H198" s="15"/>
      <c r="I198" s="29"/>
      <c r="J198" s="19"/>
      <c r="K198" s="19"/>
      <c r="L198" s="99"/>
      <c r="M198" s="18">
        <f t="shared" si="66"/>
        <v>0</v>
      </c>
      <c r="N198" s="35"/>
      <c r="O198" s="18"/>
      <c r="P198" s="35"/>
      <c r="Q198" s="18"/>
      <c r="R198" s="18">
        <f t="shared" si="67"/>
        <v>0</v>
      </c>
      <c r="S198" s="18">
        <f t="shared" si="68"/>
        <v>0</v>
      </c>
      <c r="T198" s="18">
        <f t="shared" si="69"/>
        <v>0</v>
      </c>
      <c r="U198" s="17"/>
      <c r="V198" s="22"/>
      <c r="W198" s="38"/>
      <c r="X198" s="122"/>
      <c r="Y198" s="19"/>
    </row>
    <row r="199" spans="2:26" s="20" customFormat="1" ht="17.100000000000001" customHeight="1" x14ac:dyDescent="0.3">
      <c r="B199" s="17"/>
      <c r="C199" s="94"/>
      <c r="D199" s="17"/>
      <c r="E199" s="91"/>
      <c r="F199" s="15"/>
      <c r="G199" s="15"/>
      <c r="H199" s="15"/>
      <c r="I199" s="29"/>
      <c r="J199" s="19"/>
      <c r="K199" s="19"/>
      <c r="L199" s="99"/>
      <c r="M199" s="18">
        <f t="shared" si="66"/>
        <v>0</v>
      </c>
      <c r="N199" s="35"/>
      <c r="O199" s="18"/>
      <c r="P199" s="35"/>
      <c r="Q199" s="18"/>
      <c r="R199" s="18">
        <f t="shared" si="67"/>
        <v>0</v>
      </c>
      <c r="S199" s="18">
        <f t="shared" si="68"/>
        <v>0</v>
      </c>
      <c r="T199" s="18">
        <f t="shared" si="69"/>
        <v>0</v>
      </c>
      <c r="U199" s="17"/>
      <c r="V199" s="22"/>
      <c r="W199" s="38"/>
      <c r="X199" s="122"/>
      <c r="Y199" s="19"/>
    </row>
    <row r="200" spans="2:26" s="20" customFormat="1" ht="17.100000000000001" customHeight="1" x14ac:dyDescent="0.3">
      <c r="B200" s="17"/>
      <c r="C200" s="94"/>
      <c r="D200" s="17"/>
      <c r="E200" s="91"/>
      <c r="F200" s="15"/>
      <c r="G200" s="15"/>
      <c r="H200" s="15"/>
      <c r="I200" s="29"/>
      <c r="J200" s="19"/>
      <c r="K200" s="19"/>
      <c r="L200" s="99"/>
      <c r="M200" s="18">
        <f t="shared" si="66"/>
        <v>0</v>
      </c>
      <c r="N200" s="35"/>
      <c r="O200" s="18"/>
      <c r="P200" s="35"/>
      <c r="Q200" s="18"/>
      <c r="R200" s="18">
        <f t="shared" si="67"/>
        <v>0</v>
      </c>
      <c r="S200" s="18">
        <f t="shared" si="68"/>
        <v>0</v>
      </c>
      <c r="T200" s="18">
        <f t="shared" si="69"/>
        <v>0</v>
      </c>
      <c r="U200" s="17"/>
      <c r="V200" s="22"/>
      <c r="W200" s="38"/>
      <c r="X200" s="122"/>
      <c r="Y200" s="19"/>
    </row>
    <row r="201" spans="2:26" s="20" customFormat="1" ht="17.100000000000001" customHeight="1" x14ac:dyDescent="0.3">
      <c r="B201" s="17"/>
      <c r="C201" s="94"/>
      <c r="D201" s="17"/>
      <c r="E201" s="91"/>
      <c r="F201" s="15"/>
      <c r="G201" s="15"/>
      <c r="H201" s="15"/>
      <c r="I201" s="29"/>
      <c r="J201" s="19"/>
      <c r="K201" s="19"/>
      <c r="L201" s="99"/>
      <c r="M201" s="18">
        <f t="shared" si="66"/>
        <v>0</v>
      </c>
      <c r="N201" s="35"/>
      <c r="O201" s="18"/>
      <c r="P201" s="35"/>
      <c r="Q201" s="18"/>
      <c r="R201" s="18">
        <f t="shared" si="67"/>
        <v>0</v>
      </c>
      <c r="S201" s="18">
        <f t="shared" si="68"/>
        <v>0</v>
      </c>
      <c r="T201" s="18">
        <f t="shared" si="69"/>
        <v>0</v>
      </c>
      <c r="U201" s="17"/>
      <c r="V201" s="22"/>
      <c r="W201" s="38"/>
      <c r="X201" s="122"/>
      <c r="Y201" s="19"/>
    </row>
    <row r="202" spans="2:26" s="20" customFormat="1" ht="17.100000000000001" customHeight="1" x14ac:dyDescent="0.3">
      <c r="B202" s="17"/>
      <c r="C202" s="94"/>
      <c r="D202" s="17"/>
      <c r="E202" s="91"/>
      <c r="F202" s="15"/>
      <c r="G202" s="15"/>
      <c r="H202" s="15"/>
      <c r="I202" s="29"/>
      <c r="J202" s="19"/>
      <c r="K202" s="19"/>
      <c r="L202" s="99"/>
      <c r="M202" s="18">
        <f t="shared" si="66"/>
        <v>0</v>
      </c>
      <c r="N202" s="35"/>
      <c r="O202" s="18"/>
      <c r="P202" s="35"/>
      <c r="Q202" s="18"/>
      <c r="R202" s="18">
        <f t="shared" si="67"/>
        <v>0</v>
      </c>
      <c r="S202" s="18">
        <f t="shared" si="68"/>
        <v>0</v>
      </c>
      <c r="T202" s="18">
        <f t="shared" si="69"/>
        <v>0</v>
      </c>
      <c r="U202" s="17"/>
      <c r="V202" s="22"/>
      <c r="W202" s="38"/>
      <c r="X202" s="122"/>
      <c r="Y202" s="19"/>
      <c r="Z202" s="45"/>
    </row>
    <row r="203" spans="2:26" s="20" customFormat="1" ht="17.100000000000001" customHeight="1" x14ac:dyDescent="0.3">
      <c r="B203" s="17"/>
      <c r="C203" s="94"/>
      <c r="D203" s="17"/>
      <c r="E203" s="91"/>
      <c r="F203" s="15"/>
      <c r="G203" s="15"/>
      <c r="H203" s="15"/>
      <c r="I203" s="29"/>
      <c r="J203" s="19"/>
      <c r="K203" s="19"/>
      <c r="L203" s="99"/>
      <c r="M203" s="18">
        <f t="shared" si="66"/>
        <v>0</v>
      </c>
      <c r="N203" s="35"/>
      <c r="O203" s="18"/>
      <c r="P203" s="35"/>
      <c r="Q203" s="18"/>
      <c r="R203" s="18">
        <f t="shared" si="67"/>
        <v>0</v>
      </c>
      <c r="S203" s="18">
        <f t="shared" si="68"/>
        <v>0</v>
      </c>
      <c r="T203" s="18">
        <f t="shared" si="69"/>
        <v>0</v>
      </c>
      <c r="U203" s="17"/>
      <c r="V203" s="41"/>
      <c r="W203" s="38"/>
      <c r="X203" s="122"/>
      <c r="Y203" s="19"/>
      <c r="Z203" s="45"/>
    </row>
    <row r="204" spans="2:26" s="20" customFormat="1" ht="17.100000000000001" customHeight="1" x14ac:dyDescent="0.3">
      <c r="B204" s="17"/>
      <c r="C204" s="94"/>
      <c r="D204" s="17"/>
      <c r="E204" s="91"/>
      <c r="F204" s="15"/>
      <c r="G204" s="15"/>
      <c r="H204" s="15"/>
      <c r="I204" s="51"/>
      <c r="J204" s="19"/>
      <c r="K204" s="19"/>
      <c r="L204" s="99"/>
      <c r="M204" s="18">
        <f t="shared" si="66"/>
        <v>0</v>
      </c>
      <c r="N204" s="35"/>
      <c r="O204" s="18"/>
      <c r="P204" s="35"/>
      <c r="Q204" s="18"/>
      <c r="R204" s="18">
        <f t="shared" si="67"/>
        <v>0</v>
      </c>
      <c r="S204" s="18">
        <f t="shared" si="68"/>
        <v>0</v>
      </c>
      <c r="T204" s="18">
        <f t="shared" si="69"/>
        <v>0</v>
      </c>
      <c r="U204" s="17"/>
      <c r="V204" s="22"/>
      <c r="W204" s="38"/>
      <c r="X204" s="122"/>
      <c r="Y204" s="19"/>
    </row>
    <row r="205" spans="2:26" s="20" customFormat="1" ht="17.100000000000001" customHeight="1" x14ac:dyDescent="0.3">
      <c r="B205" s="17"/>
      <c r="C205" s="94"/>
      <c r="D205" s="17"/>
      <c r="E205" s="91"/>
      <c r="F205" s="15"/>
      <c r="G205" s="15"/>
      <c r="H205" s="15"/>
      <c r="I205" s="51"/>
      <c r="J205" s="19"/>
      <c r="K205" s="19"/>
      <c r="L205" s="19"/>
      <c r="M205" s="18">
        <f t="shared" si="66"/>
        <v>0</v>
      </c>
      <c r="N205" s="35"/>
      <c r="O205" s="18"/>
      <c r="P205" s="35"/>
      <c r="Q205" s="18"/>
      <c r="R205" s="18">
        <f t="shared" si="67"/>
        <v>0</v>
      </c>
      <c r="S205" s="18">
        <f t="shared" si="68"/>
        <v>0</v>
      </c>
      <c r="T205" s="18">
        <f t="shared" si="69"/>
        <v>0</v>
      </c>
      <c r="U205" s="17"/>
      <c r="V205" s="22"/>
      <c r="W205" s="38"/>
      <c r="X205" s="122"/>
      <c r="Y205" s="19"/>
    </row>
    <row r="206" spans="2:26" s="20" customFormat="1" ht="17.100000000000001" customHeight="1" x14ac:dyDescent="0.3">
      <c r="B206" s="17"/>
      <c r="C206" s="94"/>
      <c r="D206" s="17"/>
      <c r="E206" s="91"/>
      <c r="F206" s="15"/>
      <c r="G206" s="15"/>
      <c r="H206" s="15"/>
      <c r="I206" s="29"/>
      <c r="J206" s="19"/>
      <c r="K206" s="19"/>
      <c r="L206" s="19"/>
      <c r="M206" s="18">
        <f t="shared" si="66"/>
        <v>0</v>
      </c>
      <c r="N206" s="35"/>
      <c r="O206" s="18"/>
      <c r="P206" s="35"/>
      <c r="Q206" s="18"/>
      <c r="R206" s="18">
        <f t="shared" si="67"/>
        <v>0</v>
      </c>
      <c r="S206" s="18">
        <f t="shared" si="68"/>
        <v>0</v>
      </c>
      <c r="T206" s="18">
        <f t="shared" si="69"/>
        <v>0</v>
      </c>
      <c r="U206" s="17"/>
      <c r="V206" s="22"/>
      <c r="W206" s="38"/>
      <c r="X206" s="122"/>
      <c r="Y206" s="19"/>
      <c r="Z206" s="45"/>
    </row>
    <row r="207" spans="2:26" s="20" customFormat="1" ht="17.100000000000001" customHeight="1" x14ac:dyDescent="0.3">
      <c r="B207" s="17"/>
      <c r="C207" s="94"/>
      <c r="D207" s="17"/>
      <c r="E207" s="91"/>
      <c r="F207" s="15"/>
      <c r="G207" s="15"/>
      <c r="H207" s="15"/>
      <c r="I207" s="29"/>
      <c r="J207" s="19"/>
      <c r="K207" s="19"/>
      <c r="L207" s="19"/>
      <c r="M207" s="18">
        <f t="shared" si="66"/>
        <v>0</v>
      </c>
      <c r="N207" s="35"/>
      <c r="O207" s="18"/>
      <c r="P207" s="35"/>
      <c r="Q207" s="18"/>
      <c r="R207" s="18">
        <f t="shared" si="67"/>
        <v>0</v>
      </c>
      <c r="S207" s="18">
        <f t="shared" si="68"/>
        <v>0</v>
      </c>
      <c r="T207" s="18">
        <f t="shared" si="69"/>
        <v>0</v>
      </c>
      <c r="U207" s="17"/>
      <c r="V207" s="22"/>
      <c r="W207" s="38"/>
      <c r="X207" s="122"/>
      <c r="Y207" s="19"/>
    </row>
    <row r="208" spans="2:26" s="20" customFormat="1" ht="17.100000000000001" customHeight="1" x14ac:dyDescent="0.3">
      <c r="B208" s="17"/>
      <c r="C208" s="94"/>
      <c r="D208" s="17"/>
      <c r="E208" s="91"/>
      <c r="F208" s="15"/>
      <c r="G208" s="15"/>
      <c r="H208" s="15"/>
      <c r="I208" s="29"/>
      <c r="J208" s="19"/>
      <c r="K208" s="19"/>
      <c r="L208" s="19"/>
      <c r="M208" s="18">
        <f t="shared" si="66"/>
        <v>0</v>
      </c>
      <c r="N208" s="35"/>
      <c r="O208" s="18"/>
      <c r="P208" s="35"/>
      <c r="Q208" s="18"/>
      <c r="R208" s="18">
        <f t="shared" si="67"/>
        <v>0</v>
      </c>
      <c r="S208" s="18">
        <f t="shared" si="68"/>
        <v>0</v>
      </c>
      <c r="T208" s="18">
        <f t="shared" si="69"/>
        <v>0</v>
      </c>
      <c r="U208" s="17"/>
      <c r="V208" s="22"/>
      <c r="W208" s="38"/>
      <c r="X208" s="122"/>
      <c r="Y208" s="19"/>
    </row>
    <row r="209" spans="2:26" s="20" customFormat="1" ht="17.100000000000001" customHeight="1" x14ac:dyDescent="0.3">
      <c r="B209" s="17"/>
      <c r="C209" s="94"/>
      <c r="D209" s="17"/>
      <c r="E209" s="91"/>
      <c r="F209" s="15"/>
      <c r="G209" s="15"/>
      <c r="H209" s="15"/>
      <c r="I209" s="29"/>
      <c r="J209" s="19"/>
      <c r="K209" s="19"/>
      <c r="L209" s="19"/>
      <c r="M209" s="18">
        <f t="shared" si="66"/>
        <v>0</v>
      </c>
      <c r="N209" s="35"/>
      <c r="O209" s="18"/>
      <c r="P209" s="35"/>
      <c r="Q209" s="18"/>
      <c r="R209" s="18">
        <f t="shared" si="67"/>
        <v>0</v>
      </c>
      <c r="S209" s="18">
        <f t="shared" si="68"/>
        <v>0</v>
      </c>
      <c r="T209" s="18">
        <f t="shared" si="69"/>
        <v>0</v>
      </c>
      <c r="U209" s="17"/>
      <c r="V209" s="22"/>
      <c r="W209" s="38"/>
      <c r="X209" s="122"/>
      <c r="Y209" s="19"/>
    </row>
    <row r="210" spans="2:26" s="20" customFormat="1" ht="17.100000000000001" customHeight="1" x14ac:dyDescent="0.3">
      <c r="B210" s="17"/>
      <c r="C210" s="94"/>
      <c r="D210" s="17"/>
      <c r="E210" s="91"/>
      <c r="F210" s="15"/>
      <c r="G210" s="15"/>
      <c r="H210" s="15"/>
      <c r="I210" s="29"/>
      <c r="J210" s="19"/>
      <c r="K210" s="19"/>
      <c r="L210" s="19"/>
      <c r="M210" s="18">
        <f t="shared" si="66"/>
        <v>0</v>
      </c>
      <c r="N210" s="35"/>
      <c r="O210" s="18"/>
      <c r="P210" s="35"/>
      <c r="Q210" s="18"/>
      <c r="R210" s="18">
        <f t="shared" si="67"/>
        <v>0</v>
      </c>
      <c r="S210" s="18">
        <f t="shared" si="68"/>
        <v>0</v>
      </c>
      <c r="T210" s="18">
        <f t="shared" si="69"/>
        <v>0</v>
      </c>
      <c r="U210" s="17"/>
      <c r="V210" s="22"/>
      <c r="W210" s="38"/>
      <c r="X210" s="122"/>
      <c r="Y210" s="19"/>
    </row>
    <row r="211" spans="2:26" s="20" customFormat="1" ht="17.100000000000001" customHeight="1" x14ac:dyDescent="0.3">
      <c r="B211" s="17"/>
      <c r="C211" s="94"/>
      <c r="D211" s="17"/>
      <c r="E211" s="91"/>
      <c r="F211" s="15"/>
      <c r="G211" s="15"/>
      <c r="H211" s="15"/>
      <c r="I211" s="29"/>
      <c r="J211" s="19"/>
      <c r="K211" s="19"/>
      <c r="L211" s="19"/>
      <c r="M211" s="18">
        <f t="shared" si="66"/>
        <v>0</v>
      </c>
      <c r="N211" s="35"/>
      <c r="O211" s="18"/>
      <c r="P211" s="35"/>
      <c r="Q211" s="18"/>
      <c r="R211" s="18">
        <f t="shared" si="67"/>
        <v>0</v>
      </c>
      <c r="S211" s="18">
        <f t="shared" si="68"/>
        <v>0</v>
      </c>
      <c r="T211" s="18">
        <f t="shared" si="69"/>
        <v>0</v>
      </c>
      <c r="U211" s="17"/>
      <c r="V211" s="22"/>
      <c r="W211" s="38"/>
      <c r="X211" s="122"/>
      <c r="Y211" s="19"/>
    </row>
    <row r="212" spans="2:26" s="20" customFormat="1" ht="17.100000000000001" customHeight="1" x14ac:dyDescent="0.3">
      <c r="B212" s="17"/>
      <c r="C212" s="94"/>
      <c r="D212" s="17"/>
      <c r="E212" s="91"/>
      <c r="F212" s="15"/>
      <c r="G212" s="15"/>
      <c r="H212" s="15"/>
      <c r="I212" s="29"/>
      <c r="J212" s="19"/>
      <c r="K212" s="19"/>
      <c r="L212" s="19"/>
      <c r="M212" s="18">
        <f t="shared" si="66"/>
        <v>0</v>
      </c>
      <c r="N212" s="35"/>
      <c r="O212" s="18"/>
      <c r="P212" s="35"/>
      <c r="Q212" s="18"/>
      <c r="R212" s="18">
        <f t="shared" si="67"/>
        <v>0</v>
      </c>
      <c r="S212" s="18">
        <f t="shared" si="68"/>
        <v>0</v>
      </c>
      <c r="T212" s="18">
        <f t="shared" si="69"/>
        <v>0</v>
      </c>
      <c r="U212" s="17"/>
      <c r="V212" s="41"/>
      <c r="W212" s="38"/>
      <c r="X212" s="122"/>
      <c r="Y212" s="19"/>
      <c r="Z212" s="45"/>
    </row>
    <row r="213" spans="2:26" s="20" customFormat="1" ht="17.100000000000001" customHeight="1" x14ac:dyDescent="0.3">
      <c r="B213" s="17"/>
      <c r="C213" s="94"/>
      <c r="D213" s="17"/>
      <c r="E213" s="91"/>
      <c r="F213" s="15"/>
      <c r="G213" s="15"/>
      <c r="H213" s="15"/>
      <c r="I213" s="29"/>
      <c r="J213" s="19"/>
      <c r="K213" s="19"/>
      <c r="L213" s="19"/>
      <c r="M213" s="18">
        <f t="shared" si="66"/>
        <v>0</v>
      </c>
      <c r="N213" s="35"/>
      <c r="O213" s="18"/>
      <c r="P213" s="35"/>
      <c r="Q213" s="18"/>
      <c r="R213" s="18">
        <f t="shared" si="67"/>
        <v>0</v>
      </c>
      <c r="S213" s="18">
        <f t="shared" si="68"/>
        <v>0</v>
      </c>
      <c r="T213" s="18">
        <f t="shared" si="69"/>
        <v>0</v>
      </c>
      <c r="U213" s="17"/>
      <c r="V213" s="22"/>
      <c r="W213" s="38"/>
      <c r="X213" s="122"/>
      <c r="Y213" s="19"/>
    </row>
    <row r="214" spans="2:26" s="20" customFormat="1" ht="17.100000000000001" customHeight="1" x14ac:dyDescent="0.3">
      <c r="B214" s="17"/>
      <c r="C214" s="94"/>
      <c r="D214" s="17"/>
      <c r="E214" s="91"/>
      <c r="F214" s="15"/>
      <c r="G214" s="15"/>
      <c r="H214" s="15"/>
      <c r="I214" s="29"/>
      <c r="J214" s="19"/>
      <c r="K214" s="19"/>
      <c r="L214" s="19"/>
      <c r="M214" s="18">
        <f t="shared" si="66"/>
        <v>0</v>
      </c>
      <c r="N214" s="35"/>
      <c r="O214" s="18"/>
      <c r="P214" s="35"/>
      <c r="Q214" s="18"/>
      <c r="R214" s="18">
        <f t="shared" si="67"/>
        <v>0</v>
      </c>
      <c r="S214" s="18">
        <f t="shared" si="68"/>
        <v>0</v>
      </c>
      <c r="T214" s="18">
        <f t="shared" si="69"/>
        <v>0</v>
      </c>
      <c r="U214" s="17"/>
      <c r="V214" s="22"/>
      <c r="W214" s="38"/>
      <c r="X214" s="122"/>
      <c r="Y214" s="19"/>
    </row>
    <row r="215" spans="2:26" s="20" customFormat="1" ht="17.100000000000001" customHeight="1" x14ac:dyDescent="0.3">
      <c r="B215" s="17"/>
      <c r="C215" s="94"/>
      <c r="D215" s="17"/>
      <c r="E215" s="91"/>
      <c r="F215" s="15"/>
      <c r="G215" s="15"/>
      <c r="H215" s="15"/>
      <c r="I215" s="29"/>
      <c r="J215" s="19"/>
      <c r="K215" s="19"/>
      <c r="L215" s="19"/>
      <c r="M215" s="18">
        <f t="shared" si="66"/>
        <v>0</v>
      </c>
      <c r="N215" s="35"/>
      <c r="O215" s="18"/>
      <c r="P215" s="35"/>
      <c r="Q215" s="18"/>
      <c r="R215" s="18">
        <f t="shared" si="67"/>
        <v>0</v>
      </c>
      <c r="S215" s="18">
        <f t="shared" si="68"/>
        <v>0</v>
      </c>
      <c r="T215" s="18">
        <f t="shared" si="69"/>
        <v>0</v>
      </c>
      <c r="U215" s="17"/>
      <c r="V215" s="22"/>
      <c r="W215" s="38"/>
      <c r="X215" s="122"/>
      <c r="Y215" s="19"/>
    </row>
    <row r="216" spans="2:26" s="20" customFormat="1" ht="17.100000000000001" customHeight="1" x14ac:dyDescent="0.3">
      <c r="B216" s="17"/>
      <c r="C216" s="94"/>
      <c r="D216" s="17"/>
      <c r="E216" s="91"/>
      <c r="F216" s="15"/>
      <c r="G216" s="15"/>
      <c r="H216" s="15"/>
      <c r="I216" s="15"/>
      <c r="J216" s="19"/>
      <c r="K216" s="19"/>
      <c r="L216" s="19"/>
      <c r="M216" s="18">
        <f t="shared" si="66"/>
        <v>0</v>
      </c>
      <c r="N216" s="35"/>
      <c r="O216" s="18"/>
      <c r="P216" s="35"/>
      <c r="Q216" s="18"/>
      <c r="R216" s="18">
        <f t="shared" si="67"/>
        <v>0</v>
      </c>
      <c r="S216" s="18">
        <f t="shared" si="68"/>
        <v>0</v>
      </c>
      <c r="T216" s="18">
        <f t="shared" si="69"/>
        <v>0</v>
      </c>
      <c r="U216" s="17"/>
      <c r="V216" s="22"/>
      <c r="W216" s="38"/>
      <c r="X216" s="122"/>
      <c r="Y216" s="19"/>
    </row>
    <row r="217" spans="2:26" s="20" customFormat="1" ht="17.100000000000001" customHeight="1" x14ac:dyDescent="0.3">
      <c r="B217" s="17"/>
      <c r="C217" s="94"/>
      <c r="D217" s="17"/>
      <c r="E217" s="91"/>
      <c r="F217" s="15"/>
      <c r="G217" s="15"/>
      <c r="H217" s="15"/>
      <c r="I217" s="29"/>
      <c r="J217" s="19"/>
      <c r="K217" s="19"/>
      <c r="L217" s="19"/>
      <c r="M217" s="18">
        <f t="shared" si="66"/>
        <v>0</v>
      </c>
      <c r="N217" s="35"/>
      <c r="O217" s="18"/>
      <c r="P217" s="35"/>
      <c r="Q217" s="18"/>
      <c r="R217" s="18">
        <f t="shared" si="67"/>
        <v>0</v>
      </c>
      <c r="S217" s="18">
        <f t="shared" si="68"/>
        <v>0</v>
      </c>
      <c r="T217" s="18">
        <f t="shared" si="69"/>
        <v>0</v>
      </c>
      <c r="U217" s="17"/>
      <c r="V217" s="22"/>
      <c r="W217" s="38"/>
      <c r="X217" s="122"/>
      <c r="Y217" s="19"/>
      <c r="Z217" s="45"/>
    </row>
    <row r="218" spans="2:26" s="20" customFormat="1" ht="17.100000000000001" customHeight="1" x14ac:dyDescent="0.3">
      <c r="B218" s="17"/>
      <c r="C218" s="94"/>
      <c r="D218" s="17"/>
      <c r="E218" s="91"/>
      <c r="F218" s="15"/>
      <c r="G218" s="15"/>
      <c r="H218" s="15"/>
      <c r="I218" s="51"/>
      <c r="J218" s="19"/>
      <c r="K218" s="19"/>
      <c r="L218" s="19"/>
      <c r="M218" s="18">
        <f t="shared" si="66"/>
        <v>0</v>
      </c>
      <c r="N218" s="35"/>
      <c r="O218" s="18"/>
      <c r="P218" s="35"/>
      <c r="Q218" s="18"/>
      <c r="R218" s="18">
        <f t="shared" si="67"/>
        <v>0</v>
      </c>
      <c r="S218" s="18">
        <f t="shared" si="68"/>
        <v>0</v>
      </c>
      <c r="T218" s="18">
        <f t="shared" si="69"/>
        <v>0</v>
      </c>
      <c r="U218" s="17"/>
      <c r="V218" s="22"/>
      <c r="W218" s="38"/>
      <c r="X218" s="122"/>
      <c r="Y218" s="19"/>
    </row>
    <row r="219" spans="2:26" s="20" customFormat="1" ht="17.100000000000001" customHeight="1" x14ac:dyDescent="0.3">
      <c r="B219" s="17"/>
      <c r="C219" s="94"/>
      <c r="D219" s="17"/>
      <c r="E219" s="91"/>
      <c r="F219" s="15"/>
      <c r="G219" s="15"/>
      <c r="H219" s="15"/>
      <c r="I219" s="51"/>
      <c r="J219" s="19"/>
      <c r="K219" s="19"/>
      <c r="L219" s="19"/>
      <c r="M219" s="18">
        <f t="shared" si="66"/>
        <v>0</v>
      </c>
      <c r="N219" s="35"/>
      <c r="O219" s="18"/>
      <c r="P219" s="35"/>
      <c r="Q219" s="18"/>
      <c r="R219" s="18">
        <f t="shared" si="67"/>
        <v>0</v>
      </c>
      <c r="S219" s="18">
        <f t="shared" si="68"/>
        <v>0</v>
      </c>
      <c r="T219" s="18">
        <f t="shared" si="69"/>
        <v>0</v>
      </c>
      <c r="U219" s="17"/>
      <c r="V219" s="22"/>
      <c r="W219" s="38"/>
      <c r="X219" s="122"/>
      <c r="Y219" s="19"/>
    </row>
    <row r="220" spans="2:26" s="20" customFormat="1" ht="17.100000000000001" customHeight="1" x14ac:dyDescent="0.3">
      <c r="B220" s="17"/>
      <c r="C220" s="94"/>
      <c r="D220" s="17"/>
      <c r="E220" s="91"/>
      <c r="F220" s="15"/>
      <c r="G220" s="15"/>
      <c r="H220" s="15"/>
      <c r="I220" s="29"/>
      <c r="J220" s="19"/>
      <c r="K220" s="19"/>
      <c r="L220" s="19"/>
      <c r="M220" s="18">
        <f t="shared" si="66"/>
        <v>0</v>
      </c>
      <c r="N220" s="35"/>
      <c r="O220" s="18"/>
      <c r="P220" s="35"/>
      <c r="Q220" s="18"/>
      <c r="R220" s="18">
        <f t="shared" si="67"/>
        <v>0</v>
      </c>
      <c r="S220" s="18">
        <f t="shared" si="68"/>
        <v>0</v>
      </c>
      <c r="T220" s="18">
        <f t="shared" si="69"/>
        <v>0</v>
      </c>
      <c r="U220" s="17"/>
      <c r="V220" s="22"/>
      <c r="W220" s="38"/>
      <c r="X220" s="122"/>
      <c r="Y220" s="19"/>
    </row>
    <row r="221" spans="2:26" s="20" customFormat="1" ht="17.100000000000001" customHeight="1" x14ac:dyDescent="0.3">
      <c r="B221" s="17"/>
      <c r="C221" s="94"/>
      <c r="D221" s="17"/>
      <c r="E221" s="91"/>
      <c r="F221" s="15"/>
      <c r="G221" s="15"/>
      <c r="H221" s="15"/>
      <c r="I221" s="29"/>
      <c r="J221" s="19"/>
      <c r="K221" s="19"/>
      <c r="L221" s="19"/>
      <c r="M221" s="18">
        <f t="shared" si="66"/>
        <v>0</v>
      </c>
      <c r="N221" s="35"/>
      <c r="O221" s="18"/>
      <c r="P221" s="35"/>
      <c r="Q221" s="18"/>
      <c r="R221" s="18">
        <f t="shared" si="67"/>
        <v>0</v>
      </c>
      <c r="S221" s="18">
        <f t="shared" si="68"/>
        <v>0</v>
      </c>
      <c r="T221" s="18">
        <f t="shared" si="69"/>
        <v>0</v>
      </c>
      <c r="U221" s="17"/>
      <c r="V221" s="22"/>
      <c r="W221" s="38"/>
      <c r="X221" s="122"/>
      <c r="Y221" s="19"/>
      <c r="Z221" s="45"/>
    </row>
    <row r="222" spans="2:26" s="20" customFormat="1" ht="17.100000000000001" customHeight="1" x14ac:dyDescent="0.3">
      <c r="B222" s="17"/>
      <c r="C222" s="94"/>
      <c r="D222" s="17"/>
      <c r="E222" s="91"/>
      <c r="F222" s="15"/>
      <c r="G222" s="15"/>
      <c r="H222" s="15"/>
      <c r="I222" s="29"/>
      <c r="J222" s="19"/>
      <c r="K222" s="19"/>
      <c r="L222" s="19"/>
      <c r="M222" s="18">
        <f t="shared" si="66"/>
        <v>0</v>
      </c>
      <c r="N222" s="35"/>
      <c r="O222" s="18"/>
      <c r="P222" s="35"/>
      <c r="Q222" s="18"/>
      <c r="R222" s="18">
        <f t="shared" si="67"/>
        <v>0</v>
      </c>
      <c r="S222" s="18">
        <f t="shared" si="68"/>
        <v>0</v>
      </c>
      <c r="T222" s="18">
        <f t="shared" si="69"/>
        <v>0</v>
      </c>
      <c r="U222" s="17"/>
      <c r="V222" s="22"/>
      <c r="W222" s="38"/>
      <c r="X222" s="122"/>
      <c r="Y222" s="19"/>
    </row>
    <row r="223" spans="2:26" s="20" customFormat="1" ht="17.100000000000001" customHeight="1" x14ac:dyDescent="0.3">
      <c r="B223" s="17"/>
      <c r="C223" s="94"/>
      <c r="D223" s="17"/>
      <c r="E223" s="91"/>
      <c r="F223" s="15"/>
      <c r="G223" s="15"/>
      <c r="H223" s="15"/>
      <c r="I223" s="51"/>
      <c r="J223" s="19"/>
      <c r="K223" s="19"/>
      <c r="L223" s="19"/>
      <c r="M223" s="18">
        <f t="shared" si="66"/>
        <v>0</v>
      </c>
      <c r="N223" s="35"/>
      <c r="O223" s="18"/>
      <c r="P223" s="35"/>
      <c r="Q223" s="18"/>
      <c r="R223" s="18">
        <f t="shared" si="67"/>
        <v>0</v>
      </c>
      <c r="S223" s="18">
        <f t="shared" si="68"/>
        <v>0</v>
      </c>
      <c r="T223" s="18">
        <f t="shared" si="69"/>
        <v>0</v>
      </c>
      <c r="U223" s="17"/>
      <c r="V223" s="22"/>
      <c r="W223" s="38"/>
      <c r="X223" s="122"/>
      <c r="Y223" s="19"/>
    </row>
    <row r="224" spans="2:26" s="20" customFormat="1" ht="17.100000000000001" customHeight="1" x14ac:dyDescent="0.3">
      <c r="B224" s="17"/>
      <c r="C224" s="94"/>
      <c r="D224" s="17"/>
      <c r="E224" s="91"/>
      <c r="F224" s="15"/>
      <c r="G224" s="15"/>
      <c r="H224" s="15"/>
      <c r="I224" s="51"/>
      <c r="J224" s="19"/>
      <c r="K224" s="19"/>
      <c r="L224" s="19"/>
      <c r="M224" s="18">
        <f t="shared" si="66"/>
        <v>0</v>
      </c>
      <c r="N224" s="35"/>
      <c r="O224" s="18"/>
      <c r="P224" s="35"/>
      <c r="Q224" s="18"/>
      <c r="R224" s="18">
        <f t="shared" si="67"/>
        <v>0</v>
      </c>
      <c r="S224" s="18">
        <f t="shared" si="68"/>
        <v>0</v>
      </c>
      <c r="T224" s="18">
        <f t="shared" si="69"/>
        <v>0</v>
      </c>
      <c r="U224" s="17"/>
      <c r="V224" s="22"/>
      <c r="W224" s="38"/>
      <c r="X224" s="122"/>
      <c r="Y224" s="19"/>
    </row>
    <row r="225" spans="2:26" s="20" customFormat="1" ht="17.100000000000001" customHeight="1" x14ac:dyDescent="0.3">
      <c r="B225" s="17"/>
      <c r="C225" s="94"/>
      <c r="D225" s="17"/>
      <c r="E225" s="91"/>
      <c r="F225" s="15"/>
      <c r="G225" s="15"/>
      <c r="H225" s="15"/>
      <c r="I225" s="29"/>
      <c r="J225" s="19"/>
      <c r="K225" s="19"/>
      <c r="L225" s="19"/>
      <c r="M225" s="18">
        <f t="shared" si="66"/>
        <v>0</v>
      </c>
      <c r="N225" s="35"/>
      <c r="O225" s="18"/>
      <c r="P225" s="35"/>
      <c r="Q225" s="18"/>
      <c r="R225" s="18">
        <f t="shared" si="67"/>
        <v>0</v>
      </c>
      <c r="S225" s="18">
        <f t="shared" si="68"/>
        <v>0</v>
      </c>
      <c r="T225" s="18">
        <f t="shared" si="69"/>
        <v>0</v>
      </c>
      <c r="U225" s="17"/>
      <c r="V225" s="22"/>
      <c r="W225" s="38"/>
      <c r="X225" s="122"/>
      <c r="Y225" s="19"/>
      <c r="Z225" s="45"/>
    </row>
    <row r="226" spans="2:26" s="20" customFormat="1" ht="17.100000000000001" customHeight="1" x14ac:dyDescent="0.3">
      <c r="B226" s="17"/>
      <c r="C226" s="94"/>
      <c r="D226" s="17"/>
      <c r="E226" s="91"/>
      <c r="F226" s="15"/>
      <c r="G226" s="15"/>
      <c r="H226" s="15"/>
      <c r="I226" s="29"/>
      <c r="J226" s="19"/>
      <c r="K226" s="19"/>
      <c r="L226" s="19"/>
      <c r="M226" s="18">
        <f t="shared" si="66"/>
        <v>0</v>
      </c>
      <c r="N226" s="35"/>
      <c r="O226" s="18"/>
      <c r="P226" s="35"/>
      <c r="Q226" s="18"/>
      <c r="R226" s="18">
        <f t="shared" si="67"/>
        <v>0</v>
      </c>
      <c r="S226" s="18">
        <f t="shared" si="68"/>
        <v>0</v>
      </c>
      <c r="T226" s="18">
        <f t="shared" si="69"/>
        <v>0</v>
      </c>
      <c r="U226" s="17"/>
      <c r="V226" s="22"/>
      <c r="W226" s="38"/>
      <c r="X226" s="122"/>
      <c r="Y226" s="19"/>
    </row>
    <row r="227" spans="2:26" s="20" customFormat="1" ht="17.100000000000001" customHeight="1" x14ac:dyDescent="0.3">
      <c r="B227" s="17"/>
      <c r="C227" s="94"/>
      <c r="D227" s="17"/>
      <c r="E227" s="91"/>
      <c r="F227" s="15"/>
      <c r="G227" s="15"/>
      <c r="H227" s="15"/>
      <c r="I227" s="77"/>
      <c r="J227" s="19"/>
      <c r="K227" s="19"/>
      <c r="L227" s="19"/>
      <c r="M227" s="18">
        <f t="shared" si="66"/>
        <v>0</v>
      </c>
      <c r="N227" s="35"/>
      <c r="O227" s="18"/>
      <c r="P227" s="35"/>
      <c r="Q227" s="18"/>
      <c r="R227" s="18">
        <f t="shared" si="67"/>
        <v>0</v>
      </c>
      <c r="S227" s="18">
        <f t="shared" si="68"/>
        <v>0</v>
      </c>
      <c r="T227" s="18">
        <f t="shared" si="69"/>
        <v>0</v>
      </c>
      <c r="U227" s="17"/>
      <c r="V227" s="22"/>
      <c r="W227" s="38"/>
      <c r="X227" s="122"/>
      <c r="Y227" s="19"/>
    </row>
    <row r="228" spans="2:26" s="20" customFormat="1" ht="17.100000000000001" customHeight="1" x14ac:dyDescent="0.3">
      <c r="B228" s="17"/>
      <c r="C228" s="94"/>
      <c r="D228" s="17"/>
      <c r="E228" s="91"/>
      <c r="F228" s="15"/>
      <c r="G228" s="15"/>
      <c r="H228" s="15"/>
      <c r="I228" s="29"/>
      <c r="J228" s="19"/>
      <c r="K228" s="19"/>
      <c r="L228" s="19"/>
      <c r="M228" s="18">
        <f t="shared" si="66"/>
        <v>0</v>
      </c>
      <c r="N228" s="35"/>
      <c r="O228" s="18"/>
      <c r="P228" s="35"/>
      <c r="Q228" s="18"/>
      <c r="R228" s="18">
        <f t="shared" si="67"/>
        <v>0</v>
      </c>
      <c r="S228" s="18">
        <f t="shared" si="68"/>
        <v>0</v>
      </c>
      <c r="T228" s="18">
        <f t="shared" si="69"/>
        <v>0</v>
      </c>
      <c r="U228" s="17"/>
      <c r="V228" s="22"/>
      <c r="W228" s="22"/>
      <c r="X228" s="122"/>
      <c r="Y228" s="19"/>
    </row>
    <row r="229" spans="2:26" s="20" customFormat="1" ht="17.100000000000001" customHeight="1" x14ac:dyDescent="0.3">
      <c r="B229" s="17"/>
      <c r="C229" s="94"/>
      <c r="D229" s="17"/>
      <c r="E229" s="91"/>
      <c r="F229" s="15"/>
      <c r="G229" s="15"/>
      <c r="H229" s="15"/>
      <c r="I229" s="29"/>
      <c r="J229" s="19"/>
      <c r="K229" s="19"/>
      <c r="L229" s="19"/>
      <c r="M229" s="18">
        <f t="shared" si="66"/>
        <v>0</v>
      </c>
      <c r="N229" s="35"/>
      <c r="O229" s="18"/>
      <c r="P229" s="35"/>
      <c r="Q229" s="18"/>
      <c r="R229" s="18">
        <f t="shared" si="67"/>
        <v>0</v>
      </c>
      <c r="S229" s="18">
        <f t="shared" si="68"/>
        <v>0</v>
      </c>
      <c r="T229" s="18">
        <f t="shared" si="69"/>
        <v>0</v>
      </c>
      <c r="U229" s="17"/>
      <c r="V229" s="22"/>
      <c r="W229" s="38"/>
      <c r="X229" s="122"/>
      <c r="Y229" s="19"/>
    </row>
    <row r="230" spans="2:26" s="20" customFormat="1" ht="17.100000000000001" customHeight="1" x14ac:dyDescent="0.3">
      <c r="B230" s="17"/>
      <c r="C230" s="94"/>
      <c r="D230" s="17"/>
      <c r="E230" s="91"/>
      <c r="F230" s="15"/>
      <c r="G230" s="15"/>
      <c r="H230" s="15"/>
      <c r="I230" s="29"/>
      <c r="J230" s="19"/>
      <c r="K230" s="19"/>
      <c r="L230" s="19"/>
      <c r="M230" s="18">
        <f t="shared" si="66"/>
        <v>0</v>
      </c>
      <c r="N230" s="35"/>
      <c r="O230" s="18"/>
      <c r="P230" s="35"/>
      <c r="Q230" s="18"/>
      <c r="R230" s="18">
        <f t="shared" si="67"/>
        <v>0</v>
      </c>
      <c r="S230" s="18">
        <f t="shared" si="68"/>
        <v>0</v>
      </c>
      <c r="T230" s="18">
        <f t="shared" si="69"/>
        <v>0</v>
      </c>
      <c r="U230" s="17"/>
      <c r="V230" s="22"/>
      <c r="W230" s="38"/>
      <c r="X230" s="122"/>
      <c r="Y230" s="19"/>
    </row>
    <row r="231" spans="2:26" s="20" customFormat="1" ht="17.100000000000001" customHeight="1" x14ac:dyDescent="0.3">
      <c r="B231" s="17"/>
      <c r="C231" s="94"/>
      <c r="D231" s="17"/>
      <c r="E231" s="91"/>
      <c r="F231" s="15"/>
      <c r="G231" s="15"/>
      <c r="H231" s="15"/>
      <c r="I231" s="29"/>
      <c r="J231" s="19"/>
      <c r="K231" s="19"/>
      <c r="L231" s="19"/>
      <c r="M231" s="18">
        <f t="shared" si="66"/>
        <v>0</v>
      </c>
      <c r="N231" s="35"/>
      <c r="O231" s="18"/>
      <c r="P231" s="35"/>
      <c r="Q231" s="18"/>
      <c r="R231" s="18">
        <f t="shared" si="67"/>
        <v>0</v>
      </c>
      <c r="S231" s="18">
        <f t="shared" si="68"/>
        <v>0</v>
      </c>
      <c r="T231" s="18">
        <f t="shared" si="69"/>
        <v>0</v>
      </c>
      <c r="U231" s="17"/>
      <c r="V231" s="22"/>
      <c r="W231" s="38"/>
      <c r="X231" s="122"/>
      <c r="Y231" s="19"/>
    </row>
    <row r="232" spans="2:26" s="20" customFormat="1" ht="17.100000000000001" customHeight="1" x14ac:dyDescent="0.3">
      <c r="B232" s="17"/>
      <c r="C232" s="94"/>
      <c r="D232" s="17"/>
      <c r="E232" s="91"/>
      <c r="F232" s="15"/>
      <c r="G232" s="15"/>
      <c r="H232" s="15"/>
      <c r="I232" s="29"/>
      <c r="J232" s="19"/>
      <c r="K232" s="19"/>
      <c r="L232" s="19"/>
      <c r="M232" s="18">
        <f t="shared" si="66"/>
        <v>0</v>
      </c>
      <c r="N232" s="35"/>
      <c r="O232" s="18"/>
      <c r="P232" s="35"/>
      <c r="Q232" s="18"/>
      <c r="R232" s="18">
        <f t="shared" si="67"/>
        <v>0</v>
      </c>
      <c r="S232" s="18">
        <f t="shared" si="68"/>
        <v>0</v>
      </c>
      <c r="T232" s="18">
        <f t="shared" si="69"/>
        <v>0</v>
      </c>
      <c r="U232" s="17"/>
      <c r="V232" s="22"/>
      <c r="W232" s="38"/>
      <c r="X232" s="122"/>
      <c r="Y232" s="19"/>
    </row>
    <row r="233" spans="2:26" s="20" customFormat="1" ht="17.100000000000001" customHeight="1" x14ac:dyDescent="0.3">
      <c r="B233" s="17"/>
      <c r="C233" s="94"/>
      <c r="D233" s="17"/>
      <c r="E233" s="91"/>
      <c r="F233" s="15"/>
      <c r="G233" s="15"/>
      <c r="H233" s="15"/>
      <c r="I233" s="29"/>
      <c r="J233" s="19"/>
      <c r="K233" s="19"/>
      <c r="L233" s="19"/>
      <c r="M233" s="18">
        <f t="shared" si="66"/>
        <v>0</v>
      </c>
      <c r="N233" s="35"/>
      <c r="O233" s="18"/>
      <c r="P233" s="35"/>
      <c r="Q233" s="18"/>
      <c r="R233" s="18">
        <f t="shared" si="67"/>
        <v>0</v>
      </c>
      <c r="S233" s="18">
        <f t="shared" si="68"/>
        <v>0</v>
      </c>
      <c r="T233" s="18">
        <f t="shared" si="69"/>
        <v>0</v>
      </c>
      <c r="U233" s="17"/>
      <c r="V233" s="22"/>
      <c r="W233" s="38"/>
      <c r="X233" s="122"/>
      <c r="Y233" s="19"/>
    </row>
    <row r="234" spans="2:26" s="20" customFormat="1" ht="17.100000000000001" customHeight="1" x14ac:dyDescent="0.3">
      <c r="B234" s="17"/>
      <c r="C234" s="94"/>
      <c r="D234" s="17"/>
      <c r="E234" s="91"/>
      <c r="F234" s="15"/>
      <c r="G234" s="15"/>
      <c r="H234" s="15"/>
      <c r="I234" s="29"/>
      <c r="J234" s="19"/>
      <c r="K234" s="19"/>
      <c r="L234" s="19"/>
      <c r="M234" s="18">
        <f t="shared" si="66"/>
        <v>0</v>
      </c>
      <c r="N234" s="35"/>
      <c r="O234" s="18"/>
      <c r="P234" s="35"/>
      <c r="Q234" s="18"/>
      <c r="R234" s="18">
        <f t="shared" si="67"/>
        <v>0</v>
      </c>
      <c r="S234" s="18">
        <f t="shared" si="68"/>
        <v>0</v>
      </c>
      <c r="T234" s="18">
        <f t="shared" si="69"/>
        <v>0</v>
      </c>
      <c r="U234" s="17"/>
      <c r="V234" s="22"/>
      <c r="W234" s="38"/>
      <c r="X234" s="122"/>
      <c r="Y234" s="19"/>
    </row>
    <row r="235" spans="2:26" s="20" customFormat="1" ht="17.100000000000001" customHeight="1" x14ac:dyDescent="0.3">
      <c r="B235" s="17"/>
      <c r="C235" s="94"/>
      <c r="D235" s="17"/>
      <c r="E235" s="91"/>
      <c r="F235" s="15"/>
      <c r="G235" s="15"/>
      <c r="H235" s="15"/>
      <c r="I235" s="29"/>
      <c r="J235" s="19"/>
      <c r="K235" s="19"/>
      <c r="L235" s="19"/>
      <c r="M235" s="18">
        <f t="shared" si="66"/>
        <v>0</v>
      </c>
      <c r="N235" s="35"/>
      <c r="O235" s="18"/>
      <c r="P235" s="35"/>
      <c r="Q235" s="18"/>
      <c r="R235" s="18">
        <f t="shared" si="67"/>
        <v>0</v>
      </c>
      <c r="S235" s="18">
        <f t="shared" si="68"/>
        <v>0</v>
      </c>
      <c r="T235" s="18">
        <f t="shared" si="69"/>
        <v>0</v>
      </c>
      <c r="U235" s="17"/>
      <c r="V235" s="22"/>
      <c r="W235" s="38"/>
      <c r="X235" s="122"/>
      <c r="Y235" s="19"/>
      <c r="Z235" s="45"/>
    </row>
    <row r="236" spans="2:26" s="20" customFormat="1" ht="17.100000000000001" customHeight="1" x14ac:dyDescent="0.3">
      <c r="B236" s="17"/>
      <c r="C236" s="94"/>
      <c r="D236" s="17"/>
      <c r="E236" s="91"/>
      <c r="F236" s="15"/>
      <c r="G236" s="15"/>
      <c r="H236" s="15"/>
      <c r="I236" s="29"/>
      <c r="J236" s="19"/>
      <c r="K236" s="19"/>
      <c r="L236" s="19"/>
      <c r="M236" s="18">
        <f t="shared" si="66"/>
        <v>0</v>
      </c>
      <c r="N236" s="35"/>
      <c r="O236" s="18"/>
      <c r="P236" s="35"/>
      <c r="Q236" s="18"/>
      <c r="R236" s="18">
        <f t="shared" si="67"/>
        <v>0</v>
      </c>
      <c r="S236" s="18">
        <f t="shared" si="68"/>
        <v>0</v>
      </c>
      <c r="T236" s="18">
        <f t="shared" si="69"/>
        <v>0</v>
      </c>
      <c r="U236" s="17"/>
      <c r="V236" s="22"/>
      <c r="W236" s="38"/>
      <c r="X236" s="122"/>
      <c r="Y236" s="19"/>
    </row>
    <row r="237" spans="2:26" s="20" customFormat="1" ht="17.100000000000001" customHeight="1" x14ac:dyDescent="0.3">
      <c r="B237" s="17"/>
      <c r="C237" s="94"/>
      <c r="D237" s="17"/>
      <c r="E237" s="91"/>
      <c r="F237" s="15"/>
      <c r="G237" s="15"/>
      <c r="H237" s="15"/>
      <c r="I237" s="29"/>
      <c r="J237" s="19"/>
      <c r="K237" s="19"/>
      <c r="L237" s="19"/>
      <c r="M237" s="18">
        <f t="shared" si="66"/>
        <v>0</v>
      </c>
      <c r="N237" s="35"/>
      <c r="O237" s="18"/>
      <c r="P237" s="35"/>
      <c r="Q237" s="18"/>
      <c r="R237" s="18">
        <f t="shared" si="67"/>
        <v>0</v>
      </c>
      <c r="S237" s="18">
        <f t="shared" si="68"/>
        <v>0</v>
      </c>
      <c r="T237" s="18">
        <f t="shared" si="69"/>
        <v>0</v>
      </c>
      <c r="U237" s="17"/>
      <c r="V237" s="22"/>
      <c r="W237" s="38"/>
      <c r="X237" s="122"/>
      <c r="Y237" s="19"/>
    </row>
    <row r="238" spans="2:26" s="20" customFormat="1" ht="17.100000000000001" customHeight="1" x14ac:dyDescent="0.3">
      <c r="B238" s="17"/>
      <c r="C238" s="94"/>
      <c r="D238" s="17"/>
      <c r="E238" s="91"/>
      <c r="F238" s="15"/>
      <c r="G238" s="15"/>
      <c r="H238" s="15"/>
      <c r="I238" s="29"/>
      <c r="J238" s="19"/>
      <c r="K238" s="19"/>
      <c r="L238" s="19"/>
      <c r="M238" s="18">
        <f t="shared" si="66"/>
        <v>0</v>
      </c>
      <c r="N238" s="35"/>
      <c r="O238" s="18"/>
      <c r="P238" s="35"/>
      <c r="Q238" s="18"/>
      <c r="R238" s="18">
        <f t="shared" si="67"/>
        <v>0</v>
      </c>
      <c r="S238" s="18">
        <f t="shared" si="68"/>
        <v>0</v>
      </c>
      <c r="T238" s="18">
        <f t="shared" si="69"/>
        <v>0</v>
      </c>
      <c r="U238" s="17"/>
      <c r="V238" s="22"/>
      <c r="W238" s="38"/>
      <c r="X238" s="122"/>
      <c r="Y238" s="19"/>
    </row>
    <row r="239" spans="2:26" s="20" customFormat="1" ht="17.100000000000001" customHeight="1" x14ac:dyDescent="0.3">
      <c r="B239" s="17"/>
      <c r="C239" s="94"/>
      <c r="D239" s="17"/>
      <c r="E239" s="91"/>
      <c r="F239" s="15"/>
      <c r="G239" s="15"/>
      <c r="H239" s="15"/>
      <c r="I239" s="29"/>
      <c r="J239" s="19"/>
      <c r="K239" s="19"/>
      <c r="L239" s="19"/>
      <c r="M239" s="18">
        <f t="shared" si="66"/>
        <v>0</v>
      </c>
      <c r="N239" s="35"/>
      <c r="O239" s="18"/>
      <c r="P239" s="35"/>
      <c r="Q239" s="18"/>
      <c r="R239" s="18">
        <f t="shared" si="67"/>
        <v>0</v>
      </c>
      <c r="S239" s="18">
        <f t="shared" si="68"/>
        <v>0</v>
      </c>
      <c r="T239" s="18">
        <f t="shared" si="69"/>
        <v>0</v>
      </c>
      <c r="U239" s="17"/>
      <c r="V239" s="22"/>
      <c r="W239" s="38"/>
      <c r="X239" s="122"/>
      <c r="Y239" s="19"/>
    </row>
    <row r="240" spans="2:26" s="20" customFormat="1" ht="17.100000000000001" customHeight="1" x14ac:dyDescent="0.3">
      <c r="B240" s="17"/>
      <c r="C240" s="94"/>
      <c r="D240" s="17"/>
      <c r="E240" s="91"/>
      <c r="F240" s="15"/>
      <c r="G240" s="15"/>
      <c r="H240" s="15"/>
      <c r="I240" s="29"/>
      <c r="J240" s="19"/>
      <c r="K240" s="19"/>
      <c r="L240" s="19"/>
      <c r="M240" s="18">
        <f t="shared" si="66"/>
        <v>0</v>
      </c>
      <c r="N240" s="35"/>
      <c r="O240" s="18"/>
      <c r="P240" s="35"/>
      <c r="Q240" s="18"/>
      <c r="R240" s="18">
        <f t="shared" si="67"/>
        <v>0</v>
      </c>
      <c r="S240" s="18">
        <f t="shared" si="68"/>
        <v>0</v>
      </c>
      <c r="T240" s="18">
        <f t="shared" si="69"/>
        <v>0</v>
      </c>
      <c r="U240" s="17"/>
      <c r="V240" s="22"/>
      <c r="W240" s="38"/>
      <c r="X240" s="122"/>
      <c r="Y240" s="19"/>
    </row>
    <row r="241" spans="2:26" s="20" customFormat="1" ht="17.100000000000001" customHeight="1" x14ac:dyDescent="0.3">
      <c r="B241" s="17"/>
      <c r="C241" s="94"/>
      <c r="D241" s="17"/>
      <c r="E241" s="91"/>
      <c r="F241" s="15"/>
      <c r="G241" s="15"/>
      <c r="H241" s="15"/>
      <c r="I241" s="29"/>
      <c r="J241" s="19"/>
      <c r="K241" s="19"/>
      <c r="L241" s="19"/>
      <c r="M241" s="18">
        <f t="shared" si="66"/>
        <v>0</v>
      </c>
      <c r="N241" s="35"/>
      <c r="O241" s="18"/>
      <c r="P241" s="35"/>
      <c r="Q241" s="18"/>
      <c r="R241" s="18">
        <f t="shared" si="67"/>
        <v>0</v>
      </c>
      <c r="S241" s="18">
        <f t="shared" si="68"/>
        <v>0</v>
      </c>
      <c r="T241" s="18">
        <f t="shared" si="69"/>
        <v>0</v>
      </c>
      <c r="U241" s="17"/>
      <c r="V241" s="22"/>
      <c r="W241" s="38"/>
      <c r="X241" s="122"/>
      <c r="Y241" s="19"/>
    </row>
    <row r="242" spans="2:26" s="20" customFormat="1" ht="17.100000000000001" customHeight="1" x14ac:dyDescent="0.3">
      <c r="B242" s="17"/>
      <c r="C242" s="94"/>
      <c r="D242" s="17"/>
      <c r="E242" s="91"/>
      <c r="F242" s="15"/>
      <c r="G242" s="15"/>
      <c r="H242" s="15"/>
      <c r="I242" s="29"/>
      <c r="J242" s="19"/>
      <c r="K242" s="19"/>
      <c r="L242" s="19"/>
      <c r="M242" s="18">
        <f t="shared" si="66"/>
        <v>0</v>
      </c>
      <c r="N242" s="35"/>
      <c r="O242" s="18"/>
      <c r="P242" s="35"/>
      <c r="Q242" s="18"/>
      <c r="R242" s="18">
        <f t="shared" si="67"/>
        <v>0</v>
      </c>
      <c r="S242" s="18">
        <f t="shared" si="68"/>
        <v>0</v>
      </c>
      <c r="T242" s="18">
        <f t="shared" si="69"/>
        <v>0</v>
      </c>
      <c r="U242" s="17"/>
      <c r="V242" s="22"/>
      <c r="W242" s="38"/>
      <c r="X242" s="122"/>
      <c r="Y242" s="19"/>
    </row>
    <row r="243" spans="2:26" s="20" customFormat="1" ht="17.100000000000001" customHeight="1" x14ac:dyDescent="0.3">
      <c r="B243" s="17"/>
      <c r="C243" s="94"/>
      <c r="D243" s="17"/>
      <c r="E243" s="91"/>
      <c r="F243" s="15"/>
      <c r="G243" s="15"/>
      <c r="H243" s="15"/>
      <c r="I243" s="29"/>
      <c r="J243" s="19"/>
      <c r="K243" s="19"/>
      <c r="L243" s="19"/>
      <c r="M243" s="18">
        <f t="shared" si="66"/>
        <v>0</v>
      </c>
      <c r="N243" s="35"/>
      <c r="O243" s="18"/>
      <c r="P243" s="35"/>
      <c r="Q243" s="18"/>
      <c r="R243" s="18">
        <f t="shared" si="67"/>
        <v>0</v>
      </c>
      <c r="S243" s="18">
        <f t="shared" si="68"/>
        <v>0</v>
      </c>
      <c r="T243" s="18">
        <f t="shared" si="69"/>
        <v>0</v>
      </c>
      <c r="U243" s="17"/>
      <c r="V243" s="22"/>
      <c r="W243" s="22"/>
      <c r="X243" s="122"/>
      <c r="Y243" s="19"/>
    </row>
    <row r="244" spans="2:26" s="20" customFormat="1" ht="17.100000000000001" customHeight="1" x14ac:dyDescent="0.3">
      <c r="B244" s="17"/>
      <c r="C244" s="94"/>
      <c r="D244" s="17"/>
      <c r="E244" s="91"/>
      <c r="F244" s="15"/>
      <c r="G244" s="15"/>
      <c r="H244" s="15"/>
      <c r="I244" s="29"/>
      <c r="J244" s="19"/>
      <c r="K244" s="19"/>
      <c r="L244" s="19"/>
      <c r="M244" s="18">
        <f t="shared" si="66"/>
        <v>0</v>
      </c>
      <c r="N244" s="35"/>
      <c r="O244" s="18"/>
      <c r="P244" s="35"/>
      <c r="Q244" s="18"/>
      <c r="R244" s="18">
        <f t="shared" si="67"/>
        <v>0</v>
      </c>
      <c r="S244" s="18">
        <f t="shared" si="68"/>
        <v>0</v>
      </c>
      <c r="T244" s="18">
        <f t="shared" si="69"/>
        <v>0</v>
      </c>
      <c r="U244" s="17"/>
      <c r="V244" s="22"/>
      <c r="W244" s="38"/>
      <c r="X244" s="122"/>
      <c r="Y244" s="19"/>
    </row>
    <row r="245" spans="2:26" s="20" customFormat="1" ht="17.100000000000001" customHeight="1" x14ac:dyDescent="0.3">
      <c r="B245" s="17"/>
      <c r="C245" s="94"/>
      <c r="D245" s="17"/>
      <c r="E245" s="91"/>
      <c r="F245" s="15"/>
      <c r="G245" s="15"/>
      <c r="H245" s="15"/>
      <c r="I245" s="29"/>
      <c r="J245" s="19"/>
      <c r="K245" s="19"/>
      <c r="L245" s="19"/>
      <c r="M245" s="18">
        <f t="shared" si="66"/>
        <v>0</v>
      </c>
      <c r="N245" s="35"/>
      <c r="O245" s="18"/>
      <c r="P245" s="35"/>
      <c r="Q245" s="18"/>
      <c r="R245" s="18">
        <f t="shared" si="67"/>
        <v>0</v>
      </c>
      <c r="S245" s="18">
        <f t="shared" si="68"/>
        <v>0</v>
      </c>
      <c r="T245" s="18">
        <f t="shared" si="69"/>
        <v>0</v>
      </c>
      <c r="U245" s="17"/>
      <c r="V245" s="22"/>
      <c r="W245" s="38"/>
      <c r="X245" s="122"/>
      <c r="Y245" s="19"/>
      <c r="Z245" s="45"/>
    </row>
    <row r="246" spans="2:26" s="20" customFormat="1" ht="17.100000000000001" customHeight="1" x14ac:dyDescent="0.3">
      <c r="B246" s="17"/>
      <c r="C246" s="94"/>
      <c r="D246" s="17"/>
      <c r="E246" s="91"/>
      <c r="F246" s="15"/>
      <c r="G246" s="15"/>
      <c r="H246" s="15"/>
      <c r="I246" s="29"/>
      <c r="J246" s="19"/>
      <c r="K246" s="19"/>
      <c r="L246" s="19"/>
      <c r="M246" s="18">
        <f t="shared" si="66"/>
        <v>0</v>
      </c>
      <c r="N246" s="35"/>
      <c r="O246" s="18"/>
      <c r="P246" s="35"/>
      <c r="Q246" s="18"/>
      <c r="R246" s="18">
        <f t="shared" si="67"/>
        <v>0</v>
      </c>
      <c r="S246" s="18">
        <f t="shared" si="68"/>
        <v>0</v>
      </c>
      <c r="T246" s="18">
        <f t="shared" si="69"/>
        <v>0</v>
      </c>
      <c r="U246" s="17"/>
      <c r="V246" s="22"/>
      <c r="W246" s="38"/>
      <c r="X246" s="122"/>
      <c r="Y246" s="19"/>
    </row>
    <row r="247" spans="2:26" s="20" customFormat="1" ht="17.100000000000001" customHeight="1" x14ac:dyDescent="0.3">
      <c r="B247" s="17"/>
      <c r="C247" s="94"/>
      <c r="D247" s="17"/>
      <c r="E247" s="91"/>
      <c r="F247" s="15"/>
      <c r="G247" s="15"/>
      <c r="H247" s="15"/>
      <c r="I247" s="29"/>
      <c r="J247" s="19"/>
      <c r="K247" s="19"/>
      <c r="L247" s="19"/>
      <c r="M247" s="18">
        <f t="shared" si="66"/>
        <v>0</v>
      </c>
      <c r="N247" s="35"/>
      <c r="O247" s="18"/>
      <c r="P247" s="35"/>
      <c r="Q247" s="18"/>
      <c r="R247" s="18">
        <f t="shared" si="67"/>
        <v>0</v>
      </c>
      <c r="S247" s="18">
        <f t="shared" si="68"/>
        <v>0</v>
      </c>
      <c r="T247" s="18">
        <f t="shared" si="69"/>
        <v>0</v>
      </c>
      <c r="U247" s="17"/>
      <c r="V247" s="22"/>
      <c r="W247" s="38"/>
      <c r="X247" s="122"/>
      <c r="Y247" s="19"/>
    </row>
    <row r="248" spans="2:26" s="20" customFormat="1" ht="17.100000000000001" customHeight="1" x14ac:dyDescent="0.3">
      <c r="B248" s="17"/>
      <c r="C248" s="94"/>
      <c r="D248" s="17"/>
      <c r="E248" s="91"/>
      <c r="F248" s="15"/>
      <c r="G248" s="15"/>
      <c r="H248" s="15"/>
      <c r="I248" s="29"/>
      <c r="J248" s="19"/>
      <c r="K248" s="19"/>
      <c r="L248" s="19"/>
      <c r="M248" s="18">
        <f t="shared" si="66"/>
        <v>0</v>
      </c>
      <c r="N248" s="35"/>
      <c r="O248" s="18"/>
      <c r="P248" s="35"/>
      <c r="Q248" s="18"/>
      <c r="R248" s="18">
        <f t="shared" si="67"/>
        <v>0</v>
      </c>
      <c r="S248" s="18">
        <f t="shared" si="68"/>
        <v>0</v>
      </c>
      <c r="T248" s="18">
        <f t="shared" si="69"/>
        <v>0</v>
      </c>
      <c r="U248" s="17"/>
      <c r="V248" s="22"/>
      <c r="W248" s="38"/>
      <c r="X248" s="122"/>
      <c r="Y248" s="19"/>
    </row>
    <row r="249" spans="2:26" s="20" customFormat="1" ht="17.100000000000001" customHeight="1" x14ac:dyDescent="0.3">
      <c r="B249" s="17"/>
      <c r="C249" s="94"/>
      <c r="D249" s="17"/>
      <c r="E249" s="91"/>
      <c r="F249" s="15"/>
      <c r="G249" s="15"/>
      <c r="H249" s="15"/>
      <c r="I249" s="29"/>
      <c r="J249" s="19"/>
      <c r="K249" s="19"/>
      <c r="L249" s="19"/>
      <c r="M249" s="18">
        <f t="shared" ref="M249:M312" si="70">L249*0.1</f>
        <v>0</v>
      </c>
      <c r="N249" s="35"/>
      <c r="O249" s="18"/>
      <c r="P249" s="35"/>
      <c r="Q249" s="18"/>
      <c r="R249" s="18">
        <f t="shared" ref="R249:R312" si="71">O249+Q249</f>
        <v>0</v>
      </c>
      <c r="S249" s="18">
        <f t="shared" ref="S249:S312" si="72">T249-R249</f>
        <v>0</v>
      </c>
      <c r="T249" s="18">
        <f t="shared" ref="T249:T312" si="73">L249+M249</f>
        <v>0</v>
      </c>
      <c r="U249" s="17"/>
      <c r="V249" s="22"/>
      <c r="W249" s="38"/>
      <c r="X249" s="19"/>
      <c r="Y249" s="19"/>
      <c r="Z249" s="45"/>
    </row>
    <row r="250" spans="2:26" s="20" customFormat="1" ht="17.100000000000001" customHeight="1" x14ac:dyDescent="0.3">
      <c r="B250" s="17"/>
      <c r="C250" s="94"/>
      <c r="D250" s="17"/>
      <c r="E250" s="91"/>
      <c r="F250" s="15"/>
      <c r="G250" s="15"/>
      <c r="H250" s="15"/>
      <c r="I250" s="29"/>
      <c r="J250" s="19"/>
      <c r="K250" s="19"/>
      <c r="L250" s="19"/>
      <c r="M250" s="18">
        <f t="shared" si="70"/>
        <v>0</v>
      </c>
      <c r="N250" s="35"/>
      <c r="O250" s="18"/>
      <c r="P250" s="35"/>
      <c r="Q250" s="18"/>
      <c r="R250" s="18">
        <f t="shared" si="71"/>
        <v>0</v>
      </c>
      <c r="S250" s="18">
        <f t="shared" si="72"/>
        <v>0</v>
      </c>
      <c r="T250" s="18">
        <f t="shared" si="73"/>
        <v>0</v>
      </c>
      <c r="U250" s="17"/>
      <c r="V250" s="22"/>
      <c r="W250" s="38"/>
      <c r="X250" s="19"/>
      <c r="Y250" s="19"/>
    </row>
    <row r="251" spans="2:26" s="20" customFormat="1" ht="17.100000000000001" customHeight="1" x14ac:dyDescent="0.3">
      <c r="B251" s="17"/>
      <c r="C251" s="94"/>
      <c r="D251" s="17"/>
      <c r="E251" s="91"/>
      <c r="F251" s="15"/>
      <c r="G251" s="15"/>
      <c r="H251" s="15"/>
      <c r="I251" s="29"/>
      <c r="J251" s="19"/>
      <c r="K251" s="19"/>
      <c r="L251" s="19"/>
      <c r="M251" s="18">
        <f t="shared" si="70"/>
        <v>0</v>
      </c>
      <c r="N251" s="35"/>
      <c r="O251" s="18"/>
      <c r="P251" s="35"/>
      <c r="Q251" s="18"/>
      <c r="R251" s="18">
        <f t="shared" si="71"/>
        <v>0</v>
      </c>
      <c r="S251" s="18">
        <f t="shared" si="72"/>
        <v>0</v>
      </c>
      <c r="T251" s="18">
        <f t="shared" si="73"/>
        <v>0</v>
      </c>
      <c r="U251" s="17"/>
      <c r="V251" s="22"/>
      <c r="W251" s="38"/>
      <c r="X251" s="19"/>
      <c r="Y251" s="19"/>
      <c r="Z251" s="45"/>
    </row>
    <row r="252" spans="2:26" s="20" customFormat="1" ht="17.100000000000001" customHeight="1" x14ac:dyDescent="0.3">
      <c r="B252" s="17"/>
      <c r="C252" s="94"/>
      <c r="D252" s="17"/>
      <c r="E252" s="91"/>
      <c r="F252" s="15"/>
      <c r="G252" s="15"/>
      <c r="H252" s="15"/>
      <c r="I252" s="29"/>
      <c r="J252" s="19"/>
      <c r="K252" s="19"/>
      <c r="L252" s="19"/>
      <c r="M252" s="18">
        <f t="shared" si="70"/>
        <v>0</v>
      </c>
      <c r="N252" s="35"/>
      <c r="O252" s="18"/>
      <c r="P252" s="35"/>
      <c r="Q252" s="18"/>
      <c r="R252" s="18">
        <f t="shared" si="71"/>
        <v>0</v>
      </c>
      <c r="S252" s="18">
        <f t="shared" si="72"/>
        <v>0</v>
      </c>
      <c r="T252" s="18">
        <f t="shared" si="73"/>
        <v>0</v>
      </c>
      <c r="U252" s="17"/>
      <c r="V252" s="22"/>
      <c r="W252" s="38"/>
      <c r="X252" s="19"/>
      <c r="Y252" s="19"/>
    </row>
    <row r="253" spans="2:26" s="20" customFormat="1" ht="17.100000000000001" customHeight="1" x14ac:dyDescent="0.3">
      <c r="B253" s="17"/>
      <c r="C253" s="94"/>
      <c r="D253" s="17"/>
      <c r="E253" s="91"/>
      <c r="F253" s="15"/>
      <c r="G253" s="15"/>
      <c r="H253" s="15"/>
      <c r="I253" s="29"/>
      <c r="J253" s="19"/>
      <c r="K253" s="19"/>
      <c r="L253" s="19"/>
      <c r="M253" s="18">
        <f t="shared" si="70"/>
        <v>0</v>
      </c>
      <c r="N253" s="35"/>
      <c r="O253" s="18"/>
      <c r="P253" s="35"/>
      <c r="Q253" s="18"/>
      <c r="R253" s="18">
        <f t="shared" si="71"/>
        <v>0</v>
      </c>
      <c r="S253" s="18">
        <f t="shared" si="72"/>
        <v>0</v>
      </c>
      <c r="T253" s="18">
        <f t="shared" si="73"/>
        <v>0</v>
      </c>
      <c r="U253" s="17"/>
      <c r="V253" s="22"/>
      <c r="W253" s="38"/>
      <c r="X253" s="19"/>
      <c r="Y253" s="19"/>
    </row>
    <row r="254" spans="2:26" s="20" customFormat="1" ht="17.100000000000001" customHeight="1" x14ac:dyDescent="0.3">
      <c r="B254" s="17"/>
      <c r="C254" s="94"/>
      <c r="D254" s="17"/>
      <c r="E254" s="91"/>
      <c r="F254" s="15"/>
      <c r="G254" s="15"/>
      <c r="H254" s="15"/>
      <c r="I254" s="29"/>
      <c r="J254" s="19"/>
      <c r="K254" s="19"/>
      <c r="L254" s="19"/>
      <c r="M254" s="18">
        <f t="shared" si="70"/>
        <v>0</v>
      </c>
      <c r="N254" s="35"/>
      <c r="O254" s="18"/>
      <c r="P254" s="35"/>
      <c r="Q254" s="18"/>
      <c r="R254" s="18">
        <f t="shared" si="71"/>
        <v>0</v>
      </c>
      <c r="S254" s="18">
        <f t="shared" si="72"/>
        <v>0</v>
      </c>
      <c r="T254" s="18">
        <f t="shared" si="73"/>
        <v>0</v>
      </c>
      <c r="U254" s="17"/>
      <c r="V254" s="22"/>
      <c r="W254" s="38"/>
      <c r="X254" s="19"/>
      <c r="Y254" s="19"/>
    </row>
    <row r="255" spans="2:26" s="20" customFormat="1" ht="17.100000000000001" customHeight="1" x14ac:dyDescent="0.3">
      <c r="B255" s="17"/>
      <c r="C255" s="94"/>
      <c r="D255" s="17"/>
      <c r="E255" s="91"/>
      <c r="F255" s="15"/>
      <c r="G255" s="15"/>
      <c r="H255" s="15"/>
      <c r="I255" s="29"/>
      <c r="J255" s="19"/>
      <c r="K255" s="19"/>
      <c r="L255" s="19"/>
      <c r="M255" s="18">
        <f t="shared" si="70"/>
        <v>0</v>
      </c>
      <c r="N255" s="35"/>
      <c r="O255" s="18"/>
      <c r="P255" s="35"/>
      <c r="Q255" s="18"/>
      <c r="R255" s="18">
        <f t="shared" si="71"/>
        <v>0</v>
      </c>
      <c r="S255" s="18">
        <f t="shared" si="72"/>
        <v>0</v>
      </c>
      <c r="T255" s="18">
        <f t="shared" si="73"/>
        <v>0</v>
      </c>
      <c r="U255" s="17"/>
      <c r="V255" s="22"/>
      <c r="W255" s="22"/>
      <c r="X255" s="19"/>
      <c r="Y255" s="19"/>
    </row>
    <row r="256" spans="2:26" s="20" customFormat="1" ht="17.100000000000001" customHeight="1" x14ac:dyDescent="0.3">
      <c r="B256" s="17"/>
      <c r="C256" s="94"/>
      <c r="D256" s="17"/>
      <c r="E256" s="91"/>
      <c r="F256" s="15"/>
      <c r="G256" s="15"/>
      <c r="H256" s="15"/>
      <c r="I256" s="29"/>
      <c r="J256" s="19"/>
      <c r="K256" s="19"/>
      <c r="L256" s="19"/>
      <c r="M256" s="18">
        <f t="shared" si="70"/>
        <v>0</v>
      </c>
      <c r="N256" s="35"/>
      <c r="O256" s="18"/>
      <c r="P256" s="35"/>
      <c r="Q256" s="18"/>
      <c r="R256" s="18">
        <f t="shared" si="71"/>
        <v>0</v>
      </c>
      <c r="S256" s="18">
        <f t="shared" si="72"/>
        <v>0</v>
      </c>
      <c r="T256" s="18">
        <f t="shared" si="73"/>
        <v>0</v>
      </c>
      <c r="U256" s="17"/>
      <c r="V256" s="22"/>
      <c r="W256" s="38"/>
      <c r="X256" s="19"/>
      <c r="Y256" s="19"/>
    </row>
    <row r="257" spans="2:26" s="20" customFormat="1" ht="17.100000000000001" customHeight="1" x14ac:dyDescent="0.3">
      <c r="B257" s="17"/>
      <c r="C257" s="94"/>
      <c r="D257" s="17"/>
      <c r="E257" s="91"/>
      <c r="F257" s="15"/>
      <c r="G257" s="15"/>
      <c r="H257" s="15"/>
      <c r="I257" s="29"/>
      <c r="J257" s="19"/>
      <c r="K257" s="19"/>
      <c r="L257" s="19"/>
      <c r="M257" s="18">
        <f t="shared" si="70"/>
        <v>0</v>
      </c>
      <c r="N257" s="35"/>
      <c r="O257" s="18"/>
      <c r="P257" s="35"/>
      <c r="Q257" s="18"/>
      <c r="R257" s="18">
        <f t="shared" si="71"/>
        <v>0</v>
      </c>
      <c r="S257" s="18">
        <f t="shared" si="72"/>
        <v>0</v>
      </c>
      <c r="T257" s="18">
        <f t="shared" si="73"/>
        <v>0</v>
      </c>
      <c r="U257" s="17"/>
      <c r="V257" s="22"/>
      <c r="W257" s="38"/>
      <c r="X257" s="19"/>
      <c r="Y257" s="19"/>
    </row>
    <row r="258" spans="2:26" s="20" customFormat="1" ht="17.100000000000001" customHeight="1" x14ac:dyDescent="0.3">
      <c r="B258" s="17"/>
      <c r="C258" s="94"/>
      <c r="D258" s="17"/>
      <c r="E258" s="91"/>
      <c r="F258" s="15"/>
      <c r="G258" s="15"/>
      <c r="H258" s="15"/>
      <c r="I258" s="29"/>
      <c r="J258" s="19"/>
      <c r="K258" s="19"/>
      <c r="L258" s="19"/>
      <c r="M258" s="18">
        <f t="shared" si="70"/>
        <v>0</v>
      </c>
      <c r="N258" s="35"/>
      <c r="O258" s="18"/>
      <c r="P258" s="35"/>
      <c r="Q258" s="18"/>
      <c r="R258" s="18">
        <f t="shared" si="71"/>
        <v>0</v>
      </c>
      <c r="S258" s="18">
        <f t="shared" si="72"/>
        <v>0</v>
      </c>
      <c r="T258" s="18">
        <f t="shared" si="73"/>
        <v>0</v>
      </c>
      <c r="U258" s="17"/>
      <c r="V258" s="22"/>
      <c r="W258" s="38"/>
      <c r="X258" s="19"/>
      <c r="Y258" s="19"/>
    </row>
    <row r="259" spans="2:26" s="20" customFormat="1" ht="17.100000000000001" customHeight="1" x14ac:dyDescent="0.3">
      <c r="B259" s="17"/>
      <c r="C259" s="94"/>
      <c r="D259" s="17"/>
      <c r="E259" s="91"/>
      <c r="F259" s="15"/>
      <c r="G259" s="15"/>
      <c r="H259" s="15"/>
      <c r="I259" s="29"/>
      <c r="J259" s="19"/>
      <c r="K259" s="19"/>
      <c r="L259" s="19"/>
      <c r="M259" s="18">
        <f t="shared" si="70"/>
        <v>0</v>
      </c>
      <c r="N259" s="35"/>
      <c r="O259" s="18"/>
      <c r="P259" s="35"/>
      <c r="Q259" s="18"/>
      <c r="R259" s="18">
        <f t="shared" si="71"/>
        <v>0</v>
      </c>
      <c r="S259" s="18">
        <f t="shared" si="72"/>
        <v>0</v>
      </c>
      <c r="T259" s="18">
        <f t="shared" si="73"/>
        <v>0</v>
      </c>
      <c r="U259" s="17"/>
      <c r="V259" s="22"/>
      <c r="W259" s="38"/>
      <c r="X259" s="19"/>
      <c r="Y259" s="19"/>
    </row>
    <row r="260" spans="2:26" s="20" customFormat="1" ht="17.100000000000001" customHeight="1" x14ac:dyDescent="0.3">
      <c r="B260" s="17"/>
      <c r="C260" s="94"/>
      <c r="D260" s="17"/>
      <c r="E260" s="91"/>
      <c r="F260" s="15"/>
      <c r="G260" s="15"/>
      <c r="H260" s="15"/>
      <c r="I260" s="29"/>
      <c r="J260" s="19"/>
      <c r="K260" s="19"/>
      <c r="L260" s="19"/>
      <c r="M260" s="18">
        <f t="shared" si="70"/>
        <v>0</v>
      </c>
      <c r="N260" s="35"/>
      <c r="O260" s="18"/>
      <c r="P260" s="35"/>
      <c r="Q260" s="18"/>
      <c r="R260" s="18">
        <f t="shared" si="71"/>
        <v>0</v>
      </c>
      <c r="S260" s="18">
        <f t="shared" si="72"/>
        <v>0</v>
      </c>
      <c r="T260" s="18">
        <f t="shared" si="73"/>
        <v>0</v>
      </c>
      <c r="U260" s="17"/>
      <c r="V260" s="22"/>
      <c r="W260" s="38"/>
      <c r="X260" s="19"/>
      <c r="Y260" s="19"/>
      <c r="Z260" s="45"/>
    </row>
    <row r="261" spans="2:26" s="20" customFormat="1" ht="17.100000000000001" customHeight="1" x14ac:dyDescent="0.3">
      <c r="B261" s="17"/>
      <c r="C261" s="94"/>
      <c r="D261" s="17"/>
      <c r="E261" s="91"/>
      <c r="F261" s="15"/>
      <c r="G261" s="15"/>
      <c r="H261" s="15"/>
      <c r="I261" s="29"/>
      <c r="J261" s="19"/>
      <c r="K261" s="19"/>
      <c r="L261" s="19"/>
      <c r="M261" s="18">
        <f t="shared" si="70"/>
        <v>0</v>
      </c>
      <c r="N261" s="35"/>
      <c r="O261" s="18"/>
      <c r="P261" s="35"/>
      <c r="Q261" s="18"/>
      <c r="R261" s="18">
        <f t="shared" si="71"/>
        <v>0</v>
      </c>
      <c r="S261" s="18">
        <f t="shared" si="72"/>
        <v>0</v>
      </c>
      <c r="T261" s="18">
        <f t="shared" si="73"/>
        <v>0</v>
      </c>
      <c r="U261" s="17"/>
      <c r="V261" s="22"/>
      <c r="W261" s="38"/>
      <c r="X261" s="19"/>
      <c r="Y261" s="19"/>
    </row>
    <row r="262" spans="2:26" s="20" customFormat="1" ht="17.100000000000001" customHeight="1" x14ac:dyDescent="0.3">
      <c r="B262" s="17"/>
      <c r="C262" s="94"/>
      <c r="D262" s="17"/>
      <c r="E262" s="91"/>
      <c r="F262" s="15"/>
      <c r="G262" s="15"/>
      <c r="H262" s="15"/>
      <c r="I262" s="29"/>
      <c r="J262" s="19"/>
      <c r="K262" s="19"/>
      <c r="L262" s="19"/>
      <c r="M262" s="18">
        <f t="shared" si="70"/>
        <v>0</v>
      </c>
      <c r="N262" s="35"/>
      <c r="O262" s="18"/>
      <c r="P262" s="35"/>
      <c r="Q262" s="18"/>
      <c r="R262" s="18">
        <f t="shared" si="71"/>
        <v>0</v>
      </c>
      <c r="S262" s="18">
        <f t="shared" si="72"/>
        <v>0</v>
      </c>
      <c r="T262" s="18">
        <f t="shared" si="73"/>
        <v>0</v>
      </c>
      <c r="U262" s="17"/>
      <c r="V262" s="22"/>
      <c r="W262" s="38"/>
      <c r="X262" s="19"/>
      <c r="Y262" s="19"/>
    </row>
    <row r="263" spans="2:26" s="20" customFormat="1" ht="17.100000000000001" customHeight="1" x14ac:dyDescent="0.3">
      <c r="B263" s="17"/>
      <c r="C263" s="94"/>
      <c r="D263" s="17"/>
      <c r="E263" s="91"/>
      <c r="F263" s="15"/>
      <c r="G263" s="15"/>
      <c r="H263" s="15"/>
      <c r="I263" s="29"/>
      <c r="J263" s="19"/>
      <c r="K263" s="19"/>
      <c r="L263" s="19"/>
      <c r="M263" s="18">
        <f t="shared" si="70"/>
        <v>0</v>
      </c>
      <c r="N263" s="35"/>
      <c r="O263" s="18"/>
      <c r="P263" s="35"/>
      <c r="Q263" s="18"/>
      <c r="R263" s="18">
        <f t="shared" si="71"/>
        <v>0</v>
      </c>
      <c r="S263" s="18">
        <f t="shared" si="72"/>
        <v>0</v>
      </c>
      <c r="T263" s="18">
        <f t="shared" si="73"/>
        <v>0</v>
      </c>
      <c r="U263" s="17"/>
      <c r="V263" s="22"/>
      <c r="W263" s="38"/>
      <c r="X263" s="19"/>
      <c r="Y263" s="19"/>
    </row>
    <row r="264" spans="2:26" s="20" customFormat="1" ht="17.100000000000001" customHeight="1" x14ac:dyDescent="0.3">
      <c r="B264" s="17"/>
      <c r="C264" s="94"/>
      <c r="D264" s="17"/>
      <c r="E264" s="91"/>
      <c r="F264" s="15"/>
      <c r="G264" s="15"/>
      <c r="H264" s="15"/>
      <c r="I264" s="29"/>
      <c r="J264" s="19"/>
      <c r="K264" s="19"/>
      <c r="L264" s="19"/>
      <c r="M264" s="18">
        <f t="shared" si="70"/>
        <v>0</v>
      </c>
      <c r="N264" s="35"/>
      <c r="O264" s="18"/>
      <c r="P264" s="35"/>
      <c r="Q264" s="18"/>
      <c r="R264" s="18">
        <f t="shared" si="71"/>
        <v>0</v>
      </c>
      <c r="S264" s="18">
        <f t="shared" si="72"/>
        <v>0</v>
      </c>
      <c r="T264" s="18">
        <f t="shared" si="73"/>
        <v>0</v>
      </c>
      <c r="U264" s="17"/>
      <c r="V264" s="22"/>
      <c r="W264" s="38"/>
      <c r="X264" s="19"/>
      <c r="Y264" s="19"/>
    </row>
    <row r="265" spans="2:26" s="20" customFormat="1" ht="17.100000000000001" customHeight="1" x14ac:dyDescent="0.3">
      <c r="B265" s="17"/>
      <c r="C265" s="94"/>
      <c r="D265" s="17"/>
      <c r="E265" s="91"/>
      <c r="F265" s="15"/>
      <c r="G265" s="15"/>
      <c r="H265" s="15"/>
      <c r="I265" s="29"/>
      <c r="J265" s="19"/>
      <c r="K265" s="19"/>
      <c r="L265" s="19"/>
      <c r="M265" s="18">
        <f t="shared" si="70"/>
        <v>0</v>
      </c>
      <c r="N265" s="35"/>
      <c r="O265" s="18"/>
      <c r="P265" s="35"/>
      <c r="Q265" s="18"/>
      <c r="R265" s="18">
        <f t="shared" si="71"/>
        <v>0</v>
      </c>
      <c r="S265" s="18">
        <f t="shared" si="72"/>
        <v>0</v>
      </c>
      <c r="T265" s="18">
        <f t="shared" si="73"/>
        <v>0</v>
      </c>
      <c r="U265" s="17"/>
      <c r="V265" s="22"/>
      <c r="W265" s="22"/>
      <c r="X265" s="19"/>
      <c r="Y265" s="19"/>
    </row>
    <row r="266" spans="2:26" s="20" customFormat="1" ht="17.100000000000001" customHeight="1" x14ac:dyDescent="0.3">
      <c r="B266" s="17"/>
      <c r="C266" s="94"/>
      <c r="D266" s="17"/>
      <c r="E266" s="91"/>
      <c r="F266" s="15"/>
      <c r="G266" s="15"/>
      <c r="H266" s="15"/>
      <c r="I266" s="29"/>
      <c r="J266" s="19"/>
      <c r="K266" s="19"/>
      <c r="L266" s="19"/>
      <c r="M266" s="18">
        <f t="shared" si="70"/>
        <v>0</v>
      </c>
      <c r="N266" s="35"/>
      <c r="O266" s="18"/>
      <c r="P266" s="35"/>
      <c r="Q266" s="18"/>
      <c r="R266" s="18">
        <f t="shared" si="71"/>
        <v>0</v>
      </c>
      <c r="S266" s="18">
        <f t="shared" si="72"/>
        <v>0</v>
      </c>
      <c r="T266" s="18">
        <f t="shared" si="73"/>
        <v>0</v>
      </c>
      <c r="U266" s="17"/>
      <c r="V266" s="22"/>
      <c r="W266" s="38"/>
      <c r="X266" s="19"/>
      <c r="Y266" s="19"/>
    </row>
    <row r="267" spans="2:26" s="20" customFormat="1" ht="17.100000000000001" customHeight="1" x14ac:dyDescent="0.3">
      <c r="B267" s="17"/>
      <c r="C267" s="94"/>
      <c r="D267" s="17"/>
      <c r="E267" s="91"/>
      <c r="F267" s="15"/>
      <c r="G267" s="15"/>
      <c r="H267" s="15"/>
      <c r="I267" s="29"/>
      <c r="J267" s="19"/>
      <c r="K267" s="19"/>
      <c r="L267" s="19"/>
      <c r="M267" s="18">
        <f t="shared" si="70"/>
        <v>0</v>
      </c>
      <c r="N267" s="35"/>
      <c r="O267" s="18"/>
      <c r="P267" s="35"/>
      <c r="Q267" s="18"/>
      <c r="R267" s="18">
        <f t="shared" si="71"/>
        <v>0</v>
      </c>
      <c r="S267" s="18">
        <f t="shared" si="72"/>
        <v>0</v>
      </c>
      <c r="T267" s="18">
        <f t="shared" si="73"/>
        <v>0</v>
      </c>
      <c r="U267" s="17"/>
      <c r="V267" s="22"/>
      <c r="W267" s="38"/>
      <c r="X267" s="19"/>
      <c r="Y267" s="19"/>
    </row>
    <row r="268" spans="2:26" s="20" customFormat="1" ht="17.100000000000001" customHeight="1" x14ac:dyDescent="0.3">
      <c r="B268" s="17"/>
      <c r="C268" s="94"/>
      <c r="D268" s="17"/>
      <c r="E268" s="91"/>
      <c r="F268" s="15"/>
      <c r="G268" s="15"/>
      <c r="H268" s="15"/>
      <c r="I268" s="29"/>
      <c r="J268" s="19"/>
      <c r="K268" s="19"/>
      <c r="L268" s="19"/>
      <c r="M268" s="18">
        <f t="shared" si="70"/>
        <v>0</v>
      </c>
      <c r="N268" s="35"/>
      <c r="O268" s="18"/>
      <c r="P268" s="35"/>
      <c r="Q268" s="18"/>
      <c r="R268" s="18">
        <f t="shared" si="71"/>
        <v>0</v>
      </c>
      <c r="S268" s="18">
        <f t="shared" si="72"/>
        <v>0</v>
      </c>
      <c r="T268" s="18">
        <f t="shared" si="73"/>
        <v>0</v>
      </c>
      <c r="U268" s="17"/>
      <c r="V268" s="22"/>
      <c r="W268" s="38"/>
      <c r="X268" s="19"/>
      <c r="Y268" s="19"/>
    </row>
    <row r="269" spans="2:26" s="20" customFormat="1" ht="17.100000000000001" customHeight="1" x14ac:dyDescent="0.3">
      <c r="B269" s="17"/>
      <c r="C269" s="94"/>
      <c r="D269" s="17"/>
      <c r="E269" s="91"/>
      <c r="F269" s="15"/>
      <c r="G269" s="15"/>
      <c r="H269" s="15"/>
      <c r="I269" s="29"/>
      <c r="J269" s="19"/>
      <c r="K269" s="19"/>
      <c r="L269" s="19"/>
      <c r="M269" s="18">
        <f t="shared" si="70"/>
        <v>0</v>
      </c>
      <c r="N269" s="35"/>
      <c r="O269" s="18"/>
      <c r="P269" s="35"/>
      <c r="Q269" s="18"/>
      <c r="R269" s="18">
        <f t="shared" si="71"/>
        <v>0</v>
      </c>
      <c r="S269" s="18">
        <f t="shared" si="72"/>
        <v>0</v>
      </c>
      <c r="T269" s="18">
        <f t="shared" si="73"/>
        <v>0</v>
      </c>
      <c r="U269" s="17"/>
      <c r="V269" s="22"/>
      <c r="W269" s="38"/>
      <c r="X269" s="19"/>
      <c r="Y269" s="19"/>
    </row>
    <row r="270" spans="2:26" s="20" customFormat="1" ht="17.100000000000001" customHeight="1" x14ac:dyDescent="0.3">
      <c r="B270" s="17"/>
      <c r="C270" s="94"/>
      <c r="D270" s="17"/>
      <c r="E270" s="91"/>
      <c r="F270" s="15"/>
      <c r="G270" s="15"/>
      <c r="H270" s="15"/>
      <c r="I270" s="29"/>
      <c r="J270" s="19"/>
      <c r="K270" s="19"/>
      <c r="L270" s="19"/>
      <c r="M270" s="18">
        <f t="shared" si="70"/>
        <v>0</v>
      </c>
      <c r="N270" s="35"/>
      <c r="O270" s="18"/>
      <c r="P270" s="35"/>
      <c r="Q270" s="18"/>
      <c r="R270" s="18">
        <f t="shared" si="71"/>
        <v>0</v>
      </c>
      <c r="S270" s="18">
        <f t="shared" si="72"/>
        <v>0</v>
      </c>
      <c r="T270" s="18">
        <f t="shared" si="73"/>
        <v>0</v>
      </c>
      <c r="U270" s="17"/>
      <c r="V270" s="22"/>
      <c r="W270" s="22"/>
      <c r="X270" s="19"/>
      <c r="Y270" s="19"/>
    </row>
    <row r="271" spans="2:26" s="20" customFormat="1" ht="17.100000000000001" customHeight="1" x14ac:dyDescent="0.3">
      <c r="B271" s="17"/>
      <c r="C271" s="94"/>
      <c r="D271" s="17"/>
      <c r="E271" s="91"/>
      <c r="F271" s="15"/>
      <c r="G271" s="15"/>
      <c r="H271" s="15"/>
      <c r="I271" s="29"/>
      <c r="J271" s="19"/>
      <c r="K271" s="19"/>
      <c r="L271" s="19"/>
      <c r="M271" s="18">
        <f t="shared" si="70"/>
        <v>0</v>
      </c>
      <c r="N271" s="35"/>
      <c r="O271" s="18"/>
      <c r="P271" s="35"/>
      <c r="Q271" s="18"/>
      <c r="R271" s="18">
        <f t="shared" si="71"/>
        <v>0</v>
      </c>
      <c r="S271" s="18">
        <f t="shared" si="72"/>
        <v>0</v>
      </c>
      <c r="T271" s="18">
        <f t="shared" si="73"/>
        <v>0</v>
      </c>
      <c r="U271" s="17"/>
      <c r="V271" s="22"/>
      <c r="W271" s="22"/>
      <c r="X271" s="19"/>
      <c r="Y271" s="19"/>
    </row>
    <row r="272" spans="2:26" s="20" customFormat="1" ht="17.100000000000001" customHeight="1" x14ac:dyDescent="0.3">
      <c r="B272" s="17"/>
      <c r="C272" s="94"/>
      <c r="D272" s="17"/>
      <c r="E272" s="91"/>
      <c r="F272" s="15"/>
      <c r="G272" s="15"/>
      <c r="H272" s="15"/>
      <c r="I272" s="29"/>
      <c r="J272" s="18"/>
      <c r="K272" s="18"/>
      <c r="L272" s="18"/>
      <c r="M272" s="18">
        <f t="shared" si="70"/>
        <v>0</v>
      </c>
      <c r="N272" s="35"/>
      <c r="O272" s="18"/>
      <c r="P272" s="35"/>
      <c r="Q272" s="18"/>
      <c r="R272" s="18">
        <f t="shared" si="71"/>
        <v>0</v>
      </c>
      <c r="S272" s="18">
        <f t="shared" si="72"/>
        <v>0</v>
      </c>
      <c r="T272" s="18">
        <f t="shared" si="73"/>
        <v>0</v>
      </c>
      <c r="U272" s="17"/>
      <c r="V272" s="41"/>
      <c r="W272" s="38"/>
      <c r="X272" s="19"/>
      <c r="Y272" s="19"/>
    </row>
    <row r="273" spans="2:26" s="20" customFormat="1" ht="17.100000000000001" customHeight="1" x14ac:dyDescent="0.3">
      <c r="B273" s="17"/>
      <c r="C273" s="94"/>
      <c r="D273" s="17"/>
      <c r="E273" s="91"/>
      <c r="F273" s="15"/>
      <c r="G273" s="15"/>
      <c r="H273" s="15"/>
      <c r="I273" s="29"/>
      <c r="J273" s="19"/>
      <c r="K273" s="19"/>
      <c r="L273" s="19"/>
      <c r="M273" s="18">
        <f t="shared" si="70"/>
        <v>0</v>
      </c>
      <c r="N273" s="35"/>
      <c r="O273" s="18"/>
      <c r="P273" s="35"/>
      <c r="Q273" s="18"/>
      <c r="R273" s="18">
        <f t="shared" si="71"/>
        <v>0</v>
      </c>
      <c r="S273" s="18">
        <f t="shared" si="72"/>
        <v>0</v>
      </c>
      <c r="T273" s="18">
        <f t="shared" si="73"/>
        <v>0</v>
      </c>
      <c r="U273" s="17"/>
      <c r="V273" s="22"/>
      <c r="W273" s="38"/>
      <c r="X273" s="19"/>
      <c r="Y273" s="19"/>
      <c r="Z273" s="79"/>
    </row>
    <row r="274" spans="2:26" s="20" customFormat="1" ht="17.100000000000001" customHeight="1" x14ac:dyDescent="0.3">
      <c r="B274" s="17"/>
      <c r="C274" s="94"/>
      <c r="D274" s="17"/>
      <c r="E274" s="91"/>
      <c r="F274" s="15"/>
      <c r="G274" s="15"/>
      <c r="H274" s="15"/>
      <c r="I274" s="29"/>
      <c r="J274" s="19"/>
      <c r="K274" s="19"/>
      <c r="L274" s="19"/>
      <c r="M274" s="18">
        <f t="shared" si="70"/>
        <v>0</v>
      </c>
      <c r="N274" s="35"/>
      <c r="O274" s="18"/>
      <c r="P274" s="35"/>
      <c r="Q274" s="18"/>
      <c r="R274" s="18">
        <f t="shared" si="71"/>
        <v>0</v>
      </c>
      <c r="S274" s="18">
        <f t="shared" si="72"/>
        <v>0</v>
      </c>
      <c r="T274" s="18">
        <f t="shared" si="73"/>
        <v>0</v>
      </c>
      <c r="U274" s="17"/>
      <c r="V274" s="22"/>
      <c r="W274" s="38"/>
      <c r="X274" s="19"/>
      <c r="Y274" s="19"/>
    </row>
    <row r="275" spans="2:26" s="20" customFormat="1" ht="17.100000000000001" customHeight="1" x14ac:dyDescent="0.3">
      <c r="B275" s="17"/>
      <c r="C275" s="94"/>
      <c r="D275" s="17"/>
      <c r="E275" s="91"/>
      <c r="F275" s="15"/>
      <c r="G275" s="15"/>
      <c r="H275" s="15"/>
      <c r="I275" s="29"/>
      <c r="J275" s="19"/>
      <c r="K275" s="19"/>
      <c r="L275" s="19"/>
      <c r="M275" s="18">
        <f t="shared" si="70"/>
        <v>0</v>
      </c>
      <c r="N275" s="35"/>
      <c r="O275" s="18"/>
      <c r="P275" s="35"/>
      <c r="Q275" s="18"/>
      <c r="R275" s="18">
        <f t="shared" si="71"/>
        <v>0</v>
      </c>
      <c r="S275" s="18">
        <f t="shared" si="72"/>
        <v>0</v>
      </c>
      <c r="T275" s="18">
        <f t="shared" si="73"/>
        <v>0</v>
      </c>
      <c r="U275" s="17"/>
      <c r="V275" s="22"/>
      <c r="W275" s="38"/>
      <c r="X275" s="44"/>
      <c r="Y275" s="19"/>
      <c r="Z275" s="45"/>
    </row>
    <row r="276" spans="2:26" s="20" customFormat="1" ht="17.100000000000001" customHeight="1" x14ac:dyDescent="0.3">
      <c r="B276" s="17"/>
      <c r="C276" s="94"/>
      <c r="D276" s="17"/>
      <c r="E276" s="91"/>
      <c r="F276" s="83"/>
      <c r="G276" s="83"/>
      <c r="H276" s="83"/>
      <c r="I276" s="84"/>
      <c r="J276" s="85"/>
      <c r="K276" s="85"/>
      <c r="L276" s="85"/>
      <c r="M276" s="18">
        <f t="shared" si="70"/>
        <v>0</v>
      </c>
      <c r="N276" s="35"/>
      <c r="O276" s="18"/>
      <c r="P276" s="35"/>
      <c r="Q276" s="18"/>
      <c r="R276" s="18">
        <f t="shared" si="71"/>
        <v>0</v>
      </c>
      <c r="S276" s="18">
        <f t="shared" si="72"/>
        <v>0</v>
      </c>
      <c r="T276" s="18">
        <f t="shared" si="73"/>
        <v>0</v>
      </c>
      <c r="U276" s="86"/>
      <c r="V276" s="22"/>
      <c r="W276" s="38"/>
      <c r="X276" s="19"/>
      <c r="Y276" s="19"/>
    </row>
    <row r="277" spans="2:26" s="20" customFormat="1" ht="17.100000000000001" customHeight="1" x14ac:dyDescent="0.3">
      <c r="B277" s="17"/>
      <c r="C277" s="94"/>
      <c r="D277" s="17"/>
      <c r="E277" s="91"/>
      <c r="F277" s="15"/>
      <c r="G277" s="15"/>
      <c r="H277" s="15"/>
      <c r="I277" s="29"/>
      <c r="J277" s="19"/>
      <c r="K277" s="19"/>
      <c r="L277" s="19"/>
      <c r="M277" s="18">
        <f t="shared" si="70"/>
        <v>0</v>
      </c>
      <c r="N277" s="35"/>
      <c r="O277" s="18"/>
      <c r="P277" s="35"/>
      <c r="Q277" s="18"/>
      <c r="R277" s="18">
        <f t="shared" si="71"/>
        <v>0</v>
      </c>
      <c r="S277" s="18">
        <f t="shared" si="72"/>
        <v>0</v>
      </c>
      <c r="T277" s="18">
        <f t="shared" si="73"/>
        <v>0</v>
      </c>
      <c r="U277" s="17"/>
      <c r="V277" s="22"/>
      <c r="W277" s="38"/>
      <c r="X277" s="19"/>
      <c r="Y277" s="19"/>
      <c r="Z277" s="45"/>
    </row>
    <row r="278" spans="2:26" s="20" customFormat="1" ht="17.100000000000001" customHeight="1" x14ac:dyDescent="0.3">
      <c r="B278" s="17"/>
      <c r="C278" s="94"/>
      <c r="D278" s="17"/>
      <c r="E278" s="91"/>
      <c r="F278" s="15"/>
      <c r="G278" s="15"/>
      <c r="H278" s="15"/>
      <c r="I278" s="29"/>
      <c r="J278" s="19"/>
      <c r="K278" s="19"/>
      <c r="L278" s="19"/>
      <c r="M278" s="18">
        <f t="shared" si="70"/>
        <v>0</v>
      </c>
      <c r="N278" s="35"/>
      <c r="O278" s="18"/>
      <c r="P278" s="35"/>
      <c r="Q278" s="18"/>
      <c r="R278" s="18">
        <f t="shared" si="71"/>
        <v>0</v>
      </c>
      <c r="S278" s="18">
        <f t="shared" si="72"/>
        <v>0</v>
      </c>
      <c r="T278" s="18">
        <f t="shared" si="73"/>
        <v>0</v>
      </c>
      <c r="U278" s="17"/>
      <c r="V278" s="22"/>
      <c r="W278" s="38"/>
      <c r="X278" s="19"/>
      <c r="Y278" s="19"/>
    </row>
    <row r="279" spans="2:26" s="20" customFormat="1" ht="17.100000000000001" customHeight="1" x14ac:dyDescent="0.3">
      <c r="B279" s="17"/>
      <c r="C279" s="94"/>
      <c r="D279" s="17"/>
      <c r="E279" s="91"/>
      <c r="F279" s="15"/>
      <c r="G279" s="15"/>
      <c r="H279" s="15"/>
      <c r="I279" s="29"/>
      <c r="J279" s="19"/>
      <c r="K279" s="19"/>
      <c r="L279" s="19"/>
      <c r="M279" s="18">
        <f t="shared" si="70"/>
        <v>0</v>
      </c>
      <c r="N279" s="35"/>
      <c r="O279" s="18"/>
      <c r="P279" s="35"/>
      <c r="Q279" s="18"/>
      <c r="R279" s="18">
        <f t="shared" si="71"/>
        <v>0</v>
      </c>
      <c r="S279" s="18">
        <f t="shared" si="72"/>
        <v>0</v>
      </c>
      <c r="T279" s="18">
        <f t="shared" si="73"/>
        <v>0</v>
      </c>
      <c r="U279" s="17"/>
      <c r="V279" s="22"/>
      <c r="W279" s="38"/>
      <c r="X279" s="19"/>
      <c r="Y279" s="19"/>
      <c r="Z279" s="45"/>
    </row>
    <row r="280" spans="2:26" s="20" customFormat="1" ht="17.100000000000001" customHeight="1" x14ac:dyDescent="0.3">
      <c r="B280" s="17"/>
      <c r="C280" s="94"/>
      <c r="D280" s="17"/>
      <c r="E280" s="91"/>
      <c r="F280" s="15"/>
      <c r="G280" s="15"/>
      <c r="H280" s="15"/>
      <c r="I280" s="29"/>
      <c r="J280" s="19"/>
      <c r="K280" s="19"/>
      <c r="L280" s="19"/>
      <c r="M280" s="18">
        <f t="shared" si="70"/>
        <v>0</v>
      </c>
      <c r="N280" s="35"/>
      <c r="O280" s="18"/>
      <c r="P280" s="35"/>
      <c r="Q280" s="18"/>
      <c r="R280" s="18">
        <f t="shared" si="71"/>
        <v>0</v>
      </c>
      <c r="S280" s="18">
        <f t="shared" si="72"/>
        <v>0</v>
      </c>
      <c r="T280" s="18">
        <f t="shared" si="73"/>
        <v>0</v>
      </c>
      <c r="U280" s="17"/>
      <c r="V280" s="22"/>
      <c r="W280" s="38"/>
      <c r="X280" s="19"/>
      <c r="Y280" s="19"/>
    </row>
    <row r="281" spans="2:26" s="20" customFormat="1" ht="17.100000000000001" customHeight="1" x14ac:dyDescent="0.3">
      <c r="B281" s="17"/>
      <c r="C281" s="94"/>
      <c r="D281" s="17"/>
      <c r="E281" s="91"/>
      <c r="F281" s="15"/>
      <c r="G281" s="15"/>
      <c r="H281" s="15"/>
      <c r="I281" s="29"/>
      <c r="J281" s="19"/>
      <c r="K281" s="19"/>
      <c r="L281" s="19"/>
      <c r="M281" s="18">
        <f t="shared" si="70"/>
        <v>0</v>
      </c>
      <c r="N281" s="35"/>
      <c r="O281" s="18"/>
      <c r="P281" s="35"/>
      <c r="Q281" s="18"/>
      <c r="R281" s="18">
        <f t="shared" si="71"/>
        <v>0</v>
      </c>
      <c r="S281" s="18">
        <f t="shared" si="72"/>
        <v>0</v>
      </c>
      <c r="T281" s="18">
        <f t="shared" si="73"/>
        <v>0</v>
      </c>
      <c r="U281" s="17"/>
      <c r="V281" s="22"/>
      <c r="W281" s="38"/>
      <c r="X281" s="19"/>
      <c r="Y281" s="19"/>
    </row>
    <row r="282" spans="2:26" s="20" customFormat="1" ht="17.100000000000001" customHeight="1" x14ac:dyDescent="0.3">
      <c r="B282" s="17"/>
      <c r="C282" s="94"/>
      <c r="D282" s="17"/>
      <c r="E282" s="91"/>
      <c r="F282" s="15"/>
      <c r="G282" s="15"/>
      <c r="H282" s="15"/>
      <c r="I282" s="29"/>
      <c r="J282" s="19"/>
      <c r="K282" s="19"/>
      <c r="L282" s="19"/>
      <c r="M282" s="18">
        <f t="shared" si="70"/>
        <v>0</v>
      </c>
      <c r="N282" s="35"/>
      <c r="O282" s="18"/>
      <c r="P282" s="35"/>
      <c r="Q282" s="18"/>
      <c r="R282" s="18">
        <f t="shared" si="71"/>
        <v>0</v>
      </c>
      <c r="S282" s="18">
        <f t="shared" si="72"/>
        <v>0</v>
      </c>
      <c r="T282" s="18">
        <f t="shared" si="73"/>
        <v>0</v>
      </c>
      <c r="U282" s="17"/>
      <c r="V282" s="22"/>
      <c r="W282" s="38"/>
      <c r="X282" s="19"/>
      <c r="Y282" s="19"/>
    </row>
    <row r="283" spans="2:26" s="20" customFormat="1" ht="17.100000000000001" customHeight="1" x14ac:dyDescent="0.3">
      <c r="B283" s="17"/>
      <c r="C283" s="94"/>
      <c r="D283" s="17"/>
      <c r="E283" s="91"/>
      <c r="F283" s="15"/>
      <c r="G283" s="15"/>
      <c r="H283" s="15"/>
      <c r="I283" s="29"/>
      <c r="J283" s="19"/>
      <c r="K283" s="19"/>
      <c r="L283" s="19"/>
      <c r="M283" s="18">
        <f t="shared" si="70"/>
        <v>0</v>
      </c>
      <c r="N283" s="35"/>
      <c r="O283" s="18"/>
      <c r="P283" s="35"/>
      <c r="Q283" s="18"/>
      <c r="R283" s="18">
        <f t="shared" si="71"/>
        <v>0</v>
      </c>
      <c r="S283" s="18">
        <f t="shared" si="72"/>
        <v>0</v>
      </c>
      <c r="T283" s="18">
        <f t="shared" si="73"/>
        <v>0</v>
      </c>
      <c r="U283" s="17"/>
      <c r="V283" s="22"/>
      <c r="W283" s="38"/>
      <c r="X283" s="19"/>
      <c r="Y283" s="19"/>
      <c r="Z283" s="45"/>
    </row>
    <row r="284" spans="2:26" s="20" customFormat="1" ht="17.100000000000001" customHeight="1" x14ac:dyDescent="0.3">
      <c r="B284" s="17"/>
      <c r="C284" s="94"/>
      <c r="D284" s="17"/>
      <c r="E284" s="91"/>
      <c r="F284" s="15"/>
      <c r="G284" s="15"/>
      <c r="H284" s="15"/>
      <c r="I284" s="29"/>
      <c r="J284" s="19"/>
      <c r="K284" s="19"/>
      <c r="L284" s="19"/>
      <c r="M284" s="18">
        <f t="shared" si="70"/>
        <v>0</v>
      </c>
      <c r="N284" s="35"/>
      <c r="O284" s="18"/>
      <c r="P284" s="35"/>
      <c r="Q284" s="18"/>
      <c r="R284" s="18">
        <f t="shared" si="71"/>
        <v>0</v>
      </c>
      <c r="S284" s="18">
        <f t="shared" si="72"/>
        <v>0</v>
      </c>
      <c r="T284" s="18">
        <f t="shared" si="73"/>
        <v>0</v>
      </c>
      <c r="U284" s="17"/>
      <c r="V284" s="22"/>
      <c r="W284" s="38"/>
      <c r="X284" s="19"/>
      <c r="Y284" s="19"/>
      <c r="Z284" s="45"/>
    </row>
    <row r="285" spans="2:26" s="20" customFormat="1" ht="17.100000000000001" customHeight="1" x14ac:dyDescent="0.3">
      <c r="B285" s="17"/>
      <c r="C285" s="94"/>
      <c r="D285" s="17"/>
      <c r="E285" s="91"/>
      <c r="F285" s="15"/>
      <c r="G285" s="15"/>
      <c r="H285" s="15"/>
      <c r="I285" s="29"/>
      <c r="J285" s="18"/>
      <c r="K285" s="18"/>
      <c r="L285" s="18"/>
      <c r="M285" s="18">
        <f t="shared" si="70"/>
        <v>0</v>
      </c>
      <c r="N285" s="35"/>
      <c r="O285" s="18"/>
      <c r="P285" s="35"/>
      <c r="Q285" s="18"/>
      <c r="R285" s="18">
        <f t="shared" si="71"/>
        <v>0</v>
      </c>
      <c r="S285" s="18">
        <f t="shared" si="72"/>
        <v>0</v>
      </c>
      <c r="T285" s="18">
        <f t="shared" si="73"/>
        <v>0</v>
      </c>
      <c r="U285" s="17"/>
      <c r="V285" s="41"/>
      <c r="W285" s="38"/>
      <c r="X285" s="19"/>
      <c r="Y285" s="19"/>
    </row>
    <row r="286" spans="2:26" s="20" customFormat="1" ht="17.100000000000001" customHeight="1" x14ac:dyDescent="0.3">
      <c r="B286" s="17"/>
      <c r="C286" s="94"/>
      <c r="D286" s="17"/>
      <c r="E286" s="91"/>
      <c r="F286" s="15"/>
      <c r="G286" s="15"/>
      <c r="H286" s="15"/>
      <c r="I286" s="29"/>
      <c r="J286" s="19"/>
      <c r="K286" s="19"/>
      <c r="L286" s="19"/>
      <c r="M286" s="18">
        <f t="shared" si="70"/>
        <v>0</v>
      </c>
      <c r="N286" s="35"/>
      <c r="O286" s="18"/>
      <c r="P286" s="35"/>
      <c r="Q286" s="18"/>
      <c r="R286" s="18">
        <f t="shared" si="71"/>
        <v>0</v>
      </c>
      <c r="S286" s="18">
        <f t="shared" si="72"/>
        <v>0</v>
      </c>
      <c r="T286" s="18">
        <f t="shared" si="73"/>
        <v>0</v>
      </c>
      <c r="U286" s="17"/>
      <c r="V286" s="22"/>
      <c r="W286" s="38"/>
      <c r="X286" s="19"/>
      <c r="Y286" s="19"/>
    </row>
    <row r="287" spans="2:26" s="20" customFormat="1" ht="17.100000000000001" customHeight="1" x14ac:dyDescent="0.3">
      <c r="B287" s="17"/>
      <c r="C287" s="94"/>
      <c r="D287" s="17"/>
      <c r="E287" s="91"/>
      <c r="F287" s="15"/>
      <c r="G287" s="15"/>
      <c r="H287" s="15"/>
      <c r="I287" s="29"/>
      <c r="J287" s="19"/>
      <c r="K287" s="19"/>
      <c r="L287" s="19"/>
      <c r="M287" s="18">
        <f t="shared" si="70"/>
        <v>0</v>
      </c>
      <c r="N287" s="35"/>
      <c r="O287" s="18"/>
      <c r="P287" s="35"/>
      <c r="Q287" s="18"/>
      <c r="R287" s="18">
        <f t="shared" si="71"/>
        <v>0</v>
      </c>
      <c r="S287" s="18">
        <f t="shared" si="72"/>
        <v>0</v>
      </c>
      <c r="T287" s="18">
        <f t="shared" si="73"/>
        <v>0</v>
      </c>
      <c r="U287" s="17"/>
      <c r="V287" s="22"/>
      <c r="W287" s="38"/>
      <c r="X287" s="19"/>
      <c r="Y287" s="19"/>
    </row>
    <row r="288" spans="2:26" s="20" customFormat="1" ht="17.100000000000001" customHeight="1" x14ac:dyDescent="0.3">
      <c r="B288" s="17"/>
      <c r="C288" s="94"/>
      <c r="D288" s="17"/>
      <c r="E288" s="91"/>
      <c r="F288" s="15"/>
      <c r="G288" s="15"/>
      <c r="H288" s="15"/>
      <c r="I288" s="51"/>
      <c r="J288" s="19"/>
      <c r="K288" s="19"/>
      <c r="L288" s="19"/>
      <c r="M288" s="18">
        <f t="shared" si="70"/>
        <v>0</v>
      </c>
      <c r="N288" s="35"/>
      <c r="O288" s="18"/>
      <c r="P288" s="35"/>
      <c r="Q288" s="18"/>
      <c r="R288" s="18">
        <f t="shared" si="71"/>
        <v>0</v>
      </c>
      <c r="S288" s="18">
        <f t="shared" si="72"/>
        <v>0</v>
      </c>
      <c r="T288" s="18">
        <f t="shared" si="73"/>
        <v>0</v>
      </c>
      <c r="U288" s="17"/>
      <c r="V288" s="22"/>
      <c r="W288" s="38"/>
      <c r="X288" s="19"/>
      <c r="Y288" s="19"/>
    </row>
    <row r="289" spans="2:25" s="20" customFormat="1" ht="17.100000000000001" customHeight="1" x14ac:dyDescent="0.3">
      <c r="B289" s="17"/>
      <c r="C289" s="94"/>
      <c r="D289" s="17"/>
      <c r="E289" s="91"/>
      <c r="F289" s="15"/>
      <c r="G289" s="15"/>
      <c r="H289" s="15"/>
      <c r="I289" s="29"/>
      <c r="J289" s="19"/>
      <c r="K289" s="19"/>
      <c r="L289" s="19"/>
      <c r="M289" s="18">
        <f t="shared" si="70"/>
        <v>0</v>
      </c>
      <c r="N289" s="35"/>
      <c r="O289" s="18"/>
      <c r="P289" s="35"/>
      <c r="Q289" s="18"/>
      <c r="R289" s="18">
        <f t="shared" si="71"/>
        <v>0</v>
      </c>
      <c r="S289" s="18">
        <f t="shared" si="72"/>
        <v>0</v>
      </c>
      <c r="T289" s="18">
        <f t="shared" si="73"/>
        <v>0</v>
      </c>
      <c r="U289" s="17"/>
      <c r="V289" s="22"/>
      <c r="W289" s="38"/>
      <c r="X289" s="19"/>
      <c r="Y289" s="19"/>
    </row>
    <row r="290" spans="2:25" s="20" customFormat="1" ht="17.100000000000001" customHeight="1" x14ac:dyDescent="0.3">
      <c r="B290" s="17"/>
      <c r="C290" s="94"/>
      <c r="D290" s="17"/>
      <c r="E290" s="91"/>
      <c r="F290" s="15"/>
      <c r="G290" s="15"/>
      <c r="H290" s="15"/>
      <c r="I290" s="29"/>
      <c r="J290" s="19"/>
      <c r="K290" s="19"/>
      <c r="L290" s="19"/>
      <c r="M290" s="18">
        <f t="shared" si="70"/>
        <v>0</v>
      </c>
      <c r="N290" s="35"/>
      <c r="O290" s="18"/>
      <c r="P290" s="35"/>
      <c r="Q290" s="18"/>
      <c r="R290" s="18">
        <f t="shared" si="71"/>
        <v>0</v>
      </c>
      <c r="S290" s="18">
        <f t="shared" si="72"/>
        <v>0</v>
      </c>
      <c r="T290" s="18">
        <f t="shared" si="73"/>
        <v>0</v>
      </c>
      <c r="U290" s="17"/>
      <c r="V290" s="22"/>
      <c r="W290" s="38"/>
      <c r="X290" s="19"/>
      <c r="Y290" s="19"/>
    </row>
    <row r="291" spans="2:25" s="20" customFormat="1" ht="17.100000000000001" customHeight="1" x14ac:dyDescent="0.3">
      <c r="B291" s="17"/>
      <c r="C291" s="94"/>
      <c r="D291" s="17"/>
      <c r="E291" s="91"/>
      <c r="F291" s="15"/>
      <c r="G291" s="15"/>
      <c r="H291" s="15"/>
      <c r="I291" s="29"/>
      <c r="J291" s="19"/>
      <c r="K291" s="19"/>
      <c r="L291" s="19"/>
      <c r="M291" s="18">
        <f t="shared" si="70"/>
        <v>0</v>
      </c>
      <c r="N291" s="35"/>
      <c r="O291" s="18"/>
      <c r="P291" s="35"/>
      <c r="Q291" s="18"/>
      <c r="R291" s="18">
        <f t="shared" si="71"/>
        <v>0</v>
      </c>
      <c r="S291" s="18">
        <f t="shared" si="72"/>
        <v>0</v>
      </c>
      <c r="T291" s="18">
        <f t="shared" si="73"/>
        <v>0</v>
      </c>
      <c r="U291" s="17"/>
      <c r="V291" s="22"/>
      <c r="W291" s="22"/>
      <c r="X291" s="19"/>
      <c r="Y291" s="19"/>
    </row>
    <row r="292" spans="2:25" s="20" customFormat="1" ht="17.100000000000001" customHeight="1" x14ac:dyDescent="0.3">
      <c r="B292" s="17"/>
      <c r="C292" s="94"/>
      <c r="D292" s="17"/>
      <c r="E292" s="91"/>
      <c r="F292" s="15"/>
      <c r="G292" s="15"/>
      <c r="H292" s="15"/>
      <c r="I292" s="29"/>
      <c r="J292" s="19"/>
      <c r="K292" s="19"/>
      <c r="L292" s="19"/>
      <c r="M292" s="18">
        <f t="shared" si="70"/>
        <v>0</v>
      </c>
      <c r="N292" s="35"/>
      <c r="O292" s="18"/>
      <c r="P292" s="35"/>
      <c r="Q292" s="18"/>
      <c r="R292" s="18">
        <f t="shared" si="71"/>
        <v>0</v>
      </c>
      <c r="S292" s="18">
        <f t="shared" si="72"/>
        <v>0</v>
      </c>
      <c r="T292" s="18">
        <f t="shared" si="73"/>
        <v>0</v>
      </c>
      <c r="U292" s="17"/>
      <c r="V292" s="22"/>
      <c r="W292" s="22"/>
      <c r="X292" s="19"/>
      <c r="Y292" s="19"/>
    </row>
    <row r="293" spans="2:25" s="20" customFormat="1" ht="17.100000000000001" customHeight="1" x14ac:dyDescent="0.3">
      <c r="B293" s="17"/>
      <c r="C293" s="94"/>
      <c r="D293" s="17"/>
      <c r="E293" s="91"/>
      <c r="F293" s="15"/>
      <c r="G293" s="15"/>
      <c r="H293" s="15"/>
      <c r="I293" s="29"/>
      <c r="J293" s="19"/>
      <c r="K293" s="19"/>
      <c r="L293" s="19"/>
      <c r="M293" s="18">
        <f t="shared" si="70"/>
        <v>0</v>
      </c>
      <c r="N293" s="35"/>
      <c r="O293" s="18"/>
      <c r="P293" s="35"/>
      <c r="Q293" s="18"/>
      <c r="R293" s="18">
        <f t="shared" si="71"/>
        <v>0</v>
      </c>
      <c r="S293" s="18">
        <f t="shared" si="72"/>
        <v>0</v>
      </c>
      <c r="T293" s="18">
        <f t="shared" si="73"/>
        <v>0</v>
      </c>
      <c r="U293" s="17"/>
      <c r="V293" s="22"/>
      <c r="W293" s="22"/>
      <c r="X293" s="19"/>
      <c r="Y293" s="19"/>
    </row>
    <row r="294" spans="2:25" s="20" customFormat="1" ht="17.100000000000001" customHeight="1" x14ac:dyDescent="0.3">
      <c r="B294" s="17"/>
      <c r="C294" s="94"/>
      <c r="D294" s="17"/>
      <c r="E294" s="91"/>
      <c r="F294" s="15"/>
      <c r="G294" s="15"/>
      <c r="H294" s="15"/>
      <c r="I294" s="29"/>
      <c r="J294" s="19"/>
      <c r="K294" s="19"/>
      <c r="L294" s="19"/>
      <c r="M294" s="18">
        <f t="shared" si="70"/>
        <v>0</v>
      </c>
      <c r="N294" s="35"/>
      <c r="O294" s="18"/>
      <c r="P294" s="35"/>
      <c r="Q294" s="18"/>
      <c r="R294" s="18">
        <f t="shared" si="71"/>
        <v>0</v>
      </c>
      <c r="S294" s="18">
        <f t="shared" si="72"/>
        <v>0</v>
      </c>
      <c r="T294" s="18">
        <f t="shared" si="73"/>
        <v>0</v>
      </c>
      <c r="U294" s="17"/>
      <c r="V294" s="22"/>
      <c r="W294" s="22"/>
      <c r="X294" s="19"/>
      <c r="Y294" s="19"/>
    </row>
    <row r="295" spans="2:25" s="20" customFormat="1" ht="17.100000000000001" customHeight="1" x14ac:dyDescent="0.3">
      <c r="B295" s="17"/>
      <c r="C295" s="94"/>
      <c r="D295" s="17"/>
      <c r="E295" s="91"/>
      <c r="F295" s="15"/>
      <c r="G295" s="15"/>
      <c r="H295" s="15"/>
      <c r="I295" s="29"/>
      <c r="J295" s="19"/>
      <c r="K295" s="19"/>
      <c r="L295" s="19"/>
      <c r="M295" s="18">
        <f t="shared" si="70"/>
        <v>0</v>
      </c>
      <c r="N295" s="35"/>
      <c r="O295" s="18"/>
      <c r="P295" s="35"/>
      <c r="Q295" s="18"/>
      <c r="R295" s="18">
        <f t="shared" si="71"/>
        <v>0</v>
      </c>
      <c r="S295" s="18">
        <f t="shared" si="72"/>
        <v>0</v>
      </c>
      <c r="T295" s="18">
        <f t="shared" si="73"/>
        <v>0</v>
      </c>
      <c r="U295" s="17"/>
      <c r="V295" s="22"/>
      <c r="W295" s="22"/>
      <c r="X295" s="19"/>
      <c r="Y295" s="19"/>
    </row>
    <row r="296" spans="2:25" s="20" customFormat="1" ht="17.100000000000001" customHeight="1" x14ac:dyDescent="0.3">
      <c r="B296" s="17"/>
      <c r="C296" s="94"/>
      <c r="D296" s="17"/>
      <c r="E296" s="91"/>
      <c r="F296" s="15"/>
      <c r="G296" s="15"/>
      <c r="H296" s="15"/>
      <c r="I296" s="29"/>
      <c r="J296" s="19"/>
      <c r="K296" s="19"/>
      <c r="L296" s="19"/>
      <c r="M296" s="18">
        <f t="shared" si="70"/>
        <v>0</v>
      </c>
      <c r="N296" s="35"/>
      <c r="O296" s="18"/>
      <c r="P296" s="35"/>
      <c r="Q296" s="18"/>
      <c r="R296" s="18">
        <f t="shared" si="71"/>
        <v>0</v>
      </c>
      <c r="S296" s="18">
        <f t="shared" si="72"/>
        <v>0</v>
      </c>
      <c r="T296" s="18">
        <f t="shared" si="73"/>
        <v>0</v>
      </c>
      <c r="U296" s="17"/>
      <c r="V296" s="22"/>
      <c r="W296" s="22"/>
      <c r="X296" s="19"/>
      <c r="Y296" s="19"/>
    </row>
    <row r="297" spans="2:25" s="20" customFormat="1" ht="17.100000000000001" customHeight="1" x14ac:dyDescent="0.3">
      <c r="B297" s="17"/>
      <c r="C297" s="94"/>
      <c r="D297" s="17"/>
      <c r="E297" s="91"/>
      <c r="F297" s="15"/>
      <c r="G297" s="15"/>
      <c r="H297" s="15"/>
      <c r="I297" s="29"/>
      <c r="J297" s="19"/>
      <c r="K297" s="19"/>
      <c r="L297" s="19"/>
      <c r="M297" s="18">
        <f t="shared" si="70"/>
        <v>0</v>
      </c>
      <c r="N297" s="35"/>
      <c r="O297" s="18"/>
      <c r="P297" s="35"/>
      <c r="Q297" s="18"/>
      <c r="R297" s="18">
        <f t="shared" si="71"/>
        <v>0</v>
      </c>
      <c r="S297" s="18">
        <f t="shared" si="72"/>
        <v>0</v>
      </c>
      <c r="T297" s="18">
        <f t="shared" si="73"/>
        <v>0</v>
      </c>
      <c r="U297" s="17"/>
      <c r="V297" s="22"/>
      <c r="W297" s="22"/>
      <c r="X297" s="19"/>
      <c r="Y297" s="19"/>
    </row>
    <row r="298" spans="2:25" s="20" customFormat="1" ht="17.100000000000001" customHeight="1" x14ac:dyDescent="0.3">
      <c r="B298" s="17"/>
      <c r="C298" s="94"/>
      <c r="D298" s="17"/>
      <c r="E298" s="91"/>
      <c r="F298" s="15"/>
      <c r="G298" s="15"/>
      <c r="H298" s="15"/>
      <c r="I298" s="29"/>
      <c r="J298" s="19"/>
      <c r="K298" s="19"/>
      <c r="L298" s="19"/>
      <c r="M298" s="18">
        <f t="shared" si="70"/>
        <v>0</v>
      </c>
      <c r="N298" s="35"/>
      <c r="O298" s="18"/>
      <c r="P298" s="35"/>
      <c r="Q298" s="18"/>
      <c r="R298" s="18">
        <f t="shared" si="71"/>
        <v>0</v>
      </c>
      <c r="S298" s="18">
        <f t="shared" si="72"/>
        <v>0</v>
      </c>
      <c r="T298" s="18">
        <f t="shared" si="73"/>
        <v>0</v>
      </c>
      <c r="U298" s="17"/>
      <c r="V298" s="22"/>
      <c r="W298" s="22"/>
      <c r="X298" s="19"/>
      <c r="Y298" s="19"/>
    </row>
    <row r="299" spans="2:25" s="20" customFormat="1" ht="17.100000000000001" customHeight="1" x14ac:dyDescent="0.3">
      <c r="B299" s="17"/>
      <c r="C299" s="94"/>
      <c r="D299" s="17"/>
      <c r="E299" s="91"/>
      <c r="F299" s="15"/>
      <c r="G299" s="15"/>
      <c r="H299" s="15"/>
      <c r="I299" s="29"/>
      <c r="J299" s="19"/>
      <c r="K299" s="19"/>
      <c r="L299" s="19"/>
      <c r="M299" s="18">
        <f t="shared" si="70"/>
        <v>0</v>
      </c>
      <c r="N299" s="35"/>
      <c r="O299" s="18"/>
      <c r="P299" s="35"/>
      <c r="Q299" s="18"/>
      <c r="R299" s="18">
        <f t="shared" si="71"/>
        <v>0</v>
      </c>
      <c r="S299" s="18">
        <f t="shared" si="72"/>
        <v>0</v>
      </c>
      <c r="T299" s="18">
        <f t="shared" si="73"/>
        <v>0</v>
      </c>
      <c r="U299" s="17"/>
      <c r="V299" s="22"/>
      <c r="W299" s="22"/>
      <c r="X299" s="19"/>
      <c r="Y299" s="19"/>
    </row>
    <row r="300" spans="2:25" s="20" customFormat="1" ht="17.100000000000001" customHeight="1" x14ac:dyDescent="0.3">
      <c r="B300" s="17"/>
      <c r="C300" s="94"/>
      <c r="D300" s="17"/>
      <c r="E300" s="91"/>
      <c r="F300" s="15"/>
      <c r="G300" s="15"/>
      <c r="H300" s="15"/>
      <c r="I300" s="29"/>
      <c r="J300" s="19"/>
      <c r="K300" s="19"/>
      <c r="L300" s="19"/>
      <c r="M300" s="18">
        <f t="shared" si="70"/>
        <v>0</v>
      </c>
      <c r="N300" s="35"/>
      <c r="O300" s="18"/>
      <c r="P300" s="35"/>
      <c r="Q300" s="18"/>
      <c r="R300" s="18">
        <f t="shared" si="71"/>
        <v>0</v>
      </c>
      <c r="S300" s="18">
        <f t="shared" si="72"/>
        <v>0</v>
      </c>
      <c r="T300" s="18">
        <f t="shared" si="73"/>
        <v>0</v>
      </c>
      <c r="U300" s="17"/>
      <c r="V300" s="22"/>
      <c r="W300" s="22"/>
      <c r="X300" s="19"/>
      <c r="Y300" s="19"/>
    </row>
    <row r="301" spans="2:25" s="20" customFormat="1" ht="17.100000000000001" customHeight="1" x14ac:dyDescent="0.3">
      <c r="B301" s="17"/>
      <c r="C301" s="94"/>
      <c r="D301" s="17"/>
      <c r="E301" s="91"/>
      <c r="F301" s="15"/>
      <c r="G301" s="15"/>
      <c r="H301" s="15"/>
      <c r="I301" s="29"/>
      <c r="J301" s="19"/>
      <c r="K301" s="19"/>
      <c r="L301" s="19"/>
      <c r="M301" s="18">
        <f t="shared" si="70"/>
        <v>0</v>
      </c>
      <c r="N301" s="35"/>
      <c r="O301" s="18"/>
      <c r="P301" s="35"/>
      <c r="Q301" s="18"/>
      <c r="R301" s="18">
        <f t="shared" si="71"/>
        <v>0</v>
      </c>
      <c r="S301" s="18">
        <f t="shared" si="72"/>
        <v>0</v>
      </c>
      <c r="T301" s="18">
        <f t="shared" si="73"/>
        <v>0</v>
      </c>
      <c r="U301" s="17"/>
      <c r="V301" s="22"/>
      <c r="W301" s="22"/>
      <c r="X301" s="19"/>
      <c r="Y301" s="19"/>
    </row>
    <row r="302" spans="2:25" s="20" customFormat="1" ht="17.100000000000001" customHeight="1" x14ac:dyDescent="0.3">
      <c r="B302" s="17"/>
      <c r="C302" s="94"/>
      <c r="D302" s="17"/>
      <c r="E302" s="91"/>
      <c r="F302" s="15"/>
      <c r="G302" s="15"/>
      <c r="H302" s="15"/>
      <c r="I302" s="29"/>
      <c r="J302" s="19"/>
      <c r="K302" s="19"/>
      <c r="L302" s="19"/>
      <c r="M302" s="18">
        <f t="shared" si="70"/>
        <v>0</v>
      </c>
      <c r="N302" s="35"/>
      <c r="O302" s="18"/>
      <c r="P302" s="35"/>
      <c r="Q302" s="18"/>
      <c r="R302" s="18">
        <f t="shared" si="71"/>
        <v>0</v>
      </c>
      <c r="S302" s="18">
        <f t="shared" si="72"/>
        <v>0</v>
      </c>
      <c r="T302" s="18">
        <f t="shared" si="73"/>
        <v>0</v>
      </c>
      <c r="U302" s="17"/>
      <c r="V302" s="22"/>
      <c r="W302" s="22"/>
      <c r="X302" s="19"/>
      <c r="Y302" s="19"/>
    </row>
    <row r="303" spans="2:25" s="20" customFormat="1" ht="17.100000000000001" customHeight="1" x14ac:dyDescent="0.3">
      <c r="B303" s="17"/>
      <c r="C303" s="94"/>
      <c r="D303" s="17"/>
      <c r="E303" s="91"/>
      <c r="F303" s="15"/>
      <c r="G303" s="15"/>
      <c r="H303" s="15"/>
      <c r="I303" s="29"/>
      <c r="J303" s="19"/>
      <c r="K303" s="19"/>
      <c r="L303" s="19"/>
      <c r="M303" s="18">
        <f t="shared" si="70"/>
        <v>0</v>
      </c>
      <c r="N303" s="35"/>
      <c r="O303" s="18"/>
      <c r="P303" s="35"/>
      <c r="Q303" s="18"/>
      <c r="R303" s="18">
        <f t="shared" si="71"/>
        <v>0</v>
      </c>
      <c r="S303" s="18">
        <f t="shared" si="72"/>
        <v>0</v>
      </c>
      <c r="T303" s="18">
        <f t="shared" si="73"/>
        <v>0</v>
      </c>
      <c r="U303" s="17"/>
      <c r="V303" s="22"/>
      <c r="W303" s="22"/>
      <c r="X303" s="19"/>
      <c r="Y303" s="19"/>
    </row>
    <row r="304" spans="2:25" s="20" customFormat="1" ht="17.100000000000001" customHeight="1" x14ac:dyDescent="0.3">
      <c r="B304" s="17"/>
      <c r="C304" s="94"/>
      <c r="D304" s="17"/>
      <c r="E304" s="91"/>
      <c r="F304" s="15"/>
      <c r="G304" s="15"/>
      <c r="H304" s="15"/>
      <c r="I304" s="29"/>
      <c r="J304" s="19"/>
      <c r="K304" s="19"/>
      <c r="L304" s="19"/>
      <c r="M304" s="18">
        <f t="shared" si="70"/>
        <v>0</v>
      </c>
      <c r="N304" s="35"/>
      <c r="O304" s="18"/>
      <c r="P304" s="35"/>
      <c r="Q304" s="18"/>
      <c r="R304" s="18">
        <f t="shared" si="71"/>
        <v>0</v>
      </c>
      <c r="S304" s="18">
        <f t="shared" si="72"/>
        <v>0</v>
      </c>
      <c r="T304" s="18">
        <f t="shared" si="73"/>
        <v>0</v>
      </c>
      <c r="U304" s="17"/>
      <c r="V304" s="22"/>
      <c r="W304" s="22"/>
      <c r="X304" s="19"/>
      <c r="Y304" s="19"/>
    </row>
    <row r="305" spans="2:25" s="20" customFormat="1" ht="17.100000000000001" customHeight="1" x14ac:dyDescent="0.3">
      <c r="B305" s="17"/>
      <c r="C305" s="94"/>
      <c r="D305" s="17"/>
      <c r="E305" s="91"/>
      <c r="F305" s="15"/>
      <c r="G305" s="15"/>
      <c r="H305" s="15"/>
      <c r="I305" s="29"/>
      <c r="J305" s="19"/>
      <c r="K305" s="19"/>
      <c r="L305" s="19"/>
      <c r="M305" s="18">
        <f t="shared" si="70"/>
        <v>0</v>
      </c>
      <c r="N305" s="35"/>
      <c r="O305" s="18"/>
      <c r="P305" s="35"/>
      <c r="Q305" s="18"/>
      <c r="R305" s="18">
        <f t="shared" si="71"/>
        <v>0</v>
      </c>
      <c r="S305" s="18">
        <f t="shared" si="72"/>
        <v>0</v>
      </c>
      <c r="T305" s="18">
        <f t="shared" si="73"/>
        <v>0</v>
      </c>
      <c r="U305" s="17"/>
      <c r="V305" s="22"/>
      <c r="W305" s="22"/>
      <c r="X305" s="19"/>
      <c r="Y305" s="19"/>
    </row>
    <row r="306" spans="2:25" s="20" customFormat="1" ht="17.100000000000001" customHeight="1" x14ac:dyDescent="0.3">
      <c r="B306" s="17"/>
      <c r="C306" s="94"/>
      <c r="D306" s="17"/>
      <c r="E306" s="91"/>
      <c r="F306" s="15"/>
      <c r="G306" s="15"/>
      <c r="H306" s="15"/>
      <c r="I306" s="29"/>
      <c r="J306" s="19"/>
      <c r="K306" s="19"/>
      <c r="L306" s="19"/>
      <c r="M306" s="18">
        <f t="shared" si="70"/>
        <v>0</v>
      </c>
      <c r="N306" s="35"/>
      <c r="O306" s="18"/>
      <c r="P306" s="35"/>
      <c r="Q306" s="18"/>
      <c r="R306" s="18">
        <f t="shared" si="71"/>
        <v>0</v>
      </c>
      <c r="S306" s="18">
        <f t="shared" si="72"/>
        <v>0</v>
      </c>
      <c r="T306" s="18">
        <f t="shared" si="73"/>
        <v>0</v>
      </c>
      <c r="U306" s="17"/>
      <c r="V306" s="22"/>
      <c r="W306" s="22"/>
      <c r="X306" s="19"/>
      <c r="Y306" s="19"/>
    </row>
    <row r="307" spans="2:25" s="20" customFormat="1" ht="17.100000000000001" customHeight="1" x14ac:dyDescent="0.3">
      <c r="B307" s="17"/>
      <c r="C307" s="94"/>
      <c r="D307" s="17"/>
      <c r="E307" s="91"/>
      <c r="F307" s="15"/>
      <c r="G307" s="15"/>
      <c r="H307" s="15"/>
      <c r="I307" s="29"/>
      <c r="J307" s="19"/>
      <c r="K307" s="19"/>
      <c r="L307" s="19"/>
      <c r="M307" s="18">
        <f t="shared" si="70"/>
        <v>0</v>
      </c>
      <c r="N307" s="35"/>
      <c r="O307" s="18"/>
      <c r="P307" s="35"/>
      <c r="Q307" s="18"/>
      <c r="R307" s="18">
        <f t="shared" si="71"/>
        <v>0</v>
      </c>
      <c r="S307" s="18">
        <f t="shared" si="72"/>
        <v>0</v>
      </c>
      <c r="T307" s="18">
        <f t="shared" si="73"/>
        <v>0</v>
      </c>
      <c r="U307" s="17"/>
      <c r="V307" s="22"/>
      <c r="W307" s="22"/>
      <c r="X307" s="19"/>
      <c r="Y307" s="19"/>
    </row>
    <row r="308" spans="2:25" s="20" customFormat="1" ht="17.100000000000001" customHeight="1" x14ac:dyDescent="0.3">
      <c r="B308" s="17"/>
      <c r="C308" s="94"/>
      <c r="D308" s="17"/>
      <c r="E308" s="91"/>
      <c r="F308" s="15"/>
      <c r="G308" s="15"/>
      <c r="H308" s="15"/>
      <c r="I308" s="29"/>
      <c r="J308" s="19"/>
      <c r="K308" s="19"/>
      <c r="L308" s="19"/>
      <c r="M308" s="18">
        <f t="shared" si="70"/>
        <v>0</v>
      </c>
      <c r="N308" s="35"/>
      <c r="O308" s="18"/>
      <c r="P308" s="35"/>
      <c r="Q308" s="18"/>
      <c r="R308" s="18">
        <f t="shared" si="71"/>
        <v>0</v>
      </c>
      <c r="S308" s="18">
        <f t="shared" si="72"/>
        <v>0</v>
      </c>
      <c r="T308" s="18">
        <f t="shared" si="73"/>
        <v>0</v>
      </c>
      <c r="U308" s="17"/>
      <c r="V308" s="22"/>
      <c r="W308" s="22"/>
      <c r="X308" s="19"/>
      <c r="Y308" s="19"/>
    </row>
    <row r="309" spans="2:25" s="20" customFormat="1" ht="17.100000000000001" customHeight="1" x14ac:dyDescent="0.3">
      <c r="B309" s="17"/>
      <c r="C309" s="94"/>
      <c r="D309" s="17"/>
      <c r="E309" s="91"/>
      <c r="F309" s="15"/>
      <c r="G309" s="15"/>
      <c r="H309" s="15"/>
      <c r="I309" s="29"/>
      <c r="J309" s="19"/>
      <c r="K309" s="19"/>
      <c r="L309" s="19"/>
      <c r="M309" s="18">
        <f t="shared" si="70"/>
        <v>0</v>
      </c>
      <c r="N309" s="35"/>
      <c r="O309" s="18"/>
      <c r="P309" s="35"/>
      <c r="Q309" s="18"/>
      <c r="R309" s="18">
        <f t="shared" si="71"/>
        <v>0</v>
      </c>
      <c r="S309" s="18">
        <f t="shared" si="72"/>
        <v>0</v>
      </c>
      <c r="T309" s="18">
        <f t="shared" si="73"/>
        <v>0</v>
      </c>
      <c r="U309" s="17"/>
      <c r="V309" s="22"/>
      <c r="W309" s="22"/>
      <c r="X309" s="19"/>
      <c r="Y309" s="19"/>
    </row>
    <row r="310" spans="2:25" s="20" customFormat="1" ht="17.100000000000001" customHeight="1" x14ac:dyDescent="0.3">
      <c r="B310" s="17"/>
      <c r="C310" s="94"/>
      <c r="D310" s="17"/>
      <c r="E310" s="91"/>
      <c r="F310" s="15"/>
      <c r="G310" s="15"/>
      <c r="H310" s="15"/>
      <c r="I310" s="29"/>
      <c r="J310" s="19"/>
      <c r="K310" s="19"/>
      <c r="L310" s="19"/>
      <c r="M310" s="18">
        <f t="shared" si="70"/>
        <v>0</v>
      </c>
      <c r="N310" s="35"/>
      <c r="O310" s="18"/>
      <c r="P310" s="35"/>
      <c r="Q310" s="18"/>
      <c r="R310" s="18">
        <f t="shared" si="71"/>
        <v>0</v>
      </c>
      <c r="S310" s="18">
        <f t="shared" si="72"/>
        <v>0</v>
      </c>
      <c r="T310" s="18">
        <f t="shared" si="73"/>
        <v>0</v>
      </c>
      <c r="U310" s="17"/>
      <c r="V310" s="22"/>
      <c r="W310" s="22"/>
      <c r="X310" s="19"/>
      <c r="Y310" s="19"/>
    </row>
    <row r="311" spans="2:25" s="20" customFormat="1" ht="17.100000000000001" customHeight="1" x14ac:dyDescent="0.3">
      <c r="B311" s="17"/>
      <c r="C311" s="94"/>
      <c r="D311" s="17"/>
      <c r="E311" s="91"/>
      <c r="F311" s="15"/>
      <c r="G311" s="15"/>
      <c r="H311" s="15"/>
      <c r="I311" s="29"/>
      <c r="J311" s="19"/>
      <c r="K311" s="19"/>
      <c r="L311" s="19"/>
      <c r="M311" s="18">
        <f t="shared" si="70"/>
        <v>0</v>
      </c>
      <c r="N311" s="35"/>
      <c r="O311" s="18"/>
      <c r="P311" s="35"/>
      <c r="Q311" s="18"/>
      <c r="R311" s="18">
        <f t="shared" si="71"/>
        <v>0</v>
      </c>
      <c r="S311" s="18">
        <f t="shared" si="72"/>
        <v>0</v>
      </c>
      <c r="T311" s="18">
        <f t="shared" si="73"/>
        <v>0</v>
      </c>
      <c r="U311" s="17"/>
      <c r="V311" s="22"/>
      <c r="W311" s="22"/>
      <c r="X311" s="19"/>
      <c r="Y311" s="19"/>
    </row>
    <row r="312" spans="2:25" s="20" customFormat="1" ht="17.100000000000001" customHeight="1" x14ac:dyDescent="0.3">
      <c r="B312" s="17"/>
      <c r="C312" s="94"/>
      <c r="D312" s="17"/>
      <c r="E312" s="91"/>
      <c r="F312" s="15"/>
      <c r="G312" s="15"/>
      <c r="H312" s="15"/>
      <c r="I312" s="29"/>
      <c r="J312" s="19"/>
      <c r="K312" s="19"/>
      <c r="L312" s="19"/>
      <c r="M312" s="18">
        <f t="shared" si="70"/>
        <v>0</v>
      </c>
      <c r="N312" s="35"/>
      <c r="O312" s="18"/>
      <c r="P312" s="35"/>
      <c r="Q312" s="18"/>
      <c r="R312" s="18">
        <f t="shared" si="71"/>
        <v>0</v>
      </c>
      <c r="S312" s="18">
        <f t="shared" si="72"/>
        <v>0</v>
      </c>
      <c r="T312" s="18">
        <f t="shared" si="73"/>
        <v>0</v>
      </c>
      <c r="U312" s="17"/>
      <c r="V312" s="22"/>
      <c r="W312" s="22"/>
      <c r="X312" s="19"/>
      <c r="Y312" s="19"/>
    </row>
    <row r="313" spans="2:25" s="20" customFormat="1" ht="17.100000000000001" customHeight="1" x14ac:dyDescent="0.3">
      <c r="B313" s="17"/>
      <c r="C313" s="94"/>
      <c r="D313" s="17"/>
      <c r="E313" s="91"/>
      <c r="F313" s="15"/>
      <c r="G313" s="15"/>
      <c r="H313" s="15"/>
      <c r="I313" s="29"/>
      <c r="J313" s="19"/>
      <c r="K313" s="19"/>
      <c r="L313" s="19"/>
      <c r="M313" s="18">
        <f t="shared" ref="M313:M376" si="74">L313*0.1</f>
        <v>0</v>
      </c>
      <c r="N313" s="35"/>
      <c r="O313" s="18"/>
      <c r="P313" s="35"/>
      <c r="Q313" s="18"/>
      <c r="R313" s="18">
        <f t="shared" ref="R313:R376" si="75">O313+Q313</f>
        <v>0</v>
      </c>
      <c r="S313" s="18">
        <f t="shared" ref="S313:S376" si="76">T313-R313</f>
        <v>0</v>
      </c>
      <c r="T313" s="18">
        <f t="shared" ref="T313:T376" si="77">L313+M313</f>
        <v>0</v>
      </c>
      <c r="U313" s="17"/>
      <c r="V313" s="22"/>
      <c r="W313" s="22"/>
      <c r="X313" s="19"/>
      <c r="Y313" s="19"/>
    </row>
    <row r="314" spans="2:25" s="20" customFormat="1" ht="17.100000000000001" customHeight="1" x14ac:dyDescent="0.3">
      <c r="B314" s="17"/>
      <c r="C314" s="94"/>
      <c r="D314" s="17"/>
      <c r="E314" s="91"/>
      <c r="F314" s="15"/>
      <c r="G314" s="15"/>
      <c r="H314" s="15"/>
      <c r="I314" s="29"/>
      <c r="J314" s="19"/>
      <c r="K314" s="19"/>
      <c r="L314" s="19"/>
      <c r="M314" s="18">
        <f t="shared" si="74"/>
        <v>0</v>
      </c>
      <c r="N314" s="35"/>
      <c r="O314" s="18"/>
      <c r="P314" s="35"/>
      <c r="Q314" s="18"/>
      <c r="R314" s="18">
        <f t="shared" si="75"/>
        <v>0</v>
      </c>
      <c r="S314" s="18">
        <f t="shared" si="76"/>
        <v>0</v>
      </c>
      <c r="T314" s="18">
        <f t="shared" si="77"/>
        <v>0</v>
      </c>
      <c r="U314" s="17"/>
      <c r="V314" s="22"/>
      <c r="W314" s="22"/>
      <c r="X314" s="19"/>
      <c r="Y314" s="19"/>
    </row>
    <row r="315" spans="2:25" s="20" customFormat="1" ht="17.100000000000001" customHeight="1" x14ac:dyDescent="0.3">
      <c r="B315" s="17"/>
      <c r="C315" s="94"/>
      <c r="D315" s="17"/>
      <c r="E315" s="91"/>
      <c r="F315" s="15"/>
      <c r="G315" s="15"/>
      <c r="H315" s="15"/>
      <c r="I315" s="29"/>
      <c r="J315" s="19"/>
      <c r="K315" s="19"/>
      <c r="L315" s="19"/>
      <c r="M315" s="18">
        <f t="shared" si="74"/>
        <v>0</v>
      </c>
      <c r="N315" s="35"/>
      <c r="O315" s="18"/>
      <c r="P315" s="35"/>
      <c r="Q315" s="18"/>
      <c r="R315" s="18">
        <f t="shared" si="75"/>
        <v>0</v>
      </c>
      <c r="S315" s="18">
        <f t="shared" si="76"/>
        <v>0</v>
      </c>
      <c r="T315" s="18">
        <f t="shared" si="77"/>
        <v>0</v>
      </c>
      <c r="U315" s="17"/>
      <c r="V315" s="22"/>
      <c r="W315" s="22"/>
      <c r="X315" s="19"/>
      <c r="Y315" s="19"/>
    </row>
    <row r="316" spans="2:25" s="20" customFormat="1" ht="17.100000000000001" customHeight="1" x14ac:dyDescent="0.3">
      <c r="B316" s="17"/>
      <c r="C316" s="94"/>
      <c r="D316" s="17"/>
      <c r="E316" s="91"/>
      <c r="F316" s="15"/>
      <c r="G316" s="15"/>
      <c r="H316" s="15"/>
      <c r="I316" s="29"/>
      <c r="J316" s="19"/>
      <c r="K316" s="19"/>
      <c r="L316" s="19"/>
      <c r="M316" s="18">
        <f t="shared" si="74"/>
        <v>0</v>
      </c>
      <c r="N316" s="35"/>
      <c r="O316" s="18"/>
      <c r="P316" s="35"/>
      <c r="Q316" s="18"/>
      <c r="R316" s="18">
        <f t="shared" si="75"/>
        <v>0</v>
      </c>
      <c r="S316" s="18">
        <f t="shared" si="76"/>
        <v>0</v>
      </c>
      <c r="T316" s="18">
        <f t="shared" si="77"/>
        <v>0</v>
      </c>
      <c r="U316" s="17"/>
      <c r="V316" s="22"/>
      <c r="W316" s="22"/>
      <c r="X316" s="19"/>
      <c r="Y316" s="19"/>
    </row>
    <row r="317" spans="2:25" s="20" customFormat="1" ht="17.100000000000001" customHeight="1" x14ac:dyDescent="0.3">
      <c r="B317" s="17"/>
      <c r="C317" s="94"/>
      <c r="D317" s="17"/>
      <c r="E317" s="91"/>
      <c r="F317" s="15"/>
      <c r="G317" s="15"/>
      <c r="H317" s="15"/>
      <c r="I317" s="29"/>
      <c r="J317" s="19"/>
      <c r="K317" s="19"/>
      <c r="L317" s="19"/>
      <c r="M317" s="18">
        <f t="shared" si="74"/>
        <v>0</v>
      </c>
      <c r="N317" s="35"/>
      <c r="O317" s="18"/>
      <c r="P317" s="35"/>
      <c r="Q317" s="18"/>
      <c r="R317" s="18">
        <f t="shared" si="75"/>
        <v>0</v>
      </c>
      <c r="S317" s="18">
        <f t="shared" si="76"/>
        <v>0</v>
      </c>
      <c r="T317" s="18">
        <f t="shared" si="77"/>
        <v>0</v>
      </c>
      <c r="U317" s="17"/>
      <c r="V317" s="22"/>
      <c r="W317" s="22"/>
      <c r="X317" s="19"/>
      <c r="Y317" s="19"/>
    </row>
    <row r="318" spans="2:25" s="20" customFormat="1" ht="17.100000000000001" customHeight="1" x14ac:dyDescent="0.3">
      <c r="B318" s="17"/>
      <c r="C318" s="94"/>
      <c r="D318" s="17"/>
      <c r="E318" s="91"/>
      <c r="F318" s="15"/>
      <c r="G318" s="15"/>
      <c r="H318" s="15"/>
      <c r="I318" s="29"/>
      <c r="J318" s="19"/>
      <c r="K318" s="19"/>
      <c r="L318" s="19"/>
      <c r="M318" s="18">
        <f t="shared" si="74"/>
        <v>0</v>
      </c>
      <c r="N318" s="35"/>
      <c r="O318" s="18"/>
      <c r="P318" s="35"/>
      <c r="Q318" s="18"/>
      <c r="R318" s="18">
        <f t="shared" si="75"/>
        <v>0</v>
      </c>
      <c r="S318" s="18">
        <f t="shared" si="76"/>
        <v>0</v>
      </c>
      <c r="T318" s="18">
        <f t="shared" si="77"/>
        <v>0</v>
      </c>
      <c r="U318" s="17"/>
      <c r="V318" s="22"/>
      <c r="W318" s="22"/>
      <c r="X318" s="19"/>
      <c r="Y318" s="19"/>
    </row>
    <row r="319" spans="2:25" s="20" customFormat="1" ht="17.100000000000001" customHeight="1" x14ac:dyDescent="0.3">
      <c r="B319" s="17"/>
      <c r="C319" s="94"/>
      <c r="D319" s="17"/>
      <c r="E319" s="91"/>
      <c r="F319" s="15"/>
      <c r="G319" s="15"/>
      <c r="H319" s="15"/>
      <c r="I319" s="29"/>
      <c r="J319" s="19"/>
      <c r="K319" s="19"/>
      <c r="L319" s="19"/>
      <c r="M319" s="18">
        <f t="shared" si="74"/>
        <v>0</v>
      </c>
      <c r="N319" s="35"/>
      <c r="O319" s="18"/>
      <c r="P319" s="35"/>
      <c r="Q319" s="18"/>
      <c r="R319" s="18">
        <f t="shared" si="75"/>
        <v>0</v>
      </c>
      <c r="S319" s="18">
        <f t="shared" si="76"/>
        <v>0</v>
      </c>
      <c r="T319" s="18">
        <f t="shared" si="77"/>
        <v>0</v>
      </c>
      <c r="U319" s="17"/>
      <c r="V319" s="22"/>
      <c r="W319" s="22"/>
      <c r="X319" s="19"/>
      <c r="Y319" s="19"/>
    </row>
    <row r="320" spans="2:25" s="20" customFormat="1" ht="17.100000000000001" customHeight="1" x14ac:dyDescent="0.3">
      <c r="B320" s="17"/>
      <c r="C320" s="94"/>
      <c r="D320" s="17"/>
      <c r="E320" s="91"/>
      <c r="F320" s="15"/>
      <c r="G320" s="15"/>
      <c r="H320" s="15"/>
      <c r="I320" s="29"/>
      <c r="J320" s="19"/>
      <c r="K320" s="19"/>
      <c r="L320" s="19"/>
      <c r="M320" s="18">
        <f t="shared" si="74"/>
        <v>0</v>
      </c>
      <c r="N320" s="35"/>
      <c r="O320" s="18"/>
      <c r="P320" s="35"/>
      <c r="Q320" s="18"/>
      <c r="R320" s="18">
        <f t="shared" si="75"/>
        <v>0</v>
      </c>
      <c r="S320" s="18">
        <f t="shared" si="76"/>
        <v>0</v>
      </c>
      <c r="T320" s="18">
        <f t="shared" si="77"/>
        <v>0</v>
      </c>
      <c r="U320" s="17"/>
      <c r="V320" s="22"/>
      <c r="W320" s="22"/>
      <c r="X320" s="19"/>
      <c r="Y320" s="19"/>
    </row>
    <row r="321" spans="2:25" s="20" customFormat="1" ht="17.100000000000001" customHeight="1" x14ac:dyDescent="0.3">
      <c r="B321" s="17"/>
      <c r="C321" s="94"/>
      <c r="D321" s="17"/>
      <c r="E321" s="91"/>
      <c r="F321" s="15"/>
      <c r="G321" s="15"/>
      <c r="H321" s="15"/>
      <c r="I321" s="29"/>
      <c r="J321" s="19"/>
      <c r="K321" s="19"/>
      <c r="L321" s="19"/>
      <c r="M321" s="18">
        <f t="shared" si="74"/>
        <v>0</v>
      </c>
      <c r="N321" s="35"/>
      <c r="O321" s="18"/>
      <c r="P321" s="35"/>
      <c r="Q321" s="18"/>
      <c r="R321" s="18">
        <f t="shared" si="75"/>
        <v>0</v>
      </c>
      <c r="S321" s="18">
        <f t="shared" si="76"/>
        <v>0</v>
      </c>
      <c r="T321" s="18">
        <f t="shared" si="77"/>
        <v>0</v>
      </c>
      <c r="U321" s="17"/>
      <c r="V321" s="22"/>
      <c r="W321" s="22"/>
      <c r="X321" s="19"/>
      <c r="Y321" s="19"/>
    </row>
    <row r="322" spans="2:25" s="20" customFormat="1" ht="17.100000000000001" customHeight="1" x14ac:dyDescent="0.3">
      <c r="B322" s="17"/>
      <c r="C322" s="94"/>
      <c r="D322" s="17"/>
      <c r="E322" s="91"/>
      <c r="F322" s="15"/>
      <c r="G322" s="15"/>
      <c r="H322" s="15"/>
      <c r="I322" s="29"/>
      <c r="J322" s="19"/>
      <c r="K322" s="19"/>
      <c r="L322" s="19"/>
      <c r="M322" s="18">
        <f t="shared" si="74"/>
        <v>0</v>
      </c>
      <c r="N322" s="35"/>
      <c r="O322" s="18"/>
      <c r="P322" s="35"/>
      <c r="Q322" s="18"/>
      <c r="R322" s="18">
        <f t="shared" si="75"/>
        <v>0</v>
      </c>
      <c r="S322" s="18">
        <f t="shared" si="76"/>
        <v>0</v>
      </c>
      <c r="T322" s="18">
        <f t="shared" si="77"/>
        <v>0</v>
      </c>
      <c r="U322" s="17"/>
      <c r="V322" s="22"/>
      <c r="W322" s="22"/>
      <c r="X322" s="19"/>
      <c r="Y322" s="19"/>
    </row>
    <row r="323" spans="2:25" s="20" customFormat="1" ht="17.100000000000001" customHeight="1" x14ac:dyDescent="0.3">
      <c r="B323" s="17"/>
      <c r="C323" s="94"/>
      <c r="D323" s="17"/>
      <c r="E323" s="91"/>
      <c r="F323" s="15"/>
      <c r="G323" s="15"/>
      <c r="H323" s="15"/>
      <c r="I323" s="29"/>
      <c r="J323" s="19"/>
      <c r="K323" s="19"/>
      <c r="L323" s="19"/>
      <c r="M323" s="18">
        <f t="shared" si="74"/>
        <v>0</v>
      </c>
      <c r="N323" s="35"/>
      <c r="O323" s="18"/>
      <c r="P323" s="35"/>
      <c r="Q323" s="18"/>
      <c r="R323" s="18">
        <f t="shared" si="75"/>
        <v>0</v>
      </c>
      <c r="S323" s="18">
        <f t="shared" si="76"/>
        <v>0</v>
      </c>
      <c r="T323" s="18">
        <f t="shared" si="77"/>
        <v>0</v>
      </c>
      <c r="U323" s="17"/>
      <c r="V323" s="22"/>
      <c r="W323" s="22"/>
      <c r="X323" s="19"/>
      <c r="Y323" s="19"/>
    </row>
    <row r="324" spans="2:25" s="20" customFormat="1" ht="17.100000000000001" customHeight="1" x14ac:dyDescent="0.3">
      <c r="B324" s="17"/>
      <c r="C324" s="94"/>
      <c r="D324" s="17"/>
      <c r="E324" s="91"/>
      <c r="F324" s="15"/>
      <c r="G324" s="15"/>
      <c r="H324" s="15"/>
      <c r="I324" s="29"/>
      <c r="J324" s="19"/>
      <c r="K324" s="19"/>
      <c r="L324" s="19"/>
      <c r="M324" s="18">
        <f t="shared" si="74"/>
        <v>0</v>
      </c>
      <c r="N324" s="35"/>
      <c r="O324" s="18"/>
      <c r="P324" s="35"/>
      <c r="Q324" s="18"/>
      <c r="R324" s="18">
        <f t="shared" si="75"/>
        <v>0</v>
      </c>
      <c r="S324" s="18">
        <f t="shared" si="76"/>
        <v>0</v>
      </c>
      <c r="T324" s="18">
        <f t="shared" si="77"/>
        <v>0</v>
      </c>
      <c r="U324" s="17"/>
      <c r="V324" s="22"/>
      <c r="W324" s="22"/>
      <c r="X324" s="19"/>
      <c r="Y324" s="19"/>
    </row>
    <row r="325" spans="2:25" s="20" customFormat="1" ht="17.100000000000001" customHeight="1" x14ac:dyDescent="0.3">
      <c r="B325" s="17"/>
      <c r="C325" s="94"/>
      <c r="D325" s="17"/>
      <c r="E325" s="91"/>
      <c r="F325" s="15"/>
      <c r="G325" s="15"/>
      <c r="H325" s="15"/>
      <c r="I325" s="29"/>
      <c r="J325" s="19"/>
      <c r="K325" s="19"/>
      <c r="L325" s="19"/>
      <c r="M325" s="18">
        <f t="shared" si="74"/>
        <v>0</v>
      </c>
      <c r="N325" s="35"/>
      <c r="O325" s="18"/>
      <c r="P325" s="35"/>
      <c r="Q325" s="18"/>
      <c r="R325" s="18">
        <f t="shared" si="75"/>
        <v>0</v>
      </c>
      <c r="S325" s="18">
        <f t="shared" si="76"/>
        <v>0</v>
      </c>
      <c r="T325" s="18">
        <f t="shared" si="77"/>
        <v>0</v>
      </c>
      <c r="U325" s="17"/>
      <c r="V325" s="22"/>
      <c r="W325" s="22"/>
      <c r="X325" s="19"/>
      <c r="Y325" s="19"/>
    </row>
    <row r="326" spans="2:25" s="20" customFormat="1" ht="17.100000000000001" customHeight="1" x14ac:dyDescent="0.3">
      <c r="B326" s="17"/>
      <c r="C326" s="94"/>
      <c r="D326" s="17"/>
      <c r="E326" s="91"/>
      <c r="F326" s="15"/>
      <c r="G326" s="15"/>
      <c r="H326" s="15"/>
      <c r="I326" s="29"/>
      <c r="J326" s="19"/>
      <c r="K326" s="19"/>
      <c r="L326" s="19"/>
      <c r="M326" s="18">
        <f t="shared" si="74"/>
        <v>0</v>
      </c>
      <c r="N326" s="35"/>
      <c r="O326" s="18"/>
      <c r="P326" s="35"/>
      <c r="Q326" s="18"/>
      <c r="R326" s="18">
        <f t="shared" si="75"/>
        <v>0</v>
      </c>
      <c r="S326" s="18">
        <f t="shared" si="76"/>
        <v>0</v>
      </c>
      <c r="T326" s="18">
        <f t="shared" si="77"/>
        <v>0</v>
      </c>
      <c r="U326" s="17"/>
      <c r="V326" s="22"/>
      <c r="W326" s="22"/>
      <c r="X326" s="19"/>
      <c r="Y326" s="19"/>
    </row>
    <row r="327" spans="2:25" s="20" customFormat="1" ht="17.100000000000001" customHeight="1" x14ac:dyDescent="0.3">
      <c r="B327" s="17"/>
      <c r="C327" s="94"/>
      <c r="D327" s="17"/>
      <c r="E327" s="91"/>
      <c r="F327" s="15"/>
      <c r="G327" s="15"/>
      <c r="H327" s="15"/>
      <c r="I327" s="29"/>
      <c r="J327" s="19"/>
      <c r="K327" s="19"/>
      <c r="L327" s="19"/>
      <c r="M327" s="18">
        <f t="shared" si="74"/>
        <v>0</v>
      </c>
      <c r="N327" s="35"/>
      <c r="O327" s="18"/>
      <c r="P327" s="35"/>
      <c r="Q327" s="18"/>
      <c r="R327" s="18">
        <f t="shared" si="75"/>
        <v>0</v>
      </c>
      <c r="S327" s="18">
        <f t="shared" si="76"/>
        <v>0</v>
      </c>
      <c r="T327" s="18">
        <f t="shared" si="77"/>
        <v>0</v>
      </c>
      <c r="U327" s="17"/>
      <c r="V327" s="22"/>
      <c r="W327" s="22"/>
      <c r="X327" s="19"/>
      <c r="Y327" s="19"/>
    </row>
    <row r="328" spans="2:25" s="20" customFormat="1" ht="17.100000000000001" customHeight="1" x14ac:dyDescent="0.3">
      <c r="B328" s="17"/>
      <c r="C328" s="94"/>
      <c r="D328" s="17"/>
      <c r="E328" s="91"/>
      <c r="F328" s="15"/>
      <c r="G328" s="15"/>
      <c r="H328" s="15"/>
      <c r="I328" s="29"/>
      <c r="J328" s="19"/>
      <c r="K328" s="19"/>
      <c r="L328" s="19"/>
      <c r="M328" s="18">
        <f t="shared" si="74"/>
        <v>0</v>
      </c>
      <c r="N328" s="35"/>
      <c r="O328" s="18"/>
      <c r="P328" s="35"/>
      <c r="Q328" s="18"/>
      <c r="R328" s="18">
        <f t="shared" si="75"/>
        <v>0</v>
      </c>
      <c r="S328" s="18">
        <f t="shared" si="76"/>
        <v>0</v>
      </c>
      <c r="T328" s="18">
        <f t="shared" si="77"/>
        <v>0</v>
      </c>
      <c r="U328" s="17"/>
      <c r="V328" s="22"/>
      <c r="W328" s="22"/>
      <c r="X328" s="19"/>
      <c r="Y328" s="19"/>
    </row>
    <row r="329" spans="2:25" s="20" customFormat="1" ht="17.100000000000001" customHeight="1" x14ac:dyDescent="0.3">
      <c r="B329" s="17"/>
      <c r="C329" s="94"/>
      <c r="D329" s="17"/>
      <c r="E329" s="91"/>
      <c r="F329" s="15"/>
      <c r="G329" s="15"/>
      <c r="H329" s="15"/>
      <c r="I329" s="29"/>
      <c r="J329" s="19"/>
      <c r="K329" s="19"/>
      <c r="L329" s="19"/>
      <c r="M329" s="18">
        <f t="shared" si="74"/>
        <v>0</v>
      </c>
      <c r="N329" s="35"/>
      <c r="O329" s="18"/>
      <c r="P329" s="35"/>
      <c r="Q329" s="18"/>
      <c r="R329" s="18">
        <f t="shared" si="75"/>
        <v>0</v>
      </c>
      <c r="S329" s="18">
        <f t="shared" si="76"/>
        <v>0</v>
      </c>
      <c r="T329" s="18">
        <f t="shared" si="77"/>
        <v>0</v>
      </c>
      <c r="U329" s="17"/>
      <c r="V329" s="22"/>
      <c r="W329" s="22"/>
      <c r="X329" s="19"/>
      <c r="Y329" s="19"/>
    </row>
    <row r="330" spans="2:25" s="20" customFormat="1" ht="17.100000000000001" customHeight="1" x14ac:dyDescent="0.3">
      <c r="B330" s="17"/>
      <c r="C330" s="94"/>
      <c r="D330" s="17"/>
      <c r="E330" s="91"/>
      <c r="F330" s="15"/>
      <c r="G330" s="15"/>
      <c r="H330" s="15"/>
      <c r="I330" s="29"/>
      <c r="J330" s="19"/>
      <c r="K330" s="19"/>
      <c r="L330" s="19"/>
      <c r="M330" s="18">
        <f t="shared" si="74"/>
        <v>0</v>
      </c>
      <c r="N330" s="35"/>
      <c r="O330" s="18"/>
      <c r="P330" s="35"/>
      <c r="Q330" s="18"/>
      <c r="R330" s="18">
        <f t="shared" si="75"/>
        <v>0</v>
      </c>
      <c r="S330" s="18">
        <f t="shared" si="76"/>
        <v>0</v>
      </c>
      <c r="T330" s="18">
        <f t="shared" si="77"/>
        <v>0</v>
      </c>
      <c r="U330" s="17"/>
      <c r="V330" s="22"/>
      <c r="W330" s="22"/>
      <c r="X330" s="19"/>
      <c r="Y330" s="19"/>
    </row>
    <row r="331" spans="2:25" s="20" customFormat="1" ht="17.100000000000001" customHeight="1" x14ac:dyDescent="0.3">
      <c r="B331" s="17"/>
      <c r="C331" s="94"/>
      <c r="D331" s="17"/>
      <c r="E331" s="91"/>
      <c r="F331" s="15"/>
      <c r="G331" s="15"/>
      <c r="H331" s="15"/>
      <c r="I331" s="29"/>
      <c r="J331" s="19"/>
      <c r="K331" s="19"/>
      <c r="L331" s="19"/>
      <c r="M331" s="18">
        <f t="shared" si="74"/>
        <v>0</v>
      </c>
      <c r="N331" s="35"/>
      <c r="O331" s="18"/>
      <c r="P331" s="35"/>
      <c r="Q331" s="18"/>
      <c r="R331" s="18">
        <f t="shared" si="75"/>
        <v>0</v>
      </c>
      <c r="S331" s="18">
        <f t="shared" si="76"/>
        <v>0</v>
      </c>
      <c r="T331" s="18">
        <f t="shared" si="77"/>
        <v>0</v>
      </c>
      <c r="U331" s="17"/>
      <c r="V331" s="22"/>
      <c r="W331" s="22"/>
      <c r="X331" s="19"/>
      <c r="Y331" s="19"/>
    </row>
    <row r="332" spans="2:25" s="20" customFormat="1" ht="17.100000000000001" customHeight="1" x14ac:dyDescent="0.3">
      <c r="B332" s="17"/>
      <c r="C332" s="94"/>
      <c r="D332" s="17"/>
      <c r="E332" s="91"/>
      <c r="F332" s="15"/>
      <c r="G332" s="15"/>
      <c r="H332" s="15"/>
      <c r="I332" s="29"/>
      <c r="J332" s="19"/>
      <c r="K332" s="19"/>
      <c r="L332" s="19"/>
      <c r="M332" s="18">
        <f t="shared" si="74"/>
        <v>0</v>
      </c>
      <c r="N332" s="35"/>
      <c r="O332" s="18"/>
      <c r="P332" s="35"/>
      <c r="Q332" s="18"/>
      <c r="R332" s="18">
        <f t="shared" si="75"/>
        <v>0</v>
      </c>
      <c r="S332" s="18">
        <f t="shared" si="76"/>
        <v>0</v>
      </c>
      <c r="T332" s="18">
        <f t="shared" si="77"/>
        <v>0</v>
      </c>
      <c r="U332" s="17"/>
      <c r="V332" s="22"/>
      <c r="W332" s="22"/>
      <c r="X332" s="19"/>
      <c r="Y332" s="19"/>
    </row>
    <row r="333" spans="2:25" s="20" customFormat="1" ht="17.100000000000001" customHeight="1" x14ac:dyDescent="0.3">
      <c r="B333" s="17"/>
      <c r="C333" s="94"/>
      <c r="D333" s="17"/>
      <c r="E333" s="91"/>
      <c r="F333" s="15"/>
      <c r="G333" s="15"/>
      <c r="H333" s="15"/>
      <c r="I333" s="29"/>
      <c r="J333" s="19"/>
      <c r="K333" s="19"/>
      <c r="L333" s="19"/>
      <c r="M333" s="18">
        <f t="shared" si="74"/>
        <v>0</v>
      </c>
      <c r="N333" s="35"/>
      <c r="O333" s="18"/>
      <c r="P333" s="35"/>
      <c r="Q333" s="18"/>
      <c r="R333" s="18">
        <f t="shared" si="75"/>
        <v>0</v>
      </c>
      <c r="S333" s="18">
        <f t="shared" si="76"/>
        <v>0</v>
      </c>
      <c r="T333" s="18">
        <f t="shared" si="77"/>
        <v>0</v>
      </c>
      <c r="U333" s="17"/>
      <c r="V333" s="22"/>
      <c r="W333" s="22"/>
      <c r="X333" s="19"/>
      <c r="Y333" s="19"/>
    </row>
    <row r="334" spans="2:25" s="20" customFormat="1" ht="17.100000000000001" customHeight="1" x14ac:dyDescent="0.3">
      <c r="B334" s="17"/>
      <c r="C334" s="94"/>
      <c r="D334" s="17"/>
      <c r="E334" s="91"/>
      <c r="F334" s="15"/>
      <c r="G334" s="15"/>
      <c r="H334" s="15"/>
      <c r="I334" s="29"/>
      <c r="J334" s="19"/>
      <c r="K334" s="19"/>
      <c r="L334" s="19"/>
      <c r="M334" s="18">
        <f t="shared" si="74"/>
        <v>0</v>
      </c>
      <c r="N334" s="35"/>
      <c r="O334" s="18"/>
      <c r="P334" s="35"/>
      <c r="Q334" s="18"/>
      <c r="R334" s="18">
        <f t="shared" si="75"/>
        <v>0</v>
      </c>
      <c r="S334" s="18">
        <f t="shared" si="76"/>
        <v>0</v>
      </c>
      <c r="T334" s="18">
        <f t="shared" si="77"/>
        <v>0</v>
      </c>
      <c r="U334" s="17"/>
      <c r="V334" s="22"/>
      <c r="W334" s="22"/>
      <c r="X334" s="19"/>
      <c r="Y334" s="19"/>
    </row>
    <row r="335" spans="2:25" s="20" customFormat="1" ht="17.100000000000001" customHeight="1" x14ac:dyDescent="0.3">
      <c r="B335" s="17"/>
      <c r="C335" s="94"/>
      <c r="D335" s="17"/>
      <c r="E335" s="91"/>
      <c r="F335" s="15"/>
      <c r="G335" s="15"/>
      <c r="H335" s="15"/>
      <c r="I335" s="29"/>
      <c r="J335" s="19"/>
      <c r="K335" s="19"/>
      <c r="L335" s="19"/>
      <c r="M335" s="18">
        <f t="shared" si="74"/>
        <v>0</v>
      </c>
      <c r="N335" s="35"/>
      <c r="O335" s="18"/>
      <c r="P335" s="35"/>
      <c r="Q335" s="18"/>
      <c r="R335" s="18">
        <f t="shared" si="75"/>
        <v>0</v>
      </c>
      <c r="S335" s="18">
        <f t="shared" si="76"/>
        <v>0</v>
      </c>
      <c r="T335" s="18">
        <f t="shared" si="77"/>
        <v>0</v>
      </c>
      <c r="U335" s="17"/>
      <c r="V335" s="22"/>
      <c r="W335" s="22"/>
      <c r="X335" s="19"/>
      <c r="Y335" s="19"/>
    </row>
    <row r="336" spans="2:25" s="20" customFormat="1" ht="17.100000000000001" customHeight="1" x14ac:dyDescent="0.3">
      <c r="B336" s="17"/>
      <c r="C336" s="94"/>
      <c r="D336" s="17"/>
      <c r="E336" s="91"/>
      <c r="F336" s="15"/>
      <c r="G336" s="15"/>
      <c r="H336" s="15"/>
      <c r="I336" s="29"/>
      <c r="J336" s="19"/>
      <c r="K336" s="19"/>
      <c r="L336" s="19"/>
      <c r="M336" s="18">
        <f t="shared" si="74"/>
        <v>0</v>
      </c>
      <c r="N336" s="35"/>
      <c r="O336" s="18"/>
      <c r="P336" s="35"/>
      <c r="Q336" s="18"/>
      <c r="R336" s="18">
        <f t="shared" si="75"/>
        <v>0</v>
      </c>
      <c r="S336" s="18">
        <f t="shared" si="76"/>
        <v>0</v>
      </c>
      <c r="T336" s="18">
        <f t="shared" si="77"/>
        <v>0</v>
      </c>
      <c r="U336" s="17"/>
      <c r="V336" s="22"/>
      <c r="W336" s="22"/>
      <c r="X336" s="19"/>
      <c r="Y336" s="19"/>
    </row>
    <row r="337" spans="2:25" s="20" customFormat="1" ht="17.100000000000001" customHeight="1" x14ac:dyDescent="0.3">
      <c r="B337" s="17"/>
      <c r="C337" s="94"/>
      <c r="D337" s="17"/>
      <c r="E337" s="91"/>
      <c r="F337" s="15"/>
      <c r="G337" s="15"/>
      <c r="H337" s="15"/>
      <c r="I337" s="29"/>
      <c r="J337" s="19"/>
      <c r="K337" s="19"/>
      <c r="L337" s="19"/>
      <c r="M337" s="18">
        <f t="shared" si="74"/>
        <v>0</v>
      </c>
      <c r="N337" s="35"/>
      <c r="O337" s="18"/>
      <c r="P337" s="35"/>
      <c r="Q337" s="18"/>
      <c r="R337" s="18">
        <f t="shared" si="75"/>
        <v>0</v>
      </c>
      <c r="S337" s="18">
        <f t="shared" si="76"/>
        <v>0</v>
      </c>
      <c r="T337" s="18">
        <f t="shared" si="77"/>
        <v>0</v>
      </c>
      <c r="U337" s="17"/>
      <c r="V337" s="22"/>
      <c r="W337" s="22"/>
      <c r="X337" s="19"/>
      <c r="Y337" s="19"/>
    </row>
    <row r="338" spans="2:25" s="20" customFormat="1" ht="17.100000000000001" customHeight="1" x14ac:dyDescent="0.3">
      <c r="B338" s="17"/>
      <c r="C338" s="94"/>
      <c r="D338" s="17"/>
      <c r="E338" s="91"/>
      <c r="F338" s="15"/>
      <c r="G338" s="15"/>
      <c r="H338" s="15"/>
      <c r="I338" s="29"/>
      <c r="J338" s="19"/>
      <c r="K338" s="19"/>
      <c r="L338" s="19"/>
      <c r="M338" s="18">
        <f t="shared" si="74"/>
        <v>0</v>
      </c>
      <c r="N338" s="35"/>
      <c r="O338" s="18"/>
      <c r="P338" s="35"/>
      <c r="Q338" s="18"/>
      <c r="R338" s="18">
        <f t="shared" si="75"/>
        <v>0</v>
      </c>
      <c r="S338" s="18">
        <f t="shared" si="76"/>
        <v>0</v>
      </c>
      <c r="T338" s="18">
        <f t="shared" si="77"/>
        <v>0</v>
      </c>
      <c r="U338" s="17"/>
      <c r="V338" s="22"/>
      <c r="W338" s="22"/>
      <c r="X338" s="19"/>
      <c r="Y338" s="19"/>
    </row>
    <row r="339" spans="2:25" s="20" customFormat="1" ht="17.100000000000001" customHeight="1" x14ac:dyDescent="0.3">
      <c r="B339" s="17"/>
      <c r="C339" s="94"/>
      <c r="D339" s="17"/>
      <c r="E339" s="91"/>
      <c r="F339" s="15"/>
      <c r="G339" s="15"/>
      <c r="H339" s="15"/>
      <c r="I339" s="29"/>
      <c r="J339" s="19"/>
      <c r="K339" s="19"/>
      <c r="L339" s="19"/>
      <c r="M339" s="18">
        <f t="shared" si="74"/>
        <v>0</v>
      </c>
      <c r="N339" s="35"/>
      <c r="O339" s="18"/>
      <c r="P339" s="35"/>
      <c r="Q339" s="18"/>
      <c r="R339" s="18">
        <f t="shared" si="75"/>
        <v>0</v>
      </c>
      <c r="S339" s="18">
        <f t="shared" si="76"/>
        <v>0</v>
      </c>
      <c r="T339" s="18">
        <f t="shared" si="77"/>
        <v>0</v>
      </c>
      <c r="U339" s="17"/>
      <c r="V339" s="22"/>
      <c r="W339" s="22"/>
      <c r="X339" s="19"/>
      <c r="Y339" s="19"/>
    </row>
    <row r="340" spans="2:25" s="20" customFormat="1" ht="17.100000000000001" customHeight="1" x14ac:dyDescent="0.3">
      <c r="B340" s="17"/>
      <c r="C340" s="94"/>
      <c r="D340" s="17"/>
      <c r="E340" s="91"/>
      <c r="F340" s="15"/>
      <c r="G340" s="15"/>
      <c r="H340" s="15"/>
      <c r="I340" s="29"/>
      <c r="J340" s="19"/>
      <c r="K340" s="19"/>
      <c r="L340" s="19"/>
      <c r="M340" s="18">
        <f t="shared" si="74"/>
        <v>0</v>
      </c>
      <c r="N340" s="35"/>
      <c r="O340" s="18"/>
      <c r="P340" s="35"/>
      <c r="Q340" s="18"/>
      <c r="R340" s="18">
        <f t="shared" si="75"/>
        <v>0</v>
      </c>
      <c r="S340" s="18">
        <f t="shared" si="76"/>
        <v>0</v>
      </c>
      <c r="T340" s="18">
        <f t="shared" si="77"/>
        <v>0</v>
      </c>
      <c r="U340" s="17"/>
      <c r="V340" s="22"/>
      <c r="W340" s="22"/>
      <c r="X340" s="19"/>
      <c r="Y340" s="19"/>
    </row>
    <row r="341" spans="2:25" s="20" customFormat="1" ht="17.100000000000001" customHeight="1" x14ac:dyDescent="0.3">
      <c r="B341" s="17"/>
      <c r="C341" s="94"/>
      <c r="D341" s="17"/>
      <c r="E341" s="91"/>
      <c r="F341" s="15"/>
      <c r="G341" s="15"/>
      <c r="H341" s="15"/>
      <c r="I341" s="29"/>
      <c r="J341" s="19"/>
      <c r="K341" s="19"/>
      <c r="L341" s="19"/>
      <c r="M341" s="18">
        <f t="shared" si="74"/>
        <v>0</v>
      </c>
      <c r="N341" s="35"/>
      <c r="O341" s="18"/>
      <c r="P341" s="35"/>
      <c r="Q341" s="18"/>
      <c r="R341" s="18">
        <f t="shared" si="75"/>
        <v>0</v>
      </c>
      <c r="S341" s="18">
        <f t="shared" si="76"/>
        <v>0</v>
      </c>
      <c r="T341" s="18">
        <f t="shared" si="77"/>
        <v>0</v>
      </c>
      <c r="U341" s="17"/>
      <c r="V341" s="22"/>
      <c r="W341" s="22"/>
      <c r="X341" s="19"/>
      <c r="Y341" s="19"/>
    </row>
    <row r="342" spans="2:25" s="20" customFormat="1" ht="17.100000000000001" customHeight="1" x14ac:dyDescent="0.3">
      <c r="B342" s="17"/>
      <c r="C342" s="94"/>
      <c r="D342" s="17"/>
      <c r="E342" s="91"/>
      <c r="F342" s="15"/>
      <c r="G342" s="15"/>
      <c r="H342" s="15"/>
      <c r="I342" s="29"/>
      <c r="J342" s="19"/>
      <c r="K342" s="19"/>
      <c r="L342" s="19"/>
      <c r="M342" s="18">
        <f t="shared" si="74"/>
        <v>0</v>
      </c>
      <c r="N342" s="35"/>
      <c r="O342" s="18"/>
      <c r="P342" s="35"/>
      <c r="Q342" s="18"/>
      <c r="R342" s="18">
        <f t="shared" si="75"/>
        <v>0</v>
      </c>
      <c r="S342" s="18">
        <f t="shared" si="76"/>
        <v>0</v>
      </c>
      <c r="T342" s="18">
        <f t="shared" si="77"/>
        <v>0</v>
      </c>
      <c r="U342" s="17"/>
      <c r="V342" s="22"/>
      <c r="W342" s="22"/>
      <c r="X342" s="19"/>
      <c r="Y342" s="19"/>
    </row>
    <row r="343" spans="2:25" s="20" customFormat="1" ht="17.100000000000001" customHeight="1" x14ac:dyDescent="0.3">
      <c r="B343" s="17"/>
      <c r="C343" s="94"/>
      <c r="D343" s="17"/>
      <c r="E343" s="91"/>
      <c r="F343" s="15"/>
      <c r="G343" s="15"/>
      <c r="H343" s="15"/>
      <c r="I343" s="29"/>
      <c r="J343" s="19"/>
      <c r="K343" s="19"/>
      <c r="L343" s="19"/>
      <c r="M343" s="18">
        <f t="shared" si="74"/>
        <v>0</v>
      </c>
      <c r="N343" s="35"/>
      <c r="O343" s="18"/>
      <c r="P343" s="35"/>
      <c r="Q343" s="18"/>
      <c r="R343" s="18">
        <f t="shared" si="75"/>
        <v>0</v>
      </c>
      <c r="S343" s="18">
        <f t="shared" si="76"/>
        <v>0</v>
      </c>
      <c r="T343" s="18">
        <f t="shared" si="77"/>
        <v>0</v>
      </c>
      <c r="U343" s="17"/>
      <c r="V343" s="22"/>
      <c r="W343" s="22"/>
      <c r="X343" s="19"/>
      <c r="Y343" s="19"/>
    </row>
    <row r="344" spans="2:25" s="20" customFormat="1" ht="17.100000000000001" customHeight="1" x14ac:dyDescent="0.3">
      <c r="B344" s="17"/>
      <c r="C344" s="94"/>
      <c r="D344" s="17"/>
      <c r="E344" s="91"/>
      <c r="F344" s="15"/>
      <c r="G344" s="15"/>
      <c r="H344" s="15"/>
      <c r="I344" s="29"/>
      <c r="J344" s="19"/>
      <c r="K344" s="19"/>
      <c r="L344" s="19"/>
      <c r="M344" s="18">
        <f t="shared" si="74"/>
        <v>0</v>
      </c>
      <c r="N344" s="35"/>
      <c r="O344" s="18"/>
      <c r="P344" s="35"/>
      <c r="Q344" s="18"/>
      <c r="R344" s="18">
        <f t="shared" si="75"/>
        <v>0</v>
      </c>
      <c r="S344" s="18">
        <f t="shared" si="76"/>
        <v>0</v>
      </c>
      <c r="T344" s="18">
        <f t="shared" si="77"/>
        <v>0</v>
      </c>
      <c r="U344" s="17"/>
      <c r="V344" s="22"/>
      <c r="W344" s="22"/>
      <c r="X344" s="19"/>
      <c r="Y344" s="19"/>
    </row>
    <row r="345" spans="2:25" s="20" customFormat="1" ht="17.100000000000001" customHeight="1" x14ac:dyDescent="0.3">
      <c r="B345" s="17"/>
      <c r="C345" s="94"/>
      <c r="D345" s="17"/>
      <c r="E345" s="91"/>
      <c r="F345" s="15"/>
      <c r="G345" s="15"/>
      <c r="H345" s="15"/>
      <c r="I345" s="29"/>
      <c r="J345" s="19"/>
      <c r="K345" s="19"/>
      <c r="L345" s="19"/>
      <c r="M345" s="18">
        <f t="shared" si="74"/>
        <v>0</v>
      </c>
      <c r="N345" s="35"/>
      <c r="O345" s="18"/>
      <c r="P345" s="35"/>
      <c r="Q345" s="18"/>
      <c r="R345" s="18">
        <f t="shared" si="75"/>
        <v>0</v>
      </c>
      <c r="S345" s="18">
        <f t="shared" si="76"/>
        <v>0</v>
      </c>
      <c r="T345" s="18">
        <f t="shared" si="77"/>
        <v>0</v>
      </c>
      <c r="U345" s="17"/>
      <c r="V345" s="22"/>
      <c r="W345" s="22"/>
      <c r="X345" s="19"/>
      <c r="Y345" s="19"/>
    </row>
    <row r="346" spans="2:25" s="20" customFormat="1" ht="17.100000000000001" customHeight="1" x14ac:dyDescent="0.3">
      <c r="B346" s="17"/>
      <c r="C346" s="94"/>
      <c r="D346" s="17"/>
      <c r="E346" s="91"/>
      <c r="F346" s="15"/>
      <c r="G346" s="15"/>
      <c r="H346" s="15"/>
      <c r="I346" s="29"/>
      <c r="J346" s="19"/>
      <c r="K346" s="19"/>
      <c r="L346" s="19"/>
      <c r="M346" s="18">
        <f t="shared" si="74"/>
        <v>0</v>
      </c>
      <c r="N346" s="35"/>
      <c r="O346" s="18"/>
      <c r="P346" s="35"/>
      <c r="Q346" s="18"/>
      <c r="R346" s="18">
        <f t="shared" si="75"/>
        <v>0</v>
      </c>
      <c r="S346" s="18">
        <f t="shared" si="76"/>
        <v>0</v>
      </c>
      <c r="T346" s="18">
        <f t="shared" si="77"/>
        <v>0</v>
      </c>
      <c r="U346" s="17"/>
      <c r="V346" s="22"/>
      <c r="W346" s="22"/>
      <c r="X346" s="19"/>
      <c r="Y346" s="19"/>
    </row>
    <row r="347" spans="2:25" s="20" customFormat="1" ht="17.100000000000001" customHeight="1" x14ac:dyDescent="0.3">
      <c r="B347" s="17"/>
      <c r="C347" s="94"/>
      <c r="D347" s="17"/>
      <c r="E347" s="91"/>
      <c r="F347" s="15"/>
      <c r="G347" s="15"/>
      <c r="H347" s="15"/>
      <c r="I347" s="29"/>
      <c r="J347" s="19"/>
      <c r="K347" s="19"/>
      <c r="L347" s="19"/>
      <c r="M347" s="18">
        <f t="shared" si="74"/>
        <v>0</v>
      </c>
      <c r="N347" s="35"/>
      <c r="O347" s="18"/>
      <c r="P347" s="35"/>
      <c r="Q347" s="18"/>
      <c r="R347" s="18">
        <f t="shared" si="75"/>
        <v>0</v>
      </c>
      <c r="S347" s="18">
        <f t="shared" si="76"/>
        <v>0</v>
      </c>
      <c r="T347" s="18">
        <f t="shared" si="77"/>
        <v>0</v>
      </c>
      <c r="U347" s="17"/>
      <c r="V347" s="22"/>
      <c r="W347" s="22"/>
      <c r="X347" s="19"/>
      <c r="Y347" s="19"/>
    </row>
    <row r="348" spans="2:25" s="20" customFormat="1" ht="17.100000000000001" customHeight="1" x14ac:dyDescent="0.3">
      <c r="B348" s="17"/>
      <c r="C348" s="94"/>
      <c r="D348" s="17"/>
      <c r="E348" s="91"/>
      <c r="F348" s="15"/>
      <c r="G348" s="15"/>
      <c r="H348" s="15"/>
      <c r="I348" s="29"/>
      <c r="J348" s="19"/>
      <c r="K348" s="19"/>
      <c r="L348" s="19"/>
      <c r="M348" s="18">
        <f t="shared" si="74"/>
        <v>0</v>
      </c>
      <c r="N348" s="35"/>
      <c r="O348" s="18"/>
      <c r="P348" s="35"/>
      <c r="Q348" s="18"/>
      <c r="R348" s="18">
        <f t="shared" si="75"/>
        <v>0</v>
      </c>
      <c r="S348" s="18">
        <f t="shared" si="76"/>
        <v>0</v>
      </c>
      <c r="T348" s="18">
        <f t="shared" si="77"/>
        <v>0</v>
      </c>
      <c r="U348" s="17"/>
      <c r="V348" s="22"/>
      <c r="W348" s="22"/>
      <c r="X348" s="19"/>
      <c r="Y348" s="19"/>
    </row>
    <row r="349" spans="2:25" s="20" customFormat="1" ht="17.100000000000001" customHeight="1" x14ac:dyDescent="0.3">
      <c r="B349" s="17"/>
      <c r="C349" s="94"/>
      <c r="D349" s="17"/>
      <c r="E349" s="91"/>
      <c r="F349" s="15"/>
      <c r="G349" s="15"/>
      <c r="H349" s="15"/>
      <c r="I349" s="29"/>
      <c r="J349" s="19"/>
      <c r="K349" s="19"/>
      <c r="L349" s="19"/>
      <c r="M349" s="18">
        <f t="shared" si="74"/>
        <v>0</v>
      </c>
      <c r="N349" s="35"/>
      <c r="O349" s="18"/>
      <c r="P349" s="35"/>
      <c r="Q349" s="18"/>
      <c r="R349" s="18">
        <f t="shared" si="75"/>
        <v>0</v>
      </c>
      <c r="S349" s="18">
        <f t="shared" si="76"/>
        <v>0</v>
      </c>
      <c r="T349" s="18">
        <f t="shared" si="77"/>
        <v>0</v>
      </c>
      <c r="U349" s="17"/>
      <c r="V349" s="22"/>
      <c r="W349" s="22"/>
      <c r="X349" s="19"/>
      <c r="Y349" s="19"/>
    </row>
    <row r="350" spans="2:25" s="20" customFormat="1" ht="17.100000000000001" customHeight="1" x14ac:dyDescent="0.3">
      <c r="B350" s="17"/>
      <c r="C350" s="94"/>
      <c r="D350" s="17"/>
      <c r="E350" s="91"/>
      <c r="F350" s="15"/>
      <c r="G350" s="15"/>
      <c r="H350" s="15"/>
      <c r="I350" s="29"/>
      <c r="J350" s="19"/>
      <c r="K350" s="19"/>
      <c r="L350" s="19"/>
      <c r="M350" s="18">
        <f t="shared" si="74"/>
        <v>0</v>
      </c>
      <c r="N350" s="35"/>
      <c r="O350" s="18"/>
      <c r="P350" s="35"/>
      <c r="Q350" s="18"/>
      <c r="R350" s="18">
        <f t="shared" si="75"/>
        <v>0</v>
      </c>
      <c r="S350" s="18">
        <f t="shared" si="76"/>
        <v>0</v>
      </c>
      <c r="T350" s="18">
        <f t="shared" si="77"/>
        <v>0</v>
      </c>
      <c r="U350" s="17"/>
      <c r="V350" s="22"/>
      <c r="W350" s="22"/>
      <c r="X350" s="19"/>
      <c r="Y350" s="19"/>
    </row>
    <row r="351" spans="2:25" s="20" customFormat="1" ht="17.100000000000001" customHeight="1" x14ac:dyDescent="0.3">
      <c r="B351" s="17"/>
      <c r="C351" s="94"/>
      <c r="D351" s="17"/>
      <c r="E351" s="91"/>
      <c r="F351" s="15"/>
      <c r="G351" s="15"/>
      <c r="H351" s="15"/>
      <c r="I351" s="29"/>
      <c r="J351" s="19"/>
      <c r="K351" s="19"/>
      <c r="L351" s="19"/>
      <c r="M351" s="18">
        <f t="shared" si="74"/>
        <v>0</v>
      </c>
      <c r="N351" s="35"/>
      <c r="O351" s="18"/>
      <c r="P351" s="35"/>
      <c r="Q351" s="18"/>
      <c r="R351" s="18">
        <f t="shared" si="75"/>
        <v>0</v>
      </c>
      <c r="S351" s="18">
        <f t="shared" si="76"/>
        <v>0</v>
      </c>
      <c r="T351" s="18">
        <f t="shared" si="77"/>
        <v>0</v>
      </c>
      <c r="U351" s="17"/>
      <c r="V351" s="22"/>
      <c r="W351" s="22"/>
      <c r="X351" s="19"/>
      <c r="Y351" s="19"/>
    </row>
    <row r="352" spans="2:25" s="20" customFormat="1" ht="17.100000000000001" customHeight="1" x14ac:dyDescent="0.3">
      <c r="B352" s="17"/>
      <c r="C352" s="94"/>
      <c r="D352" s="17"/>
      <c r="E352" s="91"/>
      <c r="F352" s="15"/>
      <c r="G352" s="15"/>
      <c r="H352" s="15"/>
      <c r="I352" s="29"/>
      <c r="J352" s="19"/>
      <c r="K352" s="19"/>
      <c r="L352" s="19"/>
      <c r="M352" s="18">
        <f t="shared" si="74"/>
        <v>0</v>
      </c>
      <c r="N352" s="35"/>
      <c r="O352" s="18"/>
      <c r="P352" s="35"/>
      <c r="Q352" s="18"/>
      <c r="R352" s="18">
        <f t="shared" si="75"/>
        <v>0</v>
      </c>
      <c r="S352" s="18">
        <f t="shared" si="76"/>
        <v>0</v>
      </c>
      <c r="T352" s="18">
        <f t="shared" si="77"/>
        <v>0</v>
      </c>
      <c r="U352" s="17"/>
      <c r="V352" s="22"/>
      <c r="W352" s="22"/>
      <c r="X352" s="19"/>
      <c r="Y352" s="19"/>
    </row>
    <row r="353" spans="2:25" s="20" customFormat="1" ht="17.100000000000001" customHeight="1" x14ac:dyDescent="0.3">
      <c r="B353" s="17"/>
      <c r="C353" s="94"/>
      <c r="D353" s="17"/>
      <c r="E353" s="91"/>
      <c r="F353" s="15"/>
      <c r="G353" s="15"/>
      <c r="H353" s="15"/>
      <c r="I353" s="29"/>
      <c r="J353" s="19"/>
      <c r="K353" s="19"/>
      <c r="L353" s="19"/>
      <c r="M353" s="18">
        <f t="shared" si="74"/>
        <v>0</v>
      </c>
      <c r="N353" s="35"/>
      <c r="O353" s="18"/>
      <c r="P353" s="35"/>
      <c r="Q353" s="18"/>
      <c r="R353" s="18">
        <f t="shared" si="75"/>
        <v>0</v>
      </c>
      <c r="S353" s="18">
        <f t="shared" si="76"/>
        <v>0</v>
      </c>
      <c r="T353" s="18">
        <f t="shared" si="77"/>
        <v>0</v>
      </c>
      <c r="U353" s="17"/>
      <c r="V353" s="22"/>
      <c r="W353" s="22"/>
      <c r="X353" s="19"/>
      <c r="Y353" s="19"/>
    </row>
    <row r="354" spans="2:25" s="20" customFormat="1" ht="17.100000000000001" customHeight="1" x14ac:dyDescent="0.3">
      <c r="B354" s="17"/>
      <c r="C354" s="94"/>
      <c r="D354" s="17"/>
      <c r="E354" s="91"/>
      <c r="F354" s="15"/>
      <c r="G354" s="15"/>
      <c r="H354" s="15"/>
      <c r="I354" s="29"/>
      <c r="J354" s="19"/>
      <c r="K354" s="19"/>
      <c r="L354" s="19"/>
      <c r="M354" s="18">
        <f t="shared" si="74"/>
        <v>0</v>
      </c>
      <c r="N354" s="35"/>
      <c r="O354" s="18"/>
      <c r="P354" s="35"/>
      <c r="Q354" s="18"/>
      <c r="R354" s="18">
        <f t="shared" si="75"/>
        <v>0</v>
      </c>
      <c r="S354" s="18">
        <f t="shared" si="76"/>
        <v>0</v>
      </c>
      <c r="T354" s="18">
        <f t="shared" si="77"/>
        <v>0</v>
      </c>
      <c r="U354" s="17"/>
      <c r="V354" s="22"/>
      <c r="W354" s="22"/>
      <c r="X354" s="19"/>
      <c r="Y354" s="19"/>
    </row>
    <row r="355" spans="2:25" s="20" customFormat="1" ht="17.100000000000001" customHeight="1" x14ac:dyDescent="0.3">
      <c r="B355" s="17"/>
      <c r="C355" s="94"/>
      <c r="D355" s="17"/>
      <c r="E355" s="91"/>
      <c r="F355" s="15"/>
      <c r="G355" s="15"/>
      <c r="H355" s="15"/>
      <c r="I355" s="29"/>
      <c r="J355" s="19"/>
      <c r="K355" s="19"/>
      <c r="L355" s="19"/>
      <c r="M355" s="18">
        <f t="shared" si="74"/>
        <v>0</v>
      </c>
      <c r="N355" s="35"/>
      <c r="O355" s="18"/>
      <c r="P355" s="35"/>
      <c r="Q355" s="18"/>
      <c r="R355" s="18">
        <f t="shared" si="75"/>
        <v>0</v>
      </c>
      <c r="S355" s="18">
        <f t="shared" si="76"/>
        <v>0</v>
      </c>
      <c r="T355" s="18">
        <f t="shared" si="77"/>
        <v>0</v>
      </c>
      <c r="U355" s="17"/>
      <c r="V355" s="22"/>
      <c r="W355" s="22"/>
      <c r="X355" s="19"/>
      <c r="Y355" s="19"/>
    </row>
    <row r="356" spans="2:25" s="20" customFormat="1" ht="17.100000000000001" customHeight="1" x14ac:dyDescent="0.3">
      <c r="B356" s="17"/>
      <c r="C356" s="94"/>
      <c r="D356" s="17"/>
      <c r="E356" s="91"/>
      <c r="F356" s="15"/>
      <c r="G356" s="15"/>
      <c r="H356" s="15"/>
      <c r="I356" s="29"/>
      <c r="J356" s="19"/>
      <c r="K356" s="19"/>
      <c r="L356" s="19"/>
      <c r="M356" s="18">
        <f t="shared" si="74"/>
        <v>0</v>
      </c>
      <c r="N356" s="35"/>
      <c r="O356" s="18"/>
      <c r="P356" s="35"/>
      <c r="Q356" s="18"/>
      <c r="R356" s="18">
        <f t="shared" si="75"/>
        <v>0</v>
      </c>
      <c r="S356" s="18">
        <f t="shared" si="76"/>
        <v>0</v>
      </c>
      <c r="T356" s="18">
        <f t="shared" si="77"/>
        <v>0</v>
      </c>
      <c r="U356" s="17"/>
      <c r="V356" s="22"/>
      <c r="W356" s="22"/>
      <c r="X356" s="19"/>
      <c r="Y356" s="19"/>
    </row>
    <row r="357" spans="2:25" s="20" customFormat="1" ht="17.100000000000001" customHeight="1" x14ac:dyDescent="0.3">
      <c r="B357" s="17"/>
      <c r="C357" s="94"/>
      <c r="D357" s="17"/>
      <c r="E357" s="91"/>
      <c r="F357" s="15"/>
      <c r="G357" s="15"/>
      <c r="H357" s="15"/>
      <c r="I357" s="29"/>
      <c r="J357" s="19"/>
      <c r="K357" s="19"/>
      <c r="L357" s="19"/>
      <c r="M357" s="18">
        <f t="shared" si="74"/>
        <v>0</v>
      </c>
      <c r="N357" s="35"/>
      <c r="O357" s="18"/>
      <c r="P357" s="35"/>
      <c r="Q357" s="18"/>
      <c r="R357" s="18">
        <f t="shared" si="75"/>
        <v>0</v>
      </c>
      <c r="S357" s="18">
        <f t="shared" si="76"/>
        <v>0</v>
      </c>
      <c r="T357" s="18">
        <f t="shared" si="77"/>
        <v>0</v>
      </c>
      <c r="U357" s="17"/>
      <c r="V357" s="22"/>
      <c r="W357" s="22"/>
      <c r="X357" s="19"/>
      <c r="Y357" s="19"/>
    </row>
    <row r="358" spans="2:25" s="20" customFormat="1" ht="17.100000000000001" customHeight="1" x14ac:dyDescent="0.3">
      <c r="B358" s="17"/>
      <c r="C358" s="94"/>
      <c r="D358" s="17"/>
      <c r="E358" s="91"/>
      <c r="F358" s="15"/>
      <c r="G358" s="15"/>
      <c r="H358" s="15"/>
      <c r="I358" s="29"/>
      <c r="J358" s="19"/>
      <c r="K358" s="19"/>
      <c r="L358" s="19"/>
      <c r="M358" s="18">
        <f t="shared" si="74"/>
        <v>0</v>
      </c>
      <c r="N358" s="35"/>
      <c r="O358" s="18"/>
      <c r="P358" s="35"/>
      <c r="Q358" s="18"/>
      <c r="R358" s="18">
        <f t="shared" si="75"/>
        <v>0</v>
      </c>
      <c r="S358" s="18">
        <f t="shared" si="76"/>
        <v>0</v>
      </c>
      <c r="T358" s="18">
        <f t="shared" si="77"/>
        <v>0</v>
      </c>
      <c r="U358" s="17"/>
      <c r="V358" s="22"/>
      <c r="W358" s="22"/>
      <c r="X358" s="19"/>
      <c r="Y358" s="19"/>
    </row>
    <row r="359" spans="2:25" s="20" customFormat="1" ht="17.100000000000001" customHeight="1" x14ac:dyDescent="0.3">
      <c r="B359" s="17"/>
      <c r="C359" s="94"/>
      <c r="D359" s="17"/>
      <c r="E359" s="91"/>
      <c r="F359" s="15"/>
      <c r="G359" s="15"/>
      <c r="H359" s="15"/>
      <c r="I359" s="29"/>
      <c r="J359" s="19"/>
      <c r="K359" s="19"/>
      <c r="L359" s="19"/>
      <c r="M359" s="18">
        <f t="shared" si="74"/>
        <v>0</v>
      </c>
      <c r="N359" s="35"/>
      <c r="O359" s="18"/>
      <c r="P359" s="35"/>
      <c r="Q359" s="18"/>
      <c r="R359" s="18">
        <f t="shared" si="75"/>
        <v>0</v>
      </c>
      <c r="S359" s="18">
        <f t="shared" si="76"/>
        <v>0</v>
      </c>
      <c r="T359" s="18">
        <f t="shared" si="77"/>
        <v>0</v>
      </c>
      <c r="U359" s="17"/>
      <c r="V359" s="22"/>
      <c r="W359" s="22"/>
      <c r="X359" s="19"/>
      <c r="Y359" s="19"/>
    </row>
    <row r="360" spans="2:25" s="20" customFormat="1" ht="17.100000000000001" customHeight="1" x14ac:dyDescent="0.3">
      <c r="B360" s="17"/>
      <c r="C360" s="94"/>
      <c r="D360" s="17"/>
      <c r="E360" s="91"/>
      <c r="F360" s="15"/>
      <c r="G360" s="15"/>
      <c r="H360" s="15"/>
      <c r="I360" s="29"/>
      <c r="J360" s="19"/>
      <c r="K360" s="19"/>
      <c r="L360" s="19"/>
      <c r="M360" s="18">
        <f t="shared" si="74"/>
        <v>0</v>
      </c>
      <c r="N360" s="35"/>
      <c r="O360" s="18"/>
      <c r="P360" s="35"/>
      <c r="Q360" s="18"/>
      <c r="R360" s="18">
        <f t="shared" si="75"/>
        <v>0</v>
      </c>
      <c r="S360" s="18">
        <f t="shared" si="76"/>
        <v>0</v>
      </c>
      <c r="T360" s="18">
        <f t="shared" si="77"/>
        <v>0</v>
      </c>
      <c r="U360" s="17"/>
      <c r="V360" s="22"/>
      <c r="W360" s="22"/>
      <c r="X360" s="19"/>
      <c r="Y360" s="19"/>
    </row>
    <row r="361" spans="2:25" s="20" customFormat="1" ht="17.100000000000001" customHeight="1" x14ac:dyDescent="0.3">
      <c r="B361" s="17"/>
      <c r="C361" s="94"/>
      <c r="D361" s="17"/>
      <c r="E361" s="91"/>
      <c r="F361" s="15"/>
      <c r="G361" s="15"/>
      <c r="H361" s="15"/>
      <c r="I361" s="29"/>
      <c r="J361" s="19"/>
      <c r="K361" s="19"/>
      <c r="L361" s="19"/>
      <c r="M361" s="18">
        <f t="shared" si="74"/>
        <v>0</v>
      </c>
      <c r="N361" s="35"/>
      <c r="O361" s="18"/>
      <c r="P361" s="35"/>
      <c r="Q361" s="18"/>
      <c r="R361" s="18">
        <f t="shared" si="75"/>
        <v>0</v>
      </c>
      <c r="S361" s="18">
        <f t="shared" si="76"/>
        <v>0</v>
      </c>
      <c r="T361" s="18">
        <f t="shared" si="77"/>
        <v>0</v>
      </c>
      <c r="U361" s="17"/>
      <c r="V361" s="22"/>
      <c r="W361" s="22"/>
      <c r="X361" s="19"/>
      <c r="Y361" s="19"/>
    </row>
    <row r="362" spans="2:25" s="20" customFormat="1" ht="17.100000000000001" customHeight="1" x14ac:dyDescent="0.3">
      <c r="B362" s="17"/>
      <c r="C362" s="94"/>
      <c r="D362" s="17"/>
      <c r="E362" s="91"/>
      <c r="F362" s="15"/>
      <c r="G362" s="15"/>
      <c r="H362" s="15"/>
      <c r="I362" s="29"/>
      <c r="J362" s="19"/>
      <c r="K362" s="19"/>
      <c r="L362" s="19"/>
      <c r="M362" s="18">
        <f t="shared" si="74"/>
        <v>0</v>
      </c>
      <c r="N362" s="35"/>
      <c r="O362" s="18"/>
      <c r="P362" s="35"/>
      <c r="Q362" s="18"/>
      <c r="R362" s="18">
        <f t="shared" si="75"/>
        <v>0</v>
      </c>
      <c r="S362" s="18">
        <f t="shared" si="76"/>
        <v>0</v>
      </c>
      <c r="T362" s="18">
        <f t="shared" si="77"/>
        <v>0</v>
      </c>
      <c r="U362" s="17"/>
      <c r="V362" s="22"/>
      <c r="W362" s="22"/>
      <c r="X362" s="19"/>
      <c r="Y362" s="19"/>
    </row>
    <row r="363" spans="2:25" s="20" customFormat="1" ht="17.100000000000001" customHeight="1" x14ac:dyDescent="0.3">
      <c r="B363" s="17"/>
      <c r="C363" s="94"/>
      <c r="D363" s="17"/>
      <c r="E363" s="91"/>
      <c r="F363" s="15"/>
      <c r="G363" s="15"/>
      <c r="H363" s="15"/>
      <c r="I363" s="29"/>
      <c r="J363" s="19"/>
      <c r="K363" s="19"/>
      <c r="L363" s="19"/>
      <c r="M363" s="18">
        <f t="shared" si="74"/>
        <v>0</v>
      </c>
      <c r="N363" s="35"/>
      <c r="O363" s="18"/>
      <c r="P363" s="35"/>
      <c r="Q363" s="18"/>
      <c r="R363" s="18">
        <f t="shared" si="75"/>
        <v>0</v>
      </c>
      <c r="S363" s="18">
        <f t="shared" si="76"/>
        <v>0</v>
      </c>
      <c r="T363" s="18">
        <f t="shared" si="77"/>
        <v>0</v>
      </c>
      <c r="U363" s="17"/>
      <c r="V363" s="22"/>
      <c r="W363" s="22"/>
      <c r="X363" s="19"/>
      <c r="Y363" s="19"/>
    </row>
    <row r="364" spans="2:25" s="20" customFormat="1" ht="17.100000000000001" customHeight="1" x14ac:dyDescent="0.3">
      <c r="B364" s="17"/>
      <c r="C364" s="94"/>
      <c r="D364" s="17"/>
      <c r="E364" s="91"/>
      <c r="F364" s="15"/>
      <c r="G364" s="15"/>
      <c r="H364" s="15"/>
      <c r="I364" s="29"/>
      <c r="J364" s="19"/>
      <c r="K364" s="19"/>
      <c r="L364" s="19"/>
      <c r="M364" s="18">
        <f t="shared" si="74"/>
        <v>0</v>
      </c>
      <c r="N364" s="35"/>
      <c r="O364" s="18"/>
      <c r="P364" s="35"/>
      <c r="Q364" s="18"/>
      <c r="R364" s="18">
        <f t="shared" si="75"/>
        <v>0</v>
      </c>
      <c r="S364" s="18">
        <f t="shared" si="76"/>
        <v>0</v>
      </c>
      <c r="T364" s="18">
        <f t="shared" si="77"/>
        <v>0</v>
      </c>
      <c r="U364" s="17"/>
      <c r="V364" s="22"/>
      <c r="W364" s="22"/>
      <c r="X364" s="19"/>
      <c r="Y364" s="19"/>
    </row>
    <row r="365" spans="2:25" s="20" customFormat="1" ht="17.100000000000001" customHeight="1" x14ac:dyDescent="0.3">
      <c r="B365" s="17"/>
      <c r="C365" s="94"/>
      <c r="D365" s="17"/>
      <c r="E365" s="91"/>
      <c r="F365" s="15"/>
      <c r="G365" s="15"/>
      <c r="H365" s="15"/>
      <c r="I365" s="29"/>
      <c r="J365" s="19"/>
      <c r="K365" s="19"/>
      <c r="L365" s="19"/>
      <c r="M365" s="18">
        <f t="shared" si="74"/>
        <v>0</v>
      </c>
      <c r="N365" s="35"/>
      <c r="O365" s="18"/>
      <c r="P365" s="35"/>
      <c r="Q365" s="18"/>
      <c r="R365" s="18">
        <f t="shared" si="75"/>
        <v>0</v>
      </c>
      <c r="S365" s="18">
        <f t="shared" si="76"/>
        <v>0</v>
      </c>
      <c r="T365" s="18">
        <f t="shared" si="77"/>
        <v>0</v>
      </c>
      <c r="U365" s="17"/>
      <c r="V365" s="22"/>
      <c r="W365" s="22"/>
      <c r="X365" s="19"/>
      <c r="Y365" s="19"/>
    </row>
    <row r="366" spans="2:25" s="20" customFormat="1" ht="17.100000000000001" customHeight="1" x14ac:dyDescent="0.3">
      <c r="B366" s="17"/>
      <c r="C366" s="94"/>
      <c r="D366" s="17"/>
      <c r="E366" s="91"/>
      <c r="F366" s="15"/>
      <c r="G366" s="15"/>
      <c r="H366" s="15"/>
      <c r="I366" s="29"/>
      <c r="J366" s="19"/>
      <c r="K366" s="19"/>
      <c r="L366" s="19"/>
      <c r="M366" s="18">
        <f t="shared" si="74"/>
        <v>0</v>
      </c>
      <c r="N366" s="35"/>
      <c r="O366" s="18"/>
      <c r="P366" s="35"/>
      <c r="Q366" s="18"/>
      <c r="R366" s="18">
        <f t="shared" si="75"/>
        <v>0</v>
      </c>
      <c r="S366" s="18">
        <f t="shared" si="76"/>
        <v>0</v>
      </c>
      <c r="T366" s="18">
        <f t="shared" si="77"/>
        <v>0</v>
      </c>
      <c r="U366" s="17"/>
      <c r="V366" s="22"/>
      <c r="W366" s="22"/>
      <c r="X366" s="19"/>
      <c r="Y366" s="19"/>
    </row>
    <row r="367" spans="2:25" s="20" customFormat="1" ht="17.100000000000001" customHeight="1" x14ac:dyDescent="0.3">
      <c r="B367" s="17"/>
      <c r="C367" s="94"/>
      <c r="D367" s="17"/>
      <c r="E367" s="91"/>
      <c r="F367" s="15"/>
      <c r="G367" s="15"/>
      <c r="H367" s="15"/>
      <c r="I367" s="29"/>
      <c r="J367" s="19"/>
      <c r="K367" s="19"/>
      <c r="L367" s="19"/>
      <c r="M367" s="18">
        <f t="shared" si="74"/>
        <v>0</v>
      </c>
      <c r="N367" s="35"/>
      <c r="O367" s="18"/>
      <c r="P367" s="35"/>
      <c r="Q367" s="18"/>
      <c r="R367" s="18">
        <f t="shared" si="75"/>
        <v>0</v>
      </c>
      <c r="S367" s="18">
        <f t="shared" si="76"/>
        <v>0</v>
      </c>
      <c r="T367" s="18">
        <f t="shared" si="77"/>
        <v>0</v>
      </c>
      <c r="U367" s="17"/>
      <c r="V367" s="22"/>
      <c r="W367" s="22"/>
      <c r="X367" s="19"/>
      <c r="Y367" s="19"/>
    </row>
    <row r="368" spans="2:25" s="20" customFormat="1" ht="17.100000000000001" customHeight="1" x14ac:dyDescent="0.3">
      <c r="B368" s="17"/>
      <c r="C368" s="94"/>
      <c r="D368" s="17"/>
      <c r="E368" s="91"/>
      <c r="F368" s="15"/>
      <c r="G368" s="15"/>
      <c r="H368" s="15"/>
      <c r="I368" s="29"/>
      <c r="J368" s="19"/>
      <c r="K368" s="19"/>
      <c r="L368" s="19"/>
      <c r="M368" s="18">
        <f t="shared" si="74"/>
        <v>0</v>
      </c>
      <c r="N368" s="35"/>
      <c r="O368" s="18"/>
      <c r="P368" s="35"/>
      <c r="Q368" s="18"/>
      <c r="R368" s="18">
        <f t="shared" si="75"/>
        <v>0</v>
      </c>
      <c r="S368" s="18">
        <f t="shared" si="76"/>
        <v>0</v>
      </c>
      <c r="T368" s="18">
        <f t="shared" si="77"/>
        <v>0</v>
      </c>
      <c r="U368" s="17"/>
      <c r="V368" s="22"/>
      <c r="W368" s="22"/>
      <c r="X368" s="19"/>
      <c r="Y368" s="19"/>
    </row>
    <row r="369" spans="2:25" s="20" customFormat="1" ht="17.100000000000001" customHeight="1" x14ac:dyDescent="0.3">
      <c r="B369" s="17"/>
      <c r="C369" s="94"/>
      <c r="D369" s="17"/>
      <c r="E369" s="91"/>
      <c r="F369" s="15"/>
      <c r="G369" s="15"/>
      <c r="H369" s="15"/>
      <c r="I369" s="29"/>
      <c r="J369" s="19"/>
      <c r="K369" s="19"/>
      <c r="L369" s="19"/>
      <c r="M369" s="18">
        <f t="shared" si="74"/>
        <v>0</v>
      </c>
      <c r="N369" s="35"/>
      <c r="O369" s="18"/>
      <c r="P369" s="35"/>
      <c r="Q369" s="18"/>
      <c r="R369" s="18">
        <f t="shared" si="75"/>
        <v>0</v>
      </c>
      <c r="S369" s="18">
        <f t="shared" si="76"/>
        <v>0</v>
      </c>
      <c r="T369" s="18">
        <f t="shared" si="77"/>
        <v>0</v>
      </c>
      <c r="U369" s="17"/>
      <c r="V369" s="22"/>
      <c r="W369" s="22"/>
      <c r="X369" s="19"/>
      <c r="Y369" s="19"/>
    </row>
    <row r="370" spans="2:25" s="20" customFormat="1" ht="17.100000000000001" customHeight="1" x14ac:dyDescent="0.3">
      <c r="B370" s="17"/>
      <c r="C370" s="94"/>
      <c r="D370" s="17"/>
      <c r="E370" s="91"/>
      <c r="F370" s="15"/>
      <c r="G370" s="15"/>
      <c r="H370" s="15"/>
      <c r="I370" s="29"/>
      <c r="J370" s="19"/>
      <c r="K370" s="19"/>
      <c r="L370" s="19"/>
      <c r="M370" s="18">
        <f t="shared" si="74"/>
        <v>0</v>
      </c>
      <c r="N370" s="35"/>
      <c r="O370" s="18"/>
      <c r="P370" s="35"/>
      <c r="Q370" s="18"/>
      <c r="R370" s="18">
        <f t="shared" si="75"/>
        <v>0</v>
      </c>
      <c r="S370" s="18">
        <f t="shared" si="76"/>
        <v>0</v>
      </c>
      <c r="T370" s="18">
        <f t="shared" si="77"/>
        <v>0</v>
      </c>
      <c r="U370" s="17"/>
      <c r="V370" s="22"/>
      <c r="W370" s="22"/>
      <c r="X370" s="19"/>
      <c r="Y370" s="19"/>
    </row>
    <row r="371" spans="2:25" s="20" customFormat="1" ht="17.100000000000001" customHeight="1" x14ac:dyDescent="0.3">
      <c r="B371" s="17"/>
      <c r="C371" s="94"/>
      <c r="D371" s="17"/>
      <c r="E371" s="91"/>
      <c r="F371" s="15"/>
      <c r="G371" s="15"/>
      <c r="H371" s="15"/>
      <c r="I371" s="29"/>
      <c r="J371" s="19"/>
      <c r="K371" s="19"/>
      <c r="L371" s="19"/>
      <c r="M371" s="18">
        <f t="shared" si="74"/>
        <v>0</v>
      </c>
      <c r="N371" s="35"/>
      <c r="O371" s="18"/>
      <c r="P371" s="35"/>
      <c r="Q371" s="18"/>
      <c r="R371" s="18">
        <f t="shared" si="75"/>
        <v>0</v>
      </c>
      <c r="S371" s="18">
        <f t="shared" si="76"/>
        <v>0</v>
      </c>
      <c r="T371" s="18">
        <f t="shared" si="77"/>
        <v>0</v>
      </c>
      <c r="U371" s="17"/>
      <c r="V371" s="22"/>
      <c r="W371" s="22"/>
      <c r="X371" s="19"/>
      <c r="Y371" s="19"/>
    </row>
    <row r="372" spans="2:25" s="20" customFormat="1" ht="17.100000000000001" customHeight="1" x14ac:dyDescent="0.3">
      <c r="B372" s="17"/>
      <c r="C372" s="94"/>
      <c r="D372" s="17"/>
      <c r="E372" s="91"/>
      <c r="F372" s="15"/>
      <c r="G372" s="15"/>
      <c r="H372" s="15"/>
      <c r="I372" s="29"/>
      <c r="J372" s="19"/>
      <c r="K372" s="19"/>
      <c r="L372" s="19"/>
      <c r="M372" s="18">
        <f t="shared" si="74"/>
        <v>0</v>
      </c>
      <c r="N372" s="35"/>
      <c r="O372" s="18"/>
      <c r="P372" s="35"/>
      <c r="Q372" s="18"/>
      <c r="R372" s="18">
        <f t="shared" si="75"/>
        <v>0</v>
      </c>
      <c r="S372" s="18">
        <f t="shared" si="76"/>
        <v>0</v>
      </c>
      <c r="T372" s="18">
        <f t="shared" si="77"/>
        <v>0</v>
      </c>
      <c r="U372" s="17"/>
      <c r="V372" s="22"/>
      <c r="W372" s="22"/>
      <c r="X372" s="19"/>
      <c r="Y372" s="19"/>
    </row>
    <row r="373" spans="2:25" s="20" customFormat="1" ht="17.100000000000001" customHeight="1" x14ac:dyDescent="0.3">
      <c r="B373" s="17"/>
      <c r="C373" s="94"/>
      <c r="D373" s="17"/>
      <c r="E373" s="91"/>
      <c r="F373" s="15"/>
      <c r="G373" s="15"/>
      <c r="H373" s="15"/>
      <c r="I373" s="29"/>
      <c r="J373" s="19"/>
      <c r="K373" s="19"/>
      <c r="L373" s="19"/>
      <c r="M373" s="18">
        <f t="shared" si="74"/>
        <v>0</v>
      </c>
      <c r="N373" s="35"/>
      <c r="O373" s="18"/>
      <c r="P373" s="35"/>
      <c r="Q373" s="18"/>
      <c r="R373" s="18">
        <f t="shared" si="75"/>
        <v>0</v>
      </c>
      <c r="S373" s="18">
        <f t="shared" si="76"/>
        <v>0</v>
      </c>
      <c r="T373" s="18">
        <f t="shared" si="77"/>
        <v>0</v>
      </c>
      <c r="U373" s="17"/>
      <c r="V373" s="22"/>
      <c r="W373" s="22"/>
      <c r="X373" s="19"/>
      <c r="Y373" s="19"/>
    </row>
    <row r="374" spans="2:25" s="20" customFormat="1" ht="17.100000000000001" customHeight="1" x14ac:dyDescent="0.3">
      <c r="B374" s="17"/>
      <c r="C374" s="94"/>
      <c r="D374" s="17"/>
      <c r="E374" s="91"/>
      <c r="F374" s="15"/>
      <c r="G374" s="15"/>
      <c r="H374" s="15"/>
      <c r="I374" s="29"/>
      <c r="J374" s="19"/>
      <c r="K374" s="19"/>
      <c r="L374" s="19"/>
      <c r="M374" s="18">
        <f t="shared" si="74"/>
        <v>0</v>
      </c>
      <c r="N374" s="35"/>
      <c r="O374" s="18"/>
      <c r="P374" s="35"/>
      <c r="Q374" s="18"/>
      <c r="R374" s="18">
        <f t="shared" si="75"/>
        <v>0</v>
      </c>
      <c r="S374" s="18">
        <f t="shared" si="76"/>
        <v>0</v>
      </c>
      <c r="T374" s="18">
        <f t="shared" si="77"/>
        <v>0</v>
      </c>
      <c r="U374" s="17"/>
      <c r="V374" s="22"/>
      <c r="W374" s="22"/>
      <c r="X374" s="19"/>
      <c r="Y374" s="19"/>
    </row>
    <row r="375" spans="2:25" s="20" customFormat="1" ht="17.100000000000001" customHeight="1" x14ac:dyDescent="0.3">
      <c r="B375" s="17"/>
      <c r="C375" s="94"/>
      <c r="D375" s="17"/>
      <c r="E375" s="91"/>
      <c r="F375" s="15"/>
      <c r="G375" s="15"/>
      <c r="H375" s="15"/>
      <c r="I375" s="29"/>
      <c r="J375" s="19"/>
      <c r="K375" s="19"/>
      <c r="L375" s="19"/>
      <c r="M375" s="18">
        <f t="shared" si="74"/>
        <v>0</v>
      </c>
      <c r="N375" s="35"/>
      <c r="O375" s="18"/>
      <c r="P375" s="35"/>
      <c r="Q375" s="18"/>
      <c r="R375" s="18">
        <f t="shared" si="75"/>
        <v>0</v>
      </c>
      <c r="S375" s="18">
        <f t="shared" si="76"/>
        <v>0</v>
      </c>
      <c r="T375" s="18">
        <f t="shared" si="77"/>
        <v>0</v>
      </c>
      <c r="U375" s="17"/>
      <c r="V375" s="22"/>
      <c r="W375" s="22"/>
      <c r="X375" s="19"/>
      <c r="Y375" s="19"/>
    </row>
    <row r="376" spans="2:25" s="20" customFormat="1" ht="17.100000000000001" customHeight="1" x14ac:dyDescent="0.3">
      <c r="B376" s="17"/>
      <c r="C376" s="94"/>
      <c r="D376" s="17"/>
      <c r="E376" s="91"/>
      <c r="F376" s="15"/>
      <c r="G376" s="15"/>
      <c r="H376" s="15"/>
      <c r="I376" s="29"/>
      <c r="J376" s="19"/>
      <c r="K376" s="19"/>
      <c r="L376" s="19"/>
      <c r="M376" s="18">
        <f t="shared" si="74"/>
        <v>0</v>
      </c>
      <c r="N376" s="35"/>
      <c r="O376" s="18"/>
      <c r="P376" s="35"/>
      <c r="Q376" s="18"/>
      <c r="R376" s="18">
        <f t="shared" si="75"/>
        <v>0</v>
      </c>
      <c r="S376" s="18">
        <f t="shared" si="76"/>
        <v>0</v>
      </c>
      <c r="T376" s="18">
        <f t="shared" si="77"/>
        <v>0</v>
      </c>
      <c r="U376" s="17"/>
      <c r="V376" s="22"/>
      <c r="W376" s="22"/>
      <c r="X376" s="19"/>
      <c r="Y376" s="19"/>
    </row>
    <row r="377" spans="2:25" s="20" customFormat="1" ht="17.100000000000001" customHeight="1" x14ac:dyDescent="0.3">
      <c r="B377" s="17"/>
      <c r="C377" s="94"/>
      <c r="D377" s="17"/>
      <c r="E377" s="91"/>
      <c r="F377" s="15"/>
      <c r="G377" s="15"/>
      <c r="H377" s="15"/>
      <c r="I377" s="29"/>
      <c r="J377" s="19"/>
      <c r="K377" s="19"/>
      <c r="L377" s="19"/>
      <c r="M377" s="18">
        <f t="shared" ref="M377:M440" si="78">L377*0.1</f>
        <v>0</v>
      </c>
      <c r="N377" s="35"/>
      <c r="O377" s="18"/>
      <c r="P377" s="35"/>
      <c r="Q377" s="18"/>
      <c r="R377" s="18">
        <f t="shared" ref="R377:R440" si="79">O377+Q377</f>
        <v>0</v>
      </c>
      <c r="S377" s="18">
        <f t="shared" ref="S377:S440" si="80">T377-R377</f>
        <v>0</v>
      </c>
      <c r="T377" s="18">
        <f t="shared" ref="T377:T440" si="81">L377+M377</f>
        <v>0</v>
      </c>
      <c r="U377" s="17"/>
      <c r="V377" s="22"/>
      <c r="W377" s="22"/>
      <c r="X377" s="19"/>
      <c r="Y377" s="19"/>
    </row>
    <row r="378" spans="2:25" s="20" customFormat="1" ht="17.100000000000001" customHeight="1" x14ac:dyDescent="0.3">
      <c r="B378" s="17"/>
      <c r="C378" s="94"/>
      <c r="D378" s="17"/>
      <c r="E378" s="91"/>
      <c r="F378" s="15"/>
      <c r="G378" s="15"/>
      <c r="H378" s="15"/>
      <c r="I378" s="29"/>
      <c r="J378" s="19"/>
      <c r="K378" s="19"/>
      <c r="L378" s="19"/>
      <c r="M378" s="18">
        <f t="shared" si="78"/>
        <v>0</v>
      </c>
      <c r="N378" s="35"/>
      <c r="O378" s="18"/>
      <c r="P378" s="35"/>
      <c r="Q378" s="18"/>
      <c r="R378" s="18">
        <f t="shared" si="79"/>
        <v>0</v>
      </c>
      <c r="S378" s="18">
        <f t="shared" si="80"/>
        <v>0</v>
      </c>
      <c r="T378" s="18">
        <f t="shared" si="81"/>
        <v>0</v>
      </c>
      <c r="U378" s="17"/>
      <c r="V378" s="22"/>
      <c r="W378" s="22"/>
      <c r="X378" s="19"/>
      <c r="Y378" s="19"/>
    </row>
    <row r="379" spans="2:25" s="20" customFormat="1" ht="17.100000000000001" customHeight="1" x14ac:dyDescent="0.3">
      <c r="B379" s="17"/>
      <c r="C379" s="94"/>
      <c r="D379" s="17"/>
      <c r="E379" s="91"/>
      <c r="F379" s="15"/>
      <c r="G379" s="15"/>
      <c r="H379" s="15"/>
      <c r="I379" s="29"/>
      <c r="J379" s="19"/>
      <c r="K379" s="19"/>
      <c r="L379" s="19"/>
      <c r="M379" s="18">
        <f t="shared" si="78"/>
        <v>0</v>
      </c>
      <c r="N379" s="35"/>
      <c r="O379" s="18"/>
      <c r="P379" s="35"/>
      <c r="Q379" s="18"/>
      <c r="R379" s="18">
        <f t="shared" si="79"/>
        <v>0</v>
      </c>
      <c r="S379" s="18">
        <f t="shared" si="80"/>
        <v>0</v>
      </c>
      <c r="T379" s="18">
        <f t="shared" si="81"/>
        <v>0</v>
      </c>
      <c r="U379" s="17"/>
      <c r="V379" s="22"/>
      <c r="W379" s="22"/>
      <c r="X379" s="19"/>
      <c r="Y379" s="19"/>
    </row>
    <row r="380" spans="2:25" s="20" customFormat="1" ht="17.100000000000001" customHeight="1" x14ac:dyDescent="0.3">
      <c r="B380" s="17"/>
      <c r="C380" s="94"/>
      <c r="D380" s="17"/>
      <c r="E380" s="91"/>
      <c r="F380" s="15"/>
      <c r="G380" s="15"/>
      <c r="H380" s="15"/>
      <c r="I380" s="29"/>
      <c r="J380" s="19"/>
      <c r="K380" s="19"/>
      <c r="L380" s="19"/>
      <c r="M380" s="18">
        <f t="shared" si="78"/>
        <v>0</v>
      </c>
      <c r="N380" s="35"/>
      <c r="O380" s="18"/>
      <c r="P380" s="35"/>
      <c r="Q380" s="18"/>
      <c r="R380" s="18">
        <f t="shared" si="79"/>
        <v>0</v>
      </c>
      <c r="S380" s="18">
        <f t="shared" si="80"/>
        <v>0</v>
      </c>
      <c r="T380" s="18">
        <f t="shared" si="81"/>
        <v>0</v>
      </c>
      <c r="U380" s="17"/>
      <c r="V380" s="22"/>
      <c r="W380" s="22"/>
      <c r="X380" s="19"/>
      <c r="Y380" s="19"/>
    </row>
    <row r="381" spans="2:25" s="20" customFormat="1" ht="17.100000000000001" customHeight="1" x14ac:dyDescent="0.3">
      <c r="B381" s="17"/>
      <c r="C381" s="94"/>
      <c r="D381" s="17"/>
      <c r="E381" s="91"/>
      <c r="F381" s="15"/>
      <c r="G381" s="15"/>
      <c r="H381" s="15"/>
      <c r="I381" s="29"/>
      <c r="J381" s="19"/>
      <c r="K381" s="19"/>
      <c r="L381" s="19"/>
      <c r="M381" s="18">
        <f t="shared" si="78"/>
        <v>0</v>
      </c>
      <c r="N381" s="35"/>
      <c r="O381" s="18"/>
      <c r="P381" s="35"/>
      <c r="Q381" s="18"/>
      <c r="R381" s="18">
        <f t="shared" si="79"/>
        <v>0</v>
      </c>
      <c r="S381" s="18">
        <f t="shared" si="80"/>
        <v>0</v>
      </c>
      <c r="T381" s="18">
        <f t="shared" si="81"/>
        <v>0</v>
      </c>
      <c r="U381" s="17"/>
      <c r="V381" s="22"/>
      <c r="W381" s="22"/>
      <c r="X381" s="19"/>
      <c r="Y381" s="19"/>
    </row>
    <row r="382" spans="2:25" s="20" customFormat="1" ht="17.100000000000001" customHeight="1" x14ac:dyDescent="0.3">
      <c r="B382" s="17"/>
      <c r="C382" s="94"/>
      <c r="D382" s="17"/>
      <c r="E382" s="91"/>
      <c r="F382" s="15"/>
      <c r="G382" s="15"/>
      <c r="H382" s="15"/>
      <c r="I382" s="29"/>
      <c r="J382" s="19"/>
      <c r="K382" s="19"/>
      <c r="L382" s="19"/>
      <c r="M382" s="18">
        <f t="shared" si="78"/>
        <v>0</v>
      </c>
      <c r="N382" s="35"/>
      <c r="O382" s="18"/>
      <c r="P382" s="35"/>
      <c r="Q382" s="18"/>
      <c r="R382" s="18">
        <f t="shared" si="79"/>
        <v>0</v>
      </c>
      <c r="S382" s="18">
        <f t="shared" si="80"/>
        <v>0</v>
      </c>
      <c r="T382" s="18">
        <f t="shared" si="81"/>
        <v>0</v>
      </c>
      <c r="U382" s="17"/>
      <c r="V382" s="22"/>
      <c r="W382" s="22"/>
      <c r="X382" s="19"/>
      <c r="Y382" s="19"/>
    </row>
    <row r="383" spans="2:25" s="20" customFormat="1" ht="17.100000000000001" customHeight="1" x14ac:dyDescent="0.3">
      <c r="B383" s="17"/>
      <c r="C383" s="94"/>
      <c r="D383" s="17"/>
      <c r="E383" s="91"/>
      <c r="F383" s="15"/>
      <c r="G383" s="15"/>
      <c r="H383" s="15"/>
      <c r="I383" s="29"/>
      <c r="J383" s="19"/>
      <c r="K383" s="19"/>
      <c r="L383" s="19"/>
      <c r="M383" s="18">
        <f t="shared" si="78"/>
        <v>0</v>
      </c>
      <c r="N383" s="35"/>
      <c r="O383" s="18"/>
      <c r="P383" s="35"/>
      <c r="Q383" s="18"/>
      <c r="R383" s="18">
        <f t="shared" si="79"/>
        <v>0</v>
      </c>
      <c r="S383" s="18">
        <f t="shared" si="80"/>
        <v>0</v>
      </c>
      <c r="T383" s="18">
        <f t="shared" si="81"/>
        <v>0</v>
      </c>
      <c r="U383" s="17"/>
      <c r="V383" s="22"/>
      <c r="W383" s="22"/>
      <c r="X383" s="19"/>
      <c r="Y383" s="19"/>
    </row>
    <row r="384" spans="2:25" s="20" customFormat="1" ht="17.100000000000001" customHeight="1" x14ac:dyDescent="0.3">
      <c r="B384" s="17"/>
      <c r="C384" s="94"/>
      <c r="D384" s="17"/>
      <c r="E384" s="91"/>
      <c r="F384" s="15"/>
      <c r="G384" s="15"/>
      <c r="H384" s="15"/>
      <c r="I384" s="29"/>
      <c r="J384" s="19"/>
      <c r="K384" s="19"/>
      <c r="L384" s="19"/>
      <c r="M384" s="18">
        <f t="shared" si="78"/>
        <v>0</v>
      </c>
      <c r="N384" s="35"/>
      <c r="O384" s="18"/>
      <c r="P384" s="35"/>
      <c r="Q384" s="18"/>
      <c r="R384" s="18">
        <f t="shared" si="79"/>
        <v>0</v>
      </c>
      <c r="S384" s="18">
        <f t="shared" si="80"/>
        <v>0</v>
      </c>
      <c r="T384" s="18">
        <f t="shared" si="81"/>
        <v>0</v>
      </c>
      <c r="U384" s="17"/>
      <c r="V384" s="22"/>
      <c r="W384" s="22"/>
      <c r="X384" s="19"/>
      <c r="Y384" s="19"/>
    </row>
    <row r="385" spans="2:25" s="20" customFormat="1" ht="17.100000000000001" customHeight="1" x14ac:dyDescent="0.3">
      <c r="B385" s="17"/>
      <c r="C385" s="94"/>
      <c r="D385" s="17"/>
      <c r="E385" s="91"/>
      <c r="F385" s="15"/>
      <c r="G385" s="15"/>
      <c r="H385" s="15"/>
      <c r="I385" s="29"/>
      <c r="J385" s="19"/>
      <c r="K385" s="19"/>
      <c r="L385" s="19"/>
      <c r="M385" s="18">
        <f t="shared" si="78"/>
        <v>0</v>
      </c>
      <c r="N385" s="35"/>
      <c r="O385" s="18"/>
      <c r="P385" s="35"/>
      <c r="Q385" s="18"/>
      <c r="R385" s="18">
        <f t="shared" si="79"/>
        <v>0</v>
      </c>
      <c r="S385" s="18">
        <f t="shared" si="80"/>
        <v>0</v>
      </c>
      <c r="T385" s="18">
        <f t="shared" si="81"/>
        <v>0</v>
      </c>
      <c r="U385" s="17"/>
      <c r="V385" s="22"/>
      <c r="W385" s="22"/>
      <c r="X385" s="19"/>
      <c r="Y385" s="19"/>
    </row>
    <row r="386" spans="2:25" s="20" customFormat="1" ht="17.100000000000001" customHeight="1" x14ac:dyDescent="0.3">
      <c r="B386" s="17"/>
      <c r="C386" s="94"/>
      <c r="D386" s="17"/>
      <c r="E386" s="91"/>
      <c r="F386" s="15"/>
      <c r="G386" s="15"/>
      <c r="H386" s="15"/>
      <c r="I386" s="29"/>
      <c r="J386" s="19"/>
      <c r="K386" s="19"/>
      <c r="L386" s="19"/>
      <c r="M386" s="18">
        <f t="shared" si="78"/>
        <v>0</v>
      </c>
      <c r="N386" s="35"/>
      <c r="O386" s="18"/>
      <c r="P386" s="35"/>
      <c r="Q386" s="18"/>
      <c r="R386" s="18">
        <f t="shared" si="79"/>
        <v>0</v>
      </c>
      <c r="S386" s="18">
        <f t="shared" si="80"/>
        <v>0</v>
      </c>
      <c r="T386" s="18">
        <f t="shared" si="81"/>
        <v>0</v>
      </c>
      <c r="U386" s="17"/>
      <c r="V386" s="22"/>
      <c r="W386" s="22"/>
      <c r="X386" s="19"/>
      <c r="Y386" s="19"/>
    </row>
    <row r="387" spans="2:25" s="20" customFormat="1" ht="17.100000000000001" customHeight="1" x14ac:dyDescent="0.3">
      <c r="B387" s="17"/>
      <c r="C387" s="94"/>
      <c r="D387" s="17"/>
      <c r="E387" s="91"/>
      <c r="F387" s="15"/>
      <c r="G387" s="15"/>
      <c r="H387" s="15"/>
      <c r="I387" s="29"/>
      <c r="J387" s="19"/>
      <c r="K387" s="19"/>
      <c r="L387" s="19"/>
      <c r="M387" s="18">
        <f t="shared" si="78"/>
        <v>0</v>
      </c>
      <c r="N387" s="35"/>
      <c r="O387" s="18"/>
      <c r="P387" s="35"/>
      <c r="Q387" s="18"/>
      <c r="R387" s="18">
        <f t="shared" si="79"/>
        <v>0</v>
      </c>
      <c r="S387" s="18">
        <f t="shared" si="80"/>
        <v>0</v>
      </c>
      <c r="T387" s="18">
        <f t="shared" si="81"/>
        <v>0</v>
      </c>
      <c r="U387" s="17"/>
      <c r="V387" s="22"/>
      <c r="W387" s="22"/>
      <c r="X387" s="19"/>
      <c r="Y387" s="19"/>
    </row>
    <row r="388" spans="2:25" s="20" customFormat="1" ht="17.100000000000001" customHeight="1" x14ac:dyDescent="0.3">
      <c r="B388" s="17"/>
      <c r="C388" s="94"/>
      <c r="D388" s="17"/>
      <c r="E388" s="91"/>
      <c r="F388" s="15"/>
      <c r="G388" s="15"/>
      <c r="H388" s="15"/>
      <c r="I388" s="29"/>
      <c r="J388" s="19"/>
      <c r="K388" s="19"/>
      <c r="L388" s="19"/>
      <c r="M388" s="18">
        <f t="shared" si="78"/>
        <v>0</v>
      </c>
      <c r="N388" s="35"/>
      <c r="O388" s="18"/>
      <c r="P388" s="35"/>
      <c r="Q388" s="18"/>
      <c r="R388" s="18">
        <f t="shared" si="79"/>
        <v>0</v>
      </c>
      <c r="S388" s="18">
        <f t="shared" si="80"/>
        <v>0</v>
      </c>
      <c r="T388" s="18">
        <f t="shared" si="81"/>
        <v>0</v>
      </c>
      <c r="U388" s="17"/>
      <c r="V388" s="22"/>
      <c r="W388" s="22"/>
      <c r="X388" s="19"/>
      <c r="Y388" s="19"/>
    </row>
    <row r="389" spans="2:25" s="20" customFormat="1" ht="17.100000000000001" customHeight="1" x14ac:dyDescent="0.3">
      <c r="B389" s="17"/>
      <c r="C389" s="94"/>
      <c r="D389" s="17"/>
      <c r="E389" s="91"/>
      <c r="F389" s="15"/>
      <c r="G389" s="15"/>
      <c r="H389" s="15"/>
      <c r="I389" s="29"/>
      <c r="J389" s="19"/>
      <c r="K389" s="19"/>
      <c r="L389" s="19"/>
      <c r="M389" s="18">
        <f t="shared" si="78"/>
        <v>0</v>
      </c>
      <c r="N389" s="35"/>
      <c r="O389" s="18"/>
      <c r="P389" s="35"/>
      <c r="Q389" s="18"/>
      <c r="R389" s="18">
        <f t="shared" si="79"/>
        <v>0</v>
      </c>
      <c r="S389" s="18">
        <f t="shared" si="80"/>
        <v>0</v>
      </c>
      <c r="T389" s="18">
        <f t="shared" si="81"/>
        <v>0</v>
      </c>
      <c r="U389" s="17"/>
      <c r="V389" s="22"/>
      <c r="W389" s="22"/>
      <c r="X389" s="19"/>
      <c r="Y389" s="19"/>
    </row>
    <row r="390" spans="2:25" s="20" customFormat="1" ht="17.100000000000001" customHeight="1" x14ac:dyDescent="0.3">
      <c r="B390" s="17"/>
      <c r="C390" s="94"/>
      <c r="D390" s="17"/>
      <c r="E390" s="91"/>
      <c r="F390" s="15"/>
      <c r="G390" s="15"/>
      <c r="H390" s="15"/>
      <c r="I390" s="29"/>
      <c r="J390" s="19"/>
      <c r="K390" s="19"/>
      <c r="L390" s="19"/>
      <c r="M390" s="18">
        <f t="shared" si="78"/>
        <v>0</v>
      </c>
      <c r="N390" s="35"/>
      <c r="O390" s="18"/>
      <c r="P390" s="35"/>
      <c r="Q390" s="18"/>
      <c r="R390" s="18">
        <f t="shared" si="79"/>
        <v>0</v>
      </c>
      <c r="S390" s="18">
        <f t="shared" si="80"/>
        <v>0</v>
      </c>
      <c r="T390" s="18">
        <f t="shared" si="81"/>
        <v>0</v>
      </c>
      <c r="U390" s="17"/>
      <c r="V390" s="22"/>
      <c r="W390" s="22"/>
      <c r="X390" s="19"/>
      <c r="Y390" s="19"/>
    </row>
    <row r="391" spans="2:25" s="20" customFormat="1" ht="17.100000000000001" customHeight="1" x14ac:dyDescent="0.3">
      <c r="B391" s="17"/>
      <c r="C391" s="94"/>
      <c r="D391" s="17"/>
      <c r="E391" s="91"/>
      <c r="F391" s="15"/>
      <c r="G391" s="15"/>
      <c r="H391" s="15"/>
      <c r="I391" s="29"/>
      <c r="J391" s="19"/>
      <c r="K391" s="19"/>
      <c r="L391" s="19"/>
      <c r="M391" s="18">
        <f t="shared" si="78"/>
        <v>0</v>
      </c>
      <c r="N391" s="35"/>
      <c r="O391" s="18"/>
      <c r="P391" s="35"/>
      <c r="Q391" s="18"/>
      <c r="R391" s="18">
        <f t="shared" si="79"/>
        <v>0</v>
      </c>
      <c r="S391" s="18">
        <f t="shared" si="80"/>
        <v>0</v>
      </c>
      <c r="T391" s="18">
        <f t="shared" si="81"/>
        <v>0</v>
      </c>
      <c r="U391" s="17"/>
      <c r="V391" s="22"/>
      <c r="W391" s="22"/>
      <c r="X391" s="19"/>
      <c r="Y391" s="19"/>
    </row>
    <row r="392" spans="2:25" s="20" customFormat="1" ht="17.100000000000001" customHeight="1" x14ac:dyDescent="0.3">
      <c r="B392" s="17"/>
      <c r="C392" s="94"/>
      <c r="D392" s="17"/>
      <c r="E392" s="91"/>
      <c r="F392" s="15"/>
      <c r="G392" s="15"/>
      <c r="H392" s="15"/>
      <c r="I392" s="29"/>
      <c r="J392" s="19"/>
      <c r="K392" s="19"/>
      <c r="L392" s="19"/>
      <c r="M392" s="18">
        <f t="shared" si="78"/>
        <v>0</v>
      </c>
      <c r="N392" s="35"/>
      <c r="O392" s="18"/>
      <c r="P392" s="35"/>
      <c r="Q392" s="18"/>
      <c r="R392" s="18">
        <f t="shared" si="79"/>
        <v>0</v>
      </c>
      <c r="S392" s="18">
        <f t="shared" si="80"/>
        <v>0</v>
      </c>
      <c r="T392" s="18">
        <f t="shared" si="81"/>
        <v>0</v>
      </c>
      <c r="U392" s="17"/>
      <c r="V392" s="22"/>
      <c r="W392" s="22"/>
      <c r="X392" s="19"/>
      <c r="Y392" s="19"/>
    </row>
    <row r="393" spans="2:25" s="20" customFormat="1" ht="17.100000000000001" customHeight="1" x14ac:dyDescent="0.3">
      <c r="B393" s="17"/>
      <c r="C393" s="94"/>
      <c r="D393" s="17"/>
      <c r="E393" s="91"/>
      <c r="F393" s="15"/>
      <c r="G393" s="15"/>
      <c r="H393" s="15"/>
      <c r="I393" s="29"/>
      <c r="J393" s="19"/>
      <c r="K393" s="19"/>
      <c r="L393" s="19"/>
      <c r="M393" s="18">
        <f t="shared" si="78"/>
        <v>0</v>
      </c>
      <c r="N393" s="35"/>
      <c r="O393" s="18"/>
      <c r="P393" s="35"/>
      <c r="Q393" s="18"/>
      <c r="R393" s="18">
        <f t="shared" si="79"/>
        <v>0</v>
      </c>
      <c r="S393" s="18">
        <f t="shared" si="80"/>
        <v>0</v>
      </c>
      <c r="T393" s="18">
        <f t="shared" si="81"/>
        <v>0</v>
      </c>
      <c r="U393" s="17"/>
      <c r="V393" s="22"/>
      <c r="W393" s="22"/>
      <c r="X393" s="19"/>
      <c r="Y393" s="19"/>
    </row>
    <row r="394" spans="2:25" s="20" customFormat="1" ht="17.100000000000001" customHeight="1" x14ac:dyDescent="0.3">
      <c r="B394" s="17"/>
      <c r="C394" s="94"/>
      <c r="D394" s="17"/>
      <c r="E394" s="91"/>
      <c r="F394" s="15"/>
      <c r="G394" s="15"/>
      <c r="H394" s="15"/>
      <c r="I394" s="29"/>
      <c r="J394" s="19"/>
      <c r="K394" s="19"/>
      <c r="L394" s="19"/>
      <c r="M394" s="18">
        <f t="shared" si="78"/>
        <v>0</v>
      </c>
      <c r="N394" s="35"/>
      <c r="O394" s="18"/>
      <c r="P394" s="35"/>
      <c r="Q394" s="18"/>
      <c r="R394" s="18">
        <f t="shared" si="79"/>
        <v>0</v>
      </c>
      <c r="S394" s="18">
        <f t="shared" si="80"/>
        <v>0</v>
      </c>
      <c r="T394" s="18">
        <f t="shared" si="81"/>
        <v>0</v>
      </c>
      <c r="U394" s="17"/>
      <c r="V394" s="22"/>
      <c r="W394" s="22"/>
      <c r="X394" s="19"/>
      <c r="Y394" s="19"/>
    </row>
    <row r="395" spans="2:25" s="20" customFormat="1" ht="17.100000000000001" customHeight="1" x14ac:dyDescent="0.3">
      <c r="B395" s="17"/>
      <c r="C395" s="94"/>
      <c r="D395" s="17"/>
      <c r="E395" s="91"/>
      <c r="F395" s="15"/>
      <c r="G395" s="15"/>
      <c r="H395" s="15"/>
      <c r="I395" s="29"/>
      <c r="J395" s="19"/>
      <c r="K395" s="19"/>
      <c r="L395" s="19"/>
      <c r="M395" s="18">
        <f t="shared" si="78"/>
        <v>0</v>
      </c>
      <c r="N395" s="35"/>
      <c r="O395" s="18"/>
      <c r="P395" s="35"/>
      <c r="Q395" s="18"/>
      <c r="R395" s="18">
        <f t="shared" si="79"/>
        <v>0</v>
      </c>
      <c r="S395" s="18">
        <f t="shared" si="80"/>
        <v>0</v>
      </c>
      <c r="T395" s="18">
        <f t="shared" si="81"/>
        <v>0</v>
      </c>
      <c r="U395" s="17"/>
      <c r="V395" s="22"/>
      <c r="W395" s="22"/>
      <c r="X395" s="19"/>
      <c r="Y395" s="19"/>
    </row>
    <row r="396" spans="2:25" s="20" customFormat="1" ht="17.100000000000001" customHeight="1" x14ac:dyDescent="0.3">
      <c r="B396" s="17"/>
      <c r="C396" s="94"/>
      <c r="D396" s="17"/>
      <c r="E396" s="91"/>
      <c r="F396" s="15"/>
      <c r="G396" s="15"/>
      <c r="H396" s="15"/>
      <c r="I396" s="29"/>
      <c r="J396" s="19"/>
      <c r="K396" s="19"/>
      <c r="L396" s="19"/>
      <c r="M396" s="18">
        <f t="shared" si="78"/>
        <v>0</v>
      </c>
      <c r="N396" s="35"/>
      <c r="O396" s="18"/>
      <c r="P396" s="35"/>
      <c r="Q396" s="18"/>
      <c r="R396" s="18">
        <f t="shared" si="79"/>
        <v>0</v>
      </c>
      <c r="S396" s="18">
        <f t="shared" si="80"/>
        <v>0</v>
      </c>
      <c r="T396" s="18">
        <f t="shared" si="81"/>
        <v>0</v>
      </c>
      <c r="U396" s="17"/>
      <c r="V396" s="22"/>
      <c r="W396" s="22"/>
      <c r="X396" s="19"/>
      <c r="Y396" s="19"/>
    </row>
    <row r="397" spans="2:25" s="20" customFormat="1" ht="17.100000000000001" customHeight="1" x14ac:dyDescent="0.3">
      <c r="B397" s="17"/>
      <c r="C397" s="94"/>
      <c r="D397" s="17"/>
      <c r="E397" s="91"/>
      <c r="F397" s="15"/>
      <c r="G397" s="15"/>
      <c r="H397" s="15"/>
      <c r="I397" s="29"/>
      <c r="J397" s="19"/>
      <c r="K397" s="19"/>
      <c r="L397" s="19"/>
      <c r="M397" s="18">
        <f t="shared" si="78"/>
        <v>0</v>
      </c>
      <c r="N397" s="35"/>
      <c r="O397" s="18"/>
      <c r="P397" s="35"/>
      <c r="Q397" s="18"/>
      <c r="R397" s="18">
        <f t="shared" si="79"/>
        <v>0</v>
      </c>
      <c r="S397" s="18">
        <f t="shared" si="80"/>
        <v>0</v>
      </c>
      <c r="T397" s="18">
        <f t="shared" si="81"/>
        <v>0</v>
      </c>
      <c r="U397" s="17"/>
      <c r="V397" s="22"/>
      <c r="W397" s="22"/>
      <c r="X397" s="19"/>
      <c r="Y397" s="19"/>
    </row>
    <row r="398" spans="2:25" s="20" customFormat="1" ht="17.100000000000001" customHeight="1" x14ac:dyDescent="0.3">
      <c r="B398" s="17"/>
      <c r="C398" s="94"/>
      <c r="D398" s="17"/>
      <c r="E398" s="91"/>
      <c r="F398" s="15"/>
      <c r="G398" s="15"/>
      <c r="H398" s="15"/>
      <c r="I398" s="29"/>
      <c r="J398" s="19"/>
      <c r="K398" s="19"/>
      <c r="L398" s="19"/>
      <c r="M398" s="18">
        <f t="shared" si="78"/>
        <v>0</v>
      </c>
      <c r="N398" s="35"/>
      <c r="O398" s="18"/>
      <c r="P398" s="35"/>
      <c r="Q398" s="18"/>
      <c r="R398" s="18">
        <f t="shared" si="79"/>
        <v>0</v>
      </c>
      <c r="S398" s="18">
        <f t="shared" si="80"/>
        <v>0</v>
      </c>
      <c r="T398" s="18">
        <f t="shared" si="81"/>
        <v>0</v>
      </c>
      <c r="U398" s="17"/>
      <c r="V398" s="22"/>
      <c r="W398" s="22"/>
      <c r="X398" s="19"/>
      <c r="Y398" s="19"/>
    </row>
    <row r="399" spans="2:25" s="20" customFormat="1" ht="17.100000000000001" customHeight="1" x14ac:dyDescent="0.3">
      <c r="B399" s="17"/>
      <c r="C399" s="94"/>
      <c r="D399" s="17"/>
      <c r="E399" s="91"/>
      <c r="F399" s="15"/>
      <c r="G399" s="15"/>
      <c r="H399" s="15"/>
      <c r="I399" s="29"/>
      <c r="J399" s="19"/>
      <c r="K399" s="19"/>
      <c r="L399" s="19"/>
      <c r="M399" s="18">
        <f t="shared" si="78"/>
        <v>0</v>
      </c>
      <c r="N399" s="35"/>
      <c r="O399" s="18"/>
      <c r="P399" s="35"/>
      <c r="Q399" s="18"/>
      <c r="R399" s="18">
        <f t="shared" si="79"/>
        <v>0</v>
      </c>
      <c r="S399" s="18">
        <f t="shared" si="80"/>
        <v>0</v>
      </c>
      <c r="T399" s="18">
        <f t="shared" si="81"/>
        <v>0</v>
      </c>
      <c r="U399" s="17"/>
      <c r="V399" s="22"/>
      <c r="W399" s="22"/>
      <c r="X399" s="19"/>
      <c r="Y399" s="19"/>
    </row>
    <row r="400" spans="2:25" s="20" customFormat="1" ht="17.100000000000001" customHeight="1" x14ac:dyDescent="0.3">
      <c r="B400" s="17"/>
      <c r="C400" s="94"/>
      <c r="D400" s="17"/>
      <c r="E400" s="91"/>
      <c r="F400" s="15"/>
      <c r="G400" s="15"/>
      <c r="H400" s="15"/>
      <c r="I400" s="29"/>
      <c r="J400" s="19"/>
      <c r="K400" s="19"/>
      <c r="L400" s="19"/>
      <c r="M400" s="18">
        <f t="shared" si="78"/>
        <v>0</v>
      </c>
      <c r="N400" s="35"/>
      <c r="O400" s="18"/>
      <c r="P400" s="35"/>
      <c r="Q400" s="18"/>
      <c r="R400" s="18">
        <f t="shared" si="79"/>
        <v>0</v>
      </c>
      <c r="S400" s="18">
        <f t="shared" si="80"/>
        <v>0</v>
      </c>
      <c r="T400" s="18">
        <f t="shared" si="81"/>
        <v>0</v>
      </c>
      <c r="U400" s="17"/>
      <c r="V400" s="22"/>
      <c r="W400" s="22"/>
      <c r="X400" s="19"/>
      <c r="Y400" s="19"/>
    </row>
    <row r="401" spans="2:25" s="20" customFormat="1" ht="17.100000000000001" customHeight="1" x14ac:dyDescent="0.3">
      <c r="B401" s="17"/>
      <c r="C401" s="94"/>
      <c r="D401" s="17"/>
      <c r="E401" s="91"/>
      <c r="F401" s="15"/>
      <c r="G401" s="15"/>
      <c r="H401" s="15"/>
      <c r="I401" s="29"/>
      <c r="J401" s="19"/>
      <c r="K401" s="19"/>
      <c r="L401" s="19"/>
      <c r="M401" s="18">
        <f t="shared" si="78"/>
        <v>0</v>
      </c>
      <c r="N401" s="35"/>
      <c r="O401" s="18"/>
      <c r="P401" s="35"/>
      <c r="Q401" s="18"/>
      <c r="R401" s="18">
        <f t="shared" si="79"/>
        <v>0</v>
      </c>
      <c r="S401" s="18">
        <f t="shared" si="80"/>
        <v>0</v>
      </c>
      <c r="T401" s="18">
        <f t="shared" si="81"/>
        <v>0</v>
      </c>
      <c r="U401" s="17"/>
      <c r="V401" s="22"/>
      <c r="W401" s="22"/>
      <c r="X401" s="19"/>
      <c r="Y401" s="19"/>
    </row>
    <row r="402" spans="2:25" s="20" customFormat="1" ht="17.100000000000001" customHeight="1" x14ac:dyDescent="0.3">
      <c r="B402" s="17"/>
      <c r="C402" s="94"/>
      <c r="D402" s="17"/>
      <c r="E402" s="91"/>
      <c r="F402" s="15"/>
      <c r="G402" s="15"/>
      <c r="H402" s="15"/>
      <c r="I402" s="29"/>
      <c r="J402" s="19"/>
      <c r="K402" s="19"/>
      <c r="L402" s="19"/>
      <c r="M402" s="18">
        <f t="shared" si="78"/>
        <v>0</v>
      </c>
      <c r="N402" s="35"/>
      <c r="O402" s="18"/>
      <c r="P402" s="35"/>
      <c r="Q402" s="18"/>
      <c r="R402" s="18">
        <f t="shared" si="79"/>
        <v>0</v>
      </c>
      <c r="S402" s="18">
        <f t="shared" si="80"/>
        <v>0</v>
      </c>
      <c r="T402" s="18">
        <f t="shared" si="81"/>
        <v>0</v>
      </c>
      <c r="U402" s="17"/>
      <c r="V402" s="22"/>
      <c r="W402" s="22"/>
      <c r="X402" s="19"/>
      <c r="Y402" s="19"/>
    </row>
    <row r="403" spans="2:25" s="20" customFormat="1" ht="17.100000000000001" customHeight="1" x14ac:dyDescent="0.3">
      <c r="B403" s="17"/>
      <c r="C403" s="94"/>
      <c r="D403" s="17"/>
      <c r="E403" s="91"/>
      <c r="F403" s="15"/>
      <c r="G403" s="15"/>
      <c r="H403" s="15"/>
      <c r="I403" s="29"/>
      <c r="J403" s="19"/>
      <c r="K403" s="19"/>
      <c r="L403" s="19"/>
      <c r="M403" s="18">
        <f t="shared" si="78"/>
        <v>0</v>
      </c>
      <c r="N403" s="35"/>
      <c r="O403" s="18"/>
      <c r="P403" s="35"/>
      <c r="Q403" s="18"/>
      <c r="R403" s="18">
        <f t="shared" si="79"/>
        <v>0</v>
      </c>
      <c r="S403" s="18">
        <f t="shared" si="80"/>
        <v>0</v>
      </c>
      <c r="T403" s="18">
        <f t="shared" si="81"/>
        <v>0</v>
      </c>
      <c r="U403" s="17"/>
      <c r="V403" s="22"/>
      <c r="W403" s="22"/>
      <c r="X403" s="19"/>
      <c r="Y403" s="19"/>
    </row>
    <row r="404" spans="2:25" s="20" customFormat="1" ht="17.100000000000001" customHeight="1" x14ac:dyDescent="0.3">
      <c r="B404" s="17"/>
      <c r="C404" s="94"/>
      <c r="D404" s="17"/>
      <c r="E404" s="91"/>
      <c r="F404" s="15"/>
      <c r="G404" s="15"/>
      <c r="H404" s="15"/>
      <c r="I404" s="29"/>
      <c r="J404" s="19"/>
      <c r="K404" s="19"/>
      <c r="L404" s="19"/>
      <c r="M404" s="18">
        <f t="shared" si="78"/>
        <v>0</v>
      </c>
      <c r="N404" s="35"/>
      <c r="O404" s="18"/>
      <c r="P404" s="35"/>
      <c r="Q404" s="18"/>
      <c r="R404" s="18">
        <f t="shared" si="79"/>
        <v>0</v>
      </c>
      <c r="S404" s="18">
        <f t="shared" si="80"/>
        <v>0</v>
      </c>
      <c r="T404" s="18">
        <f t="shared" si="81"/>
        <v>0</v>
      </c>
      <c r="U404" s="17"/>
      <c r="V404" s="22"/>
      <c r="W404" s="22"/>
      <c r="X404" s="19"/>
      <c r="Y404" s="19"/>
    </row>
    <row r="405" spans="2:25" s="20" customFormat="1" ht="17.100000000000001" customHeight="1" x14ac:dyDescent="0.3">
      <c r="B405" s="17"/>
      <c r="C405" s="94"/>
      <c r="D405" s="17"/>
      <c r="E405" s="91"/>
      <c r="F405" s="15"/>
      <c r="G405" s="15"/>
      <c r="H405" s="15"/>
      <c r="I405" s="29"/>
      <c r="J405" s="19"/>
      <c r="K405" s="19"/>
      <c r="L405" s="19"/>
      <c r="M405" s="18">
        <f t="shared" si="78"/>
        <v>0</v>
      </c>
      <c r="N405" s="35"/>
      <c r="O405" s="18"/>
      <c r="P405" s="35"/>
      <c r="Q405" s="18"/>
      <c r="R405" s="18">
        <f t="shared" si="79"/>
        <v>0</v>
      </c>
      <c r="S405" s="18">
        <f t="shared" si="80"/>
        <v>0</v>
      </c>
      <c r="T405" s="18">
        <f t="shared" si="81"/>
        <v>0</v>
      </c>
      <c r="U405" s="17"/>
      <c r="V405" s="22"/>
      <c r="W405" s="22"/>
      <c r="X405" s="19"/>
      <c r="Y405" s="19"/>
    </row>
    <row r="406" spans="2:25" s="20" customFormat="1" ht="17.100000000000001" customHeight="1" x14ac:dyDescent="0.3">
      <c r="B406" s="17"/>
      <c r="C406" s="94"/>
      <c r="D406" s="17"/>
      <c r="E406" s="91"/>
      <c r="F406" s="15"/>
      <c r="G406" s="15"/>
      <c r="H406" s="15"/>
      <c r="I406" s="29"/>
      <c r="J406" s="19"/>
      <c r="K406" s="19"/>
      <c r="L406" s="19"/>
      <c r="M406" s="18">
        <f t="shared" si="78"/>
        <v>0</v>
      </c>
      <c r="N406" s="35"/>
      <c r="O406" s="18"/>
      <c r="P406" s="35"/>
      <c r="Q406" s="18"/>
      <c r="R406" s="18">
        <f t="shared" si="79"/>
        <v>0</v>
      </c>
      <c r="S406" s="18">
        <f t="shared" si="80"/>
        <v>0</v>
      </c>
      <c r="T406" s="18">
        <f t="shared" si="81"/>
        <v>0</v>
      </c>
      <c r="U406" s="17"/>
      <c r="V406" s="22"/>
      <c r="W406" s="22"/>
      <c r="X406" s="19"/>
      <c r="Y406" s="19"/>
    </row>
    <row r="407" spans="2:25" s="20" customFormat="1" ht="17.100000000000001" customHeight="1" x14ac:dyDescent="0.3">
      <c r="B407" s="17"/>
      <c r="C407" s="94"/>
      <c r="D407" s="17"/>
      <c r="E407" s="91"/>
      <c r="F407" s="15"/>
      <c r="G407" s="15"/>
      <c r="H407" s="15"/>
      <c r="I407" s="29"/>
      <c r="J407" s="19"/>
      <c r="K407" s="19"/>
      <c r="L407" s="19"/>
      <c r="M407" s="18">
        <f t="shared" si="78"/>
        <v>0</v>
      </c>
      <c r="N407" s="35"/>
      <c r="O407" s="18"/>
      <c r="P407" s="35"/>
      <c r="Q407" s="18"/>
      <c r="R407" s="18">
        <f t="shared" si="79"/>
        <v>0</v>
      </c>
      <c r="S407" s="18">
        <f t="shared" si="80"/>
        <v>0</v>
      </c>
      <c r="T407" s="18">
        <f t="shared" si="81"/>
        <v>0</v>
      </c>
      <c r="U407" s="17"/>
      <c r="V407" s="22"/>
      <c r="W407" s="22"/>
      <c r="X407" s="19"/>
      <c r="Y407" s="19"/>
    </row>
    <row r="408" spans="2:25" s="20" customFormat="1" ht="17.100000000000001" customHeight="1" x14ac:dyDescent="0.3">
      <c r="B408" s="17"/>
      <c r="C408" s="94"/>
      <c r="D408" s="17"/>
      <c r="E408" s="91"/>
      <c r="F408" s="15"/>
      <c r="G408" s="15"/>
      <c r="H408" s="15"/>
      <c r="I408" s="29"/>
      <c r="J408" s="19"/>
      <c r="K408" s="19"/>
      <c r="L408" s="19"/>
      <c r="M408" s="18">
        <f t="shared" si="78"/>
        <v>0</v>
      </c>
      <c r="N408" s="35"/>
      <c r="O408" s="18"/>
      <c r="P408" s="35"/>
      <c r="Q408" s="18"/>
      <c r="R408" s="18">
        <f t="shared" si="79"/>
        <v>0</v>
      </c>
      <c r="S408" s="18">
        <f t="shared" si="80"/>
        <v>0</v>
      </c>
      <c r="T408" s="18">
        <f t="shared" si="81"/>
        <v>0</v>
      </c>
      <c r="U408" s="17"/>
      <c r="V408" s="22"/>
      <c r="W408" s="22"/>
      <c r="X408" s="19"/>
      <c r="Y408" s="19"/>
    </row>
    <row r="409" spans="2:25" s="20" customFormat="1" ht="17.100000000000001" customHeight="1" x14ac:dyDescent="0.3">
      <c r="B409" s="17"/>
      <c r="C409" s="94"/>
      <c r="D409" s="17"/>
      <c r="E409" s="91"/>
      <c r="F409" s="15"/>
      <c r="G409" s="15"/>
      <c r="H409" s="15"/>
      <c r="I409" s="29"/>
      <c r="J409" s="19"/>
      <c r="K409" s="19"/>
      <c r="L409" s="19"/>
      <c r="M409" s="18">
        <f t="shared" si="78"/>
        <v>0</v>
      </c>
      <c r="N409" s="35"/>
      <c r="O409" s="18"/>
      <c r="P409" s="35"/>
      <c r="Q409" s="18"/>
      <c r="R409" s="18">
        <f t="shared" si="79"/>
        <v>0</v>
      </c>
      <c r="S409" s="18">
        <f t="shared" si="80"/>
        <v>0</v>
      </c>
      <c r="T409" s="18">
        <f t="shared" si="81"/>
        <v>0</v>
      </c>
      <c r="U409" s="17"/>
      <c r="V409" s="22"/>
      <c r="W409" s="22"/>
      <c r="X409" s="19"/>
      <c r="Y409" s="19"/>
    </row>
    <row r="410" spans="2:25" s="20" customFormat="1" ht="17.100000000000001" customHeight="1" x14ac:dyDescent="0.3">
      <c r="B410" s="17"/>
      <c r="C410" s="94"/>
      <c r="D410" s="17"/>
      <c r="E410" s="91"/>
      <c r="F410" s="15"/>
      <c r="G410" s="15"/>
      <c r="H410" s="15"/>
      <c r="I410" s="29"/>
      <c r="J410" s="19"/>
      <c r="K410" s="19"/>
      <c r="L410" s="19"/>
      <c r="M410" s="18">
        <f t="shared" si="78"/>
        <v>0</v>
      </c>
      <c r="N410" s="35"/>
      <c r="O410" s="18"/>
      <c r="P410" s="35"/>
      <c r="Q410" s="18"/>
      <c r="R410" s="18">
        <f t="shared" si="79"/>
        <v>0</v>
      </c>
      <c r="S410" s="18">
        <f t="shared" si="80"/>
        <v>0</v>
      </c>
      <c r="T410" s="18">
        <f t="shared" si="81"/>
        <v>0</v>
      </c>
      <c r="U410" s="17"/>
      <c r="V410" s="22"/>
      <c r="W410" s="22"/>
      <c r="X410" s="19"/>
      <c r="Y410" s="19"/>
    </row>
    <row r="411" spans="2:25" s="20" customFormat="1" ht="17.100000000000001" customHeight="1" x14ac:dyDescent="0.3">
      <c r="B411" s="17"/>
      <c r="C411" s="94"/>
      <c r="D411" s="17"/>
      <c r="E411" s="91"/>
      <c r="F411" s="15"/>
      <c r="G411" s="15"/>
      <c r="H411" s="15"/>
      <c r="I411" s="29"/>
      <c r="J411" s="19"/>
      <c r="K411" s="19"/>
      <c r="L411" s="19"/>
      <c r="M411" s="18">
        <f t="shared" si="78"/>
        <v>0</v>
      </c>
      <c r="N411" s="35"/>
      <c r="O411" s="18"/>
      <c r="P411" s="35"/>
      <c r="Q411" s="18"/>
      <c r="R411" s="18">
        <f t="shared" si="79"/>
        <v>0</v>
      </c>
      <c r="S411" s="18">
        <f t="shared" si="80"/>
        <v>0</v>
      </c>
      <c r="T411" s="18">
        <f t="shared" si="81"/>
        <v>0</v>
      </c>
      <c r="U411" s="17"/>
      <c r="V411" s="22"/>
      <c r="W411" s="22"/>
      <c r="X411" s="19"/>
      <c r="Y411" s="19"/>
    </row>
    <row r="412" spans="2:25" s="20" customFormat="1" ht="17.100000000000001" customHeight="1" x14ac:dyDescent="0.3">
      <c r="B412" s="17"/>
      <c r="C412" s="94"/>
      <c r="D412" s="17"/>
      <c r="E412" s="91"/>
      <c r="F412" s="15"/>
      <c r="G412" s="15"/>
      <c r="H412" s="15"/>
      <c r="I412" s="29"/>
      <c r="J412" s="19"/>
      <c r="K412" s="19"/>
      <c r="L412" s="19"/>
      <c r="M412" s="18">
        <f t="shared" si="78"/>
        <v>0</v>
      </c>
      <c r="N412" s="35"/>
      <c r="O412" s="18"/>
      <c r="P412" s="35"/>
      <c r="Q412" s="18"/>
      <c r="R412" s="18">
        <f t="shared" si="79"/>
        <v>0</v>
      </c>
      <c r="S412" s="18">
        <f t="shared" si="80"/>
        <v>0</v>
      </c>
      <c r="T412" s="18">
        <f t="shared" si="81"/>
        <v>0</v>
      </c>
      <c r="U412" s="17"/>
      <c r="V412" s="22"/>
      <c r="W412" s="22"/>
      <c r="X412" s="19"/>
      <c r="Y412" s="19"/>
    </row>
    <row r="413" spans="2:25" s="20" customFormat="1" ht="17.100000000000001" customHeight="1" x14ac:dyDescent="0.3">
      <c r="B413" s="17"/>
      <c r="C413" s="94"/>
      <c r="D413" s="17"/>
      <c r="E413" s="91"/>
      <c r="F413" s="15"/>
      <c r="G413" s="15"/>
      <c r="H413" s="15"/>
      <c r="I413" s="29"/>
      <c r="J413" s="19"/>
      <c r="K413" s="19"/>
      <c r="L413" s="19"/>
      <c r="M413" s="18">
        <f t="shared" si="78"/>
        <v>0</v>
      </c>
      <c r="N413" s="35"/>
      <c r="O413" s="18"/>
      <c r="P413" s="35"/>
      <c r="Q413" s="18"/>
      <c r="R413" s="18">
        <f t="shared" si="79"/>
        <v>0</v>
      </c>
      <c r="S413" s="18">
        <f t="shared" si="80"/>
        <v>0</v>
      </c>
      <c r="T413" s="18">
        <f t="shared" si="81"/>
        <v>0</v>
      </c>
      <c r="U413" s="17"/>
      <c r="V413" s="22"/>
      <c r="W413" s="22"/>
      <c r="X413" s="19"/>
      <c r="Y413" s="19"/>
    </row>
    <row r="414" spans="2:25" s="20" customFormat="1" ht="17.100000000000001" customHeight="1" x14ac:dyDescent="0.3">
      <c r="B414" s="17"/>
      <c r="C414" s="94"/>
      <c r="D414" s="17"/>
      <c r="E414" s="91"/>
      <c r="F414" s="15"/>
      <c r="G414" s="15"/>
      <c r="H414" s="15"/>
      <c r="I414" s="29"/>
      <c r="J414" s="19"/>
      <c r="K414" s="19"/>
      <c r="L414" s="19"/>
      <c r="M414" s="18">
        <f t="shared" si="78"/>
        <v>0</v>
      </c>
      <c r="N414" s="35"/>
      <c r="O414" s="18"/>
      <c r="P414" s="35"/>
      <c r="Q414" s="18"/>
      <c r="R414" s="18">
        <f t="shared" si="79"/>
        <v>0</v>
      </c>
      <c r="S414" s="18">
        <f t="shared" si="80"/>
        <v>0</v>
      </c>
      <c r="T414" s="18">
        <f t="shared" si="81"/>
        <v>0</v>
      </c>
      <c r="U414" s="17"/>
      <c r="V414" s="22"/>
      <c r="W414" s="22"/>
      <c r="X414" s="19"/>
      <c r="Y414" s="19"/>
    </row>
    <row r="415" spans="2:25" s="20" customFormat="1" ht="17.100000000000001" customHeight="1" x14ac:dyDescent="0.3">
      <c r="B415" s="17"/>
      <c r="C415" s="94"/>
      <c r="D415" s="17"/>
      <c r="E415" s="91"/>
      <c r="F415" s="15"/>
      <c r="G415" s="15"/>
      <c r="H415" s="15"/>
      <c r="I415" s="29"/>
      <c r="J415" s="19"/>
      <c r="K415" s="19"/>
      <c r="L415" s="19"/>
      <c r="M415" s="18">
        <f t="shared" si="78"/>
        <v>0</v>
      </c>
      <c r="N415" s="35"/>
      <c r="O415" s="18"/>
      <c r="P415" s="35"/>
      <c r="Q415" s="18"/>
      <c r="R415" s="18">
        <f t="shared" si="79"/>
        <v>0</v>
      </c>
      <c r="S415" s="18">
        <f t="shared" si="80"/>
        <v>0</v>
      </c>
      <c r="T415" s="18">
        <f t="shared" si="81"/>
        <v>0</v>
      </c>
      <c r="U415" s="17"/>
      <c r="V415" s="22"/>
      <c r="W415" s="22"/>
      <c r="X415" s="19"/>
      <c r="Y415" s="19"/>
    </row>
    <row r="416" spans="2:25" s="20" customFormat="1" ht="17.100000000000001" customHeight="1" x14ac:dyDescent="0.3">
      <c r="B416" s="17"/>
      <c r="C416" s="94"/>
      <c r="D416" s="17"/>
      <c r="E416" s="91"/>
      <c r="F416" s="15"/>
      <c r="G416" s="15"/>
      <c r="H416" s="15"/>
      <c r="I416" s="29"/>
      <c r="J416" s="19"/>
      <c r="K416" s="19"/>
      <c r="L416" s="19"/>
      <c r="M416" s="18">
        <f t="shared" si="78"/>
        <v>0</v>
      </c>
      <c r="N416" s="35"/>
      <c r="O416" s="18"/>
      <c r="P416" s="35"/>
      <c r="Q416" s="18"/>
      <c r="R416" s="18">
        <f t="shared" si="79"/>
        <v>0</v>
      </c>
      <c r="S416" s="18">
        <f t="shared" si="80"/>
        <v>0</v>
      </c>
      <c r="T416" s="18">
        <f t="shared" si="81"/>
        <v>0</v>
      </c>
      <c r="U416" s="17"/>
      <c r="V416" s="22"/>
      <c r="W416" s="22"/>
      <c r="X416" s="19"/>
      <c r="Y416" s="19"/>
    </row>
    <row r="417" spans="2:25" s="20" customFormat="1" ht="17.100000000000001" customHeight="1" x14ac:dyDescent="0.3">
      <c r="B417" s="17"/>
      <c r="C417" s="94"/>
      <c r="D417" s="17"/>
      <c r="E417" s="91"/>
      <c r="F417" s="15"/>
      <c r="G417" s="15"/>
      <c r="H417" s="15"/>
      <c r="I417" s="29"/>
      <c r="J417" s="19"/>
      <c r="K417" s="19"/>
      <c r="L417" s="19"/>
      <c r="M417" s="18">
        <f t="shared" si="78"/>
        <v>0</v>
      </c>
      <c r="N417" s="35"/>
      <c r="O417" s="18"/>
      <c r="P417" s="35"/>
      <c r="Q417" s="18"/>
      <c r="R417" s="18">
        <f t="shared" si="79"/>
        <v>0</v>
      </c>
      <c r="S417" s="18">
        <f t="shared" si="80"/>
        <v>0</v>
      </c>
      <c r="T417" s="18">
        <f t="shared" si="81"/>
        <v>0</v>
      </c>
      <c r="U417" s="17"/>
      <c r="V417" s="22"/>
      <c r="W417" s="22"/>
      <c r="X417" s="19"/>
      <c r="Y417" s="19"/>
    </row>
    <row r="418" spans="2:25" s="20" customFormat="1" ht="17.100000000000001" customHeight="1" x14ac:dyDescent="0.3">
      <c r="B418" s="17"/>
      <c r="C418" s="94"/>
      <c r="D418" s="17"/>
      <c r="E418" s="91"/>
      <c r="F418" s="15"/>
      <c r="G418" s="15"/>
      <c r="H418" s="15"/>
      <c r="I418" s="29"/>
      <c r="J418" s="19"/>
      <c r="K418" s="19"/>
      <c r="L418" s="19"/>
      <c r="M418" s="18">
        <f t="shared" si="78"/>
        <v>0</v>
      </c>
      <c r="N418" s="35"/>
      <c r="O418" s="18"/>
      <c r="P418" s="35"/>
      <c r="Q418" s="18"/>
      <c r="R418" s="18">
        <f t="shared" si="79"/>
        <v>0</v>
      </c>
      <c r="S418" s="18">
        <f t="shared" si="80"/>
        <v>0</v>
      </c>
      <c r="T418" s="18">
        <f t="shared" si="81"/>
        <v>0</v>
      </c>
      <c r="U418" s="17"/>
      <c r="V418" s="22"/>
      <c r="W418" s="22"/>
      <c r="X418" s="19"/>
      <c r="Y418" s="19"/>
    </row>
    <row r="419" spans="2:25" s="20" customFormat="1" ht="17.100000000000001" customHeight="1" x14ac:dyDescent="0.3">
      <c r="B419" s="17"/>
      <c r="C419" s="94"/>
      <c r="D419" s="17"/>
      <c r="E419" s="91"/>
      <c r="F419" s="15"/>
      <c r="G419" s="15"/>
      <c r="H419" s="15"/>
      <c r="I419" s="29"/>
      <c r="J419" s="19"/>
      <c r="K419" s="19"/>
      <c r="L419" s="19"/>
      <c r="M419" s="18">
        <f t="shared" si="78"/>
        <v>0</v>
      </c>
      <c r="N419" s="35"/>
      <c r="O419" s="18"/>
      <c r="P419" s="35"/>
      <c r="Q419" s="18"/>
      <c r="R419" s="18">
        <f t="shared" si="79"/>
        <v>0</v>
      </c>
      <c r="S419" s="18">
        <f t="shared" si="80"/>
        <v>0</v>
      </c>
      <c r="T419" s="18">
        <f t="shared" si="81"/>
        <v>0</v>
      </c>
      <c r="U419" s="17"/>
      <c r="V419" s="22"/>
      <c r="W419" s="22"/>
      <c r="X419" s="19"/>
      <c r="Y419" s="19"/>
    </row>
    <row r="420" spans="2:25" s="20" customFormat="1" ht="17.100000000000001" customHeight="1" x14ac:dyDescent="0.3">
      <c r="B420" s="17"/>
      <c r="C420" s="94"/>
      <c r="D420" s="17"/>
      <c r="E420" s="91"/>
      <c r="F420" s="15"/>
      <c r="G420" s="15"/>
      <c r="H420" s="15"/>
      <c r="I420" s="29"/>
      <c r="J420" s="19"/>
      <c r="K420" s="19"/>
      <c r="L420" s="19"/>
      <c r="M420" s="18">
        <f t="shared" si="78"/>
        <v>0</v>
      </c>
      <c r="N420" s="35"/>
      <c r="O420" s="18"/>
      <c r="P420" s="35"/>
      <c r="Q420" s="18"/>
      <c r="R420" s="18">
        <f t="shared" si="79"/>
        <v>0</v>
      </c>
      <c r="S420" s="18">
        <f t="shared" si="80"/>
        <v>0</v>
      </c>
      <c r="T420" s="18">
        <f t="shared" si="81"/>
        <v>0</v>
      </c>
      <c r="U420" s="17"/>
      <c r="V420" s="22"/>
      <c r="W420" s="22"/>
      <c r="X420" s="19"/>
      <c r="Y420" s="19"/>
    </row>
    <row r="421" spans="2:25" s="20" customFormat="1" ht="17.100000000000001" customHeight="1" x14ac:dyDescent="0.3">
      <c r="B421" s="17"/>
      <c r="C421" s="94"/>
      <c r="D421" s="17"/>
      <c r="E421" s="91"/>
      <c r="F421" s="15"/>
      <c r="G421" s="15"/>
      <c r="H421" s="15"/>
      <c r="I421" s="29"/>
      <c r="J421" s="19"/>
      <c r="K421" s="19"/>
      <c r="L421" s="19"/>
      <c r="M421" s="18">
        <f t="shared" si="78"/>
        <v>0</v>
      </c>
      <c r="N421" s="35"/>
      <c r="O421" s="18"/>
      <c r="P421" s="35"/>
      <c r="Q421" s="18"/>
      <c r="R421" s="18">
        <f t="shared" si="79"/>
        <v>0</v>
      </c>
      <c r="S421" s="18">
        <f t="shared" si="80"/>
        <v>0</v>
      </c>
      <c r="T421" s="18">
        <f t="shared" si="81"/>
        <v>0</v>
      </c>
      <c r="U421" s="17"/>
      <c r="V421" s="22"/>
      <c r="W421" s="22"/>
      <c r="X421" s="19"/>
      <c r="Y421" s="19"/>
    </row>
    <row r="422" spans="2:25" s="20" customFormat="1" ht="17.100000000000001" customHeight="1" x14ac:dyDescent="0.3">
      <c r="B422" s="17"/>
      <c r="C422" s="94"/>
      <c r="D422" s="17"/>
      <c r="E422" s="91"/>
      <c r="F422" s="15"/>
      <c r="G422" s="15"/>
      <c r="H422" s="15"/>
      <c r="I422" s="29"/>
      <c r="J422" s="19"/>
      <c r="K422" s="19"/>
      <c r="L422" s="19"/>
      <c r="M422" s="18">
        <f t="shared" si="78"/>
        <v>0</v>
      </c>
      <c r="N422" s="35"/>
      <c r="O422" s="18"/>
      <c r="P422" s="35"/>
      <c r="Q422" s="18"/>
      <c r="R422" s="18">
        <f t="shared" si="79"/>
        <v>0</v>
      </c>
      <c r="S422" s="18">
        <f t="shared" si="80"/>
        <v>0</v>
      </c>
      <c r="T422" s="18">
        <f t="shared" si="81"/>
        <v>0</v>
      </c>
      <c r="U422" s="17"/>
      <c r="V422" s="22"/>
      <c r="W422" s="22"/>
      <c r="X422" s="19"/>
      <c r="Y422" s="19"/>
    </row>
    <row r="423" spans="2:25" s="20" customFormat="1" ht="17.100000000000001" customHeight="1" x14ac:dyDescent="0.3">
      <c r="B423" s="17"/>
      <c r="C423" s="94"/>
      <c r="D423" s="17"/>
      <c r="E423" s="91"/>
      <c r="F423" s="15"/>
      <c r="G423" s="15"/>
      <c r="H423" s="15"/>
      <c r="I423" s="29"/>
      <c r="J423" s="19"/>
      <c r="K423" s="19"/>
      <c r="L423" s="19"/>
      <c r="M423" s="18">
        <f t="shared" si="78"/>
        <v>0</v>
      </c>
      <c r="N423" s="35"/>
      <c r="O423" s="18"/>
      <c r="P423" s="35"/>
      <c r="Q423" s="18"/>
      <c r="R423" s="18">
        <f t="shared" si="79"/>
        <v>0</v>
      </c>
      <c r="S423" s="18">
        <f t="shared" si="80"/>
        <v>0</v>
      </c>
      <c r="T423" s="18">
        <f t="shared" si="81"/>
        <v>0</v>
      </c>
      <c r="U423" s="17"/>
      <c r="V423" s="22"/>
      <c r="W423" s="22"/>
      <c r="X423" s="19"/>
      <c r="Y423" s="19"/>
    </row>
    <row r="424" spans="2:25" s="20" customFormat="1" ht="17.100000000000001" customHeight="1" x14ac:dyDescent="0.3">
      <c r="B424" s="17"/>
      <c r="C424" s="94"/>
      <c r="D424" s="17"/>
      <c r="E424" s="91"/>
      <c r="F424" s="15"/>
      <c r="G424" s="15"/>
      <c r="H424" s="15"/>
      <c r="I424" s="29"/>
      <c r="J424" s="19"/>
      <c r="K424" s="19"/>
      <c r="L424" s="19"/>
      <c r="M424" s="18">
        <f t="shared" si="78"/>
        <v>0</v>
      </c>
      <c r="N424" s="35"/>
      <c r="O424" s="18"/>
      <c r="P424" s="35"/>
      <c r="Q424" s="18"/>
      <c r="R424" s="18">
        <f t="shared" si="79"/>
        <v>0</v>
      </c>
      <c r="S424" s="18">
        <f t="shared" si="80"/>
        <v>0</v>
      </c>
      <c r="T424" s="18">
        <f t="shared" si="81"/>
        <v>0</v>
      </c>
      <c r="U424" s="17"/>
      <c r="V424" s="22"/>
      <c r="W424" s="22"/>
      <c r="X424" s="19"/>
      <c r="Y424" s="19"/>
    </row>
    <row r="425" spans="2:25" s="20" customFormat="1" ht="17.100000000000001" customHeight="1" x14ac:dyDescent="0.3">
      <c r="B425" s="17"/>
      <c r="C425" s="94"/>
      <c r="D425" s="17"/>
      <c r="E425" s="91"/>
      <c r="F425" s="15"/>
      <c r="G425" s="15"/>
      <c r="H425" s="15"/>
      <c r="I425" s="29"/>
      <c r="J425" s="19"/>
      <c r="K425" s="19"/>
      <c r="L425" s="19"/>
      <c r="M425" s="18">
        <f t="shared" si="78"/>
        <v>0</v>
      </c>
      <c r="N425" s="35"/>
      <c r="O425" s="18"/>
      <c r="P425" s="35"/>
      <c r="Q425" s="18"/>
      <c r="R425" s="18">
        <f t="shared" si="79"/>
        <v>0</v>
      </c>
      <c r="S425" s="18">
        <f t="shared" si="80"/>
        <v>0</v>
      </c>
      <c r="T425" s="18">
        <f t="shared" si="81"/>
        <v>0</v>
      </c>
      <c r="U425" s="17"/>
      <c r="V425" s="22"/>
      <c r="W425" s="22"/>
      <c r="X425" s="19"/>
      <c r="Y425" s="19"/>
    </row>
    <row r="426" spans="2:25" s="20" customFormat="1" ht="17.100000000000001" customHeight="1" x14ac:dyDescent="0.3">
      <c r="B426" s="17"/>
      <c r="C426" s="94"/>
      <c r="D426" s="17"/>
      <c r="E426" s="91"/>
      <c r="F426" s="15"/>
      <c r="G426" s="15"/>
      <c r="H426" s="15"/>
      <c r="I426" s="29"/>
      <c r="J426" s="19"/>
      <c r="K426" s="19"/>
      <c r="L426" s="19"/>
      <c r="M426" s="18">
        <f t="shared" si="78"/>
        <v>0</v>
      </c>
      <c r="N426" s="35"/>
      <c r="O426" s="18"/>
      <c r="P426" s="35"/>
      <c r="Q426" s="18"/>
      <c r="R426" s="18">
        <f t="shared" si="79"/>
        <v>0</v>
      </c>
      <c r="S426" s="18">
        <f t="shared" si="80"/>
        <v>0</v>
      </c>
      <c r="T426" s="18">
        <f t="shared" si="81"/>
        <v>0</v>
      </c>
      <c r="U426" s="17"/>
      <c r="V426" s="22"/>
      <c r="W426" s="22"/>
      <c r="X426" s="19"/>
      <c r="Y426" s="19"/>
    </row>
    <row r="427" spans="2:25" s="20" customFormat="1" ht="17.100000000000001" customHeight="1" x14ac:dyDescent="0.3">
      <c r="B427" s="17"/>
      <c r="C427" s="94"/>
      <c r="D427" s="17"/>
      <c r="E427" s="91"/>
      <c r="F427" s="15"/>
      <c r="G427" s="15"/>
      <c r="H427" s="15"/>
      <c r="I427" s="29"/>
      <c r="J427" s="19"/>
      <c r="K427" s="19"/>
      <c r="L427" s="19"/>
      <c r="M427" s="18">
        <f t="shared" si="78"/>
        <v>0</v>
      </c>
      <c r="N427" s="35"/>
      <c r="O427" s="18"/>
      <c r="P427" s="35"/>
      <c r="Q427" s="18"/>
      <c r="R427" s="18">
        <f t="shared" si="79"/>
        <v>0</v>
      </c>
      <c r="S427" s="18">
        <f t="shared" si="80"/>
        <v>0</v>
      </c>
      <c r="T427" s="18">
        <f t="shared" si="81"/>
        <v>0</v>
      </c>
      <c r="U427" s="17"/>
      <c r="V427" s="22"/>
      <c r="W427" s="22"/>
      <c r="X427" s="19"/>
      <c r="Y427" s="19"/>
    </row>
    <row r="428" spans="2:25" s="20" customFormat="1" ht="17.100000000000001" customHeight="1" x14ac:dyDescent="0.3">
      <c r="B428" s="17"/>
      <c r="C428" s="94"/>
      <c r="D428" s="17"/>
      <c r="E428" s="91"/>
      <c r="F428" s="15"/>
      <c r="G428" s="15"/>
      <c r="H428" s="15"/>
      <c r="I428" s="29"/>
      <c r="J428" s="19"/>
      <c r="K428" s="19"/>
      <c r="L428" s="19"/>
      <c r="M428" s="18">
        <f t="shared" si="78"/>
        <v>0</v>
      </c>
      <c r="N428" s="35"/>
      <c r="O428" s="18"/>
      <c r="P428" s="35"/>
      <c r="Q428" s="18"/>
      <c r="R428" s="18">
        <f t="shared" si="79"/>
        <v>0</v>
      </c>
      <c r="S428" s="18">
        <f t="shared" si="80"/>
        <v>0</v>
      </c>
      <c r="T428" s="18">
        <f t="shared" si="81"/>
        <v>0</v>
      </c>
      <c r="U428" s="17"/>
      <c r="V428" s="22"/>
      <c r="W428" s="22"/>
      <c r="X428" s="19"/>
      <c r="Y428" s="19"/>
    </row>
    <row r="429" spans="2:25" s="20" customFormat="1" ht="17.100000000000001" customHeight="1" x14ac:dyDescent="0.3">
      <c r="B429" s="17"/>
      <c r="C429" s="94"/>
      <c r="D429" s="17"/>
      <c r="E429" s="91"/>
      <c r="F429" s="15"/>
      <c r="G429" s="15"/>
      <c r="H429" s="15"/>
      <c r="I429" s="29"/>
      <c r="J429" s="19"/>
      <c r="K429" s="19"/>
      <c r="L429" s="19"/>
      <c r="M429" s="18">
        <f t="shared" si="78"/>
        <v>0</v>
      </c>
      <c r="N429" s="35"/>
      <c r="O429" s="18"/>
      <c r="P429" s="35"/>
      <c r="Q429" s="18"/>
      <c r="R429" s="18">
        <f t="shared" si="79"/>
        <v>0</v>
      </c>
      <c r="S429" s="18">
        <f t="shared" si="80"/>
        <v>0</v>
      </c>
      <c r="T429" s="18">
        <f t="shared" si="81"/>
        <v>0</v>
      </c>
      <c r="U429" s="17"/>
      <c r="V429" s="22"/>
      <c r="W429" s="22"/>
      <c r="X429" s="19"/>
      <c r="Y429" s="19"/>
    </row>
    <row r="430" spans="2:25" s="20" customFormat="1" ht="17.100000000000001" customHeight="1" x14ac:dyDescent="0.3">
      <c r="B430" s="17"/>
      <c r="C430" s="94"/>
      <c r="D430" s="17"/>
      <c r="E430" s="91"/>
      <c r="F430" s="15"/>
      <c r="G430" s="15"/>
      <c r="H430" s="15"/>
      <c r="I430" s="29"/>
      <c r="J430" s="19"/>
      <c r="K430" s="19"/>
      <c r="L430" s="19"/>
      <c r="M430" s="18">
        <f t="shared" si="78"/>
        <v>0</v>
      </c>
      <c r="N430" s="35"/>
      <c r="O430" s="18"/>
      <c r="P430" s="35"/>
      <c r="Q430" s="18"/>
      <c r="R430" s="18">
        <f t="shared" si="79"/>
        <v>0</v>
      </c>
      <c r="S430" s="18">
        <f t="shared" si="80"/>
        <v>0</v>
      </c>
      <c r="T430" s="18">
        <f t="shared" si="81"/>
        <v>0</v>
      </c>
      <c r="U430" s="17"/>
      <c r="V430" s="22"/>
      <c r="W430" s="22"/>
      <c r="X430" s="19"/>
      <c r="Y430" s="19"/>
    </row>
    <row r="431" spans="2:25" s="20" customFormat="1" ht="17.100000000000001" customHeight="1" x14ac:dyDescent="0.3">
      <c r="B431" s="17"/>
      <c r="C431" s="94"/>
      <c r="D431" s="17"/>
      <c r="E431" s="91"/>
      <c r="F431" s="15"/>
      <c r="G431" s="15"/>
      <c r="H431" s="15"/>
      <c r="I431" s="29"/>
      <c r="J431" s="19"/>
      <c r="K431" s="19"/>
      <c r="L431" s="19"/>
      <c r="M431" s="18">
        <f t="shared" si="78"/>
        <v>0</v>
      </c>
      <c r="N431" s="35"/>
      <c r="O431" s="18"/>
      <c r="P431" s="35"/>
      <c r="Q431" s="18"/>
      <c r="R431" s="18">
        <f t="shared" si="79"/>
        <v>0</v>
      </c>
      <c r="S431" s="18">
        <f t="shared" si="80"/>
        <v>0</v>
      </c>
      <c r="T431" s="18">
        <f t="shared" si="81"/>
        <v>0</v>
      </c>
      <c r="U431" s="17"/>
      <c r="V431" s="22"/>
      <c r="W431" s="22"/>
      <c r="X431" s="19"/>
      <c r="Y431" s="19"/>
    </row>
    <row r="432" spans="2:25" s="20" customFormat="1" ht="17.100000000000001" customHeight="1" x14ac:dyDescent="0.3">
      <c r="B432" s="17"/>
      <c r="C432" s="94"/>
      <c r="D432" s="17"/>
      <c r="E432" s="91"/>
      <c r="F432" s="15"/>
      <c r="G432" s="15"/>
      <c r="H432" s="15"/>
      <c r="I432" s="29"/>
      <c r="J432" s="19"/>
      <c r="K432" s="19"/>
      <c r="L432" s="19"/>
      <c r="M432" s="18">
        <f t="shared" si="78"/>
        <v>0</v>
      </c>
      <c r="N432" s="35"/>
      <c r="O432" s="18"/>
      <c r="P432" s="35"/>
      <c r="Q432" s="18"/>
      <c r="R432" s="18">
        <f t="shared" si="79"/>
        <v>0</v>
      </c>
      <c r="S432" s="18">
        <f t="shared" si="80"/>
        <v>0</v>
      </c>
      <c r="T432" s="18">
        <f t="shared" si="81"/>
        <v>0</v>
      </c>
      <c r="U432" s="17"/>
      <c r="V432" s="22"/>
      <c r="W432" s="22"/>
      <c r="X432" s="19"/>
      <c r="Y432" s="19"/>
    </row>
    <row r="433" spans="2:25" s="20" customFormat="1" ht="17.100000000000001" customHeight="1" x14ac:dyDescent="0.3">
      <c r="B433" s="17"/>
      <c r="C433" s="94"/>
      <c r="D433" s="17"/>
      <c r="E433" s="91"/>
      <c r="F433" s="15"/>
      <c r="G433" s="15"/>
      <c r="H433" s="15"/>
      <c r="I433" s="29"/>
      <c r="J433" s="19"/>
      <c r="K433" s="19"/>
      <c r="L433" s="19"/>
      <c r="M433" s="18">
        <f t="shared" si="78"/>
        <v>0</v>
      </c>
      <c r="N433" s="35"/>
      <c r="O433" s="18"/>
      <c r="P433" s="35"/>
      <c r="Q433" s="18"/>
      <c r="R433" s="18">
        <f t="shared" si="79"/>
        <v>0</v>
      </c>
      <c r="S433" s="18">
        <f t="shared" si="80"/>
        <v>0</v>
      </c>
      <c r="T433" s="18">
        <f t="shared" si="81"/>
        <v>0</v>
      </c>
      <c r="U433" s="17"/>
      <c r="V433" s="22"/>
      <c r="W433" s="22"/>
      <c r="X433" s="19"/>
      <c r="Y433" s="19"/>
    </row>
    <row r="434" spans="2:25" s="20" customFormat="1" ht="17.100000000000001" customHeight="1" x14ac:dyDescent="0.3">
      <c r="B434" s="17"/>
      <c r="C434" s="94"/>
      <c r="D434" s="17"/>
      <c r="E434" s="91"/>
      <c r="F434" s="15"/>
      <c r="G434" s="15"/>
      <c r="H434" s="15"/>
      <c r="I434" s="29"/>
      <c r="J434" s="19"/>
      <c r="K434" s="19"/>
      <c r="L434" s="19"/>
      <c r="M434" s="18">
        <f t="shared" si="78"/>
        <v>0</v>
      </c>
      <c r="N434" s="35"/>
      <c r="O434" s="18"/>
      <c r="P434" s="35"/>
      <c r="Q434" s="18"/>
      <c r="R434" s="18">
        <f t="shared" si="79"/>
        <v>0</v>
      </c>
      <c r="S434" s="18">
        <f t="shared" si="80"/>
        <v>0</v>
      </c>
      <c r="T434" s="18">
        <f t="shared" si="81"/>
        <v>0</v>
      </c>
      <c r="U434" s="17"/>
      <c r="V434" s="22"/>
      <c r="W434" s="22"/>
      <c r="X434" s="19"/>
      <c r="Y434" s="19"/>
    </row>
    <row r="435" spans="2:25" s="20" customFormat="1" ht="17.100000000000001" customHeight="1" x14ac:dyDescent="0.3">
      <c r="B435" s="17"/>
      <c r="C435" s="94"/>
      <c r="D435" s="17"/>
      <c r="E435" s="91"/>
      <c r="F435" s="15"/>
      <c r="G435" s="15"/>
      <c r="H435" s="15"/>
      <c r="I435" s="29"/>
      <c r="J435" s="19"/>
      <c r="K435" s="19"/>
      <c r="L435" s="19"/>
      <c r="M435" s="18">
        <f t="shared" si="78"/>
        <v>0</v>
      </c>
      <c r="N435" s="35"/>
      <c r="O435" s="18"/>
      <c r="P435" s="35"/>
      <c r="Q435" s="18"/>
      <c r="R435" s="18">
        <f t="shared" si="79"/>
        <v>0</v>
      </c>
      <c r="S435" s="18">
        <f t="shared" si="80"/>
        <v>0</v>
      </c>
      <c r="T435" s="18">
        <f t="shared" si="81"/>
        <v>0</v>
      </c>
      <c r="U435" s="17"/>
      <c r="V435" s="22"/>
      <c r="W435" s="22"/>
      <c r="X435" s="19"/>
      <c r="Y435" s="19"/>
    </row>
    <row r="436" spans="2:25" s="20" customFormat="1" ht="17.100000000000001" customHeight="1" x14ac:dyDescent="0.3">
      <c r="B436" s="17"/>
      <c r="C436" s="94"/>
      <c r="D436" s="17"/>
      <c r="E436" s="91"/>
      <c r="F436" s="15"/>
      <c r="G436" s="15"/>
      <c r="H436" s="15"/>
      <c r="I436" s="29"/>
      <c r="J436" s="19"/>
      <c r="K436" s="19"/>
      <c r="L436" s="19"/>
      <c r="M436" s="18">
        <f t="shared" si="78"/>
        <v>0</v>
      </c>
      <c r="N436" s="35"/>
      <c r="O436" s="18"/>
      <c r="P436" s="35"/>
      <c r="Q436" s="18"/>
      <c r="R436" s="18">
        <f t="shared" si="79"/>
        <v>0</v>
      </c>
      <c r="S436" s="18">
        <f t="shared" si="80"/>
        <v>0</v>
      </c>
      <c r="T436" s="18">
        <f t="shared" si="81"/>
        <v>0</v>
      </c>
      <c r="U436" s="17"/>
      <c r="V436" s="22"/>
      <c r="W436" s="22"/>
      <c r="X436" s="19"/>
      <c r="Y436" s="19"/>
    </row>
    <row r="437" spans="2:25" s="20" customFormat="1" ht="17.100000000000001" customHeight="1" x14ac:dyDescent="0.3">
      <c r="B437" s="17"/>
      <c r="C437" s="94"/>
      <c r="D437" s="17"/>
      <c r="E437" s="91"/>
      <c r="F437" s="15"/>
      <c r="G437" s="15"/>
      <c r="H437" s="15"/>
      <c r="I437" s="29"/>
      <c r="J437" s="19"/>
      <c r="K437" s="19"/>
      <c r="L437" s="19"/>
      <c r="M437" s="18">
        <f t="shared" si="78"/>
        <v>0</v>
      </c>
      <c r="N437" s="35"/>
      <c r="O437" s="18"/>
      <c r="P437" s="35"/>
      <c r="Q437" s="18"/>
      <c r="R437" s="18">
        <f t="shared" si="79"/>
        <v>0</v>
      </c>
      <c r="S437" s="18">
        <f t="shared" si="80"/>
        <v>0</v>
      </c>
      <c r="T437" s="18">
        <f t="shared" si="81"/>
        <v>0</v>
      </c>
      <c r="U437" s="17"/>
      <c r="V437" s="22"/>
      <c r="W437" s="22"/>
      <c r="X437" s="19"/>
      <c r="Y437" s="19"/>
    </row>
    <row r="438" spans="2:25" s="20" customFormat="1" ht="17.100000000000001" customHeight="1" x14ac:dyDescent="0.3">
      <c r="B438" s="17"/>
      <c r="C438" s="94"/>
      <c r="D438" s="17"/>
      <c r="E438" s="91"/>
      <c r="F438" s="15"/>
      <c r="G438" s="15"/>
      <c r="H438" s="15"/>
      <c r="I438" s="29"/>
      <c r="J438" s="19"/>
      <c r="K438" s="19"/>
      <c r="L438" s="19"/>
      <c r="M438" s="18">
        <f t="shared" si="78"/>
        <v>0</v>
      </c>
      <c r="N438" s="35"/>
      <c r="O438" s="18"/>
      <c r="P438" s="35"/>
      <c r="Q438" s="18"/>
      <c r="R438" s="18">
        <f t="shared" si="79"/>
        <v>0</v>
      </c>
      <c r="S438" s="18">
        <f t="shared" si="80"/>
        <v>0</v>
      </c>
      <c r="T438" s="18">
        <f t="shared" si="81"/>
        <v>0</v>
      </c>
      <c r="U438" s="17"/>
      <c r="V438" s="22"/>
      <c r="W438" s="22"/>
      <c r="X438" s="19"/>
      <c r="Y438" s="19"/>
    </row>
    <row r="439" spans="2:25" s="20" customFormat="1" ht="17.100000000000001" customHeight="1" x14ac:dyDescent="0.3">
      <c r="B439" s="17"/>
      <c r="C439" s="94"/>
      <c r="D439" s="17"/>
      <c r="E439" s="91"/>
      <c r="F439" s="15"/>
      <c r="G439" s="15"/>
      <c r="H439" s="15"/>
      <c r="I439" s="29"/>
      <c r="J439" s="19"/>
      <c r="K439" s="19"/>
      <c r="L439" s="19"/>
      <c r="M439" s="18">
        <f t="shared" si="78"/>
        <v>0</v>
      </c>
      <c r="N439" s="35"/>
      <c r="O439" s="18"/>
      <c r="P439" s="35"/>
      <c r="Q439" s="18"/>
      <c r="R439" s="18">
        <f t="shared" si="79"/>
        <v>0</v>
      </c>
      <c r="S439" s="18">
        <f t="shared" si="80"/>
        <v>0</v>
      </c>
      <c r="T439" s="18">
        <f t="shared" si="81"/>
        <v>0</v>
      </c>
      <c r="U439" s="17"/>
      <c r="V439" s="22"/>
      <c r="W439" s="22"/>
      <c r="X439" s="19"/>
      <c r="Y439" s="19"/>
    </row>
    <row r="440" spans="2:25" s="20" customFormat="1" ht="17.100000000000001" customHeight="1" x14ac:dyDescent="0.3">
      <c r="B440" s="17"/>
      <c r="C440" s="94"/>
      <c r="D440" s="17"/>
      <c r="E440" s="91"/>
      <c r="F440" s="15"/>
      <c r="G440" s="15"/>
      <c r="H440" s="15"/>
      <c r="I440" s="29"/>
      <c r="J440" s="19"/>
      <c r="K440" s="19"/>
      <c r="L440" s="19"/>
      <c r="M440" s="18">
        <f t="shared" si="78"/>
        <v>0</v>
      </c>
      <c r="N440" s="35"/>
      <c r="O440" s="18"/>
      <c r="P440" s="35"/>
      <c r="Q440" s="18"/>
      <c r="R440" s="18">
        <f t="shared" si="79"/>
        <v>0</v>
      </c>
      <c r="S440" s="18">
        <f t="shared" si="80"/>
        <v>0</v>
      </c>
      <c r="T440" s="18">
        <f t="shared" si="81"/>
        <v>0</v>
      </c>
      <c r="U440" s="17"/>
      <c r="V440" s="22"/>
      <c r="W440" s="22"/>
      <c r="X440" s="19"/>
      <c r="Y440" s="19"/>
    </row>
    <row r="441" spans="2:25" s="20" customFormat="1" ht="17.100000000000001" customHeight="1" x14ac:dyDescent="0.3">
      <c r="B441" s="17"/>
      <c r="C441" s="94"/>
      <c r="D441" s="17"/>
      <c r="E441" s="91"/>
      <c r="F441" s="15"/>
      <c r="G441" s="15"/>
      <c r="H441" s="15"/>
      <c r="I441" s="29"/>
      <c r="J441" s="19"/>
      <c r="K441" s="19"/>
      <c r="L441" s="19"/>
      <c r="M441" s="18">
        <f t="shared" ref="M441:M504" si="82">L441*0.1</f>
        <v>0</v>
      </c>
      <c r="N441" s="35"/>
      <c r="O441" s="18"/>
      <c r="P441" s="35"/>
      <c r="Q441" s="18"/>
      <c r="R441" s="18">
        <f t="shared" ref="R441:R504" si="83">O441+Q441</f>
        <v>0</v>
      </c>
      <c r="S441" s="18">
        <f t="shared" ref="S441:S504" si="84">T441-R441</f>
        <v>0</v>
      </c>
      <c r="T441" s="18">
        <f t="shared" ref="T441:T504" si="85">L441+M441</f>
        <v>0</v>
      </c>
      <c r="U441" s="17"/>
      <c r="V441" s="22"/>
      <c r="W441" s="22"/>
      <c r="X441" s="19"/>
      <c r="Y441" s="19"/>
    </row>
    <row r="442" spans="2:25" s="20" customFormat="1" ht="17.100000000000001" customHeight="1" x14ac:dyDescent="0.3">
      <c r="B442" s="17"/>
      <c r="C442" s="94"/>
      <c r="D442" s="17"/>
      <c r="E442" s="91"/>
      <c r="F442" s="15"/>
      <c r="G442" s="15"/>
      <c r="H442" s="15"/>
      <c r="I442" s="29"/>
      <c r="J442" s="19"/>
      <c r="K442" s="19"/>
      <c r="L442" s="19"/>
      <c r="M442" s="18">
        <f t="shared" si="82"/>
        <v>0</v>
      </c>
      <c r="N442" s="35"/>
      <c r="O442" s="18"/>
      <c r="P442" s="35"/>
      <c r="Q442" s="18"/>
      <c r="R442" s="18">
        <f t="shared" si="83"/>
        <v>0</v>
      </c>
      <c r="S442" s="18">
        <f t="shared" si="84"/>
        <v>0</v>
      </c>
      <c r="T442" s="18">
        <f t="shared" si="85"/>
        <v>0</v>
      </c>
      <c r="U442" s="17"/>
      <c r="V442" s="22"/>
      <c r="W442" s="22"/>
      <c r="X442" s="19"/>
      <c r="Y442" s="19"/>
    </row>
    <row r="443" spans="2:25" s="20" customFormat="1" ht="17.100000000000001" customHeight="1" x14ac:dyDescent="0.3">
      <c r="B443" s="17"/>
      <c r="C443" s="94"/>
      <c r="D443" s="17"/>
      <c r="E443" s="91"/>
      <c r="F443" s="15"/>
      <c r="G443" s="15"/>
      <c r="H443" s="15"/>
      <c r="I443" s="29"/>
      <c r="J443" s="19"/>
      <c r="K443" s="19"/>
      <c r="L443" s="19"/>
      <c r="M443" s="18">
        <f t="shared" si="82"/>
        <v>0</v>
      </c>
      <c r="N443" s="35"/>
      <c r="O443" s="18"/>
      <c r="P443" s="35"/>
      <c r="Q443" s="18"/>
      <c r="R443" s="18">
        <f t="shared" si="83"/>
        <v>0</v>
      </c>
      <c r="S443" s="18">
        <f t="shared" si="84"/>
        <v>0</v>
      </c>
      <c r="T443" s="18">
        <f t="shared" si="85"/>
        <v>0</v>
      </c>
      <c r="U443" s="17"/>
      <c r="V443" s="22"/>
      <c r="W443" s="22"/>
      <c r="X443" s="19"/>
      <c r="Y443" s="19"/>
    </row>
    <row r="444" spans="2:25" s="20" customFormat="1" ht="17.100000000000001" customHeight="1" x14ac:dyDescent="0.3">
      <c r="B444" s="17"/>
      <c r="C444" s="94"/>
      <c r="D444" s="17"/>
      <c r="E444" s="91"/>
      <c r="F444" s="15"/>
      <c r="G444" s="15"/>
      <c r="H444" s="15"/>
      <c r="I444" s="29"/>
      <c r="J444" s="19"/>
      <c r="K444" s="19"/>
      <c r="L444" s="19"/>
      <c r="M444" s="18">
        <f t="shared" si="82"/>
        <v>0</v>
      </c>
      <c r="N444" s="35"/>
      <c r="O444" s="18"/>
      <c r="P444" s="35"/>
      <c r="Q444" s="18"/>
      <c r="R444" s="18">
        <f t="shared" si="83"/>
        <v>0</v>
      </c>
      <c r="S444" s="18">
        <f t="shared" si="84"/>
        <v>0</v>
      </c>
      <c r="T444" s="18">
        <f t="shared" si="85"/>
        <v>0</v>
      </c>
      <c r="U444" s="17"/>
      <c r="V444" s="22"/>
      <c r="W444" s="22"/>
      <c r="X444" s="19"/>
      <c r="Y444" s="19"/>
    </row>
    <row r="445" spans="2:25" s="20" customFormat="1" ht="17.100000000000001" customHeight="1" x14ac:dyDescent="0.3">
      <c r="B445" s="17"/>
      <c r="C445" s="94"/>
      <c r="D445" s="17"/>
      <c r="E445" s="91"/>
      <c r="F445" s="15"/>
      <c r="G445" s="15"/>
      <c r="H445" s="15"/>
      <c r="I445" s="29"/>
      <c r="J445" s="19"/>
      <c r="K445" s="19"/>
      <c r="L445" s="19"/>
      <c r="M445" s="18">
        <f t="shared" si="82"/>
        <v>0</v>
      </c>
      <c r="N445" s="35"/>
      <c r="O445" s="18"/>
      <c r="P445" s="35"/>
      <c r="Q445" s="18"/>
      <c r="R445" s="18">
        <f t="shared" si="83"/>
        <v>0</v>
      </c>
      <c r="S445" s="18">
        <f t="shared" si="84"/>
        <v>0</v>
      </c>
      <c r="T445" s="18">
        <f t="shared" si="85"/>
        <v>0</v>
      </c>
      <c r="U445" s="17"/>
      <c r="V445" s="22"/>
      <c r="W445" s="22"/>
      <c r="X445" s="19"/>
      <c r="Y445" s="19"/>
    </row>
    <row r="446" spans="2:25" s="20" customFormat="1" ht="17.100000000000001" customHeight="1" x14ac:dyDescent="0.3">
      <c r="B446" s="17"/>
      <c r="C446" s="94"/>
      <c r="D446" s="17"/>
      <c r="E446" s="91"/>
      <c r="F446" s="15"/>
      <c r="G446" s="15"/>
      <c r="H446" s="15"/>
      <c r="I446" s="29"/>
      <c r="J446" s="19"/>
      <c r="K446" s="19"/>
      <c r="L446" s="19"/>
      <c r="M446" s="18">
        <f t="shared" si="82"/>
        <v>0</v>
      </c>
      <c r="N446" s="35"/>
      <c r="O446" s="18"/>
      <c r="P446" s="35"/>
      <c r="Q446" s="18"/>
      <c r="R446" s="18">
        <f t="shared" si="83"/>
        <v>0</v>
      </c>
      <c r="S446" s="18">
        <f t="shared" si="84"/>
        <v>0</v>
      </c>
      <c r="T446" s="18">
        <f t="shared" si="85"/>
        <v>0</v>
      </c>
      <c r="U446" s="17"/>
      <c r="V446" s="22"/>
      <c r="W446" s="22"/>
      <c r="X446" s="19"/>
      <c r="Y446" s="19"/>
    </row>
    <row r="447" spans="2:25" s="20" customFormat="1" ht="17.100000000000001" customHeight="1" x14ac:dyDescent="0.3">
      <c r="B447" s="17"/>
      <c r="C447" s="94"/>
      <c r="D447" s="17"/>
      <c r="E447" s="91"/>
      <c r="F447" s="15"/>
      <c r="G447" s="15"/>
      <c r="H447" s="15"/>
      <c r="I447" s="29"/>
      <c r="J447" s="19"/>
      <c r="K447" s="19"/>
      <c r="L447" s="19"/>
      <c r="M447" s="18">
        <f t="shared" si="82"/>
        <v>0</v>
      </c>
      <c r="N447" s="35"/>
      <c r="O447" s="18"/>
      <c r="P447" s="35"/>
      <c r="Q447" s="18"/>
      <c r="R447" s="18">
        <f t="shared" si="83"/>
        <v>0</v>
      </c>
      <c r="S447" s="18">
        <f t="shared" si="84"/>
        <v>0</v>
      </c>
      <c r="T447" s="18">
        <f t="shared" si="85"/>
        <v>0</v>
      </c>
      <c r="U447" s="17"/>
      <c r="V447" s="22"/>
      <c r="W447" s="22"/>
      <c r="X447" s="19"/>
      <c r="Y447" s="19"/>
    </row>
    <row r="448" spans="2:25" s="20" customFormat="1" ht="17.100000000000001" customHeight="1" x14ac:dyDescent="0.3">
      <c r="B448" s="17"/>
      <c r="C448" s="94"/>
      <c r="D448" s="17"/>
      <c r="E448" s="91"/>
      <c r="F448" s="15"/>
      <c r="G448" s="15"/>
      <c r="H448" s="15"/>
      <c r="I448" s="29"/>
      <c r="J448" s="19"/>
      <c r="K448" s="19"/>
      <c r="L448" s="19"/>
      <c r="M448" s="18">
        <f t="shared" si="82"/>
        <v>0</v>
      </c>
      <c r="N448" s="35"/>
      <c r="O448" s="18"/>
      <c r="P448" s="35"/>
      <c r="Q448" s="18"/>
      <c r="R448" s="18">
        <f t="shared" si="83"/>
        <v>0</v>
      </c>
      <c r="S448" s="18">
        <f t="shared" si="84"/>
        <v>0</v>
      </c>
      <c r="T448" s="18">
        <f t="shared" si="85"/>
        <v>0</v>
      </c>
      <c r="U448" s="17"/>
      <c r="V448" s="22"/>
      <c r="W448" s="22"/>
      <c r="X448" s="19"/>
      <c r="Y448" s="19"/>
    </row>
    <row r="449" spans="2:25" s="20" customFormat="1" ht="17.100000000000001" customHeight="1" x14ac:dyDescent="0.3">
      <c r="B449" s="17"/>
      <c r="C449" s="94"/>
      <c r="D449" s="17"/>
      <c r="E449" s="91"/>
      <c r="F449" s="15"/>
      <c r="G449" s="15"/>
      <c r="H449" s="15"/>
      <c r="I449" s="29"/>
      <c r="J449" s="19"/>
      <c r="K449" s="19"/>
      <c r="L449" s="19"/>
      <c r="M449" s="18">
        <f t="shared" si="82"/>
        <v>0</v>
      </c>
      <c r="N449" s="35"/>
      <c r="O449" s="18"/>
      <c r="P449" s="35"/>
      <c r="Q449" s="18"/>
      <c r="R449" s="18">
        <f t="shared" si="83"/>
        <v>0</v>
      </c>
      <c r="S449" s="18">
        <f t="shared" si="84"/>
        <v>0</v>
      </c>
      <c r="T449" s="18">
        <f t="shared" si="85"/>
        <v>0</v>
      </c>
      <c r="U449" s="17"/>
      <c r="V449" s="22"/>
      <c r="W449" s="22"/>
      <c r="X449" s="19"/>
      <c r="Y449" s="19"/>
    </row>
    <row r="450" spans="2:25" s="20" customFormat="1" ht="17.100000000000001" customHeight="1" x14ac:dyDescent="0.3">
      <c r="B450" s="17"/>
      <c r="C450" s="94"/>
      <c r="D450" s="17"/>
      <c r="E450" s="91"/>
      <c r="F450" s="15"/>
      <c r="G450" s="15"/>
      <c r="H450" s="15"/>
      <c r="I450" s="29"/>
      <c r="J450" s="19"/>
      <c r="K450" s="19"/>
      <c r="L450" s="19"/>
      <c r="M450" s="18">
        <f t="shared" si="82"/>
        <v>0</v>
      </c>
      <c r="N450" s="35"/>
      <c r="O450" s="18"/>
      <c r="P450" s="35"/>
      <c r="Q450" s="18"/>
      <c r="R450" s="18">
        <f t="shared" si="83"/>
        <v>0</v>
      </c>
      <c r="S450" s="18">
        <f t="shared" si="84"/>
        <v>0</v>
      </c>
      <c r="T450" s="18">
        <f t="shared" si="85"/>
        <v>0</v>
      </c>
      <c r="U450" s="17"/>
      <c r="V450" s="22"/>
      <c r="W450" s="22"/>
      <c r="X450" s="19"/>
      <c r="Y450" s="19"/>
    </row>
    <row r="451" spans="2:25" s="20" customFormat="1" ht="17.100000000000001" customHeight="1" x14ac:dyDescent="0.3">
      <c r="B451" s="17"/>
      <c r="C451" s="94"/>
      <c r="D451" s="17"/>
      <c r="E451" s="91"/>
      <c r="F451" s="15"/>
      <c r="G451" s="15"/>
      <c r="H451" s="15"/>
      <c r="I451" s="29"/>
      <c r="J451" s="19"/>
      <c r="K451" s="19"/>
      <c r="L451" s="19"/>
      <c r="M451" s="18">
        <f t="shared" si="82"/>
        <v>0</v>
      </c>
      <c r="N451" s="35"/>
      <c r="O451" s="18"/>
      <c r="P451" s="35"/>
      <c r="Q451" s="18"/>
      <c r="R451" s="18">
        <f t="shared" si="83"/>
        <v>0</v>
      </c>
      <c r="S451" s="18">
        <f t="shared" si="84"/>
        <v>0</v>
      </c>
      <c r="T451" s="18">
        <f t="shared" si="85"/>
        <v>0</v>
      </c>
      <c r="U451" s="17"/>
      <c r="V451" s="22"/>
      <c r="W451" s="22"/>
      <c r="X451" s="19"/>
      <c r="Y451" s="19"/>
    </row>
    <row r="452" spans="2:25" s="20" customFormat="1" ht="17.100000000000001" customHeight="1" x14ac:dyDescent="0.3">
      <c r="B452" s="17"/>
      <c r="C452" s="94"/>
      <c r="D452" s="17"/>
      <c r="E452" s="91"/>
      <c r="F452" s="15"/>
      <c r="G452" s="15"/>
      <c r="H452" s="15"/>
      <c r="I452" s="29"/>
      <c r="J452" s="19"/>
      <c r="K452" s="19"/>
      <c r="L452" s="19"/>
      <c r="M452" s="18">
        <f t="shared" si="82"/>
        <v>0</v>
      </c>
      <c r="N452" s="35"/>
      <c r="O452" s="18"/>
      <c r="P452" s="35"/>
      <c r="Q452" s="18"/>
      <c r="R452" s="18">
        <f t="shared" si="83"/>
        <v>0</v>
      </c>
      <c r="S452" s="18">
        <f t="shared" si="84"/>
        <v>0</v>
      </c>
      <c r="T452" s="18">
        <f t="shared" si="85"/>
        <v>0</v>
      </c>
      <c r="U452" s="17"/>
      <c r="V452" s="22"/>
      <c r="W452" s="22"/>
      <c r="X452" s="19"/>
      <c r="Y452" s="19"/>
    </row>
    <row r="453" spans="2:25" s="20" customFormat="1" ht="17.100000000000001" customHeight="1" x14ac:dyDescent="0.3">
      <c r="B453" s="17"/>
      <c r="C453" s="94"/>
      <c r="D453" s="17"/>
      <c r="E453" s="91"/>
      <c r="F453" s="15"/>
      <c r="G453" s="15"/>
      <c r="H453" s="15"/>
      <c r="I453" s="29"/>
      <c r="J453" s="19"/>
      <c r="K453" s="19"/>
      <c r="L453" s="19"/>
      <c r="M453" s="18">
        <f t="shared" si="82"/>
        <v>0</v>
      </c>
      <c r="N453" s="35"/>
      <c r="O453" s="18"/>
      <c r="P453" s="35"/>
      <c r="Q453" s="18"/>
      <c r="R453" s="18">
        <f t="shared" si="83"/>
        <v>0</v>
      </c>
      <c r="S453" s="18">
        <f t="shared" si="84"/>
        <v>0</v>
      </c>
      <c r="T453" s="18">
        <f t="shared" si="85"/>
        <v>0</v>
      </c>
      <c r="U453" s="17"/>
      <c r="V453" s="22"/>
      <c r="W453" s="22"/>
      <c r="X453" s="19"/>
      <c r="Y453" s="19"/>
    </row>
    <row r="454" spans="2:25" s="20" customFormat="1" ht="17.100000000000001" customHeight="1" x14ac:dyDescent="0.3">
      <c r="B454" s="17"/>
      <c r="C454" s="94"/>
      <c r="D454" s="17"/>
      <c r="E454" s="91"/>
      <c r="F454" s="15"/>
      <c r="G454" s="15"/>
      <c r="H454" s="15"/>
      <c r="I454" s="29"/>
      <c r="J454" s="19"/>
      <c r="K454" s="19"/>
      <c r="L454" s="19"/>
      <c r="M454" s="18">
        <f t="shared" si="82"/>
        <v>0</v>
      </c>
      <c r="N454" s="35"/>
      <c r="O454" s="18"/>
      <c r="P454" s="35"/>
      <c r="Q454" s="18"/>
      <c r="R454" s="18">
        <f t="shared" si="83"/>
        <v>0</v>
      </c>
      <c r="S454" s="18">
        <f t="shared" si="84"/>
        <v>0</v>
      </c>
      <c r="T454" s="18">
        <f t="shared" si="85"/>
        <v>0</v>
      </c>
      <c r="U454" s="17"/>
      <c r="V454" s="22"/>
      <c r="W454" s="22"/>
      <c r="X454" s="19"/>
      <c r="Y454" s="19"/>
    </row>
    <row r="455" spans="2:25" s="20" customFormat="1" ht="17.100000000000001" customHeight="1" x14ac:dyDescent="0.3">
      <c r="B455" s="17"/>
      <c r="C455" s="94"/>
      <c r="D455" s="17"/>
      <c r="E455" s="91"/>
      <c r="F455" s="15"/>
      <c r="G455" s="15"/>
      <c r="H455" s="15"/>
      <c r="I455" s="29"/>
      <c r="J455" s="19"/>
      <c r="K455" s="19"/>
      <c r="L455" s="19"/>
      <c r="M455" s="18">
        <f t="shared" si="82"/>
        <v>0</v>
      </c>
      <c r="N455" s="35"/>
      <c r="O455" s="18"/>
      <c r="P455" s="35"/>
      <c r="Q455" s="18"/>
      <c r="R455" s="18">
        <f t="shared" si="83"/>
        <v>0</v>
      </c>
      <c r="S455" s="18">
        <f t="shared" si="84"/>
        <v>0</v>
      </c>
      <c r="T455" s="18">
        <f t="shared" si="85"/>
        <v>0</v>
      </c>
      <c r="U455" s="17"/>
      <c r="V455" s="22"/>
      <c r="W455" s="22"/>
      <c r="X455" s="19"/>
      <c r="Y455" s="19"/>
    </row>
    <row r="456" spans="2:25" s="20" customFormat="1" ht="17.100000000000001" customHeight="1" x14ac:dyDescent="0.3">
      <c r="B456" s="17"/>
      <c r="C456" s="94"/>
      <c r="D456" s="17"/>
      <c r="E456" s="91"/>
      <c r="F456" s="15"/>
      <c r="G456" s="15"/>
      <c r="H456" s="15"/>
      <c r="I456" s="29"/>
      <c r="J456" s="19"/>
      <c r="K456" s="19"/>
      <c r="L456" s="19"/>
      <c r="M456" s="18">
        <f t="shared" si="82"/>
        <v>0</v>
      </c>
      <c r="N456" s="35"/>
      <c r="O456" s="18"/>
      <c r="P456" s="35"/>
      <c r="Q456" s="18"/>
      <c r="R456" s="18">
        <f t="shared" si="83"/>
        <v>0</v>
      </c>
      <c r="S456" s="18">
        <f t="shared" si="84"/>
        <v>0</v>
      </c>
      <c r="T456" s="18">
        <f t="shared" si="85"/>
        <v>0</v>
      </c>
      <c r="U456" s="17"/>
      <c r="V456" s="22"/>
      <c r="W456" s="22"/>
      <c r="X456" s="19"/>
      <c r="Y456" s="19"/>
    </row>
    <row r="457" spans="2:25" s="20" customFormat="1" ht="17.100000000000001" customHeight="1" x14ac:dyDescent="0.3">
      <c r="B457" s="17"/>
      <c r="C457" s="94"/>
      <c r="D457" s="17"/>
      <c r="E457" s="91"/>
      <c r="F457" s="15"/>
      <c r="G457" s="15"/>
      <c r="H457" s="15"/>
      <c r="I457" s="29"/>
      <c r="J457" s="19"/>
      <c r="K457" s="19"/>
      <c r="L457" s="19"/>
      <c r="M457" s="18">
        <f t="shared" si="82"/>
        <v>0</v>
      </c>
      <c r="N457" s="35"/>
      <c r="O457" s="18"/>
      <c r="P457" s="35"/>
      <c r="Q457" s="18"/>
      <c r="R457" s="18">
        <f t="shared" si="83"/>
        <v>0</v>
      </c>
      <c r="S457" s="18">
        <f t="shared" si="84"/>
        <v>0</v>
      </c>
      <c r="T457" s="18">
        <f t="shared" si="85"/>
        <v>0</v>
      </c>
      <c r="U457" s="17"/>
      <c r="V457" s="22"/>
      <c r="W457" s="22"/>
      <c r="X457" s="19"/>
      <c r="Y457" s="19"/>
    </row>
    <row r="458" spans="2:25" s="20" customFormat="1" ht="17.100000000000001" customHeight="1" x14ac:dyDescent="0.3">
      <c r="B458" s="17"/>
      <c r="C458" s="94"/>
      <c r="D458" s="17"/>
      <c r="E458" s="91"/>
      <c r="F458" s="15"/>
      <c r="G458" s="15"/>
      <c r="H458" s="15"/>
      <c r="I458" s="29"/>
      <c r="J458" s="19"/>
      <c r="K458" s="19"/>
      <c r="L458" s="19"/>
      <c r="M458" s="18">
        <f t="shared" si="82"/>
        <v>0</v>
      </c>
      <c r="N458" s="35"/>
      <c r="O458" s="18"/>
      <c r="P458" s="35"/>
      <c r="Q458" s="18"/>
      <c r="R458" s="18">
        <f t="shared" si="83"/>
        <v>0</v>
      </c>
      <c r="S458" s="18">
        <f t="shared" si="84"/>
        <v>0</v>
      </c>
      <c r="T458" s="18">
        <f t="shared" si="85"/>
        <v>0</v>
      </c>
      <c r="U458" s="17"/>
      <c r="V458" s="22"/>
      <c r="W458" s="22"/>
      <c r="X458" s="19"/>
      <c r="Y458" s="19"/>
    </row>
    <row r="459" spans="2:25" s="20" customFormat="1" ht="17.100000000000001" customHeight="1" x14ac:dyDescent="0.3">
      <c r="B459" s="17"/>
      <c r="C459" s="94"/>
      <c r="D459" s="17"/>
      <c r="E459" s="91"/>
      <c r="F459" s="15"/>
      <c r="G459" s="15"/>
      <c r="H459" s="15"/>
      <c r="I459" s="29"/>
      <c r="J459" s="19"/>
      <c r="K459" s="19"/>
      <c r="L459" s="19"/>
      <c r="M459" s="18">
        <f t="shared" si="82"/>
        <v>0</v>
      </c>
      <c r="N459" s="35"/>
      <c r="O459" s="18"/>
      <c r="P459" s="35"/>
      <c r="Q459" s="18"/>
      <c r="R459" s="18">
        <f t="shared" si="83"/>
        <v>0</v>
      </c>
      <c r="S459" s="18">
        <f t="shared" si="84"/>
        <v>0</v>
      </c>
      <c r="T459" s="18">
        <f t="shared" si="85"/>
        <v>0</v>
      </c>
      <c r="U459" s="17"/>
      <c r="V459" s="22"/>
      <c r="W459" s="22"/>
      <c r="X459" s="19"/>
      <c r="Y459" s="19"/>
    </row>
    <row r="460" spans="2:25" s="20" customFormat="1" ht="17.100000000000001" customHeight="1" x14ac:dyDescent="0.3">
      <c r="B460" s="17"/>
      <c r="C460" s="94"/>
      <c r="D460" s="17"/>
      <c r="E460" s="91"/>
      <c r="F460" s="15"/>
      <c r="G460" s="15"/>
      <c r="H460" s="15"/>
      <c r="I460" s="29"/>
      <c r="J460" s="19"/>
      <c r="K460" s="19"/>
      <c r="L460" s="19"/>
      <c r="M460" s="18">
        <f t="shared" si="82"/>
        <v>0</v>
      </c>
      <c r="N460" s="35"/>
      <c r="O460" s="18"/>
      <c r="P460" s="35"/>
      <c r="Q460" s="18"/>
      <c r="R460" s="18">
        <f t="shared" si="83"/>
        <v>0</v>
      </c>
      <c r="S460" s="18">
        <f t="shared" si="84"/>
        <v>0</v>
      </c>
      <c r="T460" s="18">
        <f t="shared" si="85"/>
        <v>0</v>
      </c>
      <c r="U460" s="17"/>
      <c r="V460" s="22"/>
      <c r="W460" s="22"/>
      <c r="X460" s="19"/>
      <c r="Y460" s="19"/>
    </row>
    <row r="461" spans="2:25" s="20" customFormat="1" ht="17.100000000000001" customHeight="1" x14ac:dyDescent="0.3">
      <c r="B461" s="17"/>
      <c r="C461" s="94"/>
      <c r="D461" s="17"/>
      <c r="E461" s="91"/>
      <c r="F461" s="15"/>
      <c r="G461" s="15"/>
      <c r="H461" s="15"/>
      <c r="I461" s="29"/>
      <c r="J461" s="19"/>
      <c r="K461" s="19"/>
      <c r="L461" s="19"/>
      <c r="M461" s="18">
        <f t="shared" si="82"/>
        <v>0</v>
      </c>
      <c r="N461" s="35"/>
      <c r="O461" s="18"/>
      <c r="P461" s="35"/>
      <c r="Q461" s="18"/>
      <c r="R461" s="18">
        <f t="shared" si="83"/>
        <v>0</v>
      </c>
      <c r="S461" s="18">
        <f t="shared" si="84"/>
        <v>0</v>
      </c>
      <c r="T461" s="18">
        <f t="shared" si="85"/>
        <v>0</v>
      </c>
      <c r="U461" s="17"/>
      <c r="V461" s="22"/>
      <c r="W461" s="22"/>
      <c r="X461" s="19"/>
      <c r="Y461" s="19"/>
    </row>
    <row r="462" spans="2:25" s="20" customFormat="1" ht="17.100000000000001" customHeight="1" x14ac:dyDescent="0.3">
      <c r="B462" s="17"/>
      <c r="C462" s="94"/>
      <c r="D462" s="17"/>
      <c r="E462" s="91"/>
      <c r="F462" s="15"/>
      <c r="G462" s="15"/>
      <c r="H462" s="15"/>
      <c r="I462" s="29"/>
      <c r="J462" s="19"/>
      <c r="K462" s="19"/>
      <c r="L462" s="19"/>
      <c r="M462" s="18">
        <f t="shared" si="82"/>
        <v>0</v>
      </c>
      <c r="N462" s="35"/>
      <c r="O462" s="18"/>
      <c r="P462" s="35"/>
      <c r="Q462" s="18"/>
      <c r="R462" s="18">
        <f t="shared" si="83"/>
        <v>0</v>
      </c>
      <c r="S462" s="18">
        <f t="shared" si="84"/>
        <v>0</v>
      </c>
      <c r="T462" s="18">
        <f t="shared" si="85"/>
        <v>0</v>
      </c>
      <c r="U462" s="17"/>
      <c r="V462" s="22"/>
      <c r="W462" s="22"/>
      <c r="X462" s="19"/>
      <c r="Y462" s="19"/>
    </row>
    <row r="463" spans="2:25" s="20" customFormat="1" ht="17.100000000000001" customHeight="1" x14ac:dyDescent="0.3">
      <c r="B463" s="17"/>
      <c r="C463" s="94"/>
      <c r="D463" s="17"/>
      <c r="E463" s="91"/>
      <c r="F463" s="15"/>
      <c r="G463" s="15"/>
      <c r="H463" s="15"/>
      <c r="I463" s="29"/>
      <c r="J463" s="19"/>
      <c r="K463" s="19"/>
      <c r="L463" s="19"/>
      <c r="M463" s="18">
        <f t="shared" si="82"/>
        <v>0</v>
      </c>
      <c r="N463" s="35"/>
      <c r="O463" s="18"/>
      <c r="P463" s="35"/>
      <c r="Q463" s="18"/>
      <c r="R463" s="18">
        <f t="shared" si="83"/>
        <v>0</v>
      </c>
      <c r="S463" s="18">
        <f t="shared" si="84"/>
        <v>0</v>
      </c>
      <c r="T463" s="18">
        <f t="shared" si="85"/>
        <v>0</v>
      </c>
      <c r="U463" s="17"/>
      <c r="V463" s="22"/>
      <c r="W463" s="22"/>
      <c r="X463" s="19"/>
      <c r="Y463" s="19"/>
    </row>
    <row r="464" spans="2:25" s="20" customFormat="1" ht="17.100000000000001" customHeight="1" x14ac:dyDescent="0.3">
      <c r="B464" s="17"/>
      <c r="C464" s="94"/>
      <c r="D464" s="17"/>
      <c r="E464" s="91"/>
      <c r="F464" s="15"/>
      <c r="G464" s="15"/>
      <c r="H464" s="15"/>
      <c r="I464" s="29"/>
      <c r="J464" s="19"/>
      <c r="K464" s="19"/>
      <c r="L464" s="19"/>
      <c r="M464" s="18">
        <f t="shared" si="82"/>
        <v>0</v>
      </c>
      <c r="N464" s="35"/>
      <c r="O464" s="18"/>
      <c r="P464" s="35"/>
      <c r="Q464" s="18"/>
      <c r="R464" s="18">
        <f t="shared" si="83"/>
        <v>0</v>
      </c>
      <c r="S464" s="18">
        <f t="shared" si="84"/>
        <v>0</v>
      </c>
      <c r="T464" s="18">
        <f t="shared" si="85"/>
        <v>0</v>
      </c>
      <c r="U464" s="17"/>
      <c r="V464" s="22"/>
      <c r="W464" s="22"/>
      <c r="X464" s="19"/>
      <c r="Y464" s="19"/>
    </row>
    <row r="465" spans="2:25" s="20" customFormat="1" ht="17.100000000000001" customHeight="1" x14ac:dyDescent="0.3">
      <c r="B465" s="17"/>
      <c r="C465" s="94"/>
      <c r="D465" s="17"/>
      <c r="E465" s="91"/>
      <c r="F465" s="15"/>
      <c r="G465" s="15"/>
      <c r="H465" s="15"/>
      <c r="I465" s="29"/>
      <c r="J465" s="19"/>
      <c r="K465" s="19"/>
      <c r="L465" s="19"/>
      <c r="M465" s="18">
        <f t="shared" si="82"/>
        <v>0</v>
      </c>
      <c r="N465" s="35"/>
      <c r="O465" s="18"/>
      <c r="P465" s="35"/>
      <c r="Q465" s="18"/>
      <c r="R465" s="18">
        <f t="shared" si="83"/>
        <v>0</v>
      </c>
      <c r="S465" s="18">
        <f t="shared" si="84"/>
        <v>0</v>
      </c>
      <c r="T465" s="18">
        <f t="shared" si="85"/>
        <v>0</v>
      </c>
      <c r="U465" s="17"/>
      <c r="V465" s="22"/>
      <c r="W465" s="22"/>
      <c r="X465" s="19"/>
      <c r="Y465" s="19"/>
    </row>
    <row r="466" spans="2:25" s="20" customFormat="1" ht="17.100000000000001" customHeight="1" x14ac:dyDescent="0.3">
      <c r="B466" s="17"/>
      <c r="C466" s="94"/>
      <c r="D466" s="17"/>
      <c r="E466" s="91"/>
      <c r="F466" s="15"/>
      <c r="G466" s="15"/>
      <c r="H466" s="15"/>
      <c r="I466" s="29"/>
      <c r="J466" s="19"/>
      <c r="K466" s="19"/>
      <c r="L466" s="19"/>
      <c r="M466" s="18">
        <f t="shared" si="82"/>
        <v>0</v>
      </c>
      <c r="N466" s="35"/>
      <c r="O466" s="18"/>
      <c r="P466" s="35"/>
      <c r="Q466" s="18"/>
      <c r="R466" s="18">
        <f t="shared" si="83"/>
        <v>0</v>
      </c>
      <c r="S466" s="18">
        <f t="shared" si="84"/>
        <v>0</v>
      </c>
      <c r="T466" s="18">
        <f t="shared" si="85"/>
        <v>0</v>
      </c>
      <c r="U466" s="17"/>
      <c r="V466" s="22"/>
      <c r="W466" s="22"/>
      <c r="X466" s="19"/>
      <c r="Y466" s="19"/>
    </row>
    <row r="467" spans="2:25" s="20" customFormat="1" ht="17.100000000000001" customHeight="1" x14ac:dyDescent="0.3">
      <c r="B467" s="17"/>
      <c r="C467" s="94"/>
      <c r="D467" s="17"/>
      <c r="E467" s="91"/>
      <c r="F467" s="15"/>
      <c r="G467" s="15"/>
      <c r="H467" s="15"/>
      <c r="I467" s="29"/>
      <c r="J467" s="19"/>
      <c r="K467" s="19"/>
      <c r="L467" s="19"/>
      <c r="M467" s="18">
        <f t="shared" si="82"/>
        <v>0</v>
      </c>
      <c r="N467" s="35"/>
      <c r="O467" s="18"/>
      <c r="P467" s="35"/>
      <c r="Q467" s="18"/>
      <c r="R467" s="18">
        <f t="shared" si="83"/>
        <v>0</v>
      </c>
      <c r="S467" s="18">
        <f t="shared" si="84"/>
        <v>0</v>
      </c>
      <c r="T467" s="18">
        <f t="shared" si="85"/>
        <v>0</v>
      </c>
      <c r="U467" s="17"/>
      <c r="V467" s="22"/>
      <c r="W467" s="22"/>
      <c r="X467" s="19"/>
      <c r="Y467" s="19"/>
    </row>
    <row r="468" spans="2:25" s="20" customFormat="1" ht="17.100000000000001" customHeight="1" x14ac:dyDescent="0.3">
      <c r="B468" s="17"/>
      <c r="C468" s="94"/>
      <c r="D468" s="17"/>
      <c r="E468" s="91"/>
      <c r="F468" s="15"/>
      <c r="G468" s="15"/>
      <c r="H468" s="15"/>
      <c r="I468" s="29"/>
      <c r="J468" s="19"/>
      <c r="K468" s="19"/>
      <c r="L468" s="19"/>
      <c r="M468" s="18">
        <f t="shared" si="82"/>
        <v>0</v>
      </c>
      <c r="N468" s="35"/>
      <c r="O468" s="18"/>
      <c r="P468" s="35"/>
      <c r="Q468" s="18"/>
      <c r="R468" s="18">
        <f t="shared" si="83"/>
        <v>0</v>
      </c>
      <c r="S468" s="18">
        <f t="shared" si="84"/>
        <v>0</v>
      </c>
      <c r="T468" s="18">
        <f t="shared" si="85"/>
        <v>0</v>
      </c>
      <c r="U468" s="17"/>
      <c r="V468" s="22"/>
      <c r="W468" s="22"/>
      <c r="X468" s="19"/>
      <c r="Y468" s="19"/>
    </row>
    <row r="469" spans="2:25" s="20" customFormat="1" ht="17.100000000000001" customHeight="1" x14ac:dyDescent="0.3">
      <c r="B469" s="17"/>
      <c r="C469" s="94"/>
      <c r="D469" s="17"/>
      <c r="E469" s="91"/>
      <c r="F469" s="15"/>
      <c r="G469" s="15"/>
      <c r="H469" s="15"/>
      <c r="I469" s="29"/>
      <c r="J469" s="19"/>
      <c r="K469" s="19"/>
      <c r="L469" s="19"/>
      <c r="M469" s="18">
        <f t="shared" si="82"/>
        <v>0</v>
      </c>
      <c r="N469" s="35"/>
      <c r="O469" s="18"/>
      <c r="P469" s="35"/>
      <c r="Q469" s="18"/>
      <c r="R469" s="18">
        <f t="shared" si="83"/>
        <v>0</v>
      </c>
      <c r="S469" s="18">
        <f t="shared" si="84"/>
        <v>0</v>
      </c>
      <c r="T469" s="18">
        <f t="shared" si="85"/>
        <v>0</v>
      </c>
      <c r="U469" s="17"/>
      <c r="V469" s="22"/>
      <c r="W469" s="22"/>
      <c r="X469" s="19"/>
      <c r="Y469" s="19"/>
    </row>
    <row r="470" spans="2:25" s="20" customFormat="1" ht="17.100000000000001" customHeight="1" x14ac:dyDescent="0.3">
      <c r="B470" s="17"/>
      <c r="C470" s="94"/>
      <c r="D470" s="17"/>
      <c r="E470" s="91"/>
      <c r="F470" s="15"/>
      <c r="G470" s="15"/>
      <c r="H470" s="15"/>
      <c r="I470" s="29"/>
      <c r="J470" s="19"/>
      <c r="K470" s="19"/>
      <c r="L470" s="19"/>
      <c r="M470" s="18">
        <f t="shared" si="82"/>
        <v>0</v>
      </c>
      <c r="N470" s="35"/>
      <c r="O470" s="18"/>
      <c r="P470" s="35"/>
      <c r="Q470" s="18"/>
      <c r="R470" s="18">
        <f t="shared" si="83"/>
        <v>0</v>
      </c>
      <c r="S470" s="18">
        <f t="shared" si="84"/>
        <v>0</v>
      </c>
      <c r="T470" s="18">
        <f t="shared" si="85"/>
        <v>0</v>
      </c>
      <c r="U470" s="17"/>
      <c r="V470" s="22"/>
      <c r="W470" s="22"/>
      <c r="X470" s="19"/>
      <c r="Y470" s="19"/>
    </row>
    <row r="471" spans="2:25" s="20" customFormat="1" ht="17.100000000000001" customHeight="1" x14ac:dyDescent="0.3">
      <c r="B471" s="17"/>
      <c r="C471" s="94"/>
      <c r="D471" s="17"/>
      <c r="E471" s="91"/>
      <c r="F471" s="15"/>
      <c r="G471" s="15"/>
      <c r="H471" s="15"/>
      <c r="I471" s="29"/>
      <c r="J471" s="19"/>
      <c r="K471" s="19"/>
      <c r="L471" s="19"/>
      <c r="M471" s="18">
        <f t="shared" si="82"/>
        <v>0</v>
      </c>
      <c r="N471" s="35"/>
      <c r="O471" s="18"/>
      <c r="P471" s="35"/>
      <c r="Q471" s="18"/>
      <c r="R471" s="18">
        <f t="shared" si="83"/>
        <v>0</v>
      </c>
      <c r="S471" s="18">
        <f t="shared" si="84"/>
        <v>0</v>
      </c>
      <c r="T471" s="18">
        <f t="shared" si="85"/>
        <v>0</v>
      </c>
      <c r="U471" s="17"/>
      <c r="V471" s="22"/>
      <c r="W471" s="22"/>
      <c r="X471" s="19"/>
      <c r="Y471" s="19"/>
    </row>
    <row r="472" spans="2:25" s="20" customFormat="1" ht="17.100000000000001" customHeight="1" x14ac:dyDescent="0.3">
      <c r="B472" s="17"/>
      <c r="C472" s="94"/>
      <c r="D472" s="17"/>
      <c r="E472" s="91"/>
      <c r="F472" s="15"/>
      <c r="G472" s="15"/>
      <c r="H472" s="15"/>
      <c r="I472" s="29"/>
      <c r="J472" s="19"/>
      <c r="K472" s="19"/>
      <c r="L472" s="19"/>
      <c r="M472" s="18">
        <f t="shared" si="82"/>
        <v>0</v>
      </c>
      <c r="N472" s="35"/>
      <c r="O472" s="18"/>
      <c r="P472" s="35"/>
      <c r="Q472" s="18"/>
      <c r="R472" s="18">
        <f t="shared" si="83"/>
        <v>0</v>
      </c>
      <c r="S472" s="18">
        <f t="shared" si="84"/>
        <v>0</v>
      </c>
      <c r="T472" s="18">
        <f t="shared" si="85"/>
        <v>0</v>
      </c>
      <c r="U472" s="17"/>
      <c r="V472" s="22"/>
      <c r="W472" s="22"/>
      <c r="X472" s="19"/>
      <c r="Y472" s="19"/>
    </row>
    <row r="473" spans="2:25" s="20" customFormat="1" ht="17.100000000000001" customHeight="1" x14ac:dyDescent="0.3">
      <c r="B473" s="17"/>
      <c r="C473" s="94"/>
      <c r="D473" s="17"/>
      <c r="E473" s="91"/>
      <c r="F473" s="15"/>
      <c r="G473" s="15"/>
      <c r="H473" s="15"/>
      <c r="I473" s="29"/>
      <c r="J473" s="19"/>
      <c r="K473" s="19"/>
      <c r="L473" s="19"/>
      <c r="M473" s="18">
        <f t="shared" si="82"/>
        <v>0</v>
      </c>
      <c r="N473" s="35"/>
      <c r="O473" s="18"/>
      <c r="P473" s="35"/>
      <c r="Q473" s="18"/>
      <c r="R473" s="18">
        <f t="shared" si="83"/>
        <v>0</v>
      </c>
      <c r="S473" s="18">
        <f t="shared" si="84"/>
        <v>0</v>
      </c>
      <c r="T473" s="18">
        <f t="shared" si="85"/>
        <v>0</v>
      </c>
      <c r="U473" s="17"/>
      <c r="V473" s="22"/>
      <c r="W473" s="22"/>
      <c r="X473" s="19"/>
      <c r="Y473" s="19"/>
    </row>
    <row r="474" spans="2:25" s="20" customFormat="1" ht="17.100000000000001" customHeight="1" x14ac:dyDescent="0.3">
      <c r="B474" s="17"/>
      <c r="C474" s="94"/>
      <c r="D474" s="17"/>
      <c r="E474" s="91"/>
      <c r="F474" s="15"/>
      <c r="G474" s="15"/>
      <c r="H474" s="15"/>
      <c r="I474" s="29"/>
      <c r="J474" s="19"/>
      <c r="K474" s="19"/>
      <c r="L474" s="19"/>
      <c r="M474" s="18">
        <f t="shared" si="82"/>
        <v>0</v>
      </c>
      <c r="N474" s="35"/>
      <c r="O474" s="18"/>
      <c r="P474" s="35"/>
      <c r="Q474" s="18"/>
      <c r="R474" s="18">
        <f t="shared" si="83"/>
        <v>0</v>
      </c>
      <c r="S474" s="18">
        <f t="shared" si="84"/>
        <v>0</v>
      </c>
      <c r="T474" s="18">
        <f t="shared" si="85"/>
        <v>0</v>
      </c>
      <c r="U474" s="17"/>
      <c r="V474" s="22"/>
      <c r="W474" s="22"/>
      <c r="X474" s="19"/>
      <c r="Y474" s="19"/>
    </row>
    <row r="475" spans="2:25" s="20" customFormat="1" ht="17.100000000000001" customHeight="1" x14ac:dyDescent="0.3">
      <c r="B475" s="17"/>
      <c r="C475" s="94"/>
      <c r="D475" s="17"/>
      <c r="E475" s="91"/>
      <c r="F475" s="15"/>
      <c r="G475" s="15"/>
      <c r="H475" s="15"/>
      <c r="I475" s="29"/>
      <c r="J475" s="19"/>
      <c r="K475" s="19"/>
      <c r="L475" s="19"/>
      <c r="M475" s="18">
        <f t="shared" si="82"/>
        <v>0</v>
      </c>
      <c r="N475" s="35"/>
      <c r="O475" s="18"/>
      <c r="P475" s="35"/>
      <c r="Q475" s="18"/>
      <c r="R475" s="18">
        <f t="shared" si="83"/>
        <v>0</v>
      </c>
      <c r="S475" s="18">
        <f t="shared" si="84"/>
        <v>0</v>
      </c>
      <c r="T475" s="18">
        <f t="shared" si="85"/>
        <v>0</v>
      </c>
      <c r="U475" s="17"/>
      <c r="V475" s="22"/>
      <c r="W475" s="22"/>
      <c r="X475" s="19"/>
      <c r="Y475" s="19"/>
    </row>
    <row r="476" spans="2:25" s="20" customFormat="1" ht="17.100000000000001" customHeight="1" x14ac:dyDescent="0.3">
      <c r="B476" s="17"/>
      <c r="C476" s="94"/>
      <c r="D476" s="17"/>
      <c r="E476" s="91"/>
      <c r="F476" s="15"/>
      <c r="G476" s="15"/>
      <c r="H476" s="15"/>
      <c r="I476" s="29"/>
      <c r="J476" s="19"/>
      <c r="K476" s="19"/>
      <c r="L476" s="19"/>
      <c r="M476" s="18">
        <f t="shared" si="82"/>
        <v>0</v>
      </c>
      <c r="N476" s="35"/>
      <c r="O476" s="18"/>
      <c r="P476" s="35"/>
      <c r="Q476" s="18"/>
      <c r="R476" s="18">
        <f t="shared" si="83"/>
        <v>0</v>
      </c>
      <c r="S476" s="18">
        <f t="shared" si="84"/>
        <v>0</v>
      </c>
      <c r="T476" s="18">
        <f t="shared" si="85"/>
        <v>0</v>
      </c>
      <c r="U476" s="17"/>
      <c r="V476" s="22"/>
      <c r="W476" s="22"/>
      <c r="X476" s="19"/>
      <c r="Y476" s="19"/>
    </row>
    <row r="477" spans="2:25" s="20" customFormat="1" ht="17.100000000000001" customHeight="1" x14ac:dyDescent="0.3">
      <c r="B477" s="17"/>
      <c r="C477" s="94"/>
      <c r="D477" s="17"/>
      <c r="E477" s="91"/>
      <c r="F477" s="15"/>
      <c r="G477" s="15"/>
      <c r="H477" s="15"/>
      <c r="I477" s="29"/>
      <c r="J477" s="19"/>
      <c r="K477" s="19"/>
      <c r="L477" s="19"/>
      <c r="M477" s="18">
        <f t="shared" si="82"/>
        <v>0</v>
      </c>
      <c r="N477" s="35"/>
      <c r="O477" s="18"/>
      <c r="P477" s="35"/>
      <c r="Q477" s="18"/>
      <c r="R477" s="18">
        <f t="shared" si="83"/>
        <v>0</v>
      </c>
      <c r="S477" s="18">
        <f t="shared" si="84"/>
        <v>0</v>
      </c>
      <c r="T477" s="18">
        <f t="shared" si="85"/>
        <v>0</v>
      </c>
      <c r="U477" s="17"/>
      <c r="V477" s="22"/>
      <c r="W477" s="22"/>
      <c r="X477" s="19"/>
      <c r="Y477" s="19"/>
    </row>
    <row r="478" spans="2:25" s="20" customFormat="1" ht="17.100000000000001" customHeight="1" x14ac:dyDescent="0.3">
      <c r="B478" s="17"/>
      <c r="C478" s="94"/>
      <c r="D478" s="17"/>
      <c r="E478" s="91"/>
      <c r="F478" s="15"/>
      <c r="G478" s="15"/>
      <c r="H478" s="15"/>
      <c r="I478" s="29"/>
      <c r="J478" s="19"/>
      <c r="K478" s="19"/>
      <c r="L478" s="19"/>
      <c r="M478" s="18">
        <f t="shared" si="82"/>
        <v>0</v>
      </c>
      <c r="N478" s="35"/>
      <c r="O478" s="18"/>
      <c r="P478" s="35"/>
      <c r="Q478" s="18"/>
      <c r="R478" s="18">
        <f t="shared" si="83"/>
        <v>0</v>
      </c>
      <c r="S478" s="18">
        <f t="shared" si="84"/>
        <v>0</v>
      </c>
      <c r="T478" s="18">
        <f t="shared" si="85"/>
        <v>0</v>
      </c>
      <c r="U478" s="17"/>
      <c r="V478" s="22"/>
      <c r="W478" s="22"/>
      <c r="X478" s="19"/>
      <c r="Y478" s="19"/>
    </row>
    <row r="479" spans="2:25" s="20" customFormat="1" ht="17.100000000000001" customHeight="1" x14ac:dyDescent="0.3">
      <c r="B479" s="17"/>
      <c r="C479" s="94"/>
      <c r="D479" s="17"/>
      <c r="E479" s="91"/>
      <c r="F479" s="15"/>
      <c r="G479" s="15"/>
      <c r="H479" s="15"/>
      <c r="I479" s="29"/>
      <c r="J479" s="19"/>
      <c r="K479" s="19"/>
      <c r="L479" s="19"/>
      <c r="M479" s="18">
        <f t="shared" si="82"/>
        <v>0</v>
      </c>
      <c r="N479" s="35"/>
      <c r="O479" s="18"/>
      <c r="P479" s="35"/>
      <c r="Q479" s="18"/>
      <c r="R479" s="18">
        <f t="shared" si="83"/>
        <v>0</v>
      </c>
      <c r="S479" s="18">
        <f t="shared" si="84"/>
        <v>0</v>
      </c>
      <c r="T479" s="18">
        <f t="shared" si="85"/>
        <v>0</v>
      </c>
      <c r="U479" s="17"/>
      <c r="V479" s="22"/>
      <c r="W479" s="22"/>
      <c r="X479" s="19"/>
      <c r="Y479" s="19"/>
    </row>
    <row r="480" spans="2:25" s="20" customFormat="1" ht="17.100000000000001" customHeight="1" x14ac:dyDescent="0.3">
      <c r="B480" s="17"/>
      <c r="C480" s="94"/>
      <c r="D480" s="17"/>
      <c r="E480" s="91"/>
      <c r="F480" s="15"/>
      <c r="G480" s="15"/>
      <c r="H480" s="15"/>
      <c r="I480" s="29"/>
      <c r="J480" s="19"/>
      <c r="K480" s="19"/>
      <c r="L480" s="19"/>
      <c r="M480" s="18">
        <f t="shared" si="82"/>
        <v>0</v>
      </c>
      <c r="N480" s="35"/>
      <c r="O480" s="18"/>
      <c r="P480" s="35"/>
      <c r="Q480" s="18"/>
      <c r="R480" s="18">
        <f t="shared" si="83"/>
        <v>0</v>
      </c>
      <c r="S480" s="18">
        <f t="shared" si="84"/>
        <v>0</v>
      </c>
      <c r="T480" s="18">
        <f t="shared" si="85"/>
        <v>0</v>
      </c>
      <c r="U480" s="17"/>
      <c r="V480" s="22"/>
      <c r="W480" s="22"/>
      <c r="X480" s="19"/>
      <c r="Y480" s="19"/>
    </row>
    <row r="481" spans="2:25" s="20" customFormat="1" ht="17.100000000000001" customHeight="1" x14ac:dyDescent="0.3">
      <c r="B481" s="17"/>
      <c r="C481" s="94"/>
      <c r="D481" s="17"/>
      <c r="E481" s="91"/>
      <c r="F481" s="15"/>
      <c r="G481" s="15"/>
      <c r="H481" s="15"/>
      <c r="I481" s="29"/>
      <c r="J481" s="19"/>
      <c r="K481" s="19"/>
      <c r="L481" s="19"/>
      <c r="M481" s="18">
        <f t="shared" si="82"/>
        <v>0</v>
      </c>
      <c r="N481" s="35"/>
      <c r="O481" s="18"/>
      <c r="P481" s="35"/>
      <c r="Q481" s="18"/>
      <c r="R481" s="18">
        <f t="shared" si="83"/>
        <v>0</v>
      </c>
      <c r="S481" s="18">
        <f t="shared" si="84"/>
        <v>0</v>
      </c>
      <c r="T481" s="18">
        <f t="shared" si="85"/>
        <v>0</v>
      </c>
      <c r="U481" s="17"/>
      <c r="V481" s="22"/>
      <c r="W481" s="22"/>
      <c r="X481" s="19"/>
      <c r="Y481" s="19"/>
    </row>
    <row r="482" spans="2:25" s="20" customFormat="1" ht="17.100000000000001" customHeight="1" x14ac:dyDescent="0.3">
      <c r="B482" s="17"/>
      <c r="C482" s="94"/>
      <c r="D482" s="17"/>
      <c r="E482" s="91"/>
      <c r="F482" s="15"/>
      <c r="G482" s="15"/>
      <c r="H482" s="15"/>
      <c r="I482" s="29"/>
      <c r="J482" s="19"/>
      <c r="K482" s="19"/>
      <c r="L482" s="19"/>
      <c r="M482" s="18">
        <f t="shared" si="82"/>
        <v>0</v>
      </c>
      <c r="N482" s="35"/>
      <c r="O482" s="18"/>
      <c r="P482" s="35"/>
      <c r="Q482" s="18"/>
      <c r="R482" s="18">
        <f t="shared" si="83"/>
        <v>0</v>
      </c>
      <c r="S482" s="18">
        <f t="shared" si="84"/>
        <v>0</v>
      </c>
      <c r="T482" s="18">
        <f t="shared" si="85"/>
        <v>0</v>
      </c>
      <c r="U482" s="17"/>
      <c r="V482" s="22"/>
      <c r="W482" s="22"/>
      <c r="X482" s="19"/>
      <c r="Y482" s="19"/>
    </row>
    <row r="483" spans="2:25" s="20" customFormat="1" ht="17.100000000000001" customHeight="1" x14ac:dyDescent="0.3">
      <c r="B483" s="17"/>
      <c r="C483" s="94"/>
      <c r="D483" s="17"/>
      <c r="E483" s="91"/>
      <c r="F483" s="15"/>
      <c r="G483" s="15"/>
      <c r="H483" s="15"/>
      <c r="I483" s="29"/>
      <c r="J483" s="19"/>
      <c r="K483" s="19"/>
      <c r="L483" s="19"/>
      <c r="M483" s="18">
        <f t="shared" si="82"/>
        <v>0</v>
      </c>
      <c r="N483" s="35"/>
      <c r="O483" s="18"/>
      <c r="P483" s="35"/>
      <c r="Q483" s="18"/>
      <c r="R483" s="18">
        <f t="shared" si="83"/>
        <v>0</v>
      </c>
      <c r="S483" s="18">
        <f t="shared" si="84"/>
        <v>0</v>
      </c>
      <c r="T483" s="18">
        <f t="shared" si="85"/>
        <v>0</v>
      </c>
      <c r="U483" s="17"/>
      <c r="V483" s="22"/>
      <c r="W483" s="22"/>
      <c r="X483" s="19"/>
      <c r="Y483" s="19"/>
    </row>
    <row r="484" spans="2:25" s="20" customFormat="1" ht="17.100000000000001" customHeight="1" x14ac:dyDescent="0.3">
      <c r="B484" s="17"/>
      <c r="C484" s="94"/>
      <c r="D484" s="17"/>
      <c r="E484" s="91"/>
      <c r="F484" s="15"/>
      <c r="G484" s="15"/>
      <c r="H484" s="15"/>
      <c r="I484" s="29"/>
      <c r="J484" s="19"/>
      <c r="K484" s="19"/>
      <c r="L484" s="19"/>
      <c r="M484" s="18">
        <f t="shared" si="82"/>
        <v>0</v>
      </c>
      <c r="N484" s="35"/>
      <c r="O484" s="18"/>
      <c r="P484" s="35"/>
      <c r="Q484" s="18"/>
      <c r="R484" s="18">
        <f t="shared" si="83"/>
        <v>0</v>
      </c>
      <c r="S484" s="18">
        <f t="shared" si="84"/>
        <v>0</v>
      </c>
      <c r="T484" s="18">
        <f t="shared" si="85"/>
        <v>0</v>
      </c>
      <c r="U484" s="17"/>
      <c r="V484" s="22"/>
      <c r="W484" s="22"/>
      <c r="X484" s="19"/>
      <c r="Y484" s="19"/>
    </row>
    <row r="485" spans="2:25" s="20" customFormat="1" ht="17.100000000000001" customHeight="1" x14ac:dyDescent="0.3">
      <c r="B485" s="17"/>
      <c r="C485" s="94"/>
      <c r="D485" s="17"/>
      <c r="E485" s="91"/>
      <c r="F485" s="15"/>
      <c r="G485" s="15"/>
      <c r="H485" s="15"/>
      <c r="I485" s="29"/>
      <c r="J485" s="19"/>
      <c r="K485" s="19"/>
      <c r="L485" s="19"/>
      <c r="M485" s="18">
        <f t="shared" si="82"/>
        <v>0</v>
      </c>
      <c r="N485" s="35"/>
      <c r="O485" s="18"/>
      <c r="P485" s="35"/>
      <c r="Q485" s="18"/>
      <c r="R485" s="18">
        <f t="shared" si="83"/>
        <v>0</v>
      </c>
      <c r="S485" s="18">
        <f t="shared" si="84"/>
        <v>0</v>
      </c>
      <c r="T485" s="18">
        <f t="shared" si="85"/>
        <v>0</v>
      </c>
      <c r="U485" s="17"/>
      <c r="V485" s="22"/>
      <c r="W485" s="22"/>
      <c r="X485" s="19"/>
      <c r="Y485" s="19"/>
    </row>
    <row r="486" spans="2:25" s="20" customFormat="1" ht="17.100000000000001" customHeight="1" x14ac:dyDescent="0.3">
      <c r="B486" s="17"/>
      <c r="C486" s="94"/>
      <c r="D486" s="17"/>
      <c r="E486" s="91"/>
      <c r="F486" s="15"/>
      <c r="G486" s="15"/>
      <c r="H486" s="15"/>
      <c r="I486" s="29"/>
      <c r="J486" s="19"/>
      <c r="K486" s="19"/>
      <c r="L486" s="19"/>
      <c r="M486" s="18">
        <f t="shared" si="82"/>
        <v>0</v>
      </c>
      <c r="N486" s="35"/>
      <c r="O486" s="18"/>
      <c r="P486" s="35"/>
      <c r="Q486" s="18"/>
      <c r="R486" s="18">
        <f t="shared" si="83"/>
        <v>0</v>
      </c>
      <c r="S486" s="18">
        <f t="shared" si="84"/>
        <v>0</v>
      </c>
      <c r="T486" s="18">
        <f t="shared" si="85"/>
        <v>0</v>
      </c>
      <c r="U486" s="17"/>
      <c r="V486" s="22"/>
      <c r="W486" s="22"/>
      <c r="X486" s="19"/>
      <c r="Y486" s="19"/>
    </row>
    <row r="487" spans="2:25" s="20" customFormat="1" ht="17.100000000000001" customHeight="1" x14ac:dyDescent="0.3">
      <c r="B487" s="17"/>
      <c r="C487" s="94"/>
      <c r="D487" s="17"/>
      <c r="E487" s="91"/>
      <c r="F487" s="15"/>
      <c r="G487" s="15"/>
      <c r="H487" s="15"/>
      <c r="I487" s="29"/>
      <c r="J487" s="19"/>
      <c r="K487" s="19"/>
      <c r="L487" s="19"/>
      <c r="M487" s="18">
        <f t="shared" si="82"/>
        <v>0</v>
      </c>
      <c r="N487" s="35"/>
      <c r="O487" s="18"/>
      <c r="P487" s="35"/>
      <c r="Q487" s="18"/>
      <c r="R487" s="18">
        <f t="shared" si="83"/>
        <v>0</v>
      </c>
      <c r="S487" s="18">
        <f t="shared" si="84"/>
        <v>0</v>
      </c>
      <c r="T487" s="18">
        <f t="shared" si="85"/>
        <v>0</v>
      </c>
      <c r="U487" s="17"/>
      <c r="V487" s="22"/>
      <c r="W487" s="22"/>
      <c r="X487" s="19"/>
      <c r="Y487" s="19"/>
    </row>
    <row r="488" spans="2:25" s="20" customFormat="1" ht="17.100000000000001" customHeight="1" x14ac:dyDescent="0.3">
      <c r="B488" s="17"/>
      <c r="C488" s="94"/>
      <c r="D488" s="17"/>
      <c r="E488" s="91"/>
      <c r="F488" s="15"/>
      <c r="G488" s="15"/>
      <c r="H488" s="15"/>
      <c r="I488" s="29"/>
      <c r="J488" s="19"/>
      <c r="K488" s="19"/>
      <c r="L488" s="19"/>
      <c r="M488" s="18">
        <f t="shared" si="82"/>
        <v>0</v>
      </c>
      <c r="N488" s="35"/>
      <c r="O488" s="18"/>
      <c r="P488" s="35"/>
      <c r="Q488" s="18"/>
      <c r="R488" s="18">
        <f t="shared" si="83"/>
        <v>0</v>
      </c>
      <c r="S488" s="18">
        <f t="shared" si="84"/>
        <v>0</v>
      </c>
      <c r="T488" s="18">
        <f t="shared" si="85"/>
        <v>0</v>
      </c>
      <c r="U488" s="17"/>
      <c r="V488" s="22"/>
      <c r="W488" s="22"/>
      <c r="X488" s="19"/>
      <c r="Y488" s="19"/>
    </row>
    <row r="489" spans="2:25" s="20" customFormat="1" ht="17.100000000000001" customHeight="1" x14ac:dyDescent="0.3">
      <c r="B489" s="17"/>
      <c r="C489" s="94"/>
      <c r="D489" s="17"/>
      <c r="E489" s="91"/>
      <c r="F489" s="15"/>
      <c r="G489" s="15"/>
      <c r="H489" s="15"/>
      <c r="I489" s="29"/>
      <c r="J489" s="19"/>
      <c r="K489" s="19"/>
      <c r="L489" s="19"/>
      <c r="M489" s="18">
        <f t="shared" si="82"/>
        <v>0</v>
      </c>
      <c r="N489" s="35"/>
      <c r="O489" s="18"/>
      <c r="P489" s="35"/>
      <c r="Q489" s="18"/>
      <c r="R489" s="18">
        <f t="shared" si="83"/>
        <v>0</v>
      </c>
      <c r="S489" s="18">
        <f t="shared" si="84"/>
        <v>0</v>
      </c>
      <c r="T489" s="18">
        <f t="shared" si="85"/>
        <v>0</v>
      </c>
      <c r="U489" s="17"/>
      <c r="V489" s="22"/>
      <c r="W489" s="22"/>
      <c r="X489" s="19"/>
      <c r="Y489" s="19"/>
    </row>
    <row r="490" spans="2:25" s="20" customFormat="1" ht="17.100000000000001" customHeight="1" x14ac:dyDescent="0.3">
      <c r="B490" s="17"/>
      <c r="C490" s="94"/>
      <c r="D490" s="17"/>
      <c r="E490" s="91"/>
      <c r="F490" s="15"/>
      <c r="G490" s="15"/>
      <c r="H490" s="15"/>
      <c r="I490" s="29"/>
      <c r="J490" s="19"/>
      <c r="K490" s="19"/>
      <c r="L490" s="19"/>
      <c r="M490" s="18">
        <f t="shared" si="82"/>
        <v>0</v>
      </c>
      <c r="N490" s="35"/>
      <c r="O490" s="18"/>
      <c r="P490" s="35"/>
      <c r="Q490" s="18"/>
      <c r="R490" s="18">
        <f t="shared" si="83"/>
        <v>0</v>
      </c>
      <c r="S490" s="18">
        <f t="shared" si="84"/>
        <v>0</v>
      </c>
      <c r="T490" s="18">
        <f t="shared" si="85"/>
        <v>0</v>
      </c>
      <c r="U490" s="17"/>
      <c r="V490" s="22"/>
      <c r="W490" s="22"/>
      <c r="X490" s="19"/>
      <c r="Y490" s="19"/>
    </row>
    <row r="491" spans="2:25" s="20" customFormat="1" ht="17.100000000000001" customHeight="1" x14ac:dyDescent="0.3">
      <c r="B491" s="17"/>
      <c r="C491" s="94"/>
      <c r="D491" s="17"/>
      <c r="E491" s="91"/>
      <c r="F491" s="15"/>
      <c r="G491" s="15"/>
      <c r="H491" s="15"/>
      <c r="I491" s="29"/>
      <c r="J491" s="19"/>
      <c r="K491" s="19"/>
      <c r="L491" s="19"/>
      <c r="M491" s="18">
        <f t="shared" si="82"/>
        <v>0</v>
      </c>
      <c r="N491" s="35"/>
      <c r="O491" s="18"/>
      <c r="P491" s="35"/>
      <c r="Q491" s="18"/>
      <c r="R491" s="18">
        <f t="shared" si="83"/>
        <v>0</v>
      </c>
      <c r="S491" s="18">
        <f t="shared" si="84"/>
        <v>0</v>
      </c>
      <c r="T491" s="18">
        <f t="shared" si="85"/>
        <v>0</v>
      </c>
      <c r="U491" s="17"/>
      <c r="V491" s="22"/>
      <c r="W491" s="22"/>
      <c r="X491" s="19"/>
      <c r="Y491" s="19"/>
    </row>
    <row r="492" spans="2:25" s="20" customFormat="1" ht="17.100000000000001" customHeight="1" x14ac:dyDescent="0.3">
      <c r="B492" s="17"/>
      <c r="C492" s="94"/>
      <c r="D492" s="17"/>
      <c r="E492" s="91"/>
      <c r="F492" s="15"/>
      <c r="G492" s="15"/>
      <c r="H492" s="15"/>
      <c r="I492" s="29"/>
      <c r="J492" s="19"/>
      <c r="K492" s="19"/>
      <c r="L492" s="19"/>
      <c r="M492" s="18">
        <f t="shared" si="82"/>
        <v>0</v>
      </c>
      <c r="N492" s="35"/>
      <c r="O492" s="18"/>
      <c r="P492" s="35"/>
      <c r="Q492" s="18"/>
      <c r="R492" s="18">
        <f t="shared" si="83"/>
        <v>0</v>
      </c>
      <c r="S492" s="18">
        <f t="shared" si="84"/>
        <v>0</v>
      </c>
      <c r="T492" s="18">
        <f t="shared" si="85"/>
        <v>0</v>
      </c>
      <c r="U492" s="17"/>
      <c r="V492" s="22"/>
      <c r="W492" s="22"/>
      <c r="X492" s="19"/>
      <c r="Y492" s="19"/>
    </row>
    <row r="493" spans="2:25" s="20" customFormat="1" ht="17.100000000000001" customHeight="1" x14ac:dyDescent="0.3">
      <c r="B493" s="17"/>
      <c r="C493" s="94"/>
      <c r="D493" s="17"/>
      <c r="E493" s="91"/>
      <c r="F493" s="15"/>
      <c r="G493" s="15"/>
      <c r="H493" s="15"/>
      <c r="I493" s="29"/>
      <c r="J493" s="19"/>
      <c r="K493" s="19"/>
      <c r="L493" s="19"/>
      <c r="M493" s="18">
        <f t="shared" si="82"/>
        <v>0</v>
      </c>
      <c r="N493" s="35"/>
      <c r="O493" s="18"/>
      <c r="P493" s="35"/>
      <c r="Q493" s="18"/>
      <c r="R493" s="18">
        <f t="shared" si="83"/>
        <v>0</v>
      </c>
      <c r="S493" s="18">
        <f t="shared" si="84"/>
        <v>0</v>
      </c>
      <c r="T493" s="18">
        <f t="shared" si="85"/>
        <v>0</v>
      </c>
      <c r="U493" s="17"/>
      <c r="V493" s="22"/>
      <c r="W493" s="22"/>
      <c r="X493" s="19"/>
      <c r="Y493" s="19"/>
    </row>
    <row r="494" spans="2:25" s="20" customFormat="1" ht="17.100000000000001" customHeight="1" x14ac:dyDescent="0.3">
      <c r="B494" s="17"/>
      <c r="C494" s="94"/>
      <c r="D494" s="17"/>
      <c r="E494" s="91"/>
      <c r="F494" s="15"/>
      <c r="G494" s="15"/>
      <c r="H494" s="15"/>
      <c r="I494" s="29"/>
      <c r="J494" s="19"/>
      <c r="K494" s="19"/>
      <c r="L494" s="19"/>
      <c r="M494" s="18">
        <f t="shared" si="82"/>
        <v>0</v>
      </c>
      <c r="N494" s="35"/>
      <c r="O494" s="18"/>
      <c r="P494" s="35"/>
      <c r="Q494" s="18"/>
      <c r="R494" s="18">
        <f t="shared" si="83"/>
        <v>0</v>
      </c>
      <c r="S494" s="18">
        <f t="shared" si="84"/>
        <v>0</v>
      </c>
      <c r="T494" s="18">
        <f t="shared" si="85"/>
        <v>0</v>
      </c>
      <c r="U494" s="17"/>
      <c r="V494" s="22"/>
      <c r="W494" s="22"/>
      <c r="X494" s="19"/>
      <c r="Y494" s="19"/>
    </row>
    <row r="495" spans="2:25" s="20" customFormat="1" ht="17.100000000000001" customHeight="1" x14ac:dyDescent="0.3">
      <c r="B495" s="17"/>
      <c r="C495" s="94"/>
      <c r="D495" s="17"/>
      <c r="E495" s="91"/>
      <c r="F495" s="15"/>
      <c r="G495" s="15"/>
      <c r="H495" s="15"/>
      <c r="I495" s="29"/>
      <c r="J495" s="19"/>
      <c r="K495" s="19"/>
      <c r="L495" s="19"/>
      <c r="M495" s="18">
        <f t="shared" si="82"/>
        <v>0</v>
      </c>
      <c r="N495" s="35"/>
      <c r="O495" s="18"/>
      <c r="P495" s="35"/>
      <c r="Q495" s="18"/>
      <c r="R495" s="18">
        <f t="shared" si="83"/>
        <v>0</v>
      </c>
      <c r="S495" s="18">
        <f t="shared" si="84"/>
        <v>0</v>
      </c>
      <c r="T495" s="18">
        <f t="shared" si="85"/>
        <v>0</v>
      </c>
      <c r="U495" s="17"/>
      <c r="V495" s="22"/>
      <c r="W495" s="22"/>
      <c r="X495" s="19"/>
      <c r="Y495" s="19"/>
    </row>
    <row r="496" spans="2:25" s="20" customFormat="1" ht="17.100000000000001" customHeight="1" x14ac:dyDescent="0.3">
      <c r="B496" s="17"/>
      <c r="C496" s="94"/>
      <c r="D496" s="17"/>
      <c r="E496" s="91"/>
      <c r="F496" s="15"/>
      <c r="G496" s="15"/>
      <c r="H496" s="15"/>
      <c r="I496" s="29"/>
      <c r="J496" s="19"/>
      <c r="K496" s="19"/>
      <c r="L496" s="19"/>
      <c r="M496" s="18">
        <f t="shared" si="82"/>
        <v>0</v>
      </c>
      <c r="N496" s="35"/>
      <c r="O496" s="18"/>
      <c r="P496" s="35"/>
      <c r="Q496" s="18"/>
      <c r="R496" s="18">
        <f t="shared" si="83"/>
        <v>0</v>
      </c>
      <c r="S496" s="18">
        <f t="shared" si="84"/>
        <v>0</v>
      </c>
      <c r="T496" s="18">
        <f t="shared" si="85"/>
        <v>0</v>
      </c>
      <c r="U496" s="17"/>
      <c r="V496" s="22"/>
      <c r="W496" s="22"/>
      <c r="X496" s="19"/>
      <c r="Y496" s="19"/>
    </row>
    <row r="497" spans="2:25" s="20" customFormat="1" ht="17.100000000000001" customHeight="1" x14ac:dyDescent="0.3">
      <c r="B497" s="17"/>
      <c r="C497" s="94"/>
      <c r="D497" s="17"/>
      <c r="E497" s="91"/>
      <c r="F497" s="15"/>
      <c r="G497" s="15"/>
      <c r="H497" s="15"/>
      <c r="I497" s="29"/>
      <c r="J497" s="19"/>
      <c r="K497" s="19"/>
      <c r="L497" s="19"/>
      <c r="M497" s="18">
        <f t="shared" si="82"/>
        <v>0</v>
      </c>
      <c r="N497" s="35"/>
      <c r="O497" s="18"/>
      <c r="P497" s="35"/>
      <c r="Q497" s="18"/>
      <c r="R497" s="18">
        <f t="shared" si="83"/>
        <v>0</v>
      </c>
      <c r="S497" s="18">
        <f t="shared" si="84"/>
        <v>0</v>
      </c>
      <c r="T497" s="18">
        <f t="shared" si="85"/>
        <v>0</v>
      </c>
      <c r="U497" s="17"/>
      <c r="V497" s="22"/>
      <c r="W497" s="22"/>
      <c r="X497" s="19"/>
      <c r="Y497" s="19"/>
    </row>
    <row r="498" spans="2:25" s="20" customFormat="1" ht="17.100000000000001" customHeight="1" x14ac:dyDescent="0.3">
      <c r="B498" s="17"/>
      <c r="C498" s="94"/>
      <c r="D498" s="17"/>
      <c r="E498" s="91"/>
      <c r="F498" s="15"/>
      <c r="G498" s="15"/>
      <c r="H498" s="15"/>
      <c r="I498" s="29"/>
      <c r="J498" s="19"/>
      <c r="K498" s="19"/>
      <c r="L498" s="19"/>
      <c r="M498" s="18">
        <f t="shared" si="82"/>
        <v>0</v>
      </c>
      <c r="N498" s="35"/>
      <c r="O498" s="18"/>
      <c r="P498" s="35"/>
      <c r="Q498" s="18"/>
      <c r="R498" s="18">
        <f t="shared" si="83"/>
        <v>0</v>
      </c>
      <c r="S498" s="18">
        <f t="shared" si="84"/>
        <v>0</v>
      </c>
      <c r="T498" s="18">
        <f t="shared" si="85"/>
        <v>0</v>
      </c>
      <c r="U498" s="17"/>
      <c r="V498" s="22"/>
      <c r="W498" s="22"/>
      <c r="X498" s="19"/>
      <c r="Y498" s="19"/>
    </row>
    <row r="499" spans="2:25" s="20" customFormat="1" ht="17.100000000000001" customHeight="1" x14ac:dyDescent="0.3">
      <c r="B499" s="17"/>
      <c r="C499" s="94"/>
      <c r="D499" s="17"/>
      <c r="E499" s="91"/>
      <c r="F499" s="15"/>
      <c r="G499" s="15"/>
      <c r="H499" s="15"/>
      <c r="I499" s="29"/>
      <c r="J499" s="19"/>
      <c r="K499" s="19"/>
      <c r="L499" s="19"/>
      <c r="M499" s="18">
        <f t="shared" si="82"/>
        <v>0</v>
      </c>
      <c r="N499" s="35"/>
      <c r="O499" s="18"/>
      <c r="P499" s="35"/>
      <c r="Q499" s="18"/>
      <c r="R499" s="18">
        <f t="shared" si="83"/>
        <v>0</v>
      </c>
      <c r="S499" s="18">
        <f t="shared" si="84"/>
        <v>0</v>
      </c>
      <c r="T499" s="18">
        <f t="shared" si="85"/>
        <v>0</v>
      </c>
      <c r="U499" s="17"/>
      <c r="V499" s="22"/>
      <c r="W499" s="22"/>
      <c r="X499" s="19"/>
      <c r="Y499" s="19"/>
    </row>
    <row r="500" spans="2:25" s="20" customFormat="1" ht="17.100000000000001" customHeight="1" x14ac:dyDescent="0.3">
      <c r="B500" s="17"/>
      <c r="C500" s="94"/>
      <c r="D500" s="17"/>
      <c r="E500" s="91"/>
      <c r="F500" s="15"/>
      <c r="G500" s="15"/>
      <c r="H500" s="15"/>
      <c r="I500" s="29"/>
      <c r="J500" s="19"/>
      <c r="K500" s="19"/>
      <c r="L500" s="19"/>
      <c r="M500" s="18">
        <f t="shared" si="82"/>
        <v>0</v>
      </c>
      <c r="N500" s="35"/>
      <c r="O500" s="18"/>
      <c r="P500" s="35"/>
      <c r="Q500" s="18"/>
      <c r="R500" s="18">
        <f t="shared" si="83"/>
        <v>0</v>
      </c>
      <c r="S500" s="18">
        <f t="shared" si="84"/>
        <v>0</v>
      </c>
      <c r="T500" s="18">
        <f t="shared" si="85"/>
        <v>0</v>
      </c>
      <c r="U500" s="17"/>
      <c r="V500" s="22"/>
      <c r="W500" s="22"/>
      <c r="X500" s="19"/>
      <c r="Y500" s="19"/>
    </row>
    <row r="501" spans="2:25" s="20" customFormat="1" ht="17.100000000000001" customHeight="1" x14ac:dyDescent="0.3">
      <c r="B501" s="17"/>
      <c r="C501" s="94"/>
      <c r="D501" s="17"/>
      <c r="E501" s="91"/>
      <c r="F501" s="15"/>
      <c r="G501" s="15"/>
      <c r="H501" s="15"/>
      <c r="I501" s="29"/>
      <c r="J501" s="19"/>
      <c r="K501" s="19"/>
      <c r="L501" s="19"/>
      <c r="M501" s="18">
        <f t="shared" si="82"/>
        <v>0</v>
      </c>
      <c r="N501" s="35"/>
      <c r="O501" s="18"/>
      <c r="P501" s="35"/>
      <c r="Q501" s="18"/>
      <c r="R501" s="18">
        <f t="shared" si="83"/>
        <v>0</v>
      </c>
      <c r="S501" s="18">
        <f t="shared" si="84"/>
        <v>0</v>
      </c>
      <c r="T501" s="18">
        <f t="shared" si="85"/>
        <v>0</v>
      </c>
      <c r="U501" s="17"/>
      <c r="V501" s="22"/>
      <c r="W501" s="22"/>
      <c r="X501" s="19"/>
      <c r="Y501" s="19"/>
    </row>
    <row r="502" spans="2:25" s="20" customFormat="1" ht="17.100000000000001" customHeight="1" x14ac:dyDescent="0.3">
      <c r="B502" s="17"/>
      <c r="C502" s="94"/>
      <c r="D502" s="17"/>
      <c r="E502" s="91"/>
      <c r="F502" s="15"/>
      <c r="G502" s="15"/>
      <c r="H502" s="15"/>
      <c r="I502" s="29"/>
      <c r="J502" s="19"/>
      <c r="K502" s="19"/>
      <c r="L502" s="19"/>
      <c r="M502" s="18">
        <f t="shared" si="82"/>
        <v>0</v>
      </c>
      <c r="N502" s="35"/>
      <c r="O502" s="18"/>
      <c r="P502" s="35"/>
      <c r="Q502" s="18"/>
      <c r="R502" s="18">
        <f t="shared" si="83"/>
        <v>0</v>
      </c>
      <c r="S502" s="18">
        <f t="shared" si="84"/>
        <v>0</v>
      </c>
      <c r="T502" s="18">
        <f t="shared" si="85"/>
        <v>0</v>
      </c>
      <c r="U502" s="17"/>
      <c r="V502" s="22"/>
      <c r="W502" s="22"/>
      <c r="X502" s="19"/>
      <c r="Y502" s="19"/>
    </row>
    <row r="503" spans="2:25" s="20" customFormat="1" ht="17.100000000000001" customHeight="1" x14ac:dyDescent="0.3">
      <c r="B503" s="17"/>
      <c r="C503" s="94"/>
      <c r="D503" s="17"/>
      <c r="E503" s="91"/>
      <c r="F503" s="15"/>
      <c r="G503" s="15"/>
      <c r="H503" s="15"/>
      <c r="I503" s="29"/>
      <c r="J503" s="19"/>
      <c r="K503" s="19"/>
      <c r="L503" s="19"/>
      <c r="M503" s="18">
        <f t="shared" si="82"/>
        <v>0</v>
      </c>
      <c r="N503" s="35"/>
      <c r="O503" s="18"/>
      <c r="P503" s="35"/>
      <c r="Q503" s="18"/>
      <c r="R503" s="18">
        <f t="shared" si="83"/>
        <v>0</v>
      </c>
      <c r="S503" s="18">
        <f t="shared" si="84"/>
        <v>0</v>
      </c>
      <c r="T503" s="18">
        <f t="shared" si="85"/>
        <v>0</v>
      </c>
      <c r="U503" s="17"/>
      <c r="V503" s="22"/>
      <c r="W503" s="22"/>
      <c r="X503" s="19"/>
      <c r="Y503" s="19"/>
    </row>
    <row r="504" spans="2:25" s="20" customFormat="1" ht="17.100000000000001" customHeight="1" x14ac:dyDescent="0.3">
      <c r="B504" s="17"/>
      <c r="C504" s="94"/>
      <c r="D504" s="17"/>
      <c r="E504" s="91"/>
      <c r="F504" s="15"/>
      <c r="G504" s="15"/>
      <c r="H504" s="15"/>
      <c r="I504" s="29"/>
      <c r="J504" s="19"/>
      <c r="K504" s="19"/>
      <c r="L504" s="19"/>
      <c r="M504" s="18">
        <f t="shared" si="82"/>
        <v>0</v>
      </c>
      <c r="N504" s="35"/>
      <c r="O504" s="18"/>
      <c r="P504" s="35"/>
      <c r="Q504" s="18"/>
      <c r="R504" s="18">
        <f t="shared" si="83"/>
        <v>0</v>
      </c>
      <c r="S504" s="18">
        <f t="shared" si="84"/>
        <v>0</v>
      </c>
      <c r="T504" s="18">
        <f t="shared" si="85"/>
        <v>0</v>
      </c>
      <c r="U504" s="17"/>
      <c r="V504" s="22"/>
      <c r="W504" s="22"/>
      <c r="X504" s="19"/>
      <c r="Y504" s="19"/>
    </row>
    <row r="505" spans="2:25" s="20" customFormat="1" ht="17.100000000000001" customHeight="1" x14ac:dyDescent="0.3">
      <c r="B505" s="17"/>
      <c r="C505" s="94"/>
      <c r="D505" s="17"/>
      <c r="E505" s="91"/>
      <c r="F505" s="15"/>
      <c r="G505" s="15"/>
      <c r="H505" s="15"/>
      <c r="I505" s="29"/>
      <c r="J505" s="19"/>
      <c r="K505" s="19"/>
      <c r="L505" s="19"/>
      <c r="M505" s="18">
        <f t="shared" ref="M505:M541" si="86">L505*0.1</f>
        <v>0</v>
      </c>
      <c r="N505" s="35"/>
      <c r="O505" s="18"/>
      <c r="P505" s="35"/>
      <c r="Q505" s="18"/>
      <c r="R505" s="18">
        <f t="shared" ref="R505:R541" si="87">O505+Q505</f>
        <v>0</v>
      </c>
      <c r="S505" s="18">
        <f t="shared" ref="S505:S541" si="88">T505-R505</f>
        <v>0</v>
      </c>
      <c r="T505" s="18">
        <f t="shared" ref="T505:T541" si="89">L505+M505</f>
        <v>0</v>
      </c>
      <c r="U505" s="17"/>
      <c r="V505" s="22"/>
      <c r="W505" s="22"/>
      <c r="X505" s="19"/>
      <c r="Y505" s="19"/>
    </row>
    <row r="506" spans="2:25" s="21" customFormat="1" ht="17.100000000000001" customHeight="1" x14ac:dyDescent="0.3">
      <c r="B506" s="12"/>
      <c r="C506" s="95"/>
      <c r="D506" s="12"/>
      <c r="E506" s="92"/>
      <c r="F506" s="10"/>
      <c r="G506" s="10"/>
      <c r="H506" s="10"/>
      <c r="I506" s="31"/>
      <c r="J506" s="13"/>
      <c r="K506" s="13"/>
      <c r="L506" s="13"/>
      <c r="M506" s="18">
        <f t="shared" si="86"/>
        <v>0</v>
      </c>
      <c r="N506" s="35"/>
      <c r="O506" s="18"/>
      <c r="P506" s="35"/>
      <c r="Q506" s="18"/>
      <c r="R506" s="18">
        <f t="shared" si="87"/>
        <v>0</v>
      </c>
      <c r="S506" s="18">
        <f t="shared" si="88"/>
        <v>0</v>
      </c>
      <c r="T506" s="18">
        <f t="shared" si="89"/>
        <v>0</v>
      </c>
      <c r="U506" s="12"/>
      <c r="V506" s="39"/>
      <c r="W506" s="39"/>
      <c r="X506" s="13"/>
      <c r="Y506" s="13"/>
    </row>
    <row r="507" spans="2:25" s="21" customFormat="1" ht="17.100000000000001" customHeight="1" x14ac:dyDescent="0.3">
      <c r="B507" s="12"/>
      <c r="C507" s="95"/>
      <c r="D507" s="12"/>
      <c r="E507" s="92"/>
      <c r="F507" s="10"/>
      <c r="G507" s="10"/>
      <c r="H507" s="10"/>
      <c r="I507" s="31"/>
      <c r="J507" s="13"/>
      <c r="K507" s="13"/>
      <c r="L507" s="13"/>
      <c r="M507" s="18">
        <f t="shared" si="86"/>
        <v>0</v>
      </c>
      <c r="N507" s="35"/>
      <c r="O507" s="18"/>
      <c r="P507" s="35"/>
      <c r="Q507" s="18"/>
      <c r="R507" s="18">
        <f t="shared" si="87"/>
        <v>0</v>
      </c>
      <c r="S507" s="18">
        <f t="shared" si="88"/>
        <v>0</v>
      </c>
      <c r="T507" s="18">
        <f t="shared" si="89"/>
        <v>0</v>
      </c>
      <c r="U507" s="12"/>
      <c r="V507" s="39"/>
      <c r="W507" s="39"/>
      <c r="X507" s="13"/>
      <c r="Y507" s="13"/>
    </row>
    <row r="508" spans="2:25" s="21" customFormat="1" ht="17.100000000000001" customHeight="1" x14ac:dyDescent="0.3">
      <c r="B508" s="12"/>
      <c r="C508" s="95"/>
      <c r="D508" s="12"/>
      <c r="E508" s="92"/>
      <c r="F508" s="10"/>
      <c r="G508" s="10"/>
      <c r="H508" s="10"/>
      <c r="I508" s="31"/>
      <c r="J508" s="13"/>
      <c r="K508" s="13"/>
      <c r="L508" s="13"/>
      <c r="M508" s="18">
        <f t="shared" si="86"/>
        <v>0</v>
      </c>
      <c r="N508" s="35"/>
      <c r="O508" s="18"/>
      <c r="P508" s="35"/>
      <c r="Q508" s="18"/>
      <c r="R508" s="18">
        <f t="shared" si="87"/>
        <v>0</v>
      </c>
      <c r="S508" s="18">
        <f t="shared" si="88"/>
        <v>0</v>
      </c>
      <c r="T508" s="18">
        <f t="shared" si="89"/>
        <v>0</v>
      </c>
      <c r="U508" s="12"/>
      <c r="V508" s="39"/>
      <c r="W508" s="39"/>
      <c r="X508" s="13"/>
      <c r="Y508" s="13"/>
    </row>
    <row r="509" spans="2:25" s="21" customFormat="1" ht="17.100000000000001" customHeight="1" x14ac:dyDescent="0.3">
      <c r="B509" s="12"/>
      <c r="C509" s="95"/>
      <c r="D509" s="12"/>
      <c r="E509" s="92"/>
      <c r="F509" s="10"/>
      <c r="G509" s="10"/>
      <c r="H509" s="10"/>
      <c r="I509" s="31"/>
      <c r="J509" s="13"/>
      <c r="K509" s="13"/>
      <c r="L509" s="13"/>
      <c r="M509" s="18">
        <f t="shared" si="86"/>
        <v>0</v>
      </c>
      <c r="N509" s="35"/>
      <c r="O509" s="18"/>
      <c r="P509" s="35"/>
      <c r="Q509" s="18"/>
      <c r="R509" s="18">
        <f t="shared" si="87"/>
        <v>0</v>
      </c>
      <c r="S509" s="18">
        <f t="shared" si="88"/>
        <v>0</v>
      </c>
      <c r="T509" s="18">
        <f t="shared" si="89"/>
        <v>0</v>
      </c>
      <c r="U509" s="12"/>
      <c r="V509" s="39"/>
      <c r="W509" s="39"/>
      <c r="X509" s="13"/>
      <c r="Y509" s="13"/>
    </row>
    <row r="510" spans="2:25" s="21" customFormat="1" ht="17.100000000000001" customHeight="1" x14ac:dyDescent="0.3">
      <c r="B510" s="12"/>
      <c r="C510" s="95"/>
      <c r="D510" s="12"/>
      <c r="E510" s="92"/>
      <c r="F510" s="10"/>
      <c r="G510" s="10"/>
      <c r="H510" s="10"/>
      <c r="I510" s="31"/>
      <c r="J510" s="13"/>
      <c r="K510" s="13"/>
      <c r="L510" s="13"/>
      <c r="M510" s="18">
        <f t="shared" si="86"/>
        <v>0</v>
      </c>
      <c r="N510" s="35"/>
      <c r="O510" s="18"/>
      <c r="P510" s="35"/>
      <c r="Q510" s="18"/>
      <c r="R510" s="18">
        <f t="shared" si="87"/>
        <v>0</v>
      </c>
      <c r="S510" s="18">
        <f t="shared" si="88"/>
        <v>0</v>
      </c>
      <c r="T510" s="18">
        <f t="shared" si="89"/>
        <v>0</v>
      </c>
      <c r="U510" s="12"/>
      <c r="V510" s="39"/>
      <c r="W510" s="39"/>
      <c r="X510" s="13"/>
      <c r="Y510" s="13"/>
    </row>
    <row r="511" spans="2:25" s="21" customFormat="1" ht="17.100000000000001" customHeight="1" x14ac:dyDescent="0.3">
      <c r="B511" s="12"/>
      <c r="C511" s="95"/>
      <c r="D511" s="12"/>
      <c r="E511" s="92"/>
      <c r="F511" s="10"/>
      <c r="G511" s="10"/>
      <c r="H511" s="10"/>
      <c r="I511" s="31"/>
      <c r="J511" s="13"/>
      <c r="K511" s="13"/>
      <c r="L511" s="13"/>
      <c r="M511" s="18">
        <f t="shared" si="86"/>
        <v>0</v>
      </c>
      <c r="N511" s="35"/>
      <c r="O511" s="18"/>
      <c r="P511" s="35"/>
      <c r="Q511" s="18"/>
      <c r="R511" s="18">
        <f t="shared" si="87"/>
        <v>0</v>
      </c>
      <c r="S511" s="18">
        <f t="shared" si="88"/>
        <v>0</v>
      </c>
      <c r="T511" s="18">
        <f t="shared" si="89"/>
        <v>0</v>
      </c>
      <c r="U511" s="12"/>
      <c r="V511" s="39"/>
      <c r="W511" s="39"/>
      <c r="X511" s="13"/>
      <c r="Y511" s="13"/>
    </row>
    <row r="512" spans="2:25" s="21" customFormat="1" ht="17.100000000000001" customHeight="1" x14ac:dyDescent="0.3">
      <c r="B512" s="12"/>
      <c r="C512" s="95"/>
      <c r="D512" s="12"/>
      <c r="E512" s="92"/>
      <c r="F512" s="10"/>
      <c r="G512" s="10"/>
      <c r="H512" s="10"/>
      <c r="I512" s="31"/>
      <c r="J512" s="13"/>
      <c r="K512" s="13"/>
      <c r="L512" s="13"/>
      <c r="M512" s="18">
        <f t="shared" si="86"/>
        <v>0</v>
      </c>
      <c r="N512" s="35"/>
      <c r="O512" s="18"/>
      <c r="P512" s="35"/>
      <c r="Q512" s="18"/>
      <c r="R512" s="18">
        <f t="shared" si="87"/>
        <v>0</v>
      </c>
      <c r="S512" s="18">
        <f t="shared" si="88"/>
        <v>0</v>
      </c>
      <c r="T512" s="18">
        <f t="shared" si="89"/>
        <v>0</v>
      </c>
      <c r="U512" s="12"/>
      <c r="V512" s="39"/>
      <c r="W512" s="39"/>
      <c r="X512" s="13"/>
      <c r="Y512" s="13"/>
    </row>
    <row r="513" spans="2:25" s="21" customFormat="1" ht="17.100000000000001" customHeight="1" x14ac:dyDescent="0.3">
      <c r="B513" s="12"/>
      <c r="C513" s="95"/>
      <c r="D513" s="12"/>
      <c r="E513" s="92"/>
      <c r="F513" s="10"/>
      <c r="G513" s="10"/>
      <c r="H513" s="10"/>
      <c r="I513" s="31"/>
      <c r="J513" s="13"/>
      <c r="K513" s="13"/>
      <c r="L513" s="13"/>
      <c r="M513" s="18">
        <f t="shared" si="86"/>
        <v>0</v>
      </c>
      <c r="N513" s="35"/>
      <c r="O513" s="18"/>
      <c r="P513" s="35"/>
      <c r="Q513" s="18"/>
      <c r="R513" s="18">
        <f t="shared" si="87"/>
        <v>0</v>
      </c>
      <c r="S513" s="18">
        <f t="shared" si="88"/>
        <v>0</v>
      </c>
      <c r="T513" s="18">
        <f t="shared" si="89"/>
        <v>0</v>
      </c>
      <c r="U513" s="12"/>
      <c r="V513" s="39"/>
      <c r="W513" s="39"/>
      <c r="X513" s="13"/>
      <c r="Y513" s="13"/>
    </row>
    <row r="514" spans="2:25" s="21" customFormat="1" ht="17.100000000000001" customHeight="1" x14ac:dyDescent="0.3">
      <c r="B514" s="12"/>
      <c r="C514" s="95"/>
      <c r="D514" s="12"/>
      <c r="E514" s="92"/>
      <c r="F514" s="10"/>
      <c r="G514" s="10"/>
      <c r="H514" s="10"/>
      <c r="I514" s="31"/>
      <c r="J514" s="13"/>
      <c r="K514" s="13"/>
      <c r="L514" s="13"/>
      <c r="M514" s="18">
        <f t="shared" si="86"/>
        <v>0</v>
      </c>
      <c r="N514" s="35"/>
      <c r="O514" s="18"/>
      <c r="P514" s="35"/>
      <c r="Q514" s="18"/>
      <c r="R514" s="18">
        <f t="shared" si="87"/>
        <v>0</v>
      </c>
      <c r="S514" s="18">
        <f t="shared" si="88"/>
        <v>0</v>
      </c>
      <c r="T514" s="18">
        <f t="shared" si="89"/>
        <v>0</v>
      </c>
      <c r="U514" s="12"/>
      <c r="V514" s="39"/>
      <c r="W514" s="39"/>
      <c r="X514" s="13"/>
      <c r="Y514" s="13"/>
    </row>
    <row r="515" spans="2:25" s="21" customFormat="1" ht="17.100000000000001" customHeight="1" x14ac:dyDescent="0.3">
      <c r="B515" s="12"/>
      <c r="C515" s="95"/>
      <c r="D515" s="12"/>
      <c r="E515" s="92"/>
      <c r="F515" s="10"/>
      <c r="G515" s="10"/>
      <c r="H515" s="10"/>
      <c r="I515" s="31"/>
      <c r="J515" s="13"/>
      <c r="K515" s="13"/>
      <c r="L515" s="13"/>
      <c r="M515" s="18">
        <f t="shared" si="86"/>
        <v>0</v>
      </c>
      <c r="N515" s="35"/>
      <c r="O515" s="18"/>
      <c r="P515" s="35"/>
      <c r="Q515" s="18"/>
      <c r="R515" s="18">
        <f t="shared" si="87"/>
        <v>0</v>
      </c>
      <c r="S515" s="18">
        <f t="shared" si="88"/>
        <v>0</v>
      </c>
      <c r="T515" s="18">
        <f t="shared" si="89"/>
        <v>0</v>
      </c>
      <c r="U515" s="12"/>
      <c r="V515" s="39"/>
      <c r="W515" s="39"/>
      <c r="X515" s="13"/>
      <c r="Y515" s="13"/>
    </row>
    <row r="516" spans="2:25" s="21" customFormat="1" ht="17.100000000000001" customHeight="1" x14ac:dyDescent="0.3">
      <c r="B516" s="12"/>
      <c r="C516" s="95"/>
      <c r="D516" s="12"/>
      <c r="E516" s="92"/>
      <c r="F516" s="10"/>
      <c r="G516" s="10"/>
      <c r="H516" s="10"/>
      <c r="I516" s="31"/>
      <c r="J516" s="13"/>
      <c r="K516" s="13"/>
      <c r="L516" s="13"/>
      <c r="M516" s="18">
        <f t="shared" si="86"/>
        <v>0</v>
      </c>
      <c r="N516" s="35"/>
      <c r="O516" s="18"/>
      <c r="P516" s="35"/>
      <c r="Q516" s="18"/>
      <c r="R516" s="18">
        <f t="shared" si="87"/>
        <v>0</v>
      </c>
      <c r="S516" s="18">
        <f t="shared" si="88"/>
        <v>0</v>
      </c>
      <c r="T516" s="18">
        <f t="shared" si="89"/>
        <v>0</v>
      </c>
      <c r="U516" s="12"/>
      <c r="V516" s="39"/>
      <c r="W516" s="39"/>
      <c r="X516" s="13"/>
      <c r="Y516" s="13"/>
    </row>
    <row r="517" spans="2:25" s="21" customFormat="1" ht="17.100000000000001" customHeight="1" x14ac:dyDescent="0.3">
      <c r="B517" s="12"/>
      <c r="C517" s="95"/>
      <c r="D517" s="12"/>
      <c r="E517" s="92"/>
      <c r="F517" s="10"/>
      <c r="G517" s="10"/>
      <c r="H517" s="10"/>
      <c r="I517" s="31"/>
      <c r="J517" s="13"/>
      <c r="K517" s="13"/>
      <c r="L517" s="13"/>
      <c r="M517" s="18">
        <f t="shared" si="86"/>
        <v>0</v>
      </c>
      <c r="N517" s="35"/>
      <c r="O517" s="18"/>
      <c r="P517" s="35"/>
      <c r="Q517" s="18"/>
      <c r="R517" s="18">
        <f t="shared" si="87"/>
        <v>0</v>
      </c>
      <c r="S517" s="18">
        <f t="shared" si="88"/>
        <v>0</v>
      </c>
      <c r="T517" s="18">
        <f t="shared" si="89"/>
        <v>0</v>
      </c>
      <c r="U517" s="12"/>
      <c r="V517" s="39"/>
      <c r="W517" s="39"/>
      <c r="X517" s="13"/>
      <c r="Y517" s="13"/>
    </row>
    <row r="518" spans="2:25" s="21" customFormat="1" ht="17.100000000000001" customHeight="1" x14ac:dyDescent="0.3">
      <c r="B518" s="12"/>
      <c r="C518" s="95"/>
      <c r="D518" s="12"/>
      <c r="E518" s="92"/>
      <c r="F518" s="10"/>
      <c r="G518" s="10"/>
      <c r="H518" s="10"/>
      <c r="I518" s="31"/>
      <c r="J518" s="13"/>
      <c r="K518" s="13"/>
      <c r="L518" s="13"/>
      <c r="M518" s="18">
        <f t="shared" si="86"/>
        <v>0</v>
      </c>
      <c r="N518" s="35"/>
      <c r="O518" s="18"/>
      <c r="P518" s="35"/>
      <c r="Q518" s="18"/>
      <c r="R518" s="18">
        <f t="shared" si="87"/>
        <v>0</v>
      </c>
      <c r="S518" s="18">
        <f t="shared" si="88"/>
        <v>0</v>
      </c>
      <c r="T518" s="18">
        <f t="shared" si="89"/>
        <v>0</v>
      </c>
      <c r="U518" s="12"/>
      <c r="V518" s="39"/>
      <c r="W518" s="39"/>
      <c r="X518" s="13"/>
      <c r="Y518" s="13"/>
    </row>
    <row r="519" spans="2:25" s="21" customFormat="1" ht="17.100000000000001" customHeight="1" x14ac:dyDescent="0.3">
      <c r="B519" s="12"/>
      <c r="C519" s="95"/>
      <c r="D519" s="12"/>
      <c r="E519" s="92"/>
      <c r="F519" s="10"/>
      <c r="G519" s="10"/>
      <c r="H519" s="10"/>
      <c r="I519" s="31"/>
      <c r="J519" s="13"/>
      <c r="K519" s="13"/>
      <c r="L519" s="13"/>
      <c r="M519" s="18">
        <f t="shared" si="86"/>
        <v>0</v>
      </c>
      <c r="N519" s="35"/>
      <c r="O519" s="18"/>
      <c r="P519" s="35"/>
      <c r="Q519" s="18"/>
      <c r="R519" s="18">
        <f t="shared" si="87"/>
        <v>0</v>
      </c>
      <c r="S519" s="18">
        <f t="shared" si="88"/>
        <v>0</v>
      </c>
      <c r="T519" s="18">
        <f t="shared" si="89"/>
        <v>0</v>
      </c>
      <c r="U519" s="12"/>
      <c r="V519" s="39"/>
      <c r="W519" s="39"/>
      <c r="X519" s="13"/>
      <c r="Y519" s="13"/>
    </row>
    <row r="520" spans="2:25" s="21" customFormat="1" ht="17.100000000000001" customHeight="1" x14ac:dyDescent="0.3">
      <c r="B520" s="12"/>
      <c r="C520" s="95"/>
      <c r="D520" s="12"/>
      <c r="E520" s="92"/>
      <c r="F520" s="10"/>
      <c r="G520" s="10"/>
      <c r="H520" s="10"/>
      <c r="I520" s="31"/>
      <c r="J520" s="13"/>
      <c r="K520" s="13"/>
      <c r="L520" s="13"/>
      <c r="M520" s="18">
        <f t="shared" si="86"/>
        <v>0</v>
      </c>
      <c r="N520" s="35"/>
      <c r="O520" s="18"/>
      <c r="P520" s="35"/>
      <c r="Q520" s="18"/>
      <c r="R520" s="18">
        <f t="shared" si="87"/>
        <v>0</v>
      </c>
      <c r="S520" s="18">
        <f t="shared" si="88"/>
        <v>0</v>
      </c>
      <c r="T520" s="18">
        <f t="shared" si="89"/>
        <v>0</v>
      </c>
      <c r="U520" s="12"/>
      <c r="V520" s="39"/>
      <c r="W520" s="39"/>
      <c r="X520" s="13"/>
      <c r="Y520" s="13"/>
    </row>
    <row r="521" spans="2:25" s="21" customFormat="1" ht="17.100000000000001" customHeight="1" x14ac:dyDescent="0.3">
      <c r="B521" s="12"/>
      <c r="C521" s="95"/>
      <c r="D521" s="12"/>
      <c r="E521" s="92"/>
      <c r="F521" s="10"/>
      <c r="G521" s="10"/>
      <c r="H521" s="10"/>
      <c r="I521" s="31"/>
      <c r="J521" s="13"/>
      <c r="K521" s="13"/>
      <c r="L521" s="13"/>
      <c r="M521" s="18">
        <f t="shared" si="86"/>
        <v>0</v>
      </c>
      <c r="N521" s="35"/>
      <c r="O521" s="18"/>
      <c r="P521" s="35"/>
      <c r="Q521" s="18"/>
      <c r="R521" s="18">
        <f t="shared" si="87"/>
        <v>0</v>
      </c>
      <c r="S521" s="18">
        <f t="shared" si="88"/>
        <v>0</v>
      </c>
      <c r="T521" s="18">
        <f t="shared" si="89"/>
        <v>0</v>
      </c>
      <c r="U521" s="12"/>
      <c r="V521" s="39"/>
      <c r="W521" s="39"/>
      <c r="X521" s="13"/>
      <c r="Y521" s="13"/>
    </row>
    <row r="522" spans="2:25" s="21" customFormat="1" ht="17.100000000000001" customHeight="1" x14ac:dyDescent="0.3">
      <c r="B522" s="12"/>
      <c r="C522" s="95"/>
      <c r="D522" s="12"/>
      <c r="E522" s="92"/>
      <c r="F522" s="10"/>
      <c r="G522" s="10"/>
      <c r="H522" s="10"/>
      <c r="I522" s="31"/>
      <c r="J522" s="13"/>
      <c r="K522" s="13"/>
      <c r="L522" s="13"/>
      <c r="M522" s="18">
        <f t="shared" si="86"/>
        <v>0</v>
      </c>
      <c r="N522" s="35"/>
      <c r="O522" s="18"/>
      <c r="P522" s="35"/>
      <c r="Q522" s="18"/>
      <c r="R522" s="18">
        <f t="shared" si="87"/>
        <v>0</v>
      </c>
      <c r="S522" s="18">
        <f t="shared" si="88"/>
        <v>0</v>
      </c>
      <c r="T522" s="18">
        <f t="shared" si="89"/>
        <v>0</v>
      </c>
      <c r="U522" s="12"/>
      <c r="V522" s="39"/>
      <c r="W522" s="39"/>
      <c r="X522" s="13"/>
      <c r="Y522" s="13"/>
    </row>
    <row r="523" spans="2:25" s="21" customFormat="1" ht="17.100000000000001" customHeight="1" x14ac:dyDescent="0.3">
      <c r="B523" s="12"/>
      <c r="C523" s="95"/>
      <c r="D523" s="12"/>
      <c r="E523" s="92"/>
      <c r="F523" s="10"/>
      <c r="G523" s="10"/>
      <c r="H523" s="10"/>
      <c r="I523" s="31"/>
      <c r="J523" s="13"/>
      <c r="K523" s="13"/>
      <c r="L523" s="13"/>
      <c r="M523" s="18">
        <f t="shared" si="86"/>
        <v>0</v>
      </c>
      <c r="N523" s="35"/>
      <c r="O523" s="18"/>
      <c r="P523" s="35"/>
      <c r="Q523" s="18"/>
      <c r="R523" s="18">
        <f t="shared" si="87"/>
        <v>0</v>
      </c>
      <c r="S523" s="18">
        <f t="shared" si="88"/>
        <v>0</v>
      </c>
      <c r="T523" s="18">
        <f t="shared" si="89"/>
        <v>0</v>
      </c>
      <c r="U523" s="12"/>
      <c r="V523" s="39"/>
      <c r="W523" s="39"/>
      <c r="X523" s="13"/>
      <c r="Y523" s="13"/>
    </row>
    <row r="524" spans="2:25" s="21" customFormat="1" ht="17.100000000000001" customHeight="1" x14ac:dyDescent="0.3">
      <c r="B524" s="12"/>
      <c r="C524" s="95"/>
      <c r="D524" s="12"/>
      <c r="E524" s="92"/>
      <c r="F524" s="10"/>
      <c r="G524" s="10"/>
      <c r="H524" s="10"/>
      <c r="I524" s="31"/>
      <c r="J524" s="13"/>
      <c r="K524" s="13"/>
      <c r="L524" s="13"/>
      <c r="M524" s="18">
        <f t="shared" si="86"/>
        <v>0</v>
      </c>
      <c r="N524" s="35"/>
      <c r="O524" s="18"/>
      <c r="P524" s="35"/>
      <c r="Q524" s="18"/>
      <c r="R524" s="18">
        <f t="shared" si="87"/>
        <v>0</v>
      </c>
      <c r="S524" s="18">
        <f t="shared" si="88"/>
        <v>0</v>
      </c>
      <c r="T524" s="18">
        <f t="shared" si="89"/>
        <v>0</v>
      </c>
      <c r="U524" s="12"/>
      <c r="V524" s="39"/>
      <c r="W524" s="39"/>
      <c r="X524" s="13"/>
      <c r="Y524" s="13"/>
    </row>
    <row r="525" spans="2:25" s="21" customFormat="1" ht="17.100000000000001" customHeight="1" x14ac:dyDescent="0.3">
      <c r="B525" s="12"/>
      <c r="C525" s="95"/>
      <c r="D525" s="12"/>
      <c r="E525" s="92"/>
      <c r="F525" s="10"/>
      <c r="G525" s="10"/>
      <c r="H525" s="10"/>
      <c r="I525" s="31"/>
      <c r="J525" s="13"/>
      <c r="K525" s="13"/>
      <c r="L525" s="13"/>
      <c r="M525" s="18">
        <f t="shared" si="86"/>
        <v>0</v>
      </c>
      <c r="N525" s="35"/>
      <c r="O525" s="18"/>
      <c r="P525" s="35"/>
      <c r="Q525" s="18"/>
      <c r="R525" s="18">
        <f t="shared" si="87"/>
        <v>0</v>
      </c>
      <c r="S525" s="18">
        <f t="shared" si="88"/>
        <v>0</v>
      </c>
      <c r="T525" s="18">
        <f t="shared" si="89"/>
        <v>0</v>
      </c>
      <c r="U525" s="12"/>
      <c r="V525" s="39"/>
      <c r="W525" s="39"/>
      <c r="X525" s="13"/>
      <c r="Y525" s="13"/>
    </row>
    <row r="526" spans="2:25" s="21" customFormat="1" ht="17.100000000000001" customHeight="1" x14ac:dyDescent="0.3">
      <c r="B526" s="12"/>
      <c r="C526" s="95"/>
      <c r="D526" s="12"/>
      <c r="E526" s="92"/>
      <c r="F526" s="10"/>
      <c r="G526" s="10"/>
      <c r="H526" s="10"/>
      <c r="I526" s="31"/>
      <c r="J526" s="13"/>
      <c r="K526" s="13"/>
      <c r="L526" s="13"/>
      <c r="M526" s="18">
        <f t="shared" si="86"/>
        <v>0</v>
      </c>
      <c r="N526" s="35"/>
      <c r="O526" s="18"/>
      <c r="P526" s="35"/>
      <c r="Q526" s="18"/>
      <c r="R526" s="18">
        <f t="shared" si="87"/>
        <v>0</v>
      </c>
      <c r="S526" s="18">
        <f t="shared" si="88"/>
        <v>0</v>
      </c>
      <c r="T526" s="18">
        <f t="shared" si="89"/>
        <v>0</v>
      </c>
      <c r="U526" s="12"/>
      <c r="V526" s="39"/>
      <c r="W526" s="39"/>
      <c r="X526" s="13"/>
      <c r="Y526" s="13"/>
    </row>
    <row r="527" spans="2:25" s="21" customFormat="1" ht="17.100000000000001" customHeight="1" x14ac:dyDescent="0.3">
      <c r="B527" s="12"/>
      <c r="C527" s="95"/>
      <c r="D527" s="12"/>
      <c r="E527" s="92"/>
      <c r="F527" s="10"/>
      <c r="G527" s="10"/>
      <c r="H527" s="10"/>
      <c r="I527" s="31"/>
      <c r="J527" s="13"/>
      <c r="K527" s="13"/>
      <c r="L527" s="13"/>
      <c r="M527" s="18">
        <f t="shared" si="86"/>
        <v>0</v>
      </c>
      <c r="N527" s="35"/>
      <c r="O527" s="18"/>
      <c r="P527" s="35"/>
      <c r="Q527" s="18"/>
      <c r="R527" s="18">
        <f t="shared" si="87"/>
        <v>0</v>
      </c>
      <c r="S527" s="18">
        <f t="shared" si="88"/>
        <v>0</v>
      </c>
      <c r="T527" s="18">
        <f t="shared" si="89"/>
        <v>0</v>
      </c>
      <c r="U527" s="12"/>
      <c r="V527" s="39"/>
      <c r="W527" s="39"/>
      <c r="X527" s="13"/>
      <c r="Y527" s="13"/>
    </row>
    <row r="528" spans="2:25" s="21" customFormat="1" ht="17.100000000000001" customHeight="1" x14ac:dyDescent="0.3">
      <c r="B528" s="12"/>
      <c r="C528" s="95"/>
      <c r="D528" s="12"/>
      <c r="E528" s="92"/>
      <c r="F528" s="10"/>
      <c r="G528" s="10"/>
      <c r="H528" s="10"/>
      <c r="I528" s="31"/>
      <c r="J528" s="13"/>
      <c r="K528" s="13"/>
      <c r="L528" s="13"/>
      <c r="M528" s="18">
        <f t="shared" si="86"/>
        <v>0</v>
      </c>
      <c r="N528" s="35"/>
      <c r="O528" s="18"/>
      <c r="P528" s="35"/>
      <c r="Q528" s="18"/>
      <c r="R528" s="18">
        <f t="shared" si="87"/>
        <v>0</v>
      </c>
      <c r="S528" s="18">
        <f t="shared" si="88"/>
        <v>0</v>
      </c>
      <c r="T528" s="18">
        <f t="shared" si="89"/>
        <v>0</v>
      </c>
      <c r="U528" s="12"/>
      <c r="V528" s="39"/>
      <c r="W528" s="39"/>
      <c r="X528" s="13"/>
      <c r="Y528" s="13"/>
    </row>
    <row r="529" spans="2:25" s="21" customFormat="1" ht="17.100000000000001" customHeight="1" x14ac:dyDescent="0.3">
      <c r="B529" s="12"/>
      <c r="C529" s="95"/>
      <c r="D529" s="12"/>
      <c r="E529" s="92"/>
      <c r="F529" s="10"/>
      <c r="G529" s="10"/>
      <c r="H529" s="10"/>
      <c r="I529" s="31"/>
      <c r="J529" s="13"/>
      <c r="K529" s="13"/>
      <c r="L529" s="13"/>
      <c r="M529" s="18">
        <f t="shared" si="86"/>
        <v>0</v>
      </c>
      <c r="N529" s="35"/>
      <c r="O529" s="18"/>
      <c r="P529" s="35"/>
      <c r="Q529" s="18"/>
      <c r="R529" s="18">
        <f t="shared" si="87"/>
        <v>0</v>
      </c>
      <c r="S529" s="18">
        <f t="shared" si="88"/>
        <v>0</v>
      </c>
      <c r="T529" s="18">
        <f t="shared" si="89"/>
        <v>0</v>
      </c>
      <c r="U529" s="12"/>
      <c r="V529" s="39"/>
      <c r="W529" s="39"/>
      <c r="X529" s="13"/>
      <c r="Y529" s="13"/>
    </row>
    <row r="530" spans="2:25" s="21" customFormat="1" ht="17.100000000000001" customHeight="1" x14ac:dyDescent="0.3">
      <c r="B530" s="12"/>
      <c r="C530" s="95"/>
      <c r="D530" s="12"/>
      <c r="E530" s="92"/>
      <c r="F530" s="10"/>
      <c r="G530" s="10"/>
      <c r="H530" s="10"/>
      <c r="I530" s="31"/>
      <c r="J530" s="13"/>
      <c r="K530" s="13"/>
      <c r="L530" s="13"/>
      <c r="M530" s="18">
        <f t="shared" si="86"/>
        <v>0</v>
      </c>
      <c r="N530" s="35"/>
      <c r="O530" s="18"/>
      <c r="P530" s="35"/>
      <c r="Q530" s="18"/>
      <c r="R530" s="18">
        <f t="shared" si="87"/>
        <v>0</v>
      </c>
      <c r="S530" s="18">
        <f t="shared" si="88"/>
        <v>0</v>
      </c>
      <c r="T530" s="18">
        <f t="shared" si="89"/>
        <v>0</v>
      </c>
      <c r="U530" s="12"/>
      <c r="V530" s="39"/>
      <c r="W530" s="39"/>
      <c r="X530" s="13"/>
      <c r="Y530" s="13"/>
    </row>
    <row r="531" spans="2:25" s="21" customFormat="1" ht="17.100000000000001" customHeight="1" x14ac:dyDescent="0.3">
      <c r="B531" s="12"/>
      <c r="C531" s="95"/>
      <c r="D531" s="12"/>
      <c r="E531" s="92"/>
      <c r="F531" s="10"/>
      <c r="G531" s="10"/>
      <c r="H531" s="10"/>
      <c r="I531" s="31"/>
      <c r="J531" s="13"/>
      <c r="K531" s="13"/>
      <c r="L531" s="13"/>
      <c r="M531" s="18">
        <f t="shared" si="86"/>
        <v>0</v>
      </c>
      <c r="N531" s="35"/>
      <c r="O531" s="18"/>
      <c r="P531" s="35"/>
      <c r="Q531" s="18"/>
      <c r="R531" s="18">
        <f t="shared" si="87"/>
        <v>0</v>
      </c>
      <c r="S531" s="18">
        <f t="shared" si="88"/>
        <v>0</v>
      </c>
      <c r="T531" s="18">
        <f t="shared" si="89"/>
        <v>0</v>
      </c>
      <c r="U531" s="12"/>
      <c r="V531" s="39"/>
      <c r="W531" s="39"/>
      <c r="X531" s="13"/>
      <c r="Y531" s="13"/>
    </row>
    <row r="532" spans="2:25" s="21" customFormat="1" ht="17.100000000000001" customHeight="1" x14ac:dyDescent="0.3">
      <c r="B532" s="12"/>
      <c r="C532" s="95"/>
      <c r="D532" s="12"/>
      <c r="E532" s="92"/>
      <c r="F532" s="10"/>
      <c r="G532" s="10"/>
      <c r="H532" s="10"/>
      <c r="I532" s="31"/>
      <c r="J532" s="13"/>
      <c r="K532" s="13"/>
      <c r="L532" s="13"/>
      <c r="M532" s="18">
        <f t="shared" si="86"/>
        <v>0</v>
      </c>
      <c r="N532" s="35"/>
      <c r="O532" s="18"/>
      <c r="P532" s="35"/>
      <c r="Q532" s="18"/>
      <c r="R532" s="18">
        <f t="shared" si="87"/>
        <v>0</v>
      </c>
      <c r="S532" s="18">
        <f t="shared" si="88"/>
        <v>0</v>
      </c>
      <c r="T532" s="18">
        <f t="shared" si="89"/>
        <v>0</v>
      </c>
      <c r="U532" s="12"/>
      <c r="V532" s="39"/>
      <c r="W532" s="39"/>
      <c r="X532" s="13"/>
      <c r="Y532" s="13"/>
    </row>
    <row r="533" spans="2:25" s="21" customFormat="1" ht="17.100000000000001" customHeight="1" x14ac:dyDescent="0.3">
      <c r="B533" s="12"/>
      <c r="C533" s="95"/>
      <c r="D533" s="12"/>
      <c r="E533" s="92"/>
      <c r="F533" s="10"/>
      <c r="G533" s="10"/>
      <c r="H533" s="10"/>
      <c r="I533" s="31"/>
      <c r="J533" s="13"/>
      <c r="K533" s="13"/>
      <c r="L533" s="13"/>
      <c r="M533" s="18">
        <f t="shared" si="86"/>
        <v>0</v>
      </c>
      <c r="N533" s="35"/>
      <c r="O533" s="18"/>
      <c r="P533" s="35"/>
      <c r="Q533" s="18"/>
      <c r="R533" s="18">
        <f t="shared" si="87"/>
        <v>0</v>
      </c>
      <c r="S533" s="18">
        <f t="shared" si="88"/>
        <v>0</v>
      </c>
      <c r="T533" s="18">
        <f t="shared" si="89"/>
        <v>0</v>
      </c>
      <c r="U533" s="12"/>
      <c r="V533" s="39"/>
      <c r="W533" s="39"/>
      <c r="X533" s="13"/>
      <c r="Y533" s="13"/>
    </row>
    <row r="534" spans="2:25" s="21" customFormat="1" ht="12" customHeight="1" x14ac:dyDescent="0.3">
      <c r="B534" s="12"/>
      <c r="C534" s="95"/>
      <c r="D534" s="12"/>
      <c r="E534" s="92"/>
      <c r="F534" s="10"/>
      <c r="G534" s="10"/>
      <c r="H534" s="10"/>
      <c r="I534" s="31"/>
      <c r="J534" s="13"/>
      <c r="K534" s="13"/>
      <c r="L534" s="13"/>
      <c r="M534" s="18">
        <f t="shared" si="86"/>
        <v>0</v>
      </c>
      <c r="N534" s="35"/>
      <c r="O534" s="18"/>
      <c r="P534" s="35"/>
      <c r="Q534" s="18"/>
      <c r="R534" s="18">
        <f t="shared" si="87"/>
        <v>0</v>
      </c>
      <c r="S534" s="18">
        <f t="shared" si="88"/>
        <v>0</v>
      </c>
      <c r="T534" s="18">
        <f t="shared" si="89"/>
        <v>0</v>
      </c>
      <c r="U534" s="12"/>
      <c r="V534" s="39"/>
      <c r="W534" s="39"/>
      <c r="X534" s="13"/>
      <c r="Y534" s="13"/>
    </row>
    <row r="535" spans="2:25" s="21" customFormat="1" ht="12" customHeight="1" x14ac:dyDescent="0.3">
      <c r="B535" s="12"/>
      <c r="C535" s="95"/>
      <c r="D535" s="12"/>
      <c r="E535" s="92"/>
      <c r="F535" s="10"/>
      <c r="G535" s="10"/>
      <c r="H535" s="10"/>
      <c r="I535" s="31"/>
      <c r="J535" s="13"/>
      <c r="K535" s="13"/>
      <c r="L535" s="13"/>
      <c r="M535" s="18">
        <f t="shared" si="86"/>
        <v>0</v>
      </c>
      <c r="N535" s="35"/>
      <c r="O535" s="18"/>
      <c r="P535" s="35"/>
      <c r="Q535" s="18"/>
      <c r="R535" s="18">
        <f t="shared" si="87"/>
        <v>0</v>
      </c>
      <c r="S535" s="18">
        <f t="shared" si="88"/>
        <v>0</v>
      </c>
      <c r="T535" s="18">
        <f t="shared" si="89"/>
        <v>0</v>
      </c>
      <c r="U535" s="12"/>
      <c r="V535" s="39"/>
      <c r="W535" s="39"/>
      <c r="X535" s="13"/>
      <c r="Y535" s="13"/>
    </row>
    <row r="536" spans="2:25" s="9" customFormat="1" ht="13.5" customHeight="1" x14ac:dyDescent="0.3">
      <c r="B536" s="7"/>
      <c r="C536" s="96"/>
      <c r="D536" s="7"/>
      <c r="E536" s="93"/>
      <c r="F536" s="5"/>
      <c r="G536" s="5"/>
      <c r="H536" s="5"/>
      <c r="I536" s="32"/>
      <c r="J536" s="8"/>
      <c r="K536" s="8"/>
      <c r="L536" s="8"/>
      <c r="M536" s="18">
        <f t="shared" si="86"/>
        <v>0</v>
      </c>
      <c r="N536" s="35"/>
      <c r="O536" s="18"/>
      <c r="P536" s="35"/>
      <c r="Q536" s="18"/>
      <c r="R536" s="18">
        <f t="shared" si="87"/>
        <v>0</v>
      </c>
      <c r="S536" s="18">
        <f t="shared" si="88"/>
        <v>0</v>
      </c>
      <c r="T536" s="18">
        <f t="shared" si="89"/>
        <v>0</v>
      </c>
      <c r="U536" s="7"/>
      <c r="V536" s="40"/>
      <c r="W536" s="40"/>
      <c r="X536" s="8"/>
      <c r="Y536" s="8"/>
    </row>
    <row r="537" spans="2:25" s="9" customFormat="1" ht="13.5" customHeight="1" x14ac:dyDescent="0.3">
      <c r="B537" s="7"/>
      <c r="C537" s="96"/>
      <c r="D537" s="7"/>
      <c r="E537" s="93"/>
      <c r="F537" s="5"/>
      <c r="G537" s="5"/>
      <c r="H537" s="5"/>
      <c r="I537" s="32"/>
      <c r="J537" s="8"/>
      <c r="K537" s="8"/>
      <c r="L537" s="8"/>
      <c r="M537" s="18">
        <f t="shared" si="86"/>
        <v>0</v>
      </c>
      <c r="N537" s="35"/>
      <c r="O537" s="18"/>
      <c r="P537" s="35"/>
      <c r="Q537" s="18"/>
      <c r="R537" s="18">
        <f t="shared" si="87"/>
        <v>0</v>
      </c>
      <c r="S537" s="18">
        <f t="shared" si="88"/>
        <v>0</v>
      </c>
      <c r="T537" s="18">
        <f t="shared" si="89"/>
        <v>0</v>
      </c>
      <c r="U537" s="7"/>
      <c r="V537" s="40"/>
      <c r="W537" s="40"/>
      <c r="X537" s="8"/>
      <c r="Y537" s="8"/>
    </row>
    <row r="538" spans="2:25" s="9" customFormat="1" ht="13.5" customHeight="1" x14ac:dyDescent="0.3">
      <c r="B538" s="7"/>
      <c r="C538" s="96"/>
      <c r="D538" s="7"/>
      <c r="E538" s="93"/>
      <c r="F538" s="5"/>
      <c r="G538" s="5"/>
      <c r="H538" s="5"/>
      <c r="I538" s="32"/>
      <c r="J538" s="8"/>
      <c r="K538" s="8"/>
      <c r="L538" s="8"/>
      <c r="M538" s="18">
        <f t="shared" si="86"/>
        <v>0</v>
      </c>
      <c r="N538" s="35"/>
      <c r="O538" s="18"/>
      <c r="P538" s="35"/>
      <c r="Q538" s="18"/>
      <c r="R538" s="18">
        <f t="shared" si="87"/>
        <v>0</v>
      </c>
      <c r="S538" s="18">
        <f t="shared" si="88"/>
        <v>0</v>
      </c>
      <c r="T538" s="18">
        <f t="shared" si="89"/>
        <v>0</v>
      </c>
      <c r="U538" s="7"/>
      <c r="V538" s="40"/>
      <c r="W538" s="40"/>
      <c r="X538" s="8"/>
      <c r="Y538" s="8"/>
    </row>
    <row r="539" spans="2:25" s="9" customFormat="1" ht="13.5" customHeight="1" x14ac:dyDescent="0.3">
      <c r="B539" s="7"/>
      <c r="C539" s="96"/>
      <c r="D539" s="7"/>
      <c r="E539" s="93"/>
      <c r="F539" s="5"/>
      <c r="G539" s="5"/>
      <c r="H539" s="5"/>
      <c r="I539" s="32"/>
      <c r="J539" s="8"/>
      <c r="K539" s="8"/>
      <c r="L539" s="8"/>
      <c r="M539" s="18">
        <f t="shared" si="86"/>
        <v>0</v>
      </c>
      <c r="N539" s="35"/>
      <c r="O539" s="18"/>
      <c r="P539" s="35"/>
      <c r="Q539" s="18"/>
      <c r="R539" s="18">
        <f t="shared" si="87"/>
        <v>0</v>
      </c>
      <c r="S539" s="18">
        <f t="shared" si="88"/>
        <v>0</v>
      </c>
      <c r="T539" s="18">
        <f t="shared" si="89"/>
        <v>0</v>
      </c>
      <c r="U539" s="7"/>
      <c r="V539" s="40"/>
      <c r="W539" s="40"/>
      <c r="X539" s="8"/>
      <c r="Y539" s="8"/>
    </row>
    <row r="540" spans="2:25" s="9" customFormat="1" ht="13.5" x14ac:dyDescent="0.3">
      <c r="B540" s="7"/>
      <c r="C540" s="96"/>
      <c r="D540" s="7"/>
      <c r="E540" s="93"/>
      <c r="F540" s="5"/>
      <c r="G540" s="5"/>
      <c r="H540" s="5"/>
      <c r="I540" s="32"/>
      <c r="J540" s="8"/>
      <c r="K540" s="8"/>
      <c r="L540" s="8"/>
      <c r="M540" s="18">
        <f t="shared" si="86"/>
        <v>0</v>
      </c>
      <c r="N540" s="35"/>
      <c r="O540" s="18"/>
      <c r="P540" s="35"/>
      <c r="Q540" s="18"/>
      <c r="R540" s="18">
        <f t="shared" si="87"/>
        <v>0</v>
      </c>
      <c r="S540" s="18">
        <f t="shared" si="88"/>
        <v>0</v>
      </c>
      <c r="T540" s="18">
        <f t="shared" si="89"/>
        <v>0</v>
      </c>
      <c r="U540" s="7"/>
      <c r="V540" s="40"/>
      <c r="W540" s="40"/>
      <c r="X540" s="8"/>
      <c r="Y540" s="8"/>
    </row>
    <row r="541" spans="2:25" s="9" customFormat="1" ht="13.5" x14ac:dyDescent="0.3">
      <c r="B541" s="7"/>
      <c r="C541" s="96"/>
      <c r="D541" s="7"/>
      <c r="E541" s="93"/>
      <c r="F541" s="5"/>
      <c r="G541" s="5"/>
      <c r="H541" s="5"/>
      <c r="I541" s="32"/>
      <c r="J541" s="8"/>
      <c r="K541" s="8"/>
      <c r="L541" s="8"/>
      <c r="M541" s="18">
        <f t="shared" si="86"/>
        <v>0</v>
      </c>
      <c r="N541" s="35"/>
      <c r="O541" s="18"/>
      <c r="P541" s="35"/>
      <c r="Q541" s="18"/>
      <c r="R541" s="18">
        <f t="shared" si="87"/>
        <v>0</v>
      </c>
      <c r="S541" s="18">
        <f t="shared" si="88"/>
        <v>0</v>
      </c>
      <c r="T541" s="18">
        <f t="shared" si="89"/>
        <v>0</v>
      </c>
      <c r="U541" s="7"/>
      <c r="V541" s="40"/>
      <c r="W541" s="40"/>
      <c r="X541" s="8"/>
      <c r="Y541" s="8"/>
    </row>
    <row r="542" spans="2:25" s="9" customFormat="1" ht="13.5" x14ac:dyDescent="0.3">
      <c r="B542" s="7"/>
      <c r="C542" s="96"/>
      <c r="D542" s="7"/>
      <c r="E542" s="93"/>
      <c r="F542" s="5"/>
      <c r="G542" s="5"/>
      <c r="H542" s="5"/>
      <c r="I542" s="32"/>
      <c r="J542" s="8"/>
      <c r="K542" s="8"/>
      <c r="L542" s="8"/>
      <c r="M542" s="8"/>
      <c r="N542" s="88"/>
      <c r="O542" s="8"/>
      <c r="P542" s="88"/>
      <c r="Q542" s="8"/>
      <c r="R542" s="8"/>
      <c r="S542" s="8"/>
      <c r="T542" s="8"/>
      <c r="U542" s="7"/>
      <c r="V542" s="40"/>
      <c r="W542" s="40"/>
      <c r="X542" s="8"/>
      <c r="Y542" s="8"/>
    </row>
    <row r="543" spans="2:25" s="9" customFormat="1" ht="13.5" x14ac:dyDescent="0.3">
      <c r="B543" s="7"/>
      <c r="C543" s="96"/>
      <c r="D543" s="7"/>
      <c r="E543" s="93"/>
      <c r="F543" s="5"/>
      <c r="G543" s="5"/>
      <c r="H543" s="5"/>
      <c r="I543" s="32"/>
      <c r="J543" s="8"/>
      <c r="K543" s="8"/>
      <c r="L543" s="8"/>
      <c r="M543" s="8"/>
      <c r="N543" s="88"/>
      <c r="O543" s="8"/>
      <c r="P543" s="88"/>
      <c r="Q543" s="8"/>
      <c r="R543" s="8"/>
      <c r="S543" s="8"/>
      <c r="T543" s="8"/>
      <c r="U543" s="7"/>
      <c r="V543" s="40"/>
      <c r="W543" s="40"/>
      <c r="X543" s="8"/>
      <c r="Y543" s="8"/>
    </row>
    <row r="544" spans="2:25" s="9" customFormat="1" ht="13.5" x14ac:dyDescent="0.3">
      <c r="B544" s="7"/>
      <c r="C544" s="96"/>
      <c r="D544" s="7"/>
      <c r="E544" s="93"/>
      <c r="F544" s="5"/>
      <c r="G544" s="5"/>
      <c r="H544" s="5"/>
      <c r="I544" s="32"/>
      <c r="J544" s="8"/>
      <c r="K544" s="8"/>
      <c r="L544" s="8"/>
      <c r="M544" s="8"/>
      <c r="N544" s="88"/>
      <c r="O544" s="8"/>
      <c r="P544" s="88"/>
      <c r="Q544" s="8"/>
      <c r="R544" s="8"/>
      <c r="S544" s="8"/>
      <c r="T544" s="8"/>
      <c r="U544" s="7"/>
      <c r="V544" s="40"/>
      <c r="W544" s="40"/>
      <c r="X544" s="8"/>
      <c r="Y544" s="8"/>
    </row>
    <row r="545" spans="1:32" s="9" customFormat="1" ht="13.5" x14ac:dyDescent="0.3">
      <c r="B545" s="7"/>
      <c r="C545" s="96"/>
      <c r="D545" s="7"/>
      <c r="E545" s="93"/>
      <c r="F545" s="5"/>
      <c r="G545" s="5"/>
      <c r="H545" s="5"/>
      <c r="I545" s="32"/>
      <c r="J545" s="8"/>
      <c r="K545" s="8"/>
      <c r="L545" s="8"/>
      <c r="M545" s="8"/>
      <c r="N545" s="88"/>
      <c r="O545" s="8"/>
      <c r="P545" s="88"/>
      <c r="Q545" s="8"/>
      <c r="R545" s="8"/>
      <c r="S545" s="8"/>
      <c r="T545" s="8">
        <f>SUBTOTAL(9,T5:T544)</f>
        <v>30447396593.536366</v>
      </c>
      <c r="U545" s="7"/>
      <c r="V545" s="40"/>
      <c r="W545" s="40"/>
      <c r="X545" s="8"/>
      <c r="Y545" s="8"/>
    </row>
    <row r="546" spans="1:32" s="3" customFormat="1" x14ac:dyDescent="0.3">
      <c r="A546"/>
      <c r="C546" s="97"/>
      <c r="E546" s="90"/>
      <c r="F546" s="1"/>
      <c r="G546" s="1"/>
      <c r="H546" s="1"/>
      <c r="I546" s="28"/>
      <c r="J546" s="4"/>
      <c r="K546" s="4"/>
      <c r="L546" s="4"/>
      <c r="M546" s="4"/>
      <c r="N546" s="87"/>
      <c r="O546" s="4"/>
      <c r="P546" s="87"/>
      <c r="Q546" s="4"/>
      <c r="R546" s="4"/>
      <c r="S546" s="4"/>
      <c r="T546" s="8"/>
      <c r="V546" s="37"/>
      <c r="W546" s="37"/>
      <c r="X546" s="4"/>
      <c r="Y546" s="4"/>
      <c r="Z546"/>
      <c r="AA546"/>
      <c r="AB546"/>
      <c r="AC546"/>
      <c r="AD546"/>
      <c r="AE546"/>
      <c r="AF546"/>
    </row>
    <row r="547" spans="1:32" s="3" customFormat="1" x14ac:dyDescent="0.3">
      <c r="A547"/>
      <c r="C547" s="97"/>
      <c r="E547" s="90"/>
      <c r="F547" s="1"/>
      <c r="G547" s="1"/>
      <c r="H547" s="1"/>
      <c r="I547" s="28"/>
      <c r="J547" s="4"/>
      <c r="K547" s="4"/>
      <c r="L547" s="4"/>
      <c r="M547" s="4"/>
      <c r="N547" s="87"/>
      <c r="O547" s="4"/>
      <c r="P547" s="87"/>
      <c r="Q547" s="4"/>
      <c r="R547" s="4"/>
      <c r="S547" s="4"/>
      <c r="T547" s="8"/>
      <c r="V547" s="37"/>
      <c r="W547" s="37"/>
      <c r="X547" s="4"/>
      <c r="Y547" s="4"/>
      <c r="Z547"/>
      <c r="AA547"/>
      <c r="AB547"/>
      <c r="AC547"/>
      <c r="AD547"/>
      <c r="AE547"/>
      <c r="AF547"/>
    </row>
    <row r="548" spans="1:32" s="3" customFormat="1" x14ac:dyDescent="0.3">
      <c r="A548"/>
      <c r="C548" s="97"/>
      <c r="E548" s="90"/>
      <c r="F548" s="1"/>
      <c r="G548" s="1"/>
      <c r="H548" s="1"/>
      <c r="I548" s="28"/>
      <c r="J548" s="4"/>
      <c r="K548" s="4"/>
      <c r="L548" s="4"/>
      <c r="M548" s="4"/>
      <c r="N548" s="87"/>
      <c r="O548" s="4"/>
      <c r="P548" s="87"/>
      <c r="Q548" s="4"/>
      <c r="R548" s="4"/>
      <c r="S548" s="4"/>
      <c r="T548" s="8"/>
      <c r="V548" s="37"/>
      <c r="W548" s="37"/>
      <c r="X548" s="4"/>
      <c r="Y548" s="4"/>
      <c r="Z548"/>
      <c r="AA548"/>
      <c r="AB548"/>
      <c r="AC548"/>
      <c r="AD548"/>
      <c r="AE548"/>
      <c r="AF548"/>
    </row>
    <row r="549" spans="1:32" s="3" customFormat="1" x14ac:dyDescent="0.3">
      <c r="A549"/>
      <c r="C549" s="97"/>
      <c r="E549" s="90"/>
      <c r="F549" s="1"/>
      <c r="G549" s="1"/>
      <c r="H549" s="1"/>
      <c r="I549" s="28"/>
      <c r="J549" s="4"/>
      <c r="K549" s="4"/>
      <c r="L549" s="4"/>
      <c r="M549" s="4"/>
      <c r="N549" s="87"/>
      <c r="O549" s="4"/>
      <c r="P549" s="87"/>
      <c r="Q549" s="4"/>
      <c r="R549" s="4"/>
      <c r="S549" s="4"/>
      <c r="T549" s="8"/>
      <c r="V549" s="37"/>
      <c r="W549" s="37"/>
      <c r="X549" s="4"/>
      <c r="Y549" s="4"/>
      <c r="Z549"/>
      <c r="AA549"/>
      <c r="AB549"/>
      <c r="AC549"/>
      <c r="AD549"/>
      <c r="AE549"/>
      <c r="AF549"/>
    </row>
    <row r="550" spans="1:32" s="3" customFormat="1" x14ac:dyDescent="0.3">
      <c r="A550"/>
      <c r="C550" s="97"/>
      <c r="E550" s="90"/>
      <c r="F550" s="1"/>
      <c r="G550" s="1"/>
      <c r="H550" s="1"/>
      <c r="I550" s="28"/>
      <c r="J550" s="4"/>
      <c r="K550" s="4"/>
      <c r="L550" s="4"/>
      <c r="M550" s="4"/>
      <c r="N550" s="87"/>
      <c r="O550" s="4"/>
      <c r="P550" s="87"/>
      <c r="Q550" s="4"/>
      <c r="R550" s="4"/>
      <c r="S550" s="4"/>
      <c r="T550" s="8"/>
      <c r="V550" s="37"/>
      <c r="W550" s="37"/>
      <c r="X550" s="4"/>
      <c r="Y550" s="4"/>
      <c r="Z550"/>
      <c r="AA550"/>
      <c r="AB550"/>
      <c r="AC550"/>
      <c r="AD550"/>
      <c r="AE550"/>
      <c r="AF550"/>
    </row>
    <row r="551" spans="1:32" s="3" customFormat="1" x14ac:dyDescent="0.3">
      <c r="A551"/>
      <c r="C551" s="97"/>
      <c r="E551" s="90"/>
      <c r="F551" s="1"/>
      <c r="G551" s="1"/>
      <c r="H551" s="1"/>
      <c r="I551" s="28"/>
      <c r="J551" s="4"/>
      <c r="K551" s="4"/>
      <c r="L551" s="4"/>
      <c r="M551" s="4"/>
      <c r="N551" s="87"/>
      <c r="O551" s="4"/>
      <c r="P551" s="87"/>
      <c r="Q551" s="4"/>
      <c r="R551" s="4"/>
      <c r="S551" s="4"/>
      <c r="T551" s="8"/>
      <c r="V551" s="37"/>
      <c r="W551" s="37"/>
      <c r="X551" s="4"/>
      <c r="Y551" s="4"/>
      <c r="Z551"/>
      <c r="AA551"/>
      <c r="AB551"/>
      <c r="AC551"/>
      <c r="AD551"/>
      <c r="AE551"/>
      <c r="AF551"/>
    </row>
    <row r="552" spans="1:32" s="3" customFormat="1" x14ac:dyDescent="0.3">
      <c r="A552"/>
      <c r="C552" s="97"/>
      <c r="E552" s="90"/>
      <c r="F552" s="1"/>
      <c r="G552" s="1"/>
      <c r="H552" s="1"/>
      <c r="I552" s="28"/>
      <c r="J552" s="4"/>
      <c r="K552" s="4"/>
      <c r="L552" s="4"/>
      <c r="M552" s="4"/>
      <c r="N552" s="87"/>
      <c r="O552" s="4"/>
      <c r="P552" s="87"/>
      <c r="Q552" s="4"/>
      <c r="R552" s="4"/>
      <c r="S552" s="4"/>
      <c r="T552" s="8"/>
      <c r="V552" s="37"/>
      <c r="W552" s="37"/>
      <c r="X552" s="4"/>
      <c r="Y552" s="4"/>
      <c r="Z552"/>
      <c r="AA552"/>
      <c r="AB552"/>
      <c r="AC552"/>
      <c r="AD552"/>
      <c r="AE552"/>
      <c r="AF552"/>
    </row>
    <row r="553" spans="1:32" s="3" customFormat="1" x14ac:dyDescent="0.3">
      <c r="A553"/>
      <c r="C553" s="97"/>
      <c r="E553" s="90"/>
      <c r="F553" s="1"/>
      <c r="G553" s="1"/>
      <c r="H553" s="1"/>
      <c r="I553" s="28"/>
      <c r="J553" s="4"/>
      <c r="K553" s="4"/>
      <c r="L553" s="4"/>
      <c r="M553" s="4"/>
      <c r="N553" s="87"/>
      <c r="O553" s="4"/>
      <c r="P553" s="87"/>
      <c r="Q553" s="4"/>
      <c r="R553" s="4"/>
      <c r="S553" s="4"/>
      <c r="T553" s="8"/>
      <c r="V553" s="37"/>
      <c r="W553" s="37"/>
      <c r="X553" s="4"/>
      <c r="Y553" s="4"/>
      <c r="Z553"/>
      <c r="AA553"/>
      <c r="AB553"/>
      <c r="AC553"/>
      <c r="AD553"/>
      <c r="AE553"/>
      <c r="AF553"/>
    </row>
  </sheetData>
  <sheetProtection formatCells="0" formatColumns="0" formatRows="0" insertColumns="0"/>
  <autoFilter ref="U2:U541" xr:uid="{00000000-0009-0000-0000-000003000000}"/>
  <mergeCells count="98">
    <mergeCell ref="F134:F156"/>
    <mergeCell ref="B119:AA119"/>
    <mergeCell ref="F120:F127"/>
    <mergeCell ref="C120:C127"/>
    <mergeCell ref="B124:B127"/>
    <mergeCell ref="J130:J131"/>
    <mergeCell ref="J124:J127"/>
    <mergeCell ref="I129:I132"/>
    <mergeCell ref="G129:G132"/>
    <mergeCell ref="B120:B121"/>
    <mergeCell ref="H129:H132"/>
    <mergeCell ref="B122:B123"/>
    <mergeCell ref="B130:B131"/>
    <mergeCell ref="C129:C132"/>
    <mergeCell ref="F129:F132"/>
    <mergeCell ref="G120:G127"/>
    <mergeCell ref="I120:I127"/>
    <mergeCell ref="G134:G156"/>
    <mergeCell ref="H134:H156"/>
    <mergeCell ref="J137:J141"/>
    <mergeCell ref="I134:I156"/>
    <mergeCell ref="H120:H127"/>
    <mergeCell ref="J120:J121"/>
    <mergeCell ref="J146:J147"/>
    <mergeCell ref="J148:J156"/>
    <mergeCell ref="J134:J136"/>
    <mergeCell ref="J142:J145"/>
    <mergeCell ref="J122:J123"/>
    <mergeCell ref="J159:J168"/>
    <mergeCell ref="B160:B167"/>
    <mergeCell ref="C159:C168"/>
    <mergeCell ref="F159:F168"/>
    <mergeCell ref="G159:G168"/>
    <mergeCell ref="H159:H168"/>
    <mergeCell ref="I159:I168"/>
    <mergeCell ref="B146:B147"/>
    <mergeCell ref="C134:C157"/>
    <mergeCell ref="B134:B136"/>
    <mergeCell ref="B148:B156"/>
    <mergeCell ref="B142:B145"/>
    <mergeCell ref="B137:B141"/>
    <mergeCell ref="AA2:AA4"/>
    <mergeCell ref="J3:J4"/>
    <mergeCell ref="L3:L4"/>
    <mergeCell ref="V2:V4"/>
    <mergeCell ref="W2:W4"/>
    <mergeCell ref="X2:X4"/>
    <mergeCell ref="Y2:Y4"/>
    <mergeCell ref="Z2:Z4"/>
    <mergeCell ref="J2:T2"/>
    <mergeCell ref="U2:U4"/>
    <mergeCell ref="M3:M4"/>
    <mergeCell ref="T3:T4"/>
    <mergeCell ref="N4:O4"/>
    <mergeCell ref="K3:K4"/>
    <mergeCell ref="S3:S4"/>
    <mergeCell ref="N3:Q3"/>
    <mergeCell ref="R3:R4"/>
    <mergeCell ref="P4:Q4"/>
    <mergeCell ref="I2:I4"/>
    <mergeCell ref="F2:G2"/>
    <mergeCell ref="H2:H4"/>
    <mergeCell ref="G3:G4"/>
    <mergeCell ref="F3:F4"/>
    <mergeCell ref="I6:I26"/>
    <mergeCell ref="J6:J26"/>
    <mergeCell ref="A2:A4"/>
    <mergeCell ref="B2:B4"/>
    <mergeCell ref="E2:E4"/>
    <mergeCell ref="C2:C4"/>
    <mergeCell ref="D2:D4"/>
    <mergeCell ref="H6:H26"/>
    <mergeCell ref="J32:J41"/>
    <mergeCell ref="I32:I41"/>
    <mergeCell ref="H32:H41"/>
    <mergeCell ref="J66:J72"/>
    <mergeCell ref="C66:C72"/>
    <mergeCell ref="J46:J62"/>
    <mergeCell ref="I46:I62"/>
    <mergeCell ref="H46:H62"/>
    <mergeCell ref="C46:C62"/>
    <mergeCell ref="B46:B62"/>
    <mergeCell ref="F46:F62"/>
    <mergeCell ref="F6:F26"/>
    <mergeCell ref="C6:C26"/>
    <mergeCell ref="B21:B26"/>
    <mergeCell ref="C32:C41"/>
    <mergeCell ref="B32:B41"/>
    <mergeCell ref="F32:F41"/>
    <mergeCell ref="B6:B17"/>
    <mergeCell ref="B18:B20"/>
    <mergeCell ref="B73:B88"/>
    <mergeCell ref="J73:J88"/>
    <mergeCell ref="I66:I88"/>
    <mergeCell ref="H66:H88"/>
    <mergeCell ref="F66:F88"/>
    <mergeCell ref="C73:C88"/>
    <mergeCell ref="B66:B72"/>
  </mergeCells>
  <phoneticPr fontId="2" type="noConversion"/>
  <conditionalFormatting sqref="F1:G6 G7:G29 F30:G32 G33:G41 F42:G46 G47:G62 F63:G71 G72:G88 F89:G118 F120:G120 F128:G134 F157:G1048576">
    <cfRule type="containsText" dxfId="33" priority="5" operator="containsText" text="지역난방">
      <formula>NOT(ISERROR(SEARCH("지역난방",F1)))</formula>
    </cfRule>
    <cfRule type="containsText" dxfId="32" priority="6" operator="containsText" text="상수도">
      <formula>NOT(ISERROR(SEARCH("상수도",F1)))</formula>
    </cfRule>
  </conditionalFormatting>
  <conditionalFormatting sqref="T5:T118 T120:T541">
    <cfRule type="cellIs" dxfId="31" priority="3" operator="greaterThan">
      <formula>50000000</formula>
    </cfRule>
  </conditionalFormatting>
  <conditionalFormatting sqref="AA1:AA118 AA120:AA1048576">
    <cfRule type="containsText" dxfId="30" priority="25" operator="containsText" text="원도급">
      <formula>NOT(ISERROR(SEARCH("원도급",AA1)))</formula>
    </cfRule>
    <cfRule type="containsText" dxfId="29" priority="26" operator="containsText" text="하도급">
      <formula>NOT(ISERROR(SEARCH("하도급",AA1)))</formula>
    </cfRule>
  </conditionalFormatting>
  <hyperlinks>
    <hyperlink ref="W66" r:id="rId1" display="\\Dhcmain\(주)대호스토퍼\0영업사항(견적서)\AA지역별 견적현황\2023년\경상북도\구미 하이테크 산업단지-수공, KCC건설" xr:uid="{00000000-0004-0000-0300-000000000000}"/>
    <hyperlink ref="W6" r:id="rId2" xr:uid="{00000000-0004-0000-0300-000001000000}"/>
  </hyperlinks>
  <pageMargins left="0.70866141732283472" right="0.70866141732283472" top="0.74803149606299213" bottom="0.74803149606299213" header="0.31496062992125984" footer="0.31496062992125984"/>
  <pageSetup paperSize="8" scale="12" orientation="portrait" verticalDpi="1200" r:id="rId3"/>
  <ignoredErrors>
    <ignoredError sqref="M6 M12 M10" formula="1"/>
  </ignoredErrors>
  <drawing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9" tint="0.79998168889431442"/>
    <pageSetUpPr fitToPage="1"/>
  </sheetPr>
  <dimension ref="A1:V347"/>
  <sheetViews>
    <sheetView workbookViewId="0">
      <pane xSplit="4" ySplit="3" topLeftCell="E14" activePane="bottomRight" state="frozen"/>
      <selection activeCell="N27" sqref="N27"/>
      <selection pane="topRight" activeCell="N27" sqref="N27"/>
      <selection pane="bottomLeft" activeCell="N27" sqref="N27"/>
      <selection pane="bottomRight" activeCell="D23" sqref="D23"/>
    </sheetView>
  </sheetViews>
  <sheetFormatPr defaultRowHeight="16.5" x14ac:dyDescent="0.3"/>
  <cols>
    <col min="1" max="1" width="5.75" hidden="1" customWidth="1"/>
    <col min="2" max="3" width="7.625" style="3" customWidth="1"/>
    <col min="4" max="4" width="28.375" customWidth="1"/>
    <col min="5" max="5" width="15.375" hidden="1" customWidth="1"/>
    <col min="6" max="7" width="7.125" style="1" hidden="1" customWidth="1"/>
    <col min="8" max="8" width="10.125" style="1" hidden="1" customWidth="1"/>
    <col min="9" max="9" width="7.125" style="1" hidden="1" customWidth="1"/>
    <col min="10" max="10" width="14.75" style="1" customWidth="1"/>
    <col min="11" max="11" width="16.625" style="28" customWidth="1"/>
    <col min="12" max="14" width="14.625" style="4" customWidth="1"/>
    <col min="15" max="15" width="9" style="3" customWidth="1"/>
    <col min="16" max="16" width="40.25" hidden="1" customWidth="1"/>
    <col min="17" max="17" width="23.25" style="37" bestFit="1" customWidth="1"/>
    <col min="18" max="18" width="9" style="37"/>
    <col min="19" max="20" width="15.25" style="4" customWidth="1"/>
    <col min="21" max="21" width="11.125" customWidth="1"/>
    <col min="22" max="22" width="6" customWidth="1"/>
  </cols>
  <sheetData>
    <row r="1" spans="1:22" x14ac:dyDescent="0.3">
      <c r="B1" t="s">
        <v>81</v>
      </c>
    </row>
    <row r="2" spans="1:22" s="14" customFormat="1" ht="16.5" customHeight="1" x14ac:dyDescent="0.3">
      <c r="A2" s="248" t="s">
        <v>0</v>
      </c>
      <c r="B2" s="244" t="s">
        <v>5</v>
      </c>
      <c r="C2" s="244" t="s">
        <v>6</v>
      </c>
      <c r="D2" s="228" t="s">
        <v>1</v>
      </c>
      <c r="E2" s="233" t="s">
        <v>15</v>
      </c>
      <c r="F2" s="291" t="s">
        <v>18</v>
      </c>
      <c r="G2" s="292"/>
      <c r="H2" s="291" t="s">
        <v>4</v>
      </c>
      <c r="I2" s="292"/>
      <c r="J2" s="228" t="s">
        <v>7</v>
      </c>
      <c r="K2" s="229" t="s">
        <v>8</v>
      </c>
      <c r="L2" s="242" t="s">
        <v>9</v>
      </c>
      <c r="M2" s="242"/>
      <c r="N2" s="236" t="s">
        <v>2173</v>
      </c>
      <c r="O2" s="244" t="s">
        <v>12</v>
      </c>
      <c r="P2" s="228" t="s">
        <v>14</v>
      </c>
      <c r="Q2" s="247" t="s">
        <v>22</v>
      </c>
      <c r="R2" s="247" t="s">
        <v>13</v>
      </c>
      <c r="S2" s="230" t="s">
        <v>431</v>
      </c>
      <c r="T2" s="230" t="s">
        <v>425</v>
      </c>
      <c r="U2" s="233" t="s">
        <v>426</v>
      </c>
      <c r="V2" s="257" t="s">
        <v>632</v>
      </c>
    </row>
    <row r="3" spans="1:22" s="14" customFormat="1" x14ac:dyDescent="0.3">
      <c r="A3" s="248"/>
      <c r="B3" s="244"/>
      <c r="C3" s="244"/>
      <c r="D3" s="228"/>
      <c r="E3" s="235"/>
      <c r="F3" s="25" t="s">
        <v>19</v>
      </c>
      <c r="G3" s="25" t="s">
        <v>20</v>
      </c>
      <c r="H3" s="25" t="s">
        <v>2</v>
      </c>
      <c r="I3" s="25" t="s">
        <v>3</v>
      </c>
      <c r="J3" s="228"/>
      <c r="K3" s="229"/>
      <c r="L3" s="27" t="s">
        <v>11</v>
      </c>
      <c r="M3" s="27" t="s">
        <v>1237</v>
      </c>
      <c r="N3" s="237"/>
      <c r="O3" s="244"/>
      <c r="P3" s="228"/>
      <c r="Q3" s="247"/>
      <c r="R3" s="247"/>
      <c r="S3" s="232"/>
      <c r="T3" s="232"/>
      <c r="U3" s="235"/>
      <c r="V3" s="258"/>
    </row>
    <row r="4" spans="1:22" s="20" customFormat="1" ht="30" hidden="1" customHeight="1" x14ac:dyDescent="0.3">
      <c r="B4" s="17"/>
      <c r="C4" s="17"/>
      <c r="F4" s="15"/>
      <c r="G4" s="15"/>
      <c r="H4" s="15"/>
      <c r="I4" s="15"/>
      <c r="J4" s="15"/>
      <c r="K4" s="15"/>
      <c r="L4" s="19"/>
      <c r="M4" s="18"/>
      <c r="N4" s="18"/>
      <c r="O4" s="17"/>
      <c r="Q4" s="22"/>
      <c r="R4" s="38"/>
      <c r="S4" s="19"/>
      <c r="T4" s="19"/>
    </row>
    <row r="5" spans="1:22" s="20" customFormat="1" ht="30" hidden="1" customHeight="1" x14ac:dyDescent="0.3">
      <c r="B5" s="17"/>
      <c r="C5" s="17"/>
      <c r="F5" s="15"/>
      <c r="G5" s="15"/>
      <c r="H5" s="15"/>
      <c r="I5" s="15"/>
      <c r="J5" s="15"/>
      <c r="K5" s="29"/>
      <c r="L5" s="19"/>
      <c r="M5" s="18"/>
      <c r="N5" s="18"/>
      <c r="O5" s="17"/>
      <c r="Q5" s="22"/>
      <c r="R5" s="38"/>
      <c r="S5" s="19"/>
      <c r="T5" s="19"/>
    </row>
    <row r="6" spans="1:22" s="20" customFormat="1" ht="30" hidden="1" customHeight="1" x14ac:dyDescent="0.3">
      <c r="B6" s="17"/>
      <c r="C6" s="17"/>
      <c r="F6" s="15"/>
      <c r="G6" s="15"/>
      <c r="H6" s="15"/>
      <c r="I6" s="15"/>
      <c r="J6" s="15"/>
      <c r="K6" s="29"/>
      <c r="L6" s="19"/>
      <c r="M6" s="18"/>
      <c r="N6" s="18"/>
      <c r="O6" s="17"/>
      <c r="Q6" s="22"/>
      <c r="R6" s="38"/>
      <c r="S6" s="19"/>
      <c r="T6" s="19"/>
    </row>
    <row r="7" spans="1:22" s="20" customFormat="1" ht="30" hidden="1" customHeight="1" x14ac:dyDescent="0.3">
      <c r="B7" s="75"/>
      <c r="C7" s="75"/>
      <c r="D7" s="76" t="s">
        <v>1234</v>
      </c>
      <c r="E7" s="140"/>
      <c r="F7" s="140"/>
      <c r="G7" s="140"/>
      <c r="H7" s="140"/>
      <c r="I7" s="140"/>
      <c r="J7" s="287" t="s">
        <v>1235</v>
      </c>
      <c r="K7" s="288"/>
      <c r="L7" s="74"/>
      <c r="M7" s="143">
        <f>M4+M5+M6</f>
        <v>0</v>
      </c>
      <c r="N7" s="143">
        <f>N4+N5+N6</f>
        <v>0</v>
      </c>
      <c r="O7" s="17"/>
      <c r="Q7" s="22"/>
      <c r="R7" s="38"/>
      <c r="S7" s="19"/>
      <c r="T7" s="19"/>
    </row>
    <row r="8" spans="1:22" s="20" customFormat="1" ht="30" customHeight="1" x14ac:dyDescent="0.3">
      <c r="B8" s="17">
        <v>45253</v>
      </c>
      <c r="C8" s="17">
        <v>45287</v>
      </c>
      <c r="D8" s="20" t="s">
        <v>1919</v>
      </c>
      <c r="E8" s="15" t="s">
        <v>1980</v>
      </c>
      <c r="F8" s="15" t="s">
        <v>25</v>
      </c>
      <c r="G8" s="15" t="s">
        <v>21</v>
      </c>
      <c r="H8" s="16" t="s">
        <v>546</v>
      </c>
      <c r="I8" s="15">
        <v>1</v>
      </c>
      <c r="J8" s="15" t="s">
        <v>1920</v>
      </c>
      <c r="K8" s="29" t="s">
        <v>1736</v>
      </c>
      <c r="L8" s="19">
        <v>62700000</v>
      </c>
      <c r="M8" s="127"/>
      <c r="N8" s="18"/>
      <c r="O8" s="17"/>
      <c r="Q8" s="22"/>
      <c r="R8" s="38" t="s">
        <v>2749</v>
      </c>
      <c r="S8" s="19"/>
      <c r="T8" s="19"/>
    </row>
    <row r="9" spans="1:22" s="20" customFormat="1" ht="30" customHeight="1" x14ac:dyDescent="0.3">
      <c r="B9" s="17">
        <v>45355</v>
      </c>
      <c r="C9" s="17">
        <v>45377</v>
      </c>
      <c r="D9" s="22" t="s">
        <v>2027</v>
      </c>
      <c r="E9" s="15" t="s">
        <v>2026</v>
      </c>
      <c r="F9" s="15" t="s">
        <v>25</v>
      </c>
      <c r="G9" s="15" t="s">
        <v>21</v>
      </c>
      <c r="H9" s="16">
        <v>1200</v>
      </c>
      <c r="I9" s="15">
        <v>1</v>
      </c>
      <c r="J9" s="15" t="s">
        <v>1920</v>
      </c>
      <c r="K9" s="29" t="s">
        <v>1736</v>
      </c>
      <c r="L9" s="19">
        <v>65300000</v>
      </c>
      <c r="M9" s="127"/>
      <c r="N9" s="18"/>
      <c r="O9" s="17"/>
      <c r="Q9" s="22"/>
      <c r="R9" s="38"/>
      <c r="S9" s="19"/>
      <c r="T9" s="19"/>
    </row>
    <row r="10" spans="1:22" s="20" customFormat="1" ht="30" customHeight="1" x14ac:dyDescent="0.3">
      <c r="B10" s="17">
        <v>45357</v>
      </c>
      <c r="C10" s="17">
        <v>45399</v>
      </c>
      <c r="D10" s="22" t="s">
        <v>2040</v>
      </c>
      <c r="E10" s="15" t="s">
        <v>2036</v>
      </c>
      <c r="F10" s="15" t="s">
        <v>25</v>
      </c>
      <c r="G10" s="15" t="s">
        <v>21</v>
      </c>
      <c r="H10" s="16" t="s">
        <v>2038</v>
      </c>
      <c r="I10" s="15">
        <v>1</v>
      </c>
      <c r="J10" s="15" t="s">
        <v>1920</v>
      </c>
      <c r="K10" s="29" t="s">
        <v>1736</v>
      </c>
      <c r="L10" s="19">
        <v>489500000</v>
      </c>
      <c r="M10" s="127"/>
      <c r="N10" s="18"/>
      <c r="O10" s="17"/>
      <c r="Q10" s="22"/>
      <c r="R10" s="38"/>
      <c r="S10" s="19"/>
      <c r="T10" s="19"/>
    </row>
    <row r="11" spans="1:22" s="20" customFormat="1" ht="30" customHeight="1" x14ac:dyDescent="0.3">
      <c r="B11" s="17">
        <v>45390</v>
      </c>
      <c r="C11" s="17">
        <v>45394</v>
      </c>
      <c r="D11" s="22" t="s">
        <v>2082</v>
      </c>
      <c r="E11" s="15" t="s">
        <v>2088</v>
      </c>
      <c r="F11" s="15" t="s">
        <v>2083</v>
      </c>
      <c r="G11" s="15" t="s">
        <v>21</v>
      </c>
      <c r="H11" s="16" t="s">
        <v>2084</v>
      </c>
      <c r="I11" s="15">
        <v>1</v>
      </c>
      <c r="J11" s="15"/>
      <c r="K11" s="29" t="s">
        <v>2085</v>
      </c>
      <c r="L11" s="19">
        <v>25000000</v>
      </c>
      <c r="M11" s="18"/>
      <c r="N11" s="18"/>
      <c r="O11" s="17"/>
      <c r="Q11" s="22"/>
      <c r="R11" s="38"/>
      <c r="S11" s="19"/>
      <c r="T11" s="19"/>
    </row>
    <row r="12" spans="1:22" s="20" customFormat="1" ht="30" customHeight="1" x14ac:dyDescent="0.3">
      <c r="B12" s="17">
        <v>45428</v>
      </c>
      <c r="C12" s="17">
        <v>45433</v>
      </c>
      <c r="D12" s="22" t="s">
        <v>2143</v>
      </c>
      <c r="E12" s="15" t="s">
        <v>2142</v>
      </c>
      <c r="F12" s="15" t="s">
        <v>25</v>
      </c>
      <c r="G12" s="15" t="s">
        <v>26</v>
      </c>
      <c r="H12" s="16" t="s">
        <v>2144</v>
      </c>
      <c r="I12" s="15">
        <v>1</v>
      </c>
      <c r="J12" s="15"/>
      <c r="K12" s="29" t="s">
        <v>2145</v>
      </c>
      <c r="L12" s="19">
        <v>22000000</v>
      </c>
      <c r="M12" s="18"/>
      <c r="N12" s="18"/>
      <c r="O12" s="17"/>
      <c r="Q12" s="22"/>
      <c r="R12" s="38"/>
      <c r="S12" s="19"/>
      <c r="T12" s="19"/>
    </row>
    <row r="13" spans="1:22" s="20" customFormat="1" ht="30" customHeight="1" x14ac:dyDescent="0.3">
      <c r="B13" s="281" t="s">
        <v>2212</v>
      </c>
      <c r="C13" s="282"/>
      <c r="D13" s="282"/>
      <c r="E13" s="282"/>
      <c r="F13" s="283"/>
      <c r="G13" s="146"/>
      <c r="H13" s="147"/>
      <c r="I13" s="146"/>
      <c r="J13" s="146"/>
      <c r="K13" s="148"/>
      <c r="L13" s="122">
        <f>SUM(L8:L12)</f>
        <v>664500000</v>
      </c>
      <c r="M13" s="129"/>
      <c r="N13" s="129"/>
      <c r="O13" s="80"/>
      <c r="Q13" s="22"/>
      <c r="R13" s="38"/>
      <c r="S13" s="19"/>
      <c r="T13" s="19"/>
    </row>
    <row r="14" spans="1:22" s="20" customFormat="1" ht="30" customHeight="1" x14ac:dyDescent="0.3">
      <c r="B14" s="17"/>
      <c r="C14" s="17"/>
      <c r="D14" s="22" t="s">
        <v>2213</v>
      </c>
      <c r="E14" s="56"/>
      <c r="F14" s="56"/>
      <c r="G14" s="56"/>
      <c r="H14" s="145"/>
      <c r="I14" s="56"/>
      <c r="J14" s="56"/>
      <c r="K14" s="51"/>
      <c r="L14" s="127">
        <v>-300000000</v>
      </c>
      <c r="M14" s="18"/>
      <c r="N14" s="127"/>
      <c r="O14" s="17"/>
      <c r="Q14" s="22"/>
      <c r="R14" s="38"/>
      <c r="S14" s="19" t="s">
        <v>2512</v>
      </c>
      <c r="T14" s="19"/>
    </row>
    <row r="15" spans="1:22" s="20" customFormat="1" ht="30" customHeight="1" x14ac:dyDescent="0.3">
      <c r="B15" s="17"/>
      <c r="C15" s="17"/>
      <c r="D15" s="22" t="s">
        <v>2214</v>
      </c>
      <c r="E15" s="56"/>
      <c r="F15" s="56"/>
      <c r="G15" s="56"/>
      <c r="H15" s="145"/>
      <c r="I15" s="56"/>
      <c r="J15" s="56"/>
      <c r="K15" s="51"/>
      <c r="L15" s="127">
        <v>-100000000</v>
      </c>
      <c r="M15" s="18"/>
      <c r="N15" s="127"/>
      <c r="O15" s="17"/>
      <c r="Q15" s="22" t="s">
        <v>2215</v>
      </c>
      <c r="R15" s="38"/>
      <c r="S15" s="19" t="s">
        <v>2512</v>
      </c>
      <c r="T15" s="19"/>
    </row>
    <row r="16" spans="1:22" s="20" customFormat="1" ht="30" hidden="1" customHeight="1" x14ac:dyDescent="0.3">
      <c r="B16" s="17"/>
      <c r="C16" s="17"/>
      <c r="D16" s="22" t="s">
        <v>2514</v>
      </c>
      <c r="E16" s="56"/>
      <c r="F16" s="56"/>
      <c r="G16" s="56"/>
      <c r="H16" s="145"/>
      <c r="I16" s="56"/>
      <c r="J16" s="56"/>
      <c r="K16" s="51"/>
      <c r="L16" s="19">
        <v>-40000000</v>
      </c>
      <c r="M16" s="18"/>
      <c r="N16" s="18"/>
      <c r="O16" s="17"/>
      <c r="Q16" s="22"/>
      <c r="R16" s="38"/>
      <c r="S16" s="19"/>
      <c r="T16" s="19"/>
    </row>
    <row r="17" spans="2:20" s="20" customFormat="1" ht="30" customHeight="1" x14ac:dyDescent="0.3">
      <c r="B17" s="17"/>
      <c r="C17" s="17"/>
      <c r="D17" s="157" t="s">
        <v>2515</v>
      </c>
      <c r="E17" s="56"/>
      <c r="F17" s="56"/>
      <c r="G17" s="56"/>
      <c r="H17" s="145"/>
      <c r="I17" s="56"/>
      <c r="J17" s="56"/>
      <c r="K17" s="51"/>
      <c r="L17" s="19">
        <v>-50000000</v>
      </c>
      <c r="M17" s="18"/>
      <c r="N17" s="18"/>
      <c r="O17" s="17">
        <v>45474</v>
      </c>
      <c r="Q17" s="22"/>
      <c r="R17" s="38"/>
      <c r="S17" s="19"/>
      <c r="T17" s="19"/>
    </row>
    <row r="18" spans="2:20" s="20" customFormat="1" ht="30" customHeight="1" x14ac:dyDescent="0.3">
      <c r="B18" s="17"/>
      <c r="C18" s="17"/>
      <c r="D18" s="157" t="s">
        <v>2516</v>
      </c>
      <c r="E18" s="56"/>
      <c r="F18" s="56"/>
      <c r="G18" s="56"/>
      <c r="H18" s="145"/>
      <c r="I18" s="56"/>
      <c r="J18" s="56" t="s">
        <v>2325</v>
      </c>
      <c r="K18" s="51"/>
      <c r="L18" s="19">
        <v>-13000000</v>
      </c>
      <c r="M18" s="18"/>
      <c r="N18" s="18"/>
      <c r="O18" s="17">
        <v>45535</v>
      </c>
      <c r="Q18" s="22" t="s">
        <v>2473</v>
      </c>
      <c r="R18" s="38"/>
      <c r="S18" s="19"/>
      <c r="T18" s="19"/>
    </row>
    <row r="19" spans="2:20" s="20" customFormat="1" ht="30" hidden="1" customHeight="1" x14ac:dyDescent="0.3">
      <c r="B19" s="17"/>
      <c r="C19" s="17"/>
      <c r="D19" s="157" t="s">
        <v>2513</v>
      </c>
      <c r="E19" s="56"/>
      <c r="F19" s="56"/>
      <c r="G19" s="56"/>
      <c r="H19" s="145"/>
      <c r="I19" s="56"/>
      <c r="J19" s="56" t="s">
        <v>2326</v>
      </c>
      <c r="K19" s="51"/>
      <c r="L19" s="19">
        <v>-7000000</v>
      </c>
      <c r="M19" s="18"/>
      <c r="N19" s="18"/>
      <c r="O19" s="17">
        <v>45545</v>
      </c>
      <c r="Q19" s="22" t="s">
        <v>2473</v>
      </c>
      <c r="R19" s="38"/>
      <c r="S19" s="19"/>
      <c r="T19" s="19"/>
    </row>
    <row r="20" spans="2:20" s="20" customFormat="1" ht="30" customHeight="1" x14ac:dyDescent="0.3">
      <c r="B20" s="48"/>
      <c r="C20" s="49"/>
      <c r="D20" s="157" t="s">
        <v>2517</v>
      </c>
      <c r="E20" s="56"/>
      <c r="F20" s="56"/>
      <c r="G20" s="56"/>
      <c r="H20" s="145"/>
      <c r="I20" s="56"/>
      <c r="J20" s="56" t="s">
        <v>2325</v>
      </c>
      <c r="K20" s="51"/>
      <c r="L20" s="19">
        <v>-21300000</v>
      </c>
      <c r="M20" s="18"/>
      <c r="N20" s="18"/>
      <c r="O20" s="17">
        <v>45621</v>
      </c>
      <c r="Q20" s="22" t="s">
        <v>2480</v>
      </c>
      <c r="R20" s="38"/>
      <c r="S20" s="19"/>
      <c r="T20" s="19"/>
    </row>
    <row r="21" spans="2:20" s="20" customFormat="1" ht="30" customHeight="1" x14ac:dyDescent="0.3">
      <c r="B21" s="48"/>
      <c r="C21" s="49"/>
      <c r="D21" s="157" t="s">
        <v>2541</v>
      </c>
      <c r="E21" s="56"/>
      <c r="F21" s="56"/>
      <c r="G21" s="56"/>
      <c r="H21" s="145"/>
      <c r="I21" s="56"/>
      <c r="J21" s="56" t="s">
        <v>2325</v>
      </c>
      <c r="K21" s="51"/>
      <c r="L21" s="19">
        <v>-18900000</v>
      </c>
      <c r="M21" s="18"/>
      <c r="N21" s="18"/>
      <c r="O21" s="17"/>
      <c r="Q21" s="22"/>
      <c r="R21" s="38"/>
      <c r="S21" s="19"/>
      <c r="T21" s="19"/>
    </row>
    <row r="22" spans="2:20" s="20" customFormat="1" ht="30" customHeight="1" x14ac:dyDescent="0.3">
      <c r="B22" s="48"/>
      <c r="C22" s="49"/>
      <c r="D22" s="157" t="s">
        <v>2902</v>
      </c>
      <c r="E22" s="56"/>
      <c r="F22" s="56"/>
      <c r="G22" s="56"/>
      <c r="H22" s="145"/>
      <c r="I22" s="56"/>
      <c r="J22" s="56"/>
      <c r="K22" s="51"/>
      <c r="L22" s="19">
        <v>-46000000</v>
      </c>
      <c r="M22" s="18"/>
      <c r="N22" s="18"/>
      <c r="O22" s="17"/>
      <c r="Q22" s="22"/>
      <c r="R22" s="38"/>
      <c r="S22" s="19"/>
      <c r="T22" s="19"/>
    </row>
    <row r="23" spans="2:20" s="20" customFormat="1" ht="30" customHeight="1" x14ac:dyDescent="0.3">
      <c r="B23" s="48"/>
      <c r="C23" s="49"/>
      <c r="D23" s="157" t="s">
        <v>2903</v>
      </c>
      <c r="E23" s="56"/>
      <c r="F23" s="56"/>
      <c r="G23" s="56"/>
      <c r="H23" s="145"/>
      <c r="I23" s="56"/>
      <c r="J23" s="56"/>
      <c r="K23" s="51"/>
      <c r="L23" s="19">
        <v>-54000000</v>
      </c>
      <c r="M23" s="18"/>
      <c r="N23" s="18"/>
      <c r="O23" s="17"/>
      <c r="Q23" s="22"/>
      <c r="R23" s="38"/>
      <c r="S23" s="19"/>
      <c r="T23" s="19"/>
    </row>
    <row r="24" spans="2:20" s="20" customFormat="1" ht="30" customHeight="1" x14ac:dyDescent="0.3">
      <c r="B24" s="284" t="s">
        <v>2901</v>
      </c>
      <c r="C24" s="285"/>
      <c r="D24" s="286"/>
      <c r="E24" s="141"/>
      <c r="F24" s="141"/>
      <c r="G24" s="141"/>
      <c r="H24" s="141"/>
      <c r="I24" s="141"/>
      <c r="J24" s="289"/>
      <c r="K24" s="290"/>
      <c r="L24" s="105">
        <f>SUM(L14:L23)</f>
        <v>-650200000</v>
      </c>
      <c r="M24" s="144"/>
      <c r="N24" s="144"/>
      <c r="O24" s="17"/>
      <c r="Q24" s="22"/>
      <c r="R24" s="22"/>
      <c r="S24" s="19"/>
      <c r="T24" s="19"/>
    </row>
    <row r="25" spans="2:20" s="20" customFormat="1" ht="30" customHeight="1" x14ac:dyDescent="0.3">
      <c r="B25" s="17"/>
      <c r="C25" s="17"/>
      <c r="F25" s="15"/>
      <c r="G25" s="15"/>
      <c r="H25" s="15"/>
      <c r="I25" s="15"/>
      <c r="J25" s="15"/>
      <c r="K25" s="29"/>
      <c r="L25" s="19">
        <f>L13+L24</f>
        <v>14300000</v>
      </c>
      <c r="M25" s="18"/>
      <c r="N25" s="18"/>
      <c r="O25" s="17"/>
      <c r="Q25" s="22"/>
      <c r="R25" s="22"/>
      <c r="S25" s="19"/>
      <c r="T25" s="19"/>
    </row>
    <row r="26" spans="2:20" s="20" customFormat="1" ht="30" customHeight="1" x14ac:dyDescent="0.3">
      <c r="B26" s="17"/>
      <c r="C26" s="17"/>
      <c r="F26" s="15"/>
      <c r="G26" s="15"/>
      <c r="H26" s="15"/>
      <c r="I26" s="15"/>
      <c r="J26" s="15"/>
      <c r="K26" s="29"/>
      <c r="L26" s="19"/>
      <c r="M26" s="18"/>
      <c r="N26" s="18"/>
      <c r="O26" s="17"/>
      <c r="Q26" s="22"/>
      <c r="R26" s="22"/>
      <c r="S26" s="19"/>
      <c r="T26" s="19"/>
    </row>
    <row r="27" spans="2:20" s="20" customFormat="1" ht="17.100000000000001" customHeight="1" x14ac:dyDescent="0.3">
      <c r="B27" s="17"/>
      <c r="C27" s="17"/>
      <c r="F27" s="15"/>
      <c r="G27" s="15"/>
      <c r="H27" s="15"/>
      <c r="I27" s="15"/>
      <c r="J27" s="15"/>
      <c r="K27" s="29"/>
      <c r="L27" s="19"/>
      <c r="M27" s="18"/>
      <c r="N27" s="18"/>
      <c r="O27" s="17"/>
      <c r="Q27" s="22"/>
      <c r="R27" s="22"/>
      <c r="S27" s="19"/>
      <c r="T27" s="19"/>
    </row>
    <row r="28" spans="2:20" s="20" customFormat="1" ht="17.100000000000001" customHeight="1" x14ac:dyDescent="0.3">
      <c r="B28" s="17"/>
      <c r="C28" s="17"/>
      <c r="F28" s="15"/>
      <c r="G28" s="15"/>
      <c r="H28" s="15"/>
      <c r="I28" s="15"/>
      <c r="J28" s="15"/>
      <c r="K28" s="29"/>
      <c r="L28" s="19"/>
      <c r="M28" s="18"/>
      <c r="N28" s="18"/>
      <c r="O28" s="17"/>
      <c r="Q28" s="22"/>
      <c r="R28" s="22"/>
      <c r="S28" s="19"/>
      <c r="T28" s="19"/>
    </row>
    <row r="29" spans="2:20" s="20" customFormat="1" ht="17.100000000000001" customHeight="1" x14ac:dyDescent="0.3">
      <c r="B29" s="17"/>
      <c r="C29" s="17"/>
      <c r="F29" s="15"/>
      <c r="G29" s="15"/>
      <c r="H29" s="15"/>
      <c r="I29" s="15"/>
      <c r="J29" s="15"/>
      <c r="K29" s="29"/>
      <c r="L29" s="19"/>
      <c r="M29" s="18"/>
      <c r="N29" s="18"/>
      <c r="O29" s="17"/>
      <c r="Q29" s="22"/>
      <c r="R29" s="22"/>
      <c r="S29" s="19"/>
      <c r="T29" s="19"/>
    </row>
    <row r="30" spans="2:20" s="20" customFormat="1" ht="17.100000000000001" customHeight="1" x14ac:dyDescent="0.3">
      <c r="B30" s="17"/>
      <c r="C30" s="17"/>
      <c r="F30" s="15"/>
      <c r="G30" s="15"/>
      <c r="H30" s="15"/>
      <c r="I30" s="15"/>
      <c r="J30" s="15"/>
      <c r="K30" s="29"/>
      <c r="L30" s="19"/>
      <c r="M30" s="18"/>
      <c r="N30" s="18"/>
      <c r="O30" s="17"/>
      <c r="Q30" s="22"/>
      <c r="R30" s="22"/>
      <c r="S30" s="19"/>
      <c r="T30" s="19"/>
    </row>
    <row r="31" spans="2:20" s="20" customFormat="1" ht="17.100000000000001" customHeight="1" x14ac:dyDescent="0.3">
      <c r="B31" s="17"/>
      <c r="C31" s="17"/>
      <c r="F31" s="15"/>
      <c r="G31" s="15"/>
      <c r="H31" s="15"/>
      <c r="I31" s="15"/>
      <c r="J31" s="15"/>
      <c r="K31" s="29"/>
      <c r="L31" s="19"/>
      <c r="M31" s="18"/>
      <c r="N31" s="18"/>
      <c r="O31" s="17"/>
      <c r="Q31" s="22"/>
      <c r="R31" s="22"/>
      <c r="S31" s="19"/>
      <c r="T31" s="19"/>
    </row>
    <row r="32" spans="2:20" s="20" customFormat="1" ht="17.100000000000001" customHeight="1" x14ac:dyDescent="0.3">
      <c r="B32" s="17"/>
      <c r="C32" s="17"/>
      <c r="F32" s="15"/>
      <c r="G32" s="15"/>
      <c r="H32" s="15"/>
      <c r="I32" s="15"/>
      <c r="J32" s="15"/>
      <c r="K32" s="29"/>
      <c r="L32" s="19"/>
      <c r="M32" s="18"/>
      <c r="N32" s="18"/>
      <c r="O32" s="17"/>
      <c r="Q32" s="22"/>
      <c r="R32" s="22"/>
      <c r="S32" s="19"/>
      <c r="T32" s="19"/>
    </row>
    <row r="33" spans="2:20" s="20" customFormat="1" ht="17.100000000000001" customHeight="1" x14ac:dyDescent="0.3">
      <c r="B33" s="17"/>
      <c r="C33" s="17"/>
      <c r="F33" s="15"/>
      <c r="G33" s="15"/>
      <c r="H33" s="15"/>
      <c r="I33" s="15"/>
      <c r="J33" s="15"/>
      <c r="K33" s="29"/>
      <c r="L33" s="19"/>
      <c r="M33" s="18"/>
      <c r="N33" s="18"/>
      <c r="O33" s="17"/>
      <c r="Q33" s="22"/>
      <c r="R33" s="22"/>
      <c r="S33" s="19"/>
      <c r="T33" s="19"/>
    </row>
    <row r="34" spans="2:20" s="20" customFormat="1" ht="17.100000000000001" customHeight="1" x14ac:dyDescent="0.3">
      <c r="B34" s="17"/>
      <c r="C34" s="17"/>
      <c r="F34" s="15"/>
      <c r="G34" s="15"/>
      <c r="H34" s="15"/>
      <c r="I34" s="15"/>
      <c r="J34" s="15"/>
      <c r="K34" s="29"/>
      <c r="L34" s="19"/>
      <c r="M34" s="18"/>
      <c r="N34" s="18"/>
      <c r="O34" s="17"/>
      <c r="Q34" s="22"/>
      <c r="R34" s="22"/>
      <c r="S34" s="19"/>
      <c r="T34" s="19"/>
    </row>
    <row r="35" spans="2:20" s="20" customFormat="1" ht="17.100000000000001" customHeight="1" x14ac:dyDescent="0.3">
      <c r="B35" s="17"/>
      <c r="C35" s="17"/>
      <c r="F35" s="15"/>
      <c r="G35" s="15"/>
      <c r="H35" s="15"/>
      <c r="I35" s="15"/>
      <c r="J35" s="15"/>
      <c r="K35" s="29"/>
      <c r="L35" s="19"/>
      <c r="M35" s="18"/>
      <c r="N35" s="18"/>
      <c r="O35" s="17"/>
      <c r="Q35" s="22"/>
      <c r="R35" s="22"/>
      <c r="S35" s="19"/>
      <c r="T35" s="19"/>
    </row>
    <row r="36" spans="2:20" s="20" customFormat="1" ht="17.100000000000001" customHeight="1" x14ac:dyDescent="0.3">
      <c r="B36" s="17"/>
      <c r="C36" s="17"/>
      <c r="F36" s="15"/>
      <c r="G36" s="15"/>
      <c r="H36" s="15"/>
      <c r="I36" s="15"/>
      <c r="J36" s="15"/>
      <c r="K36" s="29"/>
      <c r="L36" s="19"/>
      <c r="M36" s="18"/>
      <c r="N36" s="18"/>
      <c r="O36" s="17"/>
      <c r="Q36" s="22"/>
      <c r="R36" s="22"/>
      <c r="S36" s="19"/>
      <c r="T36" s="19"/>
    </row>
    <row r="37" spans="2:20" s="20" customFormat="1" ht="17.100000000000001" customHeight="1" x14ac:dyDescent="0.3">
      <c r="B37" s="17"/>
      <c r="C37" s="17"/>
      <c r="F37" s="15"/>
      <c r="G37" s="15"/>
      <c r="H37" s="15"/>
      <c r="I37" s="15"/>
      <c r="J37" s="15"/>
      <c r="K37" s="29"/>
      <c r="L37" s="19"/>
      <c r="M37" s="18"/>
      <c r="N37" s="18"/>
      <c r="O37" s="17"/>
      <c r="Q37" s="22"/>
      <c r="R37" s="22"/>
      <c r="S37" s="19"/>
      <c r="T37" s="19"/>
    </row>
    <row r="38" spans="2:20" s="20" customFormat="1" ht="17.100000000000001" customHeight="1" x14ac:dyDescent="0.3">
      <c r="B38" s="17"/>
      <c r="C38" s="17"/>
      <c r="F38" s="15"/>
      <c r="G38" s="15"/>
      <c r="H38" s="15"/>
      <c r="I38" s="15"/>
      <c r="J38" s="15"/>
      <c r="K38" s="29"/>
      <c r="L38" s="19"/>
      <c r="M38" s="18"/>
      <c r="N38" s="18"/>
      <c r="O38" s="17"/>
      <c r="Q38" s="22"/>
      <c r="R38" s="22"/>
      <c r="S38" s="19"/>
      <c r="T38" s="19"/>
    </row>
    <row r="39" spans="2:20" s="20" customFormat="1" ht="17.100000000000001" customHeight="1" x14ac:dyDescent="0.3">
      <c r="B39" s="17"/>
      <c r="C39" s="17"/>
      <c r="F39" s="15"/>
      <c r="G39" s="15"/>
      <c r="H39" s="15"/>
      <c r="I39" s="15"/>
      <c r="J39" s="15"/>
      <c r="K39" s="29"/>
      <c r="L39" s="19"/>
      <c r="M39" s="18"/>
      <c r="N39" s="18"/>
      <c r="O39" s="17"/>
      <c r="Q39" s="22"/>
      <c r="R39" s="22"/>
      <c r="S39" s="19"/>
      <c r="T39" s="19"/>
    </row>
    <row r="40" spans="2:20" s="20" customFormat="1" ht="17.100000000000001" customHeight="1" x14ac:dyDescent="0.3">
      <c r="B40" s="17"/>
      <c r="C40" s="17"/>
      <c r="F40" s="15"/>
      <c r="G40" s="15"/>
      <c r="H40" s="15"/>
      <c r="I40" s="15"/>
      <c r="J40" s="15"/>
      <c r="K40" s="29"/>
      <c r="L40" s="19"/>
      <c r="M40" s="18"/>
      <c r="N40" s="18"/>
      <c r="O40" s="17"/>
      <c r="Q40" s="22"/>
      <c r="R40" s="22"/>
      <c r="S40" s="19"/>
      <c r="T40" s="19"/>
    </row>
    <row r="41" spans="2:20" s="20" customFormat="1" ht="17.100000000000001" customHeight="1" x14ac:dyDescent="0.3">
      <c r="B41" s="17"/>
      <c r="C41" s="17"/>
      <c r="F41" s="15"/>
      <c r="G41" s="15"/>
      <c r="H41" s="15"/>
      <c r="I41" s="15"/>
      <c r="J41" s="15"/>
      <c r="K41" s="29"/>
      <c r="L41" s="19"/>
      <c r="M41" s="18"/>
      <c r="N41" s="18"/>
      <c r="O41" s="17"/>
      <c r="Q41" s="22"/>
      <c r="R41" s="22"/>
      <c r="S41" s="19"/>
      <c r="T41" s="19"/>
    </row>
    <row r="42" spans="2:20" s="20" customFormat="1" ht="17.100000000000001" customHeight="1" x14ac:dyDescent="0.3">
      <c r="B42" s="17"/>
      <c r="C42" s="17"/>
      <c r="F42" s="15"/>
      <c r="G42" s="15"/>
      <c r="H42" s="15"/>
      <c r="I42" s="15"/>
      <c r="J42" s="15"/>
      <c r="K42" s="29"/>
      <c r="L42" s="19"/>
      <c r="M42" s="18"/>
      <c r="N42" s="18"/>
      <c r="O42" s="17"/>
      <c r="Q42" s="22"/>
      <c r="R42" s="22"/>
      <c r="S42" s="19"/>
      <c r="T42" s="19"/>
    </row>
    <row r="43" spans="2:20" s="20" customFormat="1" ht="17.100000000000001" customHeight="1" x14ac:dyDescent="0.3">
      <c r="B43" s="17"/>
      <c r="C43" s="17"/>
      <c r="F43" s="15"/>
      <c r="G43" s="15"/>
      <c r="H43" s="15"/>
      <c r="I43" s="15"/>
      <c r="J43" s="15"/>
      <c r="K43" s="29"/>
      <c r="L43" s="19"/>
      <c r="M43" s="18"/>
      <c r="N43" s="18"/>
      <c r="O43" s="17"/>
      <c r="Q43" s="22"/>
      <c r="R43" s="22"/>
      <c r="S43" s="19"/>
      <c r="T43" s="19"/>
    </row>
    <row r="44" spans="2:20" s="20" customFormat="1" ht="17.100000000000001" customHeight="1" x14ac:dyDescent="0.3">
      <c r="B44" s="17"/>
      <c r="C44" s="17"/>
      <c r="F44" s="15"/>
      <c r="G44" s="15"/>
      <c r="H44" s="15"/>
      <c r="I44" s="15"/>
      <c r="J44" s="15"/>
      <c r="K44" s="29"/>
      <c r="L44" s="19"/>
      <c r="M44" s="18"/>
      <c r="N44" s="18"/>
      <c r="O44" s="17"/>
      <c r="Q44" s="22"/>
      <c r="R44" s="22"/>
      <c r="S44" s="19"/>
      <c r="T44" s="19"/>
    </row>
    <row r="45" spans="2:20" s="20" customFormat="1" ht="17.100000000000001" customHeight="1" x14ac:dyDescent="0.3">
      <c r="B45" s="17"/>
      <c r="C45" s="17"/>
      <c r="F45" s="15"/>
      <c r="G45" s="15"/>
      <c r="H45" s="15"/>
      <c r="I45" s="15"/>
      <c r="J45" s="15"/>
      <c r="K45" s="29"/>
      <c r="L45" s="19"/>
      <c r="M45" s="18"/>
      <c r="N45" s="18"/>
      <c r="O45" s="17"/>
      <c r="Q45" s="22"/>
      <c r="R45" s="22"/>
      <c r="S45" s="19"/>
      <c r="T45" s="19"/>
    </row>
    <row r="46" spans="2:20" s="20" customFormat="1" ht="17.100000000000001" customHeight="1" x14ac:dyDescent="0.3">
      <c r="B46" s="17"/>
      <c r="C46" s="17"/>
      <c r="F46" s="15"/>
      <c r="G46" s="15"/>
      <c r="H46" s="15"/>
      <c r="I46" s="15"/>
      <c r="J46" s="15"/>
      <c r="K46" s="29"/>
      <c r="L46" s="19"/>
      <c r="M46" s="18"/>
      <c r="N46" s="18"/>
      <c r="O46" s="17"/>
      <c r="Q46" s="22"/>
      <c r="R46" s="22"/>
      <c r="S46" s="19"/>
      <c r="T46" s="19"/>
    </row>
    <row r="47" spans="2:20" s="20" customFormat="1" ht="17.100000000000001" customHeight="1" x14ac:dyDescent="0.3">
      <c r="B47" s="17"/>
      <c r="C47" s="17"/>
      <c r="F47" s="15"/>
      <c r="G47" s="15"/>
      <c r="H47" s="15"/>
      <c r="I47" s="15"/>
      <c r="J47" s="15"/>
      <c r="K47" s="29"/>
      <c r="L47" s="19"/>
      <c r="M47" s="18"/>
      <c r="N47" s="18"/>
      <c r="O47" s="17"/>
      <c r="Q47" s="22"/>
      <c r="R47" s="22"/>
      <c r="S47" s="19"/>
      <c r="T47" s="19"/>
    </row>
    <row r="48" spans="2:20" s="20" customFormat="1" ht="17.100000000000001" customHeight="1" x14ac:dyDescent="0.3">
      <c r="B48" s="17"/>
      <c r="C48" s="17"/>
      <c r="F48" s="15"/>
      <c r="G48" s="15"/>
      <c r="H48" s="15"/>
      <c r="I48" s="15"/>
      <c r="J48" s="15"/>
      <c r="K48" s="29"/>
      <c r="L48" s="19"/>
      <c r="M48" s="18"/>
      <c r="N48" s="18"/>
      <c r="O48" s="17"/>
      <c r="Q48" s="22"/>
      <c r="R48" s="22"/>
      <c r="S48" s="19"/>
      <c r="T48" s="19"/>
    </row>
    <row r="49" spans="2:20" s="20" customFormat="1" ht="17.100000000000001" customHeight="1" x14ac:dyDescent="0.3">
      <c r="B49" s="17"/>
      <c r="C49" s="17"/>
      <c r="F49" s="15"/>
      <c r="G49" s="15"/>
      <c r="H49" s="15"/>
      <c r="I49" s="15"/>
      <c r="J49" s="15"/>
      <c r="K49" s="29"/>
      <c r="L49" s="19"/>
      <c r="M49" s="18"/>
      <c r="N49" s="18"/>
      <c r="O49" s="17"/>
      <c r="Q49" s="22"/>
      <c r="R49" s="22"/>
      <c r="S49" s="19"/>
      <c r="T49" s="19"/>
    </row>
    <row r="50" spans="2:20" s="20" customFormat="1" ht="17.100000000000001" customHeight="1" x14ac:dyDescent="0.3">
      <c r="B50" s="17"/>
      <c r="C50" s="17"/>
      <c r="F50" s="15"/>
      <c r="G50" s="15"/>
      <c r="H50" s="15"/>
      <c r="I50" s="15"/>
      <c r="J50" s="15"/>
      <c r="K50" s="29"/>
      <c r="L50" s="19"/>
      <c r="M50" s="18"/>
      <c r="N50" s="18"/>
      <c r="O50" s="17"/>
      <c r="Q50" s="22"/>
      <c r="R50" s="22"/>
      <c r="S50" s="19"/>
      <c r="T50" s="19"/>
    </row>
    <row r="51" spans="2:20" s="20" customFormat="1" ht="17.100000000000001" customHeight="1" x14ac:dyDescent="0.3">
      <c r="B51" s="17"/>
      <c r="C51" s="17"/>
      <c r="F51" s="15"/>
      <c r="G51" s="15"/>
      <c r="H51" s="15"/>
      <c r="I51" s="15"/>
      <c r="J51" s="15"/>
      <c r="K51" s="29"/>
      <c r="L51" s="19"/>
      <c r="M51" s="18"/>
      <c r="N51" s="18"/>
      <c r="O51" s="17"/>
      <c r="Q51" s="22"/>
      <c r="R51" s="22"/>
      <c r="S51" s="19"/>
      <c r="T51" s="19"/>
    </row>
    <row r="52" spans="2:20" s="20" customFormat="1" ht="17.100000000000001" customHeight="1" x14ac:dyDescent="0.3">
      <c r="B52" s="17"/>
      <c r="C52" s="17"/>
      <c r="F52" s="15"/>
      <c r="G52" s="15"/>
      <c r="H52" s="15"/>
      <c r="I52" s="15"/>
      <c r="J52" s="15"/>
      <c r="K52" s="29"/>
      <c r="L52" s="19"/>
      <c r="M52" s="18"/>
      <c r="N52" s="18"/>
      <c r="O52" s="17"/>
      <c r="Q52" s="22"/>
      <c r="R52" s="22"/>
      <c r="S52" s="19"/>
      <c r="T52" s="19"/>
    </row>
    <row r="53" spans="2:20" s="20" customFormat="1" ht="17.100000000000001" customHeight="1" x14ac:dyDescent="0.3">
      <c r="B53" s="17"/>
      <c r="C53" s="17"/>
      <c r="F53" s="15"/>
      <c r="G53" s="15"/>
      <c r="H53" s="15"/>
      <c r="I53" s="15"/>
      <c r="J53" s="15"/>
      <c r="K53" s="29"/>
      <c r="L53" s="19"/>
      <c r="M53" s="18"/>
      <c r="N53" s="18"/>
      <c r="O53" s="17"/>
      <c r="Q53" s="22"/>
      <c r="R53" s="22"/>
      <c r="S53" s="19"/>
      <c r="T53" s="19"/>
    </row>
    <row r="54" spans="2:20" s="20" customFormat="1" ht="17.100000000000001" customHeight="1" x14ac:dyDescent="0.3">
      <c r="B54" s="17"/>
      <c r="C54" s="17"/>
      <c r="F54" s="15"/>
      <c r="G54" s="15"/>
      <c r="H54" s="15"/>
      <c r="I54" s="15"/>
      <c r="J54" s="15"/>
      <c r="K54" s="29"/>
      <c r="L54" s="19"/>
      <c r="M54" s="18"/>
      <c r="N54" s="18"/>
      <c r="O54" s="17"/>
      <c r="Q54" s="22"/>
      <c r="R54" s="22"/>
      <c r="S54" s="19"/>
      <c r="T54" s="19"/>
    </row>
    <row r="55" spans="2:20" s="20" customFormat="1" ht="17.100000000000001" customHeight="1" x14ac:dyDescent="0.3">
      <c r="B55" s="17"/>
      <c r="C55" s="17"/>
      <c r="F55" s="15"/>
      <c r="G55" s="15"/>
      <c r="H55" s="15"/>
      <c r="I55" s="15"/>
      <c r="J55" s="15"/>
      <c r="K55" s="29"/>
      <c r="L55" s="19"/>
      <c r="M55" s="18"/>
      <c r="N55" s="18"/>
      <c r="O55" s="17"/>
      <c r="Q55" s="22"/>
      <c r="R55" s="22"/>
      <c r="S55" s="19"/>
      <c r="T55" s="19"/>
    </row>
    <row r="56" spans="2:20" s="20" customFormat="1" ht="17.100000000000001" customHeight="1" x14ac:dyDescent="0.3">
      <c r="B56" s="17"/>
      <c r="C56" s="17"/>
      <c r="F56" s="15"/>
      <c r="G56" s="15"/>
      <c r="H56" s="15"/>
      <c r="I56" s="15"/>
      <c r="J56" s="15"/>
      <c r="K56" s="29"/>
      <c r="L56" s="19"/>
      <c r="M56" s="18"/>
      <c r="N56" s="18"/>
      <c r="O56" s="17"/>
      <c r="Q56" s="22"/>
      <c r="R56" s="22"/>
      <c r="S56" s="19"/>
      <c r="T56" s="19"/>
    </row>
    <row r="57" spans="2:20" s="20" customFormat="1" ht="17.100000000000001" customHeight="1" x14ac:dyDescent="0.3">
      <c r="B57" s="17"/>
      <c r="C57" s="17"/>
      <c r="F57" s="15"/>
      <c r="G57" s="15"/>
      <c r="H57" s="15"/>
      <c r="I57" s="15"/>
      <c r="J57" s="15"/>
      <c r="K57" s="29"/>
      <c r="L57" s="19"/>
      <c r="M57" s="18"/>
      <c r="N57" s="18"/>
      <c r="O57" s="17"/>
      <c r="Q57" s="22"/>
      <c r="R57" s="22"/>
      <c r="S57" s="19"/>
      <c r="T57" s="19"/>
    </row>
    <row r="58" spans="2:20" s="20" customFormat="1" ht="17.100000000000001" customHeight="1" x14ac:dyDescent="0.3">
      <c r="B58" s="17"/>
      <c r="C58" s="17"/>
      <c r="F58" s="15"/>
      <c r="G58" s="15"/>
      <c r="H58" s="15"/>
      <c r="I58" s="15"/>
      <c r="J58" s="15"/>
      <c r="K58" s="29"/>
      <c r="L58" s="19"/>
      <c r="M58" s="18"/>
      <c r="N58" s="18"/>
      <c r="O58" s="17"/>
      <c r="Q58" s="22"/>
      <c r="R58" s="22"/>
      <c r="S58" s="19"/>
      <c r="T58" s="19"/>
    </row>
    <row r="59" spans="2:20" s="20" customFormat="1" ht="17.100000000000001" customHeight="1" x14ac:dyDescent="0.3">
      <c r="B59" s="17"/>
      <c r="C59" s="17"/>
      <c r="F59" s="15"/>
      <c r="G59" s="15"/>
      <c r="H59" s="15"/>
      <c r="I59" s="15"/>
      <c r="J59" s="15"/>
      <c r="K59" s="29"/>
      <c r="L59" s="19"/>
      <c r="M59" s="18"/>
      <c r="N59" s="18"/>
      <c r="O59" s="17"/>
      <c r="Q59" s="22"/>
      <c r="R59" s="22"/>
      <c r="S59" s="19"/>
      <c r="T59" s="19"/>
    </row>
    <row r="60" spans="2:20" s="20" customFormat="1" ht="17.100000000000001" customHeight="1" x14ac:dyDescent="0.3">
      <c r="B60" s="17"/>
      <c r="C60" s="17"/>
      <c r="F60" s="15"/>
      <c r="G60" s="15"/>
      <c r="H60" s="15"/>
      <c r="I60" s="15"/>
      <c r="J60" s="15"/>
      <c r="K60" s="29"/>
      <c r="L60" s="19"/>
      <c r="M60" s="18"/>
      <c r="N60" s="18"/>
      <c r="O60" s="17"/>
      <c r="Q60" s="22"/>
      <c r="R60" s="22"/>
      <c r="S60" s="19"/>
      <c r="T60" s="19"/>
    </row>
    <row r="61" spans="2:20" s="20" customFormat="1" ht="17.100000000000001" customHeight="1" x14ac:dyDescent="0.3">
      <c r="B61" s="17"/>
      <c r="C61" s="17"/>
      <c r="F61" s="15"/>
      <c r="G61" s="15"/>
      <c r="H61" s="15"/>
      <c r="I61" s="15"/>
      <c r="J61" s="15"/>
      <c r="K61" s="29"/>
      <c r="L61" s="19"/>
      <c r="M61" s="18"/>
      <c r="N61" s="18"/>
      <c r="O61" s="17"/>
      <c r="Q61" s="22"/>
      <c r="R61" s="22"/>
      <c r="S61" s="19"/>
      <c r="T61" s="19"/>
    </row>
    <row r="62" spans="2:20" s="20" customFormat="1" ht="17.100000000000001" customHeight="1" x14ac:dyDescent="0.3">
      <c r="B62" s="17"/>
      <c r="C62" s="17"/>
      <c r="F62" s="15"/>
      <c r="G62" s="15"/>
      <c r="H62" s="15"/>
      <c r="I62" s="15"/>
      <c r="J62" s="15"/>
      <c r="K62" s="29"/>
      <c r="L62" s="19"/>
      <c r="M62" s="18"/>
      <c r="N62" s="18"/>
      <c r="O62" s="17"/>
      <c r="Q62" s="22"/>
      <c r="R62" s="22"/>
      <c r="S62" s="19"/>
      <c r="T62" s="19"/>
    </row>
    <row r="63" spans="2:20" s="20" customFormat="1" ht="17.100000000000001" customHeight="1" x14ac:dyDescent="0.3">
      <c r="B63" s="17"/>
      <c r="C63" s="17"/>
      <c r="F63" s="15"/>
      <c r="G63" s="15"/>
      <c r="H63" s="15"/>
      <c r="I63" s="15"/>
      <c r="J63" s="15"/>
      <c r="K63" s="29"/>
      <c r="L63" s="19"/>
      <c r="M63" s="18"/>
      <c r="N63" s="18"/>
      <c r="O63" s="17"/>
      <c r="Q63" s="22"/>
      <c r="R63" s="22"/>
      <c r="S63" s="19"/>
      <c r="T63" s="19"/>
    </row>
    <row r="64" spans="2:20" s="20" customFormat="1" ht="17.100000000000001" customHeight="1" x14ac:dyDescent="0.3">
      <c r="B64" s="17"/>
      <c r="C64" s="17"/>
      <c r="F64" s="15"/>
      <c r="G64" s="15"/>
      <c r="H64" s="15"/>
      <c r="I64" s="15"/>
      <c r="J64" s="15"/>
      <c r="K64" s="29"/>
      <c r="L64" s="19"/>
      <c r="M64" s="18"/>
      <c r="N64" s="18"/>
      <c r="O64" s="17"/>
      <c r="Q64" s="22"/>
      <c r="R64" s="22"/>
      <c r="S64" s="19"/>
      <c r="T64" s="19"/>
    </row>
    <row r="65" spans="2:20" s="20" customFormat="1" ht="17.100000000000001" customHeight="1" x14ac:dyDescent="0.3">
      <c r="B65" s="17"/>
      <c r="C65" s="17"/>
      <c r="F65" s="15"/>
      <c r="G65" s="15"/>
      <c r="H65" s="15"/>
      <c r="I65" s="15"/>
      <c r="J65" s="15"/>
      <c r="K65" s="29"/>
      <c r="L65" s="19"/>
      <c r="M65" s="18"/>
      <c r="N65" s="18"/>
      <c r="O65" s="17"/>
      <c r="Q65" s="22"/>
      <c r="R65" s="22"/>
      <c r="S65" s="19"/>
      <c r="T65" s="19"/>
    </row>
    <row r="66" spans="2:20" s="20" customFormat="1" ht="17.100000000000001" customHeight="1" x14ac:dyDescent="0.3">
      <c r="B66" s="17"/>
      <c r="C66" s="17"/>
      <c r="F66" s="15"/>
      <c r="G66" s="15"/>
      <c r="H66" s="15"/>
      <c r="I66" s="15"/>
      <c r="J66" s="15"/>
      <c r="K66" s="29"/>
      <c r="L66" s="19"/>
      <c r="M66" s="18"/>
      <c r="N66" s="18"/>
      <c r="O66" s="17"/>
      <c r="Q66" s="22"/>
      <c r="R66" s="22"/>
      <c r="S66" s="19"/>
      <c r="T66" s="19"/>
    </row>
    <row r="67" spans="2:20" s="20" customFormat="1" ht="17.100000000000001" customHeight="1" x14ac:dyDescent="0.3">
      <c r="B67" s="17"/>
      <c r="C67" s="17"/>
      <c r="F67" s="15"/>
      <c r="G67" s="15"/>
      <c r="H67" s="15"/>
      <c r="I67" s="15"/>
      <c r="J67" s="15"/>
      <c r="K67" s="29"/>
      <c r="L67" s="19"/>
      <c r="M67" s="18"/>
      <c r="N67" s="18"/>
      <c r="O67" s="17"/>
      <c r="Q67" s="22"/>
      <c r="R67" s="22"/>
      <c r="S67" s="19"/>
      <c r="T67" s="19"/>
    </row>
    <row r="68" spans="2:20" s="20" customFormat="1" ht="17.100000000000001" customHeight="1" x14ac:dyDescent="0.3">
      <c r="B68" s="17"/>
      <c r="C68" s="17"/>
      <c r="F68" s="15"/>
      <c r="G68" s="15"/>
      <c r="H68" s="15"/>
      <c r="I68" s="15"/>
      <c r="J68" s="15"/>
      <c r="K68" s="29"/>
      <c r="L68" s="19"/>
      <c r="M68" s="18"/>
      <c r="N68" s="18"/>
      <c r="O68" s="17"/>
      <c r="Q68" s="22"/>
      <c r="R68" s="22"/>
      <c r="S68" s="19"/>
      <c r="T68" s="19"/>
    </row>
    <row r="69" spans="2:20" s="20" customFormat="1" ht="17.100000000000001" customHeight="1" x14ac:dyDescent="0.3">
      <c r="B69" s="17"/>
      <c r="C69" s="17"/>
      <c r="F69" s="15"/>
      <c r="G69" s="15"/>
      <c r="H69" s="15"/>
      <c r="I69" s="15"/>
      <c r="J69" s="15"/>
      <c r="K69" s="29"/>
      <c r="L69" s="19"/>
      <c r="M69" s="18"/>
      <c r="N69" s="18"/>
      <c r="O69" s="17"/>
      <c r="Q69" s="22"/>
      <c r="R69" s="22"/>
      <c r="S69" s="19"/>
      <c r="T69" s="19"/>
    </row>
    <row r="70" spans="2:20" s="20" customFormat="1" ht="17.100000000000001" customHeight="1" x14ac:dyDescent="0.3">
      <c r="B70" s="17"/>
      <c r="C70" s="17"/>
      <c r="F70" s="15"/>
      <c r="G70" s="15"/>
      <c r="H70" s="15"/>
      <c r="I70" s="15"/>
      <c r="J70" s="15"/>
      <c r="K70" s="29"/>
      <c r="L70" s="19"/>
      <c r="M70" s="18"/>
      <c r="N70" s="18"/>
      <c r="O70" s="17"/>
      <c r="Q70" s="22"/>
      <c r="R70" s="22"/>
      <c r="S70" s="19"/>
      <c r="T70" s="19"/>
    </row>
    <row r="71" spans="2:20" s="20" customFormat="1" ht="17.100000000000001" customHeight="1" x14ac:dyDescent="0.3">
      <c r="B71" s="17"/>
      <c r="C71" s="17"/>
      <c r="F71" s="15"/>
      <c r="G71" s="15"/>
      <c r="H71" s="15"/>
      <c r="I71" s="15"/>
      <c r="J71" s="15"/>
      <c r="K71" s="29"/>
      <c r="L71" s="19"/>
      <c r="M71" s="18"/>
      <c r="N71" s="18"/>
      <c r="O71" s="17"/>
      <c r="Q71" s="22"/>
      <c r="R71" s="22"/>
      <c r="S71" s="19"/>
      <c r="T71" s="19"/>
    </row>
    <row r="72" spans="2:20" s="20" customFormat="1" ht="17.100000000000001" customHeight="1" x14ac:dyDescent="0.3">
      <c r="B72" s="17"/>
      <c r="C72" s="17"/>
      <c r="F72" s="15"/>
      <c r="G72" s="15"/>
      <c r="H72" s="15"/>
      <c r="I72" s="15"/>
      <c r="J72" s="15"/>
      <c r="K72" s="29"/>
      <c r="L72" s="19"/>
      <c r="M72" s="18"/>
      <c r="N72" s="18"/>
      <c r="O72" s="17"/>
      <c r="Q72" s="22"/>
      <c r="R72" s="22"/>
      <c r="S72" s="19"/>
      <c r="T72" s="19"/>
    </row>
    <row r="73" spans="2:20" s="20" customFormat="1" ht="17.100000000000001" customHeight="1" x14ac:dyDescent="0.3">
      <c r="B73" s="17"/>
      <c r="C73" s="17"/>
      <c r="F73" s="15"/>
      <c r="G73" s="15"/>
      <c r="H73" s="15"/>
      <c r="I73" s="15"/>
      <c r="J73" s="15"/>
      <c r="K73" s="29"/>
      <c r="L73" s="19"/>
      <c r="M73" s="18"/>
      <c r="N73" s="18"/>
      <c r="O73" s="17"/>
      <c r="Q73" s="22"/>
      <c r="R73" s="22"/>
      <c r="S73" s="19"/>
      <c r="T73" s="19"/>
    </row>
    <row r="74" spans="2:20" s="20" customFormat="1" ht="17.100000000000001" customHeight="1" x14ac:dyDescent="0.3">
      <c r="B74" s="17"/>
      <c r="C74" s="17"/>
      <c r="F74" s="15"/>
      <c r="G74" s="15"/>
      <c r="H74" s="15"/>
      <c r="I74" s="15"/>
      <c r="J74" s="15"/>
      <c r="K74" s="29"/>
      <c r="L74" s="19"/>
      <c r="M74" s="18"/>
      <c r="N74" s="18"/>
      <c r="O74" s="17"/>
      <c r="Q74" s="22"/>
      <c r="R74" s="22"/>
      <c r="S74" s="19"/>
      <c r="T74" s="19"/>
    </row>
    <row r="75" spans="2:20" s="20" customFormat="1" ht="17.100000000000001" customHeight="1" x14ac:dyDescent="0.3">
      <c r="B75" s="17"/>
      <c r="C75" s="17"/>
      <c r="F75" s="15"/>
      <c r="G75" s="15"/>
      <c r="H75" s="15"/>
      <c r="I75" s="15"/>
      <c r="J75" s="15"/>
      <c r="K75" s="29"/>
      <c r="L75" s="19"/>
      <c r="M75" s="18"/>
      <c r="N75" s="18"/>
      <c r="O75" s="17"/>
      <c r="Q75" s="22"/>
      <c r="R75" s="22"/>
      <c r="S75" s="19"/>
      <c r="T75" s="19"/>
    </row>
    <row r="76" spans="2:20" s="20" customFormat="1" ht="17.100000000000001" customHeight="1" x14ac:dyDescent="0.3">
      <c r="B76" s="17"/>
      <c r="C76" s="17"/>
      <c r="F76" s="15"/>
      <c r="G76" s="15"/>
      <c r="H76" s="15"/>
      <c r="I76" s="15"/>
      <c r="J76" s="15"/>
      <c r="K76" s="29"/>
      <c r="L76" s="19"/>
      <c r="M76" s="18"/>
      <c r="N76" s="18"/>
      <c r="O76" s="17"/>
      <c r="Q76" s="22"/>
      <c r="R76" s="22"/>
      <c r="S76" s="19"/>
      <c r="T76" s="19"/>
    </row>
    <row r="77" spans="2:20" s="20" customFormat="1" ht="17.100000000000001" customHeight="1" x14ac:dyDescent="0.3">
      <c r="B77" s="17"/>
      <c r="C77" s="17"/>
      <c r="F77" s="15"/>
      <c r="G77" s="15"/>
      <c r="H77" s="15"/>
      <c r="I77" s="15"/>
      <c r="J77" s="15"/>
      <c r="K77" s="29"/>
      <c r="L77" s="19"/>
      <c r="M77" s="18"/>
      <c r="N77" s="18"/>
      <c r="O77" s="17"/>
      <c r="Q77" s="22"/>
      <c r="R77" s="22"/>
      <c r="S77" s="19"/>
      <c r="T77" s="19"/>
    </row>
    <row r="78" spans="2:20" s="20" customFormat="1" ht="17.100000000000001" customHeight="1" x14ac:dyDescent="0.3">
      <c r="B78" s="17"/>
      <c r="C78" s="17"/>
      <c r="F78" s="15"/>
      <c r="G78" s="15"/>
      <c r="H78" s="15"/>
      <c r="I78" s="15"/>
      <c r="J78" s="15"/>
      <c r="K78" s="29"/>
      <c r="L78" s="19"/>
      <c r="M78" s="18"/>
      <c r="N78" s="18"/>
      <c r="O78" s="17"/>
      <c r="Q78" s="22"/>
      <c r="R78" s="22"/>
      <c r="S78" s="19"/>
      <c r="T78" s="19"/>
    </row>
    <row r="79" spans="2:20" s="20" customFormat="1" ht="17.100000000000001" customHeight="1" x14ac:dyDescent="0.3">
      <c r="B79" s="17"/>
      <c r="C79" s="17"/>
      <c r="F79" s="15"/>
      <c r="G79" s="15"/>
      <c r="H79" s="15"/>
      <c r="I79" s="15"/>
      <c r="J79" s="15"/>
      <c r="K79" s="29"/>
      <c r="L79" s="19"/>
      <c r="M79" s="18"/>
      <c r="N79" s="18"/>
      <c r="O79" s="17"/>
      <c r="Q79" s="22"/>
      <c r="R79" s="22"/>
      <c r="S79" s="19"/>
      <c r="T79" s="19"/>
    </row>
    <row r="80" spans="2:20" s="20" customFormat="1" ht="17.100000000000001" customHeight="1" x14ac:dyDescent="0.3">
      <c r="B80" s="17"/>
      <c r="C80" s="17"/>
      <c r="F80" s="15"/>
      <c r="G80" s="15"/>
      <c r="H80" s="15"/>
      <c r="I80" s="15"/>
      <c r="J80" s="15"/>
      <c r="K80" s="29"/>
      <c r="L80" s="19"/>
      <c r="M80" s="18"/>
      <c r="N80" s="18"/>
      <c r="O80" s="17"/>
      <c r="Q80" s="22"/>
      <c r="R80" s="22"/>
      <c r="S80" s="19"/>
      <c r="T80" s="19"/>
    </row>
    <row r="81" spans="2:20" s="20" customFormat="1" ht="17.100000000000001" customHeight="1" x14ac:dyDescent="0.3">
      <c r="B81" s="17"/>
      <c r="C81" s="17"/>
      <c r="F81" s="15"/>
      <c r="G81" s="15"/>
      <c r="H81" s="15"/>
      <c r="I81" s="15"/>
      <c r="J81" s="15"/>
      <c r="K81" s="29"/>
      <c r="L81" s="19"/>
      <c r="M81" s="18"/>
      <c r="N81" s="18"/>
      <c r="O81" s="17"/>
      <c r="Q81" s="22"/>
      <c r="R81" s="22"/>
      <c r="S81" s="19"/>
      <c r="T81" s="19"/>
    </row>
    <row r="82" spans="2:20" s="20" customFormat="1" ht="17.100000000000001" customHeight="1" x14ac:dyDescent="0.3">
      <c r="B82" s="17"/>
      <c r="C82" s="17"/>
      <c r="F82" s="15"/>
      <c r="G82" s="15"/>
      <c r="H82" s="15"/>
      <c r="I82" s="15"/>
      <c r="J82" s="15"/>
      <c r="K82" s="29"/>
      <c r="L82" s="19"/>
      <c r="M82" s="18"/>
      <c r="N82" s="18"/>
      <c r="O82" s="17"/>
      <c r="Q82" s="22"/>
      <c r="R82" s="22"/>
      <c r="S82" s="19"/>
      <c r="T82" s="19"/>
    </row>
    <row r="83" spans="2:20" s="20" customFormat="1" ht="17.100000000000001" customHeight="1" x14ac:dyDescent="0.3">
      <c r="B83" s="17"/>
      <c r="C83" s="17"/>
      <c r="F83" s="15"/>
      <c r="G83" s="15"/>
      <c r="H83" s="15"/>
      <c r="I83" s="15"/>
      <c r="J83" s="15"/>
      <c r="K83" s="29"/>
      <c r="L83" s="19"/>
      <c r="M83" s="18"/>
      <c r="N83" s="18"/>
      <c r="O83" s="17"/>
      <c r="Q83" s="22"/>
      <c r="R83" s="22"/>
      <c r="S83" s="19"/>
      <c r="T83" s="19"/>
    </row>
    <row r="84" spans="2:20" s="20" customFormat="1" ht="17.100000000000001" customHeight="1" x14ac:dyDescent="0.3">
      <c r="B84" s="17"/>
      <c r="C84" s="17"/>
      <c r="F84" s="15"/>
      <c r="G84" s="15"/>
      <c r="H84" s="15"/>
      <c r="I84" s="15"/>
      <c r="J84" s="15"/>
      <c r="K84" s="29"/>
      <c r="L84" s="19"/>
      <c r="M84" s="18"/>
      <c r="N84" s="18"/>
      <c r="O84" s="17"/>
      <c r="Q84" s="22"/>
      <c r="R84" s="22"/>
      <c r="S84" s="19"/>
      <c r="T84" s="19"/>
    </row>
    <row r="85" spans="2:20" s="20" customFormat="1" ht="17.100000000000001" customHeight="1" x14ac:dyDescent="0.3">
      <c r="B85" s="17"/>
      <c r="C85" s="17"/>
      <c r="F85" s="15"/>
      <c r="G85" s="15"/>
      <c r="H85" s="15"/>
      <c r="I85" s="15"/>
      <c r="J85" s="15"/>
      <c r="K85" s="29"/>
      <c r="L85" s="19"/>
      <c r="M85" s="18"/>
      <c r="N85" s="18"/>
      <c r="O85" s="17"/>
      <c r="Q85" s="22"/>
      <c r="R85" s="22"/>
      <c r="S85" s="19"/>
      <c r="T85" s="19"/>
    </row>
    <row r="86" spans="2:20" s="20" customFormat="1" ht="17.100000000000001" customHeight="1" x14ac:dyDescent="0.3">
      <c r="B86" s="17"/>
      <c r="C86" s="17"/>
      <c r="F86" s="15"/>
      <c r="G86" s="15"/>
      <c r="H86" s="15"/>
      <c r="I86" s="15"/>
      <c r="J86" s="15"/>
      <c r="K86" s="29"/>
      <c r="L86" s="19"/>
      <c r="M86" s="18"/>
      <c r="N86" s="18"/>
      <c r="O86" s="17"/>
      <c r="Q86" s="22"/>
      <c r="R86" s="22"/>
      <c r="S86" s="19"/>
      <c r="T86" s="19"/>
    </row>
    <row r="87" spans="2:20" s="20" customFormat="1" ht="17.100000000000001" customHeight="1" x14ac:dyDescent="0.3">
      <c r="B87" s="17"/>
      <c r="C87" s="17"/>
      <c r="F87" s="15"/>
      <c r="G87" s="15"/>
      <c r="H87" s="15"/>
      <c r="I87" s="15"/>
      <c r="J87" s="15"/>
      <c r="K87" s="29"/>
      <c r="L87" s="19"/>
      <c r="M87" s="18"/>
      <c r="N87" s="18"/>
      <c r="O87" s="17"/>
      <c r="Q87" s="22"/>
      <c r="R87" s="22"/>
      <c r="S87" s="19"/>
      <c r="T87" s="19"/>
    </row>
    <row r="88" spans="2:20" s="20" customFormat="1" ht="17.100000000000001" customHeight="1" x14ac:dyDescent="0.3">
      <c r="B88" s="17"/>
      <c r="C88" s="17"/>
      <c r="F88" s="15"/>
      <c r="G88" s="15"/>
      <c r="H88" s="15"/>
      <c r="I88" s="15"/>
      <c r="J88" s="15"/>
      <c r="K88" s="29"/>
      <c r="L88" s="19"/>
      <c r="M88" s="18"/>
      <c r="N88" s="18"/>
      <c r="O88" s="17"/>
      <c r="Q88" s="22"/>
      <c r="R88" s="22"/>
      <c r="S88" s="19"/>
      <c r="T88" s="19"/>
    </row>
    <row r="89" spans="2:20" s="20" customFormat="1" ht="17.100000000000001" customHeight="1" x14ac:dyDescent="0.3">
      <c r="B89" s="17"/>
      <c r="C89" s="17"/>
      <c r="F89" s="15"/>
      <c r="G89" s="15"/>
      <c r="H89" s="15"/>
      <c r="I89" s="15"/>
      <c r="J89" s="15"/>
      <c r="K89" s="29"/>
      <c r="L89" s="19"/>
      <c r="M89" s="18"/>
      <c r="N89" s="18"/>
      <c r="O89" s="17"/>
      <c r="Q89" s="22"/>
      <c r="R89" s="22"/>
      <c r="S89" s="19"/>
      <c r="T89" s="19"/>
    </row>
    <row r="90" spans="2:20" s="20" customFormat="1" ht="17.100000000000001" customHeight="1" x14ac:dyDescent="0.3">
      <c r="B90" s="17"/>
      <c r="C90" s="17"/>
      <c r="F90" s="15"/>
      <c r="G90" s="15"/>
      <c r="H90" s="15"/>
      <c r="I90" s="15"/>
      <c r="J90" s="15"/>
      <c r="K90" s="29"/>
      <c r="L90" s="19"/>
      <c r="M90" s="18"/>
      <c r="N90" s="18"/>
      <c r="O90" s="17"/>
      <c r="Q90" s="22"/>
      <c r="R90" s="22"/>
      <c r="S90" s="19"/>
      <c r="T90" s="19"/>
    </row>
    <row r="91" spans="2:20" s="20" customFormat="1" ht="17.100000000000001" customHeight="1" x14ac:dyDescent="0.3">
      <c r="B91" s="17"/>
      <c r="C91" s="17"/>
      <c r="F91" s="15"/>
      <c r="G91" s="15"/>
      <c r="H91" s="15"/>
      <c r="I91" s="15"/>
      <c r="J91" s="15"/>
      <c r="K91" s="29"/>
      <c r="L91" s="19"/>
      <c r="M91" s="18"/>
      <c r="N91" s="18"/>
      <c r="O91" s="17"/>
      <c r="Q91" s="22"/>
      <c r="R91" s="22"/>
      <c r="S91" s="19"/>
      <c r="T91" s="19"/>
    </row>
    <row r="92" spans="2:20" s="20" customFormat="1" ht="17.100000000000001" customHeight="1" x14ac:dyDescent="0.3">
      <c r="B92" s="17"/>
      <c r="C92" s="17"/>
      <c r="F92" s="15"/>
      <c r="G92" s="15"/>
      <c r="H92" s="15"/>
      <c r="I92" s="15"/>
      <c r="J92" s="15"/>
      <c r="K92" s="29"/>
      <c r="L92" s="19"/>
      <c r="M92" s="18"/>
      <c r="N92" s="18"/>
      <c r="O92" s="17"/>
      <c r="Q92" s="22"/>
      <c r="R92" s="22"/>
      <c r="S92" s="19"/>
      <c r="T92" s="19"/>
    </row>
    <row r="93" spans="2:20" s="20" customFormat="1" ht="17.100000000000001" customHeight="1" x14ac:dyDescent="0.3">
      <c r="B93" s="17"/>
      <c r="C93" s="17"/>
      <c r="F93" s="15"/>
      <c r="G93" s="15"/>
      <c r="H93" s="15"/>
      <c r="I93" s="15"/>
      <c r="J93" s="15"/>
      <c r="K93" s="29"/>
      <c r="L93" s="19"/>
      <c r="M93" s="18"/>
      <c r="N93" s="18"/>
      <c r="O93" s="17"/>
      <c r="Q93" s="22"/>
      <c r="R93" s="22"/>
      <c r="S93" s="19"/>
      <c r="T93" s="19"/>
    </row>
    <row r="94" spans="2:20" s="20" customFormat="1" ht="17.100000000000001" customHeight="1" x14ac:dyDescent="0.3">
      <c r="B94" s="17"/>
      <c r="C94" s="17"/>
      <c r="F94" s="15"/>
      <c r="G94" s="15"/>
      <c r="H94" s="15"/>
      <c r="I94" s="15"/>
      <c r="J94" s="15"/>
      <c r="K94" s="29"/>
      <c r="L94" s="19"/>
      <c r="M94" s="18"/>
      <c r="N94" s="18"/>
      <c r="O94" s="17"/>
      <c r="Q94" s="22"/>
      <c r="R94" s="22"/>
      <c r="S94" s="19"/>
      <c r="T94" s="19"/>
    </row>
    <row r="95" spans="2:20" s="20" customFormat="1" ht="17.100000000000001" customHeight="1" x14ac:dyDescent="0.3">
      <c r="B95" s="17"/>
      <c r="C95" s="17"/>
      <c r="F95" s="15"/>
      <c r="G95" s="15"/>
      <c r="H95" s="15"/>
      <c r="I95" s="15"/>
      <c r="J95" s="15"/>
      <c r="K95" s="29"/>
      <c r="L95" s="19"/>
      <c r="M95" s="18"/>
      <c r="N95" s="18"/>
      <c r="O95" s="17"/>
      <c r="Q95" s="22"/>
      <c r="R95" s="22"/>
      <c r="S95" s="19"/>
      <c r="T95" s="19"/>
    </row>
    <row r="96" spans="2:20" s="20" customFormat="1" ht="17.100000000000001" customHeight="1" x14ac:dyDescent="0.3">
      <c r="B96" s="17"/>
      <c r="C96" s="17"/>
      <c r="F96" s="15"/>
      <c r="G96" s="15"/>
      <c r="H96" s="15"/>
      <c r="I96" s="15"/>
      <c r="J96" s="15"/>
      <c r="K96" s="29"/>
      <c r="L96" s="19"/>
      <c r="M96" s="18"/>
      <c r="N96" s="18"/>
      <c r="O96" s="17"/>
      <c r="Q96" s="22"/>
      <c r="R96" s="22"/>
      <c r="S96" s="19"/>
      <c r="T96" s="19"/>
    </row>
    <row r="97" spans="2:20" s="20" customFormat="1" ht="17.100000000000001" customHeight="1" x14ac:dyDescent="0.3">
      <c r="B97" s="17"/>
      <c r="C97" s="17"/>
      <c r="F97" s="15"/>
      <c r="G97" s="15"/>
      <c r="H97" s="15"/>
      <c r="I97" s="15"/>
      <c r="J97" s="15"/>
      <c r="K97" s="29"/>
      <c r="L97" s="19"/>
      <c r="M97" s="18"/>
      <c r="N97" s="18"/>
      <c r="O97" s="17"/>
      <c r="Q97" s="22"/>
      <c r="R97" s="22"/>
      <c r="S97" s="19"/>
      <c r="T97" s="19"/>
    </row>
    <row r="98" spans="2:20" s="20" customFormat="1" ht="17.100000000000001" customHeight="1" x14ac:dyDescent="0.3">
      <c r="B98" s="17"/>
      <c r="C98" s="17"/>
      <c r="F98" s="15"/>
      <c r="G98" s="15"/>
      <c r="H98" s="15"/>
      <c r="I98" s="15"/>
      <c r="J98" s="15"/>
      <c r="K98" s="29"/>
      <c r="L98" s="19"/>
      <c r="M98" s="18"/>
      <c r="N98" s="18"/>
      <c r="O98" s="17"/>
      <c r="Q98" s="22"/>
      <c r="R98" s="22"/>
      <c r="S98" s="19"/>
      <c r="T98" s="19"/>
    </row>
    <row r="99" spans="2:20" s="20" customFormat="1" ht="17.100000000000001" customHeight="1" x14ac:dyDescent="0.3">
      <c r="B99" s="17"/>
      <c r="C99" s="17"/>
      <c r="F99" s="15"/>
      <c r="G99" s="15"/>
      <c r="H99" s="15"/>
      <c r="I99" s="15"/>
      <c r="J99" s="15"/>
      <c r="K99" s="29"/>
      <c r="L99" s="19"/>
      <c r="M99" s="18"/>
      <c r="N99" s="18"/>
      <c r="O99" s="17"/>
      <c r="Q99" s="22"/>
      <c r="R99" s="22"/>
      <c r="S99" s="19"/>
      <c r="T99" s="19"/>
    </row>
    <row r="100" spans="2:20" s="20" customFormat="1" ht="17.100000000000001" customHeight="1" x14ac:dyDescent="0.3">
      <c r="B100" s="17"/>
      <c r="C100" s="17"/>
      <c r="F100" s="15"/>
      <c r="G100" s="15"/>
      <c r="H100" s="15"/>
      <c r="I100" s="15"/>
      <c r="J100" s="15"/>
      <c r="K100" s="29"/>
      <c r="L100" s="19"/>
      <c r="M100" s="18"/>
      <c r="N100" s="18"/>
      <c r="O100" s="17"/>
      <c r="Q100" s="22"/>
      <c r="R100" s="22"/>
      <c r="S100" s="19"/>
      <c r="T100" s="19"/>
    </row>
    <row r="101" spans="2:20" s="20" customFormat="1" ht="17.100000000000001" customHeight="1" x14ac:dyDescent="0.3">
      <c r="B101" s="17"/>
      <c r="C101" s="17"/>
      <c r="F101" s="15"/>
      <c r="G101" s="15"/>
      <c r="H101" s="15"/>
      <c r="I101" s="15"/>
      <c r="J101" s="15"/>
      <c r="K101" s="29"/>
      <c r="L101" s="19"/>
      <c r="M101" s="18"/>
      <c r="N101" s="18"/>
      <c r="O101" s="17"/>
      <c r="Q101" s="22"/>
      <c r="R101" s="22"/>
      <c r="S101" s="19"/>
      <c r="T101" s="19"/>
    </row>
    <row r="102" spans="2:20" s="20" customFormat="1" ht="17.100000000000001" customHeight="1" x14ac:dyDescent="0.3">
      <c r="B102" s="17"/>
      <c r="C102" s="17"/>
      <c r="F102" s="15"/>
      <c r="G102" s="15"/>
      <c r="H102" s="15"/>
      <c r="I102" s="15"/>
      <c r="J102" s="15"/>
      <c r="K102" s="29"/>
      <c r="L102" s="19"/>
      <c r="M102" s="18"/>
      <c r="N102" s="18"/>
      <c r="O102" s="17"/>
      <c r="Q102" s="22"/>
      <c r="R102" s="22"/>
      <c r="S102" s="19"/>
      <c r="T102" s="19"/>
    </row>
    <row r="103" spans="2:20" s="20" customFormat="1" ht="17.100000000000001" customHeight="1" x14ac:dyDescent="0.3">
      <c r="B103" s="17"/>
      <c r="C103" s="17"/>
      <c r="F103" s="15"/>
      <c r="G103" s="15"/>
      <c r="H103" s="15"/>
      <c r="I103" s="15"/>
      <c r="J103" s="15"/>
      <c r="K103" s="29"/>
      <c r="L103" s="19"/>
      <c r="M103" s="18"/>
      <c r="N103" s="18"/>
      <c r="O103" s="17"/>
      <c r="Q103" s="22"/>
      <c r="R103" s="22"/>
      <c r="S103" s="19"/>
      <c r="T103" s="19"/>
    </row>
    <row r="104" spans="2:20" s="20" customFormat="1" ht="17.100000000000001" customHeight="1" x14ac:dyDescent="0.3">
      <c r="B104" s="17"/>
      <c r="C104" s="17"/>
      <c r="F104" s="15"/>
      <c r="G104" s="15"/>
      <c r="H104" s="15"/>
      <c r="I104" s="15"/>
      <c r="J104" s="15"/>
      <c r="K104" s="29"/>
      <c r="L104" s="19"/>
      <c r="M104" s="18"/>
      <c r="N104" s="18"/>
      <c r="O104" s="17"/>
      <c r="Q104" s="22"/>
      <c r="R104" s="22"/>
      <c r="S104" s="19"/>
      <c r="T104" s="19"/>
    </row>
    <row r="105" spans="2:20" s="20" customFormat="1" ht="17.100000000000001" customHeight="1" x14ac:dyDescent="0.3">
      <c r="B105" s="17"/>
      <c r="C105" s="17"/>
      <c r="F105" s="15"/>
      <c r="G105" s="15"/>
      <c r="H105" s="15"/>
      <c r="I105" s="15"/>
      <c r="J105" s="15"/>
      <c r="K105" s="29"/>
      <c r="L105" s="19"/>
      <c r="M105" s="18"/>
      <c r="N105" s="18"/>
      <c r="O105" s="17"/>
      <c r="Q105" s="22"/>
      <c r="R105" s="22"/>
      <c r="S105" s="19"/>
      <c r="T105" s="19"/>
    </row>
    <row r="106" spans="2:20" s="20" customFormat="1" ht="17.100000000000001" customHeight="1" x14ac:dyDescent="0.3">
      <c r="B106" s="17"/>
      <c r="C106" s="17"/>
      <c r="F106" s="15"/>
      <c r="G106" s="15"/>
      <c r="H106" s="15"/>
      <c r="I106" s="15"/>
      <c r="J106" s="15"/>
      <c r="K106" s="29"/>
      <c r="L106" s="19"/>
      <c r="M106" s="18"/>
      <c r="N106" s="18"/>
      <c r="O106" s="17"/>
      <c r="Q106" s="22"/>
      <c r="R106" s="22"/>
      <c r="S106" s="19"/>
      <c r="T106" s="19"/>
    </row>
    <row r="107" spans="2:20" s="20" customFormat="1" ht="17.100000000000001" customHeight="1" x14ac:dyDescent="0.3">
      <c r="B107" s="17"/>
      <c r="C107" s="17"/>
      <c r="F107" s="15"/>
      <c r="G107" s="15"/>
      <c r="H107" s="15"/>
      <c r="I107" s="15"/>
      <c r="J107" s="15"/>
      <c r="K107" s="29"/>
      <c r="L107" s="19"/>
      <c r="M107" s="18"/>
      <c r="N107" s="18"/>
      <c r="O107" s="17"/>
      <c r="Q107" s="22"/>
      <c r="R107" s="22"/>
      <c r="S107" s="19"/>
      <c r="T107" s="19"/>
    </row>
    <row r="108" spans="2:20" s="20" customFormat="1" ht="17.100000000000001" customHeight="1" x14ac:dyDescent="0.3">
      <c r="B108" s="17"/>
      <c r="C108" s="17"/>
      <c r="F108" s="15"/>
      <c r="G108" s="15"/>
      <c r="H108" s="15"/>
      <c r="I108" s="15"/>
      <c r="J108" s="15"/>
      <c r="K108" s="29"/>
      <c r="L108" s="19"/>
      <c r="M108" s="18"/>
      <c r="N108" s="18"/>
      <c r="O108" s="17"/>
      <c r="Q108" s="22"/>
      <c r="R108" s="22"/>
      <c r="S108" s="19"/>
      <c r="T108" s="19"/>
    </row>
    <row r="109" spans="2:20" s="20" customFormat="1" ht="17.100000000000001" customHeight="1" x14ac:dyDescent="0.3">
      <c r="B109" s="17"/>
      <c r="C109" s="17"/>
      <c r="F109" s="15"/>
      <c r="G109" s="15"/>
      <c r="H109" s="15"/>
      <c r="I109" s="15"/>
      <c r="J109" s="15"/>
      <c r="K109" s="29"/>
      <c r="L109" s="19"/>
      <c r="M109" s="18"/>
      <c r="N109" s="18"/>
      <c r="O109" s="17"/>
      <c r="Q109" s="22"/>
      <c r="R109" s="22"/>
      <c r="S109" s="19"/>
      <c r="T109" s="19"/>
    </row>
    <row r="110" spans="2:20" s="20" customFormat="1" ht="17.100000000000001" customHeight="1" x14ac:dyDescent="0.3">
      <c r="B110" s="17"/>
      <c r="C110" s="17"/>
      <c r="F110" s="15"/>
      <c r="G110" s="15"/>
      <c r="H110" s="15"/>
      <c r="I110" s="15"/>
      <c r="J110" s="15"/>
      <c r="K110" s="29"/>
      <c r="L110" s="19"/>
      <c r="M110" s="18"/>
      <c r="N110" s="18"/>
      <c r="O110" s="17"/>
      <c r="Q110" s="22"/>
      <c r="R110" s="22"/>
      <c r="S110" s="19"/>
      <c r="T110" s="19"/>
    </row>
    <row r="111" spans="2:20" s="20" customFormat="1" ht="17.100000000000001" customHeight="1" x14ac:dyDescent="0.3">
      <c r="B111" s="17"/>
      <c r="C111" s="17"/>
      <c r="F111" s="15"/>
      <c r="G111" s="15"/>
      <c r="H111" s="15"/>
      <c r="I111" s="15"/>
      <c r="J111" s="15"/>
      <c r="K111" s="29"/>
      <c r="L111" s="19"/>
      <c r="M111" s="18"/>
      <c r="N111" s="18"/>
      <c r="O111" s="17"/>
      <c r="Q111" s="22"/>
      <c r="R111" s="22"/>
      <c r="S111" s="19"/>
      <c r="T111" s="19"/>
    </row>
    <row r="112" spans="2:20" s="20" customFormat="1" ht="17.100000000000001" customHeight="1" x14ac:dyDescent="0.3">
      <c r="B112" s="17"/>
      <c r="C112" s="17"/>
      <c r="F112" s="15"/>
      <c r="G112" s="15"/>
      <c r="H112" s="15"/>
      <c r="I112" s="15"/>
      <c r="J112" s="15"/>
      <c r="K112" s="29"/>
      <c r="L112" s="19"/>
      <c r="M112" s="18"/>
      <c r="N112" s="18"/>
      <c r="O112" s="17"/>
      <c r="Q112" s="22"/>
      <c r="R112" s="22"/>
      <c r="S112" s="19"/>
      <c r="T112" s="19"/>
    </row>
    <row r="113" spans="2:20" s="20" customFormat="1" ht="17.100000000000001" customHeight="1" x14ac:dyDescent="0.3">
      <c r="B113" s="17"/>
      <c r="C113" s="17"/>
      <c r="F113" s="15"/>
      <c r="G113" s="15"/>
      <c r="H113" s="15"/>
      <c r="I113" s="15"/>
      <c r="J113" s="15"/>
      <c r="K113" s="29"/>
      <c r="L113" s="19"/>
      <c r="M113" s="18"/>
      <c r="N113" s="18"/>
      <c r="O113" s="17"/>
      <c r="Q113" s="22"/>
      <c r="R113" s="22"/>
      <c r="S113" s="19"/>
      <c r="T113" s="19"/>
    </row>
    <row r="114" spans="2:20" s="20" customFormat="1" ht="17.100000000000001" customHeight="1" x14ac:dyDescent="0.3">
      <c r="B114" s="17"/>
      <c r="C114" s="17"/>
      <c r="F114" s="15"/>
      <c r="G114" s="15"/>
      <c r="H114" s="15"/>
      <c r="I114" s="15"/>
      <c r="J114" s="15"/>
      <c r="K114" s="29"/>
      <c r="L114" s="19"/>
      <c r="M114" s="18"/>
      <c r="N114" s="18"/>
      <c r="O114" s="17"/>
      <c r="Q114" s="22"/>
      <c r="R114" s="22"/>
      <c r="S114" s="19"/>
      <c r="T114" s="19"/>
    </row>
    <row r="115" spans="2:20" s="20" customFormat="1" ht="17.100000000000001" customHeight="1" x14ac:dyDescent="0.3">
      <c r="B115" s="17"/>
      <c r="C115" s="17"/>
      <c r="F115" s="15"/>
      <c r="G115" s="15"/>
      <c r="H115" s="15"/>
      <c r="I115" s="15"/>
      <c r="J115" s="15"/>
      <c r="K115" s="29"/>
      <c r="L115" s="19"/>
      <c r="M115" s="18"/>
      <c r="N115" s="18"/>
      <c r="O115" s="17"/>
      <c r="Q115" s="22"/>
      <c r="R115" s="22"/>
      <c r="S115" s="19"/>
      <c r="T115" s="19"/>
    </row>
    <row r="116" spans="2:20" s="20" customFormat="1" ht="17.100000000000001" customHeight="1" x14ac:dyDescent="0.3">
      <c r="B116" s="17"/>
      <c r="C116" s="17"/>
      <c r="F116" s="15"/>
      <c r="G116" s="15"/>
      <c r="H116" s="15"/>
      <c r="I116" s="15"/>
      <c r="J116" s="15"/>
      <c r="K116" s="29"/>
      <c r="L116" s="19"/>
      <c r="M116" s="18"/>
      <c r="N116" s="18"/>
      <c r="O116" s="17"/>
      <c r="Q116" s="22"/>
      <c r="R116" s="22"/>
      <c r="S116" s="19"/>
      <c r="T116" s="19"/>
    </row>
    <row r="117" spans="2:20" s="20" customFormat="1" ht="17.100000000000001" customHeight="1" x14ac:dyDescent="0.3">
      <c r="B117" s="17"/>
      <c r="C117" s="17"/>
      <c r="F117" s="15"/>
      <c r="G117" s="15"/>
      <c r="H117" s="15"/>
      <c r="I117" s="15"/>
      <c r="J117" s="15"/>
      <c r="K117" s="29"/>
      <c r="L117" s="19"/>
      <c r="M117" s="18"/>
      <c r="N117" s="18"/>
      <c r="O117" s="17"/>
      <c r="Q117" s="22"/>
      <c r="R117" s="22"/>
      <c r="S117" s="19"/>
      <c r="T117" s="19"/>
    </row>
    <row r="118" spans="2:20" s="20" customFormat="1" ht="17.100000000000001" customHeight="1" x14ac:dyDescent="0.3">
      <c r="B118" s="17"/>
      <c r="C118" s="17"/>
      <c r="F118" s="15"/>
      <c r="G118" s="15"/>
      <c r="H118" s="15"/>
      <c r="I118" s="15"/>
      <c r="J118" s="15"/>
      <c r="K118" s="29"/>
      <c r="L118" s="19"/>
      <c r="M118" s="18"/>
      <c r="N118" s="18"/>
      <c r="O118" s="17"/>
      <c r="Q118" s="22"/>
      <c r="R118" s="22"/>
      <c r="S118" s="19"/>
      <c r="T118" s="19"/>
    </row>
    <row r="119" spans="2:20" s="20" customFormat="1" ht="17.100000000000001" customHeight="1" x14ac:dyDescent="0.3">
      <c r="B119" s="17"/>
      <c r="C119" s="17"/>
      <c r="F119" s="15"/>
      <c r="G119" s="15"/>
      <c r="H119" s="15"/>
      <c r="I119" s="15"/>
      <c r="J119" s="15"/>
      <c r="K119" s="29"/>
      <c r="L119" s="19"/>
      <c r="M119" s="18"/>
      <c r="N119" s="18"/>
      <c r="O119" s="17"/>
      <c r="Q119" s="22"/>
      <c r="R119" s="22"/>
      <c r="S119" s="19"/>
      <c r="T119" s="19"/>
    </row>
    <row r="120" spans="2:20" s="20" customFormat="1" ht="17.100000000000001" customHeight="1" x14ac:dyDescent="0.3">
      <c r="B120" s="17"/>
      <c r="C120" s="17"/>
      <c r="F120" s="15"/>
      <c r="G120" s="15"/>
      <c r="H120" s="15"/>
      <c r="I120" s="15"/>
      <c r="J120" s="15"/>
      <c r="K120" s="29"/>
      <c r="L120" s="19"/>
      <c r="M120" s="18"/>
      <c r="N120" s="18"/>
      <c r="O120" s="17"/>
      <c r="Q120" s="22"/>
      <c r="R120" s="22"/>
      <c r="S120" s="19"/>
      <c r="T120" s="19"/>
    </row>
    <row r="121" spans="2:20" s="20" customFormat="1" ht="17.100000000000001" customHeight="1" x14ac:dyDescent="0.3">
      <c r="B121" s="17"/>
      <c r="C121" s="17"/>
      <c r="F121" s="15"/>
      <c r="G121" s="15"/>
      <c r="H121" s="15"/>
      <c r="I121" s="15"/>
      <c r="J121" s="15"/>
      <c r="K121" s="29"/>
      <c r="L121" s="19"/>
      <c r="M121" s="18"/>
      <c r="N121" s="18"/>
      <c r="O121" s="17"/>
      <c r="Q121" s="22"/>
      <c r="R121" s="22"/>
      <c r="S121" s="19"/>
      <c r="T121" s="19"/>
    </row>
    <row r="122" spans="2:20" s="20" customFormat="1" ht="17.100000000000001" customHeight="1" x14ac:dyDescent="0.3">
      <c r="B122" s="17"/>
      <c r="C122" s="17"/>
      <c r="F122" s="15"/>
      <c r="G122" s="15"/>
      <c r="H122" s="15"/>
      <c r="I122" s="15"/>
      <c r="J122" s="15"/>
      <c r="K122" s="29"/>
      <c r="L122" s="19"/>
      <c r="M122" s="18"/>
      <c r="N122" s="18"/>
      <c r="O122" s="17"/>
      <c r="Q122" s="22"/>
      <c r="R122" s="22"/>
      <c r="S122" s="19"/>
      <c r="T122" s="19"/>
    </row>
    <row r="123" spans="2:20" s="20" customFormat="1" ht="17.100000000000001" customHeight="1" x14ac:dyDescent="0.3">
      <c r="B123" s="17"/>
      <c r="C123" s="17"/>
      <c r="F123" s="15"/>
      <c r="G123" s="15"/>
      <c r="H123" s="15"/>
      <c r="I123" s="15"/>
      <c r="J123" s="15"/>
      <c r="K123" s="29"/>
      <c r="L123" s="19"/>
      <c r="M123" s="18"/>
      <c r="N123" s="18"/>
      <c r="O123" s="17"/>
      <c r="Q123" s="22"/>
      <c r="R123" s="22"/>
      <c r="S123" s="19"/>
      <c r="T123" s="19"/>
    </row>
    <row r="124" spans="2:20" s="20" customFormat="1" ht="17.100000000000001" customHeight="1" x14ac:dyDescent="0.3">
      <c r="B124" s="17"/>
      <c r="C124" s="17"/>
      <c r="F124" s="15"/>
      <c r="G124" s="15"/>
      <c r="H124" s="15"/>
      <c r="I124" s="15"/>
      <c r="J124" s="15"/>
      <c r="K124" s="29"/>
      <c r="L124" s="19"/>
      <c r="M124" s="18"/>
      <c r="N124" s="18"/>
      <c r="O124" s="17"/>
      <c r="Q124" s="22"/>
      <c r="R124" s="22"/>
      <c r="S124" s="19"/>
      <c r="T124" s="19"/>
    </row>
    <row r="125" spans="2:20" s="20" customFormat="1" ht="17.100000000000001" customHeight="1" x14ac:dyDescent="0.3">
      <c r="B125" s="17"/>
      <c r="C125" s="17"/>
      <c r="F125" s="15"/>
      <c r="G125" s="15"/>
      <c r="H125" s="15"/>
      <c r="I125" s="15"/>
      <c r="J125" s="15"/>
      <c r="K125" s="29"/>
      <c r="L125" s="19"/>
      <c r="M125" s="18"/>
      <c r="N125" s="18"/>
      <c r="O125" s="17"/>
      <c r="Q125" s="22"/>
      <c r="R125" s="22"/>
      <c r="S125" s="19"/>
      <c r="T125" s="19"/>
    </row>
    <row r="126" spans="2:20" s="20" customFormat="1" ht="17.100000000000001" customHeight="1" x14ac:dyDescent="0.3">
      <c r="B126" s="17"/>
      <c r="C126" s="17"/>
      <c r="F126" s="15"/>
      <c r="G126" s="15"/>
      <c r="H126" s="15"/>
      <c r="I126" s="15"/>
      <c r="J126" s="15"/>
      <c r="K126" s="29"/>
      <c r="L126" s="19"/>
      <c r="M126" s="18"/>
      <c r="N126" s="18"/>
      <c r="O126" s="17"/>
      <c r="Q126" s="22"/>
      <c r="R126" s="22"/>
      <c r="S126" s="19"/>
      <c r="T126" s="19"/>
    </row>
    <row r="127" spans="2:20" s="20" customFormat="1" ht="17.100000000000001" customHeight="1" x14ac:dyDescent="0.3">
      <c r="B127" s="17"/>
      <c r="C127" s="17"/>
      <c r="F127" s="15"/>
      <c r="G127" s="15"/>
      <c r="H127" s="15"/>
      <c r="I127" s="15"/>
      <c r="J127" s="15"/>
      <c r="K127" s="29"/>
      <c r="L127" s="19"/>
      <c r="M127" s="18"/>
      <c r="N127" s="18"/>
      <c r="O127" s="17"/>
      <c r="Q127" s="22"/>
      <c r="R127" s="22"/>
      <c r="S127" s="19"/>
      <c r="T127" s="19"/>
    </row>
    <row r="128" spans="2:20" s="20" customFormat="1" ht="17.100000000000001" customHeight="1" x14ac:dyDescent="0.3">
      <c r="B128" s="17"/>
      <c r="C128" s="17"/>
      <c r="F128" s="15"/>
      <c r="G128" s="15"/>
      <c r="H128" s="15"/>
      <c r="I128" s="15"/>
      <c r="J128" s="15"/>
      <c r="K128" s="29"/>
      <c r="L128" s="19"/>
      <c r="M128" s="18"/>
      <c r="N128" s="18"/>
      <c r="O128" s="17"/>
      <c r="Q128" s="22"/>
      <c r="R128" s="22"/>
      <c r="S128" s="19"/>
      <c r="T128" s="19"/>
    </row>
    <row r="129" spans="2:20" s="20" customFormat="1" ht="17.100000000000001" customHeight="1" x14ac:dyDescent="0.3">
      <c r="B129" s="17"/>
      <c r="C129" s="17"/>
      <c r="F129" s="15"/>
      <c r="G129" s="15"/>
      <c r="H129" s="15"/>
      <c r="I129" s="15"/>
      <c r="J129" s="15"/>
      <c r="K129" s="29"/>
      <c r="L129" s="19"/>
      <c r="M129" s="18"/>
      <c r="N129" s="18"/>
      <c r="O129" s="17"/>
      <c r="Q129" s="22"/>
      <c r="R129" s="22"/>
      <c r="S129" s="19"/>
      <c r="T129" s="19"/>
    </row>
    <row r="130" spans="2:20" s="20" customFormat="1" ht="17.100000000000001" customHeight="1" x14ac:dyDescent="0.3">
      <c r="B130" s="17"/>
      <c r="C130" s="17"/>
      <c r="F130" s="15"/>
      <c r="G130" s="15"/>
      <c r="H130" s="15"/>
      <c r="I130" s="15"/>
      <c r="J130" s="15"/>
      <c r="K130" s="29"/>
      <c r="L130" s="19"/>
      <c r="M130" s="18"/>
      <c r="N130" s="18"/>
      <c r="O130" s="17"/>
      <c r="Q130" s="22"/>
      <c r="R130" s="22"/>
      <c r="S130" s="19"/>
      <c r="T130" s="19"/>
    </row>
    <row r="131" spans="2:20" s="20" customFormat="1" ht="17.100000000000001" customHeight="1" x14ac:dyDescent="0.3">
      <c r="B131" s="17"/>
      <c r="C131" s="17"/>
      <c r="F131" s="15"/>
      <c r="G131" s="15"/>
      <c r="H131" s="15"/>
      <c r="I131" s="15"/>
      <c r="J131" s="15"/>
      <c r="K131" s="29"/>
      <c r="L131" s="19"/>
      <c r="M131" s="18"/>
      <c r="N131" s="18"/>
      <c r="O131" s="17"/>
      <c r="Q131" s="22"/>
      <c r="R131" s="22"/>
      <c r="S131" s="19"/>
      <c r="T131" s="19"/>
    </row>
    <row r="132" spans="2:20" s="20" customFormat="1" ht="17.100000000000001" customHeight="1" x14ac:dyDescent="0.3">
      <c r="B132" s="17"/>
      <c r="C132" s="17"/>
      <c r="F132" s="15"/>
      <c r="G132" s="15"/>
      <c r="H132" s="15"/>
      <c r="I132" s="15"/>
      <c r="J132" s="15"/>
      <c r="K132" s="29"/>
      <c r="L132" s="19"/>
      <c r="M132" s="18"/>
      <c r="N132" s="18"/>
      <c r="O132" s="17"/>
      <c r="Q132" s="22"/>
      <c r="R132" s="22"/>
      <c r="S132" s="19"/>
      <c r="T132" s="19"/>
    </row>
    <row r="133" spans="2:20" s="20" customFormat="1" ht="17.100000000000001" customHeight="1" x14ac:dyDescent="0.3">
      <c r="B133" s="17"/>
      <c r="C133" s="17"/>
      <c r="F133" s="15"/>
      <c r="G133" s="15"/>
      <c r="H133" s="15"/>
      <c r="I133" s="15"/>
      <c r="J133" s="15"/>
      <c r="K133" s="29"/>
      <c r="L133" s="19"/>
      <c r="M133" s="18"/>
      <c r="N133" s="18"/>
      <c r="O133" s="17"/>
      <c r="Q133" s="22"/>
      <c r="R133" s="22"/>
      <c r="S133" s="19"/>
      <c r="T133" s="19"/>
    </row>
    <row r="134" spans="2:20" s="20" customFormat="1" ht="17.100000000000001" customHeight="1" x14ac:dyDescent="0.3">
      <c r="B134" s="17"/>
      <c r="C134" s="17"/>
      <c r="F134" s="15"/>
      <c r="G134" s="15"/>
      <c r="H134" s="15"/>
      <c r="I134" s="15"/>
      <c r="J134" s="15"/>
      <c r="K134" s="29"/>
      <c r="L134" s="19"/>
      <c r="M134" s="18"/>
      <c r="N134" s="18"/>
      <c r="O134" s="17"/>
      <c r="Q134" s="22"/>
      <c r="R134" s="22"/>
      <c r="S134" s="19"/>
      <c r="T134" s="19"/>
    </row>
    <row r="135" spans="2:20" s="20" customFormat="1" ht="17.100000000000001" customHeight="1" x14ac:dyDescent="0.3">
      <c r="B135" s="17"/>
      <c r="C135" s="17"/>
      <c r="F135" s="15"/>
      <c r="G135" s="15"/>
      <c r="H135" s="15"/>
      <c r="I135" s="15"/>
      <c r="J135" s="15"/>
      <c r="K135" s="29"/>
      <c r="L135" s="19"/>
      <c r="M135" s="18"/>
      <c r="N135" s="18"/>
      <c r="O135" s="17"/>
      <c r="Q135" s="22"/>
      <c r="R135" s="22"/>
      <c r="S135" s="19"/>
      <c r="T135" s="19"/>
    </row>
    <row r="136" spans="2:20" s="20" customFormat="1" ht="17.100000000000001" customHeight="1" x14ac:dyDescent="0.3">
      <c r="B136" s="17"/>
      <c r="C136" s="17"/>
      <c r="F136" s="15"/>
      <c r="G136" s="15"/>
      <c r="H136" s="15"/>
      <c r="I136" s="15"/>
      <c r="J136" s="15"/>
      <c r="K136" s="29"/>
      <c r="L136" s="19"/>
      <c r="M136" s="18"/>
      <c r="N136" s="18"/>
      <c r="O136" s="17"/>
      <c r="Q136" s="22"/>
      <c r="R136" s="22"/>
      <c r="S136" s="19"/>
      <c r="T136" s="19"/>
    </row>
    <row r="137" spans="2:20" s="20" customFormat="1" ht="17.100000000000001" customHeight="1" x14ac:dyDescent="0.3">
      <c r="B137" s="17"/>
      <c r="C137" s="17"/>
      <c r="F137" s="15"/>
      <c r="G137" s="15"/>
      <c r="H137" s="15"/>
      <c r="I137" s="15"/>
      <c r="J137" s="15"/>
      <c r="K137" s="29"/>
      <c r="L137" s="19"/>
      <c r="M137" s="18"/>
      <c r="N137" s="18"/>
      <c r="O137" s="17"/>
      <c r="Q137" s="22"/>
      <c r="R137" s="22"/>
      <c r="S137" s="19"/>
      <c r="T137" s="19"/>
    </row>
    <row r="138" spans="2:20" s="20" customFormat="1" ht="17.100000000000001" customHeight="1" x14ac:dyDescent="0.3">
      <c r="B138" s="17"/>
      <c r="C138" s="17"/>
      <c r="F138" s="15"/>
      <c r="G138" s="15"/>
      <c r="H138" s="15"/>
      <c r="I138" s="15"/>
      <c r="J138" s="15"/>
      <c r="K138" s="29"/>
      <c r="L138" s="19"/>
      <c r="M138" s="18"/>
      <c r="N138" s="18"/>
      <c r="O138" s="17"/>
      <c r="Q138" s="22"/>
      <c r="R138" s="22"/>
      <c r="S138" s="19"/>
      <c r="T138" s="19"/>
    </row>
    <row r="139" spans="2:20" s="20" customFormat="1" ht="17.100000000000001" customHeight="1" x14ac:dyDescent="0.3">
      <c r="B139" s="17"/>
      <c r="C139" s="17"/>
      <c r="F139" s="15"/>
      <c r="G139" s="15"/>
      <c r="H139" s="15"/>
      <c r="I139" s="15"/>
      <c r="J139" s="15"/>
      <c r="K139" s="29"/>
      <c r="L139" s="19"/>
      <c r="M139" s="18"/>
      <c r="N139" s="18"/>
      <c r="O139" s="17"/>
      <c r="Q139" s="22"/>
      <c r="R139" s="22"/>
      <c r="S139" s="19"/>
      <c r="T139" s="19"/>
    </row>
    <row r="140" spans="2:20" s="20" customFormat="1" ht="17.100000000000001" customHeight="1" x14ac:dyDescent="0.3">
      <c r="B140" s="17"/>
      <c r="C140" s="17"/>
      <c r="F140" s="15"/>
      <c r="G140" s="15"/>
      <c r="H140" s="15"/>
      <c r="I140" s="15"/>
      <c r="J140" s="15"/>
      <c r="K140" s="29"/>
      <c r="L140" s="19"/>
      <c r="M140" s="18"/>
      <c r="N140" s="18"/>
      <c r="O140" s="17"/>
      <c r="Q140" s="22"/>
      <c r="R140" s="22"/>
      <c r="S140" s="19"/>
      <c r="T140" s="19"/>
    </row>
    <row r="141" spans="2:20" s="20" customFormat="1" ht="17.100000000000001" customHeight="1" x14ac:dyDescent="0.3">
      <c r="B141" s="17"/>
      <c r="C141" s="17"/>
      <c r="F141" s="15"/>
      <c r="G141" s="15"/>
      <c r="H141" s="15"/>
      <c r="I141" s="15"/>
      <c r="J141" s="15"/>
      <c r="K141" s="29"/>
      <c r="L141" s="19"/>
      <c r="M141" s="18"/>
      <c r="N141" s="18"/>
      <c r="O141" s="17"/>
      <c r="Q141" s="22"/>
      <c r="R141" s="22"/>
      <c r="S141" s="19"/>
      <c r="T141" s="19"/>
    </row>
    <row r="142" spans="2:20" s="20" customFormat="1" ht="17.100000000000001" customHeight="1" x14ac:dyDescent="0.3">
      <c r="B142" s="17"/>
      <c r="C142" s="17"/>
      <c r="F142" s="15"/>
      <c r="G142" s="15"/>
      <c r="H142" s="15"/>
      <c r="I142" s="15"/>
      <c r="J142" s="15"/>
      <c r="K142" s="29"/>
      <c r="L142" s="19"/>
      <c r="M142" s="18"/>
      <c r="N142" s="18"/>
      <c r="O142" s="17"/>
      <c r="Q142" s="22"/>
      <c r="R142" s="22"/>
      <c r="S142" s="19"/>
      <c r="T142" s="19"/>
    </row>
    <row r="143" spans="2:20" s="20" customFormat="1" ht="17.100000000000001" customHeight="1" x14ac:dyDescent="0.3">
      <c r="B143" s="17"/>
      <c r="C143" s="17"/>
      <c r="F143" s="15"/>
      <c r="G143" s="15"/>
      <c r="H143" s="15"/>
      <c r="I143" s="15"/>
      <c r="J143" s="15"/>
      <c r="K143" s="29"/>
      <c r="L143" s="19"/>
      <c r="M143" s="18"/>
      <c r="N143" s="18"/>
      <c r="O143" s="17"/>
      <c r="Q143" s="22"/>
      <c r="R143" s="22"/>
      <c r="S143" s="19"/>
      <c r="T143" s="19"/>
    </row>
    <row r="144" spans="2:20" s="20" customFormat="1" ht="17.100000000000001" customHeight="1" x14ac:dyDescent="0.3">
      <c r="B144" s="17"/>
      <c r="C144" s="17"/>
      <c r="F144" s="15"/>
      <c r="G144" s="15"/>
      <c r="H144" s="15"/>
      <c r="I144" s="15"/>
      <c r="J144" s="15"/>
      <c r="K144" s="29"/>
      <c r="L144" s="19"/>
      <c r="M144" s="18"/>
      <c r="N144" s="18"/>
      <c r="O144" s="17"/>
      <c r="Q144" s="22"/>
      <c r="R144" s="22"/>
      <c r="S144" s="19"/>
      <c r="T144" s="19"/>
    </row>
    <row r="145" spans="2:20" s="20" customFormat="1" ht="17.100000000000001" customHeight="1" x14ac:dyDescent="0.3">
      <c r="B145" s="17"/>
      <c r="C145" s="17"/>
      <c r="F145" s="15"/>
      <c r="G145" s="15"/>
      <c r="H145" s="15"/>
      <c r="I145" s="15"/>
      <c r="J145" s="15"/>
      <c r="K145" s="29"/>
      <c r="L145" s="19"/>
      <c r="M145" s="18"/>
      <c r="N145" s="18"/>
      <c r="O145" s="17"/>
      <c r="Q145" s="22"/>
      <c r="R145" s="22"/>
      <c r="S145" s="19"/>
      <c r="T145" s="19"/>
    </row>
    <row r="146" spans="2:20" s="20" customFormat="1" ht="17.100000000000001" customHeight="1" x14ac:dyDescent="0.3">
      <c r="B146" s="17"/>
      <c r="C146" s="17"/>
      <c r="F146" s="15"/>
      <c r="G146" s="15"/>
      <c r="H146" s="15"/>
      <c r="I146" s="15"/>
      <c r="J146" s="15"/>
      <c r="K146" s="29"/>
      <c r="L146" s="19"/>
      <c r="M146" s="18"/>
      <c r="N146" s="18"/>
      <c r="O146" s="17"/>
      <c r="Q146" s="22"/>
      <c r="R146" s="22"/>
      <c r="S146" s="19"/>
      <c r="T146" s="19"/>
    </row>
    <row r="147" spans="2:20" s="20" customFormat="1" ht="17.100000000000001" customHeight="1" x14ac:dyDescent="0.3">
      <c r="B147" s="17"/>
      <c r="C147" s="17"/>
      <c r="F147" s="15"/>
      <c r="G147" s="15"/>
      <c r="H147" s="15"/>
      <c r="I147" s="15"/>
      <c r="J147" s="15"/>
      <c r="K147" s="29"/>
      <c r="L147" s="19"/>
      <c r="M147" s="18"/>
      <c r="N147" s="18"/>
      <c r="O147" s="17"/>
      <c r="Q147" s="22"/>
      <c r="R147" s="22"/>
      <c r="S147" s="19"/>
      <c r="T147" s="19"/>
    </row>
    <row r="148" spans="2:20" s="20" customFormat="1" ht="17.100000000000001" customHeight="1" x14ac:dyDescent="0.3">
      <c r="B148" s="17"/>
      <c r="C148" s="17"/>
      <c r="F148" s="15"/>
      <c r="G148" s="15"/>
      <c r="H148" s="15"/>
      <c r="I148" s="15"/>
      <c r="J148" s="15"/>
      <c r="K148" s="29"/>
      <c r="L148" s="19"/>
      <c r="M148" s="18"/>
      <c r="N148" s="18"/>
      <c r="O148" s="17"/>
      <c r="Q148" s="22"/>
      <c r="R148" s="22"/>
      <c r="S148" s="19"/>
      <c r="T148" s="19"/>
    </row>
    <row r="149" spans="2:20" s="20" customFormat="1" ht="17.100000000000001" customHeight="1" x14ac:dyDescent="0.3">
      <c r="B149" s="17"/>
      <c r="C149" s="17"/>
      <c r="F149" s="15"/>
      <c r="G149" s="15"/>
      <c r="H149" s="15"/>
      <c r="I149" s="15"/>
      <c r="J149" s="15"/>
      <c r="K149" s="29"/>
      <c r="L149" s="19"/>
      <c r="M149" s="18"/>
      <c r="N149" s="18"/>
      <c r="O149" s="17"/>
      <c r="Q149" s="22"/>
      <c r="R149" s="22"/>
      <c r="S149" s="19"/>
      <c r="T149" s="19"/>
    </row>
    <row r="150" spans="2:20" s="20" customFormat="1" ht="17.100000000000001" customHeight="1" x14ac:dyDescent="0.3">
      <c r="B150" s="17"/>
      <c r="C150" s="17"/>
      <c r="F150" s="15"/>
      <c r="G150" s="15"/>
      <c r="H150" s="15"/>
      <c r="I150" s="15"/>
      <c r="J150" s="15"/>
      <c r="K150" s="29"/>
      <c r="L150" s="19"/>
      <c r="M150" s="18"/>
      <c r="N150" s="18"/>
      <c r="O150" s="17"/>
      <c r="Q150" s="22"/>
      <c r="R150" s="22"/>
      <c r="S150" s="19"/>
      <c r="T150" s="19"/>
    </row>
    <row r="151" spans="2:20" s="20" customFormat="1" ht="17.100000000000001" customHeight="1" x14ac:dyDescent="0.3">
      <c r="B151" s="17"/>
      <c r="C151" s="17"/>
      <c r="F151" s="15"/>
      <c r="G151" s="15"/>
      <c r="H151" s="15"/>
      <c r="I151" s="15"/>
      <c r="J151" s="15"/>
      <c r="K151" s="29"/>
      <c r="L151" s="19"/>
      <c r="M151" s="18"/>
      <c r="N151" s="18"/>
      <c r="O151" s="17"/>
      <c r="Q151" s="22"/>
      <c r="R151" s="22"/>
      <c r="S151" s="19"/>
      <c r="T151" s="19"/>
    </row>
    <row r="152" spans="2:20" s="20" customFormat="1" ht="17.100000000000001" customHeight="1" x14ac:dyDescent="0.3">
      <c r="B152" s="17"/>
      <c r="C152" s="17"/>
      <c r="F152" s="15"/>
      <c r="G152" s="15"/>
      <c r="H152" s="15"/>
      <c r="I152" s="15"/>
      <c r="J152" s="15"/>
      <c r="K152" s="29"/>
      <c r="L152" s="19"/>
      <c r="M152" s="18"/>
      <c r="N152" s="18"/>
      <c r="O152" s="17"/>
      <c r="Q152" s="22"/>
      <c r="R152" s="22"/>
      <c r="S152" s="19"/>
      <c r="T152" s="19"/>
    </row>
    <row r="153" spans="2:20" s="20" customFormat="1" ht="17.100000000000001" customHeight="1" x14ac:dyDescent="0.3">
      <c r="B153" s="17"/>
      <c r="C153" s="17"/>
      <c r="F153" s="15"/>
      <c r="G153" s="15"/>
      <c r="H153" s="15"/>
      <c r="I153" s="15"/>
      <c r="J153" s="15"/>
      <c r="K153" s="29"/>
      <c r="L153" s="19"/>
      <c r="M153" s="18"/>
      <c r="N153" s="18"/>
      <c r="O153" s="17"/>
      <c r="Q153" s="22"/>
      <c r="R153" s="22"/>
      <c r="S153" s="19"/>
      <c r="T153" s="19"/>
    </row>
    <row r="154" spans="2:20" s="20" customFormat="1" ht="17.100000000000001" customHeight="1" x14ac:dyDescent="0.3">
      <c r="B154" s="17"/>
      <c r="C154" s="17"/>
      <c r="F154" s="15"/>
      <c r="G154" s="15"/>
      <c r="H154" s="15"/>
      <c r="I154" s="15"/>
      <c r="J154" s="15"/>
      <c r="K154" s="29"/>
      <c r="L154" s="19"/>
      <c r="M154" s="18"/>
      <c r="N154" s="18"/>
      <c r="O154" s="17"/>
      <c r="Q154" s="22"/>
      <c r="R154" s="22"/>
      <c r="S154" s="19"/>
      <c r="T154" s="19"/>
    </row>
    <row r="155" spans="2:20" s="20" customFormat="1" ht="17.100000000000001" customHeight="1" x14ac:dyDescent="0.3">
      <c r="B155" s="17"/>
      <c r="C155" s="17"/>
      <c r="F155" s="15"/>
      <c r="G155" s="15"/>
      <c r="H155" s="15"/>
      <c r="I155" s="15"/>
      <c r="J155" s="15"/>
      <c r="K155" s="29"/>
      <c r="L155" s="19"/>
      <c r="M155" s="18"/>
      <c r="N155" s="18"/>
      <c r="O155" s="17"/>
      <c r="Q155" s="22"/>
      <c r="R155" s="22"/>
      <c r="S155" s="19"/>
      <c r="T155" s="19"/>
    </row>
    <row r="156" spans="2:20" s="20" customFormat="1" ht="17.100000000000001" customHeight="1" x14ac:dyDescent="0.3">
      <c r="B156" s="17"/>
      <c r="C156" s="17"/>
      <c r="F156" s="15"/>
      <c r="G156" s="15"/>
      <c r="H156" s="15"/>
      <c r="I156" s="15"/>
      <c r="J156" s="15"/>
      <c r="K156" s="29"/>
      <c r="L156" s="19"/>
      <c r="M156" s="18"/>
      <c r="N156" s="18"/>
      <c r="O156" s="17"/>
      <c r="Q156" s="22"/>
      <c r="R156" s="22"/>
      <c r="S156" s="19"/>
      <c r="T156" s="19"/>
    </row>
    <row r="157" spans="2:20" s="20" customFormat="1" ht="17.100000000000001" customHeight="1" x14ac:dyDescent="0.3">
      <c r="B157" s="17"/>
      <c r="C157" s="17"/>
      <c r="F157" s="15"/>
      <c r="G157" s="15"/>
      <c r="H157" s="15"/>
      <c r="I157" s="15"/>
      <c r="J157" s="15"/>
      <c r="K157" s="29"/>
      <c r="L157" s="19"/>
      <c r="M157" s="18"/>
      <c r="N157" s="18"/>
      <c r="O157" s="17"/>
      <c r="Q157" s="22"/>
      <c r="R157" s="22"/>
      <c r="S157" s="19"/>
      <c r="T157" s="19"/>
    </row>
    <row r="158" spans="2:20" s="20" customFormat="1" ht="17.100000000000001" customHeight="1" x14ac:dyDescent="0.3">
      <c r="B158" s="17"/>
      <c r="C158" s="17"/>
      <c r="F158" s="15"/>
      <c r="G158" s="15"/>
      <c r="H158" s="15"/>
      <c r="I158" s="15"/>
      <c r="J158" s="15"/>
      <c r="K158" s="29"/>
      <c r="L158" s="19"/>
      <c r="M158" s="18"/>
      <c r="N158" s="18"/>
      <c r="O158" s="17"/>
      <c r="Q158" s="22"/>
      <c r="R158" s="22"/>
      <c r="S158" s="19"/>
      <c r="T158" s="19"/>
    </row>
    <row r="159" spans="2:20" s="20" customFormat="1" ht="17.100000000000001" customHeight="1" x14ac:dyDescent="0.3">
      <c r="B159" s="17"/>
      <c r="C159" s="17"/>
      <c r="F159" s="15"/>
      <c r="G159" s="15"/>
      <c r="H159" s="15"/>
      <c r="I159" s="15"/>
      <c r="J159" s="15"/>
      <c r="K159" s="29"/>
      <c r="L159" s="19"/>
      <c r="M159" s="18"/>
      <c r="N159" s="18"/>
      <c r="O159" s="17"/>
      <c r="Q159" s="22"/>
      <c r="R159" s="22"/>
      <c r="S159" s="19"/>
      <c r="T159" s="19"/>
    </row>
    <row r="160" spans="2:20" s="20" customFormat="1" ht="17.100000000000001" customHeight="1" x14ac:dyDescent="0.3">
      <c r="B160" s="17"/>
      <c r="C160" s="17"/>
      <c r="F160" s="15"/>
      <c r="G160" s="15"/>
      <c r="H160" s="15"/>
      <c r="I160" s="15"/>
      <c r="J160" s="15"/>
      <c r="K160" s="29"/>
      <c r="L160" s="19"/>
      <c r="M160" s="18"/>
      <c r="N160" s="18"/>
      <c r="O160" s="17"/>
      <c r="Q160" s="22"/>
      <c r="R160" s="22"/>
      <c r="S160" s="19"/>
      <c r="T160" s="19"/>
    </row>
    <row r="161" spans="2:20" s="20" customFormat="1" ht="17.100000000000001" customHeight="1" x14ac:dyDescent="0.3">
      <c r="B161" s="17"/>
      <c r="C161" s="17"/>
      <c r="F161" s="15"/>
      <c r="G161" s="15"/>
      <c r="H161" s="15"/>
      <c r="I161" s="15"/>
      <c r="J161" s="15"/>
      <c r="K161" s="29"/>
      <c r="L161" s="19"/>
      <c r="M161" s="18"/>
      <c r="N161" s="18"/>
      <c r="O161" s="17"/>
      <c r="Q161" s="22"/>
      <c r="R161" s="22"/>
      <c r="S161" s="19"/>
      <c r="T161" s="19"/>
    </row>
    <row r="162" spans="2:20" s="20" customFormat="1" ht="17.100000000000001" customHeight="1" x14ac:dyDescent="0.3">
      <c r="B162" s="17"/>
      <c r="C162" s="17"/>
      <c r="F162" s="15"/>
      <c r="G162" s="15"/>
      <c r="H162" s="15"/>
      <c r="I162" s="15"/>
      <c r="J162" s="15"/>
      <c r="K162" s="29"/>
      <c r="L162" s="19"/>
      <c r="M162" s="18"/>
      <c r="N162" s="18"/>
      <c r="O162" s="17"/>
      <c r="Q162" s="22"/>
      <c r="R162" s="22"/>
      <c r="S162" s="19"/>
      <c r="T162" s="19"/>
    </row>
    <row r="163" spans="2:20" s="20" customFormat="1" ht="17.100000000000001" customHeight="1" x14ac:dyDescent="0.3">
      <c r="B163" s="17"/>
      <c r="C163" s="17"/>
      <c r="F163" s="15"/>
      <c r="G163" s="15"/>
      <c r="H163" s="15"/>
      <c r="I163" s="15"/>
      <c r="J163" s="15"/>
      <c r="K163" s="29"/>
      <c r="L163" s="19"/>
      <c r="M163" s="18"/>
      <c r="N163" s="18"/>
      <c r="O163" s="17"/>
      <c r="Q163" s="22"/>
      <c r="R163" s="22"/>
      <c r="S163" s="19"/>
      <c r="T163" s="19"/>
    </row>
    <row r="164" spans="2:20" s="20" customFormat="1" ht="17.100000000000001" customHeight="1" x14ac:dyDescent="0.3">
      <c r="B164" s="17"/>
      <c r="C164" s="17"/>
      <c r="F164" s="15"/>
      <c r="G164" s="15"/>
      <c r="H164" s="15"/>
      <c r="I164" s="15"/>
      <c r="J164" s="15"/>
      <c r="K164" s="29"/>
      <c r="L164" s="19"/>
      <c r="M164" s="18"/>
      <c r="N164" s="18"/>
      <c r="O164" s="17"/>
      <c r="Q164" s="22"/>
      <c r="R164" s="22"/>
      <c r="S164" s="19"/>
      <c r="T164" s="19"/>
    </row>
    <row r="165" spans="2:20" s="20" customFormat="1" ht="17.100000000000001" customHeight="1" x14ac:dyDescent="0.3">
      <c r="B165" s="17"/>
      <c r="C165" s="17"/>
      <c r="F165" s="15"/>
      <c r="G165" s="15"/>
      <c r="H165" s="15"/>
      <c r="I165" s="15"/>
      <c r="J165" s="15"/>
      <c r="K165" s="29"/>
      <c r="L165" s="19"/>
      <c r="M165" s="18"/>
      <c r="N165" s="18"/>
      <c r="O165" s="17"/>
      <c r="Q165" s="22"/>
      <c r="R165" s="22"/>
      <c r="S165" s="19"/>
      <c r="T165" s="19"/>
    </row>
    <row r="166" spans="2:20" s="20" customFormat="1" ht="17.100000000000001" customHeight="1" x14ac:dyDescent="0.3">
      <c r="B166" s="17"/>
      <c r="C166" s="17"/>
      <c r="F166" s="15"/>
      <c r="G166" s="15"/>
      <c r="H166" s="15"/>
      <c r="I166" s="15"/>
      <c r="J166" s="15"/>
      <c r="K166" s="29"/>
      <c r="L166" s="19"/>
      <c r="M166" s="18"/>
      <c r="N166" s="18"/>
      <c r="O166" s="17"/>
      <c r="Q166" s="22"/>
      <c r="R166" s="22"/>
      <c r="S166" s="19"/>
      <c r="T166" s="19"/>
    </row>
    <row r="167" spans="2:20" s="20" customFormat="1" ht="17.100000000000001" customHeight="1" x14ac:dyDescent="0.3">
      <c r="B167" s="17"/>
      <c r="C167" s="17"/>
      <c r="F167" s="15"/>
      <c r="G167" s="15"/>
      <c r="H167" s="15"/>
      <c r="I167" s="15"/>
      <c r="J167" s="15"/>
      <c r="K167" s="29"/>
      <c r="L167" s="19"/>
      <c r="M167" s="18"/>
      <c r="N167" s="18"/>
      <c r="O167" s="17"/>
      <c r="Q167" s="22"/>
      <c r="R167" s="22"/>
      <c r="S167" s="19"/>
      <c r="T167" s="19"/>
    </row>
    <row r="168" spans="2:20" s="20" customFormat="1" ht="17.100000000000001" customHeight="1" x14ac:dyDescent="0.3">
      <c r="B168" s="17"/>
      <c r="C168" s="17"/>
      <c r="F168" s="15"/>
      <c r="G168" s="15"/>
      <c r="H168" s="15"/>
      <c r="I168" s="15"/>
      <c r="J168" s="15"/>
      <c r="K168" s="29"/>
      <c r="L168" s="19"/>
      <c r="M168" s="18"/>
      <c r="N168" s="18"/>
      <c r="O168" s="17"/>
      <c r="Q168" s="22"/>
      <c r="R168" s="22"/>
      <c r="S168" s="19"/>
      <c r="T168" s="19"/>
    </row>
    <row r="169" spans="2:20" s="20" customFormat="1" ht="17.100000000000001" customHeight="1" x14ac:dyDescent="0.3">
      <c r="B169" s="17"/>
      <c r="C169" s="17"/>
      <c r="F169" s="15"/>
      <c r="G169" s="15"/>
      <c r="H169" s="15"/>
      <c r="I169" s="15"/>
      <c r="J169" s="15"/>
      <c r="K169" s="29"/>
      <c r="L169" s="19"/>
      <c r="M169" s="18"/>
      <c r="N169" s="18"/>
      <c r="O169" s="17"/>
      <c r="Q169" s="22"/>
      <c r="R169" s="22"/>
      <c r="S169" s="19"/>
      <c r="T169" s="19"/>
    </row>
    <row r="170" spans="2:20" s="20" customFormat="1" ht="17.100000000000001" customHeight="1" x14ac:dyDescent="0.3">
      <c r="B170" s="17"/>
      <c r="C170" s="17"/>
      <c r="F170" s="15"/>
      <c r="G170" s="15"/>
      <c r="H170" s="15"/>
      <c r="I170" s="15"/>
      <c r="J170" s="15"/>
      <c r="K170" s="29"/>
      <c r="L170" s="19"/>
      <c r="M170" s="18"/>
      <c r="N170" s="18"/>
      <c r="O170" s="17"/>
      <c r="Q170" s="22"/>
      <c r="R170" s="22"/>
      <c r="S170" s="19"/>
      <c r="T170" s="19"/>
    </row>
    <row r="171" spans="2:20" s="20" customFormat="1" ht="17.100000000000001" customHeight="1" x14ac:dyDescent="0.3">
      <c r="B171" s="17"/>
      <c r="C171" s="17"/>
      <c r="F171" s="15"/>
      <c r="G171" s="15"/>
      <c r="H171" s="15"/>
      <c r="I171" s="15"/>
      <c r="J171" s="15"/>
      <c r="K171" s="29"/>
      <c r="L171" s="19"/>
      <c r="M171" s="18"/>
      <c r="N171" s="18"/>
      <c r="O171" s="17"/>
      <c r="Q171" s="22"/>
      <c r="R171" s="22"/>
      <c r="S171" s="19"/>
      <c r="T171" s="19"/>
    </row>
    <row r="172" spans="2:20" s="20" customFormat="1" ht="17.100000000000001" customHeight="1" x14ac:dyDescent="0.3">
      <c r="B172" s="17"/>
      <c r="C172" s="17"/>
      <c r="F172" s="15"/>
      <c r="G172" s="15"/>
      <c r="H172" s="15"/>
      <c r="I172" s="15"/>
      <c r="J172" s="15"/>
      <c r="K172" s="29"/>
      <c r="L172" s="19"/>
      <c r="M172" s="18"/>
      <c r="N172" s="18"/>
      <c r="O172" s="17"/>
      <c r="Q172" s="22"/>
      <c r="R172" s="22"/>
      <c r="S172" s="19"/>
      <c r="T172" s="19"/>
    </row>
    <row r="173" spans="2:20" s="20" customFormat="1" ht="17.100000000000001" customHeight="1" x14ac:dyDescent="0.3">
      <c r="B173" s="17"/>
      <c r="C173" s="17"/>
      <c r="F173" s="15"/>
      <c r="G173" s="15"/>
      <c r="H173" s="15"/>
      <c r="I173" s="15"/>
      <c r="J173" s="15"/>
      <c r="K173" s="29"/>
      <c r="L173" s="19"/>
      <c r="M173" s="18"/>
      <c r="N173" s="18"/>
      <c r="O173" s="17"/>
      <c r="Q173" s="22"/>
      <c r="R173" s="22"/>
      <c r="S173" s="19"/>
      <c r="T173" s="19"/>
    </row>
    <row r="174" spans="2:20" s="20" customFormat="1" ht="17.100000000000001" customHeight="1" x14ac:dyDescent="0.3">
      <c r="B174" s="17"/>
      <c r="C174" s="17"/>
      <c r="F174" s="15"/>
      <c r="G174" s="15"/>
      <c r="H174" s="15"/>
      <c r="I174" s="15"/>
      <c r="J174" s="15"/>
      <c r="K174" s="29"/>
      <c r="L174" s="19"/>
      <c r="M174" s="18"/>
      <c r="N174" s="18"/>
      <c r="O174" s="17"/>
      <c r="Q174" s="22"/>
      <c r="R174" s="22"/>
      <c r="S174" s="19"/>
      <c r="T174" s="19"/>
    </row>
    <row r="175" spans="2:20" s="20" customFormat="1" ht="17.100000000000001" customHeight="1" x14ac:dyDescent="0.3">
      <c r="B175" s="17"/>
      <c r="C175" s="17"/>
      <c r="F175" s="15"/>
      <c r="G175" s="15"/>
      <c r="H175" s="15"/>
      <c r="I175" s="15"/>
      <c r="J175" s="15"/>
      <c r="K175" s="29"/>
      <c r="L175" s="19"/>
      <c r="M175" s="18"/>
      <c r="N175" s="18"/>
      <c r="O175" s="17"/>
      <c r="Q175" s="22"/>
      <c r="R175" s="22"/>
      <c r="S175" s="19"/>
      <c r="T175" s="19"/>
    </row>
    <row r="176" spans="2:20" s="20" customFormat="1" ht="17.100000000000001" customHeight="1" x14ac:dyDescent="0.3">
      <c r="B176" s="17"/>
      <c r="C176" s="17"/>
      <c r="F176" s="15"/>
      <c r="G176" s="15"/>
      <c r="H176" s="15"/>
      <c r="I176" s="15"/>
      <c r="J176" s="15"/>
      <c r="K176" s="29"/>
      <c r="L176" s="19"/>
      <c r="M176" s="18"/>
      <c r="N176" s="18"/>
      <c r="O176" s="17"/>
      <c r="Q176" s="22"/>
      <c r="R176" s="22"/>
      <c r="S176" s="19"/>
      <c r="T176" s="19"/>
    </row>
    <row r="177" spans="2:20" s="20" customFormat="1" ht="17.100000000000001" customHeight="1" x14ac:dyDescent="0.3">
      <c r="B177" s="17"/>
      <c r="C177" s="17"/>
      <c r="F177" s="15"/>
      <c r="G177" s="15"/>
      <c r="H177" s="15"/>
      <c r="I177" s="15"/>
      <c r="J177" s="15"/>
      <c r="K177" s="29"/>
      <c r="L177" s="19"/>
      <c r="M177" s="18"/>
      <c r="N177" s="18"/>
      <c r="O177" s="17"/>
      <c r="Q177" s="22"/>
      <c r="R177" s="22"/>
      <c r="S177" s="19"/>
      <c r="T177" s="19"/>
    </row>
    <row r="178" spans="2:20" s="20" customFormat="1" ht="17.100000000000001" customHeight="1" x14ac:dyDescent="0.3">
      <c r="B178" s="17"/>
      <c r="C178" s="17"/>
      <c r="F178" s="15"/>
      <c r="G178" s="15"/>
      <c r="H178" s="15"/>
      <c r="I178" s="15"/>
      <c r="J178" s="15"/>
      <c r="K178" s="29"/>
      <c r="L178" s="19"/>
      <c r="M178" s="18"/>
      <c r="N178" s="18"/>
      <c r="O178" s="17"/>
      <c r="Q178" s="22"/>
      <c r="R178" s="22"/>
      <c r="S178" s="19"/>
      <c r="T178" s="19"/>
    </row>
    <row r="179" spans="2:20" s="20" customFormat="1" ht="17.100000000000001" customHeight="1" x14ac:dyDescent="0.3">
      <c r="B179" s="17"/>
      <c r="C179" s="17"/>
      <c r="F179" s="15"/>
      <c r="G179" s="15"/>
      <c r="H179" s="15"/>
      <c r="I179" s="15"/>
      <c r="J179" s="15"/>
      <c r="K179" s="29"/>
      <c r="L179" s="19"/>
      <c r="M179" s="18"/>
      <c r="N179" s="18"/>
      <c r="O179" s="17"/>
      <c r="Q179" s="22"/>
      <c r="R179" s="22"/>
      <c r="S179" s="19"/>
      <c r="T179" s="19"/>
    </row>
    <row r="180" spans="2:20" s="20" customFormat="1" ht="17.100000000000001" customHeight="1" x14ac:dyDescent="0.3">
      <c r="B180" s="17"/>
      <c r="C180" s="17"/>
      <c r="F180" s="15"/>
      <c r="G180" s="15"/>
      <c r="H180" s="15"/>
      <c r="I180" s="15"/>
      <c r="J180" s="15"/>
      <c r="K180" s="29"/>
      <c r="L180" s="19"/>
      <c r="M180" s="18"/>
      <c r="N180" s="18"/>
      <c r="O180" s="17"/>
      <c r="Q180" s="22"/>
      <c r="R180" s="22"/>
      <c r="S180" s="19"/>
      <c r="T180" s="19"/>
    </row>
    <row r="181" spans="2:20" s="20" customFormat="1" ht="17.100000000000001" customHeight="1" x14ac:dyDescent="0.3">
      <c r="B181" s="17"/>
      <c r="C181" s="17"/>
      <c r="F181" s="15"/>
      <c r="G181" s="15"/>
      <c r="H181" s="15"/>
      <c r="I181" s="15"/>
      <c r="J181" s="15"/>
      <c r="K181" s="29"/>
      <c r="L181" s="19"/>
      <c r="M181" s="18"/>
      <c r="N181" s="18"/>
      <c r="O181" s="17"/>
      <c r="Q181" s="22"/>
      <c r="R181" s="22"/>
      <c r="S181" s="19"/>
      <c r="T181" s="19"/>
    </row>
    <row r="182" spans="2:20" s="20" customFormat="1" ht="17.100000000000001" customHeight="1" x14ac:dyDescent="0.3">
      <c r="B182" s="17"/>
      <c r="C182" s="17"/>
      <c r="F182" s="15"/>
      <c r="G182" s="15"/>
      <c r="H182" s="15"/>
      <c r="I182" s="15"/>
      <c r="J182" s="15"/>
      <c r="K182" s="29"/>
      <c r="L182" s="19"/>
      <c r="M182" s="18"/>
      <c r="N182" s="18"/>
      <c r="O182" s="17"/>
      <c r="Q182" s="22"/>
      <c r="R182" s="22"/>
      <c r="S182" s="19"/>
      <c r="T182" s="19"/>
    </row>
    <row r="183" spans="2:20" s="20" customFormat="1" ht="17.100000000000001" customHeight="1" x14ac:dyDescent="0.3">
      <c r="B183" s="17"/>
      <c r="C183" s="17"/>
      <c r="F183" s="15"/>
      <c r="G183" s="15"/>
      <c r="H183" s="15"/>
      <c r="I183" s="15"/>
      <c r="J183" s="15"/>
      <c r="K183" s="29"/>
      <c r="L183" s="19"/>
      <c r="M183" s="18"/>
      <c r="N183" s="18"/>
      <c r="O183" s="17"/>
      <c r="Q183" s="22"/>
      <c r="R183" s="22"/>
      <c r="S183" s="19"/>
      <c r="T183" s="19"/>
    </row>
    <row r="184" spans="2:20" s="20" customFormat="1" ht="17.100000000000001" customHeight="1" x14ac:dyDescent="0.3">
      <c r="B184" s="17"/>
      <c r="C184" s="17"/>
      <c r="F184" s="15"/>
      <c r="G184" s="15"/>
      <c r="H184" s="15"/>
      <c r="I184" s="15"/>
      <c r="J184" s="15"/>
      <c r="K184" s="29"/>
      <c r="L184" s="19"/>
      <c r="M184" s="18"/>
      <c r="N184" s="18"/>
      <c r="O184" s="17"/>
      <c r="Q184" s="22"/>
      <c r="R184" s="22"/>
      <c r="S184" s="19"/>
      <c r="T184" s="19"/>
    </row>
    <row r="185" spans="2:20" s="20" customFormat="1" ht="17.100000000000001" customHeight="1" x14ac:dyDescent="0.3">
      <c r="B185" s="17"/>
      <c r="C185" s="17"/>
      <c r="F185" s="15"/>
      <c r="G185" s="15"/>
      <c r="H185" s="15"/>
      <c r="I185" s="15"/>
      <c r="J185" s="15"/>
      <c r="K185" s="29"/>
      <c r="L185" s="19"/>
      <c r="M185" s="18"/>
      <c r="N185" s="18"/>
      <c r="O185" s="17"/>
      <c r="Q185" s="22"/>
      <c r="R185" s="22"/>
      <c r="S185" s="19"/>
      <c r="T185" s="19"/>
    </row>
    <row r="186" spans="2:20" s="20" customFormat="1" ht="17.100000000000001" customHeight="1" x14ac:dyDescent="0.3">
      <c r="B186" s="17"/>
      <c r="C186" s="17"/>
      <c r="F186" s="15"/>
      <c r="G186" s="15"/>
      <c r="H186" s="15"/>
      <c r="I186" s="15"/>
      <c r="J186" s="15"/>
      <c r="K186" s="29"/>
      <c r="L186" s="19"/>
      <c r="M186" s="18"/>
      <c r="N186" s="18"/>
      <c r="O186" s="17"/>
      <c r="Q186" s="22"/>
      <c r="R186" s="22"/>
      <c r="S186" s="19"/>
      <c r="T186" s="19"/>
    </row>
    <row r="187" spans="2:20" s="20" customFormat="1" ht="17.100000000000001" customHeight="1" x14ac:dyDescent="0.3">
      <c r="B187" s="17"/>
      <c r="C187" s="17"/>
      <c r="F187" s="15"/>
      <c r="G187" s="15"/>
      <c r="H187" s="15"/>
      <c r="I187" s="15"/>
      <c r="J187" s="15"/>
      <c r="K187" s="29"/>
      <c r="L187" s="19"/>
      <c r="M187" s="18"/>
      <c r="N187" s="18"/>
      <c r="O187" s="17"/>
      <c r="Q187" s="22"/>
      <c r="R187" s="22"/>
      <c r="S187" s="19"/>
      <c r="T187" s="19"/>
    </row>
    <row r="188" spans="2:20" s="20" customFormat="1" ht="17.100000000000001" customHeight="1" x14ac:dyDescent="0.3">
      <c r="B188" s="17"/>
      <c r="C188" s="17"/>
      <c r="F188" s="15"/>
      <c r="G188" s="15"/>
      <c r="H188" s="15"/>
      <c r="I188" s="15"/>
      <c r="J188" s="15"/>
      <c r="K188" s="29"/>
      <c r="L188" s="19"/>
      <c r="M188" s="18"/>
      <c r="N188" s="18"/>
      <c r="O188" s="17"/>
      <c r="Q188" s="22"/>
      <c r="R188" s="22"/>
      <c r="S188" s="19"/>
      <c r="T188" s="19"/>
    </row>
    <row r="189" spans="2:20" s="20" customFormat="1" ht="17.100000000000001" customHeight="1" x14ac:dyDescent="0.3">
      <c r="B189" s="17"/>
      <c r="C189" s="17"/>
      <c r="F189" s="15"/>
      <c r="G189" s="15"/>
      <c r="H189" s="15"/>
      <c r="I189" s="15"/>
      <c r="J189" s="15"/>
      <c r="K189" s="29"/>
      <c r="L189" s="19"/>
      <c r="M189" s="18"/>
      <c r="N189" s="18"/>
      <c r="O189" s="17"/>
      <c r="Q189" s="22"/>
      <c r="R189" s="22"/>
      <c r="S189" s="19"/>
      <c r="T189" s="19"/>
    </row>
    <row r="190" spans="2:20" s="20" customFormat="1" ht="17.100000000000001" customHeight="1" x14ac:dyDescent="0.3">
      <c r="B190" s="17"/>
      <c r="C190" s="17"/>
      <c r="F190" s="15"/>
      <c r="G190" s="15"/>
      <c r="H190" s="15"/>
      <c r="I190" s="15"/>
      <c r="J190" s="15"/>
      <c r="K190" s="29"/>
      <c r="L190" s="19"/>
      <c r="M190" s="18"/>
      <c r="N190" s="18"/>
      <c r="O190" s="17"/>
      <c r="Q190" s="22"/>
      <c r="R190" s="22"/>
      <c r="S190" s="19"/>
      <c r="T190" s="19"/>
    </row>
    <row r="191" spans="2:20" s="20" customFormat="1" ht="17.100000000000001" customHeight="1" x14ac:dyDescent="0.3">
      <c r="B191" s="17"/>
      <c r="C191" s="17"/>
      <c r="F191" s="15"/>
      <c r="G191" s="15"/>
      <c r="H191" s="15"/>
      <c r="I191" s="15"/>
      <c r="J191" s="15"/>
      <c r="K191" s="29"/>
      <c r="L191" s="19"/>
      <c r="M191" s="18"/>
      <c r="N191" s="18"/>
      <c r="O191" s="17"/>
      <c r="Q191" s="22"/>
      <c r="R191" s="22"/>
      <c r="S191" s="19"/>
      <c r="T191" s="19"/>
    </row>
    <row r="192" spans="2:20" s="20" customFormat="1" ht="17.100000000000001" customHeight="1" x14ac:dyDescent="0.3">
      <c r="B192" s="17"/>
      <c r="C192" s="17"/>
      <c r="F192" s="15"/>
      <c r="G192" s="15"/>
      <c r="H192" s="15"/>
      <c r="I192" s="15"/>
      <c r="J192" s="15"/>
      <c r="K192" s="29"/>
      <c r="L192" s="19"/>
      <c r="M192" s="18"/>
      <c r="N192" s="18"/>
      <c r="O192" s="17"/>
      <c r="Q192" s="22"/>
      <c r="R192" s="22"/>
      <c r="S192" s="19"/>
      <c r="T192" s="19"/>
    </row>
    <row r="193" spans="2:20" s="20" customFormat="1" ht="17.100000000000001" customHeight="1" x14ac:dyDescent="0.3">
      <c r="B193" s="17"/>
      <c r="C193" s="17"/>
      <c r="F193" s="15"/>
      <c r="G193" s="15"/>
      <c r="H193" s="15"/>
      <c r="I193" s="15"/>
      <c r="J193" s="15"/>
      <c r="K193" s="29"/>
      <c r="L193" s="19"/>
      <c r="M193" s="18"/>
      <c r="N193" s="18"/>
      <c r="O193" s="17"/>
      <c r="Q193" s="22"/>
      <c r="R193" s="22"/>
      <c r="S193" s="19"/>
      <c r="T193" s="19"/>
    </row>
    <row r="194" spans="2:20" s="20" customFormat="1" ht="17.100000000000001" customHeight="1" x14ac:dyDescent="0.3">
      <c r="B194" s="17"/>
      <c r="C194" s="17"/>
      <c r="F194" s="15"/>
      <c r="G194" s="15"/>
      <c r="H194" s="15"/>
      <c r="I194" s="15"/>
      <c r="J194" s="15"/>
      <c r="K194" s="29"/>
      <c r="L194" s="19"/>
      <c r="M194" s="18"/>
      <c r="N194" s="18"/>
      <c r="O194" s="17"/>
      <c r="Q194" s="22"/>
      <c r="R194" s="22"/>
      <c r="S194" s="19"/>
      <c r="T194" s="19"/>
    </row>
    <row r="195" spans="2:20" s="20" customFormat="1" ht="17.100000000000001" customHeight="1" x14ac:dyDescent="0.3">
      <c r="B195" s="17"/>
      <c r="C195" s="17"/>
      <c r="F195" s="15"/>
      <c r="G195" s="15"/>
      <c r="H195" s="15"/>
      <c r="I195" s="15"/>
      <c r="J195" s="15"/>
      <c r="K195" s="29"/>
      <c r="L195" s="19"/>
      <c r="M195" s="18"/>
      <c r="N195" s="18"/>
      <c r="O195" s="17"/>
      <c r="Q195" s="22"/>
      <c r="R195" s="22"/>
      <c r="S195" s="19"/>
      <c r="T195" s="19"/>
    </row>
    <row r="196" spans="2:20" s="20" customFormat="1" ht="17.100000000000001" customHeight="1" x14ac:dyDescent="0.3">
      <c r="B196" s="17"/>
      <c r="C196" s="17"/>
      <c r="F196" s="15"/>
      <c r="G196" s="15"/>
      <c r="H196" s="15"/>
      <c r="I196" s="15"/>
      <c r="J196" s="15"/>
      <c r="K196" s="29"/>
      <c r="L196" s="19"/>
      <c r="M196" s="18"/>
      <c r="N196" s="18"/>
      <c r="O196" s="17"/>
      <c r="Q196" s="22"/>
      <c r="R196" s="22"/>
      <c r="S196" s="19"/>
      <c r="T196" s="19"/>
    </row>
    <row r="197" spans="2:20" s="20" customFormat="1" ht="17.100000000000001" customHeight="1" x14ac:dyDescent="0.3">
      <c r="B197" s="17"/>
      <c r="C197" s="17"/>
      <c r="F197" s="15"/>
      <c r="G197" s="15"/>
      <c r="H197" s="15"/>
      <c r="I197" s="15"/>
      <c r="J197" s="15"/>
      <c r="K197" s="29"/>
      <c r="L197" s="19"/>
      <c r="M197" s="18"/>
      <c r="N197" s="18"/>
      <c r="O197" s="17"/>
      <c r="Q197" s="22"/>
      <c r="R197" s="22"/>
      <c r="S197" s="19"/>
      <c r="T197" s="19"/>
    </row>
    <row r="198" spans="2:20" s="20" customFormat="1" ht="17.100000000000001" customHeight="1" x14ac:dyDescent="0.3">
      <c r="B198" s="17"/>
      <c r="C198" s="17"/>
      <c r="F198" s="15"/>
      <c r="G198" s="15"/>
      <c r="H198" s="15"/>
      <c r="I198" s="15"/>
      <c r="J198" s="15"/>
      <c r="K198" s="29"/>
      <c r="L198" s="19"/>
      <c r="M198" s="18"/>
      <c r="N198" s="18"/>
      <c r="O198" s="17"/>
      <c r="Q198" s="22"/>
      <c r="R198" s="22"/>
      <c r="S198" s="19"/>
      <c r="T198" s="19"/>
    </row>
    <row r="199" spans="2:20" s="20" customFormat="1" ht="17.100000000000001" customHeight="1" x14ac:dyDescent="0.3">
      <c r="B199" s="17"/>
      <c r="C199" s="17"/>
      <c r="F199" s="15"/>
      <c r="G199" s="15"/>
      <c r="H199" s="15"/>
      <c r="I199" s="15"/>
      <c r="J199" s="15"/>
      <c r="K199" s="29"/>
      <c r="L199" s="19"/>
      <c r="M199" s="18"/>
      <c r="N199" s="18"/>
      <c r="O199" s="17"/>
      <c r="Q199" s="22"/>
      <c r="R199" s="22"/>
      <c r="S199" s="19"/>
      <c r="T199" s="19"/>
    </row>
    <row r="200" spans="2:20" s="20" customFormat="1" ht="17.100000000000001" customHeight="1" x14ac:dyDescent="0.3">
      <c r="B200" s="17"/>
      <c r="C200" s="17"/>
      <c r="F200" s="15"/>
      <c r="G200" s="15"/>
      <c r="H200" s="15"/>
      <c r="I200" s="15"/>
      <c r="J200" s="15"/>
      <c r="K200" s="29"/>
      <c r="L200" s="19"/>
      <c r="M200" s="18"/>
      <c r="N200" s="18"/>
      <c r="O200" s="17"/>
      <c r="Q200" s="22"/>
      <c r="R200" s="22"/>
      <c r="S200" s="19"/>
      <c r="T200" s="19"/>
    </row>
    <row r="201" spans="2:20" s="20" customFormat="1" ht="17.100000000000001" customHeight="1" x14ac:dyDescent="0.3">
      <c r="B201" s="17"/>
      <c r="C201" s="17"/>
      <c r="F201" s="15"/>
      <c r="G201" s="15"/>
      <c r="H201" s="15"/>
      <c r="I201" s="15"/>
      <c r="J201" s="15"/>
      <c r="K201" s="29"/>
      <c r="L201" s="19"/>
      <c r="M201" s="18"/>
      <c r="N201" s="18"/>
      <c r="O201" s="17"/>
      <c r="Q201" s="22"/>
      <c r="R201" s="22"/>
      <c r="S201" s="19"/>
      <c r="T201" s="19"/>
    </row>
    <row r="202" spans="2:20" s="20" customFormat="1" ht="17.100000000000001" customHeight="1" x14ac:dyDescent="0.3">
      <c r="B202" s="17"/>
      <c r="C202" s="17"/>
      <c r="F202" s="15"/>
      <c r="G202" s="15"/>
      <c r="H202" s="15"/>
      <c r="I202" s="15"/>
      <c r="J202" s="15"/>
      <c r="K202" s="29"/>
      <c r="L202" s="19"/>
      <c r="M202" s="18"/>
      <c r="N202" s="18"/>
      <c r="O202" s="17"/>
      <c r="Q202" s="22"/>
      <c r="R202" s="22"/>
      <c r="S202" s="19"/>
      <c r="T202" s="19"/>
    </row>
    <row r="203" spans="2:20" s="20" customFormat="1" ht="17.100000000000001" customHeight="1" x14ac:dyDescent="0.3">
      <c r="B203" s="17"/>
      <c r="C203" s="17"/>
      <c r="F203" s="15"/>
      <c r="G203" s="15"/>
      <c r="H203" s="15"/>
      <c r="I203" s="15"/>
      <c r="J203" s="15"/>
      <c r="K203" s="29"/>
      <c r="L203" s="19"/>
      <c r="M203" s="18"/>
      <c r="N203" s="18"/>
      <c r="O203" s="17"/>
      <c r="Q203" s="22"/>
      <c r="R203" s="22"/>
      <c r="S203" s="19"/>
      <c r="T203" s="19"/>
    </row>
    <row r="204" spans="2:20" s="20" customFormat="1" ht="17.100000000000001" customHeight="1" x14ac:dyDescent="0.3">
      <c r="B204" s="17"/>
      <c r="C204" s="17"/>
      <c r="F204" s="15"/>
      <c r="G204" s="15"/>
      <c r="H204" s="15"/>
      <c r="I204" s="15"/>
      <c r="J204" s="15"/>
      <c r="K204" s="29"/>
      <c r="L204" s="19"/>
      <c r="M204" s="18"/>
      <c r="N204" s="18"/>
      <c r="O204" s="17"/>
      <c r="Q204" s="22"/>
      <c r="R204" s="22"/>
      <c r="S204" s="19"/>
      <c r="T204" s="19"/>
    </row>
    <row r="205" spans="2:20" s="20" customFormat="1" ht="17.100000000000001" customHeight="1" x14ac:dyDescent="0.3">
      <c r="B205" s="17"/>
      <c r="C205" s="17"/>
      <c r="F205" s="15"/>
      <c r="G205" s="15"/>
      <c r="H205" s="15"/>
      <c r="I205" s="15"/>
      <c r="J205" s="15"/>
      <c r="K205" s="29"/>
      <c r="L205" s="19"/>
      <c r="M205" s="18"/>
      <c r="N205" s="18"/>
      <c r="O205" s="17"/>
      <c r="Q205" s="22"/>
      <c r="R205" s="22"/>
      <c r="S205" s="19"/>
      <c r="T205" s="19"/>
    </row>
    <row r="206" spans="2:20" s="20" customFormat="1" ht="17.100000000000001" customHeight="1" x14ac:dyDescent="0.3">
      <c r="B206" s="17"/>
      <c r="C206" s="17"/>
      <c r="F206" s="15"/>
      <c r="G206" s="15"/>
      <c r="H206" s="15"/>
      <c r="I206" s="15"/>
      <c r="J206" s="15"/>
      <c r="K206" s="29"/>
      <c r="L206" s="19"/>
      <c r="M206" s="18"/>
      <c r="N206" s="18"/>
      <c r="O206" s="17"/>
      <c r="Q206" s="22"/>
      <c r="R206" s="22"/>
      <c r="S206" s="19"/>
      <c r="T206" s="19"/>
    </row>
    <row r="207" spans="2:20" s="20" customFormat="1" ht="17.100000000000001" customHeight="1" x14ac:dyDescent="0.3">
      <c r="B207" s="17"/>
      <c r="C207" s="17"/>
      <c r="F207" s="15"/>
      <c r="G207" s="15"/>
      <c r="H207" s="15"/>
      <c r="I207" s="15"/>
      <c r="J207" s="15"/>
      <c r="K207" s="29"/>
      <c r="L207" s="19"/>
      <c r="M207" s="18"/>
      <c r="N207" s="18"/>
      <c r="O207" s="17"/>
      <c r="Q207" s="22"/>
      <c r="R207" s="22"/>
      <c r="S207" s="19"/>
      <c r="T207" s="19"/>
    </row>
    <row r="208" spans="2:20" s="20" customFormat="1" ht="17.100000000000001" customHeight="1" x14ac:dyDescent="0.3">
      <c r="B208" s="17"/>
      <c r="C208" s="17"/>
      <c r="F208" s="15"/>
      <c r="G208" s="15"/>
      <c r="H208" s="15"/>
      <c r="I208" s="15"/>
      <c r="J208" s="15"/>
      <c r="K208" s="29"/>
      <c r="L208" s="19"/>
      <c r="M208" s="18"/>
      <c r="N208" s="18"/>
      <c r="O208" s="17"/>
      <c r="Q208" s="22"/>
      <c r="R208" s="22"/>
      <c r="S208" s="19"/>
      <c r="T208" s="19"/>
    </row>
    <row r="209" spans="2:20" s="20" customFormat="1" ht="17.100000000000001" customHeight="1" x14ac:dyDescent="0.3">
      <c r="B209" s="17"/>
      <c r="C209" s="17"/>
      <c r="F209" s="15"/>
      <c r="G209" s="15"/>
      <c r="H209" s="15"/>
      <c r="I209" s="15"/>
      <c r="J209" s="15"/>
      <c r="K209" s="29"/>
      <c r="L209" s="19"/>
      <c r="M209" s="18"/>
      <c r="N209" s="18"/>
      <c r="O209" s="17"/>
      <c r="Q209" s="22"/>
      <c r="R209" s="22"/>
      <c r="S209" s="19"/>
      <c r="T209" s="19"/>
    </row>
    <row r="210" spans="2:20" s="20" customFormat="1" ht="17.100000000000001" customHeight="1" x14ac:dyDescent="0.3">
      <c r="B210" s="17"/>
      <c r="C210" s="17"/>
      <c r="F210" s="15"/>
      <c r="G210" s="15"/>
      <c r="H210" s="15"/>
      <c r="I210" s="15"/>
      <c r="J210" s="15"/>
      <c r="K210" s="29"/>
      <c r="L210" s="19"/>
      <c r="M210" s="18"/>
      <c r="N210" s="18"/>
      <c r="O210" s="17"/>
      <c r="Q210" s="22"/>
      <c r="R210" s="22"/>
      <c r="S210" s="19"/>
      <c r="T210" s="19"/>
    </row>
    <row r="211" spans="2:20" s="20" customFormat="1" ht="17.100000000000001" customHeight="1" x14ac:dyDescent="0.3">
      <c r="B211" s="17"/>
      <c r="C211" s="17"/>
      <c r="F211" s="15"/>
      <c r="G211" s="15"/>
      <c r="H211" s="15"/>
      <c r="I211" s="15"/>
      <c r="J211" s="15"/>
      <c r="K211" s="29"/>
      <c r="L211" s="19"/>
      <c r="M211" s="18"/>
      <c r="N211" s="18"/>
      <c r="O211" s="17"/>
      <c r="Q211" s="22"/>
      <c r="R211" s="22"/>
      <c r="S211" s="19"/>
      <c r="T211" s="19"/>
    </row>
    <row r="212" spans="2:20" s="20" customFormat="1" ht="17.100000000000001" customHeight="1" x14ac:dyDescent="0.3">
      <c r="B212" s="17"/>
      <c r="C212" s="17"/>
      <c r="F212" s="15"/>
      <c r="G212" s="15"/>
      <c r="H212" s="15"/>
      <c r="I212" s="15"/>
      <c r="J212" s="15"/>
      <c r="K212" s="29"/>
      <c r="L212" s="19"/>
      <c r="M212" s="18"/>
      <c r="N212" s="18"/>
      <c r="O212" s="17"/>
      <c r="Q212" s="22"/>
      <c r="R212" s="22"/>
      <c r="S212" s="19"/>
      <c r="T212" s="19"/>
    </row>
    <row r="213" spans="2:20" s="20" customFormat="1" ht="17.100000000000001" customHeight="1" x14ac:dyDescent="0.3">
      <c r="B213" s="17"/>
      <c r="C213" s="17"/>
      <c r="F213" s="15"/>
      <c r="G213" s="15"/>
      <c r="H213" s="15"/>
      <c r="I213" s="15"/>
      <c r="J213" s="15"/>
      <c r="K213" s="29"/>
      <c r="L213" s="19"/>
      <c r="M213" s="18"/>
      <c r="N213" s="18"/>
      <c r="O213" s="17"/>
      <c r="Q213" s="22"/>
      <c r="R213" s="22"/>
      <c r="S213" s="19"/>
      <c r="T213" s="19"/>
    </row>
    <row r="214" spans="2:20" s="20" customFormat="1" ht="17.100000000000001" customHeight="1" x14ac:dyDescent="0.3">
      <c r="B214" s="17"/>
      <c r="C214" s="17"/>
      <c r="F214" s="15"/>
      <c r="G214" s="15"/>
      <c r="H214" s="15"/>
      <c r="I214" s="15"/>
      <c r="J214" s="15"/>
      <c r="K214" s="29"/>
      <c r="L214" s="19"/>
      <c r="M214" s="18"/>
      <c r="N214" s="18"/>
      <c r="O214" s="17"/>
      <c r="Q214" s="22"/>
      <c r="R214" s="22"/>
      <c r="S214" s="19"/>
      <c r="T214" s="19"/>
    </row>
    <row r="215" spans="2:20" s="20" customFormat="1" ht="17.100000000000001" customHeight="1" x14ac:dyDescent="0.3">
      <c r="B215" s="17"/>
      <c r="C215" s="17"/>
      <c r="F215" s="15"/>
      <c r="G215" s="15"/>
      <c r="H215" s="15"/>
      <c r="I215" s="15"/>
      <c r="J215" s="15"/>
      <c r="K215" s="29"/>
      <c r="L215" s="19"/>
      <c r="M215" s="18"/>
      <c r="N215" s="18"/>
      <c r="O215" s="17"/>
      <c r="Q215" s="22"/>
      <c r="R215" s="22"/>
      <c r="S215" s="19"/>
      <c r="T215" s="19"/>
    </row>
    <row r="216" spans="2:20" s="20" customFormat="1" ht="17.100000000000001" customHeight="1" x14ac:dyDescent="0.3">
      <c r="B216" s="17"/>
      <c r="C216" s="17"/>
      <c r="F216" s="15"/>
      <c r="G216" s="15"/>
      <c r="H216" s="15"/>
      <c r="I216" s="15"/>
      <c r="J216" s="15"/>
      <c r="K216" s="29"/>
      <c r="L216" s="19"/>
      <c r="M216" s="18"/>
      <c r="N216" s="18"/>
      <c r="O216" s="17"/>
      <c r="Q216" s="22"/>
      <c r="R216" s="22"/>
      <c r="S216" s="19"/>
      <c r="T216" s="19"/>
    </row>
    <row r="217" spans="2:20" s="20" customFormat="1" ht="17.100000000000001" customHeight="1" x14ac:dyDescent="0.3">
      <c r="B217" s="17"/>
      <c r="C217" s="17"/>
      <c r="F217" s="15"/>
      <c r="G217" s="15"/>
      <c r="H217" s="15"/>
      <c r="I217" s="15"/>
      <c r="J217" s="15"/>
      <c r="K217" s="29"/>
      <c r="L217" s="19"/>
      <c r="M217" s="18"/>
      <c r="N217" s="18"/>
      <c r="O217" s="17"/>
      <c r="Q217" s="22"/>
      <c r="R217" s="22"/>
      <c r="S217" s="19"/>
      <c r="T217" s="19"/>
    </row>
    <row r="218" spans="2:20" s="20" customFormat="1" ht="17.100000000000001" customHeight="1" x14ac:dyDescent="0.3">
      <c r="B218" s="17"/>
      <c r="C218" s="17"/>
      <c r="F218" s="15"/>
      <c r="G218" s="15"/>
      <c r="H218" s="15"/>
      <c r="I218" s="15"/>
      <c r="J218" s="15"/>
      <c r="K218" s="29"/>
      <c r="L218" s="19"/>
      <c r="M218" s="18"/>
      <c r="N218" s="18"/>
      <c r="O218" s="17"/>
      <c r="Q218" s="22"/>
      <c r="R218" s="22"/>
      <c r="S218" s="19"/>
      <c r="T218" s="19"/>
    </row>
    <row r="219" spans="2:20" s="20" customFormat="1" ht="17.100000000000001" customHeight="1" x14ac:dyDescent="0.3">
      <c r="B219" s="17"/>
      <c r="C219" s="17"/>
      <c r="F219" s="15"/>
      <c r="G219" s="15"/>
      <c r="H219" s="15"/>
      <c r="I219" s="15"/>
      <c r="J219" s="15"/>
      <c r="K219" s="29"/>
      <c r="L219" s="19"/>
      <c r="M219" s="18"/>
      <c r="N219" s="18"/>
      <c r="O219" s="17"/>
      <c r="Q219" s="22"/>
      <c r="R219" s="22"/>
      <c r="S219" s="19"/>
      <c r="T219" s="19"/>
    </row>
    <row r="220" spans="2:20" s="20" customFormat="1" ht="17.100000000000001" customHeight="1" x14ac:dyDescent="0.3">
      <c r="B220" s="17"/>
      <c r="C220" s="17"/>
      <c r="F220" s="15"/>
      <c r="G220" s="15"/>
      <c r="H220" s="15"/>
      <c r="I220" s="15"/>
      <c r="J220" s="15"/>
      <c r="K220" s="29"/>
      <c r="L220" s="19"/>
      <c r="M220" s="18"/>
      <c r="N220" s="18"/>
      <c r="O220" s="17"/>
      <c r="Q220" s="22"/>
      <c r="R220" s="22"/>
      <c r="S220" s="19"/>
      <c r="T220" s="19"/>
    </row>
    <row r="221" spans="2:20" s="20" customFormat="1" ht="17.100000000000001" customHeight="1" x14ac:dyDescent="0.3">
      <c r="B221" s="17"/>
      <c r="C221" s="17"/>
      <c r="F221" s="15"/>
      <c r="G221" s="15"/>
      <c r="H221" s="15"/>
      <c r="I221" s="15"/>
      <c r="J221" s="15"/>
      <c r="K221" s="29"/>
      <c r="L221" s="19"/>
      <c r="M221" s="18"/>
      <c r="N221" s="18"/>
      <c r="O221" s="17"/>
      <c r="Q221" s="22"/>
      <c r="R221" s="22"/>
      <c r="S221" s="19"/>
      <c r="T221" s="19"/>
    </row>
    <row r="222" spans="2:20" s="20" customFormat="1" ht="17.100000000000001" customHeight="1" x14ac:dyDescent="0.3">
      <c r="B222" s="17"/>
      <c r="C222" s="17"/>
      <c r="F222" s="15"/>
      <c r="G222" s="15"/>
      <c r="H222" s="15"/>
      <c r="I222" s="15"/>
      <c r="J222" s="15"/>
      <c r="K222" s="29"/>
      <c r="L222" s="19"/>
      <c r="M222" s="18"/>
      <c r="N222" s="18"/>
      <c r="O222" s="17"/>
      <c r="Q222" s="22"/>
      <c r="R222" s="22"/>
      <c r="S222" s="19"/>
      <c r="T222" s="19"/>
    </row>
    <row r="223" spans="2:20" s="20" customFormat="1" ht="17.100000000000001" customHeight="1" x14ac:dyDescent="0.3">
      <c r="B223" s="17"/>
      <c r="C223" s="17"/>
      <c r="F223" s="15"/>
      <c r="G223" s="15"/>
      <c r="H223" s="15"/>
      <c r="I223" s="15"/>
      <c r="J223" s="15"/>
      <c r="K223" s="29"/>
      <c r="L223" s="19"/>
      <c r="M223" s="18"/>
      <c r="N223" s="18"/>
      <c r="O223" s="17"/>
      <c r="Q223" s="22"/>
      <c r="R223" s="22"/>
      <c r="S223" s="19"/>
      <c r="T223" s="19"/>
    </row>
    <row r="224" spans="2:20" s="20" customFormat="1" ht="17.100000000000001" customHeight="1" x14ac:dyDescent="0.3">
      <c r="B224" s="17"/>
      <c r="C224" s="17"/>
      <c r="F224" s="15"/>
      <c r="G224" s="15"/>
      <c r="H224" s="15"/>
      <c r="I224" s="15"/>
      <c r="J224" s="15"/>
      <c r="K224" s="29"/>
      <c r="L224" s="19"/>
      <c r="M224" s="18"/>
      <c r="N224" s="18"/>
      <c r="O224" s="17"/>
      <c r="Q224" s="22"/>
      <c r="R224" s="22"/>
      <c r="S224" s="19"/>
      <c r="T224" s="19"/>
    </row>
    <row r="225" spans="2:20" s="20" customFormat="1" ht="17.100000000000001" customHeight="1" x14ac:dyDescent="0.3">
      <c r="B225" s="17"/>
      <c r="C225" s="17"/>
      <c r="F225" s="15"/>
      <c r="G225" s="15"/>
      <c r="H225" s="15"/>
      <c r="I225" s="15"/>
      <c r="J225" s="15"/>
      <c r="K225" s="29"/>
      <c r="L225" s="19"/>
      <c r="M225" s="18"/>
      <c r="N225" s="18"/>
      <c r="O225" s="17"/>
      <c r="Q225" s="22"/>
      <c r="R225" s="22"/>
      <c r="S225" s="19"/>
      <c r="T225" s="19"/>
    </row>
    <row r="226" spans="2:20" s="20" customFormat="1" ht="17.100000000000001" customHeight="1" x14ac:dyDescent="0.3">
      <c r="B226" s="17"/>
      <c r="C226" s="17"/>
      <c r="F226" s="15"/>
      <c r="G226" s="15"/>
      <c r="H226" s="15"/>
      <c r="I226" s="15"/>
      <c r="J226" s="15"/>
      <c r="K226" s="29"/>
      <c r="L226" s="19"/>
      <c r="M226" s="18"/>
      <c r="N226" s="18"/>
      <c r="O226" s="17"/>
      <c r="Q226" s="22"/>
      <c r="R226" s="22"/>
      <c r="S226" s="19"/>
      <c r="T226" s="19"/>
    </row>
    <row r="227" spans="2:20" s="20" customFormat="1" ht="17.100000000000001" customHeight="1" x14ac:dyDescent="0.3">
      <c r="B227" s="17"/>
      <c r="C227" s="17"/>
      <c r="F227" s="15"/>
      <c r="G227" s="15"/>
      <c r="H227" s="15"/>
      <c r="I227" s="15"/>
      <c r="J227" s="15"/>
      <c r="K227" s="29"/>
      <c r="L227" s="19"/>
      <c r="M227" s="18"/>
      <c r="N227" s="18"/>
      <c r="O227" s="17"/>
      <c r="Q227" s="22"/>
      <c r="R227" s="22"/>
      <c r="S227" s="19"/>
      <c r="T227" s="19"/>
    </row>
    <row r="228" spans="2:20" s="20" customFormat="1" ht="17.100000000000001" customHeight="1" x14ac:dyDescent="0.3">
      <c r="B228" s="17"/>
      <c r="C228" s="17"/>
      <c r="F228" s="15"/>
      <c r="G228" s="15"/>
      <c r="H228" s="15"/>
      <c r="I228" s="15"/>
      <c r="J228" s="15"/>
      <c r="K228" s="29"/>
      <c r="L228" s="19"/>
      <c r="M228" s="18"/>
      <c r="N228" s="18"/>
      <c r="O228" s="17"/>
      <c r="Q228" s="22"/>
      <c r="R228" s="22"/>
      <c r="S228" s="19"/>
      <c r="T228" s="19"/>
    </row>
    <row r="229" spans="2:20" s="20" customFormat="1" ht="17.100000000000001" customHeight="1" x14ac:dyDescent="0.3">
      <c r="B229" s="17"/>
      <c r="C229" s="17"/>
      <c r="F229" s="15"/>
      <c r="G229" s="15"/>
      <c r="H229" s="15"/>
      <c r="I229" s="15"/>
      <c r="J229" s="15"/>
      <c r="K229" s="29"/>
      <c r="L229" s="19"/>
      <c r="M229" s="18"/>
      <c r="N229" s="18"/>
      <c r="O229" s="17"/>
      <c r="Q229" s="22"/>
      <c r="R229" s="22"/>
      <c r="S229" s="19"/>
      <c r="T229" s="19"/>
    </row>
    <row r="230" spans="2:20" s="20" customFormat="1" ht="17.100000000000001" customHeight="1" x14ac:dyDescent="0.3">
      <c r="B230" s="17"/>
      <c r="C230" s="17"/>
      <c r="F230" s="15"/>
      <c r="G230" s="15"/>
      <c r="H230" s="15"/>
      <c r="I230" s="15"/>
      <c r="J230" s="15"/>
      <c r="K230" s="29"/>
      <c r="L230" s="19"/>
      <c r="M230" s="18"/>
      <c r="N230" s="18"/>
      <c r="O230" s="17"/>
      <c r="Q230" s="22"/>
      <c r="R230" s="22"/>
      <c r="S230" s="19"/>
      <c r="T230" s="19"/>
    </row>
    <row r="231" spans="2:20" s="20" customFormat="1" ht="17.100000000000001" customHeight="1" x14ac:dyDescent="0.3">
      <c r="B231" s="17"/>
      <c r="C231" s="17"/>
      <c r="F231" s="15"/>
      <c r="G231" s="15"/>
      <c r="H231" s="15"/>
      <c r="I231" s="15"/>
      <c r="J231" s="15"/>
      <c r="K231" s="29"/>
      <c r="L231" s="19"/>
      <c r="M231" s="18"/>
      <c r="N231" s="18"/>
      <c r="O231" s="17"/>
      <c r="Q231" s="22"/>
      <c r="R231" s="22"/>
      <c r="S231" s="19"/>
      <c r="T231" s="19"/>
    </row>
    <row r="232" spans="2:20" s="20" customFormat="1" ht="17.100000000000001" customHeight="1" x14ac:dyDescent="0.3">
      <c r="B232" s="17"/>
      <c r="C232" s="17"/>
      <c r="F232" s="15"/>
      <c r="G232" s="15"/>
      <c r="H232" s="15"/>
      <c r="I232" s="15"/>
      <c r="J232" s="15"/>
      <c r="K232" s="29"/>
      <c r="L232" s="19"/>
      <c r="M232" s="18"/>
      <c r="N232" s="18"/>
      <c r="O232" s="17"/>
      <c r="Q232" s="22"/>
      <c r="R232" s="22"/>
      <c r="S232" s="19"/>
      <c r="T232" s="19"/>
    </row>
    <row r="233" spans="2:20" s="20" customFormat="1" ht="17.100000000000001" customHeight="1" x14ac:dyDescent="0.3">
      <c r="B233" s="17"/>
      <c r="C233" s="17"/>
      <c r="F233" s="15"/>
      <c r="G233" s="15"/>
      <c r="H233" s="15"/>
      <c r="I233" s="15"/>
      <c r="J233" s="15"/>
      <c r="K233" s="29"/>
      <c r="L233" s="19"/>
      <c r="M233" s="18"/>
      <c r="N233" s="18"/>
      <c r="O233" s="17"/>
      <c r="Q233" s="22"/>
      <c r="R233" s="22"/>
      <c r="S233" s="19"/>
      <c r="T233" s="19"/>
    </row>
    <row r="234" spans="2:20" s="20" customFormat="1" ht="17.100000000000001" customHeight="1" x14ac:dyDescent="0.3">
      <c r="B234" s="17"/>
      <c r="C234" s="17"/>
      <c r="F234" s="15"/>
      <c r="G234" s="15"/>
      <c r="H234" s="15"/>
      <c r="I234" s="15"/>
      <c r="J234" s="15"/>
      <c r="K234" s="29"/>
      <c r="L234" s="19"/>
      <c r="M234" s="18"/>
      <c r="N234" s="18"/>
      <c r="O234" s="17"/>
      <c r="Q234" s="22"/>
      <c r="R234" s="22"/>
      <c r="S234" s="19"/>
      <c r="T234" s="19"/>
    </row>
    <row r="235" spans="2:20" s="20" customFormat="1" ht="17.100000000000001" customHeight="1" x14ac:dyDescent="0.3">
      <c r="B235" s="17"/>
      <c r="C235" s="17"/>
      <c r="F235" s="15"/>
      <c r="G235" s="15"/>
      <c r="H235" s="15"/>
      <c r="I235" s="15"/>
      <c r="J235" s="15"/>
      <c r="K235" s="29"/>
      <c r="L235" s="19"/>
      <c r="M235" s="18"/>
      <c r="N235" s="18"/>
      <c r="O235" s="17"/>
      <c r="Q235" s="22"/>
      <c r="R235" s="22"/>
      <c r="S235" s="19"/>
      <c r="T235" s="19"/>
    </row>
    <row r="236" spans="2:20" s="20" customFormat="1" ht="17.100000000000001" customHeight="1" x14ac:dyDescent="0.3">
      <c r="B236" s="17"/>
      <c r="C236" s="17"/>
      <c r="F236" s="15"/>
      <c r="G236" s="15"/>
      <c r="H236" s="15"/>
      <c r="I236" s="15"/>
      <c r="J236" s="15"/>
      <c r="K236" s="29"/>
      <c r="L236" s="19"/>
      <c r="M236" s="18"/>
      <c r="N236" s="18"/>
      <c r="O236" s="17"/>
      <c r="Q236" s="22"/>
      <c r="R236" s="22"/>
      <c r="S236" s="19"/>
      <c r="T236" s="19"/>
    </row>
    <row r="237" spans="2:20" s="20" customFormat="1" ht="17.100000000000001" customHeight="1" x14ac:dyDescent="0.3">
      <c r="B237" s="17"/>
      <c r="C237" s="17"/>
      <c r="F237" s="15"/>
      <c r="G237" s="15"/>
      <c r="H237" s="15"/>
      <c r="I237" s="15"/>
      <c r="J237" s="15"/>
      <c r="K237" s="29"/>
      <c r="L237" s="19"/>
      <c r="M237" s="18"/>
      <c r="N237" s="18"/>
      <c r="O237" s="17"/>
      <c r="Q237" s="22"/>
      <c r="R237" s="22"/>
      <c r="S237" s="19"/>
      <c r="T237" s="19"/>
    </row>
    <row r="238" spans="2:20" s="20" customFormat="1" ht="17.100000000000001" customHeight="1" x14ac:dyDescent="0.3">
      <c r="B238" s="17"/>
      <c r="C238" s="17"/>
      <c r="F238" s="15"/>
      <c r="G238" s="15"/>
      <c r="H238" s="15"/>
      <c r="I238" s="15"/>
      <c r="J238" s="15"/>
      <c r="K238" s="29"/>
      <c r="L238" s="19"/>
      <c r="M238" s="18"/>
      <c r="N238" s="18"/>
      <c r="O238" s="17"/>
      <c r="Q238" s="22"/>
      <c r="R238" s="22"/>
      <c r="S238" s="19"/>
      <c r="T238" s="19"/>
    </row>
    <row r="239" spans="2:20" s="20" customFormat="1" ht="17.100000000000001" customHeight="1" x14ac:dyDescent="0.3">
      <c r="B239" s="17"/>
      <c r="C239" s="17"/>
      <c r="F239" s="15"/>
      <c r="G239" s="15"/>
      <c r="H239" s="15"/>
      <c r="I239" s="15"/>
      <c r="J239" s="15"/>
      <c r="K239" s="29"/>
      <c r="L239" s="19"/>
      <c r="M239" s="18"/>
      <c r="N239" s="18"/>
      <c r="O239" s="17"/>
      <c r="Q239" s="22"/>
      <c r="R239" s="22"/>
      <c r="S239" s="19"/>
      <c r="T239" s="19"/>
    </row>
    <row r="240" spans="2:20" s="20" customFormat="1" ht="17.100000000000001" customHeight="1" x14ac:dyDescent="0.3">
      <c r="B240" s="17"/>
      <c r="C240" s="17"/>
      <c r="F240" s="15"/>
      <c r="G240" s="15"/>
      <c r="H240" s="15"/>
      <c r="I240" s="15"/>
      <c r="J240" s="15"/>
      <c r="K240" s="29"/>
      <c r="L240" s="19"/>
      <c r="M240" s="18"/>
      <c r="N240" s="18"/>
      <c r="O240" s="17"/>
      <c r="Q240" s="22"/>
      <c r="R240" s="22"/>
      <c r="S240" s="19"/>
      <c r="T240" s="19"/>
    </row>
    <row r="241" spans="2:20" s="20" customFormat="1" ht="17.100000000000001" customHeight="1" x14ac:dyDescent="0.3">
      <c r="B241" s="17"/>
      <c r="C241" s="17"/>
      <c r="F241" s="15"/>
      <c r="G241" s="15"/>
      <c r="H241" s="15"/>
      <c r="I241" s="15"/>
      <c r="J241" s="15"/>
      <c r="K241" s="29"/>
      <c r="L241" s="19"/>
      <c r="M241" s="18"/>
      <c r="N241" s="18"/>
      <c r="O241" s="17"/>
      <c r="Q241" s="22"/>
      <c r="R241" s="22"/>
      <c r="S241" s="19"/>
      <c r="T241" s="19"/>
    </row>
    <row r="242" spans="2:20" s="20" customFormat="1" ht="17.100000000000001" customHeight="1" x14ac:dyDescent="0.3">
      <c r="B242" s="17"/>
      <c r="C242" s="17"/>
      <c r="F242" s="15"/>
      <c r="G242" s="15"/>
      <c r="H242" s="15"/>
      <c r="I242" s="15"/>
      <c r="J242" s="15"/>
      <c r="K242" s="29"/>
      <c r="L242" s="19"/>
      <c r="M242" s="18"/>
      <c r="N242" s="18"/>
      <c r="O242" s="17"/>
      <c r="Q242" s="22"/>
      <c r="R242" s="22"/>
      <c r="S242" s="19"/>
      <c r="T242" s="19"/>
    </row>
    <row r="243" spans="2:20" s="20" customFormat="1" ht="17.100000000000001" customHeight="1" x14ac:dyDescent="0.3">
      <c r="B243" s="17"/>
      <c r="C243" s="17"/>
      <c r="F243" s="15"/>
      <c r="G243" s="15"/>
      <c r="H243" s="15"/>
      <c r="I243" s="15"/>
      <c r="J243" s="15"/>
      <c r="K243" s="29"/>
      <c r="L243" s="19"/>
      <c r="M243" s="18"/>
      <c r="N243" s="18"/>
      <c r="O243" s="17"/>
      <c r="Q243" s="22"/>
      <c r="R243" s="22"/>
      <c r="S243" s="19"/>
      <c r="T243" s="19"/>
    </row>
    <row r="244" spans="2:20" s="20" customFormat="1" ht="17.100000000000001" customHeight="1" x14ac:dyDescent="0.3">
      <c r="B244" s="17"/>
      <c r="C244" s="17"/>
      <c r="F244" s="15"/>
      <c r="G244" s="15"/>
      <c r="H244" s="15"/>
      <c r="I244" s="15"/>
      <c r="J244" s="15"/>
      <c r="K244" s="29"/>
      <c r="L244" s="19"/>
      <c r="M244" s="18"/>
      <c r="N244" s="18"/>
      <c r="O244" s="17"/>
      <c r="Q244" s="22"/>
      <c r="R244" s="22"/>
      <c r="S244" s="19"/>
      <c r="T244" s="19"/>
    </row>
    <row r="245" spans="2:20" s="20" customFormat="1" ht="17.100000000000001" customHeight="1" x14ac:dyDescent="0.3">
      <c r="B245" s="17"/>
      <c r="C245" s="17"/>
      <c r="F245" s="15"/>
      <c r="G245" s="15"/>
      <c r="H245" s="15"/>
      <c r="I245" s="15"/>
      <c r="J245" s="15"/>
      <c r="K245" s="29"/>
      <c r="L245" s="19"/>
      <c r="M245" s="18"/>
      <c r="N245" s="18"/>
      <c r="O245" s="17"/>
      <c r="Q245" s="22"/>
      <c r="R245" s="22"/>
      <c r="S245" s="19"/>
      <c r="T245" s="19"/>
    </row>
    <row r="246" spans="2:20" s="20" customFormat="1" ht="17.100000000000001" customHeight="1" x14ac:dyDescent="0.3">
      <c r="B246" s="17"/>
      <c r="C246" s="17"/>
      <c r="F246" s="15"/>
      <c r="G246" s="15"/>
      <c r="H246" s="15"/>
      <c r="I246" s="15"/>
      <c r="J246" s="15"/>
      <c r="K246" s="29"/>
      <c r="L246" s="19"/>
      <c r="M246" s="18"/>
      <c r="N246" s="18"/>
      <c r="O246" s="17"/>
      <c r="Q246" s="22"/>
      <c r="R246" s="22"/>
      <c r="S246" s="19"/>
      <c r="T246" s="19"/>
    </row>
    <row r="247" spans="2:20" s="20" customFormat="1" ht="17.100000000000001" customHeight="1" x14ac:dyDescent="0.3">
      <c r="B247" s="17"/>
      <c r="C247" s="17"/>
      <c r="F247" s="15"/>
      <c r="G247" s="15"/>
      <c r="H247" s="15"/>
      <c r="I247" s="15"/>
      <c r="J247" s="15"/>
      <c r="K247" s="29"/>
      <c r="L247" s="19"/>
      <c r="M247" s="18"/>
      <c r="N247" s="18"/>
      <c r="O247" s="17"/>
      <c r="Q247" s="22"/>
      <c r="R247" s="22"/>
      <c r="S247" s="19"/>
      <c r="T247" s="19"/>
    </row>
    <row r="248" spans="2:20" s="20" customFormat="1" ht="17.100000000000001" customHeight="1" x14ac:dyDescent="0.3">
      <c r="B248" s="17"/>
      <c r="C248" s="17"/>
      <c r="F248" s="15"/>
      <c r="G248" s="15"/>
      <c r="H248" s="15"/>
      <c r="I248" s="15"/>
      <c r="J248" s="15"/>
      <c r="K248" s="29"/>
      <c r="L248" s="19"/>
      <c r="M248" s="18"/>
      <c r="N248" s="18"/>
      <c r="O248" s="17"/>
      <c r="Q248" s="22"/>
      <c r="R248" s="22"/>
      <c r="S248" s="19"/>
      <c r="T248" s="19"/>
    </row>
    <row r="249" spans="2:20" s="20" customFormat="1" ht="17.100000000000001" customHeight="1" x14ac:dyDescent="0.3">
      <c r="B249" s="17"/>
      <c r="C249" s="17"/>
      <c r="F249" s="15"/>
      <c r="G249" s="15"/>
      <c r="H249" s="15"/>
      <c r="I249" s="15"/>
      <c r="J249" s="15"/>
      <c r="K249" s="29"/>
      <c r="L249" s="19"/>
      <c r="M249" s="18"/>
      <c r="N249" s="18"/>
      <c r="O249" s="17"/>
      <c r="Q249" s="22"/>
      <c r="R249" s="22"/>
      <c r="S249" s="19"/>
      <c r="T249" s="19"/>
    </row>
    <row r="250" spans="2:20" s="20" customFormat="1" ht="17.100000000000001" customHeight="1" x14ac:dyDescent="0.3">
      <c r="B250" s="17"/>
      <c r="C250" s="17"/>
      <c r="F250" s="15"/>
      <c r="G250" s="15"/>
      <c r="H250" s="15"/>
      <c r="I250" s="15"/>
      <c r="J250" s="15"/>
      <c r="K250" s="29"/>
      <c r="L250" s="19"/>
      <c r="M250" s="18"/>
      <c r="N250" s="18"/>
      <c r="O250" s="17"/>
      <c r="Q250" s="22"/>
      <c r="R250" s="22"/>
      <c r="S250" s="19"/>
      <c r="T250" s="19"/>
    </row>
    <row r="251" spans="2:20" s="20" customFormat="1" ht="17.100000000000001" customHeight="1" x14ac:dyDescent="0.3">
      <c r="B251" s="17"/>
      <c r="C251" s="17"/>
      <c r="F251" s="15"/>
      <c r="G251" s="15"/>
      <c r="H251" s="15"/>
      <c r="I251" s="15"/>
      <c r="J251" s="15"/>
      <c r="K251" s="29"/>
      <c r="L251" s="19"/>
      <c r="M251" s="18"/>
      <c r="N251" s="18"/>
      <c r="O251" s="17"/>
      <c r="Q251" s="22"/>
      <c r="R251" s="22"/>
      <c r="S251" s="19"/>
      <c r="T251" s="19"/>
    </row>
    <row r="252" spans="2:20" s="20" customFormat="1" ht="17.100000000000001" customHeight="1" x14ac:dyDescent="0.3">
      <c r="B252" s="17"/>
      <c r="C252" s="17"/>
      <c r="F252" s="15"/>
      <c r="G252" s="15"/>
      <c r="H252" s="15"/>
      <c r="I252" s="15"/>
      <c r="J252" s="15"/>
      <c r="K252" s="29"/>
      <c r="L252" s="19"/>
      <c r="M252" s="18"/>
      <c r="N252" s="18"/>
      <c r="O252" s="17"/>
      <c r="Q252" s="22"/>
      <c r="R252" s="22"/>
      <c r="S252" s="19"/>
      <c r="T252" s="19"/>
    </row>
    <row r="253" spans="2:20" s="20" customFormat="1" ht="17.100000000000001" customHeight="1" x14ac:dyDescent="0.3">
      <c r="B253" s="17"/>
      <c r="C253" s="17"/>
      <c r="F253" s="15"/>
      <c r="G253" s="15"/>
      <c r="H253" s="15"/>
      <c r="I253" s="15"/>
      <c r="J253" s="15"/>
      <c r="K253" s="29"/>
      <c r="L253" s="19"/>
      <c r="M253" s="18"/>
      <c r="N253" s="18"/>
      <c r="O253" s="17"/>
      <c r="Q253" s="22"/>
      <c r="R253" s="22"/>
      <c r="S253" s="19"/>
      <c r="T253" s="19"/>
    </row>
    <row r="254" spans="2:20" s="20" customFormat="1" ht="17.100000000000001" customHeight="1" x14ac:dyDescent="0.3">
      <c r="B254" s="17"/>
      <c r="C254" s="17"/>
      <c r="F254" s="15"/>
      <c r="G254" s="15"/>
      <c r="H254" s="15"/>
      <c r="I254" s="15"/>
      <c r="J254" s="15"/>
      <c r="K254" s="29"/>
      <c r="L254" s="19"/>
      <c r="M254" s="18"/>
      <c r="N254" s="18"/>
      <c r="O254" s="17"/>
      <c r="Q254" s="22"/>
      <c r="R254" s="22"/>
      <c r="S254" s="19"/>
      <c r="T254" s="19"/>
    </row>
    <row r="255" spans="2:20" s="20" customFormat="1" ht="17.100000000000001" customHeight="1" x14ac:dyDescent="0.3">
      <c r="B255" s="17"/>
      <c r="C255" s="17"/>
      <c r="F255" s="15"/>
      <c r="G255" s="15"/>
      <c r="H255" s="15"/>
      <c r="I255" s="15"/>
      <c r="J255" s="15"/>
      <c r="K255" s="29"/>
      <c r="L255" s="19"/>
      <c r="M255" s="18"/>
      <c r="N255" s="18"/>
      <c r="O255" s="17"/>
      <c r="Q255" s="22"/>
      <c r="R255" s="22"/>
      <c r="S255" s="19"/>
      <c r="T255" s="19"/>
    </row>
    <row r="256" spans="2:20" s="20" customFormat="1" ht="17.100000000000001" customHeight="1" x14ac:dyDescent="0.3">
      <c r="B256" s="17"/>
      <c r="C256" s="17"/>
      <c r="F256" s="15"/>
      <c r="G256" s="15"/>
      <c r="H256" s="15"/>
      <c r="I256" s="15"/>
      <c r="J256" s="15"/>
      <c r="K256" s="29"/>
      <c r="L256" s="19"/>
      <c r="M256" s="18"/>
      <c r="N256" s="18"/>
      <c r="O256" s="17"/>
      <c r="Q256" s="22"/>
      <c r="R256" s="22"/>
      <c r="S256" s="19"/>
      <c r="T256" s="19"/>
    </row>
    <row r="257" spans="2:20" s="20" customFormat="1" ht="17.100000000000001" customHeight="1" x14ac:dyDescent="0.3">
      <c r="B257" s="17"/>
      <c r="C257" s="17"/>
      <c r="F257" s="15"/>
      <c r="G257" s="15"/>
      <c r="H257" s="15"/>
      <c r="I257" s="15"/>
      <c r="J257" s="15"/>
      <c r="K257" s="29"/>
      <c r="L257" s="19"/>
      <c r="M257" s="18"/>
      <c r="N257" s="18"/>
      <c r="O257" s="17"/>
      <c r="Q257" s="22"/>
      <c r="R257" s="22"/>
      <c r="S257" s="19"/>
      <c r="T257" s="19"/>
    </row>
    <row r="258" spans="2:20" s="20" customFormat="1" ht="17.100000000000001" customHeight="1" x14ac:dyDescent="0.3">
      <c r="B258" s="17"/>
      <c r="C258" s="17"/>
      <c r="F258" s="15"/>
      <c r="G258" s="15"/>
      <c r="H258" s="15"/>
      <c r="I258" s="15"/>
      <c r="J258" s="15"/>
      <c r="K258" s="29"/>
      <c r="L258" s="19"/>
      <c r="M258" s="18"/>
      <c r="N258" s="18"/>
      <c r="O258" s="17"/>
      <c r="Q258" s="22"/>
      <c r="R258" s="22"/>
      <c r="S258" s="19"/>
      <c r="T258" s="19"/>
    </row>
    <row r="259" spans="2:20" s="20" customFormat="1" ht="17.100000000000001" customHeight="1" x14ac:dyDescent="0.3">
      <c r="B259" s="17"/>
      <c r="C259" s="17"/>
      <c r="F259" s="15"/>
      <c r="G259" s="15"/>
      <c r="H259" s="15"/>
      <c r="I259" s="15"/>
      <c r="J259" s="15"/>
      <c r="K259" s="29"/>
      <c r="L259" s="19"/>
      <c r="M259" s="18"/>
      <c r="N259" s="18"/>
      <c r="O259" s="17"/>
      <c r="Q259" s="22"/>
      <c r="R259" s="22"/>
      <c r="S259" s="19"/>
      <c r="T259" s="19"/>
    </row>
    <row r="260" spans="2:20" s="20" customFormat="1" ht="17.100000000000001" customHeight="1" x14ac:dyDescent="0.3">
      <c r="B260" s="17"/>
      <c r="C260" s="17"/>
      <c r="F260" s="15"/>
      <c r="G260" s="15"/>
      <c r="H260" s="15"/>
      <c r="I260" s="15"/>
      <c r="J260" s="15"/>
      <c r="K260" s="29"/>
      <c r="L260" s="19"/>
      <c r="M260" s="18"/>
      <c r="N260" s="18"/>
      <c r="O260" s="17"/>
      <c r="Q260" s="22"/>
      <c r="R260" s="22"/>
      <c r="S260" s="19"/>
      <c r="T260" s="19"/>
    </row>
    <row r="261" spans="2:20" s="20" customFormat="1" ht="17.100000000000001" customHeight="1" x14ac:dyDescent="0.3">
      <c r="B261" s="17"/>
      <c r="C261" s="17"/>
      <c r="F261" s="15"/>
      <c r="G261" s="15"/>
      <c r="H261" s="15"/>
      <c r="I261" s="15"/>
      <c r="J261" s="15"/>
      <c r="K261" s="29"/>
      <c r="L261" s="19"/>
      <c r="M261" s="18"/>
      <c r="N261" s="18"/>
      <c r="O261" s="17"/>
      <c r="Q261" s="22"/>
      <c r="R261" s="22"/>
      <c r="S261" s="19"/>
      <c r="T261" s="19"/>
    </row>
    <row r="262" spans="2:20" s="20" customFormat="1" ht="17.100000000000001" customHeight="1" x14ac:dyDescent="0.3">
      <c r="B262" s="17"/>
      <c r="C262" s="17"/>
      <c r="F262" s="15"/>
      <c r="G262" s="15"/>
      <c r="H262" s="15"/>
      <c r="I262" s="15"/>
      <c r="J262" s="15"/>
      <c r="K262" s="29"/>
      <c r="L262" s="19"/>
      <c r="M262" s="18"/>
      <c r="N262" s="18"/>
      <c r="O262" s="17"/>
      <c r="Q262" s="22"/>
      <c r="R262" s="22"/>
      <c r="S262" s="19"/>
      <c r="T262" s="19"/>
    </row>
    <row r="263" spans="2:20" s="20" customFormat="1" ht="17.100000000000001" customHeight="1" x14ac:dyDescent="0.3">
      <c r="B263" s="17"/>
      <c r="C263" s="17"/>
      <c r="F263" s="15"/>
      <c r="G263" s="15"/>
      <c r="H263" s="15"/>
      <c r="I263" s="15"/>
      <c r="J263" s="15"/>
      <c r="K263" s="29"/>
      <c r="L263" s="19"/>
      <c r="M263" s="18"/>
      <c r="N263" s="18"/>
      <c r="O263" s="17"/>
      <c r="Q263" s="22"/>
      <c r="R263" s="22"/>
      <c r="S263" s="19"/>
      <c r="T263" s="19"/>
    </row>
    <row r="264" spans="2:20" s="20" customFormat="1" ht="17.100000000000001" customHeight="1" x14ac:dyDescent="0.3">
      <c r="B264" s="17"/>
      <c r="C264" s="17"/>
      <c r="F264" s="15"/>
      <c r="G264" s="15"/>
      <c r="H264" s="15"/>
      <c r="I264" s="15"/>
      <c r="J264" s="15"/>
      <c r="K264" s="29"/>
      <c r="L264" s="19"/>
      <c r="M264" s="18"/>
      <c r="N264" s="18"/>
      <c r="O264" s="17"/>
      <c r="Q264" s="22"/>
      <c r="R264" s="22"/>
      <c r="S264" s="19"/>
      <c r="T264" s="19"/>
    </row>
    <row r="265" spans="2:20" s="20" customFormat="1" ht="17.100000000000001" customHeight="1" x14ac:dyDescent="0.3">
      <c r="B265" s="17"/>
      <c r="C265" s="17"/>
      <c r="F265" s="15"/>
      <c r="G265" s="15"/>
      <c r="H265" s="15"/>
      <c r="I265" s="15"/>
      <c r="J265" s="15"/>
      <c r="K265" s="29"/>
      <c r="L265" s="19"/>
      <c r="M265" s="18"/>
      <c r="N265" s="18"/>
      <c r="O265" s="17"/>
      <c r="Q265" s="22"/>
      <c r="R265" s="22"/>
      <c r="S265" s="19"/>
      <c r="T265" s="19"/>
    </row>
    <row r="266" spans="2:20" s="20" customFormat="1" ht="17.100000000000001" customHeight="1" x14ac:dyDescent="0.3">
      <c r="B266" s="17"/>
      <c r="C266" s="17"/>
      <c r="F266" s="15"/>
      <c r="G266" s="15"/>
      <c r="H266" s="15"/>
      <c r="I266" s="15"/>
      <c r="J266" s="15"/>
      <c r="K266" s="29"/>
      <c r="L266" s="19"/>
      <c r="M266" s="18"/>
      <c r="N266" s="18"/>
      <c r="O266" s="17"/>
      <c r="Q266" s="22"/>
      <c r="R266" s="22"/>
      <c r="S266" s="19"/>
      <c r="T266" s="19"/>
    </row>
    <row r="267" spans="2:20" s="20" customFormat="1" ht="17.100000000000001" customHeight="1" x14ac:dyDescent="0.3">
      <c r="B267" s="17"/>
      <c r="C267" s="17"/>
      <c r="F267" s="15"/>
      <c r="G267" s="15"/>
      <c r="H267" s="15"/>
      <c r="I267" s="15"/>
      <c r="J267" s="15"/>
      <c r="K267" s="29"/>
      <c r="L267" s="19"/>
      <c r="M267" s="18"/>
      <c r="N267" s="18"/>
      <c r="O267" s="17"/>
      <c r="Q267" s="22"/>
      <c r="R267" s="22"/>
      <c r="S267" s="19"/>
      <c r="T267" s="19"/>
    </row>
    <row r="268" spans="2:20" s="20" customFormat="1" ht="17.100000000000001" customHeight="1" x14ac:dyDescent="0.3">
      <c r="B268" s="17"/>
      <c r="C268" s="17"/>
      <c r="F268" s="15"/>
      <c r="G268" s="15"/>
      <c r="H268" s="15"/>
      <c r="I268" s="15"/>
      <c r="J268" s="15"/>
      <c r="K268" s="29"/>
      <c r="L268" s="19"/>
      <c r="M268" s="18"/>
      <c r="N268" s="18"/>
      <c r="O268" s="17"/>
      <c r="Q268" s="22"/>
      <c r="R268" s="22"/>
      <c r="S268" s="19"/>
      <c r="T268" s="19"/>
    </row>
    <row r="269" spans="2:20" s="20" customFormat="1" ht="17.100000000000001" customHeight="1" x14ac:dyDescent="0.3">
      <c r="B269" s="17"/>
      <c r="C269" s="17"/>
      <c r="F269" s="15"/>
      <c r="G269" s="15"/>
      <c r="H269" s="15"/>
      <c r="I269" s="15"/>
      <c r="J269" s="15"/>
      <c r="K269" s="29"/>
      <c r="L269" s="19"/>
      <c r="M269" s="18"/>
      <c r="N269" s="18"/>
      <c r="O269" s="17"/>
      <c r="Q269" s="22"/>
      <c r="R269" s="22"/>
      <c r="S269" s="19"/>
      <c r="T269" s="19"/>
    </row>
    <row r="270" spans="2:20" s="20" customFormat="1" ht="17.100000000000001" customHeight="1" x14ac:dyDescent="0.3">
      <c r="B270" s="17"/>
      <c r="C270" s="17"/>
      <c r="F270" s="15"/>
      <c r="G270" s="15"/>
      <c r="H270" s="15"/>
      <c r="I270" s="15"/>
      <c r="J270" s="15"/>
      <c r="K270" s="29"/>
      <c r="L270" s="19"/>
      <c r="M270" s="18"/>
      <c r="N270" s="18"/>
      <c r="O270" s="17"/>
      <c r="Q270" s="22"/>
      <c r="R270" s="22"/>
      <c r="S270" s="19"/>
      <c r="T270" s="19"/>
    </row>
    <row r="271" spans="2:20" s="20" customFormat="1" ht="17.100000000000001" customHeight="1" x14ac:dyDescent="0.3">
      <c r="B271" s="17"/>
      <c r="C271" s="17"/>
      <c r="F271" s="15"/>
      <c r="G271" s="15"/>
      <c r="H271" s="15"/>
      <c r="I271" s="15"/>
      <c r="J271" s="15"/>
      <c r="K271" s="29"/>
      <c r="L271" s="19"/>
      <c r="M271" s="18"/>
      <c r="N271" s="18"/>
      <c r="O271" s="17"/>
      <c r="Q271" s="22"/>
      <c r="R271" s="22"/>
      <c r="S271" s="19"/>
      <c r="T271" s="19"/>
    </row>
    <row r="272" spans="2:20" s="20" customFormat="1" ht="17.100000000000001" customHeight="1" x14ac:dyDescent="0.3">
      <c r="B272" s="17"/>
      <c r="C272" s="17"/>
      <c r="F272" s="15"/>
      <c r="G272" s="15"/>
      <c r="H272" s="15"/>
      <c r="I272" s="15"/>
      <c r="J272" s="15"/>
      <c r="K272" s="29"/>
      <c r="L272" s="19"/>
      <c r="M272" s="18"/>
      <c r="N272" s="18"/>
      <c r="O272" s="17"/>
      <c r="Q272" s="22"/>
      <c r="R272" s="22"/>
      <c r="S272" s="19"/>
      <c r="T272" s="19"/>
    </row>
    <row r="273" spans="2:20" s="20" customFormat="1" ht="17.100000000000001" customHeight="1" x14ac:dyDescent="0.3">
      <c r="B273" s="17"/>
      <c r="C273" s="17"/>
      <c r="F273" s="15"/>
      <c r="G273" s="15"/>
      <c r="H273" s="15"/>
      <c r="I273" s="15"/>
      <c r="J273" s="15"/>
      <c r="K273" s="29"/>
      <c r="L273" s="19"/>
      <c r="M273" s="18"/>
      <c r="N273" s="18"/>
      <c r="O273" s="17"/>
      <c r="Q273" s="22"/>
      <c r="R273" s="22"/>
      <c r="S273" s="19"/>
      <c r="T273" s="19"/>
    </row>
    <row r="274" spans="2:20" s="20" customFormat="1" ht="17.100000000000001" customHeight="1" x14ac:dyDescent="0.3">
      <c r="B274" s="17"/>
      <c r="C274" s="17"/>
      <c r="F274" s="15"/>
      <c r="G274" s="15"/>
      <c r="H274" s="15"/>
      <c r="I274" s="15"/>
      <c r="J274" s="15"/>
      <c r="K274" s="29"/>
      <c r="L274" s="19"/>
      <c r="M274" s="18"/>
      <c r="N274" s="18"/>
      <c r="O274" s="17"/>
      <c r="Q274" s="22"/>
      <c r="R274" s="22"/>
      <c r="S274" s="19"/>
      <c r="T274" s="19"/>
    </row>
    <row r="275" spans="2:20" s="20" customFormat="1" ht="17.100000000000001" customHeight="1" x14ac:dyDescent="0.3">
      <c r="B275" s="17"/>
      <c r="C275" s="17"/>
      <c r="F275" s="15"/>
      <c r="G275" s="15"/>
      <c r="H275" s="15"/>
      <c r="I275" s="15"/>
      <c r="J275" s="15"/>
      <c r="K275" s="29"/>
      <c r="L275" s="19"/>
      <c r="M275" s="18"/>
      <c r="N275" s="18"/>
      <c r="O275" s="17"/>
      <c r="Q275" s="22"/>
      <c r="R275" s="22"/>
      <c r="S275" s="19"/>
      <c r="T275" s="19"/>
    </row>
    <row r="276" spans="2:20" s="20" customFormat="1" ht="17.100000000000001" customHeight="1" x14ac:dyDescent="0.3">
      <c r="B276" s="17"/>
      <c r="C276" s="17"/>
      <c r="F276" s="15"/>
      <c r="G276" s="15"/>
      <c r="H276" s="15"/>
      <c r="I276" s="15"/>
      <c r="J276" s="15"/>
      <c r="K276" s="29"/>
      <c r="L276" s="19"/>
      <c r="M276" s="18"/>
      <c r="N276" s="18"/>
      <c r="O276" s="17"/>
      <c r="Q276" s="22"/>
      <c r="R276" s="22"/>
      <c r="S276" s="19"/>
      <c r="T276" s="19"/>
    </row>
    <row r="277" spans="2:20" s="20" customFormat="1" ht="17.100000000000001" customHeight="1" x14ac:dyDescent="0.3">
      <c r="B277" s="17"/>
      <c r="C277" s="17"/>
      <c r="F277" s="15"/>
      <c r="G277" s="15"/>
      <c r="H277" s="15"/>
      <c r="I277" s="15"/>
      <c r="J277" s="15"/>
      <c r="K277" s="29"/>
      <c r="L277" s="19"/>
      <c r="M277" s="18"/>
      <c r="N277" s="18"/>
      <c r="O277" s="17"/>
      <c r="Q277" s="22"/>
      <c r="R277" s="22"/>
      <c r="S277" s="19"/>
      <c r="T277" s="19"/>
    </row>
    <row r="278" spans="2:20" s="20" customFormat="1" ht="17.100000000000001" customHeight="1" x14ac:dyDescent="0.3">
      <c r="B278" s="17"/>
      <c r="C278" s="17"/>
      <c r="F278" s="15"/>
      <c r="G278" s="15"/>
      <c r="H278" s="15"/>
      <c r="I278" s="15"/>
      <c r="J278" s="15"/>
      <c r="K278" s="29"/>
      <c r="L278" s="19"/>
      <c r="M278" s="18"/>
      <c r="N278" s="18"/>
      <c r="O278" s="17"/>
      <c r="Q278" s="22"/>
      <c r="R278" s="22"/>
      <c r="S278" s="19"/>
      <c r="T278" s="19"/>
    </row>
    <row r="279" spans="2:20" s="20" customFormat="1" ht="17.100000000000001" customHeight="1" x14ac:dyDescent="0.3">
      <c r="B279" s="17"/>
      <c r="C279" s="17"/>
      <c r="F279" s="15"/>
      <c r="G279" s="15"/>
      <c r="H279" s="15"/>
      <c r="I279" s="15"/>
      <c r="J279" s="15"/>
      <c r="K279" s="29"/>
      <c r="L279" s="19"/>
      <c r="M279" s="18"/>
      <c r="N279" s="18"/>
      <c r="O279" s="17"/>
      <c r="Q279" s="22"/>
      <c r="R279" s="22"/>
      <c r="S279" s="19"/>
      <c r="T279" s="19"/>
    </row>
    <row r="280" spans="2:20" s="20" customFormat="1" ht="17.100000000000001" customHeight="1" x14ac:dyDescent="0.3">
      <c r="B280" s="17"/>
      <c r="C280" s="17"/>
      <c r="F280" s="15"/>
      <c r="G280" s="15"/>
      <c r="H280" s="15"/>
      <c r="I280" s="15"/>
      <c r="J280" s="15"/>
      <c r="K280" s="29"/>
      <c r="L280" s="19"/>
      <c r="M280" s="18"/>
      <c r="N280" s="18"/>
      <c r="O280" s="17"/>
      <c r="Q280" s="22"/>
      <c r="R280" s="22"/>
      <c r="S280" s="19"/>
      <c r="T280" s="19"/>
    </row>
    <row r="281" spans="2:20" s="20" customFormat="1" ht="17.100000000000001" customHeight="1" x14ac:dyDescent="0.3">
      <c r="B281" s="17"/>
      <c r="C281" s="17"/>
      <c r="F281" s="15"/>
      <c r="G281" s="15"/>
      <c r="H281" s="15"/>
      <c r="I281" s="15"/>
      <c r="J281" s="15"/>
      <c r="K281" s="29"/>
      <c r="L281" s="19"/>
      <c r="M281" s="18"/>
      <c r="N281" s="18"/>
      <c r="O281" s="17"/>
      <c r="Q281" s="22"/>
      <c r="R281" s="22"/>
      <c r="S281" s="19"/>
      <c r="T281" s="19"/>
    </row>
    <row r="282" spans="2:20" s="20" customFormat="1" ht="17.100000000000001" customHeight="1" x14ac:dyDescent="0.3">
      <c r="B282" s="17"/>
      <c r="C282" s="17"/>
      <c r="F282" s="15"/>
      <c r="G282" s="15"/>
      <c r="H282" s="15"/>
      <c r="I282" s="15"/>
      <c r="J282" s="15"/>
      <c r="K282" s="29"/>
      <c r="L282" s="19"/>
      <c r="M282" s="18"/>
      <c r="N282" s="18"/>
      <c r="O282" s="17"/>
      <c r="Q282" s="22"/>
      <c r="R282" s="22"/>
      <c r="S282" s="19"/>
      <c r="T282" s="19"/>
    </row>
    <row r="283" spans="2:20" s="20" customFormat="1" ht="17.100000000000001" customHeight="1" x14ac:dyDescent="0.3">
      <c r="B283" s="17"/>
      <c r="C283" s="17"/>
      <c r="F283" s="15"/>
      <c r="G283" s="15"/>
      <c r="H283" s="15"/>
      <c r="I283" s="15"/>
      <c r="J283" s="15"/>
      <c r="K283" s="29"/>
      <c r="L283" s="19"/>
      <c r="M283" s="18"/>
      <c r="N283" s="18"/>
      <c r="O283" s="17"/>
      <c r="Q283" s="22"/>
      <c r="R283" s="22"/>
      <c r="S283" s="19"/>
      <c r="T283" s="19"/>
    </row>
    <row r="284" spans="2:20" s="20" customFormat="1" ht="17.100000000000001" customHeight="1" x14ac:dyDescent="0.3">
      <c r="B284" s="17"/>
      <c r="C284" s="17"/>
      <c r="F284" s="15"/>
      <c r="G284" s="15"/>
      <c r="H284" s="15"/>
      <c r="I284" s="15"/>
      <c r="J284" s="15"/>
      <c r="K284" s="29"/>
      <c r="L284" s="19"/>
      <c r="M284" s="18"/>
      <c r="N284" s="18"/>
      <c r="O284" s="17"/>
      <c r="Q284" s="22"/>
      <c r="R284" s="22"/>
      <c r="S284" s="19"/>
      <c r="T284" s="19"/>
    </row>
    <row r="285" spans="2:20" s="20" customFormat="1" ht="17.100000000000001" customHeight="1" x14ac:dyDescent="0.3">
      <c r="B285" s="17"/>
      <c r="C285" s="17"/>
      <c r="F285" s="15"/>
      <c r="G285" s="15"/>
      <c r="H285" s="15"/>
      <c r="I285" s="15"/>
      <c r="J285" s="15"/>
      <c r="K285" s="29"/>
      <c r="L285" s="19"/>
      <c r="M285" s="18"/>
      <c r="N285" s="18"/>
      <c r="O285" s="17"/>
      <c r="Q285" s="22"/>
      <c r="R285" s="22"/>
      <c r="S285" s="19"/>
      <c r="T285" s="19"/>
    </row>
    <row r="286" spans="2:20" s="20" customFormat="1" ht="17.100000000000001" customHeight="1" x14ac:dyDescent="0.3">
      <c r="B286" s="17"/>
      <c r="C286" s="17"/>
      <c r="F286" s="15"/>
      <c r="G286" s="15"/>
      <c r="H286" s="15"/>
      <c r="I286" s="15"/>
      <c r="J286" s="15"/>
      <c r="K286" s="29"/>
      <c r="L286" s="19"/>
      <c r="M286" s="18"/>
      <c r="N286" s="18"/>
      <c r="O286" s="17"/>
      <c r="Q286" s="22"/>
      <c r="R286" s="22"/>
      <c r="S286" s="19"/>
      <c r="T286" s="19"/>
    </row>
    <row r="287" spans="2:20" s="20" customFormat="1" ht="17.100000000000001" customHeight="1" x14ac:dyDescent="0.3">
      <c r="B287" s="17"/>
      <c r="C287" s="17"/>
      <c r="F287" s="15"/>
      <c r="G287" s="15"/>
      <c r="H287" s="15"/>
      <c r="I287" s="15"/>
      <c r="J287" s="15"/>
      <c r="K287" s="29"/>
      <c r="L287" s="19"/>
      <c r="M287" s="18"/>
      <c r="N287" s="18"/>
      <c r="O287" s="17"/>
      <c r="Q287" s="22"/>
      <c r="R287" s="22"/>
      <c r="S287" s="19"/>
      <c r="T287" s="19"/>
    </row>
    <row r="288" spans="2:20" s="20" customFormat="1" ht="17.100000000000001" customHeight="1" x14ac:dyDescent="0.3">
      <c r="B288" s="17"/>
      <c r="C288" s="17"/>
      <c r="F288" s="15"/>
      <c r="G288" s="15"/>
      <c r="H288" s="15"/>
      <c r="I288" s="15"/>
      <c r="J288" s="15"/>
      <c r="K288" s="29"/>
      <c r="L288" s="19"/>
      <c r="M288" s="18"/>
      <c r="N288" s="18"/>
      <c r="O288" s="17"/>
      <c r="Q288" s="22"/>
      <c r="R288" s="22"/>
      <c r="S288" s="19"/>
      <c r="T288" s="19"/>
    </row>
    <row r="289" spans="2:20" s="20" customFormat="1" ht="17.100000000000001" customHeight="1" x14ac:dyDescent="0.3">
      <c r="B289" s="17"/>
      <c r="C289" s="17"/>
      <c r="F289" s="15"/>
      <c r="G289" s="15"/>
      <c r="H289" s="15"/>
      <c r="I289" s="15"/>
      <c r="J289" s="15"/>
      <c r="K289" s="29"/>
      <c r="L289" s="19"/>
      <c r="M289" s="18"/>
      <c r="N289" s="18"/>
      <c r="O289" s="17"/>
      <c r="Q289" s="22"/>
      <c r="R289" s="22"/>
      <c r="S289" s="19"/>
      <c r="T289" s="19"/>
    </row>
    <row r="290" spans="2:20" s="20" customFormat="1" ht="17.100000000000001" customHeight="1" x14ac:dyDescent="0.3">
      <c r="B290" s="17"/>
      <c r="C290" s="17"/>
      <c r="F290" s="15"/>
      <c r="G290" s="15"/>
      <c r="H290" s="15"/>
      <c r="I290" s="15"/>
      <c r="J290" s="15"/>
      <c r="K290" s="29"/>
      <c r="L290" s="19"/>
      <c r="M290" s="18"/>
      <c r="N290" s="18"/>
      <c r="O290" s="17"/>
      <c r="Q290" s="22"/>
      <c r="R290" s="22"/>
      <c r="S290" s="19"/>
      <c r="T290" s="19"/>
    </row>
    <row r="291" spans="2:20" s="20" customFormat="1" ht="17.100000000000001" customHeight="1" x14ac:dyDescent="0.3">
      <c r="B291" s="17"/>
      <c r="C291" s="17"/>
      <c r="F291" s="15"/>
      <c r="G291" s="15"/>
      <c r="H291" s="15"/>
      <c r="I291" s="15"/>
      <c r="J291" s="15"/>
      <c r="K291" s="29"/>
      <c r="L291" s="19"/>
      <c r="M291" s="18"/>
      <c r="N291" s="18"/>
      <c r="O291" s="17"/>
      <c r="Q291" s="22"/>
      <c r="R291" s="22"/>
      <c r="S291" s="19"/>
      <c r="T291" s="19"/>
    </row>
    <row r="292" spans="2:20" s="20" customFormat="1" ht="17.100000000000001" customHeight="1" x14ac:dyDescent="0.3">
      <c r="B292" s="17"/>
      <c r="C292" s="17"/>
      <c r="F292" s="15"/>
      <c r="G292" s="15"/>
      <c r="H292" s="15"/>
      <c r="I292" s="15"/>
      <c r="J292" s="15"/>
      <c r="K292" s="29"/>
      <c r="L292" s="19"/>
      <c r="M292" s="18"/>
      <c r="N292" s="18"/>
      <c r="O292" s="17"/>
      <c r="Q292" s="22"/>
      <c r="R292" s="22"/>
      <c r="S292" s="19"/>
      <c r="T292" s="19"/>
    </row>
    <row r="293" spans="2:20" s="20" customFormat="1" ht="17.100000000000001" customHeight="1" x14ac:dyDescent="0.3">
      <c r="B293" s="17"/>
      <c r="C293" s="17"/>
      <c r="F293" s="15"/>
      <c r="G293" s="15"/>
      <c r="H293" s="15"/>
      <c r="I293" s="15"/>
      <c r="J293" s="15"/>
      <c r="K293" s="29"/>
      <c r="L293" s="19"/>
      <c r="M293" s="18"/>
      <c r="N293" s="18"/>
      <c r="O293" s="17"/>
      <c r="Q293" s="22"/>
      <c r="R293" s="22"/>
      <c r="S293" s="19"/>
      <c r="T293" s="19"/>
    </row>
    <row r="294" spans="2:20" s="20" customFormat="1" ht="17.100000000000001" customHeight="1" x14ac:dyDescent="0.3">
      <c r="B294" s="17"/>
      <c r="C294" s="17"/>
      <c r="F294" s="15"/>
      <c r="G294" s="15"/>
      <c r="H294" s="15"/>
      <c r="I294" s="15"/>
      <c r="J294" s="15"/>
      <c r="K294" s="29"/>
      <c r="L294" s="19"/>
      <c r="M294" s="18"/>
      <c r="N294" s="18"/>
      <c r="O294" s="17"/>
      <c r="Q294" s="22"/>
      <c r="R294" s="22"/>
      <c r="S294" s="19"/>
      <c r="T294" s="19"/>
    </row>
    <row r="295" spans="2:20" s="20" customFormat="1" ht="17.100000000000001" customHeight="1" x14ac:dyDescent="0.3">
      <c r="B295" s="17"/>
      <c r="C295" s="17"/>
      <c r="F295" s="15"/>
      <c r="G295" s="15"/>
      <c r="H295" s="15"/>
      <c r="I295" s="15"/>
      <c r="J295" s="15"/>
      <c r="K295" s="29"/>
      <c r="L295" s="19"/>
      <c r="M295" s="18"/>
      <c r="N295" s="18"/>
      <c r="O295" s="17"/>
      <c r="Q295" s="22"/>
      <c r="R295" s="22"/>
      <c r="S295" s="19"/>
      <c r="T295" s="19"/>
    </row>
    <row r="296" spans="2:20" s="20" customFormat="1" ht="17.100000000000001" customHeight="1" x14ac:dyDescent="0.3">
      <c r="B296" s="17"/>
      <c r="C296" s="17"/>
      <c r="F296" s="15"/>
      <c r="G296" s="15"/>
      <c r="H296" s="15"/>
      <c r="I296" s="15"/>
      <c r="J296" s="15"/>
      <c r="K296" s="29"/>
      <c r="L296" s="19"/>
      <c r="M296" s="18"/>
      <c r="N296" s="18"/>
      <c r="O296" s="17"/>
      <c r="Q296" s="22"/>
      <c r="R296" s="22"/>
      <c r="S296" s="19"/>
      <c r="T296" s="19"/>
    </row>
    <row r="297" spans="2:20" s="20" customFormat="1" ht="17.100000000000001" customHeight="1" x14ac:dyDescent="0.3">
      <c r="B297" s="17"/>
      <c r="C297" s="17"/>
      <c r="F297" s="15"/>
      <c r="G297" s="15"/>
      <c r="H297" s="15"/>
      <c r="I297" s="15"/>
      <c r="J297" s="15"/>
      <c r="K297" s="29"/>
      <c r="L297" s="19"/>
      <c r="M297" s="18"/>
      <c r="N297" s="18"/>
      <c r="O297" s="17"/>
      <c r="Q297" s="22"/>
      <c r="R297" s="22"/>
      <c r="S297" s="19"/>
      <c r="T297" s="19"/>
    </row>
    <row r="298" spans="2:20" s="20" customFormat="1" ht="17.100000000000001" customHeight="1" x14ac:dyDescent="0.3">
      <c r="B298" s="17"/>
      <c r="C298" s="17"/>
      <c r="F298" s="15"/>
      <c r="G298" s="15"/>
      <c r="H298" s="15"/>
      <c r="I298" s="15"/>
      <c r="J298" s="15"/>
      <c r="K298" s="29"/>
      <c r="L298" s="19"/>
      <c r="M298" s="18"/>
      <c r="N298" s="18"/>
      <c r="O298" s="17"/>
      <c r="Q298" s="22"/>
      <c r="R298" s="22"/>
      <c r="S298" s="19"/>
      <c r="T298" s="19"/>
    </row>
    <row r="299" spans="2:20" s="20" customFormat="1" ht="17.100000000000001" customHeight="1" x14ac:dyDescent="0.3">
      <c r="B299" s="17"/>
      <c r="C299" s="17"/>
      <c r="F299" s="15"/>
      <c r="G299" s="15"/>
      <c r="H299" s="15"/>
      <c r="I299" s="15"/>
      <c r="J299" s="15"/>
      <c r="K299" s="29"/>
      <c r="L299" s="19"/>
      <c r="M299" s="18"/>
      <c r="N299" s="18"/>
      <c r="O299" s="17"/>
      <c r="Q299" s="22"/>
      <c r="R299" s="22"/>
      <c r="S299" s="19"/>
      <c r="T299" s="19"/>
    </row>
    <row r="300" spans="2:20" s="21" customFormat="1" ht="17.100000000000001" customHeight="1" x14ac:dyDescent="0.3">
      <c r="B300" s="12"/>
      <c r="C300" s="12"/>
      <c r="F300" s="10"/>
      <c r="G300" s="10"/>
      <c r="H300" s="10"/>
      <c r="I300" s="10"/>
      <c r="J300" s="10"/>
      <c r="K300" s="31"/>
      <c r="L300" s="13"/>
      <c r="M300" s="18"/>
      <c r="N300" s="142"/>
      <c r="O300" s="12"/>
      <c r="Q300" s="39"/>
      <c r="R300" s="39"/>
      <c r="S300" s="13"/>
      <c r="T300" s="13"/>
    </row>
    <row r="301" spans="2:20" s="21" customFormat="1" ht="17.100000000000001" customHeight="1" x14ac:dyDescent="0.3">
      <c r="B301" s="12"/>
      <c r="C301" s="12"/>
      <c r="F301" s="10"/>
      <c r="G301" s="10"/>
      <c r="H301" s="10"/>
      <c r="I301" s="10"/>
      <c r="J301" s="10"/>
      <c r="K301" s="31"/>
      <c r="L301" s="13"/>
      <c r="M301" s="18"/>
      <c r="N301" s="142"/>
      <c r="O301" s="12"/>
      <c r="Q301" s="39"/>
      <c r="R301" s="39"/>
      <c r="S301" s="13"/>
      <c r="T301" s="13"/>
    </row>
    <row r="302" spans="2:20" s="21" customFormat="1" ht="17.100000000000001" customHeight="1" x14ac:dyDescent="0.3">
      <c r="B302" s="12"/>
      <c r="C302" s="12"/>
      <c r="F302" s="10"/>
      <c r="G302" s="10"/>
      <c r="H302" s="10"/>
      <c r="I302" s="10"/>
      <c r="J302" s="10"/>
      <c r="K302" s="31"/>
      <c r="L302" s="13"/>
      <c r="M302" s="18"/>
      <c r="N302" s="142"/>
      <c r="O302" s="12"/>
      <c r="Q302" s="39"/>
      <c r="R302" s="39"/>
      <c r="S302" s="13"/>
      <c r="T302" s="13"/>
    </row>
    <row r="303" spans="2:20" s="21" customFormat="1" ht="17.100000000000001" customHeight="1" x14ac:dyDescent="0.3">
      <c r="B303" s="12"/>
      <c r="C303" s="12"/>
      <c r="F303" s="10"/>
      <c r="G303" s="10"/>
      <c r="H303" s="10"/>
      <c r="I303" s="10"/>
      <c r="J303" s="10"/>
      <c r="K303" s="31"/>
      <c r="L303" s="13"/>
      <c r="M303" s="18"/>
      <c r="N303" s="142"/>
      <c r="O303" s="12"/>
      <c r="Q303" s="39"/>
      <c r="R303" s="39"/>
      <c r="S303" s="13"/>
      <c r="T303" s="13"/>
    </row>
    <row r="304" spans="2:20" s="21" customFormat="1" ht="17.100000000000001" customHeight="1" x14ac:dyDescent="0.3">
      <c r="B304" s="12"/>
      <c r="C304" s="12"/>
      <c r="F304" s="10"/>
      <c r="G304" s="10"/>
      <c r="H304" s="10"/>
      <c r="I304" s="10"/>
      <c r="J304" s="10"/>
      <c r="K304" s="31"/>
      <c r="L304" s="13"/>
      <c r="M304" s="18"/>
      <c r="N304" s="142"/>
      <c r="O304" s="12"/>
      <c r="Q304" s="39"/>
      <c r="R304" s="39"/>
      <c r="S304" s="13"/>
      <c r="T304" s="13"/>
    </row>
    <row r="305" spans="2:20" s="21" customFormat="1" ht="17.100000000000001" customHeight="1" x14ac:dyDescent="0.3">
      <c r="B305" s="12"/>
      <c r="C305" s="12"/>
      <c r="F305" s="10"/>
      <c r="G305" s="10"/>
      <c r="H305" s="10"/>
      <c r="I305" s="10"/>
      <c r="J305" s="10"/>
      <c r="K305" s="31"/>
      <c r="L305" s="13"/>
      <c r="M305" s="18"/>
      <c r="N305" s="142"/>
      <c r="O305" s="12"/>
      <c r="Q305" s="39"/>
      <c r="R305" s="39"/>
      <c r="S305" s="13"/>
      <c r="T305" s="13"/>
    </row>
    <row r="306" spans="2:20" s="21" customFormat="1" ht="17.100000000000001" customHeight="1" x14ac:dyDescent="0.3">
      <c r="B306" s="12"/>
      <c r="C306" s="12"/>
      <c r="F306" s="10"/>
      <c r="G306" s="10"/>
      <c r="H306" s="10"/>
      <c r="I306" s="10"/>
      <c r="J306" s="10"/>
      <c r="K306" s="31"/>
      <c r="L306" s="13"/>
      <c r="M306" s="18"/>
      <c r="N306" s="142"/>
      <c r="O306" s="12"/>
      <c r="Q306" s="39"/>
      <c r="R306" s="39"/>
      <c r="S306" s="13"/>
      <c r="T306" s="13"/>
    </row>
    <row r="307" spans="2:20" s="21" customFormat="1" ht="17.100000000000001" customHeight="1" x14ac:dyDescent="0.3">
      <c r="B307" s="12"/>
      <c r="C307" s="12"/>
      <c r="F307" s="10"/>
      <c r="G307" s="10"/>
      <c r="H307" s="10"/>
      <c r="I307" s="10"/>
      <c r="J307" s="10"/>
      <c r="K307" s="31"/>
      <c r="L307" s="13"/>
      <c r="M307" s="18"/>
      <c r="N307" s="142"/>
      <c r="O307" s="12"/>
      <c r="Q307" s="39"/>
      <c r="R307" s="39"/>
      <c r="S307" s="13"/>
      <c r="T307" s="13"/>
    </row>
    <row r="308" spans="2:20" s="21" customFormat="1" ht="17.100000000000001" customHeight="1" x14ac:dyDescent="0.3">
      <c r="B308" s="12"/>
      <c r="C308" s="12"/>
      <c r="F308" s="10"/>
      <c r="G308" s="10"/>
      <c r="H308" s="10"/>
      <c r="I308" s="10"/>
      <c r="J308" s="10"/>
      <c r="K308" s="31"/>
      <c r="L308" s="13"/>
      <c r="M308" s="18"/>
      <c r="N308" s="142"/>
      <c r="O308" s="12"/>
      <c r="Q308" s="39"/>
      <c r="R308" s="39"/>
      <c r="S308" s="13"/>
      <c r="T308" s="13"/>
    </row>
    <row r="309" spans="2:20" s="21" customFormat="1" ht="17.100000000000001" customHeight="1" x14ac:dyDescent="0.3">
      <c r="B309" s="12"/>
      <c r="C309" s="12"/>
      <c r="F309" s="10"/>
      <c r="G309" s="10"/>
      <c r="H309" s="10"/>
      <c r="I309" s="10"/>
      <c r="J309" s="10"/>
      <c r="K309" s="31"/>
      <c r="L309" s="13"/>
      <c r="M309" s="18"/>
      <c r="N309" s="142"/>
      <c r="O309" s="12"/>
      <c r="Q309" s="39"/>
      <c r="R309" s="39"/>
      <c r="S309" s="13"/>
      <c r="T309" s="13"/>
    </row>
    <row r="310" spans="2:20" s="21" customFormat="1" ht="17.100000000000001" customHeight="1" x14ac:dyDescent="0.3">
      <c r="B310" s="12"/>
      <c r="C310" s="12"/>
      <c r="F310" s="10"/>
      <c r="G310" s="10"/>
      <c r="H310" s="10"/>
      <c r="I310" s="10"/>
      <c r="J310" s="10"/>
      <c r="K310" s="31"/>
      <c r="L310" s="13"/>
      <c r="M310" s="18"/>
      <c r="N310" s="142"/>
      <c r="O310" s="12"/>
      <c r="Q310" s="39"/>
      <c r="R310" s="39"/>
      <c r="S310" s="13"/>
      <c r="T310" s="13"/>
    </row>
    <row r="311" spans="2:20" s="21" customFormat="1" ht="17.100000000000001" customHeight="1" x14ac:dyDescent="0.3">
      <c r="B311" s="12"/>
      <c r="C311" s="12"/>
      <c r="F311" s="10"/>
      <c r="G311" s="10"/>
      <c r="H311" s="10"/>
      <c r="I311" s="10"/>
      <c r="J311" s="10"/>
      <c r="K311" s="31"/>
      <c r="L311" s="13"/>
      <c r="M311" s="18"/>
      <c r="N311" s="142"/>
      <c r="O311" s="12"/>
      <c r="Q311" s="39"/>
      <c r="R311" s="39"/>
      <c r="S311" s="13"/>
      <c r="T311" s="13"/>
    </row>
    <row r="312" spans="2:20" s="21" customFormat="1" ht="17.100000000000001" customHeight="1" x14ac:dyDescent="0.3">
      <c r="B312" s="12"/>
      <c r="C312" s="12"/>
      <c r="F312" s="10"/>
      <c r="G312" s="10"/>
      <c r="H312" s="10"/>
      <c r="I312" s="10"/>
      <c r="J312" s="10"/>
      <c r="K312" s="31"/>
      <c r="L312" s="13"/>
      <c r="M312" s="18"/>
      <c r="N312" s="142"/>
      <c r="O312" s="12"/>
      <c r="Q312" s="39"/>
      <c r="R312" s="39"/>
      <c r="S312" s="13"/>
      <c r="T312" s="13"/>
    </row>
    <row r="313" spans="2:20" s="21" customFormat="1" ht="17.100000000000001" customHeight="1" x14ac:dyDescent="0.3">
      <c r="B313" s="12"/>
      <c r="C313" s="12"/>
      <c r="F313" s="10"/>
      <c r="G313" s="10"/>
      <c r="H313" s="10"/>
      <c r="I313" s="10"/>
      <c r="J313" s="10"/>
      <c r="K313" s="31"/>
      <c r="L313" s="13"/>
      <c r="M313" s="18"/>
      <c r="N313" s="142"/>
      <c r="O313" s="12"/>
      <c r="Q313" s="39"/>
      <c r="R313" s="39"/>
      <c r="S313" s="13"/>
      <c r="T313" s="13"/>
    </row>
    <row r="314" spans="2:20" s="21" customFormat="1" ht="17.100000000000001" customHeight="1" x14ac:dyDescent="0.3">
      <c r="B314" s="12"/>
      <c r="C314" s="12"/>
      <c r="F314" s="10"/>
      <c r="G314" s="10"/>
      <c r="H314" s="10"/>
      <c r="I314" s="10"/>
      <c r="J314" s="10"/>
      <c r="K314" s="31"/>
      <c r="L314" s="13"/>
      <c r="M314" s="18"/>
      <c r="N314" s="142"/>
      <c r="O314" s="12"/>
      <c r="Q314" s="39"/>
      <c r="R314" s="39"/>
      <c r="S314" s="13"/>
      <c r="T314" s="13"/>
    </row>
    <row r="315" spans="2:20" s="21" customFormat="1" ht="17.100000000000001" customHeight="1" x14ac:dyDescent="0.3">
      <c r="B315" s="12"/>
      <c r="C315" s="12"/>
      <c r="F315" s="10"/>
      <c r="G315" s="10"/>
      <c r="H315" s="10"/>
      <c r="I315" s="10"/>
      <c r="J315" s="10"/>
      <c r="K315" s="31"/>
      <c r="L315" s="13"/>
      <c r="M315" s="18"/>
      <c r="N315" s="142"/>
      <c r="O315" s="12"/>
      <c r="Q315" s="39"/>
      <c r="R315" s="39"/>
      <c r="S315" s="13"/>
      <c r="T315" s="13"/>
    </row>
    <row r="316" spans="2:20" s="21" customFormat="1" ht="17.100000000000001" customHeight="1" x14ac:dyDescent="0.3">
      <c r="B316" s="12"/>
      <c r="C316" s="12"/>
      <c r="F316" s="10"/>
      <c r="G316" s="10"/>
      <c r="H316" s="10"/>
      <c r="I316" s="10"/>
      <c r="J316" s="10"/>
      <c r="K316" s="31"/>
      <c r="L316" s="13"/>
      <c r="M316" s="18"/>
      <c r="N316" s="142"/>
      <c r="O316" s="12"/>
      <c r="Q316" s="39"/>
      <c r="R316" s="39"/>
      <c r="S316" s="13"/>
      <c r="T316" s="13"/>
    </row>
    <row r="317" spans="2:20" s="21" customFormat="1" ht="17.100000000000001" customHeight="1" x14ac:dyDescent="0.3">
      <c r="B317" s="12"/>
      <c r="C317" s="12"/>
      <c r="F317" s="10"/>
      <c r="G317" s="10"/>
      <c r="H317" s="10"/>
      <c r="I317" s="10"/>
      <c r="J317" s="10"/>
      <c r="K317" s="31"/>
      <c r="L317" s="13"/>
      <c r="M317" s="18"/>
      <c r="N317" s="142"/>
      <c r="O317" s="12"/>
      <c r="Q317" s="39"/>
      <c r="R317" s="39"/>
      <c r="S317" s="13"/>
      <c r="T317" s="13"/>
    </row>
    <row r="318" spans="2:20" s="21" customFormat="1" ht="17.100000000000001" customHeight="1" x14ac:dyDescent="0.3">
      <c r="B318" s="12"/>
      <c r="C318" s="12"/>
      <c r="F318" s="10"/>
      <c r="G318" s="10"/>
      <c r="H318" s="10"/>
      <c r="I318" s="10"/>
      <c r="J318" s="10"/>
      <c r="K318" s="31"/>
      <c r="L318" s="13"/>
      <c r="M318" s="18"/>
      <c r="N318" s="142"/>
      <c r="O318" s="12"/>
      <c r="Q318" s="39"/>
      <c r="R318" s="39"/>
      <c r="S318" s="13"/>
      <c r="T318" s="13"/>
    </row>
    <row r="319" spans="2:20" s="21" customFormat="1" ht="17.100000000000001" customHeight="1" x14ac:dyDescent="0.3">
      <c r="B319" s="12"/>
      <c r="C319" s="12"/>
      <c r="F319" s="10"/>
      <c r="G319" s="10"/>
      <c r="H319" s="10"/>
      <c r="I319" s="10"/>
      <c r="J319" s="10"/>
      <c r="K319" s="31"/>
      <c r="L319" s="13"/>
      <c r="M319" s="18"/>
      <c r="N319" s="142"/>
      <c r="O319" s="12"/>
      <c r="Q319" s="39"/>
      <c r="R319" s="39"/>
      <c r="S319" s="13"/>
      <c r="T319" s="13"/>
    </row>
    <row r="320" spans="2:20" s="21" customFormat="1" ht="17.100000000000001" customHeight="1" x14ac:dyDescent="0.3">
      <c r="B320" s="12"/>
      <c r="C320" s="12"/>
      <c r="F320" s="10"/>
      <c r="G320" s="10"/>
      <c r="H320" s="10"/>
      <c r="I320" s="10"/>
      <c r="J320" s="10"/>
      <c r="K320" s="31"/>
      <c r="L320" s="13"/>
      <c r="M320" s="18"/>
      <c r="N320" s="142"/>
      <c r="O320" s="12"/>
      <c r="Q320" s="39"/>
      <c r="R320" s="39"/>
      <c r="S320" s="13"/>
      <c r="T320" s="13"/>
    </row>
    <row r="321" spans="2:20" s="21" customFormat="1" ht="17.100000000000001" customHeight="1" x14ac:dyDescent="0.3">
      <c r="B321" s="12"/>
      <c r="C321" s="12"/>
      <c r="F321" s="10"/>
      <c r="G321" s="10"/>
      <c r="H321" s="10"/>
      <c r="I321" s="10"/>
      <c r="J321" s="10"/>
      <c r="K321" s="31"/>
      <c r="L321" s="13"/>
      <c r="M321" s="18"/>
      <c r="N321" s="142"/>
      <c r="O321" s="12"/>
      <c r="Q321" s="39"/>
      <c r="R321" s="39"/>
      <c r="S321" s="13"/>
      <c r="T321" s="13"/>
    </row>
    <row r="322" spans="2:20" s="21" customFormat="1" ht="17.100000000000001" customHeight="1" x14ac:dyDescent="0.3">
      <c r="B322" s="12"/>
      <c r="C322" s="12"/>
      <c r="F322" s="10"/>
      <c r="G322" s="10"/>
      <c r="H322" s="10"/>
      <c r="I322" s="10"/>
      <c r="J322" s="10"/>
      <c r="K322" s="31"/>
      <c r="L322" s="13"/>
      <c r="M322" s="18"/>
      <c r="N322" s="142"/>
      <c r="O322" s="12"/>
      <c r="Q322" s="39"/>
      <c r="R322" s="39"/>
      <c r="S322" s="13"/>
      <c r="T322" s="13"/>
    </row>
    <row r="323" spans="2:20" s="21" customFormat="1" ht="17.100000000000001" customHeight="1" x14ac:dyDescent="0.3">
      <c r="B323" s="12"/>
      <c r="C323" s="12"/>
      <c r="F323" s="10"/>
      <c r="G323" s="10"/>
      <c r="H323" s="10"/>
      <c r="I323" s="10"/>
      <c r="J323" s="10"/>
      <c r="K323" s="31"/>
      <c r="L323" s="13"/>
      <c r="M323" s="18"/>
      <c r="N323" s="142"/>
      <c r="O323" s="12"/>
      <c r="Q323" s="39"/>
      <c r="R323" s="39"/>
      <c r="S323" s="13"/>
      <c r="T323" s="13"/>
    </row>
    <row r="324" spans="2:20" s="21" customFormat="1" ht="17.100000000000001" customHeight="1" x14ac:dyDescent="0.3">
      <c r="B324" s="12"/>
      <c r="C324" s="12"/>
      <c r="F324" s="10"/>
      <c r="G324" s="10"/>
      <c r="H324" s="10"/>
      <c r="I324" s="10"/>
      <c r="J324" s="10"/>
      <c r="K324" s="31"/>
      <c r="L324" s="13"/>
      <c r="M324" s="18"/>
      <c r="N324" s="142"/>
      <c r="O324" s="12"/>
      <c r="Q324" s="39"/>
      <c r="R324" s="39"/>
      <c r="S324" s="13"/>
      <c r="T324" s="13"/>
    </row>
    <row r="325" spans="2:20" s="21" customFormat="1" ht="17.100000000000001" customHeight="1" x14ac:dyDescent="0.3">
      <c r="B325" s="12"/>
      <c r="C325" s="12"/>
      <c r="F325" s="10"/>
      <c r="G325" s="10"/>
      <c r="H325" s="10"/>
      <c r="I325" s="10"/>
      <c r="J325" s="10"/>
      <c r="K325" s="31"/>
      <c r="L325" s="13"/>
      <c r="M325" s="18"/>
      <c r="N325" s="142"/>
      <c r="O325" s="12"/>
      <c r="Q325" s="39"/>
      <c r="R325" s="39"/>
      <c r="S325" s="13"/>
      <c r="T325" s="13"/>
    </row>
    <row r="326" spans="2:20" s="21" customFormat="1" ht="17.100000000000001" customHeight="1" x14ac:dyDescent="0.3">
      <c r="B326" s="12"/>
      <c r="C326" s="12"/>
      <c r="F326" s="10"/>
      <c r="G326" s="10"/>
      <c r="H326" s="10"/>
      <c r="I326" s="10"/>
      <c r="J326" s="10"/>
      <c r="K326" s="31"/>
      <c r="L326" s="13"/>
      <c r="M326" s="18"/>
      <c r="N326" s="142"/>
      <c r="O326" s="12"/>
      <c r="Q326" s="39"/>
      <c r="R326" s="39"/>
      <c r="S326" s="13"/>
      <c r="T326" s="13"/>
    </row>
    <row r="327" spans="2:20" s="21" customFormat="1" ht="17.100000000000001" customHeight="1" x14ac:dyDescent="0.3">
      <c r="B327" s="12"/>
      <c r="C327" s="12"/>
      <c r="F327" s="10"/>
      <c r="G327" s="10"/>
      <c r="H327" s="10"/>
      <c r="I327" s="10"/>
      <c r="J327" s="10"/>
      <c r="K327" s="31"/>
      <c r="L327" s="13"/>
      <c r="M327" s="18"/>
      <c r="N327" s="142"/>
      <c r="O327" s="12"/>
      <c r="Q327" s="39"/>
      <c r="R327" s="39"/>
      <c r="S327" s="13"/>
      <c r="T327" s="13"/>
    </row>
    <row r="328" spans="2:20" s="21" customFormat="1" ht="12" customHeight="1" x14ac:dyDescent="0.3">
      <c r="B328" s="12"/>
      <c r="C328" s="12"/>
      <c r="F328" s="10"/>
      <c r="G328" s="10"/>
      <c r="H328" s="10"/>
      <c r="I328" s="10"/>
      <c r="J328" s="10"/>
      <c r="K328" s="31"/>
      <c r="L328" s="13"/>
      <c r="M328" s="18"/>
      <c r="N328" s="142"/>
      <c r="O328" s="12"/>
      <c r="Q328" s="39"/>
      <c r="R328" s="39"/>
      <c r="S328" s="13"/>
      <c r="T328" s="13"/>
    </row>
    <row r="329" spans="2:20" s="21" customFormat="1" ht="12" customHeight="1" x14ac:dyDescent="0.3">
      <c r="B329" s="12"/>
      <c r="C329" s="12"/>
      <c r="F329" s="10"/>
      <c r="G329" s="10"/>
      <c r="H329" s="10"/>
      <c r="I329" s="10"/>
      <c r="J329" s="10"/>
      <c r="K329" s="31"/>
      <c r="L329" s="13"/>
      <c r="M329" s="18"/>
      <c r="N329" s="142"/>
      <c r="O329" s="12"/>
      <c r="Q329" s="39"/>
      <c r="R329" s="39"/>
      <c r="S329" s="13"/>
      <c r="T329" s="13"/>
    </row>
    <row r="330" spans="2:20" s="9" customFormat="1" ht="13.5" customHeight="1" x14ac:dyDescent="0.3">
      <c r="B330" s="7"/>
      <c r="C330" s="7"/>
      <c r="F330" s="5"/>
      <c r="G330" s="5"/>
      <c r="H330" s="5"/>
      <c r="I330" s="5"/>
      <c r="J330" s="5"/>
      <c r="K330" s="32"/>
      <c r="L330" s="8"/>
      <c r="M330" s="18"/>
      <c r="N330" s="142"/>
      <c r="O330" s="7"/>
      <c r="Q330" s="40"/>
      <c r="R330" s="40"/>
      <c r="S330" s="8"/>
      <c r="T330" s="8"/>
    </row>
    <row r="331" spans="2:20" s="9" customFormat="1" ht="13.5" customHeight="1" x14ac:dyDescent="0.3">
      <c r="B331" s="7"/>
      <c r="C331" s="7"/>
      <c r="F331" s="5"/>
      <c r="G331" s="5"/>
      <c r="H331" s="5"/>
      <c r="I331" s="5"/>
      <c r="J331" s="5"/>
      <c r="K331" s="32"/>
      <c r="L331" s="8"/>
      <c r="M331" s="18"/>
      <c r="N331" s="142"/>
      <c r="O331" s="7"/>
      <c r="Q331" s="40"/>
      <c r="R331" s="40"/>
      <c r="S331" s="8"/>
      <c r="T331" s="8"/>
    </row>
    <row r="332" spans="2:20" s="9" customFormat="1" ht="13.5" customHeight="1" x14ac:dyDescent="0.3">
      <c r="B332" s="7"/>
      <c r="C332" s="7"/>
      <c r="F332" s="5"/>
      <c r="G332" s="5"/>
      <c r="H332" s="5"/>
      <c r="I332" s="5"/>
      <c r="J332" s="5"/>
      <c r="K332" s="32"/>
      <c r="L332" s="8"/>
      <c r="M332" s="18"/>
      <c r="N332" s="142"/>
      <c r="O332" s="7"/>
      <c r="Q332" s="40"/>
      <c r="R332" s="40"/>
      <c r="S332" s="8"/>
      <c r="T332" s="8"/>
    </row>
    <row r="333" spans="2:20" s="9" customFormat="1" ht="13.5" customHeight="1" x14ac:dyDescent="0.3">
      <c r="B333" s="7"/>
      <c r="C333" s="7"/>
      <c r="F333" s="5"/>
      <c r="G333" s="5"/>
      <c r="H333" s="5"/>
      <c r="I333" s="5"/>
      <c r="J333" s="5"/>
      <c r="K333" s="32"/>
      <c r="L333" s="8"/>
      <c r="M333" s="18"/>
      <c r="N333" s="142"/>
      <c r="O333" s="7"/>
      <c r="Q333" s="40"/>
      <c r="R333" s="40"/>
      <c r="S333" s="8"/>
      <c r="T333" s="8"/>
    </row>
    <row r="334" spans="2:20" s="9" customFormat="1" ht="13.5" x14ac:dyDescent="0.3">
      <c r="B334" s="7"/>
      <c r="C334" s="7"/>
      <c r="F334" s="5"/>
      <c r="G334" s="5"/>
      <c r="H334" s="5"/>
      <c r="I334" s="5"/>
      <c r="J334" s="5"/>
      <c r="K334" s="32"/>
      <c r="L334" s="8"/>
      <c r="M334" s="18"/>
      <c r="N334" s="142"/>
      <c r="O334" s="7"/>
      <c r="Q334" s="40"/>
      <c r="R334" s="40"/>
      <c r="S334" s="8"/>
      <c r="T334" s="8"/>
    </row>
    <row r="335" spans="2:20" s="9" customFormat="1" ht="13.5" x14ac:dyDescent="0.3">
      <c r="B335" s="7"/>
      <c r="C335" s="7"/>
      <c r="F335" s="5"/>
      <c r="G335" s="5"/>
      <c r="H335" s="5"/>
      <c r="I335" s="5"/>
      <c r="J335" s="5"/>
      <c r="K335" s="32"/>
      <c r="L335" s="8"/>
      <c r="M335" s="8"/>
      <c r="N335" s="8"/>
      <c r="O335" s="7"/>
      <c r="Q335" s="40"/>
      <c r="R335" s="40"/>
      <c r="S335" s="8"/>
      <c r="T335" s="8"/>
    </row>
    <row r="336" spans="2:20" s="9" customFormat="1" ht="13.5" x14ac:dyDescent="0.3">
      <c r="B336" s="7"/>
      <c r="C336" s="7"/>
      <c r="F336" s="5"/>
      <c r="G336" s="5"/>
      <c r="H336" s="5"/>
      <c r="I336" s="5"/>
      <c r="J336" s="5"/>
      <c r="K336" s="32"/>
      <c r="L336" s="8"/>
      <c r="M336" s="8"/>
      <c r="N336" s="8"/>
      <c r="O336" s="7"/>
      <c r="Q336" s="40"/>
      <c r="R336" s="40"/>
      <c r="S336" s="8"/>
      <c r="T336" s="8"/>
    </row>
    <row r="337" spans="1:22" s="9" customFormat="1" ht="13.5" x14ac:dyDescent="0.3">
      <c r="B337" s="7"/>
      <c r="C337" s="7"/>
      <c r="F337" s="5"/>
      <c r="G337" s="5"/>
      <c r="H337" s="5"/>
      <c r="I337" s="5"/>
      <c r="J337" s="5"/>
      <c r="K337" s="32"/>
      <c r="L337" s="8"/>
      <c r="M337" s="8"/>
      <c r="N337" s="8"/>
      <c r="O337" s="7"/>
      <c r="Q337" s="40"/>
      <c r="R337" s="40"/>
      <c r="S337" s="8"/>
      <c r="T337" s="8"/>
    </row>
    <row r="338" spans="1:22" s="9" customFormat="1" ht="13.5" x14ac:dyDescent="0.3">
      <c r="B338" s="7"/>
      <c r="C338" s="7"/>
      <c r="F338" s="5"/>
      <c r="G338" s="5"/>
      <c r="H338" s="5"/>
      <c r="I338" s="5"/>
      <c r="J338" s="5"/>
      <c r="K338" s="32"/>
      <c r="L338" s="8"/>
      <c r="M338" s="8"/>
      <c r="N338" s="8"/>
      <c r="O338" s="7"/>
      <c r="Q338" s="40"/>
      <c r="R338" s="40"/>
      <c r="S338" s="8"/>
      <c r="T338" s="8"/>
    </row>
    <row r="339" spans="1:22" s="9" customFormat="1" ht="13.5" x14ac:dyDescent="0.3">
      <c r="B339" s="7"/>
      <c r="C339" s="7"/>
      <c r="F339" s="5"/>
      <c r="G339" s="5"/>
      <c r="H339" s="5"/>
      <c r="I339" s="5"/>
      <c r="J339" s="5"/>
      <c r="K339" s="32"/>
      <c r="L339" s="8"/>
      <c r="M339" s="8"/>
      <c r="N339" s="8"/>
      <c r="O339" s="7"/>
      <c r="Q339" s="40"/>
      <c r="R339" s="40"/>
      <c r="S339" s="8"/>
      <c r="T339" s="8"/>
    </row>
    <row r="340" spans="1:22" x14ac:dyDescent="0.3">
      <c r="M340" s="8"/>
      <c r="N340" s="8"/>
    </row>
    <row r="341" spans="1:22" x14ac:dyDescent="0.3">
      <c r="M341" s="8"/>
      <c r="N341" s="8"/>
    </row>
    <row r="342" spans="1:22" x14ac:dyDescent="0.3">
      <c r="M342" s="8"/>
      <c r="N342" s="8"/>
    </row>
    <row r="343" spans="1:22" x14ac:dyDescent="0.3">
      <c r="M343" s="8"/>
      <c r="N343" s="8"/>
    </row>
    <row r="344" spans="1:22" s="3" customFormat="1" x14ac:dyDescent="0.3">
      <c r="A344"/>
      <c r="D344"/>
      <c r="E344"/>
      <c r="F344" s="1"/>
      <c r="G344" s="1"/>
      <c r="H344" s="1"/>
      <c r="I344" s="1"/>
      <c r="J344" s="1"/>
      <c r="K344" s="28"/>
      <c r="L344" s="4"/>
      <c r="M344" s="8"/>
      <c r="N344" s="8"/>
      <c r="P344"/>
      <c r="Q344" s="37"/>
      <c r="R344" s="37"/>
      <c r="S344" s="4"/>
      <c r="T344" s="4"/>
      <c r="U344"/>
      <c r="V344"/>
    </row>
    <row r="345" spans="1:22" s="3" customFormat="1" x14ac:dyDescent="0.3">
      <c r="A345"/>
      <c r="D345"/>
      <c r="E345"/>
      <c r="F345" s="1"/>
      <c r="G345" s="1"/>
      <c r="H345" s="1"/>
      <c r="I345" s="1"/>
      <c r="J345" s="1"/>
      <c r="K345" s="28"/>
      <c r="L345" s="4"/>
      <c r="M345" s="8"/>
      <c r="N345" s="8"/>
      <c r="P345"/>
      <c r="Q345" s="37"/>
      <c r="R345" s="37"/>
      <c r="S345" s="4"/>
      <c r="T345" s="4"/>
      <c r="U345"/>
      <c r="V345"/>
    </row>
    <row r="346" spans="1:22" s="3" customFormat="1" x14ac:dyDescent="0.3">
      <c r="A346"/>
      <c r="D346"/>
      <c r="E346"/>
      <c r="F346" s="1"/>
      <c r="G346" s="1"/>
      <c r="H346" s="1"/>
      <c r="I346" s="1"/>
      <c r="J346" s="1"/>
      <c r="K346" s="28"/>
      <c r="L346" s="4"/>
      <c r="M346" s="8"/>
      <c r="N346" s="8"/>
      <c r="P346"/>
      <c r="Q346" s="37"/>
      <c r="R346" s="37"/>
      <c r="S346" s="4"/>
      <c r="T346" s="4"/>
      <c r="U346"/>
      <c r="V346"/>
    </row>
    <row r="347" spans="1:22" s="3" customFormat="1" x14ac:dyDescent="0.3">
      <c r="A347"/>
      <c r="D347"/>
      <c r="E347"/>
      <c r="F347" s="1"/>
      <c r="G347" s="1"/>
      <c r="H347" s="1"/>
      <c r="I347" s="1"/>
      <c r="J347" s="1"/>
      <c r="K347" s="28"/>
      <c r="L347" s="4"/>
      <c r="M347" s="8"/>
      <c r="N347" s="8"/>
      <c r="P347"/>
      <c r="Q347" s="37"/>
      <c r="R347" s="37"/>
      <c r="S347" s="4"/>
      <c r="T347" s="4"/>
      <c r="U347"/>
      <c r="V347"/>
    </row>
  </sheetData>
  <sheetProtection formatCells="0" formatColumns="0" formatRows="0" insertColumns="0"/>
  <autoFilter ref="A3:V334" xr:uid="{00000000-0009-0000-0000-000004000000}"/>
  <mergeCells count="23">
    <mergeCell ref="A2:A3"/>
    <mergeCell ref="B2:B3"/>
    <mergeCell ref="C2:C3"/>
    <mergeCell ref="D2:D3"/>
    <mergeCell ref="J2:J3"/>
    <mergeCell ref="E2:E3"/>
    <mergeCell ref="F2:G2"/>
    <mergeCell ref="H2:I2"/>
    <mergeCell ref="B13:F13"/>
    <mergeCell ref="B24:D24"/>
    <mergeCell ref="U2:U3"/>
    <mergeCell ref="V2:V3"/>
    <mergeCell ref="J7:K7"/>
    <mergeCell ref="J24:K24"/>
    <mergeCell ref="L2:M2"/>
    <mergeCell ref="O2:O3"/>
    <mergeCell ref="P2:P3"/>
    <mergeCell ref="Q2:Q3"/>
    <mergeCell ref="R2:R3"/>
    <mergeCell ref="S2:S3"/>
    <mergeCell ref="K2:K3"/>
    <mergeCell ref="N2:N3"/>
    <mergeCell ref="T2:T3"/>
  </mergeCells>
  <phoneticPr fontId="2" type="noConversion"/>
  <conditionalFormatting sqref="F8:G12 G13 F14:G23">
    <cfRule type="containsText" dxfId="28" priority="7" operator="containsText" text="지역난방">
      <formula>NOT(ISERROR(SEARCH("지역난방",F8)))</formula>
    </cfRule>
    <cfRule type="containsText" dxfId="27" priority="8" operator="containsText" text="상수도">
      <formula>NOT(ISERROR(SEARCH("상수도",F8)))</formula>
    </cfRule>
  </conditionalFormatting>
  <conditionalFormatting sqref="L14:L15">
    <cfRule type="cellIs" dxfId="26" priority="1" stopIfTrue="1" operator="greaterThan">
      <formula>50000000</formula>
    </cfRule>
  </conditionalFormatting>
  <conditionalFormatting sqref="M8:M10">
    <cfRule type="cellIs" dxfId="25" priority="14" stopIfTrue="1" operator="greaterThan">
      <formula>50000000</formula>
    </cfRule>
  </conditionalFormatting>
  <conditionalFormatting sqref="M4:N6 M11:N13 M14:M15 M16:N23 M25:N325">
    <cfRule type="cellIs" dxfId="24" priority="18" operator="greaterThan">
      <formula>50000000</formula>
    </cfRule>
  </conditionalFormatting>
  <conditionalFormatting sqref="N8:N10">
    <cfRule type="cellIs" dxfId="23" priority="3" operator="greaterThan">
      <formula>50000000</formula>
    </cfRule>
  </conditionalFormatting>
  <conditionalFormatting sqref="N14:N15">
    <cfRule type="cellIs" dxfId="22" priority="5" stopIfTrue="1" operator="greaterThan">
      <formula>50000000</formula>
    </cfRule>
  </conditionalFormatting>
  <conditionalFormatting sqref="V1:V1048576">
    <cfRule type="containsText" dxfId="21" priority="19" operator="containsText" text="원도급">
      <formula>NOT(ISERROR(SEARCH("원도급",V1)))</formula>
    </cfRule>
    <cfRule type="containsText" dxfId="20" priority="20" operator="containsText" text="하도급">
      <formula>NOT(ISERROR(SEARCH("하도급",V1)))</formula>
    </cfRule>
  </conditionalFormatting>
  <hyperlinks>
    <hyperlink ref="R8" r:id="rId1" display="\\Desktop-yang\e\(주)대호스토퍼\0영업사항(견적서)\AA지역별 견적현황\2023년\충청남도\아산(2000A,1200A)-수공,씨티건설, (주)강물\기성" xr:uid="{00000000-0004-0000-0400-000000000000}"/>
  </hyperlinks>
  <pageMargins left="0.70866141732283472" right="0.70866141732283472" top="0.74803149606299213" bottom="0.74803149606299213" header="0.31496062992125984" footer="0.31496062992125984"/>
  <pageSetup paperSize="9" scale="10" orientation="landscape"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9" tint="0.79998168889431442"/>
    <pageSetUpPr fitToPage="1"/>
  </sheetPr>
  <dimension ref="A1:AA499"/>
  <sheetViews>
    <sheetView topLeftCell="B1" workbookViewId="0">
      <pane xSplit="10" ySplit="4" topLeftCell="L5" activePane="bottomRight" state="frozen"/>
      <selection activeCell="C558" sqref="C558"/>
      <selection pane="topRight" activeCell="C558" sqref="C558"/>
      <selection pane="bottomLeft" activeCell="C558" sqref="C558"/>
      <selection pane="bottomRight" activeCell="S16" sqref="S16"/>
    </sheetView>
  </sheetViews>
  <sheetFormatPr defaultRowHeight="16.5" x14ac:dyDescent="0.3"/>
  <cols>
    <col min="1" max="1" width="5.75" hidden="1" customWidth="1"/>
    <col min="2" max="3" width="7.625" style="3" customWidth="1"/>
    <col min="4" max="4" width="34" customWidth="1"/>
    <col min="5" max="5" width="12.375" style="1" hidden="1" customWidth="1"/>
    <col min="6" max="7" width="7.625" style="1" hidden="1" customWidth="1"/>
    <col min="8" max="8" width="12.125" style="2" hidden="1" customWidth="1"/>
    <col min="9" max="9" width="6.625" style="1" hidden="1" customWidth="1"/>
    <col min="10" max="10" width="16.75" style="2" hidden="1" customWidth="1"/>
    <col min="11" max="11" width="16.75" style="1" customWidth="1"/>
    <col min="12" max="12" width="17.625" style="1" customWidth="1"/>
    <col min="13" max="13" width="16.625" style="28" customWidth="1"/>
    <col min="14" max="14" width="7.875" style="4" customWidth="1"/>
    <col min="15" max="15" width="13.875" style="4" customWidth="1"/>
    <col min="16" max="16" width="7.875" style="3" customWidth="1"/>
    <col min="17" max="17" width="13.875" customWidth="1"/>
    <col min="18" max="18" width="15.125" style="37" customWidth="1"/>
    <col min="19" max="19" width="16" style="37" customWidth="1"/>
    <col min="20" max="20" width="15.25" style="4" customWidth="1"/>
    <col min="21" max="21" width="7.25" style="4" customWidth="1"/>
    <col min="22" max="22" width="32.5" hidden="1" customWidth="1"/>
    <col min="23" max="23" width="16.875" customWidth="1"/>
  </cols>
  <sheetData>
    <row r="1" spans="1:27" x14ac:dyDescent="0.3">
      <c r="B1" t="s">
        <v>81</v>
      </c>
      <c r="J1" s="1"/>
      <c r="K1" s="28"/>
      <c r="L1" s="4"/>
      <c r="M1" s="4"/>
      <c r="N1" s="36"/>
      <c r="P1" s="36"/>
      <c r="Q1" s="4"/>
      <c r="R1" s="4"/>
      <c r="S1" s="4"/>
      <c r="U1" s="3"/>
      <c r="X1" s="37"/>
      <c r="Y1" s="4"/>
    </row>
    <row r="2" spans="1:27" s="14" customFormat="1" x14ac:dyDescent="0.3">
      <c r="A2" s="248" t="s">
        <v>0</v>
      </c>
      <c r="B2" s="244" t="s">
        <v>5</v>
      </c>
      <c r="C2" s="244" t="s">
        <v>6</v>
      </c>
      <c r="D2" s="228" t="s">
        <v>1</v>
      </c>
      <c r="E2" s="228" t="s">
        <v>15</v>
      </c>
      <c r="F2" s="224" t="s">
        <v>18</v>
      </c>
      <c r="G2" s="225"/>
      <c r="H2" s="224" t="s">
        <v>4</v>
      </c>
      <c r="I2" s="225"/>
      <c r="J2" s="228" t="s">
        <v>7</v>
      </c>
      <c r="K2" s="229" t="s">
        <v>8</v>
      </c>
      <c r="L2" s="242" t="s">
        <v>9</v>
      </c>
      <c r="M2" s="242"/>
      <c r="N2" s="242"/>
      <c r="O2" s="242"/>
      <c r="P2" s="242"/>
      <c r="Q2" s="242"/>
      <c r="R2" s="242"/>
      <c r="S2" s="242"/>
      <c r="T2" s="242"/>
      <c r="U2" s="243" t="s">
        <v>534</v>
      </c>
      <c r="V2" s="228" t="s">
        <v>14</v>
      </c>
      <c r="W2" s="228" t="s">
        <v>22</v>
      </c>
      <c r="X2" s="247" t="s">
        <v>13</v>
      </c>
      <c r="Y2" s="230" t="s">
        <v>538</v>
      </c>
      <c r="Z2" s="233"/>
      <c r="AA2" s="24"/>
    </row>
    <row r="3" spans="1:27" s="14" customFormat="1" ht="16.5" customHeight="1" x14ac:dyDescent="0.3">
      <c r="A3" s="248"/>
      <c r="B3" s="244"/>
      <c r="C3" s="244"/>
      <c r="D3" s="228"/>
      <c r="E3" s="228"/>
      <c r="F3" s="226"/>
      <c r="G3" s="227"/>
      <c r="H3" s="226"/>
      <c r="I3" s="227"/>
      <c r="J3" s="228"/>
      <c r="K3" s="229"/>
      <c r="L3" s="236" t="s">
        <v>11</v>
      </c>
      <c r="M3" s="236" t="s">
        <v>184</v>
      </c>
      <c r="N3" s="238" t="s">
        <v>181</v>
      </c>
      <c r="O3" s="239"/>
      <c r="P3" s="239"/>
      <c r="Q3" s="239"/>
      <c r="R3" s="230" t="s">
        <v>185</v>
      </c>
      <c r="S3" s="240" t="s">
        <v>186</v>
      </c>
      <c r="T3" s="230" t="s">
        <v>187</v>
      </c>
      <c r="U3" s="244"/>
      <c r="V3" s="228"/>
      <c r="W3" s="228"/>
      <c r="X3" s="247"/>
      <c r="Y3" s="231"/>
      <c r="Z3" s="234"/>
      <c r="AA3" s="24"/>
    </row>
    <row r="4" spans="1:27" s="14" customFormat="1" x14ac:dyDescent="0.3">
      <c r="A4" s="248"/>
      <c r="B4" s="244"/>
      <c r="C4" s="244"/>
      <c r="D4" s="228"/>
      <c r="E4" s="228"/>
      <c r="F4" s="25" t="s">
        <v>19</v>
      </c>
      <c r="G4" s="25" t="s">
        <v>20</v>
      </c>
      <c r="H4" s="26" t="s">
        <v>2</v>
      </c>
      <c r="I4" s="25" t="s">
        <v>3</v>
      </c>
      <c r="J4" s="228"/>
      <c r="K4" s="229"/>
      <c r="L4" s="237"/>
      <c r="M4" s="237"/>
      <c r="N4" s="245" t="s">
        <v>182</v>
      </c>
      <c r="O4" s="246"/>
      <c r="P4" s="245" t="s">
        <v>183</v>
      </c>
      <c r="Q4" s="246"/>
      <c r="R4" s="237"/>
      <c r="S4" s="241"/>
      <c r="T4" s="237"/>
      <c r="U4" s="244"/>
      <c r="V4" s="228"/>
      <c r="W4" s="228"/>
      <c r="X4" s="247"/>
      <c r="Y4" s="232"/>
      <c r="Z4" s="235"/>
      <c r="AA4" s="24"/>
    </row>
    <row r="5" spans="1:27" x14ac:dyDescent="0.3">
      <c r="B5" s="17"/>
      <c r="C5" s="17"/>
      <c r="D5" s="20" t="s">
        <v>2330</v>
      </c>
      <c r="E5" s="15"/>
      <c r="F5" s="15"/>
      <c r="G5" s="15"/>
      <c r="H5" s="16"/>
      <c r="I5" s="15">
        <v>1</v>
      </c>
      <c r="J5" s="15"/>
      <c r="K5" s="29" t="s">
        <v>2062</v>
      </c>
      <c r="L5" s="19">
        <v>1000000</v>
      </c>
      <c r="M5" s="19">
        <f t="shared" ref="M5:M10" si="0">L5*0.1</f>
        <v>100000</v>
      </c>
      <c r="N5" s="35"/>
      <c r="O5" s="19"/>
      <c r="P5" s="35"/>
      <c r="Q5" s="19"/>
      <c r="R5" s="18">
        <f t="shared" ref="R5:R10" si="1">O5+Q5</f>
        <v>0</v>
      </c>
      <c r="S5" s="34">
        <f t="shared" ref="S5:S10" si="2">T5-R5</f>
        <v>1100000</v>
      </c>
      <c r="T5" s="18">
        <f t="shared" ref="T5:T10" si="3">(L5*I5)+M5</f>
        <v>1100000</v>
      </c>
      <c r="U5" s="17">
        <v>45338</v>
      </c>
      <c r="V5" s="20"/>
      <c r="W5" s="20" t="s">
        <v>2063</v>
      </c>
      <c r="X5" s="20"/>
      <c r="Y5" s="19"/>
      <c r="Z5" s="20"/>
      <c r="AA5" s="20"/>
    </row>
    <row r="6" spans="1:27" x14ac:dyDescent="0.3">
      <c r="B6" s="17"/>
      <c r="C6" s="17"/>
      <c r="D6" s="20" t="s">
        <v>2329</v>
      </c>
      <c r="E6" s="15"/>
      <c r="F6" s="15"/>
      <c r="G6" s="15"/>
      <c r="H6" s="16"/>
      <c r="I6" s="15">
        <v>1</v>
      </c>
      <c r="J6" s="15"/>
      <c r="K6" s="29" t="s">
        <v>2086</v>
      </c>
      <c r="L6" s="19">
        <v>10500000</v>
      </c>
      <c r="M6" s="19">
        <f t="shared" si="0"/>
        <v>1050000</v>
      </c>
      <c r="N6" s="35">
        <v>45393</v>
      </c>
      <c r="O6" s="19">
        <v>11550000</v>
      </c>
      <c r="P6" s="35"/>
      <c r="Q6" s="19"/>
      <c r="R6" s="18">
        <f t="shared" si="1"/>
        <v>11550000</v>
      </c>
      <c r="S6" s="34">
        <f t="shared" si="2"/>
        <v>0</v>
      </c>
      <c r="T6" s="18">
        <f t="shared" si="3"/>
        <v>11550000</v>
      </c>
      <c r="U6" s="17">
        <v>45386</v>
      </c>
      <c r="V6" s="20"/>
      <c r="W6" s="20" t="s">
        <v>2087</v>
      </c>
      <c r="X6" s="20"/>
      <c r="Y6" s="19"/>
      <c r="Z6" s="20"/>
      <c r="AA6" s="20"/>
    </row>
    <row r="7" spans="1:27" x14ac:dyDescent="0.3">
      <c r="B7" s="17"/>
      <c r="C7" s="17"/>
      <c r="D7" s="20" t="s">
        <v>2328</v>
      </c>
      <c r="E7" s="15"/>
      <c r="F7" s="15"/>
      <c r="G7" s="15"/>
      <c r="H7" s="16"/>
      <c r="I7" s="15">
        <v>1</v>
      </c>
      <c r="J7" s="15"/>
      <c r="K7" s="29" t="s">
        <v>2116</v>
      </c>
      <c r="L7" s="19">
        <v>600000</v>
      </c>
      <c r="M7" s="19">
        <f t="shared" si="0"/>
        <v>60000</v>
      </c>
      <c r="N7" s="35"/>
      <c r="O7" s="19"/>
      <c r="P7" s="35"/>
      <c r="Q7" s="19"/>
      <c r="R7" s="18">
        <f t="shared" si="1"/>
        <v>0</v>
      </c>
      <c r="S7" s="34">
        <f t="shared" si="2"/>
        <v>660000</v>
      </c>
      <c r="T7" s="18">
        <f t="shared" si="3"/>
        <v>660000</v>
      </c>
      <c r="U7" s="17">
        <v>45408</v>
      </c>
      <c r="V7" s="20"/>
      <c r="W7" s="20" t="s">
        <v>2117</v>
      </c>
      <c r="X7" s="20"/>
      <c r="Y7" s="19"/>
      <c r="Z7" s="20"/>
      <c r="AA7" s="20"/>
    </row>
    <row r="8" spans="1:27" x14ac:dyDescent="0.3">
      <c r="B8" s="17"/>
      <c r="C8" s="17"/>
      <c r="D8" s="20" t="s">
        <v>2327</v>
      </c>
      <c r="E8" s="15"/>
      <c r="F8" s="15"/>
      <c r="G8" s="15"/>
      <c r="H8" s="16"/>
      <c r="I8" s="15">
        <v>1</v>
      </c>
      <c r="J8" s="15"/>
      <c r="K8" s="29" t="s">
        <v>272</v>
      </c>
      <c r="L8" s="19">
        <v>350540000</v>
      </c>
      <c r="M8" s="19">
        <f t="shared" si="0"/>
        <v>35054000</v>
      </c>
      <c r="N8" s="35">
        <v>45502</v>
      </c>
      <c r="O8" s="19">
        <v>385594000</v>
      </c>
      <c r="P8" s="35"/>
      <c r="Q8" s="19"/>
      <c r="R8" s="18">
        <f t="shared" si="1"/>
        <v>385594000</v>
      </c>
      <c r="S8" s="34">
        <f t="shared" si="2"/>
        <v>0</v>
      </c>
      <c r="T8" s="18">
        <f t="shared" si="3"/>
        <v>385594000</v>
      </c>
      <c r="U8" s="17">
        <v>45475</v>
      </c>
      <c r="V8" s="20"/>
      <c r="W8" s="20"/>
      <c r="X8" s="20"/>
      <c r="Y8" s="19"/>
      <c r="Z8" s="20"/>
      <c r="AA8" s="20"/>
    </row>
    <row r="9" spans="1:27" x14ac:dyDescent="0.3">
      <c r="B9" s="17"/>
      <c r="C9" s="17"/>
      <c r="D9" s="20" t="s">
        <v>2500</v>
      </c>
      <c r="E9" s="15"/>
      <c r="F9" s="15"/>
      <c r="G9" s="15"/>
      <c r="H9" s="16"/>
      <c r="I9" s="15"/>
      <c r="J9" s="15"/>
      <c r="K9" s="29" t="s">
        <v>272</v>
      </c>
      <c r="L9" s="19">
        <v>27693000</v>
      </c>
      <c r="M9" s="19">
        <f t="shared" si="0"/>
        <v>2769300</v>
      </c>
      <c r="N9" s="35"/>
      <c r="O9" s="19"/>
      <c r="P9" s="35"/>
      <c r="Q9" s="19"/>
      <c r="R9" s="18">
        <f t="shared" si="1"/>
        <v>0</v>
      </c>
      <c r="S9" s="34">
        <f t="shared" si="2"/>
        <v>2769300</v>
      </c>
      <c r="T9" s="18">
        <f t="shared" si="3"/>
        <v>2769300</v>
      </c>
      <c r="U9" s="17">
        <v>45626</v>
      </c>
      <c r="V9" s="20"/>
      <c r="W9" s="20" t="s">
        <v>2501</v>
      </c>
      <c r="X9" s="20"/>
      <c r="Y9" s="19"/>
      <c r="Z9" s="20"/>
      <c r="AA9" s="20"/>
    </row>
    <row r="10" spans="1:27" x14ac:dyDescent="0.3">
      <c r="B10" s="17"/>
      <c r="C10" s="17"/>
      <c r="D10" s="20"/>
      <c r="E10" s="15"/>
      <c r="F10" s="15"/>
      <c r="G10" s="15"/>
      <c r="H10" s="16"/>
      <c r="I10" s="15"/>
      <c r="J10" s="15"/>
      <c r="K10" s="29"/>
      <c r="L10" s="19"/>
      <c r="M10" s="19">
        <f t="shared" si="0"/>
        <v>0</v>
      </c>
      <c r="N10" s="35"/>
      <c r="O10" s="19"/>
      <c r="P10" s="35"/>
      <c r="Q10" s="19"/>
      <c r="R10" s="18">
        <f t="shared" si="1"/>
        <v>0</v>
      </c>
      <c r="S10" s="34">
        <f t="shared" si="2"/>
        <v>0</v>
      </c>
      <c r="T10" s="18">
        <f t="shared" si="3"/>
        <v>0</v>
      </c>
      <c r="U10" s="17"/>
      <c r="V10" s="20"/>
      <c r="W10" s="20"/>
      <c r="X10" s="20"/>
      <c r="Y10" s="19"/>
      <c r="Z10" s="20"/>
      <c r="AA10" s="20"/>
    </row>
    <row r="11" spans="1:27" s="23" customFormat="1" ht="17.100000000000001" customHeight="1" x14ac:dyDescent="0.3">
      <c r="B11" s="17"/>
      <c r="C11" s="17"/>
      <c r="E11" s="15"/>
      <c r="F11" s="15"/>
      <c r="G11" s="15"/>
      <c r="H11" s="16"/>
      <c r="I11" s="15"/>
      <c r="J11" s="16"/>
      <c r="K11" s="15"/>
      <c r="L11" s="15"/>
      <c r="M11" s="29"/>
      <c r="N11" s="18"/>
      <c r="O11" s="18"/>
      <c r="P11" s="17"/>
      <c r="R11" s="41"/>
      <c r="S11" s="38"/>
      <c r="T11" s="42"/>
      <c r="U11" s="42"/>
    </row>
    <row r="12" spans="1:27" s="23" customFormat="1" ht="17.100000000000001" customHeight="1" x14ac:dyDescent="0.3">
      <c r="B12" s="17"/>
      <c r="C12" s="17"/>
      <c r="E12" s="15"/>
      <c r="F12" s="15"/>
      <c r="G12" s="15"/>
      <c r="H12" s="16"/>
      <c r="I12" s="15"/>
      <c r="J12" s="16"/>
      <c r="K12" s="15"/>
      <c r="L12" s="15"/>
      <c r="M12" s="29"/>
      <c r="N12" s="18"/>
      <c r="O12" s="18"/>
      <c r="P12" s="17"/>
      <c r="R12" s="41"/>
      <c r="S12" s="38"/>
      <c r="T12" s="42"/>
      <c r="U12" s="42"/>
    </row>
    <row r="13" spans="1:27" s="23" customFormat="1" ht="17.100000000000001" customHeight="1" x14ac:dyDescent="0.3">
      <c r="B13" s="17"/>
      <c r="C13" s="17"/>
      <c r="E13" s="15"/>
      <c r="F13" s="15"/>
      <c r="G13" s="15"/>
      <c r="H13" s="16"/>
      <c r="I13" s="15"/>
      <c r="J13" s="16"/>
      <c r="K13" s="15"/>
      <c r="L13" s="15"/>
      <c r="M13" s="29"/>
      <c r="N13" s="18"/>
      <c r="O13" s="18"/>
      <c r="P13" s="17"/>
      <c r="R13" s="41"/>
      <c r="S13" s="38"/>
      <c r="T13" s="42"/>
      <c r="U13" s="42"/>
    </row>
    <row r="14" spans="1:27" s="23" customFormat="1" ht="17.100000000000001" customHeight="1" x14ac:dyDescent="0.3">
      <c r="B14" s="17"/>
      <c r="C14" s="17"/>
      <c r="E14" s="15"/>
      <c r="F14" s="15"/>
      <c r="G14" s="15"/>
      <c r="H14" s="16"/>
      <c r="I14" s="15"/>
      <c r="J14" s="16"/>
      <c r="K14" s="15"/>
      <c r="L14" s="15"/>
      <c r="M14" s="29"/>
      <c r="N14" s="18"/>
      <c r="O14" s="18"/>
      <c r="P14" s="17"/>
      <c r="R14" s="41"/>
      <c r="S14" s="38"/>
      <c r="T14" s="42"/>
      <c r="U14" s="42"/>
      <c r="V14" s="45"/>
    </row>
    <row r="15" spans="1:27" s="23" customFormat="1" ht="17.100000000000001" customHeight="1" x14ac:dyDescent="0.3">
      <c r="B15" s="17"/>
      <c r="C15" s="17"/>
      <c r="E15" s="15"/>
      <c r="F15" s="15"/>
      <c r="G15" s="15"/>
      <c r="H15" s="16"/>
      <c r="I15" s="15"/>
      <c r="J15" s="16"/>
      <c r="K15" s="15"/>
      <c r="L15" s="15"/>
      <c r="M15" s="29"/>
      <c r="N15" s="19"/>
      <c r="O15" s="18"/>
      <c r="P15" s="17"/>
      <c r="R15" s="41"/>
      <c r="S15" s="38"/>
      <c r="T15" s="42"/>
      <c r="U15" s="42"/>
      <c r="V15" s="45"/>
    </row>
    <row r="16" spans="1:27" s="20" customFormat="1" ht="17.100000000000001" customHeight="1" x14ac:dyDescent="0.3">
      <c r="B16" s="17"/>
      <c r="C16" s="17"/>
      <c r="E16" s="15"/>
      <c r="F16" s="15"/>
      <c r="G16" s="15"/>
      <c r="H16" s="16"/>
      <c r="I16" s="15"/>
      <c r="J16" s="16"/>
      <c r="K16" s="15"/>
      <c r="L16" s="15"/>
      <c r="M16" s="29"/>
      <c r="N16" s="19"/>
      <c r="O16" s="18"/>
      <c r="P16" s="17"/>
      <c r="R16" s="22"/>
      <c r="S16" s="38"/>
      <c r="T16" s="19"/>
      <c r="U16" s="19"/>
    </row>
    <row r="17" spans="2:22" s="20" customFormat="1" ht="17.100000000000001" customHeight="1" x14ac:dyDescent="0.3">
      <c r="B17" s="17"/>
      <c r="C17" s="17"/>
      <c r="E17" s="15"/>
      <c r="F17" s="15"/>
      <c r="G17" s="15"/>
      <c r="H17" s="16"/>
      <c r="I17" s="15"/>
      <c r="J17" s="16"/>
      <c r="K17" s="15"/>
      <c r="L17" s="15"/>
      <c r="M17" s="29"/>
      <c r="N17" s="19"/>
      <c r="O17" s="18"/>
      <c r="P17" s="17"/>
      <c r="R17" s="22"/>
      <c r="S17" s="38"/>
      <c r="T17" s="19"/>
      <c r="U17" s="19"/>
    </row>
    <row r="18" spans="2:22" s="20" customFormat="1" ht="17.100000000000001" customHeight="1" x14ac:dyDescent="0.3">
      <c r="B18" s="17"/>
      <c r="C18" s="17"/>
      <c r="E18" s="15"/>
      <c r="F18" s="15"/>
      <c r="G18" s="15"/>
      <c r="H18" s="16"/>
      <c r="I18" s="15"/>
      <c r="J18" s="16"/>
      <c r="K18" s="15"/>
      <c r="L18" s="15"/>
      <c r="M18" s="29"/>
      <c r="N18" s="19"/>
      <c r="O18" s="18"/>
      <c r="P18" s="17"/>
      <c r="R18" s="22"/>
      <c r="S18" s="38"/>
      <c r="T18" s="19"/>
      <c r="U18" s="19"/>
    </row>
    <row r="19" spans="2:22" s="20" customFormat="1" ht="17.100000000000001" customHeight="1" x14ac:dyDescent="0.3">
      <c r="B19" s="17"/>
      <c r="C19" s="17"/>
      <c r="E19" s="15"/>
      <c r="F19" s="15"/>
      <c r="G19" s="15"/>
      <c r="H19" s="16"/>
      <c r="I19" s="15"/>
      <c r="J19" s="16"/>
      <c r="K19" s="15"/>
      <c r="L19" s="15"/>
      <c r="M19" s="29"/>
      <c r="N19" s="19"/>
      <c r="O19" s="18"/>
      <c r="P19" s="17"/>
      <c r="R19" s="22"/>
      <c r="S19" s="38"/>
      <c r="T19" s="19"/>
      <c r="U19" s="19"/>
    </row>
    <row r="20" spans="2:22" s="20" customFormat="1" ht="17.100000000000001" customHeight="1" x14ac:dyDescent="0.3">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x14ac:dyDescent="0.3">
      <c r="B21" s="17"/>
      <c r="C21" s="17"/>
      <c r="E21" s="15"/>
      <c r="F21" s="15"/>
      <c r="G21" s="15"/>
      <c r="H21" s="16"/>
      <c r="I21" s="15"/>
      <c r="J21" s="16"/>
      <c r="K21" s="15"/>
      <c r="L21" s="15"/>
      <c r="M21" s="29"/>
      <c r="N21" s="19"/>
      <c r="O21" s="18"/>
      <c r="P21" s="17"/>
      <c r="Q21" s="23"/>
      <c r="R21" s="22"/>
      <c r="S21" s="38"/>
      <c r="T21" s="19"/>
      <c r="U21" s="19"/>
      <c r="V21" s="45"/>
    </row>
    <row r="22" spans="2:22" s="20" customFormat="1" ht="17.100000000000001" customHeight="1" x14ac:dyDescent="0.3">
      <c r="B22" s="17"/>
      <c r="C22" s="17"/>
      <c r="E22" s="15"/>
      <c r="F22" s="15"/>
      <c r="G22" s="15"/>
      <c r="H22" s="16"/>
      <c r="I22" s="15"/>
      <c r="J22" s="16"/>
      <c r="K22" s="15"/>
      <c r="L22" s="15"/>
      <c r="M22" s="29"/>
      <c r="N22" s="19"/>
      <c r="O22" s="18"/>
      <c r="P22" s="17"/>
      <c r="R22" s="22"/>
      <c r="S22" s="38"/>
      <c r="T22" s="19"/>
      <c r="U22" s="19"/>
    </row>
    <row r="23" spans="2:22" s="20" customFormat="1" ht="17.100000000000001" customHeight="1" x14ac:dyDescent="0.3">
      <c r="B23" s="17"/>
      <c r="C23" s="17"/>
      <c r="E23" s="15"/>
      <c r="F23" s="15"/>
      <c r="G23" s="15"/>
      <c r="H23" s="16"/>
      <c r="I23" s="15"/>
      <c r="J23" s="16"/>
      <c r="K23" s="15"/>
      <c r="L23" s="15"/>
      <c r="M23" s="29"/>
      <c r="N23" s="19"/>
      <c r="O23" s="18"/>
      <c r="P23" s="17"/>
      <c r="R23" s="22"/>
      <c r="S23" s="38"/>
      <c r="T23" s="19"/>
      <c r="U23" s="19"/>
    </row>
    <row r="24" spans="2:22" s="20" customFormat="1" ht="17.100000000000001" customHeight="1" x14ac:dyDescent="0.3">
      <c r="B24" s="17"/>
      <c r="C24" s="17"/>
      <c r="E24" s="15"/>
      <c r="F24" s="15"/>
      <c r="G24" s="15"/>
      <c r="H24" s="16"/>
      <c r="I24" s="15"/>
      <c r="J24" s="16"/>
      <c r="K24" s="15"/>
      <c r="L24" s="15"/>
      <c r="M24" s="29"/>
      <c r="N24" s="19"/>
      <c r="O24" s="18"/>
      <c r="P24" s="17"/>
      <c r="R24" s="22"/>
      <c r="S24" s="38"/>
      <c r="T24" s="19"/>
      <c r="U24" s="19"/>
    </row>
    <row r="25" spans="2:22" s="20" customFormat="1" ht="17.100000000000001" customHeight="1" x14ac:dyDescent="0.3">
      <c r="B25" s="17"/>
      <c r="C25" s="17"/>
      <c r="E25" s="15"/>
      <c r="F25" s="15"/>
      <c r="G25" s="15"/>
      <c r="H25" s="16"/>
      <c r="I25" s="15"/>
      <c r="J25" s="16"/>
      <c r="K25" s="15"/>
      <c r="L25" s="15"/>
      <c r="M25" s="30"/>
      <c r="N25" s="19"/>
      <c r="O25" s="18"/>
      <c r="P25" s="17"/>
      <c r="Q25" s="23"/>
      <c r="R25" s="22"/>
      <c r="S25" s="38"/>
      <c r="T25" s="19"/>
      <c r="U25" s="19"/>
      <c r="V25" s="45"/>
    </row>
    <row r="26" spans="2:22" s="20" customFormat="1" ht="17.100000000000001" customHeight="1" x14ac:dyDescent="0.3">
      <c r="B26" s="17"/>
      <c r="C26" s="17"/>
      <c r="E26" s="15"/>
      <c r="F26" s="15"/>
      <c r="G26" s="15"/>
      <c r="H26" s="16"/>
      <c r="I26" s="15"/>
      <c r="J26" s="16"/>
      <c r="K26" s="15"/>
      <c r="L26" s="15"/>
      <c r="M26" s="29"/>
      <c r="N26" s="19"/>
      <c r="O26" s="18"/>
      <c r="P26" s="17"/>
      <c r="R26" s="22"/>
      <c r="S26" s="38"/>
      <c r="T26" s="19"/>
      <c r="U26" s="19"/>
    </row>
    <row r="27" spans="2:22" s="20" customFormat="1" ht="17.100000000000001" customHeight="1" x14ac:dyDescent="0.3">
      <c r="B27" s="17"/>
      <c r="C27" s="17"/>
      <c r="E27" s="15"/>
      <c r="F27" s="15"/>
      <c r="G27" s="15"/>
      <c r="H27" s="16"/>
      <c r="I27" s="15"/>
      <c r="J27" s="16"/>
      <c r="K27" s="15"/>
      <c r="L27" s="15"/>
      <c r="M27" s="29"/>
      <c r="N27" s="19"/>
      <c r="O27" s="18"/>
      <c r="P27" s="17"/>
      <c r="R27" s="22"/>
      <c r="S27" s="38"/>
      <c r="T27" s="19"/>
      <c r="U27" s="19"/>
    </row>
    <row r="28" spans="2:22" s="20" customFormat="1" ht="17.100000000000001" customHeight="1" x14ac:dyDescent="0.3">
      <c r="B28" s="17"/>
      <c r="C28" s="17"/>
      <c r="E28" s="15"/>
      <c r="F28" s="15"/>
      <c r="G28" s="15"/>
      <c r="H28" s="16"/>
      <c r="I28" s="15"/>
      <c r="J28" s="16"/>
      <c r="K28" s="15"/>
      <c r="L28" s="15"/>
      <c r="M28" s="29"/>
      <c r="N28" s="19"/>
      <c r="O28" s="18"/>
      <c r="P28" s="17"/>
      <c r="R28" s="22"/>
      <c r="S28" s="38"/>
      <c r="T28" s="19"/>
      <c r="U28" s="19"/>
    </row>
    <row r="29" spans="2:22" s="20" customFormat="1" ht="17.100000000000001" customHeight="1" x14ac:dyDescent="0.3">
      <c r="B29" s="17"/>
      <c r="C29" s="17"/>
      <c r="E29" s="15"/>
      <c r="F29" s="15"/>
      <c r="G29" s="15"/>
      <c r="H29" s="16"/>
      <c r="I29" s="15"/>
      <c r="J29" s="16"/>
      <c r="K29" s="15"/>
      <c r="L29" s="15"/>
      <c r="M29" s="30"/>
      <c r="N29" s="19"/>
      <c r="O29" s="18"/>
      <c r="P29" s="17"/>
      <c r="Q29" s="23"/>
      <c r="R29" s="22"/>
      <c r="S29" s="38"/>
      <c r="T29" s="44"/>
      <c r="U29" s="19"/>
      <c r="V29" s="45"/>
    </row>
    <row r="30" spans="2:22" s="20" customFormat="1" ht="17.100000000000001" customHeight="1" x14ac:dyDescent="0.3">
      <c r="B30" s="17"/>
      <c r="C30" s="17"/>
      <c r="E30" s="15"/>
      <c r="F30" s="15"/>
      <c r="G30" s="15"/>
      <c r="H30" s="16"/>
      <c r="I30" s="15"/>
      <c r="J30" s="16"/>
      <c r="K30" s="15"/>
      <c r="L30" s="15"/>
      <c r="M30" s="29"/>
      <c r="N30" s="19"/>
      <c r="O30" s="18"/>
      <c r="P30" s="17"/>
      <c r="R30" s="22"/>
      <c r="S30" s="38"/>
      <c r="T30" s="19"/>
      <c r="U30" s="19"/>
    </row>
    <row r="31" spans="2:22" s="20" customFormat="1" ht="17.100000000000001" customHeight="1" x14ac:dyDescent="0.3">
      <c r="B31" s="17"/>
      <c r="C31" s="17"/>
      <c r="E31" s="15"/>
      <c r="F31" s="15"/>
      <c r="G31" s="15"/>
      <c r="H31" s="16"/>
      <c r="I31" s="15"/>
      <c r="J31" s="16"/>
      <c r="K31" s="15"/>
      <c r="L31" s="15"/>
      <c r="M31" s="29"/>
      <c r="N31" s="19"/>
      <c r="O31" s="18"/>
      <c r="P31" s="17"/>
      <c r="R31" s="22"/>
      <c r="S31" s="38"/>
      <c r="T31" s="19"/>
      <c r="U31" s="19"/>
    </row>
    <row r="32" spans="2:22" s="20" customFormat="1" ht="17.100000000000001" customHeight="1" x14ac:dyDescent="0.3">
      <c r="B32" s="17"/>
      <c r="C32" s="17"/>
      <c r="E32" s="15"/>
      <c r="F32" s="15"/>
      <c r="G32" s="15"/>
      <c r="H32" s="16"/>
      <c r="I32" s="15"/>
      <c r="J32" s="16"/>
      <c r="K32" s="15"/>
      <c r="L32" s="15"/>
      <c r="M32" s="29"/>
      <c r="N32" s="19"/>
      <c r="O32" s="18"/>
      <c r="P32" s="17"/>
      <c r="R32" s="22"/>
      <c r="S32" s="38"/>
      <c r="T32" s="19"/>
      <c r="U32" s="19"/>
    </row>
    <row r="33" spans="2:22" s="20" customFormat="1" ht="17.100000000000001" customHeight="1" x14ac:dyDescent="0.3">
      <c r="B33" s="17"/>
      <c r="C33" s="17"/>
      <c r="E33" s="15"/>
      <c r="F33" s="15"/>
      <c r="G33" s="15"/>
      <c r="H33" s="16"/>
      <c r="I33" s="15"/>
      <c r="J33" s="16"/>
      <c r="K33" s="15"/>
      <c r="L33" s="15"/>
      <c r="M33" s="30"/>
      <c r="N33" s="19"/>
      <c r="O33" s="18"/>
      <c r="P33" s="17"/>
      <c r="Q33" s="23"/>
      <c r="R33" s="22"/>
      <c r="S33" s="38"/>
      <c r="T33" s="19"/>
      <c r="U33" s="19"/>
      <c r="V33" s="45"/>
    </row>
    <row r="34" spans="2:22" s="20" customFormat="1" ht="17.100000000000001" customHeight="1" x14ac:dyDescent="0.3">
      <c r="B34" s="17"/>
      <c r="C34" s="17"/>
      <c r="E34" s="15"/>
      <c r="F34" s="15"/>
      <c r="G34" s="15"/>
      <c r="H34" s="16"/>
      <c r="I34" s="15"/>
      <c r="J34" s="16"/>
      <c r="K34" s="15"/>
      <c r="L34" s="15"/>
      <c r="M34" s="29"/>
      <c r="N34" s="19"/>
      <c r="O34" s="18"/>
      <c r="P34" s="17"/>
      <c r="R34" s="22"/>
      <c r="S34" s="38"/>
      <c r="T34" s="19"/>
      <c r="U34" s="19"/>
    </row>
    <row r="35" spans="2:22" s="20" customFormat="1" ht="17.100000000000001" customHeight="1" x14ac:dyDescent="0.3">
      <c r="B35" s="17"/>
      <c r="C35" s="17"/>
      <c r="E35" s="15"/>
      <c r="F35" s="15"/>
      <c r="G35" s="15"/>
      <c r="H35" s="16"/>
      <c r="I35" s="15"/>
      <c r="J35" s="16"/>
      <c r="K35" s="15"/>
      <c r="L35" s="15"/>
      <c r="M35" s="29"/>
      <c r="N35" s="19"/>
      <c r="O35" s="18"/>
      <c r="P35" s="17"/>
      <c r="R35" s="22"/>
      <c r="S35" s="38"/>
      <c r="T35" s="19"/>
      <c r="U35" s="19"/>
    </row>
    <row r="36" spans="2:22" s="20" customFormat="1" ht="17.100000000000001" customHeight="1" x14ac:dyDescent="0.3">
      <c r="B36" s="17"/>
      <c r="C36" s="17"/>
      <c r="E36" s="15"/>
      <c r="F36" s="15"/>
      <c r="G36" s="15"/>
      <c r="H36" s="16"/>
      <c r="I36" s="15"/>
      <c r="J36" s="16"/>
      <c r="K36" s="15"/>
      <c r="L36" s="259"/>
      <c r="M36" s="262"/>
      <c r="N36" s="251"/>
      <c r="O36" s="251"/>
      <c r="P36" s="33"/>
      <c r="Q36" s="253"/>
      <c r="R36" s="264"/>
      <c r="S36" s="249"/>
      <c r="T36" s="19"/>
      <c r="U36" s="19"/>
    </row>
    <row r="37" spans="2:22" s="20" customFormat="1" ht="17.100000000000001" customHeight="1" x14ac:dyDescent="0.3">
      <c r="B37" s="17"/>
      <c r="C37" s="17"/>
      <c r="E37" s="15"/>
      <c r="F37" s="15"/>
      <c r="G37" s="15"/>
      <c r="H37" s="16"/>
      <c r="I37" s="15"/>
      <c r="J37" s="16"/>
      <c r="K37" s="15"/>
      <c r="L37" s="260"/>
      <c r="M37" s="263"/>
      <c r="N37" s="252"/>
      <c r="O37" s="252"/>
      <c r="P37" s="33"/>
      <c r="Q37" s="254"/>
      <c r="R37" s="250"/>
      <c r="S37" s="250"/>
      <c r="T37" s="19"/>
      <c r="U37" s="19"/>
    </row>
    <row r="38" spans="2:22" s="20" customFormat="1" ht="17.100000000000001" customHeight="1" x14ac:dyDescent="0.3">
      <c r="B38" s="17"/>
      <c r="C38" s="17"/>
      <c r="E38" s="15"/>
      <c r="F38" s="15"/>
      <c r="G38" s="15"/>
      <c r="H38" s="16"/>
      <c r="I38" s="15"/>
      <c r="J38" s="16"/>
      <c r="K38" s="15"/>
      <c r="L38" s="15"/>
      <c r="M38" s="29"/>
      <c r="N38" s="19"/>
      <c r="O38" s="18"/>
      <c r="P38" s="17"/>
      <c r="R38" s="22"/>
      <c r="S38" s="38"/>
      <c r="T38" s="19"/>
      <c r="U38" s="19"/>
    </row>
    <row r="39" spans="2:22" s="20" customFormat="1" ht="17.100000000000001" customHeight="1" x14ac:dyDescent="0.3">
      <c r="B39" s="17"/>
      <c r="C39" s="17"/>
      <c r="E39" s="15"/>
      <c r="F39" s="15"/>
      <c r="G39" s="15"/>
      <c r="H39" s="16"/>
      <c r="I39" s="15"/>
      <c r="J39" s="16"/>
      <c r="K39" s="15"/>
      <c r="L39" s="15"/>
      <c r="M39" s="29"/>
      <c r="N39" s="19"/>
      <c r="O39" s="18"/>
      <c r="P39" s="17"/>
      <c r="Q39" s="23"/>
      <c r="R39" s="22"/>
      <c r="S39" s="38"/>
      <c r="T39" s="19"/>
      <c r="U39" s="19"/>
      <c r="V39" s="45"/>
    </row>
    <row r="40" spans="2:22" s="20" customFormat="1" ht="17.100000000000001" customHeight="1" x14ac:dyDescent="0.3">
      <c r="B40" s="17"/>
      <c r="C40" s="17"/>
      <c r="E40" s="15"/>
      <c r="F40" s="15"/>
      <c r="G40" s="15"/>
      <c r="H40" s="16"/>
      <c r="I40" s="15"/>
      <c r="J40" s="16"/>
      <c r="K40" s="15"/>
      <c r="L40" s="15"/>
      <c r="M40" s="29"/>
      <c r="N40" s="19"/>
      <c r="O40" s="18"/>
      <c r="P40" s="17"/>
      <c r="Q40" s="23"/>
      <c r="R40" s="41"/>
      <c r="S40" s="38"/>
      <c r="T40" s="19"/>
      <c r="U40" s="19"/>
      <c r="V40" s="45"/>
    </row>
    <row r="41" spans="2:22" s="20" customFormat="1" ht="17.100000000000001" customHeight="1" x14ac:dyDescent="0.3">
      <c r="B41" s="17"/>
      <c r="C41" s="17"/>
      <c r="E41" s="15"/>
      <c r="F41" s="15"/>
      <c r="G41" s="15"/>
      <c r="H41" s="16"/>
      <c r="I41" s="15"/>
      <c r="J41" s="16"/>
      <c r="K41" s="15"/>
      <c r="L41" s="15"/>
      <c r="M41" s="29"/>
      <c r="N41" s="19"/>
      <c r="O41" s="18"/>
      <c r="P41" s="17"/>
      <c r="R41" s="22"/>
      <c r="S41" s="38"/>
      <c r="T41" s="19"/>
      <c r="U41" s="19"/>
    </row>
    <row r="42" spans="2:22" s="20" customFormat="1" ht="17.100000000000001" customHeight="1" x14ac:dyDescent="0.3">
      <c r="B42" s="17"/>
      <c r="C42" s="17"/>
      <c r="E42" s="15"/>
      <c r="F42" s="15"/>
      <c r="G42" s="15"/>
      <c r="H42" s="16"/>
      <c r="I42" s="15"/>
      <c r="J42" s="16"/>
      <c r="K42" s="15"/>
      <c r="L42" s="15"/>
      <c r="M42" s="29"/>
      <c r="N42" s="19"/>
      <c r="O42" s="18"/>
      <c r="P42" s="17"/>
      <c r="Q42" s="23"/>
      <c r="R42" s="22"/>
      <c r="S42" s="38"/>
      <c r="T42" s="19"/>
      <c r="U42" s="19"/>
      <c r="V42" s="45"/>
    </row>
    <row r="43" spans="2:22" s="20" customFormat="1" ht="17.100000000000001" customHeight="1" x14ac:dyDescent="0.3">
      <c r="B43" s="17"/>
      <c r="C43" s="17"/>
      <c r="E43" s="15"/>
      <c r="F43" s="15"/>
      <c r="G43" s="15"/>
      <c r="H43" s="16"/>
      <c r="I43" s="15"/>
      <c r="J43" s="16"/>
      <c r="K43" s="15"/>
      <c r="L43" s="15"/>
      <c r="M43" s="29"/>
      <c r="N43" s="19"/>
      <c r="O43" s="18"/>
      <c r="P43" s="17"/>
      <c r="Q43" s="23"/>
      <c r="R43" s="22"/>
      <c r="S43" s="38"/>
      <c r="T43" s="46"/>
      <c r="U43" s="19"/>
      <c r="V43" s="45"/>
    </row>
    <row r="44" spans="2:22" s="20" customFormat="1" ht="17.100000000000001" customHeight="1" x14ac:dyDescent="0.3">
      <c r="B44" s="17"/>
      <c r="C44" s="17"/>
      <c r="E44" s="15"/>
      <c r="F44" s="15"/>
      <c r="G44" s="15"/>
      <c r="H44" s="16"/>
      <c r="I44" s="15"/>
      <c r="J44" s="16"/>
      <c r="K44" s="15"/>
      <c r="L44" s="15"/>
      <c r="M44" s="30"/>
      <c r="N44" s="19"/>
      <c r="O44" s="18"/>
      <c r="P44" s="17"/>
      <c r="Q44" s="23"/>
      <c r="R44" s="22"/>
      <c r="S44" s="38"/>
      <c r="T44" s="19"/>
      <c r="U44" s="19"/>
      <c r="V44" s="45"/>
    </row>
    <row r="45" spans="2:22" s="20" customFormat="1" ht="17.100000000000001" customHeight="1" x14ac:dyDescent="0.3">
      <c r="B45" s="17"/>
      <c r="C45" s="17"/>
      <c r="E45" s="15"/>
      <c r="F45" s="15"/>
      <c r="G45" s="15"/>
      <c r="H45" s="16"/>
      <c r="I45" s="15"/>
      <c r="J45" s="16"/>
      <c r="K45" s="15"/>
      <c r="L45" s="15"/>
      <c r="M45" s="29"/>
      <c r="N45" s="19"/>
      <c r="O45" s="18"/>
      <c r="P45" s="17"/>
      <c r="R45" s="22"/>
      <c r="S45" s="38"/>
      <c r="T45" s="19"/>
      <c r="U45" s="19"/>
    </row>
    <row r="46" spans="2:22" s="20" customFormat="1" ht="17.100000000000001" customHeight="1" x14ac:dyDescent="0.3">
      <c r="B46" s="17"/>
      <c r="C46" s="17"/>
      <c r="E46" s="15"/>
      <c r="F46" s="15"/>
      <c r="G46" s="15"/>
      <c r="H46" s="16"/>
      <c r="I46" s="15"/>
      <c r="J46" s="16"/>
      <c r="K46" s="15"/>
      <c r="L46" s="15"/>
      <c r="M46" s="29"/>
      <c r="N46" s="19"/>
      <c r="O46" s="18"/>
      <c r="P46" s="17"/>
      <c r="R46" s="22"/>
      <c r="S46" s="38"/>
      <c r="T46" s="19"/>
      <c r="U46" s="19"/>
    </row>
    <row r="47" spans="2:22" s="20" customFormat="1" ht="17.100000000000001" customHeight="1" x14ac:dyDescent="0.3">
      <c r="B47" s="17"/>
      <c r="C47" s="17"/>
      <c r="E47" s="15"/>
      <c r="F47" s="15"/>
      <c r="G47" s="15"/>
      <c r="H47" s="16"/>
      <c r="I47" s="15"/>
      <c r="J47" s="16"/>
      <c r="K47" s="15"/>
      <c r="L47" s="15"/>
      <c r="M47" s="29"/>
      <c r="N47" s="19"/>
      <c r="O47" s="18"/>
      <c r="P47" s="17"/>
      <c r="R47" s="22"/>
      <c r="S47" s="38"/>
      <c r="T47" s="19"/>
      <c r="U47" s="19"/>
    </row>
    <row r="48" spans="2:22" s="20" customFormat="1" ht="17.100000000000001" customHeight="1" x14ac:dyDescent="0.3">
      <c r="B48" s="17"/>
      <c r="C48" s="17"/>
      <c r="E48" s="15"/>
      <c r="F48" s="15"/>
      <c r="G48" s="15"/>
      <c r="H48" s="16"/>
      <c r="I48" s="15"/>
      <c r="J48" s="16"/>
      <c r="K48" s="15"/>
      <c r="L48" s="15"/>
      <c r="M48" s="29"/>
      <c r="N48" s="19"/>
      <c r="O48" s="18"/>
      <c r="P48" s="17"/>
      <c r="R48" s="22"/>
      <c r="S48" s="38"/>
      <c r="T48" s="19"/>
      <c r="U48" s="19"/>
    </row>
    <row r="49" spans="2:22" s="20" customFormat="1" ht="17.100000000000001" customHeight="1" x14ac:dyDescent="0.3">
      <c r="B49" s="17"/>
      <c r="C49" s="17"/>
      <c r="E49" s="15"/>
      <c r="F49" s="15"/>
      <c r="G49" s="15"/>
      <c r="H49" s="16"/>
      <c r="I49" s="15"/>
      <c r="J49" s="16"/>
      <c r="K49" s="15"/>
      <c r="L49" s="15"/>
      <c r="M49" s="29"/>
      <c r="N49" s="19"/>
      <c r="O49" s="18"/>
      <c r="P49" s="17"/>
      <c r="R49" s="22"/>
      <c r="S49" s="38"/>
      <c r="T49" s="19"/>
      <c r="U49" s="19"/>
    </row>
    <row r="50" spans="2:22" s="20" customFormat="1" ht="17.100000000000001" customHeight="1" x14ac:dyDescent="0.3">
      <c r="B50" s="17"/>
      <c r="C50" s="17"/>
      <c r="E50" s="15"/>
      <c r="F50" s="15"/>
      <c r="G50" s="15"/>
      <c r="H50" s="16"/>
      <c r="I50" s="15"/>
      <c r="J50" s="16"/>
      <c r="K50" s="15"/>
      <c r="L50" s="15"/>
      <c r="M50" s="29"/>
      <c r="N50" s="19"/>
      <c r="O50" s="18"/>
      <c r="P50" s="17"/>
      <c r="R50" s="22"/>
      <c r="S50" s="38"/>
      <c r="T50" s="19"/>
      <c r="U50" s="19"/>
    </row>
    <row r="51" spans="2:22" s="20" customFormat="1" ht="17.100000000000001" customHeight="1" x14ac:dyDescent="0.3">
      <c r="B51" s="17"/>
      <c r="C51" s="17"/>
      <c r="E51" s="15"/>
      <c r="F51" s="15"/>
      <c r="G51" s="15"/>
      <c r="H51" s="16"/>
      <c r="I51" s="15"/>
      <c r="J51" s="16"/>
      <c r="K51" s="15"/>
      <c r="L51" s="15"/>
      <c r="M51" s="29"/>
      <c r="N51" s="19"/>
      <c r="O51" s="18"/>
      <c r="P51" s="17"/>
      <c r="Q51" s="23"/>
      <c r="R51" s="22"/>
      <c r="S51" s="38"/>
      <c r="T51" s="19"/>
      <c r="U51" s="19"/>
      <c r="V51" s="45"/>
    </row>
    <row r="52" spans="2:22" s="20" customFormat="1" ht="17.100000000000001" customHeight="1" x14ac:dyDescent="0.3">
      <c r="B52" s="17"/>
      <c r="C52" s="17"/>
      <c r="E52" s="15"/>
      <c r="F52" s="15"/>
      <c r="G52" s="15"/>
      <c r="H52" s="16"/>
      <c r="I52" s="15"/>
      <c r="J52" s="16"/>
      <c r="K52" s="15"/>
      <c r="L52" s="15"/>
      <c r="M52" s="29"/>
      <c r="N52" s="19"/>
      <c r="O52" s="18"/>
      <c r="P52" s="17"/>
      <c r="Q52" s="23"/>
      <c r="R52" s="22"/>
      <c r="S52" s="38"/>
      <c r="T52" s="19"/>
      <c r="U52" s="19"/>
      <c r="V52" s="45"/>
    </row>
    <row r="53" spans="2:22" s="20" customFormat="1" ht="17.100000000000001" customHeight="1" x14ac:dyDescent="0.3">
      <c r="B53" s="17"/>
      <c r="C53" s="17"/>
      <c r="E53" s="15"/>
      <c r="F53" s="15"/>
      <c r="G53" s="15"/>
      <c r="H53" s="16"/>
      <c r="I53" s="15"/>
      <c r="J53" s="16"/>
      <c r="K53" s="15"/>
      <c r="L53" s="15"/>
      <c r="M53" s="15"/>
      <c r="N53" s="19"/>
      <c r="O53" s="18"/>
      <c r="P53" s="17"/>
      <c r="R53" s="22"/>
      <c r="S53" s="38"/>
      <c r="T53" s="19"/>
      <c r="U53" s="19"/>
    </row>
    <row r="54" spans="2:22" s="20" customFormat="1" ht="17.100000000000001" customHeight="1" x14ac:dyDescent="0.3">
      <c r="B54" s="17"/>
      <c r="C54" s="17"/>
      <c r="E54" s="15"/>
      <c r="F54" s="15"/>
      <c r="G54" s="15"/>
      <c r="H54" s="16"/>
      <c r="I54" s="15"/>
      <c r="J54" s="16"/>
      <c r="K54" s="15"/>
      <c r="L54" s="15"/>
      <c r="M54" s="15"/>
      <c r="N54" s="19"/>
      <c r="O54" s="18"/>
      <c r="P54" s="17"/>
      <c r="R54" s="22"/>
      <c r="S54" s="38"/>
      <c r="T54" s="19"/>
      <c r="U54" s="19"/>
    </row>
    <row r="55" spans="2:22" s="20" customFormat="1" ht="17.100000000000001" customHeight="1" x14ac:dyDescent="0.3">
      <c r="B55" s="17"/>
      <c r="C55" s="17"/>
      <c r="E55" s="15"/>
      <c r="F55" s="15"/>
      <c r="G55" s="15"/>
      <c r="H55" s="16"/>
      <c r="I55" s="15"/>
      <c r="J55" s="16"/>
      <c r="K55" s="15"/>
      <c r="L55" s="15"/>
      <c r="M55" s="29"/>
      <c r="N55" s="19"/>
      <c r="O55" s="18"/>
      <c r="P55" s="17"/>
      <c r="R55" s="22"/>
      <c r="S55" s="38"/>
      <c r="T55" s="19"/>
      <c r="U55" s="19"/>
    </row>
    <row r="56" spans="2:22" s="20" customFormat="1" ht="17.100000000000001" customHeight="1" x14ac:dyDescent="0.3">
      <c r="B56" s="17"/>
      <c r="C56" s="17"/>
      <c r="E56" s="15"/>
      <c r="F56" s="15"/>
      <c r="G56" s="15"/>
      <c r="H56" s="16"/>
      <c r="I56" s="15"/>
      <c r="J56" s="16"/>
      <c r="K56" s="15"/>
      <c r="L56" s="15"/>
      <c r="M56" s="29"/>
      <c r="N56" s="19"/>
      <c r="O56" s="18"/>
      <c r="P56" s="17"/>
      <c r="Q56" s="23"/>
      <c r="R56" s="22"/>
      <c r="S56" s="38"/>
      <c r="T56" s="19"/>
      <c r="U56" s="19"/>
      <c r="V56" s="45"/>
    </row>
    <row r="57" spans="2:22" s="20" customFormat="1" ht="17.100000000000001" customHeight="1" x14ac:dyDescent="0.3">
      <c r="B57" s="17"/>
      <c r="C57" s="17"/>
      <c r="E57" s="15"/>
      <c r="F57" s="15"/>
      <c r="G57" s="15"/>
      <c r="H57" s="16"/>
      <c r="I57" s="15"/>
      <c r="J57" s="16"/>
      <c r="K57" s="15"/>
      <c r="L57" s="15"/>
      <c r="M57" s="29"/>
      <c r="N57" s="19"/>
      <c r="O57" s="18"/>
      <c r="P57" s="17"/>
      <c r="R57" s="22"/>
      <c r="S57" s="38"/>
      <c r="T57" s="19"/>
      <c r="U57" s="19"/>
    </row>
    <row r="58" spans="2:22" s="20" customFormat="1" ht="17.100000000000001" customHeight="1" x14ac:dyDescent="0.3">
      <c r="B58" s="17"/>
      <c r="C58" s="17"/>
      <c r="E58" s="15"/>
      <c r="F58" s="15"/>
      <c r="G58" s="15"/>
      <c r="H58" s="16"/>
      <c r="I58" s="15"/>
      <c r="J58" s="16"/>
      <c r="K58" s="15"/>
      <c r="L58" s="15"/>
      <c r="M58" s="29"/>
      <c r="N58" s="19"/>
      <c r="O58" s="18"/>
      <c r="P58" s="17"/>
      <c r="Q58" s="23"/>
      <c r="R58" s="22"/>
      <c r="S58" s="38"/>
      <c r="T58" s="19"/>
      <c r="U58" s="19"/>
      <c r="V58" s="45"/>
    </row>
    <row r="59" spans="2:22" s="20" customFormat="1" ht="17.100000000000001" customHeight="1" x14ac:dyDescent="0.3">
      <c r="B59" s="17"/>
      <c r="C59" s="17"/>
      <c r="E59" s="15"/>
      <c r="F59" s="15"/>
      <c r="G59" s="15"/>
      <c r="H59" s="16"/>
      <c r="I59" s="15"/>
      <c r="J59" s="16"/>
      <c r="K59" s="15"/>
      <c r="L59" s="15"/>
      <c r="M59" s="29"/>
      <c r="N59" s="19"/>
      <c r="O59" s="18"/>
      <c r="P59" s="17"/>
      <c r="R59" s="22"/>
      <c r="S59" s="38"/>
      <c r="T59" s="19"/>
      <c r="U59" s="19"/>
    </row>
    <row r="60" spans="2:22" s="20" customFormat="1" ht="17.100000000000001" customHeight="1" x14ac:dyDescent="0.3">
      <c r="B60" s="17"/>
      <c r="C60" s="17"/>
      <c r="E60" s="15"/>
      <c r="F60" s="15"/>
      <c r="G60" s="15"/>
      <c r="H60" s="16"/>
      <c r="I60" s="15"/>
      <c r="J60" s="16"/>
      <c r="K60" s="15"/>
      <c r="L60" s="15"/>
      <c r="M60" s="29"/>
      <c r="N60" s="19"/>
      <c r="O60" s="18"/>
      <c r="P60" s="17"/>
      <c r="R60" s="22"/>
      <c r="S60" s="38"/>
      <c r="T60" s="19"/>
      <c r="U60" s="19"/>
    </row>
    <row r="61" spans="2:22" s="20" customFormat="1" ht="17.100000000000001" customHeight="1" x14ac:dyDescent="0.3">
      <c r="B61" s="17"/>
      <c r="C61" s="17"/>
      <c r="E61" s="15"/>
      <c r="F61" s="15"/>
      <c r="G61" s="15"/>
      <c r="H61" s="16"/>
      <c r="I61" s="15"/>
      <c r="J61" s="16"/>
      <c r="K61" s="15"/>
      <c r="L61" s="15"/>
      <c r="M61" s="29"/>
      <c r="N61" s="19"/>
      <c r="O61" s="18"/>
      <c r="P61" s="17"/>
      <c r="R61" s="22"/>
      <c r="S61" s="38"/>
      <c r="T61" s="19"/>
      <c r="U61" s="19"/>
    </row>
    <row r="62" spans="2:22" s="20" customFormat="1" ht="17.100000000000001" customHeight="1" x14ac:dyDescent="0.3">
      <c r="B62" s="17"/>
      <c r="C62" s="17"/>
      <c r="E62" s="15"/>
      <c r="F62" s="15"/>
      <c r="G62" s="15"/>
      <c r="H62" s="16"/>
      <c r="I62" s="15"/>
      <c r="J62" s="16"/>
      <c r="K62" s="15"/>
      <c r="L62" s="15"/>
      <c r="M62" s="29"/>
      <c r="N62" s="19"/>
      <c r="O62" s="18"/>
      <c r="P62" s="17"/>
      <c r="R62" s="22"/>
      <c r="S62" s="38"/>
      <c r="T62" s="19"/>
      <c r="U62" s="19"/>
    </row>
    <row r="63" spans="2:22" s="20" customFormat="1" ht="17.100000000000001" customHeight="1" x14ac:dyDescent="0.3">
      <c r="B63" s="17"/>
      <c r="C63" s="17"/>
      <c r="E63" s="15"/>
      <c r="F63" s="15"/>
      <c r="G63" s="15"/>
      <c r="H63" s="16"/>
      <c r="I63" s="15"/>
      <c r="J63" s="16"/>
      <c r="K63" s="15"/>
      <c r="L63" s="15"/>
      <c r="M63" s="29"/>
      <c r="N63" s="19"/>
      <c r="O63" s="18"/>
      <c r="P63" s="17"/>
      <c r="R63" s="22"/>
      <c r="S63" s="38"/>
      <c r="T63" s="19"/>
      <c r="U63" s="19"/>
    </row>
    <row r="64" spans="2:22" s="20" customFormat="1" ht="17.100000000000001" customHeight="1" x14ac:dyDescent="0.3">
      <c r="B64" s="17"/>
      <c r="C64" s="17"/>
      <c r="E64" s="15"/>
      <c r="F64" s="15"/>
      <c r="G64" s="15"/>
      <c r="H64" s="16"/>
      <c r="I64" s="15"/>
      <c r="J64" s="16"/>
      <c r="K64" s="15"/>
      <c r="L64" s="15"/>
      <c r="M64" s="29"/>
      <c r="N64" s="19"/>
      <c r="O64" s="18"/>
      <c r="P64" s="17"/>
      <c r="R64" s="22"/>
      <c r="S64" s="38"/>
      <c r="T64" s="19"/>
      <c r="U64" s="19"/>
    </row>
    <row r="65" spans="2:22" s="20" customFormat="1" ht="17.100000000000001" customHeight="1" x14ac:dyDescent="0.3">
      <c r="B65" s="17"/>
      <c r="C65" s="17"/>
      <c r="E65" s="15"/>
      <c r="F65" s="15"/>
      <c r="G65" s="15"/>
      <c r="H65" s="16"/>
      <c r="I65" s="15"/>
      <c r="J65" s="16"/>
      <c r="K65" s="15"/>
      <c r="L65" s="15"/>
      <c r="M65" s="29"/>
      <c r="N65" s="19"/>
      <c r="O65" s="18"/>
      <c r="P65" s="17"/>
      <c r="Q65" s="23"/>
      <c r="R65" s="41"/>
      <c r="S65" s="38"/>
      <c r="T65" s="19"/>
      <c r="U65" s="19"/>
      <c r="V65" s="45"/>
    </row>
    <row r="66" spans="2:22" s="20" customFormat="1" ht="17.100000000000001" customHeight="1" x14ac:dyDescent="0.3">
      <c r="B66" s="17"/>
      <c r="C66" s="17"/>
      <c r="E66" s="15"/>
      <c r="F66" s="15"/>
      <c r="G66" s="15"/>
      <c r="H66" s="16"/>
      <c r="I66" s="15"/>
      <c r="J66" s="16"/>
      <c r="K66" s="15"/>
      <c r="L66" s="15"/>
      <c r="M66" s="29"/>
      <c r="N66" s="19"/>
      <c r="O66" s="18"/>
      <c r="P66" s="17"/>
      <c r="R66" s="22"/>
      <c r="S66" s="38"/>
      <c r="T66" s="19"/>
      <c r="U66" s="19"/>
    </row>
    <row r="67" spans="2:22" s="20" customFormat="1" ht="17.100000000000001" customHeight="1" x14ac:dyDescent="0.3">
      <c r="B67" s="17"/>
      <c r="C67" s="17"/>
      <c r="E67" s="15"/>
      <c r="F67" s="15"/>
      <c r="G67" s="15"/>
      <c r="H67" s="16"/>
      <c r="I67" s="15"/>
      <c r="J67" s="16"/>
      <c r="K67" s="15"/>
      <c r="L67" s="15"/>
      <c r="M67" s="29"/>
      <c r="N67" s="19"/>
      <c r="O67" s="18"/>
      <c r="P67" s="17"/>
      <c r="R67" s="22"/>
      <c r="S67" s="38"/>
      <c r="T67" s="19"/>
      <c r="U67" s="19"/>
    </row>
    <row r="68" spans="2:22" s="20" customFormat="1" ht="17.100000000000001" customHeight="1" x14ac:dyDescent="0.3">
      <c r="B68" s="17"/>
      <c r="C68" s="17"/>
      <c r="E68" s="15"/>
      <c r="F68" s="15"/>
      <c r="G68" s="15"/>
      <c r="H68" s="16"/>
      <c r="I68" s="15"/>
      <c r="J68" s="16"/>
      <c r="K68" s="15"/>
      <c r="L68" s="15"/>
      <c r="M68" s="29"/>
      <c r="N68" s="19"/>
      <c r="O68" s="18"/>
      <c r="P68" s="17"/>
      <c r="R68" s="22"/>
      <c r="S68" s="38"/>
      <c r="T68" s="19"/>
      <c r="U68" s="19"/>
    </row>
    <row r="69" spans="2:22" s="20" customFormat="1" ht="17.100000000000001" customHeight="1" x14ac:dyDescent="0.3">
      <c r="B69" s="17"/>
      <c r="C69" s="17"/>
      <c r="E69" s="15"/>
      <c r="F69" s="15"/>
      <c r="G69" s="15"/>
      <c r="H69" s="16"/>
      <c r="I69" s="15"/>
      <c r="J69" s="16"/>
      <c r="K69" s="15"/>
      <c r="L69" s="15"/>
      <c r="M69" s="29"/>
      <c r="N69" s="19"/>
      <c r="O69" s="18"/>
      <c r="P69" s="17"/>
      <c r="R69" s="22"/>
      <c r="S69" s="38"/>
      <c r="T69" s="19"/>
      <c r="U69" s="19"/>
    </row>
    <row r="70" spans="2:22" s="20" customFormat="1" ht="17.100000000000001" customHeight="1" x14ac:dyDescent="0.3">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x14ac:dyDescent="0.3">
      <c r="B71" s="17"/>
      <c r="C71" s="17"/>
      <c r="E71" s="15"/>
      <c r="F71" s="15"/>
      <c r="G71" s="15"/>
      <c r="H71" s="16"/>
      <c r="I71" s="15"/>
      <c r="J71" s="16"/>
      <c r="K71" s="15"/>
      <c r="L71" s="15"/>
      <c r="M71" s="29"/>
      <c r="N71" s="19"/>
      <c r="O71" s="18"/>
      <c r="P71" s="17"/>
      <c r="Q71" s="23"/>
      <c r="R71" s="22"/>
      <c r="S71" s="38"/>
      <c r="T71" s="19"/>
      <c r="U71" s="19"/>
      <c r="V71" s="45"/>
    </row>
    <row r="72" spans="2:22" s="20" customFormat="1" ht="17.100000000000001" customHeight="1" x14ac:dyDescent="0.3">
      <c r="B72" s="17"/>
      <c r="C72" s="17"/>
      <c r="E72" s="15"/>
      <c r="F72" s="15"/>
      <c r="G72" s="15"/>
      <c r="H72" s="16"/>
      <c r="I72" s="15"/>
      <c r="J72" s="16"/>
      <c r="K72" s="15"/>
      <c r="L72" s="15"/>
      <c r="M72" s="29"/>
      <c r="N72" s="19"/>
      <c r="O72" s="18"/>
      <c r="P72" s="17"/>
      <c r="R72" s="22"/>
      <c r="S72" s="38"/>
      <c r="T72" s="19"/>
      <c r="U72" s="19"/>
    </row>
    <row r="73" spans="2:22" s="20" customFormat="1" ht="17.100000000000001" customHeight="1" x14ac:dyDescent="0.3">
      <c r="B73" s="17"/>
      <c r="C73" s="17"/>
      <c r="E73" s="15"/>
      <c r="F73" s="15"/>
      <c r="G73" s="15"/>
      <c r="H73" s="16"/>
      <c r="I73" s="15"/>
      <c r="J73" s="16"/>
      <c r="K73" s="15"/>
      <c r="L73" s="15"/>
      <c r="M73" s="29"/>
      <c r="N73" s="19"/>
      <c r="O73" s="18"/>
      <c r="P73" s="17"/>
      <c r="Q73" s="23"/>
      <c r="R73" s="22"/>
      <c r="S73" s="38"/>
      <c r="T73" s="19"/>
      <c r="U73" s="19"/>
      <c r="V73" s="45"/>
    </row>
    <row r="74" spans="2:22" s="20" customFormat="1" ht="17.100000000000001" customHeight="1" x14ac:dyDescent="0.3">
      <c r="B74" s="17"/>
      <c r="C74" s="17"/>
      <c r="E74" s="15"/>
      <c r="F74" s="15"/>
      <c r="G74" s="15"/>
      <c r="H74" s="16"/>
      <c r="I74" s="15"/>
      <c r="J74" s="16"/>
      <c r="K74" s="15"/>
      <c r="L74" s="15"/>
      <c r="M74" s="29"/>
      <c r="N74" s="19"/>
      <c r="O74" s="18"/>
      <c r="P74" s="17"/>
      <c r="R74" s="22"/>
      <c r="S74" s="38"/>
      <c r="T74" s="19"/>
      <c r="U74" s="19"/>
    </row>
    <row r="75" spans="2:22" s="20" customFormat="1" ht="17.100000000000001" customHeight="1" x14ac:dyDescent="0.3">
      <c r="B75" s="17"/>
      <c r="C75" s="17"/>
      <c r="E75" s="15"/>
      <c r="F75" s="15"/>
      <c r="G75" s="15"/>
      <c r="H75" s="16"/>
      <c r="I75" s="15"/>
      <c r="J75" s="16"/>
      <c r="K75" s="15"/>
      <c r="L75" s="15"/>
      <c r="M75" s="29"/>
      <c r="N75" s="19"/>
      <c r="O75" s="18"/>
      <c r="P75" s="17"/>
      <c r="R75" s="22"/>
      <c r="S75" s="38"/>
      <c r="T75" s="19"/>
      <c r="U75" s="19"/>
    </row>
    <row r="76" spans="2:22" s="20" customFormat="1" ht="17.100000000000001" customHeight="1" x14ac:dyDescent="0.3">
      <c r="B76" s="17"/>
      <c r="C76" s="17"/>
      <c r="E76" s="15"/>
      <c r="F76" s="15"/>
      <c r="G76" s="15"/>
      <c r="H76" s="16"/>
      <c r="I76" s="15"/>
      <c r="J76" s="16"/>
      <c r="K76" s="15"/>
      <c r="L76" s="15"/>
      <c r="M76" s="29"/>
      <c r="N76" s="19"/>
      <c r="O76" s="18"/>
      <c r="P76" s="17"/>
      <c r="R76" s="22"/>
      <c r="S76" s="38"/>
      <c r="T76" s="19"/>
      <c r="U76" s="19"/>
    </row>
    <row r="77" spans="2:22" s="20" customFormat="1" ht="17.100000000000001" customHeight="1" x14ac:dyDescent="0.3">
      <c r="B77" s="17"/>
      <c r="C77" s="17"/>
      <c r="E77" s="15"/>
      <c r="F77" s="15"/>
      <c r="G77" s="15"/>
      <c r="H77" s="16"/>
      <c r="I77" s="15"/>
      <c r="J77" s="16"/>
      <c r="K77" s="15"/>
      <c r="L77" s="15"/>
      <c r="M77" s="29"/>
      <c r="N77" s="19"/>
      <c r="O77" s="18"/>
      <c r="P77" s="17"/>
      <c r="R77" s="22"/>
      <c r="S77" s="38"/>
      <c r="T77" s="19"/>
      <c r="U77" s="19"/>
    </row>
    <row r="78" spans="2:22" s="20" customFormat="1" ht="17.100000000000001" customHeight="1" x14ac:dyDescent="0.3">
      <c r="B78" s="17"/>
      <c r="C78" s="17"/>
      <c r="E78" s="15"/>
      <c r="F78" s="15"/>
      <c r="G78" s="15"/>
      <c r="H78" s="16"/>
      <c r="I78" s="15"/>
      <c r="J78" s="16"/>
      <c r="K78" s="15"/>
      <c r="L78" s="15"/>
      <c r="M78" s="29"/>
      <c r="N78" s="19"/>
      <c r="O78" s="18"/>
      <c r="P78" s="17"/>
      <c r="R78" s="22"/>
      <c r="S78" s="38"/>
      <c r="T78" s="19"/>
      <c r="U78" s="19"/>
    </row>
    <row r="79" spans="2:22" s="20" customFormat="1" ht="17.100000000000001" customHeight="1" x14ac:dyDescent="0.3">
      <c r="B79" s="17"/>
      <c r="C79" s="17"/>
      <c r="E79" s="15"/>
      <c r="F79" s="15"/>
      <c r="G79" s="15"/>
      <c r="H79" s="16"/>
      <c r="I79" s="15"/>
      <c r="J79" s="16"/>
      <c r="K79" s="15"/>
      <c r="L79" s="15"/>
      <c r="M79" s="29"/>
      <c r="N79" s="19"/>
      <c r="O79" s="18"/>
      <c r="P79" s="17"/>
      <c r="R79" s="22"/>
      <c r="S79" s="38"/>
      <c r="T79" s="19"/>
      <c r="U79" s="19"/>
    </row>
    <row r="80" spans="2:22" s="20" customFormat="1" ht="17.100000000000001" customHeight="1" x14ac:dyDescent="0.3">
      <c r="B80" s="17"/>
      <c r="C80" s="17"/>
      <c r="E80" s="15"/>
      <c r="F80" s="15"/>
      <c r="G80" s="15"/>
      <c r="H80" s="16"/>
      <c r="I80" s="15"/>
      <c r="J80" s="16"/>
      <c r="K80" s="15"/>
      <c r="L80" s="15"/>
      <c r="M80" s="29"/>
      <c r="N80" s="19"/>
      <c r="O80" s="18"/>
      <c r="P80" s="17"/>
      <c r="Q80" s="23"/>
      <c r="R80" s="22"/>
      <c r="S80" s="38"/>
      <c r="T80" s="19"/>
      <c r="U80" s="19"/>
      <c r="V80" s="45"/>
    </row>
    <row r="81" spans="2:22" s="20" customFormat="1" ht="17.100000000000001" customHeight="1" x14ac:dyDescent="0.3">
      <c r="B81" s="17"/>
      <c r="C81" s="17"/>
      <c r="E81" s="15"/>
      <c r="F81" s="15"/>
      <c r="G81" s="15"/>
      <c r="H81" s="16"/>
      <c r="I81" s="15"/>
      <c r="J81" s="16"/>
      <c r="K81" s="15"/>
      <c r="L81" s="15"/>
      <c r="M81" s="29"/>
      <c r="N81" s="19"/>
      <c r="O81" s="18"/>
      <c r="P81" s="17"/>
      <c r="Q81" s="23"/>
      <c r="R81" s="22"/>
      <c r="S81" s="38"/>
      <c r="T81" s="19"/>
      <c r="U81" s="19"/>
      <c r="V81" s="45"/>
    </row>
    <row r="82" spans="2:22" s="20" customFormat="1" ht="17.100000000000001" customHeight="1" x14ac:dyDescent="0.3">
      <c r="B82" s="17"/>
      <c r="C82" s="17"/>
      <c r="E82" s="15"/>
      <c r="F82" s="15"/>
      <c r="G82" s="15"/>
      <c r="H82" s="16"/>
      <c r="I82" s="15"/>
      <c r="J82" s="16"/>
      <c r="K82" s="15"/>
      <c r="L82" s="15"/>
      <c r="M82" s="29"/>
      <c r="N82" s="19"/>
      <c r="O82" s="18"/>
      <c r="P82" s="17"/>
      <c r="R82" s="22"/>
      <c r="S82" s="38"/>
      <c r="T82" s="19"/>
      <c r="U82" s="19"/>
    </row>
    <row r="83" spans="2:22" s="20" customFormat="1" ht="17.100000000000001" customHeight="1" x14ac:dyDescent="0.3">
      <c r="B83" s="17"/>
      <c r="C83" s="17"/>
      <c r="E83" s="15"/>
      <c r="F83" s="15"/>
      <c r="G83" s="15"/>
      <c r="H83" s="16"/>
      <c r="I83" s="15"/>
      <c r="J83" s="16"/>
      <c r="K83" s="15"/>
      <c r="L83" s="15"/>
      <c r="M83" s="29"/>
      <c r="N83" s="19"/>
      <c r="O83" s="18"/>
      <c r="P83" s="17"/>
      <c r="R83" s="22"/>
      <c r="S83" s="38"/>
      <c r="T83" s="19"/>
      <c r="U83" s="19"/>
    </row>
    <row r="84" spans="2:22" s="20" customFormat="1" ht="17.100000000000001" customHeight="1" x14ac:dyDescent="0.3">
      <c r="B84" s="17"/>
      <c r="C84" s="17"/>
      <c r="E84" s="15"/>
      <c r="F84" s="15"/>
      <c r="G84" s="15"/>
      <c r="H84" s="16"/>
      <c r="I84" s="15"/>
      <c r="J84" s="16"/>
      <c r="K84" s="15"/>
      <c r="L84" s="15"/>
      <c r="M84" s="29"/>
      <c r="N84" s="19"/>
      <c r="O84" s="18"/>
      <c r="P84" s="17"/>
      <c r="R84" s="22"/>
      <c r="S84" s="38"/>
      <c r="T84" s="19"/>
      <c r="U84" s="19"/>
    </row>
    <row r="85" spans="2:22" s="20" customFormat="1" ht="17.100000000000001" customHeight="1" x14ac:dyDescent="0.3">
      <c r="B85" s="17"/>
      <c r="C85" s="17"/>
      <c r="E85" s="15"/>
      <c r="F85" s="15"/>
      <c r="G85" s="15"/>
      <c r="H85" s="16"/>
      <c r="I85" s="15"/>
      <c r="J85" s="16"/>
      <c r="K85" s="15"/>
      <c r="L85" s="15"/>
      <c r="M85" s="29"/>
      <c r="N85" s="19"/>
      <c r="O85" s="18"/>
      <c r="P85" s="17"/>
      <c r="R85" s="22"/>
      <c r="S85" s="38"/>
      <c r="T85" s="19"/>
      <c r="U85" s="19"/>
    </row>
    <row r="86" spans="2:22" s="20" customFormat="1" ht="17.100000000000001" customHeight="1" x14ac:dyDescent="0.3">
      <c r="B86" s="17"/>
      <c r="C86" s="17"/>
      <c r="E86" s="15"/>
      <c r="F86" s="15"/>
      <c r="G86" s="15"/>
      <c r="H86" s="16"/>
      <c r="I86" s="15"/>
      <c r="J86" s="16"/>
      <c r="K86" s="15"/>
      <c r="L86" s="15"/>
      <c r="M86" s="29"/>
      <c r="N86" s="19"/>
      <c r="O86" s="18"/>
      <c r="P86" s="17"/>
      <c r="R86" s="22"/>
      <c r="S86" s="38"/>
      <c r="T86" s="19"/>
      <c r="U86" s="19"/>
    </row>
    <row r="87" spans="2:22" s="20" customFormat="1" ht="17.100000000000001" customHeight="1" x14ac:dyDescent="0.3">
      <c r="B87" s="17"/>
      <c r="C87" s="17"/>
      <c r="E87" s="15"/>
      <c r="F87" s="15"/>
      <c r="G87" s="15"/>
      <c r="H87" s="16"/>
      <c r="I87" s="15"/>
      <c r="J87" s="16"/>
      <c r="K87" s="15"/>
      <c r="L87" s="15"/>
      <c r="M87" s="29"/>
      <c r="N87" s="19"/>
      <c r="O87" s="18"/>
      <c r="P87" s="17"/>
      <c r="Q87" s="23"/>
      <c r="R87" s="22"/>
      <c r="S87" s="38"/>
      <c r="T87" s="19"/>
      <c r="U87" s="19"/>
      <c r="V87" s="45"/>
    </row>
    <row r="88" spans="2:22" s="20" customFormat="1" ht="17.100000000000001" customHeight="1" x14ac:dyDescent="0.3">
      <c r="B88" s="17"/>
      <c r="C88" s="17"/>
      <c r="E88" s="15"/>
      <c r="F88" s="15"/>
      <c r="G88" s="15"/>
      <c r="H88" s="16"/>
      <c r="I88" s="15"/>
      <c r="J88" s="16"/>
      <c r="K88" s="15"/>
      <c r="L88" s="15"/>
      <c r="M88" s="29"/>
      <c r="N88" s="19"/>
      <c r="O88" s="18"/>
      <c r="P88" s="17"/>
      <c r="R88" s="22"/>
      <c r="S88" s="38"/>
      <c r="T88" s="19"/>
      <c r="U88" s="19"/>
    </row>
    <row r="89" spans="2:22" s="20" customFormat="1" ht="17.100000000000001" customHeight="1" x14ac:dyDescent="0.3">
      <c r="B89" s="17"/>
      <c r="C89" s="17"/>
      <c r="E89" s="15"/>
      <c r="F89" s="15"/>
      <c r="G89" s="15"/>
      <c r="H89" s="16"/>
      <c r="I89" s="15"/>
      <c r="J89" s="16"/>
      <c r="K89" s="15"/>
      <c r="L89" s="15"/>
      <c r="M89" s="29"/>
      <c r="N89" s="19"/>
      <c r="O89" s="18"/>
      <c r="P89" s="17"/>
      <c r="R89" s="22"/>
      <c r="S89" s="38"/>
      <c r="T89" s="19"/>
      <c r="U89" s="19"/>
    </row>
    <row r="90" spans="2:22" s="20" customFormat="1" ht="17.100000000000001" customHeight="1" x14ac:dyDescent="0.3">
      <c r="B90" s="17"/>
      <c r="C90" s="17"/>
      <c r="E90" s="15"/>
      <c r="F90" s="15"/>
      <c r="G90" s="15"/>
      <c r="H90" s="16"/>
      <c r="I90" s="15"/>
      <c r="J90" s="16"/>
      <c r="K90" s="15"/>
      <c r="L90" s="15"/>
      <c r="M90" s="29"/>
      <c r="N90" s="19"/>
      <c r="O90" s="18"/>
      <c r="P90" s="17"/>
      <c r="R90" s="22"/>
      <c r="S90" s="38"/>
      <c r="T90" s="19"/>
      <c r="U90" s="19"/>
    </row>
    <row r="91" spans="2:22" s="20" customFormat="1" ht="17.100000000000001" customHeight="1" x14ac:dyDescent="0.3">
      <c r="B91" s="17"/>
      <c r="C91" s="17"/>
      <c r="E91" s="15"/>
      <c r="F91" s="15"/>
      <c r="G91" s="15"/>
      <c r="H91" s="16"/>
      <c r="I91" s="15"/>
      <c r="J91" s="16"/>
      <c r="K91" s="15"/>
      <c r="L91" s="15"/>
      <c r="M91" s="29"/>
      <c r="N91" s="19"/>
      <c r="O91" s="18"/>
      <c r="P91" s="17"/>
      <c r="R91" s="22"/>
      <c r="S91" s="38"/>
      <c r="T91" s="19"/>
      <c r="U91" s="19"/>
    </row>
    <row r="92" spans="2:22" s="20" customFormat="1" ht="17.100000000000001" customHeight="1" x14ac:dyDescent="0.3">
      <c r="B92" s="17"/>
      <c r="C92" s="17"/>
      <c r="E92" s="15"/>
      <c r="F92" s="15"/>
      <c r="G92" s="15"/>
      <c r="H92" s="16"/>
      <c r="I92" s="15"/>
      <c r="J92" s="16"/>
      <c r="K92" s="15"/>
      <c r="L92" s="15"/>
      <c r="M92" s="29"/>
      <c r="N92" s="19"/>
      <c r="O92" s="18"/>
      <c r="P92" s="17"/>
      <c r="R92" s="22"/>
      <c r="S92" s="38"/>
      <c r="T92" s="19"/>
      <c r="U92" s="19"/>
    </row>
    <row r="93" spans="2:22" s="20" customFormat="1" ht="17.100000000000001" customHeight="1" x14ac:dyDescent="0.3">
      <c r="B93" s="17"/>
      <c r="C93" s="17"/>
      <c r="E93" s="15"/>
      <c r="F93" s="15"/>
      <c r="G93" s="15"/>
      <c r="H93" s="16"/>
      <c r="I93" s="15"/>
      <c r="J93" s="16"/>
      <c r="K93" s="15"/>
      <c r="L93" s="15"/>
      <c r="M93" s="29"/>
      <c r="N93" s="19"/>
      <c r="O93" s="18"/>
      <c r="P93" s="17"/>
      <c r="Q93" s="23"/>
      <c r="R93" s="22"/>
      <c r="S93" s="38"/>
      <c r="T93" s="19"/>
      <c r="U93" s="19"/>
      <c r="V93" s="45"/>
    </row>
    <row r="94" spans="2:22" s="20" customFormat="1" ht="17.100000000000001" customHeight="1" x14ac:dyDescent="0.3">
      <c r="B94" s="17"/>
      <c r="C94" s="17"/>
      <c r="E94" s="15"/>
      <c r="F94" s="15"/>
      <c r="G94" s="15"/>
      <c r="H94" s="16"/>
      <c r="I94" s="15"/>
      <c r="J94" s="16"/>
      <c r="K94" s="15"/>
      <c r="L94" s="15"/>
      <c r="M94" s="29"/>
      <c r="N94" s="19"/>
      <c r="O94" s="18"/>
      <c r="P94" s="17"/>
      <c r="R94" s="22"/>
      <c r="S94" s="38"/>
      <c r="T94" s="19"/>
      <c r="U94" s="19"/>
    </row>
    <row r="95" spans="2:22" s="20" customFormat="1" ht="17.100000000000001" customHeight="1" x14ac:dyDescent="0.3">
      <c r="B95" s="17"/>
      <c r="C95" s="17"/>
      <c r="E95" s="15"/>
      <c r="F95" s="15"/>
      <c r="G95" s="15"/>
      <c r="H95" s="16"/>
      <c r="I95" s="15"/>
      <c r="J95" s="16"/>
      <c r="K95" s="15"/>
      <c r="L95" s="15"/>
      <c r="M95" s="29"/>
      <c r="N95" s="19"/>
      <c r="O95" s="18"/>
      <c r="P95" s="17"/>
      <c r="R95" s="22"/>
      <c r="S95" s="38"/>
      <c r="T95" s="19"/>
      <c r="U95" s="19"/>
    </row>
    <row r="96" spans="2:22" s="20" customFormat="1" ht="17.100000000000001" customHeight="1" x14ac:dyDescent="0.3">
      <c r="B96" s="17"/>
      <c r="C96" s="17"/>
      <c r="E96" s="15"/>
      <c r="F96" s="15"/>
      <c r="G96" s="15"/>
      <c r="H96" s="16"/>
      <c r="I96" s="15"/>
      <c r="J96" s="16"/>
      <c r="K96" s="15"/>
      <c r="L96" s="15"/>
      <c r="M96" s="29"/>
      <c r="N96" s="19"/>
      <c r="O96" s="18"/>
      <c r="P96" s="17"/>
      <c r="Q96" s="23"/>
      <c r="R96" s="22"/>
      <c r="S96" s="38"/>
      <c r="T96" s="19"/>
      <c r="U96" s="19"/>
      <c r="V96" s="45"/>
    </row>
    <row r="97" spans="2:22" s="20" customFormat="1" ht="17.100000000000001" customHeight="1" x14ac:dyDescent="0.3">
      <c r="B97" s="17"/>
      <c r="C97" s="17"/>
      <c r="E97" s="15"/>
      <c r="F97" s="15"/>
      <c r="G97" s="15"/>
      <c r="H97" s="16"/>
      <c r="I97" s="15"/>
      <c r="J97" s="16"/>
      <c r="K97" s="15"/>
      <c r="L97" s="15"/>
      <c r="M97" s="29"/>
      <c r="N97" s="19"/>
      <c r="O97" s="18"/>
      <c r="P97" s="17"/>
      <c r="R97" s="22"/>
      <c r="S97" s="38"/>
      <c r="T97" s="19"/>
      <c r="U97" s="19"/>
    </row>
    <row r="98" spans="2:22" s="20" customFormat="1" ht="17.100000000000001" customHeight="1" x14ac:dyDescent="0.3">
      <c r="B98" s="17"/>
      <c r="C98" s="17"/>
      <c r="E98" s="15"/>
      <c r="F98" s="15"/>
      <c r="G98" s="15"/>
      <c r="H98" s="16"/>
      <c r="I98" s="15"/>
      <c r="J98" s="16"/>
      <c r="K98" s="15"/>
      <c r="L98" s="15"/>
      <c r="M98" s="29"/>
      <c r="N98" s="19"/>
      <c r="O98" s="18"/>
      <c r="P98" s="17"/>
      <c r="Q98" s="23"/>
      <c r="R98" s="22"/>
      <c r="S98" s="38"/>
      <c r="T98" s="19"/>
      <c r="U98" s="19"/>
      <c r="V98" s="45"/>
    </row>
    <row r="99" spans="2:22" s="20" customFormat="1" ht="17.100000000000001" customHeight="1" x14ac:dyDescent="0.3">
      <c r="B99" s="17"/>
      <c r="C99" s="17"/>
      <c r="E99" s="15"/>
      <c r="F99" s="15"/>
      <c r="G99" s="15"/>
      <c r="H99" s="16"/>
      <c r="I99" s="15"/>
      <c r="J99" s="16"/>
      <c r="K99" s="15"/>
      <c r="L99" s="15"/>
      <c r="M99" s="29"/>
      <c r="N99" s="19"/>
      <c r="O99" s="18"/>
      <c r="P99" s="17"/>
      <c r="R99" s="22"/>
      <c r="S99" s="38"/>
      <c r="T99" s="19"/>
      <c r="U99" s="19"/>
    </row>
    <row r="100" spans="2:22" s="20" customFormat="1" ht="17.100000000000001" customHeight="1" x14ac:dyDescent="0.3">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x14ac:dyDescent="0.3">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x14ac:dyDescent="0.3">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x14ac:dyDescent="0.3">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x14ac:dyDescent="0.3">
      <c r="B104" s="17"/>
      <c r="C104" s="17"/>
      <c r="E104" s="15"/>
      <c r="F104" s="15"/>
      <c r="G104" s="15"/>
      <c r="H104" s="16"/>
      <c r="I104" s="15"/>
      <c r="J104" s="16"/>
      <c r="K104" s="15"/>
      <c r="L104" s="15"/>
      <c r="M104" s="29"/>
      <c r="N104" s="19"/>
      <c r="O104" s="18"/>
      <c r="P104" s="17"/>
      <c r="Q104" s="23"/>
      <c r="R104" s="22"/>
      <c r="S104" s="38"/>
      <c r="T104" s="19"/>
      <c r="U104" s="19"/>
      <c r="V104" s="45"/>
    </row>
    <row r="105" spans="2:22" s="20" customFormat="1" ht="17.100000000000001" customHeight="1" x14ac:dyDescent="0.3">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x14ac:dyDescent="0.3">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x14ac:dyDescent="0.3">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x14ac:dyDescent="0.3">
      <c r="B108" s="17"/>
      <c r="C108" s="17"/>
      <c r="E108" s="15"/>
      <c r="F108" s="15"/>
      <c r="G108" s="15"/>
      <c r="H108" s="16"/>
      <c r="I108" s="15"/>
      <c r="J108" s="16"/>
      <c r="K108" s="15"/>
      <c r="L108" s="15"/>
      <c r="M108" s="29"/>
      <c r="N108" s="19"/>
      <c r="O108" s="18"/>
      <c r="P108" s="17"/>
      <c r="Q108" s="23"/>
      <c r="R108" s="22"/>
      <c r="S108" s="38"/>
      <c r="T108" s="19"/>
      <c r="U108" s="19"/>
      <c r="V108" s="45"/>
    </row>
    <row r="109" spans="2:22" s="20" customFormat="1" ht="17.100000000000001" customHeight="1" x14ac:dyDescent="0.3">
      <c r="B109" s="17"/>
      <c r="C109" s="17"/>
      <c r="E109" s="15"/>
      <c r="F109" s="15"/>
      <c r="G109" s="15"/>
      <c r="H109" s="16"/>
      <c r="I109" s="15"/>
      <c r="J109" s="16"/>
      <c r="K109" s="15"/>
      <c r="L109" s="15"/>
      <c r="M109" s="29"/>
      <c r="N109" s="19"/>
      <c r="O109" s="18"/>
      <c r="P109" s="17"/>
      <c r="Q109" s="23"/>
      <c r="R109" s="22"/>
      <c r="S109" s="38"/>
      <c r="T109" s="19"/>
      <c r="U109" s="19"/>
      <c r="V109" s="45"/>
    </row>
    <row r="110" spans="2:22" s="20" customFormat="1" ht="17.100000000000001" customHeight="1" x14ac:dyDescent="0.3">
      <c r="B110" s="17"/>
      <c r="C110" s="17"/>
      <c r="E110" s="15"/>
      <c r="F110" s="15"/>
      <c r="G110" s="15"/>
      <c r="H110" s="16"/>
      <c r="I110" s="15"/>
      <c r="J110" s="16"/>
      <c r="K110" s="15"/>
      <c r="L110" s="15"/>
      <c r="M110" s="29"/>
      <c r="N110" s="19"/>
      <c r="O110" s="18"/>
      <c r="P110" s="17"/>
      <c r="Q110" s="23"/>
      <c r="R110" s="22"/>
      <c r="S110" s="38"/>
      <c r="T110" s="19"/>
      <c r="U110" s="19"/>
      <c r="V110" s="45"/>
    </row>
    <row r="111" spans="2:22" s="20" customFormat="1" ht="17.100000000000001" customHeight="1" x14ac:dyDescent="0.3">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x14ac:dyDescent="0.3">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x14ac:dyDescent="0.3">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x14ac:dyDescent="0.3">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x14ac:dyDescent="0.3">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x14ac:dyDescent="0.3">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x14ac:dyDescent="0.3">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x14ac:dyDescent="0.3">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x14ac:dyDescent="0.3">
      <c r="B119" s="17"/>
      <c r="C119" s="17"/>
      <c r="E119" s="15"/>
      <c r="F119" s="15"/>
      <c r="G119" s="15"/>
      <c r="H119" s="16"/>
      <c r="I119" s="15"/>
      <c r="J119" s="16"/>
      <c r="K119" s="15"/>
      <c r="L119" s="15"/>
      <c r="M119" s="29"/>
      <c r="N119" s="19"/>
      <c r="O119" s="18"/>
      <c r="P119" s="17"/>
      <c r="Q119" s="23"/>
      <c r="R119" s="22"/>
      <c r="S119" s="38"/>
      <c r="T119" s="19"/>
      <c r="U119" s="19"/>
      <c r="V119" s="45"/>
    </row>
    <row r="120" spans="2:22" s="20" customFormat="1" ht="17.100000000000001" customHeight="1" x14ac:dyDescent="0.3">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x14ac:dyDescent="0.3">
      <c r="B121" s="17"/>
      <c r="C121" s="17"/>
      <c r="E121" s="15"/>
      <c r="F121" s="15"/>
      <c r="G121" s="15"/>
      <c r="H121" s="16"/>
      <c r="I121" s="15"/>
      <c r="J121" s="16"/>
      <c r="K121" s="15"/>
      <c r="L121" s="15"/>
      <c r="M121" s="29"/>
      <c r="N121" s="19"/>
      <c r="O121" s="18"/>
      <c r="P121" s="17"/>
      <c r="Q121" s="23"/>
      <c r="R121" s="22"/>
      <c r="S121" s="38"/>
      <c r="T121" s="19"/>
      <c r="U121" s="19"/>
      <c r="V121" s="45"/>
    </row>
    <row r="122" spans="2:22" s="20" customFormat="1" ht="17.100000000000001" customHeight="1" x14ac:dyDescent="0.3">
      <c r="B122" s="17"/>
      <c r="C122" s="17"/>
      <c r="E122" s="15"/>
      <c r="F122" s="15"/>
      <c r="G122" s="15"/>
      <c r="H122" s="16"/>
      <c r="I122" s="15"/>
      <c r="J122" s="16"/>
      <c r="K122" s="15"/>
      <c r="L122" s="15"/>
      <c r="M122" s="29"/>
      <c r="N122" s="19"/>
      <c r="O122" s="18"/>
      <c r="P122" s="17"/>
      <c r="R122" s="59"/>
      <c r="S122" s="38"/>
      <c r="T122" s="19"/>
      <c r="U122" s="19"/>
    </row>
    <row r="123" spans="2:22" s="20" customFormat="1" ht="17.100000000000001" customHeight="1" x14ac:dyDescent="0.3">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x14ac:dyDescent="0.3">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x14ac:dyDescent="0.3">
      <c r="B125" s="17"/>
      <c r="C125" s="17"/>
      <c r="D125" s="22"/>
      <c r="E125" s="15"/>
      <c r="F125" s="15"/>
      <c r="G125" s="15"/>
      <c r="H125" s="16"/>
      <c r="I125" s="15"/>
      <c r="J125" s="16"/>
      <c r="K125" s="15"/>
      <c r="L125" s="15"/>
      <c r="M125" s="29"/>
      <c r="N125" s="19"/>
      <c r="O125" s="18"/>
      <c r="P125" s="17"/>
      <c r="Q125" s="23"/>
      <c r="R125" s="22"/>
      <c r="S125" s="38"/>
      <c r="T125" s="19"/>
      <c r="U125" s="19"/>
      <c r="V125" s="45"/>
    </row>
    <row r="126" spans="2:22" s="20" customFormat="1" ht="17.100000000000001" customHeight="1" x14ac:dyDescent="0.3">
      <c r="B126" s="17"/>
      <c r="C126" s="17"/>
      <c r="E126" s="15"/>
      <c r="F126" s="15"/>
      <c r="G126" s="15"/>
      <c r="H126" s="16"/>
      <c r="I126" s="15"/>
      <c r="J126" s="16"/>
      <c r="K126" s="15"/>
      <c r="L126" s="15"/>
      <c r="M126" s="29"/>
      <c r="N126" s="19"/>
      <c r="O126" s="18"/>
      <c r="P126" s="17"/>
      <c r="Q126" s="23"/>
      <c r="R126" s="22"/>
      <c r="S126" s="38"/>
      <c r="T126" s="19"/>
      <c r="U126" s="19"/>
      <c r="V126" s="45"/>
    </row>
    <row r="127" spans="2:22" s="20" customFormat="1" ht="17.100000000000001" customHeight="1" x14ac:dyDescent="0.3">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x14ac:dyDescent="0.3">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x14ac:dyDescent="0.3">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x14ac:dyDescent="0.3">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x14ac:dyDescent="0.3">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x14ac:dyDescent="0.3">
      <c r="B132" s="17"/>
      <c r="C132" s="17"/>
      <c r="E132" s="15"/>
      <c r="F132" s="15"/>
      <c r="G132" s="15"/>
      <c r="H132" s="16"/>
      <c r="I132" s="15"/>
      <c r="J132" s="16"/>
      <c r="K132" s="15"/>
      <c r="L132" s="15"/>
      <c r="M132" s="29"/>
      <c r="N132" s="19"/>
      <c r="O132" s="18"/>
      <c r="P132" s="17"/>
      <c r="Q132" s="23"/>
      <c r="R132" s="22"/>
      <c r="S132" s="38"/>
      <c r="T132" s="19"/>
      <c r="U132" s="19"/>
      <c r="V132" s="45"/>
    </row>
    <row r="133" spans="2:22" s="20" customFormat="1" ht="17.100000000000001" customHeight="1" x14ac:dyDescent="0.3">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x14ac:dyDescent="0.3">
      <c r="B134" s="17"/>
      <c r="C134" s="17"/>
      <c r="E134" s="15"/>
      <c r="F134" s="15"/>
      <c r="G134" s="15"/>
      <c r="H134" s="16"/>
      <c r="I134" s="15"/>
      <c r="J134" s="16"/>
      <c r="K134" s="15"/>
      <c r="L134" s="15"/>
      <c r="M134" s="29"/>
      <c r="N134" s="19"/>
      <c r="O134" s="18"/>
      <c r="P134" s="17"/>
      <c r="Q134" s="23"/>
      <c r="R134" s="22"/>
      <c r="S134" s="38"/>
      <c r="T134" s="19"/>
      <c r="U134" s="19"/>
      <c r="V134" s="45"/>
    </row>
    <row r="135" spans="2:22" s="20" customFormat="1" ht="17.100000000000001" customHeight="1" x14ac:dyDescent="0.3">
      <c r="B135" s="17"/>
      <c r="C135" s="17"/>
      <c r="E135" s="15"/>
      <c r="F135" s="15"/>
      <c r="G135" s="15"/>
      <c r="H135" s="16"/>
      <c r="I135" s="15"/>
      <c r="J135" s="16"/>
      <c r="K135" s="15"/>
      <c r="L135" s="15"/>
      <c r="M135" s="29"/>
      <c r="N135" s="19"/>
      <c r="O135" s="18"/>
      <c r="P135" s="17"/>
      <c r="Q135" s="23"/>
      <c r="R135" s="22"/>
      <c r="S135" s="38"/>
      <c r="T135" s="19"/>
      <c r="U135" s="19"/>
      <c r="V135" s="45"/>
    </row>
    <row r="136" spans="2:22" s="20" customFormat="1" ht="17.100000000000001" customHeight="1" x14ac:dyDescent="0.3">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x14ac:dyDescent="0.3">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x14ac:dyDescent="0.3">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x14ac:dyDescent="0.3">
      <c r="B139" s="17"/>
      <c r="C139" s="17"/>
      <c r="E139" s="15"/>
      <c r="F139" s="15"/>
      <c r="G139" s="15"/>
      <c r="H139" s="16"/>
      <c r="I139" s="15"/>
      <c r="J139" s="16"/>
      <c r="K139" s="15"/>
      <c r="L139" s="15"/>
      <c r="M139" s="29"/>
      <c r="N139" s="19"/>
      <c r="O139" s="18"/>
      <c r="P139" s="17"/>
      <c r="Q139" s="23"/>
      <c r="R139" s="22"/>
      <c r="S139" s="38"/>
      <c r="T139" s="19"/>
      <c r="U139" s="19"/>
      <c r="V139" s="45"/>
    </row>
    <row r="140" spans="2:22" s="20" customFormat="1" ht="17.100000000000001" customHeight="1" x14ac:dyDescent="0.3">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x14ac:dyDescent="0.3">
      <c r="B141" s="17"/>
      <c r="C141" s="17"/>
      <c r="E141" s="15"/>
      <c r="F141" s="15"/>
      <c r="G141" s="15"/>
      <c r="H141" s="16"/>
      <c r="I141" s="15"/>
      <c r="J141" s="16"/>
      <c r="K141" s="15"/>
      <c r="L141" s="15"/>
      <c r="M141" s="29"/>
      <c r="N141" s="19"/>
      <c r="O141" s="18"/>
      <c r="P141" s="17"/>
      <c r="Q141" s="23"/>
      <c r="R141" s="22"/>
      <c r="S141" s="38"/>
      <c r="T141" s="19"/>
      <c r="U141" s="19"/>
      <c r="V141" s="45"/>
    </row>
    <row r="142" spans="2:22" s="20" customFormat="1" ht="17.100000000000001" customHeight="1" x14ac:dyDescent="0.3">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x14ac:dyDescent="0.3">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x14ac:dyDescent="0.3">
      <c r="B144" s="17"/>
      <c r="C144" s="17"/>
      <c r="E144" s="15"/>
      <c r="F144" s="15"/>
      <c r="G144" s="15"/>
      <c r="H144" s="16"/>
      <c r="I144" s="15"/>
      <c r="J144" s="16"/>
      <c r="K144" s="15"/>
      <c r="L144" s="15"/>
      <c r="M144" s="29"/>
      <c r="N144" s="19"/>
      <c r="O144" s="18"/>
      <c r="P144" s="17"/>
      <c r="Q144" s="23"/>
      <c r="R144" s="22"/>
      <c r="S144" s="38"/>
      <c r="T144" s="19"/>
      <c r="U144" s="19"/>
      <c r="V144" s="45"/>
    </row>
    <row r="145" spans="2:22" s="20" customFormat="1" ht="17.100000000000001" customHeight="1" x14ac:dyDescent="0.3">
      <c r="B145" s="17"/>
      <c r="C145" s="17"/>
      <c r="E145" s="15"/>
      <c r="F145" s="15"/>
      <c r="G145" s="15"/>
      <c r="H145" s="50"/>
      <c r="I145" s="57"/>
      <c r="J145" s="50"/>
      <c r="K145" s="57"/>
      <c r="L145" s="57"/>
      <c r="M145" s="51"/>
      <c r="N145" s="47"/>
      <c r="O145" s="18"/>
      <c r="P145" s="17"/>
      <c r="R145" s="22"/>
      <c r="S145" s="38"/>
      <c r="T145" s="19"/>
      <c r="U145" s="19"/>
    </row>
    <row r="146" spans="2:22" s="20" customFormat="1" ht="17.100000000000001" customHeight="1" x14ac:dyDescent="0.3">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x14ac:dyDescent="0.3">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x14ac:dyDescent="0.3">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x14ac:dyDescent="0.3">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x14ac:dyDescent="0.3">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x14ac:dyDescent="0.3">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x14ac:dyDescent="0.3">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x14ac:dyDescent="0.3">
      <c r="B153" s="17"/>
      <c r="C153" s="17"/>
      <c r="E153" s="15"/>
      <c r="F153" s="15"/>
      <c r="G153" s="15"/>
      <c r="H153" s="16"/>
      <c r="I153" s="15"/>
      <c r="J153" s="16"/>
      <c r="K153" s="15"/>
      <c r="L153" s="15"/>
      <c r="M153" s="29"/>
      <c r="N153" s="19"/>
      <c r="O153" s="18"/>
      <c r="P153" s="17"/>
      <c r="Q153" s="23"/>
      <c r="R153" s="22"/>
      <c r="S153" s="38"/>
      <c r="T153" s="19"/>
      <c r="U153" s="19"/>
      <c r="V153" s="45"/>
    </row>
    <row r="154" spans="2:22" s="20" customFormat="1" ht="17.100000000000001" customHeight="1" x14ac:dyDescent="0.3">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x14ac:dyDescent="0.3">
      <c r="B155" s="17"/>
      <c r="C155" s="17"/>
      <c r="E155" s="15"/>
      <c r="F155" s="15"/>
      <c r="G155" s="15"/>
      <c r="H155" s="16"/>
      <c r="I155" s="15"/>
      <c r="J155" s="16"/>
      <c r="K155" s="15"/>
      <c r="L155" s="15"/>
      <c r="M155" s="29"/>
      <c r="N155" s="19"/>
      <c r="O155" s="18">
        <f t="shared" ref="O155:O218" si="4">(N155*I155)+U155</f>
        <v>0</v>
      </c>
      <c r="P155" s="17"/>
      <c r="R155" s="22"/>
      <c r="S155" s="22"/>
      <c r="T155" s="19"/>
      <c r="U155" s="19"/>
    </row>
    <row r="156" spans="2:22" s="20" customFormat="1" ht="17.100000000000001" customHeight="1" x14ac:dyDescent="0.3">
      <c r="B156" s="17"/>
      <c r="C156" s="17"/>
      <c r="E156" s="15"/>
      <c r="F156" s="15"/>
      <c r="G156" s="15"/>
      <c r="H156" s="16"/>
      <c r="I156" s="15"/>
      <c r="J156" s="16"/>
      <c r="K156" s="15"/>
      <c r="L156" s="15"/>
      <c r="M156" s="29"/>
      <c r="N156" s="19"/>
      <c r="O156" s="18">
        <f t="shared" si="4"/>
        <v>0</v>
      </c>
      <c r="P156" s="17"/>
      <c r="R156" s="22"/>
      <c r="S156" s="22"/>
      <c r="T156" s="19"/>
      <c r="U156" s="19"/>
    </row>
    <row r="157" spans="2:22" s="20" customFormat="1" ht="17.100000000000001" customHeight="1" x14ac:dyDescent="0.3">
      <c r="B157" s="17"/>
      <c r="C157" s="17"/>
      <c r="E157" s="15"/>
      <c r="F157" s="15"/>
      <c r="G157" s="15"/>
      <c r="H157" s="16"/>
      <c r="I157" s="15"/>
      <c r="J157" s="16"/>
      <c r="K157" s="15"/>
      <c r="L157" s="15"/>
      <c r="M157" s="29"/>
      <c r="N157" s="19"/>
      <c r="O157" s="18">
        <f t="shared" si="4"/>
        <v>0</v>
      </c>
      <c r="P157" s="17"/>
      <c r="R157" s="22"/>
      <c r="S157" s="22"/>
      <c r="T157" s="19"/>
      <c r="U157" s="19"/>
    </row>
    <row r="158" spans="2:22" s="20" customFormat="1" ht="17.100000000000001" customHeight="1" x14ac:dyDescent="0.3">
      <c r="B158" s="17"/>
      <c r="C158" s="17"/>
      <c r="E158" s="15"/>
      <c r="F158" s="15"/>
      <c r="G158" s="15"/>
      <c r="H158" s="16"/>
      <c r="I158" s="15"/>
      <c r="J158" s="16"/>
      <c r="K158" s="15"/>
      <c r="L158" s="15"/>
      <c r="M158" s="29"/>
      <c r="N158" s="19"/>
      <c r="O158" s="18">
        <f t="shared" si="4"/>
        <v>0</v>
      </c>
      <c r="P158" s="17"/>
      <c r="R158" s="22"/>
      <c r="S158" s="22"/>
      <c r="T158" s="19"/>
      <c r="U158" s="19"/>
    </row>
    <row r="159" spans="2:22" s="20" customFormat="1" ht="17.100000000000001" customHeight="1" x14ac:dyDescent="0.3">
      <c r="B159" s="17"/>
      <c r="C159" s="17"/>
      <c r="E159" s="15"/>
      <c r="F159" s="15"/>
      <c r="G159" s="15"/>
      <c r="H159" s="16"/>
      <c r="I159" s="15"/>
      <c r="J159" s="16"/>
      <c r="K159" s="15"/>
      <c r="L159" s="15"/>
      <c r="M159" s="29"/>
      <c r="N159" s="19"/>
      <c r="O159" s="18">
        <f t="shared" si="4"/>
        <v>0</v>
      </c>
      <c r="P159" s="17"/>
      <c r="R159" s="22"/>
      <c r="S159" s="22"/>
      <c r="T159" s="19"/>
      <c r="U159" s="19"/>
    </row>
    <row r="160" spans="2:22" s="20" customFormat="1" ht="17.100000000000001" customHeight="1" x14ac:dyDescent="0.3">
      <c r="B160" s="17"/>
      <c r="C160" s="17"/>
      <c r="E160" s="15"/>
      <c r="F160" s="15"/>
      <c r="G160" s="15"/>
      <c r="H160" s="16"/>
      <c r="I160" s="15"/>
      <c r="J160" s="16"/>
      <c r="K160" s="15"/>
      <c r="L160" s="15"/>
      <c r="M160" s="29"/>
      <c r="N160" s="19"/>
      <c r="O160" s="18">
        <f t="shared" si="4"/>
        <v>0</v>
      </c>
      <c r="P160" s="17"/>
      <c r="R160" s="22"/>
      <c r="S160" s="22"/>
      <c r="T160" s="19"/>
      <c r="U160" s="19"/>
    </row>
    <row r="161" spans="2:21" s="20" customFormat="1" ht="17.100000000000001" customHeight="1" x14ac:dyDescent="0.3">
      <c r="B161" s="17"/>
      <c r="C161" s="17"/>
      <c r="E161" s="15"/>
      <c r="F161" s="15"/>
      <c r="G161" s="15"/>
      <c r="H161" s="16"/>
      <c r="I161" s="15"/>
      <c r="J161" s="16"/>
      <c r="K161" s="15"/>
      <c r="L161" s="15"/>
      <c r="M161" s="29"/>
      <c r="N161" s="19"/>
      <c r="O161" s="18">
        <f t="shared" si="4"/>
        <v>0</v>
      </c>
      <c r="P161" s="17"/>
      <c r="R161" s="22"/>
      <c r="S161" s="22"/>
      <c r="T161" s="19"/>
      <c r="U161" s="19"/>
    </row>
    <row r="162" spans="2:21" s="20" customFormat="1" ht="17.100000000000001" customHeight="1" x14ac:dyDescent="0.3">
      <c r="B162" s="17"/>
      <c r="C162" s="17"/>
      <c r="E162" s="15"/>
      <c r="F162" s="15"/>
      <c r="G162" s="15"/>
      <c r="H162" s="16"/>
      <c r="I162" s="15"/>
      <c r="J162" s="16"/>
      <c r="K162" s="15"/>
      <c r="L162" s="15"/>
      <c r="M162" s="29"/>
      <c r="N162" s="19"/>
      <c r="O162" s="18">
        <f t="shared" si="4"/>
        <v>0</v>
      </c>
      <c r="P162" s="17"/>
      <c r="R162" s="22"/>
      <c r="S162" s="22"/>
      <c r="T162" s="19"/>
      <c r="U162" s="19"/>
    </row>
    <row r="163" spans="2:21" s="20" customFormat="1" ht="17.100000000000001" customHeight="1" x14ac:dyDescent="0.3">
      <c r="B163" s="17"/>
      <c r="C163" s="17"/>
      <c r="E163" s="15"/>
      <c r="F163" s="15"/>
      <c r="G163" s="15"/>
      <c r="H163" s="16"/>
      <c r="I163" s="15"/>
      <c r="J163" s="16"/>
      <c r="K163" s="15"/>
      <c r="L163" s="15"/>
      <c r="M163" s="29"/>
      <c r="N163" s="19"/>
      <c r="O163" s="18">
        <f t="shared" si="4"/>
        <v>0</v>
      </c>
      <c r="P163" s="17"/>
      <c r="R163" s="22"/>
      <c r="S163" s="22"/>
      <c r="T163" s="19"/>
      <c r="U163" s="19"/>
    </row>
    <row r="164" spans="2:21" s="20" customFormat="1" ht="17.100000000000001" customHeight="1" x14ac:dyDescent="0.3">
      <c r="B164" s="17"/>
      <c r="C164" s="17"/>
      <c r="E164" s="15"/>
      <c r="F164" s="15"/>
      <c r="G164" s="15"/>
      <c r="H164" s="16"/>
      <c r="I164" s="15"/>
      <c r="J164" s="16"/>
      <c r="K164" s="15"/>
      <c r="L164" s="15"/>
      <c r="M164" s="29"/>
      <c r="N164" s="19"/>
      <c r="O164" s="18">
        <f t="shared" si="4"/>
        <v>0</v>
      </c>
      <c r="P164" s="17"/>
      <c r="R164" s="22"/>
      <c r="S164" s="22"/>
      <c r="T164" s="19"/>
      <c r="U164" s="19"/>
    </row>
    <row r="165" spans="2:21" s="20" customFormat="1" ht="17.100000000000001" customHeight="1" x14ac:dyDescent="0.3">
      <c r="B165" s="17"/>
      <c r="C165" s="17"/>
      <c r="E165" s="15"/>
      <c r="F165" s="15"/>
      <c r="G165" s="15"/>
      <c r="H165" s="16"/>
      <c r="I165" s="15"/>
      <c r="J165" s="16"/>
      <c r="K165" s="15"/>
      <c r="L165" s="15"/>
      <c r="M165" s="29"/>
      <c r="N165" s="19"/>
      <c r="O165" s="18">
        <f t="shared" si="4"/>
        <v>0</v>
      </c>
      <c r="P165" s="17"/>
      <c r="R165" s="22"/>
      <c r="S165" s="22"/>
      <c r="T165" s="19"/>
      <c r="U165" s="19"/>
    </row>
    <row r="166" spans="2:21" s="20" customFormat="1" ht="17.100000000000001" customHeight="1" x14ac:dyDescent="0.3">
      <c r="B166" s="17"/>
      <c r="C166" s="17"/>
      <c r="E166" s="15"/>
      <c r="F166" s="15"/>
      <c r="G166" s="15"/>
      <c r="H166" s="16"/>
      <c r="I166" s="15"/>
      <c r="J166" s="16"/>
      <c r="K166" s="15"/>
      <c r="L166" s="15"/>
      <c r="M166" s="29"/>
      <c r="N166" s="19"/>
      <c r="O166" s="18">
        <f t="shared" si="4"/>
        <v>0</v>
      </c>
      <c r="P166" s="17"/>
      <c r="R166" s="22"/>
      <c r="S166" s="22"/>
      <c r="T166" s="19"/>
      <c r="U166" s="19"/>
    </row>
    <row r="167" spans="2:21" s="20" customFormat="1" ht="17.100000000000001" customHeight="1" x14ac:dyDescent="0.3">
      <c r="B167" s="17"/>
      <c r="C167" s="17"/>
      <c r="E167" s="15"/>
      <c r="F167" s="15"/>
      <c r="G167" s="15"/>
      <c r="H167" s="16"/>
      <c r="I167" s="15"/>
      <c r="J167" s="16"/>
      <c r="K167" s="15"/>
      <c r="L167" s="15"/>
      <c r="M167" s="29"/>
      <c r="N167" s="19"/>
      <c r="O167" s="18">
        <f t="shared" si="4"/>
        <v>0</v>
      </c>
      <c r="P167" s="17"/>
      <c r="R167" s="22"/>
      <c r="S167" s="22"/>
      <c r="T167" s="19"/>
      <c r="U167" s="19"/>
    </row>
    <row r="168" spans="2:21" s="20" customFormat="1" ht="17.100000000000001" customHeight="1" x14ac:dyDescent="0.3">
      <c r="B168" s="17"/>
      <c r="C168" s="17"/>
      <c r="E168" s="15"/>
      <c r="F168" s="15"/>
      <c r="G168" s="15"/>
      <c r="H168" s="16"/>
      <c r="I168" s="15"/>
      <c r="J168" s="16"/>
      <c r="K168" s="15"/>
      <c r="L168" s="15"/>
      <c r="M168" s="29"/>
      <c r="N168" s="19"/>
      <c r="O168" s="18">
        <f t="shared" si="4"/>
        <v>0</v>
      </c>
      <c r="P168" s="17"/>
      <c r="R168" s="22"/>
      <c r="S168" s="22"/>
      <c r="T168" s="19"/>
      <c r="U168" s="19"/>
    </row>
    <row r="169" spans="2:21" s="20" customFormat="1" ht="17.100000000000001" customHeight="1" x14ac:dyDescent="0.3">
      <c r="B169" s="17"/>
      <c r="C169" s="17"/>
      <c r="E169" s="15"/>
      <c r="F169" s="15"/>
      <c r="G169" s="15"/>
      <c r="H169" s="16"/>
      <c r="I169" s="15"/>
      <c r="J169" s="16"/>
      <c r="K169" s="15"/>
      <c r="L169" s="15"/>
      <c r="M169" s="29"/>
      <c r="N169" s="19"/>
      <c r="O169" s="18">
        <f t="shared" si="4"/>
        <v>0</v>
      </c>
      <c r="P169" s="17"/>
      <c r="R169" s="22"/>
      <c r="S169" s="22"/>
      <c r="T169" s="19"/>
      <c r="U169" s="19"/>
    </row>
    <row r="170" spans="2:21" s="20" customFormat="1" ht="17.100000000000001" customHeight="1" x14ac:dyDescent="0.3">
      <c r="B170" s="17"/>
      <c r="C170" s="17"/>
      <c r="E170" s="15"/>
      <c r="F170" s="15"/>
      <c r="G170" s="15"/>
      <c r="H170" s="16"/>
      <c r="I170" s="15"/>
      <c r="J170" s="16"/>
      <c r="K170" s="15"/>
      <c r="L170" s="15"/>
      <c r="M170" s="29"/>
      <c r="N170" s="19"/>
      <c r="O170" s="18">
        <f t="shared" si="4"/>
        <v>0</v>
      </c>
      <c r="P170" s="17"/>
      <c r="R170" s="22"/>
      <c r="S170" s="22"/>
      <c r="T170" s="19"/>
      <c r="U170" s="19"/>
    </row>
    <row r="171" spans="2:21" s="20" customFormat="1" ht="17.100000000000001" customHeight="1" x14ac:dyDescent="0.3">
      <c r="B171" s="17"/>
      <c r="C171" s="17"/>
      <c r="E171" s="15"/>
      <c r="F171" s="15"/>
      <c r="G171" s="15"/>
      <c r="H171" s="16"/>
      <c r="I171" s="15"/>
      <c r="J171" s="16"/>
      <c r="K171" s="15"/>
      <c r="L171" s="15"/>
      <c r="M171" s="29"/>
      <c r="N171" s="19"/>
      <c r="O171" s="18">
        <f t="shared" si="4"/>
        <v>0</v>
      </c>
      <c r="P171" s="17"/>
      <c r="R171" s="22"/>
      <c r="S171" s="22"/>
      <c r="T171" s="19"/>
      <c r="U171" s="19"/>
    </row>
    <row r="172" spans="2:21" s="20" customFormat="1" ht="17.100000000000001" customHeight="1" x14ac:dyDescent="0.3">
      <c r="B172" s="17"/>
      <c r="C172" s="17"/>
      <c r="E172" s="15"/>
      <c r="F172" s="15"/>
      <c r="G172" s="15"/>
      <c r="H172" s="16"/>
      <c r="I172" s="15"/>
      <c r="J172" s="16"/>
      <c r="K172" s="15"/>
      <c r="L172" s="15"/>
      <c r="M172" s="29"/>
      <c r="N172" s="19"/>
      <c r="O172" s="18">
        <f t="shared" si="4"/>
        <v>0</v>
      </c>
      <c r="P172" s="17"/>
      <c r="R172" s="22"/>
      <c r="S172" s="22"/>
      <c r="T172" s="19"/>
      <c r="U172" s="19"/>
    </row>
    <row r="173" spans="2:21" s="20" customFormat="1" ht="17.100000000000001" customHeight="1" x14ac:dyDescent="0.3">
      <c r="B173" s="17"/>
      <c r="C173" s="17"/>
      <c r="E173" s="15"/>
      <c r="F173" s="15"/>
      <c r="G173" s="15"/>
      <c r="H173" s="16"/>
      <c r="I173" s="15"/>
      <c r="J173" s="16"/>
      <c r="K173" s="15"/>
      <c r="L173" s="15"/>
      <c r="M173" s="29"/>
      <c r="N173" s="19"/>
      <c r="O173" s="18">
        <f t="shared" si="4"/>
        <v>0</v>
      </c>
      <c r="P173" s="17"/>
      <c r="R173" s="22"/>
      <c r="S173" s="22"/>
      <c r="T173" s="19"/>
      <c r="U173" s="19"/>
    </row>
    <row r="174" spans="2:21" s="20" customFormat="1" ht="17.100000000000001" customHeight="1" x14ac:dyDescent="0.3">
      <c r="B174" s="17"/>
      <c r="C174" s="17"/>
      <c r="E174" s="15"/>
      <c r="F174" s="15"/>
      <c r="G174" s="15"/>
      <c r="H174" s="16"/>
      <c r="I174" s="15"/>
      <c r="J174" s="16"/>
      <c r="K174" s="15"/>
      <c r="L174" s="15"/>
      <c r="M174" s="29"/>
      <c r="N174" s="19"/>
      <c r="O174" s="18">
        <f t="shared" si="4"/>
        <v>0</v>
      </c>
      <c r="P174" s="17"/>
      <c r="R174" s="22"/>
      <c r="S174" s="22"/>
      <c r="T174" s="19"/>
      <c r="U174" s="19"/>
    </row>
    <row r="175" spans="2:21" s="20" customFormat="1" ht="17.100000000000001" customHeight="1" x14ac:dyDescent="0.3">
      <c r="B175" s="17"/>
      <c r="C175" s="17"/>
      <c r="E175" s="15"/>
      <c r="F175" s="15"/>
      <c r="G175" s="15"/>
      <c r="H175" s="16"/>
      <c r="I175" s="15"/>
      <c r="J175" s="16"/>
      <c r="K175" s="15"/>
      <c r="L175" s="15"/>
      <c r="M175" s="29"/>
      <c r="N175" s="19"/>
      <c r="O175" s="18">
        <f t="shared" si="4"/>
        <v>0</v>
      </c>
      <c r="P175" s="17"/>
      <c r="R175" s="22"/>
      <c r="S175" s="22"/>
      <c r="T175" s="19"/>
      <c r="U175" s="19"/>
    </row>
    <row r="176" spans="2:21" s="20" customFormat="1" ht="17.100000000000001" customHeight="1" x14ac:dyDescent="0.3">
      <c r="B176" s="17"/>
      <c r="C176" s="17"/>
      <c r="E176" s="15"/>
      <c r="F176" s="15"/>
      <c r="G176" s="15"/>
      <c r="H176" s="16"/>
      <c r="I176" s="15"/>
      <c r="J176" s="16"/>
      <c r="K176" s="15"/>
      <c r="L176" s="15"/>
      <c r="M176" s="29"/>
      <c r="N176" s="19"/>
      <c r="O176" s="18">
        <f t="shared" si="4"/>
        <v>0</v>
      </c>
      <c r="P176" s="17"/>
      <c r="R176" s="22"/>
      <c r="S176" s="22"/>
      <c r="T176" s="19"/>
      <c r="U176" s="19"/>
    </row>
    <row r="177" spans="2:21" s="20" customFormat="1" ht="17.100000000000001" customHeight="1" x14ac:dyDescent="0.3">
      <c r="B177" s="17"/>
      <c r="C177" s="17"/>
      <c r="E177" s="15"/>
      <c r="F177" s="15"/>
      <c r="G177" s="15"/>
      <c r="H177" s="16"/>
      <c r="I177" s="15"/>
      <c r="J177" s="16"/>
      <c r="K177" s="15"/>
      <c r="L177" s="15"/>
      <c r="M177" s="29"/>
      <c r="N177" s="19"/>
      <c r="O177" s="18">
        <f t="shared" si="4"/>
        <v>0</v>
      </c>
      <c r="P177" s="17"/>
      <c r="R177" s="22"/>
      <c r="S177" s="22"/>
      <c r="T177" s="19"/>
      <c r="U177" s="19"/>
    </row>
    <row r="178" spans="2:21" s="20" customFormat="1" ht="17.100000000000001" customHeight="1" x14ac:dyDescent="0.3">
      <c r="B178" s="17"/>
      <c r="C178" s="17"/>
      <c r="E178" s="15"/>
      <c r="F178" s="15"/>
      <c r="G178" s="15"/>
      <c r="H178" s="16"/>
      <c r="I178" s="15"/>
      <c r="J178" s="16"/>
      <c r="K178" s="15"/>
      <c r="L178" s="15"/>
      <c r="M178" s="29"/>
      <c r="N178" s="19"/>
      <c r="O178" s="18">
        <f t="shared" si="4"/>
        <v>0</v>
      </c>
      <c r="P178" s="17"/>
      <c r="R178" s="22"/>
      <c r="S178" s="22"/>
      <c r="T178" s="19"/>
      <c r="U178" s="19"/>
    </row>
    <row r="179" spans="2:21" s="20" customFormat="1" ht="17.100000000000001" customHeight="1" x14ac:dyDescent="0.3">
      <c r="B179" s="17"/>
      <c r="C179" s="17"/>
      <c r="E179" s="15"/>
      <c r="F179" s="15"/>
      <c r="G179" s="15"/>
      <c r="H179" s="16"/>
      <c r="I179" s="15"/>
      <c r="J179" s="16"/>
      <c r="K179" s="15"/>
      <c r="L179" s="15"/>
      <c r="M179" s="29"/>
      <c r="N179" s="19"/>
      <c r="O179" s="18">
        <f t="shared" si="4"/>
        <v>0</v>
      </c>
      <c r="P179" s="17"/>
      <c r="R179" s="22"/>
      <c r="S179" s="22"/>
      <c r="T179" s="19"/>
      <c r="U179" s="19"/>
    </row>
    <row r="180" spans="2:21" s="20" customFormat="1" ht="17.100000000000001" customHeight="1" x14ac:dyDescent="0.3">
      <c r="B180" s="17"/>
      <c r="C180" s="17"/>
      <c r="E180" s="15"/>
      <c r="F180" s="15"/>
      <c r="G180" s="15"/>
      <c r="H180" s="16"/>
      <c r="I180" s="15"/>
      <c r="J180" s="16"/>
      <c r="K180" s="15"/>
      <c r="L180" s="15"/>
      <c r="M180" s="29"/>
      <c r="N180" s="19"/>
      <c r="O180" s="18">
        <f t="shared" si="4"/>
        <v>0</v>
      </c>
      <c r="P180" s="17"/>
      <c r="R180" s="22"/>
      <c r="S180" s="22"/>
      <c r="T180" s="19"/>
      <c r="U180" s="19"/>
    </row>
    <row r="181" spans="2:21" s="20" customFormat="1" ht="17.100000000000001" customHeight="1" x14ac:dyDescent="0.3">
      <c r="B181" s="17"/>
      <c r="C181" s="17"/>
      <c r="E181" s="15"/>
      <c r="F181" s="15"/>
      <c r="G181" s="15"/>
      <c r="H181" s="16"/>
      <c r="I181" s="15"/>
      <c r="J181" s="16"/>
      <c r="K181" s="15"/>
      <c r="L181" s="15"/>
      <c r="M181" s="29"/>
      <c r="N181" s="19"/>
      <c r="O181" s="18">
        <f t="shared" si="4"/>
        <v>0</v>
      </c>
      <c r="P181" s="17"/>
      <c r="R181" s="22"/>
      <c r="S181" s="22"/>
      <c r="T181" s="19"/>
      <c r="U181" s="19"/>
    </row>
    <row r="182" spans="2:21" s="20" customFormat="1" ht="17.100000000000001" customHeight="1" x14ac:dyDescent="0.3">
      <c r="B182" s="17"/>
      <c r="C182" s="17"/>
      <c r="E182" s="15"/>
      <c r="F182" s="15"/>
      <c r="G182" s="15"/>
      <c r="H182" s="16"/>
      <c r="I182" s="15"/>
      <c r="J182" s="16"/>
      <c r="K182" s="15"/>
      <c r="L182" s="15"/>
      <c r="M182" s="29"/>
      <c r="N182" s="19"/>
      <c r="O182" s="18">
        <f t="shared" si="4"/>
        <v>0</v>
      </c>
      <c r="P182" s="17"/>
      <c r="R182" s="22"/>
      <c r="S182" s="22"/>
      <c r="T182" s="19"/>
      <c r="U182" s="19"/>
    </row>
    <row r="183" spans="2:21" s="20" customFormat="1" ht="17.100000000000001" customHeight="1" x14ac:dyDescent="0.3">
      <c r="B183" s="17"/>
      <c r="C183" s="17"/>
      <c r="E183" s="15"/>
      <c r="F183" s="15"/>
      <c r="G183" s="15"/>
      <c r="H183" s="16"/>
      <c r="I183" s="15"/>
      <c r="J183" s="16"/>
      <c r="K183" s="15"/>
      <c r="L183" s="15"/>
      <c r="M183" s="29"/>
      <c r="N183" s="19"/>
      <c r="O183" s="18">
        <f t="shared" si="4"/>
        <v>0</v>
      </c>
      <c r="P183" s="17"/>
      <c r="R183" s="22"/>
      <c r="S183" s="22"/>
      <c r="T183" s="19"/>
      <c r="U183" s="19"/>
    </row>
    <row r="184" spans="2:21" s="20" customFormat="1" ht="17.100000000000001" customHeight="1" x14ac:dyDescent="0.3">
      <c r="B184" s="17"/>
      <c r="C184" s="17"/>
      <c r="E184" s="15"/>
      <c r="F184" s="15"/>
      <c r="G184" s="15"/>
      <c r="H184" s="16"/>
      <c r="I184" s="15"/>
      <c r="J184" s="16"/>
      <c r="K184" s="15"/>
      <c r="L184" s="15"/>
      <c r="M184" s="29"/>
      <c r="N184" s="19"/>
      <c r="O184" s="18">
        <f t="shared" si="4"/>
        <v>0</v>
      </c>
      <c r="P184" s="17"/>
      <c r="R184" s="22"/>
      <c r="S184" s="22"/>
      <c r="T184" s="19"/>
      <c r="U184" s="19"/>
    </row>
    <row r="185" spans="2:21" s="20" customFormat="1" ht="17.100000000000001" customHeight="1" x14ac:dyDescent="0.3">
      <c r="B185" s="17"/>
      <c r="C185" s="17"/>
      <c r="E185" s="15"/>
      <c r="F185" s="15"/>
      <c r="G185" s="15"/>
      <c r="H185" s="16"/>
      <c r="I185" s="15"/>
      <c r="J185" s="16"/>
      <c r="K185" s="15"/>
      <c r="L185" s="15"/>
      <c r="M185" s="29"/>
      <c r="N185" s="19"/>
      <c r="O185" s="18">
        <f t="shared" si="4"/>
        <v>0</v>
      </c>
      <c r="P185" s="17"/>
      <c r="R185" s="22"/>
      <c r="S185" s="22"/>
      <c r="T185" s="19"/>
      <c r="U185" s="19"/>
    </row>
    <row r="186" spans="2:21" s="20" customFormat="1" ht="17.100000000000001" customHeight="1" x14ac:dyDescent="0.3">
      <c r="B186" s="17"/>
      <c r="C186" s="17"/>
      <c r="E186" s="15"/>
      <c r="F186" s="15"/>
      <c r="G186" s="15"/>
      <c r="H186" s="16"/>
      <c r="I186" s="15"/>
      <c r="J186" s="16"/>
      <c r="K186" s="15"/>
      <c r="L186" s="15"/>
      <c r="M186" s="29"/>
      <c r="N186" s="19"/>
      <c r="O186" s="18">
        <f t="shared" si="4"/>
        <v>0</v>
      </c>
      <c r="P186" s="17"/>
      <c r="R186" s="22"/>
      <c r="S186" s="22"/>
      <c r="T186" s="19"/>
      <c r="U186" s="19"/>
    </row>
    <row r="187" spans="2:21" s="20" customFormat="1" ht="17.100000000000001" customHeight="1" x14ac:dyDescent="0.3">
      <c r="B187" s="17"/>
      <c r="C187" s="17"/>
      <c r="E187" s="15"/>
      <c r="F187" s="15"/>
      <c r="G187" s="15"/>
      <c r="H187" s="16"/>
      <c r="I187" s="15"/>
      <c r="J187" s="16"/>
      <c r="K187" s="15"/>
      <c r="L187" s="15"/>
      <c r="M187" s="29"/>
      <c r="N187" s="19"/>
      <c r="O187" s="18">
        <f t="shared" si="4"/>
        <v>0</v>
      </c>
      <c r="P187" s="17"/>
      <c r="R187" s="22"/>
      <c r="S187" s="22"/>
      <c r="T187" s="19"/>
      <c r="U187" s="19"/>
    </row>
    <row r="188" spans="2:21" s="20" customFormat="1" ht="17.100000000000001" customHeight="1" x14ac:dyDescent="0.3">
      <c r="B188" s="17"/>
      <c r="C188" s="17"/>
      <c r="E188" s="15"/>
      <c r="F188" s="15"/>
      <c r="G188" s="15"/>
      <c r="H188" s="16"/>
      <c r="I188" s="15"/>
      <c r="J188" s="16"/>
      <c r="K188" s="15"/>
      <c r="L188" s="15"/>
      <c r="M188" s="29"/>
      <c r="N188" s="19"/>
      <c r="O188" s="18">
        <f t="shared" si="4"/>
        <v>0</v>
      </c>
      <c r="P188" s="17"/>
      <c r="R188" s="22"/>
      <c r="S188" s="22"/>
      <c r="T188" s="19"/>
      <c r="U188" s="19"/>
    </row>
    <row r="189" spans="2:21" s="20" customFormat="1" ht="17.100000000000001" customHeight="1" x14ac:dyDescent="0.3">
      <c r="B189" s="17"/>
      <c r="C189" s="17"/>
      <c r="E189" s="15"/>
      <c r="F189" s="15"/>
      <c r="G189" s="15"/>
      <c r="H189" s="16"/>
      <c r="I189" s="15"/>
      <c r="J189" s="16"/>
      <c r="K189" s="15"/>
      <c r="L189" s="15"/>
      <c r="M189" s="29"/>
      <c r="N189" s="19"/>
      <c r="O189" s="18">
        <f t="shared" si="4"/>
        <v>0</v>
      </c>
      <c r="P189" s="17"/>
      <c r="R189" s="22"/>
      <c r="S189" s="22"/>
      <c r="T189" s="19"/>
      <c r="U189" s="19"/>
    </row>
    <row r="190" spans="2:21" s="20" customFormat="1" ht="17.100000000000001" customHeight="1" x14ac:dyDescent="0.3">
      <c r="B190" s="17"/>
      <c r="C190" s="17"/>
      <c r="E190" s="15"/>
      <c r="F190" s="15"/>
      <c r="G190" s="15"/>
      <c r="H190" s="16"/>
      <c r="I190" s="15"/>
      <c r="J190" s="16"/>
      <c r="K190" s="15"/>
      <c r="L190" s="15"/>
      <c r="M190" s="29"/>
      <c r="N190" s="19"/>
      <c r="O190" s="18">
        <f t="shared" si="4"/>
        <v>0</v>
      </c>
      <c r="P190" s="17"/>
      <c r="R190" s="22"/>
      <c r="S190" s="22"/>
      <c r="T190" s="19"/>
      <c r="U190" s="19"/>
    </row>
    <row r="191" spans="2:21" s="20" customFormat="1" ht="17.100000000000001" customHeight="1" x14ac:dyDescent="0.3">
      <c r="B191" s="17"/>
      <c r="C191" s="17"/>
      <c r="E191" s="15"/>
      <c r="F191" s="15"/>
      <c r="G191" s="15"/>
      <c r="H191" s="16"/>
      <c r="I191" s="15"/>
      <c r="J191" s="16"/>
      <c r="K191" s="15"/>
      <c r="L191" s="15"/>
      <c r="M191" s="29"/>
      <c r="N191" s="19"/>
      <c r="O191" s="18">
        <f t="shared" si="4"/>
        <v>0</v>
      </c>
      <c r="P191" s="17"/>
      <c r="R191" s="22"/>
      <c r="S191" s="22"/>
      <c r="T191" s="19"/>
      <c r="U191" s="19"/>
    </row>
    <row r="192" spans="2:21" s="20" customFormat="1" ht="17.100000000000001" customHeight="1" x14ac:dyDescent="0.3">
      <c r="B192" s="17"/>
      <c r="C192" s="17"/>
      <c r="E192" s="15"/>
      <c r="F192" s="15"/>
      <c r="G192" s="15"/>
      <c r="H192" s="16"/>
      <c r="I192" s="15"/>
      <c r="J192" s="16"/>
      <c r="K192" s="15"/>
      <c r="L192" s="15"/>
      <c r="M192" s="29"/>
      <c r="N192" s="19"/>
      <c r="O192" s="18">
        <f t="shared" si="4"/>
        <v>0</v>
      </c>
      <c r="P192" s="17"/>
      <c r="R192" s="22"/>
      <c r="S192" s="22"/>
      <c r="T192" s="19"/>
      <c r="U192" s="19"/>
    </row>
    <row r="193" spans="2:21" s="20" customFormat="1" ht="17.100000000000001" customHeight="1" x14ac:dyDescent="0.3">
      <c r="B193" s="17"/>
      <c r="C193" s="17"/>
      <c r="E193" s="15"/>
      <c r="F193" s="15"/>
      <c r="G193" s="15"/>
      <c r="H193" s="16"/>
      <c r="I193" s="15"/>
      <c r="J193" s="16"/>
      <c r="K193" s="15"/>
      <c r="L193" s="15"/>
      <c r="M193" s="29"/>
      <c r="N193" s="19"/>
      <c r="O193" s="18">
        <f t="shared" si="4"/>
        <v>0</v>
      </c>
      <c r="P193" s="17"/>
      <c r="R193" s="22"/>
      <c r="S193" s="22"/>
      <c r="T193" s="19"/>
      <c r="U193" s="19"/>
    </row>
    <row r="194" spans="2:21" s="20" customFormat="1" ht="17.100000000000001" customHeight="1" x14ac:dyDescent="0.3">
      <c r="B194" s="17"/>
      <c r="C194" s="17"/>
      <c r="E194" s="15"/>
      <c r="F194" s="15"/>
      <c r="G194" s="15"/>
      <c r="H194" s="16"/>
      <c r="I194" s="15"/>
      <c r="J194" s="16"/>
      <c r="K194" s="15"/>
      <c r="L194" s="15"/>
      <c r="M194" s="29"/>
      <c r="N194" s="19"/>
      <c r="O194" s="18">
        <f t="shared" si="4"/>
        <v>0</v>
      </c>
      <c r="P194" s="17"/>
      <c r="R194" s="22"/>
      <c r="S194" s="22"/>
      <c r="T194" s="19"/>
      <c r="U194" s="19"/>
    </row>
    <row r="195" spans="2:21" s="20" customFormat="1" ht="17.100000000000001" customHeight="1" x14ac:dyDescent="0.3">
      <c r="B195" s="17"/>
      <c r="C195" s="17"/>
      <c r="E195" s="15"/>
      <c r="F195" s="15"/>
      <c r="G195" s="15"/>
      <c r="H195" s="16"/>
      <c r="I195" s="15"/>
      <c r="J195" s="16"/>
      <c r="K195" s="15"/>
      <c r="L195" s="15"/>
      <c r="M195" s="29"/>
      <c r="N195" s="19"/>
      <c r="O195" s="18">
        <f t="shared" si="4"/>
        <v>0</v>
      </c>
      <c r="P195" s="17"/>
      <c r="R195" s="22"/>
      <c r="S195" s="22"/>
      <c r="T195" s="19"/>
      <c r="U195" s="19"/>
    </row>
    <row r="196" spans="2:21" s="20" customFormat="1" ht="17.100000000000001" customHeight="1" x14ac:dyDescent="0.3">
      <c r="B196" s="17"/>
      <c r="C196" s="17"/>
      <c r="E196" s="15"/>
      <c r="F196" s="15"/>
      <c r="G196" s="15"/>
      <c r="H196" s="16"/>
      <c r="I196" s="15"/>
      <c r="J196" s="16"/>
      <c r="K196" s="15"/>
      <c r="L196" s="15"/>
      <c r="M196" s="29"/>
      <c r="N196" s="19"/>
      <c r="O196" s="18">
        <f t="shared" si="4"/>
        <v>0</v>
      </c>
      <c r="P196" s="17"/>
      <c r="R196" s="22"/>
      <c r="S196" s="22"/>
      <c r="T196" s="19"/>
      <c r="U196" s="19"/>
    </row>
    <row r="197" spans="2:21" s="20" customFormat="1" ht="17.100000000000001" customHeight="1" x14ac:dyDescent="0.3">
      <c r="B197" s="17"/>
      <c r="C197" s="17"/>
      <c r="E197" s="15"/>
      <c r="F197" s="15"/>
      <c r="G197" s="15"/>
      <c r="H197" s="16"/>
      <c r="I197" s="15"/>
      <c r="J197" s="16"/>
      <c r="K197" s="15"/>
      <c r="L197" s="15"/>
      <c r="M197" s="29"/>
      <c r="N197" s="19"/>
      <c r="O197" s="18">
        <f t="shared" si="4"/>
        <v>0</v>
      </c>
      <c r="P197" s="17"/>
      <c r="R197" s="22"/>
      <c r="S197" s="22"/>
      <c r="T197" s="19"/>
      <c r="U197" s="19"/>
    </row>
    <row r="198" spans="2:21" s="20" customFormat="1" ht="17.100000000000001" customHeight="1" x14ac:dyDescent="0.3">
      <c r="B198" s="17"/>
      <c r="C198" s="17"/>
      <c r="E198" s="15"/>
      <c r="F198" s="15"/>
      <c r="G198" s="15"/>
      <c r="H198" s="16"/>
      <c r="I198" s="15"/>
      <c r="J198" s="16"/>
      <c r="K198" s="15"/>
      <c r="L198" s="15"/>
      <c r="M198" s="29"/>
      <c r="N198" s="19"/>
      <c r="O198" s="18">
        <f t="shared" si="4"/>
        <v>0</v>
      </c>
      <c r="P198" s="17"/>
      <c r="R198" s="22"/>
      <c r="S198" s="22"/>
      <c r="T198" s="19"/>
      <c r="U198" s="19"/>
    </row>
    <row r="199" spans="2:21" s="20" customFormat="1" ht="17.100000000000001" customHeight="1" x14ac:dyDescent="0.3">
      <c r="B199" s="17"/>
      <c r="C199" s="17"/>
      <c r="E199" s="15"/>
      <c r="F199" s="15"/>
      <c r="G199" s="15"/>
      <c r="H199" s="16"/>
      <c r="I199" s="15"/>
      <c r="J199" s="16"/>
      <c r="K199" s="15"/>
      <c r="L199" s="15"/>
      <c r="M199" s="29"/>
      <c r="N199" s="19"/>
      <c r="O199" s="18">
        <f t="shared" si="4"/>
        <v>0</v>
      </c>
      <c r="P199" s="17"/>
      <c r="R199" s="22"/>
      <c r="S199" s="22"/>
      <c r="T199" s="19"/>
      <c r="U199" s="19"/>
    </row>
    <row r="200" spans="2:21" s="20" customFormat="1" ht="17.100000000000001" customHeight="1" x14ac:dyDescent="0.3">
      <c r="B200" s="17"/>
      <c r="C200" s="17"/>
      <c r="E200" s="15"/>
      <c r="F200" s="15"/>
      <c r="G200" s="15"/>
      <c r="H200" s="16"/>
      <c r="I200" s="15"/>
      <c r="J200" s="16"/>
      <c r="K200" s="15"/>
      <c r="L200" s="15"/>
      <c r="M200" s="29"/>
      <c r="N200" s="19"/>
      <c r="O200" s="18">
        <f t="shared" si="4"/>
        <v>0</v>
      </c>
      <c r="P200" s="17"/>
      <c r="R200" s="22"/>
      <c r="S200" s="22"/>
      <c r="T200" s="19"/>
      <c r="U200" s="19"/>
    </row>
    <row r="201" spans="2:21" s="20" customFormat="1" ht="17.100000000000001" customHeight="1" x14ac:dyDescent="0.3">
      <c r="B201" s="17"/>
      <c r="C201" s="17"/>
      <c r="E201" s="15"/>
      <c r="F201" s="15"/>
      <c r="G201" s="15"/>
      <c r="H201" s="16"/>
      <c r="I201" s="15"/>
      <c r="J201" s="16"/>
      <c r="K201" s="15"/>
      <c r="L201" s="15"/>
      <c r="M201" s="29"/>
      <c r="N201" s="19"/>
      <c r="O201" s="18">
        <f t="shared" si="4"/>
        <v>0</v>
      </c>
      <c r="P201" s="17"/>
      <c r="R201" s="22"/>
      <c r="S201" s="22"/>
      <c r="T201" s="19"/>
      <c r="U201" s="19"/>
    </row>
    <row r="202" spans="2:21" s="20" customFormat="1" ht="17.100000000000001" customHeight="1" x14ac:dyDescent="0.3">
      <c r="B202" s="17"/>
      <c r="C202" s="17"/>
      <c r="E202" s="15"/>
      <c r="F202" s="15"/>
      <c r="G202" s="15"/>
      <c r="H202" s="16"/>
      <c r="I202" s="15"/>
      <c r="J202" s="16"/>
      <c r="K202" s="15"/>
      <c r="L202" s="15"/>
      <c r="M202" s="29"/>
      <c r="N202" s="19"/>
      <c r="O202" s="18">
        <f t="shared" si="4"/>
        <v>0</v>
      </c>
      <c r="P202" s="17"/>
      <c r="R202" s="22"/>
      <c r="S202" s="22"/>
      <c r="T202" s="19"/>
      <c r="U202" s="19"/>
    </row>
    <row r="203" spans="2:21" s="20" customFormat="1" ht="17.100000000000001" customHeight="1" x14ac:dyDescent="0.3">
      <c r="B203" s="17"/>
      <c r="C203" s="17"/>
      <c r="E203" s="15"/>
      <c r="F203" s="15"/>
      <c r="G203" s="15"/>
      <c r="H203" s="16"/>
      <c r="I203" s="15"/>
      <c r="J203" s="16"/>
      <c r="K203" s="15"/>
      <c r="L203" s="15"/>
      <c r="M203" s="29"/>
      <c r="N203" s="19"/>
      <c r="O203" s="18">
        <f t="shared" si="4"/>
        <v>0</v>
      </c>
      <c r="P203" s="17"/>
      <c r="R203" s="22"/>
      <c r="S203" s="22"/>
      <c r="T203" s="19"/>
      <c r="U203" s="19"/>
    </row>
    <row r="204" spans="2:21" s="20" customFormat="1" ht="17.100000000000001" customHeight="1" x14ac:dyDescent="0.3">
      <c r="B204" s="17"/>
      <c r="C204" s="17"/>
      <c r="E204" s="15"/>
      <c r="F204" s="15"/>
      <c r="G204" s="15"/>
      <c r="H204" s="16"/>
      <c r="I204" s="15"/>
      <c r="J204" s="16"/>
      <c r="K204" s="15"/>
      <c r="L204" s="15"/>
      <c r="M204" s="29"/>
      <c r="N204" s="19"/>
      <c r="O204" s="18">
        <f t="shared" si="4"/>
        <v>0</v>
      </c>
      <c r="P204" s="17"/>
      <c r="R204" s="22"/>
      <c r="S204" s="22"/>
      <c r="T204" s="19"/>
      <c r="U204" s="19"/>
    </row>
    <row r="205" spans="2:21" s="20" customFormat="1" ht="17.100000000000001" customHeight="1" x14ac:dyDescent="0.3">
      <c r="B205" s="17"/>
      <c r="C205" s="17"/>
      <c r="E205" s="15"/>
      <c r="F205" s="15"/>
      <c r="G205" s="15"/>
      <c r="H205" s="16"/>
      <c r="I205" s="15"/>
      <c r="J205" s="16"/>
      <c r="K205" s="15"/>
      <c r="L205" s="15"/>
      <c r="M205" s="29"/>
      <c r="N205" s="19"/>
      <c r="O205" s="18">
        <f t="shared" si="4"/>
        <v>0</v>
      </c>
      <c r="P205" s="17"/>
      <c r="R205" s="22"/>
      <c r="S205" s="22"/>
      <c r="T205" s="19"/>
      <c r="U205" s="19"/>
    </row>
    <row r="206" spans="2:21" s="20" customFormat="1" ht="17.100000000000001" customHeight="1" x14ac:dyDescent="0.3">
      <c r="B206" s="17"/>
      <c r="C206" s="17"/>
      <c r="E206" s="15"/>
      <c r="F206" s="15"/>
      <c r="G206" s="15"/>
      <c r="H206" s="16"/>
      <c r="I206" s="15"/>
      <c r="J206" s="16"/>
      <c r="K206" s="15"/>
      <c r="L206" s="15"/>
      <c r="M206" s="29"/>
      <c r="N206" s="19"/>
      <c r="O206" s="18">
        <f t="shared" si="4"/>
        <v>0</v>
      </c>
      <c r="P206" s="17"/>
      <c r="R206" s="22"/>
      <c r="S206" s="22"/>
      <c r="T206" s="19"/>
      <c r="U206" s="19"/>
    </row>
    <row r="207" spans="2:21" s="20" customFormat="1" ht="17.100000000000001" customHeight="1" x14ac:dyDescent="0.3">
      <c r="B207" s="17"/>
      <c r="C207" s="17"/>
      <c r="E207" s="15"/>
      <c r="F207" s="15"/>
      <c r="G207" s="15"/>
      <c r="H207" s="16"/>
      <c r="I207" s="15"/>
      <c r="J207" s="16"/>
      <c r="K207" s="15"/>
      <c r="L207" s="15"/>
      <c r="M207" s="29"/>
      <c r="N207" s="19"/>
      <c r="O207" s="18">
        <f t="shared" si="4"/>
        <v>0</v>
      </c>
      <c r="P207" s="17"/>
      <c r="R207" s="22"/>
      <c r="S207" s="22"/>
      <c r="T207" s="19"/>
      <c r="U207" s="19"/>
    </row>
    <row r="208" spans="2:21" s="20" customFormat="1" ht="17.100000000000001" customHeight="1" x14ac:dyDescent="0.3">
      <c r="B208" s="17"/>
      <c r="C208" s="17"/>
      <c r="E208" s="15"/>
      <c r="F208" s="15"/>
      <c r="G208" s="15"/>
      <c r="H208" s="16"/>
      <c r="I208" s="15"/>
      <c r="J208" s="16"/>
      <c r="K208" s="15"/>
      <c r="L208" s="15"/>
      <c r="M208" s="29"/>
      <c r="N208" s="19"/>
      <c r="O208" s="18">
        <f t="shared" si="4"/>
        <v>0</v>
      </c>
      <c r="P208" s="17"/>
      <c r="R208" s="22"/>
      <c r="S208" s="22"/>
      <c r="T208" s="19"/>
      <c r="U208" s="19"/>
    </row>
    <row r="209" spans="2:21" s="20" customFormat="1" ht="17.100000000000001" customHeight="1" x14ac:dyDescent="0.3">
      <c r="B209" s="17"/>
      <c r="C209" s="17"/>
      <c r="E209" s="15"/>
      <c r="F209" s="15"/>
      <c r="G209" s="15"/>
      <c r="H209" s="16"/>
      <c r="I209" s="15"/>
      <c r="J209" s="16"/>
      <c r="K209" s="15"/>
      <c r="L209" s="15"/>
      <c r="M209" s="29"/>
      <c r="N209" s="19"/>
      <c r="O209" s="18">
        <f t="shared" si="4"/>
        <v>0</v>
      </c>
      <c r="P209" s="17"/>
      <c r="R209" s="22"/>
      <c r="S209" s="22"/>
      <c r="T209" s="19"/>
      <c r="U209" s="19"/>
    </row>
    <row r="210" spans="2:21" s="20" customFormat="1" ht="17.100000000000001" customHeight="1" x14ac:dyDescent="0.3">
      <c r="B210" s="17"/>
      <c r="C210" s="17"/>
      <c r="E210" s="15"/>
      <c r="F210" s="15"/>
      <c r="G210" s="15"/>
      <c r="H210" s="16"/>
      <c r="I210" s="15"/>
      <c r="J210" s="16"/>
      <c r="K210" s="15"/>
      <c r="L210" s="15"/>
      <c r="M210" s="29"/>
      <c r="N210" s="19"/>
      <c r="O210" s="18">
        <f t="shared" si="4"/>
        <v>0</v>
      </c>
      <c r="P210" s="17"/>
      <c r="R210" s="22"/>
      <c r="S210" s="22"/>
      <c r="T210" s="19"/>
      <c r="U210" s="19"/>
    </row>
    <row r="211" spans="2:21" s="20" customFormat="1" ht="17.100000000000001" customHeight="1" x14ac:dyDescent="0.3">
      <c r="B211" s="17"/>
      <c r="C211" s="17"/>
      <c r="E211" s="15"/>
      <c r="F211" s="15"/>
      <c r="G211" s="15"/>
      <c r="H211" s="16"/>
      <c r="I211" s="15"/>
      <c r="J211" s="16"/>
      <c r="K211" s="15"/>
      <c r="L211" s="15"/>
      <c r="M211" s="29"/>
      <c r="N211" s="19"/>
      <c r="O211" s="18">
        <f t="shared" si="4"/>
        <v>0</v>
      </c>
      <c r="P211" s="17"/>
      <c r="R211" s="22"/>
      <c r="S211" s="22"/>
      <c r="T211" s="19"/>
      <c r="U211" s="19"/>
    </row>
    <row r="212" spans="2:21" s="20" customFormat="1" ht="17.100000000000001" customHeight="1" x14ac:dyDescent="0.3">
      <c r="B212" s="17"/>
      <c r="C212" s="17"/>
      <c r="E212" s="15"/>
      <c r="F212" s="15"/>
      <c r="G212" s="15"/>
      <c r="H212" s="16"/>
      <c r="I212" s="15"/>
      <c r="J212" s="16"/>
      <c r="K212" s="15"/>
      <c r="L212" s="15"/>
      <c r="M212" s="29"/>
      <c r="N212" s="19"/>
      <c r="O212" s="18">
        <f t="shared" si="4"/>
        <v>0</v>
      </c>
      <c r="P212" s="17"/>
      <c r="R212" s="22"/>
      <c r="S212" s="22"/>
      <c r="T212" s="19"/>
      <c r="U212" s="19"/>
    </row>
    <row r="213" spans="2:21" s="20" customFormat="1" ht="17.100000000000001" customHeight="1" x14ac:dyDescent="0.3">
      <c r="B213" s="17"/>
      <c r="C213" s="17"/>
      <c r="E213" s="15"/>
      <c r="F213" s="15"/>
      <c r="G213" s="15"/>
      <c r="H213" s="16"/>
      <c r="I213" s="15"/>
      <c r="J213" s="16"/>
      <c r="K213" s="15"/>
      <c r="L213" s="15"/>
      <c r="M213" s="29"/>
      <c r="N213" s="19"/>
      <c r="O213" s="18">
        <f t="shared" si="4"/>
        <v>0</v>
      </c>
      <c r="P213" s="17"/>
      <c r="R213" s="22"/>
      <c r="S213" s="22"/>
      <c r="T213" s="19"/>
      <c r="U213" s="19"/>
    </row>
    <row r="214" spans="2:21" s="20" customFormat="1" ht="17.100000000000001" customHeight="1" x14ac:dyDescent="0.3">
      <c r="B214" s="17"/>
      <c r="C214" s="17"/>
      <c r="E214" s="15"/>
      <c r="F214" s="15"/>
      <c r="G214" s="15"/>
      <c r="H214" s="16"/>
      <c r="I214" s="15"/>
      <c r="J214" s="16"/>
      <c r="K214" s="15"/>
      <c r="L214" s="15"/>
      <c r="M214" s="29"/>
      <c r="N214" s="19"/>
      <c r="O214" s="18">
        <f t="shared" si="4"/>
        <v>0</v>
      </c>
      <c r="P214" s="17"/>
      <c r="R214" s="22"/>
      <c r="S214" s="22"/>
      <c r="T214" s="19"/>
      <c r="U214" s="19"/>
    </row>
    <row r="215" spans="2:21" s="20" customFormat="1" ht="17.100000000000001" customHeight="1" x14ac:dyDescent="0.3">
      <c r="B215" s="17"/>
      <c r="C215" s="17"/>
      <c r="E215" s="15"/>
      <c r="F215" s="15"/>
      <c r="G215" s="15"/>
      <c r="H215" s="16"/>
      <c r="I215" s="15"/>
      <c r="J215" s="16"/>
      <c r="K215" s="15"/>
      <c r="L215" s="15"/>
      <c r="M215" s="29"/>
      <c r="N215" s="19"/>
      <c r="O215" s="18">
        <f t="shared" si="4"/>
        <v>0</v>
      </c>
      <c r="P215" s="17"/>
      <c r="R215" s="22"/>
      <c r="S215" s="22"/>
      <c r="T215" s="19"/>
      <c r="U215" s="19"/>
    </row>
    <row r="216" spans="2:21" s="20" customFormat="1" ht="17.100000000000001" customHeight="1" x14ac:dyDescent="0.3">
      <c r="B216" s="17"/>
      <c r="C216" s="17"/>
      <c r="E216" s="15"/>
      <c r="F216" s="15"/>
      <c r="G216" s="15"/>
      <c r="H216" s="16"/>
      <c r="I216" s="15"/>
      <c r="J216" s="16"/>
      <c r="K216" s="15"/>
      <c r="L216" s="15"/>
      <c r="M216" s="29"/>
      <c r="N216" s="19"/>
      <c r="O216" s="18">
        <f t="shared" si="4"/>
        <v>0</v>
      </c>
      <c r="P216" s="17"/>
      <c r="R216" s="22"/>
      <c r="S216" s="22"/>
      <c r="T216" s="19"/>
      <c r="U216" s="19"/>
    </row>
    <row r="217" spans="2:21" s="20" customFormat="1" ht="17.100000000000001" customHeight="1" x14ac:dyDescent="0.3">
      <c r="B217" s="17"/>
      <c r="C217" s="17"/>
      <c r="E217" s="15"/>
      <c r="F217" s="15"/>
      <c r="G217" s="15"/>
      <c r="H217" s="16"/>
      <c r="I217" s="15"/>
      <c r="J217" s="16"/>
      <c r="K217" s="15"/>
      <c r="L217" s="15"/>
      <c r="M217" s="29"/>
      <c r="N217" s="19"/>
      <c r="O217" s="18">
        <f t="shared" si="4"/>
        <v>0</v>
      </c>
      <c r="P217" s="17"/>
      <c r="R217" s="22"/>
      <c r="S217" s="22"/>
      <c r="T217" s="19"/>
      <c r="U217" s="19"/>
    </row>
    <row r="218" spans="2:21" s="20" customFormat="1" ht="17.100000000000001" customHeight="1" x14ac:dyDescent="0.3">
      <c r="B218" s="17"/>
      <c r="C218" s="17"/>
      <c r="E218" s="15"/>
      <c r="F218" s="15"/>
      <c r="G218" s="15"/>
      <c r="H218" s="16"/>
      <c r="I218" s="15"/>
      <c r="J218" s="16"/>
      <c r="K218" s="15"/>
      <c r="L218" s="15"/>
      <c r="M218" s="29"/>
      <c r="N218" s="19"/>
      <c r="O218" s="18">
        <f t="shared" si="4"/>
        <v>0</v>
      </c>
      <c r="P218" s="17"/>
      <c r="R218" s="22"/>
      <c r="S218" s="22"/>
      <c r="T218" s="19"/>
      <c r="U218" s="19"/>
    </row>
    <row r="219" spans="2:21" s="20" customFormat="1" ht="17.100000000000001" customHeight="1" x14ac:dyDescent="0.3">
      <c r="B219" s="17"/>
      <c r="C219" s="17"/>
      <c r="E219" s="15"/>
      <c r="F219" s="15"/>
      <c r="G219" s="15"/>
      <c r="H219" s="16"/>
      <c r="I219" s="15"/>
      <c r="J219" s="16"/>
      <c r="K219" s="15"/>
      <c r="L219" s="15"/>
      <c r="M219" s="29"/>
      <c r="N219" s="19"/>
      <c r="O219" s="18">
        <f t="shared" ref="O219:O282" si="5">(N219*I219)+U219</f>
        <v>0</v>
      </c>
      <c r="P219" s="17"/>
      <c r="R219" s="22"/>
      <c r="S219" s="22"/>
      <c r="T219" s="19"/>
      <c r="U219" s="19"/>
    </row>
    <row r="220" spans="2:21" s="20" customFormat="1" ht="17.100000000000001" customHeight="1" x14ac:dyDescent="0.3">
      <c r="B220" s="17"/>
      <c r="C220" s="17"/>
      <c r="E220" s="15"/>
      <c r="F220" s="15"/>
      <c r="G220" s="15"/>
      <c r="H220" s="16"/>
      <c r="I220" s="15"/>
      <c r="J220" s="16"/>
      <c r="K220" s="15"/>
      <c r="L220" s="15"/>
      <c r="M220" s="29"/>
      <c r="N220" s="19"/>
      <c r="O220" s="18">
        <f t="shared" si="5"/>
        <v>0</v>
      </c>
      <c r="P220" s="17"/>
      <c r="R220" s="22"/>
      <c r="S220" s="22"/>
      <c r="T220" s="19"/>
      <c r="U220" s="19"/>
    </row>
    <row r="221" spans="2:21" s="20" customFormat="1" ht="17.100000000000001" customHeight="1" x14ac:dyDescent="0.3">
      <c r="B221" s="17"/>
      <c r="C221" s="17"/>
      <c r="E221" s="15"/>
      <c r="F221" s="15"/>
      <c r="G221" s="15"/>
      <c r="H221" s="16"/>
      <c r="I221" s="15"/>
      <c r="J221" s="16"/>
      <c r="K221" s="15"/>
      <c r="L221" s="15"/>
      <c r="M221" s="29"/>
      <c r="N221" s="19"/>
      <c r="O221" s="18">
        <f t="shared" si="5"/>
        <v>0</v>
      </c>
      <c r="P221" s="17"/>
      <c r="R221" s="22"/>
      <c r="S221" s="22"/>
      <c r="T221" s="19"/>
      <c r="U221" s="19"/>
    </row>
    <row r="222" spans="2:21" s="20" customFormat="1" ht="17.100000000000001" customHeight="1" x14ac:dyDescent="0.3">
      <c r="B222" s="17"/>
      <c r="C222" s="17"/>
      <c r="E222" s="15"/>
      <c r="F222" s="15"/>
      <c r="G222" s="15"/>
      <c r="H222" s="16"/>
      <c r="I222" s="15"/>
      <c r="J222" s="16"/>
      <c r="K222" s="15"/>
      <c r="L222" s="15"/>
      <c r="M222" s="29"/>
      <c r="N222" s="19"/>
      <c r="O222" s="18">
        <f t="shared" si="5"/>
        <v>0</v>
      </c>
      <c r="P222" s="17"/>
      <c r="R222" s="22"/>
      <c r="S222" s="22"/>
      <c r="T222" s="19"/>
      <c r="U222" s="19"/>
    </row>
    <row r="223" spans="2:21" s="20" customFormat="1" ht="17.100000000000001" customHeight="1" x14ac:dyDescent="0.3">
      <c r="B223" s="17"/>
      <c r="C223" s="17"/>
      <c r="E223" s="15"/>
      <c r="F223" s="15"/>
      <c r="G223" s="15"/>
      <c r="H223" s="16"/>
      <c r="I223" s="15"/>
      <c r="J223" s="16"/>
      <c r="K223" s="15"/>
      <c r="L223" s="15"/>
      <c r="M223" s="29"/>
      <c r="N223" s="19"/>
      <c r="O223" s="18">
        <f t="shared" si="5"/>
        <v>0</v>
      </c>
      <c r="P223" s="17"/>
      <c r="R223" s="22"/>
      <c r="S223" s="22"/>
      <c r="T223" s="19"/>
      <c r="U223" s="19"/>
    </row>
    <row r="224" spans="2:21" s="20" customFormat="1" ht="17.100000000000001" customHeight="1" x14ac:dyDescent="0.3">
      <c r="B224" s="17"/>
      <c r="C224" s="17"/>
      <c r="E224" s="15"/>
      <c r="F224" s="15"/>
      <c r="G224" s="15"/>
      <c r="H224" s="16"/>
      <c r="I224" s="15"/>
      <c r="J224" s="16"/>
      <c r="K224" s="15"/>
      <c r="L224" s="15"/>
      <c r="M224" s="29"/>
      <c r="N224" s="19"/>
      <c r="O224" s="18">
        <f t="shared" si="5"/>
        <v>0</v>
      </c>
      <c r="P224" s="17"/>
      <c r="R224" s="22"/>
      <c r="S224" s="22"/>
      <c r="T224" s="19"/>
      <c r="U224" s="19"/>
    </row>
    <row r="225" spans="2:21" s="20" customFormat="1" ht="17.100000000000001" customHeight="1" x14ac:dyDescent="0.3">
      <c r="B225" s="17"/>
      <c r="C225" s="17"/>
      <c r="E225" s="15"/>
      <c r="F225" s="15"/>
      <c r="G225" s="15"/>
      <c r="H225" s="16"/>
      <c r="I225" s="15"/>
      <c r="J225" s="16"/>
      <c r="K225" s="15"/>
      <c r="L225" s="15"/>
      <c r="M225" s="29"/>
      <c r="N225" s="19"/>
      <c r="O225" s="18">
        <f t="shared" si="5"/>
        <v>0</v>
      </c>
      <c r="P225" s="17"/>
      <c r="R225" s="22"/>
      <c r="S225" s="22"/>
      <c r="T225" s="19"/>
      <c r="U225" s="19"/>
    </row>
    <row r="226" spans="2:21" s="20" customFormat="1" ht="17.100000000000001" customHeight="1" x14ac:dyDescent="0.3">
      <c r="B226" s="17"/>
      <c r="C226" s="17"/>
      <c r="E226" s="15"/>
      <c r="F226" s="15"/>
      <c r="G226" s="15"/>
      <c r="H226" s="16"/>
      <c r="I226" s="15"/>
      <c r="J226" s="16"/>
      <c r="K226" s="15"/>
      <c r="L226" s="15"/>
      <c r="M226" s="29"/>
      <c r="N226" s="19"/>
      <c r="O226" s="18">
        <f t="shared" si="5"/>
        <v>0</v>
      </c>
      <c r="P226" s="17"/>
      <c r="R226" s="22"/>
      <c r="S226" s="22"/>
      <c r="T226" s="19"/>
      <c r="U226" s="19"/>
    </row>
    <row r="227" spans="2:21" s="20" customFormat="1" ht="17.100000000000001" customHeight="1" x14ac:dyDescent="0.3">
      <c r="B227" s="17"/>
      <c r="C227" s="17"/>
      <c r="E227" s="15"/>
      <c r="F227" s="15"/>
      <c r="G227" s="15"/>
      <c r="H227" s="16"/>
      <c r="I227" s="15"/>
      <c r="J227" s="16"/>
      <c r="K227" s="15"/>
      <c r="L227" s="15"/>
      <c r="M227" s="29"/>
      <c r="N227" s="19"/>
      <c r="O227" s="18">
        <f t="shared" si="5"/>
        <v>0</v>
      </c>
      <c r="P227" s="17"/>
      <c r="R227" s="22"/>
      <c r="S227" s="22"/>
      <c r="T227" s="19"/>
      <c r="U227" s="19"/>
    </row>
    <row r="228" spans="2:21" s="20" customFormat="1" ht="17.100000000000001" customHeight="1" x14ac:dyDescent="0.3">
      <c r="B228" s="17"/>
      <c r="C228" s="17"/>
      <c r="E228" s="15"/>
      <c r="F228" s="15"/>
      <c r="G228" s="15"/>
      <c r="H228" s="16"/>
      <c r="I228" s="15"/>
      <c r="J228" s="16"/>
      <c r="K228" s="15"/>
      <c r="L228" s="15"/>
      <c r="M228" s="29"/>
      <c r="N228" s="19"/>
      <c r="O228" s="18">
        <f t="shared" si="5"/>
        <v>0</v>
      </c>
      <c r="P228" s="17"/>
      <c r="R228" s="22"/>
      <c r="S228" s="22"/>
      <c r="T228" s="19"/>
      <c r="U228" s="19"/>
    </row>
    <row r="229" spans="2:21" s="20" customFormat="1" ht="17.100000000000001" customHeight="1" x14ac:dyDescent="0.3">
      <c r="B229" s="17"/>
      <c r="C229" s="17"/>
      <c r="E229" s="15"/>
      <c r="F229" s="15"/>
      <c r="G229" s="15"/>
      <c r="H229" s="16"/>
      <c r="I229" s="15"/>
      <c r="J229" s="16"/>
      <c r="K229" s="15"/>
      <c r="L229" s="15"/>
      <c r="M229" s="29"/>
      <c r="N229" s="19"/>
      <c r="O229" s="18">
        <f t="shared" si="5"/>
        <v>0</v>
      </c>
      <c r="P229" s="17"/>
      <c r="R229" s="22"/>
      <c r="S229" s="22"/>
      <c r="T229" s="19"/>
      <c r="U229" s="19"/>
    </row>
    <row r="230" spans="2:21" s="20" customFormat="1" ht="17.100000000000001" customHeight="1" x14ac:dyDescent="0.3">
      <c r="B230" s="17"/>
      <c r="C230" s="17"/>
      <c r="E230" s="15"/>
      <c r="F230" s="15"/>
      <c r="G230" s="15"/>
      <c r="H230" s="16"/>
      <c r="I230" s="15"/>
      <c r="J230" s="16"/>
      <c r="K230" s="15"/>
      <c r="L230" s="15"/>
      <c r="M230" s="29"/>
      <c r="N230" s="19"/>
      <c r="O230" s="18">
        <f t="shared" si="5"/>
        <v>0</v>
      </c>
      <c r="P230" s="17"/>
      <c r="R230" s="22"/>
      <c r="S230" s="22"/>
      <c r="T230" s="19"/>
      <c r="U230" s="19"/>
    </row>
    <row r="231" spans="2:21" s="20" customFormat="1" ht="17.100000000000001" customHeight="1" x14ac:dyDescent="0.3">
      <c r="B231" s="17"/>
      <c r="C231" s="17"/>
      <c r="E231" s="15"/>
      <c r="F231" s="15"/>
      <c r="G231" s="15"/>
      <c r="H231" s="16"/>
      <c r="I231" s="15"/>
      <c r="J231" s="16"/>
      <c r="K231" s="15"/>
      <c r="L231" s="15"/>
      <c r="M231" s="29"/>
      <c r="N231" s="19"/>
      <c r="O231" s="18">
        <f t="shared" si="5"/>
        <v>0</v>
      </c>
      <c r="P231" s="17"/>
      <c r="R231" s="22"/>
      <c r="S231" s="22"/>
      <c r="T231" s="19"/>
      <c r="U231" s="19"/>
    </row>
    <row r="232" spans="2:21" s="20" customFormat="1" ht="17.100000000000001" customHeight="1" x14ac:dyDescent="0.3">
      <c r="B232" s="17"/>
      <c r="C232" s="17"/>
      <c r="E232" s="15"/>
      <c r="F232" s="15"/>
      <c r="G232" s="15"/>
      <c r="H232" s="16"/>
      <c r="I232" s="15"/>
      <c r="J232" s="16"/>
      <c r="K232" s="15"/>
      <c r="L232" s="15"/>
      <c r="M232" s="29"/>
      <c r="N232" s="19"/>
      <c r="O232" s="18">
        <f t="shared" si="5"/>
        <v>0</v>
      </c>
      <c r="P232" s="17"/>
      <c r="R232" s="22"/>
      <c r="S232" s="22"/>
      <c r="T232" s="19"/>
      <c r="U232" s="19"/>
    </row>
    <row r="233" spans="2:21" s="20" customFormat="1" ht="17.100000000000001" customHeight="1" x14ac:dyDescent="0.3">
      <c r="B233" s="17"/>
      <c r="C233" s="17"/>
      <c r="E233" s="15"/>
      <c r="F233" s="15"/>
      <c r="G233" s="15"/>
      <c r="H233" s="16"/>
      <c r="I233" s="15"/>
      <c r="J233" s="16"/>
      <c r="K233" s="15"/>
      <c r="L233" s="15"/>
      <c r="M233" s="29"/>
      <c r="N233" s="19"/>
      <c r="O233" s="18">
        <f t="shared" si="5"/>
        <v>0</v>
      </c>
      <c r="P233" s="17"/>
      <c r="R233" s="22"/>
      <c r="S233" s="22"/>
      <c r="T233" s="19"/>
      <c r="U233" s="19"/>
    </row>
    <row r="234" spans="2:21" s="20" customFormat="1" ht="17.100000000000001" customHeight="1" x14ac:dyDescent="0.3">
      <c r="B234" s="17"/>
      <c r="C234" s="17"/>
      <c r="E234" s="15"/>
      <c r="F234" s="15"/>
      <c r="G234" s="15"/>
      <c r="H234" s="16"/>
      <c r="I234" s="15"/>
      <c r="J234" s="16"/>
      <c r="K234" s="15"/>
      <c r="L234" s="15"/>
      <c r="M234" s="29"/>
      <c r="N234" s="19"/>
      <c r="O234" s="18">
        <f t="shared" si="5"/>
        <v>0</v>
      </c>
      <c r="P234" s="17"/>
      <c r="R234" s="22"/>
      <c r="S234" s="22"/>
      <c r="T234" s="19"/>
      <c r="U234" s="19"/>
    </row>
    <row r="235" spans="2:21" s="20" customFormat="1" ht="17.100000000000001" customHeight="1" x14ac:dyDescent="0.3">
      <c r="B235" s="17"/>
      <c r="C235" s="17"/>
      <c r="E235" s="15"/>
      <c r="F235" s="15"/>
      <c r="G235" s="15"/>
      <c r="H235" s="16"/>
      <c r="I235" s="15"/>
      <c r="J235" s="16"/>
      <c r="K235" s="15"/>
      <c r="L235" s="15"/>
      <c r="M235" s="29"/>
      <c r="N235" s="19"/>
      <c r="O235" s="18">
        <f t="shared" si="5"/>
        <v>0</v>
      </c>
      <c r="P235" s="17"/>
      <c r="R235" s="22"/>
      <c r="S235" s="22"/>
      <c r="T235" s="19"/>
      <c r="U235" s="19"/>
    </row>
    <row r="236" spans="2:21" s="20" customFormat="1" ht="17.100000000000001" customHeight="1" x14ac:dyDescent="0.3">
      <c r="B236" s="17"/>
      <c r="C236" s="17"/>
      <c r="E236" s="15"/>
      <c r="F236" s="15"/>
      <c r="G236" s="15"/>
      <c r="H236" s="16"/>
      <c r="I236" s="15"/>
      <c r="J236" s="16"/>
      <c r="K236" s="15"/>
      <c r="L236" s="15"/>
      <c r="M236" s="29"/>
      <c r="N236" s="19"/>
      <c r="O236" s="18">
        <f t="shared" si="5"/>
        <v>0</v>
      </c>
      <c r="P236" s="17"/>
      <c r="R236" s="22"/>
      <c r="S236" s="22"/>
      <c r="T236" s="19"/>
      <c r="U236" s="19"/>
    </row>
    <row r="237" spans="2:21" s="20" customFormat="1" ht="17.100000000000001" customHeight="1" x14ac:dyDescent="0.3">
      <c r="B237" s="17"/>
      <c r="C237" s="17"/>
      <c r="E237" s="15"/>
      <c r="F237" s="15"/>
      <c r="G237" s="15"/>
      <c r="H237" s="16"/>
      <c r="I237" s="15"/>
      <c r="J237" s="16"/>
      <c r="K237" s="15"/>
      <c r="L237" s="15"/>
      <c r="M237" s="29"/>
      <c r="N237" s="19"/>
      <c r="O237" s="18">
        <f t="shared" si="5"/>
        <v>0</v>
      </c>
      <c r="P237" s="17"/>
      <c r="R237" s="22"/>
      <c r="S237" s="22"/>
      <c r="T237" s="19"/>
      <c r="U237" s="19"/>
    </row>
    <row r="238" spans="2:21" s="20" customFormat="1" ht="17.100000000000001" customHeight="1" x14ac:dyDescent="0.3">
      <c r="B238" s="17"/>
      <c r="C238" s="17"/>
      <c r="E238" s="15"/>
      <c r="F238" s="15"/>
      <c r="G238" s="15"/>
      <c r="H238" s="16"/>
      <c r="I238" s="15"/>
      <c r="J238" s="16"/>
      <c r="K238" s="15"/>
      <c r="L238" s="15"/>
      <c r="M238" s="29"/>
      <c r="N238" s="19"/>
      <c r="O238" s="18">
        <f t="shared" si="5"/>
        <v>0</v>
      </c>
      <c r="P238" s="17"/>
      <c r="R238" s="22"/>
      <c r="S238" s="22"/>
      <c r="T238" s="19"/>
      <c r="U238" s="19"/>
    </row>
    <row r="239" spans="2:21" s="20" customFormat="1" ht="17.100000000000001" customHeight="1" x14ac:dyDescent="0.3">
      <c r="B239" s="17"/>
      <c r="C239" s="17"/>
      <c r="E239" s="15"/>
      <c r="F239" s="15"/>
      <c r="G239" s="15"/>
      <c r="H239" s="16"/>
      <c r="I239" s="15"/>
      <c r="J239" s="16"/>
      <c r="K239" s="15"/>
      <c r="L239" s="15"/>
      <c r="M239" s="29"/>
      <c r="N239" s="19"/>
      <c r="O239" s="18">
        <f t="shared" si="5"/>
        <v>0</v>
      </c>
      <c r="P239" s="17"/>
      <c r="R239" s="22"/>
      <c r="S239" s="22"/>
      <c r="T239" s="19"/>
      <c r="U239" s="19"/>
    </row>
    <row r="240" spans="2:21" s="20" customFormat="1" ht="17.100000000000001" customHeight="1" x14ac:dyDescent="0.3">
      <c r="B240" s="17"/>
      <c r="C240" s="17"/>
      <c r="E240" s="15"/>
      <c r="F240" s="15"/>
      <c r="G240" s="15"/>
      <c r="H240" s="16"/>
      <c r="I240" s="15"/>
      <c r="J240" s="16"/>
      <c r="K240" s="15"/>
      <c r="L240" s="15"/>
      <c r="M240" s="29"/>
      <c r="N240" s="19"/>
      <c r="O240" s="18">
        <f t="shared" si="5"/>
        <v>0</v>
      </c>
      <c r="P240" s="17"/>
      <c r="R240" s="22"/>
      <c r="S240" s="22"/>
      <c r="T240" s="19"/>
      <c r="U240" s="19"/>
    </row>
    <row r="241" spans="2:21" s="20" customFormat="1" ht="17.100000000000001" customHeight="1" x14ac:dyDescent="0.3">
      <c r="B241" s="17"/>
      <c r="C241" s="17"/>
      <c r="E241" s="15"/>
      <c r="F241" s="15"/>
      <c r="G241" s="15"/>
      <c r="H241" s="16"/>
      <c r="I241" s="15"/>
      <c r="J241" s="16"/>
      <c r="K241" s="15"/>
      <c r="L241" s="15"/>
      <c r="M241" s="29"/>
      <c r="N241" s="19"/>
      <c r="O241" s="18">
        <f t="shared" si="5"/>
        <v>0</v>
      </c>
      <c r="P241" s="17"/>
      <c r="R241" s="22"/>
      <c r="S241" s="22"/>
      <c r="T241" s="19"/>
      <c r="U241" s="19"/>
    </row>
    <row r="242" spans="2:21" s="20" customFormat="1" ht="17.100000000000001" customHeight="1" x14ac:dyDescent="0.3">
      <c r="B242" s="17"/>
      <c r="C242" s="17"/>
      <c r="E242" s="15"/>
      <c r="F242" s="15"/>
      <c r="G242" s="15"/>
      <c r="H242" s="16"/>
      <c r="I242" s="15"/>
      <c r="J242" s="16"/>
      <c r="K242" s="15"/>
      <c r="L242" s="15"/>
      <c r="M242" s="29"/>
      <c r="N242" s="19"/>
      <c r="O242" s="18">
        <f t="shared" si="5"/>
        <v>0</v>
      </c>
      <c r="P242" s="17"/>
      <c r="R242" s="22"/>
      <c r="S242" s="22"/>
      <c r="T242" s="19"/>
      <c r="U242" s="19"/>
    </row>
    <row r="243" spans="2:21" s="20" customFormat="1" ht="17.100000000000001" customHeight="1" x14ac:dyDescent="0.3">
      <c r="B243" s="17"/>
      <c r="C243" s="17"/>
      <c r="E243" s="15"/>
      <c r="F243" s="15"/>
      <c r="G243" s="15"/>
      <c r="H243" s="16"/>
      <c r="I243" s="15"/>
      <c r="J243" s="16"/>
      <c r="K243" s="15"/>
      <c r="L243" s="15"/>
      <c r="M243" s="29"/>
      <c r="N243" s="19"/>
      <c r="O243" s="18">
        <f t="shared" si="5"/>
        <v>0</v>
      </c>
      <c r="P243" s="17"/>
      <c r="R243" s="22"/>
      <c r="S243" s="22"/>
      <c r="T243" s="19"/>
      <c r="U243" s="19"/>
    </row>
    <row r="244" spans="2:21" s="20" customFormat="1" ht="17.100000000000001" customHeight="1" x14ac:dyDescent="0.3">
      <c r="B244" s="17"/>
      <c r="C244" s="17"/>
      <c r="E244" s="15"/>
      <c r="F244" s="15"/>
      <c r="G244" s="15"/>
      <c r="H244" s="16"/>
      <c r="I244" s="15"/>
      <c r="J244" s="16"/>
      <c r="K244" s="15"/>
      <c r="L244" s="15"/>
      <c r="M244" s="29"/>
      <c r="N244" s="19"/>
      <c r="O244" s="18">
        <f t="shared" si="5"/>
        <v>0</v>
      </c>
      <c r="P244" s="17"/>
      <c r="R244" s="22"/>
      <c r="S244" s="22"/>
      <c r="T244" s="19"/>
      <c r="U244" s="19"/>
    </row>
    <row r="245" spans="2:21" s="20" customFormat="1" ht="17.100000000000001" customHeight="1" x14ac:dyDescent="0.3">
      <c r="B245" s="17"/>
      <c r="C245" s="17"/>
      <c r="E245" s="15"/>
      <c r="F245" s="15"/>
      <c r="G245" s="15"/>
      <c r="H245" s="16"/>
      <c r="I245" s="15"/>
      <c r="J245" s="16"/>
      <c r="K245" s="15"/>
      <c r="L245" s="15"/>
      <c r="M245" s="29"/>
      <c r="N245" s="19"/>
      <c r="O245" s="18">
        <f t="shared" si="5"/>
        <v>0</v>
      </c>
      <c r="P245" s="17"/>
      <c r="R245" s="22"/>
      <c r="S245" s="22"/>
      <c r="T245" s="19"/>
      <c r="U245" s="19"/>
    </row>
    <row r="246" spans="2:21" s="20" customFormat="1" ht="17.100000000000001" customHeight="1" x14ac:dyDescent="0.3">
      <c r="B246" s="17"/>
      <c r="C246" s="17"/>
      <c r="E246" s="15"/>
      <c r="F246" s="15"/>
      <c r="G246" s="15"/>
      <c r="H246" s="16"/>
      <c r="I246" s="15"/>
      <c r="J246" s="16"/>
      <c r="K246" s="15"/>
      <c r="L246" s="15"/>
      <c r="M246" s="29"/>
      <c r="N246" s="19"/>
      <c r="O246" s="18">
        <f t="shared" si="5"/>
        <v>0</v>
      </c>
      <c r="P246" s="17"/>
      <c r="R246" s="22"/>
      <c r="S246" s="22"/>
      <c r="T246" s="19"/>
      <c r="U246" s="19"/>
    </row>
    <row r="247" spans="2:21" s="20" customFormat="1" ht="17.100000000000001" customHeight="1" x14ac:dyDescent="0.3">
      <c r="B247" s="17"/>
      <c r="C247" s="17"/>
      <c r="E247" s="15"/>
      <c r="F247" s="15"/>
      <c r="G247" s="15"/>
      <c r="H247" s="16"/>
      <c r="I247" s="15"/>
      <c r="J247" s="16"/>
      <c r="K247" s="15"/>
      <c r="L247" s="15"/>
      <c r="M247" s="29"/>
      <c r="N247" s="19"/>
      <c r="O247" s="18">
        <f t="shared" si="5"/>
        <v>0</v>
      </c>
      <c r="P247" s="17"/>
      <c r="R247" s="22"/>
      <c r="S247" s="22"/>
      <c r="T247" s="19"/>
      <c r="U247" s="19"/>
    </row>
    <row r="248" spans="2:21" s="20" customFormat="1" ht="17.100000000000001" customHeight="1" x14ac:dyDescent="0.3">
      <c r="B248" s="17"/>
      <c r="C248" s="17"/>
      <c r="E248" s="15"/>
      <c r="F248" s="15"/>
      <c r="G248" s="15"/>
      <c r="H248" s="16"/>
      <c r="I248" s="15"/>
      <c r="J248" s="16"/>
      <c r="K248" s="15"/>
      <c r="L248" s="15"/>
      <c r="M248" s="29"/>
      <c r="N248" s="19"/>
      <c r="O248" s="18">
        <f t="shared" si="5"/>
        <v>0</v>
      </c>
      <c r="P248" s="17"/>
      <c r="R248" s="22"/>
      <c r="S248" s="22"/>
      <c r="T248" s="19"/>
      <c r="U248" s="19"/>
    </row>
    <row r="249" spans="2:21" s="20" customFormat="1" ht="17.100000000000001" customHeight="1" x14ac:dyDescent="0.3">
      <c r="B249" s="17"/>
      <c r="C249" s="17"/>
      <c r="E249" s="15"/>
      <c r="F249" s="15"/>
      <c r="G249" s="15"/>
      <c r="H249" s="16"/>
      <c r="I249" s="15"/>
      <c r="J249" s="16"/>
      <c r="K249" s="15"/>
      <c r="L249" s="15"/>
      <c r="M249" s="29"/>
      <c r="N249" s="19"/>
      <c r="O249" s="18">
        <f t="shared" si="5"/>
        <v>0</v>
      </c>
      <c r="P249" s="17"/>
      <c r="R249" s="22"/>
      <c r="S249" s="22"/>
      <c r="T249" s="19"/>
      <c r="U249" s="19"/>
    </row>
    <row r="250" spans="2:21" s="20" customFormat="1" ht="17.100000000000001" customHeight="1" x14ac:dyDescent="0.3">
      <c r="B250" s="17"/>
      <c r="C250" s="17"/>
      <c r="E250" s="15"/>
      <c r="F250" s="15"/>
      <c r="G250" s="15"/>
      <c r="H250" s="16"/>
      <c r="I250" s="15"/>
      <c r="J250" s="16"/>
      <c r="K250" s="15"/>
      <c r="L250" s="15"/>
      <c r="M250" s="29"/>
      <c r="N250" s="19"/>
      <c r="O250" s="18">
        <f t="shared" si="5"/>
        <v>0</v>
      </c>
      <c r="P250" s="17"/>
      <c r="R250" s="22"/>
      <c r="S250" s="22"/>
      <c r="T250" s="19"/>
      <c r="U250" s="19"/>
    </row>
    <row r="251" spans="2:21" s="20" customFormat="1" ht="17.100000000000001" customHeight="1" x14ac:dyDescent="0.3">
      <c r="B251" s="17"/>
      <c r="C251" s="17"/>
      <c r="E251" s="15"/>
      <c r="F251" s="15"/>
      <c r="G251" s="15"/>
      <c r="H251" s="16"/>
      <c r="I251" s="15"/>
      <c r="J251" s="16"/>
      <c r="K251" s="15"/>
      <c r="L251" s="15"/>
      <c r="M251" s="29"/>
      <c r="N251" s="19"/>
      <c r="O251" s="18">
        <f t="shared" si="5"/>
        <v>0</v>
      </c>
      <c r="P251" s="17"/>
      <c r="R251" s="22"/>
      <c r="S251" s="22"/>
      <c r="T251" s="19"/>
      <c r="U251" s="19"/>
    </row>
    <row r="252" spans="2:21" s="20" customFormat="1" ht="17.100000000000001" customHeight="1" x14ac:dyDescent="0.3">
      <c r="B252" s="17"/>
      <c r="C252" s="17"/>
      <c r="E252" s="15"/>
      <c r="F252" s="15"/>
      <c r="G252" s="15"/>
      <c r="H252" s="16"/>
      <c r="I252" s="15"/>
      <c r="J252" s="16"/>
      <c r="K252" s="15"/>
      <c r="L252" s="15"/>
      <c r="M252" s="29"/>
      <c r="N252" s="19"/>
      <c r="O252" s="18">
        <f t="shared" si="5"/>
        <v>0</v>
      </c>
      <c r="P252" s="17"/>
      <c r="R252" s="22"/>
      <c r="S252" s="22"/>
      <c r="T252" s="19"/>
      <c r="U252" s="19"/>
    </row>
    <row r="253" spans="2:21" s="20" customFormat="1" ht="17.100000000000001" customHeight="1" x14ac:dyDescent="0.3">
      <c r="B253" s="17"/>
      <c r="C253" s="17"/>
      <c r="E253" s="15"/>
      <c r="F253" s="15"/>
      <c r="G253" s="15"/>
      <c r="H253" s="16"/>
      <c r="I253" s="15"/>
      <c r="J253" s="16"/>
      <c r="K253" s="15"/>
      <c r="L253" s="15"/>
      <c r="M253" s="29"/>
      <c r="N253" s="19"/>
      <c r="O253" s="18">
        <f t="shared" si="5"/>
        <v>0</v>
      </c>
      <c r="P253" s="17"/>
      <c r="R253" s="22"/>
      <c r="S253" s="22"/>
      <c r="T253" s="19"/>
      <c r="U253" s="19"/>
    </row>
    <row r="254" spans="2:21" s="20" customFormat="1" ht="17.100000000000001" customHeight="1" x14ac:dyDescent="0.3">
      <c r="B254" s="17"/>
      <c r="C254" s="17"/>
      <c r="E254" s="15"/>
      <c r="F254" s="15"/>
      <c r="G254" s="15"/>
      <c r="H254" s="16"/>
      <c r="I254" s="15"/>
      <c r="J254" s="16"/>
      <c r="K254" s="15"/>
      <c r="L254" s="15"/>
      <c r="M254" s="29"/>
      <c r="N254" s="19"/>
      <c r="O254" s="18">
        <f t="shared" si="5"/>
        <v>0</v>
      </c>
      <c r="P254" s="17"/>
      <c r="R254" s="22"/>
      <c r="S254" s="22"/>
      <c r="T254" s="19"/>
      <c r="U254" s="19"/>
    </row>
    <row r="255" spans="2:21" s="20" customFormat="1" ht="17.100000000000001" customHeight="1" x14ac:dyDescent="0.3">
      <c r="B255" s="17"/>
      <c r="C255" s="17"/>
      <c r="E255" s="15"/>
      <c r="F255" s="15"/>
      <c r="G255" s="15"/>
      <c r="H255" s="16"/>
      <c r="I255" s="15"/>
      <c r="J255" s="16"/>
      <c r="K255" s="15"/>
      <c r="L255" s="15"/>
      <c r="M255" s="29"/>
      <c r="N255" s="19"/>
      <c r="O255" s="18">
        <f t="shared" si="5"/>
        <v>0</v>
      </c>
      <c r="P255" s="17"/>
      <c r="R255" s="22"/>
      <c r="S255" s="22"/>
      <c r="T255" s="19"/>
      <c r="U255" s="19"/>
    </row>
    <row r="256" spans="2:21" s="20" customFormat="1" ht="17.100000000000001" customHeight="1" x14ac:dyDescent="0.3">
      <c r="B256" s="17"/>
      <c r="C256" s="17"/>
      <c r="E256" s="15"/>
      <c r="F256" s="15"/>
      <c r="G256" s="15"/>
      <c r="H256" s="16"/>
      <c r="I256" s="15"/>
      <c r="J256" s="16"/>
      <c r="K256" s="15"/>
      <c r="L256" s="15"/>
      <c r="M256" s="29"/>
      <c r="N256" s="19"/>
      <c r="O256" s="18">
        <f t="shared" si="5"/>
        <v>0</v>
      </c>
      <c r="P256" s="17"/>
      <c r="R256" s="22"/>
      <c r="S256" s="22"/>
      <c r="T256" s="19"/>
      <c r="U256" s="19"/>
    </row>
    <row r="257" spans="2:21" s="20" customFormat="1" ht="17.100000000000001" customHeight="1" x14ac:dyDescent="0.3">
      <c r="B257" s="17"/>
      <c r="C257" s="17"/>
      <c r="E257" s="15"/>
      <c r="F257" s="15"/>
      <c r="G257" s="15"/>
      <c r="H257" s="16"/>
      <c r="I257" s="15"/>
      <c r="J257" s="16"/>
      <c r="K257" s="15"/>
      <c r="L257" s="15"/>
      <c r="M257" s="29"/>
      <c r="N257" s="19"/>
      <c r="O257" s="18">
        <f t="shared" si="5"/>
        <v>0</v>
      </c>
      <c r="P257" s="17"/>
      <c r="R257" s="22"/>
      <c r="S257" s="22"/>
      <c r="T257" s="19"/>
      <c r="U257" s="19"/>
    </row>
    <row r="258" spans="2:21" s="20" customFormat="1" ht="17.100000000000001" customHeight="1" x14ac:dyDescent="0.3">
      <c r="B258" s="17"/>
      <c r="C258" s="17"/>
      <c r="E258" s="15"/>
      <c r="F258" s="15"/>
      <c r="G258" s="15"/>
      <c r="H258" s="16"/>
      <c r="I258" s="15"/>
      <c r="J258" s="16"/>
      <c r="K258" s="15"/>
      <c r="L258" s="15"/>
      <c r="M258" s="29"/>
      <c r="N258" s="19"/>
      <c r="O258" s="18">
        <f t="shared" si="5"/>
        <v>0</v>
      </c>
      <c r="P258" s="17"/>
      <c r="R258" s="22"/>
      <c r="S258" s="22"/>
      <c r="T258" s="19"/>
      <c r="U258" s="19"/>
    </row>
    <row r="259" spans="2:21" s="20" customFormat="1" ht="17.100000000000001" customHeight="1" x14ac:dyDescent="0.3">
      <c r="B259" s="17"/>
      <c r="C259" s="17"/>
      <c r="E259" s="15"/>
      <c r="F259" s="15"/>
      <c r="G259" s="15"/>
      <c r="H259" s="16"/>
      <c r="I259" s="15"/>
      <c r="J259" s="16"/>
      <c r="K259" s="15"/>
      <c r="L259" s="15"/>
      <c r="M259" s="29"/>
      <c r="N259" s="19"/>
      <c r="O259" s="18">
        <f t="shared" si="5"/>
        <v>0</v>
      </c>
      <c r="P259" s="17"/>
      <c r="R259" s="22"/>
      <c r="S259" s="22"/>
      <c r="T259" s="19"/>
      <c r="U259" s="19"/>
    </row>
    <row r="260" spans="2:21" s="20" customFormat="1" ht="17.100000000000001" customHeight="1" x14ac:dyDescent="0.3">
      <c r="B260" s="17"/>
      <c r="C260" s="17"/>
      <c r="E260" s="15"/>
      <c r="F260" s="15"/>
      <c r="G260" s="15"/>
      <c r="H260" s="16"/>
      <c r="I260" s="15"/>
      <c r="J260" s="16"/>
      <c r="K260" s="15"/>
      <c r="L260" s="15"/>
      <c r="M260" s="29"/>
      <c r="N260" s="19"/>
      <c r="O260" s="18">
        <f t="shared" si="5"/>
        <v>0</v>
      </c>
      <c r="P260" s="17"/>
      <c r="R260" s="22"/>
      <c r="S260" s="22"/>
      <c r="T260" s="19"/>
      <c r="U260" s="19"/>
    </row>
    <row r="261" spans="2:21" s="20" customFormat="1" ht="17.100000000000001" customHeight="1" x14ac:dyDescent="0.3">
      <c r="B261" s="17"/>
      <c r="C261" s="17"/>
      <c r="E261" s="15"/>
      <c r="F261" s="15"/>
      <c r="G261" s="15"/>
      <c r="H261" s="16"/>
      <c r="I261" s="15"/>
      <c r="J261" s="16"/>
      <c r="K261" s="15"/>
      <c r="L261" s="15"/>
      <c r="M261" s="29"/>
      <c r="N261" s="19"/>
      <c r="O261" s="18">
        <f t="shared" si="5"/>
        <v>0</v>
      </c>
      <c r="P261" s="17"/>
      <c r="R261" s="22"/>
      <c r="S261" s="22"/>
      <c r="T261" s="19"/>
      <c r="U261" s="19"/>
    </row>
    <row r="262" spans="2:21" s="20" customFormat="1" ht="17.100000000000001" customHeight="1" x14ac:dyDescent="0.3">
      <c r="B262" s="17"/>
      <c r="C262" s="17"/>
      <c r="E262" s="15"/>
      <c r="F262" s="15"/>
      <c r="G262" s="15"/>
      <c r="H262" s="16"/>
      <c r="I262" s="15"/>
      <c r="J262" s="16"/>
      <c r="K262" s="15"/>
      <c r="L262" s="15"/>
      <c r="M262" s="29"/>
      <c r="N262" s="19"/>
      <c r="O262" s="18">
        <f t="shared" si="5"/>
        <v>0</v>
      </c>
      <c r="P262" s="17"/>
      <c r="R262" s="22"/>
      <c r="S262" s="22"/>
      <c r="T262" s="19"/>
      <c r="U262" s="19"/>
    </row>
    <row r="263" spans="2:21" s="20" customFormat="1" ht="17.100000000000001" customHeight="1" x14ac:dyDescent="0.3">
      <c r="B263" s="17"/>
      <c r="C263" s="17"/>
      <c r="E263" s="15"/>
      <c r="F263" s="15"/>
      <c r="G263" s="15"/>
      <c r="H263" s="16"/>
      <c r="I263" s="15"/>
      <c r="J263" s="16"/>
      <c r="K263" s="15"/>
      <c r="L263" s="15"/>
      <c r="M263" s="29"/>
      <c r="N263" s="19"/>
      <c r="O263" s="18">
        <f t="shared" si="5"/>
        <v>0</v>
      </c>
      <c r="P263" s="17"/>
      <c r="R263" s="22"/>
      <c r="S263" s="22"/>
      <c r="T263" s="19"/>
      <c r="U263" s="19"/>
    </row>
    <row r="264" spans="2:21" s="20" customFormat="1" ht="17.100000000000001" customHeight="1" x14ac:dyDescent="0.3">
      <c r="B264" s="17"/>
      <c r="C264" s="17"/>
      <c r="E264" s="15"/>
      <c r="F264" s="15"/>
      <c r="G264" s="15"/>
      <c r="H264" s="16"/>
      <c r="I264" s="15"/>
      <c r="J264" s="16"/>
      <c r="K264" s="15"/>
      <c r="L264" s="15"/>
      <c r="M264" s="29"/>
      <c r="N264" s="19"/>
      <c r="O264" s="18">
        <f t="shared" si="5"/>
        <v>0</v>
      </c>
      <c r="P264" s="17"/>
      <c r="R264" s="22"/>
      <c r="S264" s="22"/>
      <c r="T264" s="19"/>
      <c r="U264" s="19"/>
    </row>
    <row r="265" spans="2:21" s="20" customFormat="1" ht="17.100000000000001" customHeight="1" x14ac:dyDescent="0.3">
      <c r="B265" s="17"/>
      <c r="C265" s="17"/>
      <c r="E265" s="15"/>
      <c r="F265" s="15"/>
      <c r="G265" s="15"/>
      <c r="H265" s="16"/>
      <c r="I265" s="15"/>
      <c r="J265" s="16"/>
      <c r="K265" s="15"/>
      <c r="L265" s="15"/>
      <c r="M265" s="29"/>
      <c r="N265" s="19"/>
      <c r="O265" s="18">
        <f t="shared" si="5"/>
        <v>0</v>
      </c>
      <c r="P265" s="17"/>
      <c r="R265" s="22"/>
      <c r="S265" s="22"/>
      <c r="T265" s="19"/>
      <c r="U265" s="19"/>
    </row>
    <row r="266" spans="2:21" s="20" customFormat="1" ht="17.100000000000001" customHeight="1" x14ac:dyDescent="0.3">
      <c r="B266" s="17"/>
      <c r="C266" s="17"/>
      <c r="E266" s="15"/>
      <c r="F266" s="15"/>
      <c r="G266" s="15"/>
      <c r="H266" s="16"/>
      <c r="I266" s="15"/>
      <c r="J266" s="16"/>
      <c r="K266" s="15"/>
      <c r="L266" s="15"/>
      <c r="M266" s="29"/>
      <c r="N266" s="19"/>
      <c r="O266" s="18">
        <f t="shared" si="5"/>
        <v>0</v>
      </c>
      <c r="P266" s="17"/>
      <c r="R266" s="22"/>
      <c r="S266" s="22"/>
      <c r="T266" s="19"/>
      <c r="U266" s="19"/>
    </row>
    <row r="267" spans="2:21" s="20" customFormat="1" ht="17.100000000000001" customHeight="1" x14ac:dyDescent="0.3">
      <c r="B267" s="17"/>
      <c r="C267" s="17"/>
      <c r="E267" s="15"/>
      <c r="F267" s="15"/>
      <c r="G267" s="15"/>
      <c r="H267" s="16"/>
      <c r="I267" s="15"/>
      <c r="J267" s="16"/>
      <c r="K267" s="15"/>
      <c r="L267" s="15"/>
      <c r="M267" s="29"/>
      <c r="N267" s="19"/>
      <c r="O267" s="18">
        <f t="shared" si="5"/>
        <v>0</v>
      </c>
      <c r="P267" s="17"/>
      <c r="R267" s="22"/>
      <c r="S267" s="22"/>
      <c r="T267" s="19"/>
      <c r="U267" s="19"/>
    </row>
    <row r="268" spans="2:21" s="20" customFormat="1" ht="17.100000000000001" customHeight="1" x14ac:dyDescent="0.3">
      <c r="B268" s="17"/>
      <c r="C268" s="17"/>
      <c r="E268" s="15"/>
      <c r="F268" s="15"/>
      <c r="G268" s="15"/>
      <c r="H268" s="16"/>
      <c r="I268" s="15"/>
      <c r="J268" s="16"/>
      <c r="K268" s="15"/>
      <c r="L268" s="15"/>
      <c r="M268" s="29"/>
      <c r="N268" s="19"/>
      <c r="O268" s="18">
        <f t="shared" si="5"/>
        <v>0</v>
      </c>
      <c r="P268" s="17"/>
      <c r="R268" s="22"/>
      <c r="S268" s="22"/>
      <c r="T268" s="19"/>
      <c r="U268" s="19"/>
    </row>
    <row r="269" spans="2:21" s="20" customFormat="1" ht="17.100000000000001" customHeight="1" x14ac:dyDescent="0.3">
      <c r="B269" s="17"/>
      <c r="C269" s="17"/>
      <c r="E269" s="15"/>
      <c r="F269" s="15"/>
      <c r="G269" s="15"/>
      <c r="H269" s="16"/>
      <c r="I269" s="15"/>
      <c r="J269" s="16"/>
      <c r="K269" s="15"/>
      <c r="L269" s="15"/>
      <c r="M269" s="29"/>
      <c r="N269" s="19"/>
      <c r="O269" s="18">
        <f t="shared" si="5"/>
        <v>0</v>
      </c>
      <c r="P269" s="17"/>
      <c r="R269" s="22"/>
      <c r="S269" s="22"/>
      <c r="T269" s="19"/>
      <c r="U269" s="19"/>
    </row>
    <row r="270" spans="2:21" s="20" customFormat="1" ht="17.100000000000001" customHeight="1" x14ac:dyDescent="0.3">
      <c r="B270" s="17"/>
      <c r="C270" s="17"/>
      <c r="E270" s="15"/>
      <c r="F270" s="15"/>
      <c r="G270" s="15"/>
      <c r="H270" s="16"/>
      <c r="I270" s="15"/>
      <c r="J270" s="16"/>
      <c r="K270" s="15"/>
      <c r="L270" s="15"/>
      <c r="M270" s="29"/>
      <c r="N270" s="19"/>
      <c r="O270" s="18">
        <f t="shared" si="5"/>
        <v>0</v>
      </c>
      <c r="P270" s="17"/>
      <c r="R270" s="22"/>
      <c r="S270" s="22"/>
      <c r="T270" s="19"/>
      <c r="U270" s="19"/>
    </row>
    <row r="271" spans="2:21" s="20" customFormat="1" ht="17.100000000000001" customHeight="1" x14ac:dyDescent="0.3">
      <c r="B271" s="17"/>
      <c r="C271" s="17"/>
      <c r="E271" s="15"/>
      <c r="F271" s="15"/>
      <c r="G271" s="15"/>
      <c r="H271" s="16"/>
      <c r="I271" s="15"/>
      <c r="J271" s="16"/>
      <c r="K271" s="15"/>
      <c r="L271" s="15"/>
      <c r="M271" s="29"/>
      <c r="N271" s="19"/>
      <c r="O271" s="18">
        <f t="shared" si="5"/>
        <v>0</v>
      </c>
      <c r="P271" s="17"/>
      <c r="R271" s="22"/>
      <c r="S271" s="22"/>
      <c r="T271" s="19"/>
      <c r="U271" s="19"/>
    </row>
    <row r="272" spans="2:21" s="20" customFormat="1" ht="17.100000000000001" customHeight="1" x14ac:dyDescent="0.3">
      <c r="B272" s="17"/>
      <c r="C272" s="17"/>
      <c r="E272" s="15"/>
      <c r="F272" s="15"/>
      <c r="G272" s="15"/>
      <c r="H272" s="16"/>
      <c r="I272" s="15"/>
      <c r="J272" s="16"/>
      <c r="K272" s="15"/>
      <c r="L272" s="15"/>
      <c r="M272" s="29"/>
      <c r="N272" s="19"/>
      <c r="O272" s="18">
        <f t="shared" si="5"/>
        <v>0</v>
      </c>
      <c r="P272" s="17"/>
      <c r="R272" s="22"/>
      <c r="S272" s="22"/>
      <c r="T272" s="19"/>
      <c r="U272" s="19"/>
    </row>
    <row r="273" spans="2:21" s="20" customFormat="1" ht="17.100000000000001" customHeight="1" x14ac:dyDescent="0.3">
      <c r="B273" s="17"/>
      <c r="C273" s="17"/>
      <c r="E273" s="15"/>
      <c r="F273" s="15"/>
      <c r="G273" s="15"/>
      <c r="H273" s="16"/>
      <c r="I273" s="15"/>
      <c r="J273" s="16"/>
      <c r="K273" s="15"/>
      <c r="L273" s="15"/>
      <c r="M273" s="29"/>
      <c r="N273" s="19"/>
      <c r="O273" s="18">
        <f t="shared" si="5"/>
        <v>0</v>
      </c>
      <c r="P273" s="17"/>
      <c r="R273" s="22"/>
      <c r="S273" s="22"/>
      <c r="T273" s="19"/>
      <c r="U273" s="19"/>
    </row>
    <row r="274" spans="2:21" s="20" customFormat="1" ht="17.100000000000001" customHeight="1" x14ac:dyDescent="0.3">
      <c r="B274" s="17"/>
      <c r="C274" s="17"/>
      <c r="E274" s="15"/>
      <c r="F274" s="15"/>
      <c r="G274" s="15"/>
      <c r="H274" s="16"/>
      <c r="I274" s="15"/>
      <c r="J274" s="16"/>
      <c r="K274" s="15"/>
      <c r="L274" s="15"/>
      <c r="M274" s="29"/>
      <c r="N274" s="19"/>
      <c r="O274" s="18">
        <f t="shared" si="5"/>
        <v>0</v>
      </c>
      <c r="P274" s="17"/>
      <c r="R274" s="22"/>
      <c r="S274" s="22"/>
      <c r="T274" s="19"/>
      <c r="U274" s="19"/>
    </row>
    <row r="275" spans="2:21" s="20" customFormat="1" ht="17.100000000000001" customHeight="1" x14ac:dyDescent="0.3">
      <c r="B275" s="17"/>
      <c r="C275" s="17"/>
      <c r="E275" s="15"/>
      <c r="F275" s="15"/>
      <c r="G275" s="15"/>
      <c r="H275" s="16"/>
      <c r="I275" s="15"/>
      <c r="J275" s="16"/>
      <c r="K275" s="15"/>
      <c r="L275" s="15"/>
      <c r="M275" s="29"/>
      <c r="N275" s="19"/>
      <c r="O275" s="18">
        <f t="shared" si="5"/>
        <v>0</v>
      </c>
      <c r="P275" s="17"/>
      <c r="R275" s="22"/>
      <c r="S275" s="22"/>
      <c r="T275" s="19"/>
      <c r="U275" s="19"/>
    </row>
    <row r="276" spans="2:21" s="20" customFormat="1" ht="17.100000000000001" customHeight="1" x14ac:dyDescent="0.3">
      <c r="B276" s="17"/>
      <c r="C276" s="17"/>
      <c r="E276" s="15"/>
      <c r="F276" s="15"/>
      <c r="G276" s="15"/>
      <c r="H276" s="16"/>
      <c r="I276" s="15"/>
      <c r="J276" s="16"/>
      <c r="K276" s="15"/>
      <c r="L276" s="15"/>
      <c r="M276" s="29"/>
      <c r="N276" s="19"/>
      <c r="O276" s="18">
        <f t="shared" si="5"/>
        <v>0</v>
      </c>
      <c r="P276" s="17"/>
      <c r="R276" s="22"/>
      <c r="S276" s="22"/>
      <c r="T276" s="19"/>
      <c r="U276" s="19"/>
    </row>
    <row r="277" spans="2:21" s="20" customFormat="1" ht="17.100000000000001" customHeight="1" x14ac:dyDescent="0.3">
      <c r="B277" s="17"/>
      <c r="C277" s="17"/>
      <c r="E277" s="15"/>
      <c r="F277" s="15"/>
      <c r="G277" s="15"/>
      <c r="H277" s="16"/>
      <c r="I277" s="15"/>
      <c r="J277" s="16"/>
      <c r="K277" s="15"/>
      <c r="L277" s="15"/>
      <c r="M277" s="29"/>
      <c r="N277" s="19"/>
      <c r="O277" s="18">
        <f t="shared" si="5"/>
        <v>0</v>
      </c>
      <c r="P277" s="17"/>
      <c r="R277" s="22"/>
      <c r="S277" s="22"/>
      <c r="T277" s="19"/>
      <c r="U277" s="19"/>
    </row>
    <row r="278" spans="2:21" s="20" customFormat="1" ht="17.100000000000001" customHeight="1" x14ac:dyDescent="0.3">
      <c r="B278" s="17"/>
      <c r="C278" s="17"/>
      <c r="E278" s="15"/>
      <c r="F278" s="15"/>
      <c r="G278" s="15"/>
      <c r="H278" s="16"/>
      <c r="I278" s="15"/>
      <c r="J278" s="16"/>
      <c r="K278" s="15"/>
      <c r="L278" s="15"/>
      <c r="M278" s="29"/>
      <c r="N278" s="19"/>
      <c r="O278" s="18">
        <f t="shared" si="5"/>
        <v>0</v>
      </c>
      <c r="P278" s="17"/>
      <c r="R278" s="22"/>
      <c r="S278" s="22"/>
      <c r="T278" s="19"/>
      <c r="U278" s="19"/>
    </row>
    <row r="279" spans="2:21" s="20" customFormat="1" ht="17.100000000000001" customHeight="1" x14ac:dyDescent="0.3">
      <c r="B279" s="17"/>
      <c r="C279" s="17"/>
      <c r="E279" s="15"/>
      <c r="F279" s="15"/>
      <c r="G279" s="15"/>
      <c r="H279" s="16"/>
      <c r="I279" s="15"/>
      <c r="J279" s="16"/>
      <c r="K279" s="15"/>
      <c r="L279" s="15"/>
      <c r="M279" s="29"/>
      <c r="N279" s="19"/>
      <c r="O279" s="18">
        <f t="shared" si="5"/>
        <v>0</v>
      </c>
      <c r="P279" s="17"/>
      <c r="R279" s="22"/>
      <c r="S279" s="22"/>
      <c r="T279" s="19"/>
      <c r="U279" s="19"/>
    </row>
    <row r="280" spans="2:21" s="20" customFormat="1" ht="17.100000000000001" customHeight="1" x14ac:dyDescent="0.3">
      <c r="B280" s="17"/>
      <c r="C280" s="17"/>
      <c r="E280" s="15"/>
      <c r="F280" s="15"/>
      <c r="G280" s="15"/>
      <c r="H280" s="16"/>
      <c r="I280" s="15"/>
      <c r="J280" s="16"/>
      <c r="K280" s="15"/>
      <c r="L280" s="15"/>
      <c r="M280" s="29"/>
      <c r="N280" s="19"/>
      <c r="O280" s="18">
        <f t="shared" si="5"/>
        <v>0</v>
      </c>
      <c r="P280" s="17"/>
      <c r="R280" s="22"/>
      <c r="S280" s="22"/>
      <c r="T280" s="19"/>
      <c r="U280" s="19"/>
    </row>
    <row r="281" spans="2:21" s="20" customFormat="1" ht="17.100000000000001" customHeight="1" x14ac:dyDescent="0.3">
      <c r="B281" s="17"/>
      <c r="C281" s="17"/>
      <c r="E281" s="15"/>
      <c r="F281" s="15"/>
      <c r="G281" s="15"/>
      <c r="H281" s="16"/>
      <c r="I281" s="15"/>
      <c r="J281" s="16"/>
      <c r="K281" s="15"/>
      <c r="L281" s="15"/>
      <c r="M281" s="29"/>
      <c r="N281" s="19"/>
      <c r="O281" s="18">
        <f t="shared" si="5"/>
        <v>0</v>
      </c>
      <c r="P281" s="17"/>
      <c r="R281" s="22"/>
      <c r="S281" s="22"/>
      <c r="T281" s="19"/>
      <c r="U281" s="19"/>
    </row>
    <row r="282" spans="2:21" s="20" customFormat="1" ht="17.100000000000001" customHeight="1" x14ac:dyDescent="0.3">
      <c r="B282" s="17"/>
      <c r="C282" s="17"/>
      <c r="E282" s="15"/>
      <c r="F282" s="15"/>
      <c r="G282" s="15"/>
      <c r="H282" s="16"/>
      <c r="I282" s="15"/>
      <c r="J282" s="16"/>
      <c r="K282" s="15"/>
      <c r="L282" s="15"/>
      <c r="M282" s="29"/>
      <c r="N282" s="19"/>
      <c r="O282" s="18">
        <f t="shared" si="5"/>
        <v>0</v>
      </c>
      <c r="P282" s="17"/>
      <c r="R282" s="22"/>
      <c r="S282" s="22"/>
      <c r="T282" s="19"/>
      <c r="U282" s="19"/>
    </row>
    <row r="283" spans="2:21" s="20" customFormat="1" ht="17.100000000000001" customHeight="1" x14ac:dyDescent="0.3">
      <c r="B283" s="17"/>
      <c r="C283" s="17"/>
      <c r="E283" s="15"/>
      <c r="F283" s="15"/>
      <c r="G283" s="15"/>
      <c r="H283" s="16"/>
      <c r="I283" s="15"/>
      <c r="J283" s="16"/>
      <c r="K283" s="15"/>
      <c r="L283" s="15"/>
      <c r="M283" s="29"/>
      <c r="N283" s="19"/>
      <c r="O283" s="18">
        <f t="shared" ref="O283:O346" si="6">(N283*I283)+U283</f>
        <v>0</v>
      </c>
      <c r="P283" s="17"/>
      <c r="R283" s="22"/>
      <c r="S283" s="22"/>
      <c r="T283" s="19"/>
      <c r="U283" s="19"/>
    </row>
    <row r="284" spans="2:21" s="20" customFormat="1" ht="17.100000000000001" customHeight="1" x14ac:dyDescent="0.3">
      <c r="B284" s="17"/>
      <c r="C284" s="17"/>
      <c r="E284" s="15"/>
      <c r="F284" s="15"/>
      <c r="G284" s="15"/>
      <c r="H284" s="16"/>
      <c r="I284" s="15"/>
      <c r="J284" s="16"/>
      <c r="K284" s="15"/>
      <c r="L284" s="15"/>
      <c r="M284" s="29"/>
      <c r="N284" s="19"/>
      <c r="O284" s="18">
        <f t="shared" si="6"/>
        <v>0</v>
      </c>
      <c r="P284" s="17"/>
      <c r="R284" s="22"/>
      <c r="S284" s="22"/>
      <c r="T284" s="19"/>
      <c r="U284" s="19"/>
    </row>
    <row r="285" spans="2:21" s="20" customFormat="1" ht="17.100000000000001" customHeight="1" x14ac:dyDescent="0.3">
      <c r="B285" s="17"/>
      <c r="C285" s="17"/>
      <c r="E285" s="15"/>
      <c r="F285" s="15"/>
      <c r="G285" s="15"/>
      <c r="H285" s="16"/>
      <c r="I285" s="15"/>
      <c r="J285" s="16"/>
      <c r="K285" s="15"/>
      <c r="L285" s="15"/>
      <c r="M285" s="29"/>
      <c r="N285" s="19"/>
      <c r="O285" s="18">
        <f t="shared" si="6"/>
        <v>0</v>
      </c>
      <c r="P285" s="17"/>
      <c r="R285" s="22"/>
      <c r="S285" s="22"/>
      <c r="T285" s="19"/>
      <c r="U285" s="19"/>
    </row>
    <row r="286" spans="2:21" s="20" customFormat="1" ht="17.100000000000001" customHeight="1" x14ac:dyDescent="0.3">
      <c r="B286" s="17"/>
      <c r="C286" s="17"/>
      <c r="E286" s="15"/>
      <c r="F286" s="15"/>
      <c r="G286" s="15"/>
      <c r="H286" s="16"/>
      <c r="I286" s="15"/>
      <c r="J286" s="16"/>
      <c r="K286" s="15"/>
      <c r="L286" s="15"/>
      <c r="M286" s="29"/>
      <c r="N286" s="19"/>
      <c r="O286" s="18">
        <f t="shared" si="6"/>
        <v>0</v>
      </c>
      <c r="P286" s="17"/>
      <c r="R286" s="22"/>
      <c r="S286" s="22"/>
      <c r="T286" s="19"/>
      <c r="U286" s="19"/>
    </row>
    <row r="287" spans="2:21" s="20" customFormat="1" ht="17.100000000000001" customHeight="1" x14ac:dyDescent="0.3">
      <c r="B287" s="17"/>
      <c r="C287" s="17"/>
      <c r="E287" s="15"/>
      <c r="F287" s="15"/>
      <c r="G287" s="15"/>
      <c r="H287" s="16"/>
      <c r="I287" s="15"/>
      <c r="J287" s="16"/>
      <c r="K287" s="15"/>
      <c r="L287" s="15"/>
      <c r="M287" s="29"/>
      <c r="N287" s="19"/>
      <c r="O287" s="18">
        <f t="shared" si="6"/>
        <v>0</v>
      </c>
      <c r="P287" s="17"/>
      <c r="R287" s="22"/>
      <c r="S287" s="22"/>
      <c r="T287" s="19"/>
      <c r="U287" s="19"/>
    </row>
    <row r="288" spans="2:21" s="20" customFormat="1" ht="17.100000000000001" customHeight="1" x14ac:dyDescent="0.3">
      <c r="B288" s="17"/>
      <c r="C288" s="17"/>
      <c r="E288" s="15"/>
      <c r="F288" s="15"/>
      <c r="G288" s="15"/>
      <c r="H288" s="16"/>
      <c r="I288" s="15"/>
      <c r="J288" s="16"/>
      <c r="K288" s="15"/>
      <c r="L288" s="15"/>
      <c r="M288" s="29"/>
      <c r="N288" s="19"/>
      <c r="O288" s="18">
        <f t="shared" si="6"/>
        <v>0</v>
      </c>
      <c r="P288" s="17"/>
      <c r="R288" s="22"/>
      <c r="S288" s="22"/>
      <c r="T288" s="19"/>
      <c r="U288" s="19"/>
    </row>
    <row r="289" spans="2:21" s="20" customFormat="1" ht="17.100000000000001" customHeight="1" x14ac:dyDescent="0.3">
      <c r="B289" s="17"/>
      <c r="C289" s="17"/>
      <c r="E289" s="15"/>
      <c r="F289" s="15"/>
      <c r="G289" s="15"/>
      <c r="H289" s="16"/>
      <c r="I289" s="15"/>
      <c r="J289" s="16"/>
      <c r="K289" s="15"/>
      <c r="L289" s="15"/>
      <c r="M289" s="29"/>
      <c r="N289" s="19"/>
      <c r="O289" s="18">
        <f t="shared" si="6"/>
        <v>0</v>
      </c>
      <c r="P289" s="17"/>
      <c r="R289" s="22"/>
      <c r="S289" s="22"/>
      <c r="T289" s="19"/>
      <c r="U289" s="19"/>
    </row>
    <row r="290" spans="2:21" s="20" customFormat="1" ht="17.100000000000001" customHeight="1" x14ac:dyDescent="0.3">
      <c r="B290" s="17"/>
      <c r="C290" s="17"/>
      <c r="E290" s="15"/>
      <c r="F290" s="15"/>
      <c r="G290" s="15"/>
      <c r="H290" s="16"/>
      <c r="I290" s="15"/>
      <c r="J290" s="16"/>
      <c r="K290" s="15"/>
      <c r="L290" s="15"/>
      <c r="M290" s="29"/>
      <c r="N290" s="19"/>
      <c r="O290" s="18">
        <f t="shared" si="6"/>
        <v>0</v>
      </c>
      <c r="P290" s="17"/>
      <c r="R290" s="22"/>
      <c r="S290" s="22"/>
      <c r="T290" s="19"/>
      <c r="U290" s="19"/>
    </row>
    <row r="291" spans="2:21" s="20" customFormat="1" ht="17.100000000000001" customHeight="1" x14ac:dyDescent="0.3">
      <c r="B291" s="17"/>
      <c r="C291" s="17"/>
      <c r="E291" s="15"/>
      <c r="F291" s="15"/>
      <c r="G291" s="15"/>
      <c r="H291" s="16"/>
      <c r="I291" s="15"/>
      <c r="J291" s="16"/>
      <c r="K291" s="15"/>
      <c r="L291" s="15"/>
      <c r="M291" s="29"/>
      <c r="N291" s="19"/>
      <c r="O291" s="18">
        <f t="shared" si="6"/>
        <v>0</v>
      </c>
      <c r="P291" s="17"/>
      <c r="R291" s="22"/>
      <c r="S291" s="22"/>
      <c r="T291" s="19"/>
      <c r="U291" s="19"/>
    </row>
    <row r="292" spans="2:21" s="20" customFormat="1" ht="17.100000000000001" customHeight="1" x14ac:dyDescent="0.3">
      <c r="B292" s="17"/>
      <c r="C292" s="17"/>
      <c r="E292" s="15"/>
      <c r="F292" s="15"/>
      <c r="G292" s="15"/>
      <c r="H292" s="16"/>
      <c r="I292" s="15"/>
      <c r="J292" s="16"/>
      <c r="K292" s="15"/>
      <c r="L292" s="15"/>
      <c r="M292" s="29"/>
      <c r="N292" s="19"/>
      <c r="O292" s="18">
        <f t="shared" si="6"/>
        <v>0</v>
      </c>
      <c r="P292" s="17"/>
      <c r="R292" s="22"/>
      <c r="S292" s="22"/>
      <c r="T292" s="19"/>
      <c r="U292" s="19"/>
    </row>
    <row r="293" spans="2:21" s="20" customFormat="1" ht="17.100000000000001" customHeight="1" x14ac:dyDescent="0.3">
      <c r="B293" s="17"/>
      <c r="C293" s="17"/>
      <c r="E293" s="15"/>
      <c r="F293" s="15"/>
      <c r="G293" s="15"/>
      <c r="H293" s="16"/>
      <c r="I293" s="15"/>
      <c r="J293" s="16"/>
      <c r="K293" s="15"/>
      <c r="L293" s="15"/>
      <c r="M293" s="29"/>
      <c r="N293" s="19"/>
      <c r="O293" s="18">
        <f t="shared" si="6"/>
        <v>0</v>
      </c>
      <c r="P293" s="17"/>
      <c r="R293" s="22"/>
      <c r="S293" s="22"/>
      <c r="T293" s="19"/>
      <c r="U293" s="19"/>
    </row>
    <row r="294" spans="2:21" s="20" customFormat="1" ht="17.100000000000001" customHeight="1" x14ac:dyDescent="0.3">
      <c r="B294" s="17"/>
      <c r="C294" s="17"/>
      <c r="E294" s="15"/>
      <c r="F294" s="15"/>
      <c r="G294" s="15"/>
      <c r="H294" s="16"/>
      <c r="I294" s="15"/>
      <c r="J294" s="16"/>
      <c r="K294" s="15"/>
      <c r="L294" s="15"/>
      <c r="M294" s="29"/>
      <c r="N294" s="19"/>
      <c r="O294" s="18">
        <f t="shared" si="6"/>
        <v>0</v>
      </c>
      <c r="P294" s="17"/>
      <c r="R294" s="22"/>
      <c r="S294" s="22"/>
      <c r="T294" s="19"/>
      <c r="U294" s="19"/>
    </row>
    <row r="295" spans="2:21" s="20" customFormat="1" ht="17.100000000000001" customHeight="1" x14ac:dyDescent="0.3">
      <c r="B295" s="17"/>
      <c r="C295" s="17"/>
      <c r="E295" s="15"/>
      <c r="F295" s="15"/>
      <c r="G295" s="15"/>
      <c r="H295" s="16"/>
      <c r="I295" s="15"/>
      <c r="J295" s="16"/>
      <c r="K295" s="15"/>
      <c r="L295" s="15"/>
      <c r="M295" s="29"/>
      <c r="N295" s="19"/>
      <c r="O295" s="18">
        <f t="shared" si="6"/>
        <v>0</v>
      </c>
      <c r="P295" s="17"/>
      <c r="R295" s="22"/>
      <c r="S295" s="22"/>
      <c r="T295" s="19"/>
      <c r="U295" s="19"/>
    </row>
    <row r="296" spans="2:21" s="20" customFormat="1" ht="17.100000000000001" customHeight="1" x14ac:dyDescent="0.3">
      <c r="B296" s="17"/>
      <c r="C296" s="17"/>
      <c r="E296" s="15"/>
      <c r="F296" s="15"/>
      <c r="G296" s="15"/>
      <c r="H296" s="16"/>
      <c r="I296" s="15"/>
      <c r="J296" s="16"/>
      <c r="K296" s="15"/>
      <c r="L296" s="15"/>
      <c r="M296" s="29"/>
      <c r="N296" s="19"/>
      <c r="O296" s="18">
        <f t="shared" si="6"/>
        <v>0</v>
      </c>
      <c r="P296" s="17"/>
      <c r="R296" s="22"/>
      <c r="S296" s="22"/>
      <c r="T296" s="19"/>
      <c r="U296" s="19"/>
    </row>
    <row r="297" spans="2:21" s="20" customFormat="1" ht="17.100000000000001" customHeight="1" x14ac:dyDescent="0.3">
      <c r="B297" s="17"/>
      <c r="C297" s="17"/>
      <c r="E297" s="15"/>
      <c r="F297" s="15"/>
      <c r="G297" s="15"/>
      <c r="H297" s="16"/>
      <c r="I297" s="15"/>
      <c r="J297" s="16"/>
      <c r="K297" s="15"/>
      <c r="L297" s="15"/>
      <c r="M297" s="29"/>
      <c r="N297" s="19"/>
      <c r="O297" s="18">
        <f t="shared" si="6"/>
        <v>0</v>
      </c>
      <c r="P297" s="17"/>
      <c r="R297" s="22"/>
      <c r="S297" s="22"/>
      <c r="T297" s="19"/>
      <c r="U297" s="19"/>
    </row>
    <row r="298" spans="2:21" s="20" customFormat="1" ht="17.100000000000001" customHeight="1" x14ac:dyDescent="0.3">
      <c r="B298" s="17"/>
      <c r="C298" s="17"/>
      <c r="E298" s="15"/>
      <c r="F298" s="15"/>
      <c r="G298" s="15"/>
      <c r="H298" s="16"/>
      <c r="I298" s="15"/>
      <c r="J298" s="16"/>
      <c r="K298" s="15"/>
      <c r="L298" s="15"/>
      <c r="M298" s="29"/>
      <c r="N298" s="19"/>
      <c r="O298" s="18">
        <f t="shared" si="6"/>
        <v>0</v>
      </c>
      <c r="P298" s="17"/>
      <c r="R298" s="22"/>
      <c r="S298" s="22"/>
      <c r="T298" s="19"/>
      <c r="U298" s="19"/>
    </row>
    <row r="299" spans="2:21" s="20" customFormat="1" ht="17.100000000000001" customHeight="1" x14ac:dyDescent="0.3">
      <c r="B299" s="17"/>
      <c r="C299" s="17"/>
      <c r="E299" s="15"/>
      <c r="F299" s="15"/>
      <c r="G299" s="15"/>
      <c r="H299" s="16"/>
      <c r="I299" s="15"/>
      <c r="J299" s="16"/>
      <c r="K299" s="15"/>
      <c r="L299" s="15"/>
      <c r="M299" s="29"/>
      <c r="N299" s="19"/>
      <c r="O299" s="18">
        <f t="shared" si="6"/>
        <v>0</v>
      </c>
      <c r="P299" s="17"/>
      <c r="R299" s="22"/>
      <c r="S299" s="22"/>
      <c r="T299" s="19"/>
      <c r="U299" s="19"/>
    </row>
    <row r="300" spans="2:21" s="20" customFormat="1" ht="17.100000000000001" customHeight="1" x14ac:dyDescent="0.3">
      <c r="B300" s="17"/>
      <c r="C300" s="17"/>
      <c r="E300" s="15"/>
      <c r="F300" s="15"/>
      <c r="G300" s="15"/>
      <c r="H300" s="16"/>
      <c r="I300" s="15"/>
      <c r="J300" s="16"/>
      <c r="K300" s="15"/>
      <c r="L300" s="15"/>
      <c r="M300" s="29"/>
      <c r="N300" s="19"/>
      <c r="O300" s="18">
        <f t="shared" si="6"/>
        <v>0</v>
      </c>
      <c r="P300" s="17"/>
      <c r="R300" s="22"/>
      <c r="S300" s="22"/>
      <c r="T300" s="19"/>
      <c r="U300" s="19"/>
    </row>
    <row r="301" spans="2:21" s="20" customFormat="1" ht="17.100000000000001" customHeight="1" x14ac:dyDescent="0.3">
      <c r="B301" s="17"/>
      <c r="C301" s="17"/>
      <c r="E301" s="15"/>
      <c r="F301" s="15"/>
      <c r="G301" s="15"/>
      <c r="H301" s="16"/>
      <c r="I301" s="15"/>
      <c r="J301" s="16"/>
      <c r="K301" s="15"/>
      <c r="L301" s="15"/>
      <c r="M301" s="29"/>
      <c r="N301" s="19"/>
      <c r="O301" s="18">
        <f t="shared" si="6"/>
        <v>0</v>
      </c>
      <c r="P301" s="17"/>
      <c r="R301" s="22"/>
      <c r="S301" s="22"/>
      <c r="T301" s="19"/>
      <c r="U301" s="19"/>
    </row>
    <row r="302" spans="2:21" s="20" customFormat="1" ht="17.100000000000001" customHeight="1" x14ac:dyDescent="0.3">
      <c r="B302" s="17"/>
      <c r="C302" s="17"/>
      <c r="E302" s="15"/>
      <c r="F302" s="15"/>
      <c r="G302" s="15"/>
      <c r="H302" s="16"/>
      <c r="I302" s="15"/>
      <c r="J302" s="16"/>
      <c r="K302" s="15"/>
      <c r="L302" s="15"/>
      <c r="M302" s="29"/>
      <c r="N302" s="19"/>
      <c r="O302" s="18">
        <f t="shared" si="6"/>
        <v>0</v>
      </c>
      <c r="P302" s="17"/>
      <c r="R302" s="22"/>
      <c r="S302" s="22"/>
      <c r="T302" s="19"/>
      <c r="U302" s="19"/>
    </row>
    <row r="303" spans="2:21" s="20" customFormat="1" ht="17.100000000000001" customHeight="1" x14ac:dyDescent="0.3">
      <c r="B303" s="17"/>
      <c r="C303" s="17"/>
      <c r="E303" s="15"/>
      <c r="F303" s="15"/>
      <c r="G303" s="15"/>
      <c r="H303" s="16"/>
      <c r="I303" s="15"/>
      <c r="J303" s="16"/>
      <c r="K303" s="15"/>
      <c r="L303" s="15"/>
      <c r="M303" s="29"/>
      <c r="N303" s="19"/>
      <c r="O303" s="18">
        <f t="shared" si="6"/>
        <v>0</v>
      </c>
      <c r="P303" s="17"/>
      <c r="R303" s="22"/>
      <c r="S303" s="22"/>
      <c r="T303" s="19"/>
      <c r="U303" s="19"/>
    </row>
    <row r="304" spans="2:21" s="20" customFormat="1" ht="17.100000000000001" customHeight="1" x14ac:dyDescent="0.3">
      <c r="B304" s="17"/>
      <c r="C304" s="17"/>
      <c r="E304" s="15"/>
      <c r="F304" s="15"/>
      <c r="G304" s="15"/>
      <c r="H304" s="16"/>
      <c r="I304" s="15"/>
      <c r="J304" s="16"/>
      <c r="K304" s="15"/>
      <c r="L304" s="15"/>
      <c r="M304" s="29"/>
      <c r="N304" s="19"/>
      <c r="O304" s="18">
        <f t="shared" si="6"/>
        <v>0</v>
      </c>
      <c r="P304" s="17"/>
      <c r="R304" s="22"/>
      <c r="S304" s="22"/>
      <c r="T304" s="19"/>
      <c r="U304" s="19"/>
    </row>
    <row r="305" spans="2:21" s="20" customFormat="1" ht="17.100000000000001" customHeight="1" x14ac:dyDescent="0.3">
      <c r="B305" s="17"/>
      <c r="C305" s="17"/>
      <c r="E305" s="15"/>
      <c r="F305" s="15"/>
      <c r="G305" s="15"/>
      <c r="H305" s="16"/>
      <c r="I305" s="15"/>
      <c r="J305" s="16"/>
      <c r="K305" s="15"/>
      <c r="L305" s="15"/>
      <c r="M305" s="29"/>
      <c r="N305" s="19"/>
      <c r="O305" s="18">
        <f t="shared" si="6"/>
        <v>0</v>
      </c>
      <c r="P305" s="17"/>
      <c r="R305" s="22"/>
      <c r="S305" s="22"/>
      <c r="T305" s="19"/>
      <c r="U305" s="19"/>
    </row>
    <row r="306" spans="2:21" s="20" customFormat="1" ht="17.100000000000001" customHeight="1" x14ac:dyDescent="0.3">
      <c r="B306" s="17"/>
      <c r="C306" s="17"/>
      <c r="E306" s="15"/>
      <c r="F306" s="15"/>
      <c r="G306" s="15"/>
      <c r="H306" s="16"/>
      <c r="I306" s="15"/>
      <c r="J306" s="16"/>
      <c r="K306" s="15"/>
      <c r="L306" s="15"/>
      <c r="M306" s="29"/>
      <c r="N306" s="19"/>
      <c r="O306" s="18">
        <f t="shared" si="6"/>
        <v>0</v>
      </c>
      <c r="P306" s="17"/>
      <c r="R306" s="22"/>
      <c r="S306" s="22"/>
      <c r="T306" s="19"/>
      <c r="U306" s="19"/>
    </row>
    <row r="307" spans="2:21" s="20" customFormat="1" ht="17.100000000000001" customHeight="1" x14ac:dyDescent="0.3">
      <c r="B307" s="17"/>
      <c r="C307" s="17"/>
      <c r="E307" s="15"/>
      <c r="F307" s="15"/>
      <c r="G307" s="15"/>
      <c r="H307" s="16"/>
      <c r="I307" s="15"/>
      <c r="J307" s="16"/>
      <c r="K307" s="15"/>
      <c r="L307" s="15"/>
      <c r="M307" s="29"/>
      <c r="N307" s="19"/>
      <c r="O307" s="18">
        <f t="shared" si="6"/>
        <v>0</v>
      </c>
      <c r="P307" s="17"/>
      <c r="R307" s="22"/>
      <c r="S307" s="22"/>
      <c r="T307" s="19"/>
      <c r="U307" s="19"/>
    </row>
    <row r="308" spans="2:21" s="20" customFormat="1" ht="17.100000000000001" customHeight="1" x14ac:dyDescent="0.3">
      <c r="B308" s="17"/>
      <c r="C308" s="17"/>
      <c r="E308" s="15"/>
      <c r="F308" s="15"/>
      <c r="G308" s="15"/>
      <c r="H308" s="16"/>
      <c r="I308" s="15"/>
      <c r="J308" s="16"/>
      <c r="K308" s="15"/>
      <c r="L308" s="15"/>
      <c r="M308" s="29"/>
      <c r="N308" s="19"/>
      <c r="O308" s="18">
        <f t="shared" si="6"/>
        <v>0</v>
      </c>
      <c r="P308" s="17"/>
      <c r="R308" s="22"/>
      <c r="S308" s="22"/>
      <c r="T308" s="19"/>
      <c r="U308" s="19"/>
    </row>
    <row r="309" spans="2:21" s="20" customFormat="1" ht="17.100000000000001" customHeight="1" x14ac:dyDescent="0.3">
      <c r="B309" s="17"/>
      <c r="C309" s="17"/>
      <c r="E309" s="15"/>
      <c r="F309" s="15"/>
      <c r="G309" s="15"/>
      <c r="H309" s="16"/>
      <c r="I309" s="15"/>
      <c r="J309" s="16"/>
      <c r="K309" s="15"/>
      <c r="L309" s="15"/>
      <c r="M309" s="29"/>
      <c r="N309" s="19"/>
      <c r="O309" s="18">
        <f t="shared" si="6"/>
        <v>0</v>
      </c>
      <c r="P309" s="17"/>
      <c r="R309" s="22"/>
      <c r="S309" s="22"/>
      <c r="T309" s="19"/>
      <c r="U309" s="19"/>
    </row>
    <row r="310" spans="2:21" s="20" customFormat="1" ht="17.100000000000001" customHeight="1" x14ac:dyDescent="0.3">
      <c r="B310" s="17"/>
      <c r="C310" s="17"/>
      <c r="E310" s="15"/>
      <c r="F310" s="15"/>
      <c r="G310" s="15"/>
      <c r="H310" s="16"/>
      <c r="I310" s="15"/>
      <c r="J310" s="16"/>
      <c r="K310" s="15"/>
      <c r="L310" s="15"/>
      <c r="M310" s="29"/>
      <c r="N310" s="19"/>
      <c r="O310" s="18">
        <f t="shared" si="6"/>
        <v>0</v>
      </c>
      <c r="P310" s="17"/>
      <c r="R310" s="22"/>
      <c r="S310" s="22"/>
      <c r="T310" s="19"/>
      <c r="U310" s="19"/>
    </row>
    <row r="311" spans="2:21" s="20" customFormat="1" ht="17.100000000000001" customHeight="1" x14ac:dyDescent="0.3">
      <c r="B311" s="17"/>
      <c r="C311" s="17"/>
      <c r="E311" s="15"/>
      <c r="F311" s="15"/>
      <c r="G311" s="15"/>
      <c r="H311" s="16"/>
      <c r="I311" s="15"/>
      <c r="J311" s="16"/>
      <c r="K311" s="15"/>
      <c r="L311" s="15"/>
      <c r="M311" s="29"/>
      <c r="N311" s="19"/>
      <c r="O311" s="18">
        <f t="shared" si="6"/>
        <v>0</v>
      </c>
      <c r="P311" s="17"/>
      <c r="R311" s="22"/>
      <c r="S311" s="22"/>
      <c r="T311" s="19"/>
      <c r="U311" s="19"/>
    </row>
    <row r="312" spans="2:21" s="20" customFormat="1" ht="17.100000000000001" customHeight="1" x14ac:dyDescent="0.3">
      <c r="B312" s="17"/>
      <c r="C312" s="17"/>
      <c r="E312" s="15"/>
      <c r="F312" s="15"/>
      <c r="G312" s="15"/>
      <c r="H312" s="16"/>
      <c r="I312" s="15"/>
      <c r="J312" s="16"/>
      <c r="K312" s="15"/>
      <c r="L312" s="15"/>
      <c r="M312" s="29"/>
      <c r="N312" s="19"/>
      <c r="O312" s="18">
        <f t="shared" si="6"/>
        <v>0</v>
      </c>
      <c r="P312" s="17"/>
      <c r="R312" s="22"/>
      <c r="S312" s="22"/>
      <c r="T312" s="19"/>
      <c r="U312" s="19"/>
    </row>
    <row r="313" spans="2:21" s="20" customFormat="1" ht="17.100000000000001" customHeight="1" x14ac:dyDescent="0.3">
      <c r="B313" s="17"/>
      <c r="C313" s="17"/>
      <c r="E313" s="15"/>
      <c r="F313" s="15"/>
      <c r="G313" s="15"/>
      <c r="H313" s="16"/>
      <c r="I313" s="15"/>
      <c r="J313" s="16"/>
      <c r="K313" s="15"/>
      <c r="L313" s="15"/>
      <c r="M313" s="29"/>
      <c r="N313" s="19"/>
      <c r="O313" s="18">
        <f t="shared" si="6"/>
        <v>0</v>
      </c>
      <c r="P313" s="17"/>
      <c r="R313" s="22"/>
      <c r="S313" s="22"/>
      <c r="T313" s="19"/>
      <c r="U313" s="19"/>
    </row>
    <row r="314" spans="2:21" s="20" customFormat="1" ht="17.100000000000001" customHeight="1" x14ac:dyDescent="0.3">
      <c r="B314" s="17"/>
      <c r="C314" s="17"/>
      <c r="E314" s="15"/>
      <c r="F314" s="15"/>
      <c r="G314" s="15"/>
      <c r="H314" s="16"/>
      <c r="I314" s="15"/>
      <c r="J314" s="16"/>
      <c r="K314" s="15"/>
      <c r="L314" s="15"/>
      <c r="M314" s="29"/>
      <c r="N314" s="19"/>
      <c r="O314" s="18">
        <f t="shared" si="6"/>
        <v>0</v>
      </c>
      <c r="P314" s="17"/>
      <c r="R314" s="22"/>
      <c r="S314" s="22"/>
      <c r="T314" s="19"/>
      <c r="U314" s="19"/>
    </row>
    <row r="315" spans="2:21" s="20" customFormat="1" ht="17.100000000000001" customHeight="1" x14ac:dyDescent="0.3">
      <c r="B315" s="17"/>
      <c r="C315" s="17"/>
      <c r="E315" s="15"/>
      <c r="F315" s="15"/>
      <c r="G315" s="15"/>
      <c r="H315" s="16"/>
      <c r="I315" s="15"/>
      <c r="J315" s="16"/>
      <c r="K315" s="15"/>
      <c r="L315" s="15"/>
      <c r="M315" s="29"/>
      <c r="N315" s="19"/>
      <c r="O315" s="18">
        <f t="shared" si="6"/>
        <v>0</v>
      </c>
      <c r="P315" s="17"/>
      <c r="R315" s="22"/>
      <c r="S315" s="22"/>
      <c r="T315" s="19"/>
      <c r="U315" s="19"/>
    </row>
    <row r="316" spans="2:21" s="20" customFormat="1" ht="17.100000000000001" customHeight="1" x14ac:dyDescent="0.3">
      <c r="B316" s="17"/>
      <c r="C316" s="17"/>
      <c r="E316" s="15"/>
      <c r="F316" s="15"/>
      <c r="G316" s="15"/>
      <c r="H316" s="16"/>
      <c r="I316" s="15"/>
      <c r="J316" s="16"/>
      <c r="K316" s="15"/>
      <c r="L316" s="15"/>
      <c r="M316" s="29"/>
      <c r="N316" s="19"/>
      <c r="O316" s="18">
        <f t="shared" si="6"/>
        <v>0</v>
      </c>
      <c r="P316" s="17"/>
      <c r="R316" s="22"/>
      <c r="S316" s="22"/>
      <c r="T316" s="19"/>
      <c r="U316" s="19"/>
    </row>
    <row r="317" spans="2:21" s="20" customFormat="1" ht="17.100000000000001" customHeight="1" x14ac:dyDescent="0.3">
      <c r="B317" s="17"/>
      <c r="C317" s="17"/>
      <c r="E317" s="15"/>
      <c r="F317" s="15"/>
      <c r="G317" s="15"/>
      <c r="H317" s="16"/>
      <c r="I317" s="15"/>
      <c r="J317" s="16"/>
      <c r="K317" s="15"/>
      <c r="L317" s="15"/>
      <c r="M317" s="29"/>
      <c r="N317" s="19"/>
      <c r="O317" s="18">
        <f t="shared" si="6"/>
        <v>0</v>
      </c>
      <c r="P317" s="17"/>
      <c r="R317" s="22"/>
      <c r="S317" s="22"/>
      <c r="T317" s="19"/>
      <c r="U317" s="19"/>
    </row>
    <row r="318" spans="2:21" s="20" customFormat="1" ht="17.100000000000001" customHeight="1" x14ac:dyDescent="0.3">
      <c r="B318" s="17"/>
      <c r="C318" s="17"/>
      <c r="E318" s="15"/>
      <c r="F318" s="15"/>
      <c r="G318" s="15"/>
      <c r="H318" s="16"/>
      <c r="I318" s="15"/>
      <c r="J318" s="16"/>
      <c r="K318" s="15"/>
      <c r="L318" s="15"/>
      <c r="M318" s="29"/>
      <c r="N318" s="19"/>
      <c r="O318" s="18">
        <f t="shared" si="6"/>
        <v>0</v>
      </c>
      <c r="P318" s="17"/>
      <c r="R318" s="22"/>
      <c r="S318" s="22"/>
      <c r="T318" s="19"/>
      <c r="U318" s="19"/>
    </row>
    <row r="319" spans="2:21" s="20" customFormat="1" ht="17.100000000000001" customHeight="1" x14ac:dyDescent="0.3">
      <c r="B319" s="17"/>
      <c r="C319" s="17"/>
      <c r="E319" s="15"/>
      <c r="F319" s="15"/>
      <c r="G319" s="15"/>
      <c r="H319" s="16"/>
      <c r="I319" s="15"/>
      <c r="J319" s="16"/>
      <c r="K319" s="15"/>
      <c r="L319" s="15"/>
      <c r="M319" s="29"/>
      <c r="N319" s="19"/>
      <c r="O319" s="18">
        <f t="shared" si="6"/>
        <v>0</v>
      </c>
      <c r="P319" s="17"/>
      <c r="R319" s="22"/>
      <c r="S319" s="22"/>
      <c r="T319" s="19"/>
      <c r="U319" s="19"/>
    </row>
    <row r="320" spans="2:21" s="20" customFormat="1" ht="17.100000000000001" customHeight="1" x14ac:dyDescent="0.3">
      <c r="B320" s="17"/>
      <c r="C320" s="17"/>
      <c r="E320" s="15"/>
      <c r="F320" s="15"/>
      <c r="G320" s="15"/>
      <c r="H320" s="16"/>
      <c r="I320" s="15"/>
      <c r="J320" s="16"/>
      <c r="K320" s="15"/>
      <c r="L320" s="15"/>
      <c r="M320" s="29"/>
      <c r="N320" s="19"/>
      <c r="O320" s="18">
        <f t="shared" si="6"/>
        <v>0</v>
      </c>
      <c r="P320" s="17"/>
      <c r="R320" s="22"/>
      <c r="S320" s="22"/>
      <c r="T320" s="19"/>
      <c r="U320" s="19"/>
    </row>
    <row r="321" spans="2:21" s="20" customFormat="1" ht="17.100000000000001" customHeight="1" x14ac:dyDescent="0.3">
      <c r="B321" s="17"/>
      <c r="C321" s="17"/>
      <c r="E321" s="15"/>
      <c r="F321" s="15"/>
      <c r="G321" s="15"/>
      <c r="H321" s="16"/>
      <c r="I321" s="15"/>
      <c r="J321" s="16"/>
      <c r="K321" s="15"/>
      <c r="L321" s="15"/>
      <c r="M321" s="29"/>
      <c r="N321" s="19"/>
      <c r="O321" s="18">
        <f t="shared" si="6"/>
        <v>0</v>
      </c>
      <c r="P321" s="17"/>
      <c r="R321" s="22"/>
      <c r="S321" s="22"/>
      <c r="T321" s="19"/>
      <c r="U321" s="19"/>
    </row>
    <row r="322" spans="2:21" s="20" customFormat="1" ht="17.100000000000001" customHeight="1" x14ac:dyDescent="0.3">
      <c r="B322" s="17"/>
      <c r="C322" s="17"/>
      <c r="E322" s="15"/>
      <c r="F322" s="15"/>
      <c r="G322" s="15"/>
      <c r="H322" s="16"/>
      <c r="I322" s="15"/>
      <c r="J322" s="16"/>
      <c r="K322" s="15"/>
      <c r="L322" s="15"/>
      <c r="M322" s="29"/>
      <c r="N322" s="19"/>
      <c r="O322" s="18">
        <f t="shared" si="6"/>
        <v>0</v>
      </c>
      <c r="P322" s="17"/>
      <c r="R322" s="22"/>
      <c r="S322" s="22"/>
      <c r="T322" s="19"/>
      <c r="U322" s="19"/>
    </row>
    <row r="323" spans="2:21" s="20" customFormat="1" ht="17.100000000000001" customHeight="1" x14ac:dyDescent="0.3">
      <c r="B323" s="17"/>
      <c r="C323" s="17"/>
      <c r="E323" s="15"/>
      <c r="F323" s="15"/>
      <c r="G323" s="15"/>
      <c r="H323" s="16"/>
      <c r="I323" s="15"/>
      <c r="J323" s="16"/>
      <c r="K323" s="15"/>
      <c r="L323" s="15"/>
      <c r="M323" s="29"/>
      <c r="N323" s="19"/>
      <c r="O323" s="18">
        <f t="shared" si="6"/>
        <v>0</v>
      </c>
      <c r="P323" s="17"/>
      <c r="R323" s="22"/>
      <c r="S323" s="22"/>
      <c r="T323" s="19"/>
      <c r="U323" s="19"/>
    </row>
    <row r="324" spans="2:21" s="20" customFormat="1" ht="17.100000000000001" customHeight="1" x14ac:dyDescent="0.3">
      <c r="B324" s="17"/>
      <c r="C324" s="17"/>
      <c r="E324" s="15"/>
      <c r="F324" s="15"/>
      <c r="G324" s="15"/>
      <c r="H324" s="16"/>
      <c r="I324" s="15"/>
      <c r="J324" s="16"/>
      <c r="K324" s="15"/>
      <c r="L324" s="15"/>
      <c r="M324" s="29"/>
      <c r="N324" s="19"/>
      <c r="O324" s="18">
        <f t="shared" si="6"/>
        <v>0</v>
      </c>
      <c r="P324" s="17"/>
      <c r="R324" s="22"/>
      <c r="S324" s="22"/>
      <c r="T324" s="19"/>
      <c r="U324" s="19"/>
    </row>
    <row r="325" spans="2:21" s="20" customFormat="1" ht="17.100000000000001" customHeight="1" x14ac:dyDescent="0.3">
      <c r="B325" s="17"/>
      <c r="C325" s="17"/>
      <c r="E325" s="15"/>
      <c r="F325" s="15"/>
      <c r="G325" s="15"/>
      <c r="H325" s="16"/>
      <c r="I325" s="15"/>
      <c r="J325" s="16"/>
      <c r="K325" s="15"/>
      <c r="L325" s="15"/>
      <c r="M325" s="29"/>
      <c r="N325" s="19"/>
      <c r="O325" s="18">
        <f t="shared" si="6"/>
        <v>0</v>
      </c>
      <c r="P325" s="17"/>
      <c r="R325" s="22"/>
      <c r="S325" s="22"/>
      <c r="T325" s="19"/>
      <c r="U325" s="19"/>
    </row>
    <row r="326" spans="2:21" s="20" customFormat="1" ht="17.100000000000001" customHeight="1" x14ac:dyDescent="0.3">
      <c r="B326" s="17"/>
      <c r="C326" s="17"/>
      <c r="E326" s="15"/>
      <c r="F326" s="15"/>
      <c r="G326" s="15"/>
      <c r="H326" s="16"/>
      <c r="I326" s="15"/>
      <c r="J326" s="16"/>
      <c r="K326" s="15"/>
      <c r="L326" s="15"/>
      <c r="M326" s="29"/>
      <c r="N326" s="19"/>
      <c r="O326" s="18">
        <f t="shared" si="6"/>
        <v>0</v>
      </c>
      <c r="P326" s="17"/>
      <c r="R326" s="22"/>
      <c r="S326" s="22"/>
      <c r="T326" s="19"/>
      <c r="U326" s="19"/>
    </row>
    <row r="327" spans="2:21" s="20" customFormat="1" ht="17.100000000000001" customHeight="1" x14ac:dyDescent="0.3">
      <c r="B327" s="17"/>
      <c r="C327" s="17"/>
      <c r="E327" s="15"/>
      <c r="F327" s="15"/>
      <c r="G327" s="15"/>
      <c r="H327" s="16"/>
      <c r="I327" s="15"/>
      <c r="J327" s="16"/>
      <c r="K327" s="15"/>
      <c r="L327" s="15"/>
      <c r="M327" s="29"/>
      <c r="N327" s="19"/>
      <c r="O327" s="18">
        <f t="shared" si="6"/>
        <v>0</v>
      </c>
      <c r="P327" s="17"/>
      <c r="R327" s="22"/>
      <c r="S327" s="22"/>
      <c r="T327" s="19"/>
      <c r="U327" s="19"/>
    </row>
    <row r="328" spans="2:21" s="20" customFormat="1" ht="17.100000000000001" customHeight="1" x14ac:dyDescent="0.3">
      <c r="B328" s="17"/>
      <c r="C328" s="17"/>
      <c r="E328" s="15"/>
      <c r="F328" s="15"/>
      <c r="G328" s="15"/>
      <c r="H328" s="16"/>
      <c r="I328" s="15"/>
      <c r="J328" s="16"/>
      <c r="K328" s="15"/>
      <c r="L328" s="15"/>
      <c r="M328" s="29"/>
      <c r="N328" s="19"/>
      <c r="O328" s="18">
        <f t="shared" si="6"/>
        <v>0</v>
      </c>
      <c r="P328" s="17"/>
      <c r="R328" s="22"/>
      <c r="S328" s="22"/>
      <c r="T328" s="19"/>
      <c r="U328" s="19"/>
    </row>
    <row r="329" spans="2:21" s="20" customFormat="1" ht="17.100000000000001" customHeight="1" x14ac:dyDescent="0.3">
      <c r="B329" s="17"/>
      <c r="C329" s="17"/>
      <c r="E329" s="15"/>
      <c r="F329" s="15"/>
      <c r="G329" s="15"/>
      <c r="H329" s="16"/>
      <c r="I329" s="15"/>
      <c r="J329" s="16"/>
      <c r="K329" s="15"/>
      <c r="L329" s="15"/>
      <c r="M329" s="29"/>
      <c r="N329" s="19"/>
      <c r="O329" s="18">
        <f t="shared" si="6"/>
        <v>0</v>
      </c>
      <c r="P329" s="17"/>
      <c r="R329" s="22"/>
      <c r="S329" s="22"/>
      <c r="T329" s="19"/>
      <c r="U329" s="19"/>
    </row>
    <row r="330" spans="2:21" s="20" customFormat="1" ht="17.100000000000001" customHeight="1" x14ac:dyDescent="0.3">
      <c r="B330" s="17"/>
      <c r="C330" s="17"/>
      <c r="E330" s="15"/>
      <c r="F330" s="15"/>
      <c r="G330" s="15"/>
      <c r="H330" s="16"/>
      <c r="I330" s="15"/>
      <c r="J330" s="16"/>
      <c r="K330" s="15"/>
      <c r="L330" s="15"/>
      <c r="M330" s="29"/>
      <c r="N330" s="19"/>
      <c r="O330" s="18">
        <f t="shared" si="6"/>
        <v>0</v>
      </c>
      <c r="P330" s="17"/>
      <c r="R330" s="22"/>
      <c r="S330" s="22"/>
      <c r="T330" s="19"/>
      <c r="U330" s="19"/>
    </row>
    <row r="331" spans="2:21" s="20" customFormat="1" ht="17.100000000000001" customHeight="1" x14ac:dyDescent="0.3">
      <c r="B331" s="17"/>
      <c r="C331" s="17"/>
      <c r="E331" s="15"/>
      <c r="F331" s="15"/>
      <c r="G331" s="15"/>
      <c r="H331" s="16"/>
      <c r="I331" s="15"/>
      <c r="J331" s="16"/>
      <c r="K331" s="15"/>
      <c r="L331" s="15"/>
      <c r="M331" s="29"/>
      <c r="N331" s="19"/>
      <c r="O331" s="18">
        <f t="shared" si="6"/>
        <v>0</v>
      </c>
      <c r="P331" s="17"/>
      <c r="R331" s="22"/>
      <c r="S331" s="22"/>
      <c r="T331" s="19"/>
      <c r="U331" s="19"/>
    </row>
    <row r="332" spans="2:21" s="20" customFormat="1" ht="17.100000000000001" customHeight="1" x14ac:dyDescent="0.3">
      <c r="B332" s="17"/>
      <c r="C332" s="17"/>
      <c r="E332" s="15"/>
      <c r="F332" s="15"/>
      <c r="G332" s="15"/>
      <c r="H332" s="16"/>
      <c r="I332" s="15"/>
      <c r="J332" s="16"/>
      <c r="K332" s="15"/>
      <c r="L332" s="15"/>
      <c r="M332" s="29"/>
      <c r="N332" s="19"/>
      <c r="O332" s="18">
        <f t="shared" si="6"/>
        <v>0</v>
      </c>
      <c r="P332" s="17"/>
      <c r="R332" s="22"/>
      <c r="S332" s="22"/>
      <c r="T332" s="19"/>
      <c r="U332" s="19"/>
    </row>
    <row r="333" spans="2:21" s="20" customFormat="1" ht="17.100000000000001" customHeight="1" x14ac:dyDescent="0.3">
      <c r="B333" s="17"/>
      <c r="C333" s="17"/>
      <c r="E333" s="15"/>
      <c r="F333" s="15"/>
      <c r="G333" s="15"/>
      <c r="H333" s="16"/>
      <c r="I333" s="15"/>
      <c r="J333" s="16"/>
      <c r="K333" s="15"/>
      <c r="L333" s="15"/>
      <c r="M333" s="29"/>
      <c r="N333" s="19"/>
      <c r="O333" s="18">
        <f t="shared" si="6"/>
        <v>0</v>
      </c>
      <c r="P333" s="17"/>
      <c r="R333" s="22"/>
      <c r="S333" s="22"/>
      <c r="T333" s="19"/>
      <c r="U333" s="19"/>
    </row>
    <row r="334" spans="2:21" s="20" customFormat="1" ht="17.100000000000001" customHeight="1" x14ac:dyDescent="0.3">
      <c r="B334" s="17"/>
      <c r="C334" s="17"/>
      <c r="E334" s="15"/>
      <c r="F334" s="15"/>
      <c r="G334" s="15"/>
      <c r="H334" s="16"/>
      <c r="I334" s="15"/>
      <c r="J334" s="16"/>
      <c r="K334" s="15"/>
      <c r="L334" s="15"/>
      <c r="M334" s="29"/>
      <c r="N334" s="19"/>
      <c r="O334" s="18">
        <f t="shared" si="6"/>
        <v>0</v>
      </c>
      <c r="P334" s="17"/>
      <c r="R334" s="22"/>
      <c r="S334" s="22"/>
      <c r="T334" s="19"/>
      <c r="U334" s="19"/>
    </row>
    <row r="335" spans="2:21" s="20" customFormat="1" ht="17.100000000000001" customHeight="1" x14ac:dyDescent="0.3">
      <c r="B335" s="17"/>
      <c r="C335" s="17"/>
      <c r="E335" s="15"/>
      <c r="F335" s="15"/>
      <c r="G335" s="15"/>
      <c r="H335" s="16"/>
      <c r="I335" s="15"/>
      <c r="J335" s="16"/>
      <c r="K335" s="15"/>
      <c r="L335" s="15"/>
      <c r="M335" s="29"/>
      <c r="N335" s="19"/>
      <c r="O335" s="18">
        <f t="shared" si="6"/>
        <v>0</v>
      </c>
      <c r="P335" s="17"/>
      <c r="R335" s="22"/>
      <c r="S335" s="22"/>
      <c r="T335" s="19"/>
      <c r="U335" s="19"/>
    </row>
    <row r="336" spans="2:21" s="20" customFormat="1" ht="17.100000000000001" customHeight="1" x14ac:dyDescent="0.3">
      <c r="B336" s="17"/>
      <c r="C336" s="17"/>
      <c r="E336" s="15"/>
      <c r="F336" s="15"/>
      <c r="G336" s="15"/>
      <c r="H336" s="16"/>
      <c r="I336" s="15"/>
      <c r="J336" s="16"/>
      <c r="K336" s="15"/>
      <c r="L336" s="15"/>
      <c r="M336" s="29"/>
      <c r="N336" s="19"/>
      <c r="O336" s="18">
        <f t="shared" si="6"/>
        <v>0</v>
      </c>
      <c r="P336" s="17"/>
      <c r="R336" s="22"/>
      <c r="S336" s="22"/>
      <c r="T336" s="19"/>
      <c r="U336" s="19"/>
    </row>
    <row r="337" spans="2:21" s="20" customFormat="1" ht="17.100000000000001" customHeight="1" x14ac:dyDescent="0.3">
      <c r="B337" s="17"/>
      <c r="C337" s="17"/>
      <c r="E337" s="15"/>
      <c r="F337" s="15"/>
      <c r="G337" s="15"/>
      <c r="H337" s="16"/>
      <c r="I337" s="15"/>
      <c r="J337" s="16"/>
      <c r="K337" s="15"/>
      <c r="L337" s="15"/>
      <c r="M337" s="29"/>
      <c r="N337" s="19"/>
      <c r="O337" s="18">
        <f t="shared" si="6"/>
        <v>0</v>
      </c>
      <c r="P337" s="17"/>
      <c r="R337" s="22"/>
      <c r="S337" s="22"/>
      <c r="T337" s="19"/>
      <c r="U337" s="19"/>
    </row>
    <row r="338" spans="2:21" s="20" customFormat="1" ht="17.100000000000001" customHeight="1" x14ac:dyDescent="0.3">
      <c r="B338" s="17"/>
      <c r="C338" s="17"/>
      <c r="E338" s="15"/>
      <c r="F338" s="15"/>
      <c r="G338" s="15"/>
      <c r="H338" s="16"/>
      <c r="I338" s="15"/>
      <c r="J338" s="16"/>
      <c r="K338" s="15"/>
      <c r="L338" s="15"/>
      <c r="M338" s="29"/>
      <c r="N338" s="19"/>
      <c r="O338" s="18">
        <f t="shared" si="6"/>
        <v>0</v>
      </c>
      <c r="P338" s="17"/>
      <c r="R338" s="22"/>
      <c r="S338" s="22"/>
      <c r="T338" s="19"/>
      <c r="U338" s="19"/>
    </row>
    <row r="339" spans="2:21" s="20" customFormat="1" ht="17.100000000000001" customHeight="1" x14ac:dyDescent="0.3">
      <c r="B339" s="17"/>
      <c r="C339" s="17"/>
      <c r="E339" s="15"/>
      <c r="F339" s="15"/>
      <c r="G339" s="15"/>
      <c r="H339" s="16"/>
      <c r="I339" s="15"/>
      <c r="J339" s="16"/>
      <c r="K339" s="15"/>
      <c r="L339" s="15"/>
      <c r="M339" s="29"/>
      <c r="N339" s="19"/>
      <c r="O339" s="18">
        <f t="shared" si="6"/>
        <v>0</v>
      </c>
      <c r="P339" s="17"/>
      <c r="R339" s="22"/>
      <c r="S339" s="22"/>
      <c r="T339" s="19"/>
      <c r="U339" s="19"/>
    </row>
    <row r="340" spans="2:21" s="20" customFormat="1" ht="17.100000000000001" customHeight="1" x14ac:dyDescent="0.3">
      <c r="B340" s="17"/>
      <c r="C340" s="17"/>
      <c r="E340" s="15"/>
      <c r="F340" s="15"/>
      <c r="G340" s="15"/>
      <c r="H340" s="16"/>
      <c r="I340" s="15"/>
      <c r="J340" s="16"/>
      <c r="K340" s="15"/>
      <c r="L340" s="15"/>
      <c r="M340" s="29"/>
      <c r="N340" s="19"/>
      <c r="O340" s="18">
        <f t="shared" si="6"/>
        <v>0</v>
      </c>
      <c r="P340" s="17"/>
      <c r="R340" s="22"/>
      <c r="S340" s="22"/>
      <c r="T340" s="19"/>
      <c r="U340" s="19"/>
    </row>
    <row r="341" spans="2:21" s="20" customFormat="1" ht="17.100000000000001" customHeight="1" x14ac:dyDescent="0.3">
      <c r="B341" s="17"/>
      <c r="C341" s="17"/>
      <c r="E341" s="15"/>
      <c r="F341" s="15"/>
      <c r="G341" s="15"/>
      <c r="H341" s="16"/>
      <c r="I341" s="15"/>
      <c r="J341" s="16"/>
      <c r="K341" s="15"/>
      <c r="L341" s="15"/>
      <c r="M341" s="29"/>
      <c r="N341" s="19"/>
      <c r="O341" s="18">
        <f t="shared" si="6"/>
        <v>0</v>
      </c>
      <c r="P341" s="17"/>
      <c r="R341" s="22"/>
      <c r="S341" s="22"/>
      <c r="T341" s="19"/>
      <c r="U341" s="19"/>
    </row>
    <row r="342" spans="2:21" s="20" customFormat="1" ht="17.100000000000001" customHeight="1" x14ac:dyDescent="0.3">
      <c r="B342" s="17"/>
      <c r="C342" s="17"/>
      <c r="E342" s="15"/>
      <c r="F342" s="15"/>
      <c r="G342" s="15"/>
      <c r="H342" s="16"/>
      <c r="I342" s="15"/>
      <c r="J342" s="16"/>
      <c r="K342" s="15"/>
      <c r="L342" s="15"/>
      <c r="M342" s="29"/>
      <c r="N342" s="19"/>
      <c r="O342" s="18">
        <f t="shared" si="6"/>
        <v>0</v>
      </c>
      <c r="P342" s="17"/>
      <c r="R342" s="22"/>
      <c r="S342" s="22"/>
      <c r="T342" s="19"/>
      <c r="U342" s="19"/>
    </row>
    <row r="343" spans="2:21" s="20" customFormat="1" ht="17.100000000000001" customHeight="1" x14ac:dyDescent="0.3">
      <c r="B343" s="17"/>
      <c r="C343" s="17"/>
      <c r="E343" s="15"/>
      <c r="F343" s="15"/>
      <c r="G343" s="15"/>
      <c r="H343" s="16"/>
      <c r="I343" s="15"/>
      <c r="J343" s="16"/>
      <c r="K343" s="15"/>
      <c r="L343" s="15"/>
      <c r="M343" s="29"/>
      <c r="N343" s="19"/>
      <c r="O343" s="18">
        <f t="shared" si="6"/>
        <v>0</v>
      </c>
      <c r="P343" s="17"/>
      <c r="R343" s="22"/>
      <c r="S343" s="22"/>
      <c r="T343" s="19"/>
      <c r="U343" s="19"/>
    </row>
    <row r="344" spans="2:21" s="20" customFormat="1" ht="17.100000000000001" customHeight="1" x14ac:dyDescent="0.3">
      <c r="B344" s="17"/>
      <c r="C344" s="17"/>
      <c r="E344" s="15"/>
      <c r="F344" s="15"/>
      <c r="G344" s="15"/>
      <c r="H344" s="16"/>
      <c r="I344" s="15"/>
      <c r="J344" s="16"/>
      <c r="K344" s="15"/>
      <c r="L344" s="15"/>
      <c r="M344" s="29"/>
      <c r="N344" s="19"/>
      <c r="O344" s="18">
        <f t="shared" si="6"/>
        <v>0</v>
      </c>
      <c r="P344" s="17"/>
      <c r="R344" s="22"/>
      <c r="S344" s="22"/>
      <c r="T344" s="19"/>
      <c r="U344" s="19"/>
    </row>
    <row r="345" spans="2:21" s="20" customFormat="1" ht="17.100000000000001" customHeight="1" x14ac:dyDescent="0.3">
      <c r="B345" s="17"/>
      <c r="C345" s="17"/>
      <c r="E345" s="15"/>
      <c r="F345" s="15"/>
      <c r="G345" s="15"/>
      <c r="H345" s="16"/>
      <c r="I345" s="15"/>
      <c r="J345" s="16"/>
      <c r="K345" s="15"/>
      <c r="L345" s="15"/>
      <c r="M345" s="29"/>
      <c r="N345" s="19"/>
      <c r="O345" s="18">
        <f t="shared" si="6"/>
        <v>0</v>
      </c>
      <c r="P345" s="17"/>
      <c r="R345" s="22"/>
      <c r="S345" s="22"/>
      <c r="T345" s="19"/>
      <c r="U345" s="19"/>
    </row>
    <row r="346" spans="2:21" s="20" customFormat="1" ht="17.100000000000001" customHeight="1" x14ac:dyDescent="0.3">
      <c r="B346" s="17"/>
      <c r="C346" s="17"/>
      <c r="E346" s="15"/>
      <c r="F346" s="15"/>
      <c r="G346" s="15"/>
      <c r="H346" s="16"/>
      <c r="I346" s="15"/>
      <c r="J346" s="16"/>
      <c r="K346" s="15"/>
      <c r="L346" s="15"/>
      <c r="M346" s="29"/>
      <c r="N346" s="19"/>
      <c r="O346" s="18">
        <f t="shared" si="6"/>
        <v>0</v>
      </c>
      <c r="P346" s="17"/>
      <c r="R346" s="22"/>
      <c r="S346" s="22"/>
      <c r="T346" s="19"/>
      <c r="U346" s="19"/>
    </row>
    <row r="347" spans="2:21" s="20" customFormat="1" ht="17.100000000000001" customHeight="1" x14ac:dyDescent="0.3">
      <c r="B347" s="17"/>
      <c r="C347" s="17"/>
      <c r="E347" s="15"/>
      <c r="F347" s="15"/>
      <c r="G347" s="15"/>
      <c r="H347" s="16"/>
      <c r="I347" s="15"/>
      <c r="J347" s="16"/>
      <c r="K347" s="15"/>
      <c r="L347" s="15"/>
      <c r="M347" s="29"/>
      <c r="N347" s="19"/>
      <c r="O347" s="18">
        <f t="shared" ref="O347:O410" si="7">(N347*I347)+U347</f>
        <v>0</v>
      </c>
      <c r="P347" s="17"/>
      <c r="R347" s="22"/>
      <c r="S347" s="22"/>
      <c r="T347" s="19"/>
      <c r="U347" s="19"/>
    </row>
    <row r="348" spans="2:21" s="20" customFormat="1" ht="17.100000000000001" customHeight="1" x14ac:dyDescent="0.3">
      <c r="B348" s="17"/>
      <c r="C348" s="17"/>
      <c r="E348" s="15"/>
      <c r="F348" s="15"/>
      <c r="G348" s="15"/>
      <c r="H348" s="16"/>
      <c r="I348" s="15"/>
      <c r="J348" s="16"/>
      <c r="K348" s="15"/>
      <c r="L348" s="15"/>
      <c r="M348" s="29"/>
      <c r="N348" s="19"/>
      <c r="O348" s="18">
        <f t="shared" si="7"/>
        <v>0</v>
      </c>
      <c r="P348" s="17"/>
      <c r="R348" s="22"/>
      <c r="S348" s="22"/>
      <c r="T348" s="19"/>
      <c r="U348" s="19"/>
    </row>
    <row r="349" spans="2:21" s="20" customFormat="1" ht="17.100000000000001" customHeight="1" x14ac:dyDescent="0.3">
      <c r="B349" s="17"/>
      <c r="C349" s="17"/>
      <c r="E349" s="15"/>
      <c r="F349" s="15"/>
      <c r="G349" s="15"/>
      <c r="H349" s="16"/>
      <c r="I349" s="15"/>
      <c r="J349" s="16"/>
      <c r="K349" s="15"/>
      <c r="L349" s="15"/>
      <c r="M349" s="29"/>
      <c r="N349" s="19"/>
      <c r="O349" s="18">
        <f t="shared" si="7"/>
        <v>0</v>
      </c>
      <c r="P349" s="17"/>
      <c r="R349" s="22"/>
      <c r="S349" s="22"/>
      <c r="T349" s="19"/>
      <c r="U349" s="19"/>
    </row>
    <row r="350" spans="2:21" s="20" customFormat="1" ht="17.100000000000001" customHeight="1" x14ac:dyDescent="0.3">
      <c r="B350" s="17"/>
      <c r="C350" s="17"/>
      <c r="E350" s="15"/>
      <c r="F350" s="15"/>
      <c r="G350" s="15"/>
      <c r="H350" s="16"/>
      <c r="I350" s="15"/>
      <c r="J350" s="16"/>
      <c r="K350" s="15"/>
      <c r="L350" s="15"/>
      <c r="M350" s="29"/>
      <c r="N350" s="19"/>
      <c r="O350" s="18">
        <f t="shared" si="7"/>
        <v>0</v>
      </c>
      <c r="P350" s="17"/>
      <c r="R350" s="22"/>
      <c r="S350" s="22"/>
      <c r="T350" s="19"/>
      <c r="U350" s="19"/>
    </row>
    <row r="351" spans="2:21" s="20" customFormat="1" ht="17.100000000000001" customHeight="1" x14ac:dyDescent="0.3">
      <c r="B351" s="17"/>
      <c r="C351" s="17"/>
      <c r="E351" s="15"/>
      <c r="F351" s="15"/>
      <c r="G351" s="15"/>
      <c r="H351" s="16"/>
      <c r="I351" s="15"/>
      <c r="J351" s="16"/>
      <c r="K351" s="15"/>
      <c r="L351" s="15"/>
      <c r="M351" s="29"/>
      <c r="N351" s="19"/>
      <c r="O351" s="18">
        <f t="shared" si="7"/>
        <v>0</v>
      </c>
      <c r="P351" s="17"/>
      <c r="R351" s="22"/>
      <c r="S351" s="22"/>
      <c r="T351" s="19"/>
      <c r="U351" s="19"/>
    </row>
    <row r="352" spans="2:21" s="20" customFormat="1" ht="17.100000000000001" customHeight="1" x14ac:dyDescent="0.3">
      <c r="B352" s="17"/>
      <c r="C352" s="17"/>
      <c r="E352" s="15"/>
      <c r="F352" s="15"/>
      <c r="G352" s="15"/>
      <c r="H352" s="16"/>
      <c r="I352" s="15"/>
      <c r="J352" s="16"/>
      <c r="K352" s="15"/>
      <c r="L352" s="15"/>
      <c r="M352" s="29"/>
      <c r="N352" s="19"/>
      <c r="O352" s="18">
        <f t="shared" si="7"/>
        <v>0</v>
      </c>
      <c r="P352" s="17"/>
      <c r="R352" s="22"/>
      <c r="S352" s="22"/>
      <c r="T352" s="19"/>
      <c r="U352" s="19"/>
    </row>
    <row r="353" spans="2:21" s="20" customFormat="1" ht="17.100000000000001" customHeight="1" x14ac:dyDescent="0.3">
      <c r="B353" s="17"/>
      <c r="C353" s="17"/>
      <c r="E353" s="15"/>
      <c r="F353" s="15"/>
      <c r="G353" s="15"/>
      <c r="H353" s="16"/>
      <c r="I353" s="15"/>
      <c r="J353" s="16"/>
      <c r="K353" s="15"/>
      <c r="L353" s="15"/>
      <c r="M353" s="29"/>
      <c r="N353" s="19"/>
      <c r="O353" s="18">
        <f t="shared" si="7"/>
        <v>0</v>
      </c>
      <c r="P353" s="17"/>
      <c r="R353" s="22"/>
      <c r="S353" s="22"/>
      <c r="T353" s="19"/>
      <c r="U353" s="19"/>
    </row>
    <row r="354" spans="2:21" s="20" customFormat="1" ht="17.100000000000001" customHeight="1" x14ac:dyDescent="0.3">
      <c r="B354" s="17"/>
      <c r="C354" s="17"/>
      <c r="E354" s="15"/>
      <c r="F354" s="15"/>
      <c r="G354" s="15"/>
      <c r="H354" s="16"/>
      <c r="I354" s="15"/>
      <c r="J354" s="16"/>
      <c r="K354" s="15"/>
      <c r="L354" s="15"/>
      <c r="M354" s="29"/>
      <c r="N354" s="19"/>
      <c r="O354" s="18">
        <f t="shared" si="7"/>
        <v>0</v>
      </c>
      <c r="P354" s="17"/>
      <c r="R354" s="22"/>
      <c r="S354" s="22"/>
      <c r="T354" s="19"/>
      <c r="U354" s="19"/>
    </row>
    <row r="355" spans="2:21" s="20" customFormat="1" ht="17.100000000000001" customHeight="1" x14ac:dyDescent="0.3">
      <c r="B355" s="17"/>
      <c r="C355" s="17"/>
      <c r="E355" s="15"/>
      <c r="F355" s="15"/>
      <c r="G355" s="15"/>
      <c r="H355" s="16"/>
      <c r="I355" s="15"/>
      <c r="J355" s="16"/>
      <c r="K355" s="15"/>
      <c r="L355" s="15"/>
      <c r="M355" s="29"/>
      <c r="N355" s="19"/>
      <c r="O355" s="18">
        <f t="shared" si="7"/>
        <v>0</v>
      </c>
      <c r="P355" s="17"/>
      <c r="R355" s="22"/>
      <c r="S355" s="22"/>
      <c r="T355" s="19"/>
      <c r="U355" s="19"/>
    </row>
    <row r="356" spans="2:21" s="20" customFormat="1" ht="17.100000000000001" customHeight="1" x14ac:dyDescent="0.3">
      <c r="B356" s="17"/>
      <c r="C356" s="17"/>
      <c r="E356" s="15"/>
      <c r="F356" s="15"/>
      <c r="G356" s="15"/>
      <c r="H356" s="16"/>
      <c r="I356" s="15"/>
      <c r="J356" s="16"/>
      <c r="K356" s="15"/>
      <c r="L356" s="15"/>
      <c r="M356" s="29"/>
      <c r="N356" s="19"/>
      <c r="O356" s="18">
        <f t="shared" si="7"/>
        <v>0</v>
      </c>
      <c r="P356" s="17"/>
      <c r="R356" s="22"/>
      <c r="S356" s="22"/>
      <c r="T356" s="19"/>
      <c r="U356" s="19"/>
    </row>
    <row r="357" spans="2:21" s="20" customFormat="1" ht="17.100000000000001" customHeight="1" x14ac:dyDescent="0.3">
      <c r="B357" s="17"/>
      <c r="C357" s="17"/>
      <c r="E357" s="15"/>
      <c r="F357" s="15"/>
      <c r="G357" s="15"/>
      <c r="H357" s="16"/>
      <c r="I357" s="15"/>
      <c r="J357" s="16"/>
      <c r="K357" s="15"/>
      <c r="L357" s="15"/>
      <c r="M357" s="29"/>
      <c r="N357" s="19"/>
      <c r="O357" s="18">
        <f t="shared" si="7"/>
        <v>0</v>
      </c>
      <c r="P357" s="17"/>
      <c r="R357" s="22"/>
      <c r="S357" s="22"/>
      <c r="T357" s="19"/>
      <c r="U357" s="19"/>
    </row>
    <row r="358" spans="2:21" s="20" customFormat="1" ht="17.100000000000001" customHeight="1" x14ac:dyDescent="0.3">
      <c r="B358" s="17"/>
      <c r="C358" s="17"/>
      <c r="E358" s="15"/>
      <c r="F358" s="15"/>
      <c r="G358" s="15"/>
      <c r="H358" s="16"/>
      <c r="I358" s="15"/>
      <c r="J358" s="16"/>
      <c r="K358" s="15"/>
      <c r="L358" s="15"/>
      <c r="M358" s="29"/>
      <c r="N358" s="19"/>
      <c r="O358" s="18">
        <f t="shared" si="7"/>
        <v>0</v>
      </c>
      <c r="P358" s="17"/>
      <c r="R358" s="22"/>
      <c r="S358" s="22"/>
      <c r="T358" s="19"/>
      <c r="U358" s="19"/>
    </row>
    <row r="359" spans="2:21" s="20" customFormat="1" ht="17.100000000000001" customHeight="1" x14ac:dyDescent="0.3">
      <c r="B359" s="17"/>
      <c r="C359" s="17"/>
      <c r="E359" s="15"/>
      <c r="F359" s="15"/>
      <c r="G359" s="15"/>
      <c r="H359" s="16"/>
      <c r="I359" s="15"/>
      <c r="J359" s="16"/>
      <c r="K359" s="15"/>
      <c r="L359" s="15"/>
      <c r="M359" s="29"/>
      <c r="N359" s="19"/>
      <c r="O359" s="18">
        <f t="shared" si="7"/>
        <v>0</v>
      </c>
      <c r="P359" s="17"/>
      <c r="R359" s="22"/>
      <c r="S359" s="22"/>
      <c r="T359" s="19"/>
      <c r="U359" s="19"/>
    </row>
    <row r="360" spans="2:21" s="20" customFormat="1" ht="17.100000000000001" customHeight="1" x14ac:dyDescent="0.3">
      <c r="B360" s="17"/>
      <c r="C360" s="17"/>
      <c r="E360" s="15"/>
      <c r="F360" s="15"/>
      <c r="G360" s="15"/>
      <c r="H360" s="16"/>
      <c r="I360" s="15"/>
      <c r="J360" s="16"/>
      <c r="K360" s="15"/>
      <c r="L360" s="15"/>
      <c r="M360" s="29"/>
      <c r="N360" s="19"/>
      <c r="O360" s="18">
        <f t="shared" si="7"/>
        <v>0</v>
      </c>
      <c r="P360" s="17"/>
      <c r="R360" s="22"/>
      <c r="S360" s="22"/>
      <c r="T360" s="19"/>
      <c r="U360" s="19"/>
    </row>
    <row r="361" spans="2:21" s="20" customFormat="1" ht="17.100000000000001" customHeight="1" x14ac:dyDescent="0.3">
      <c r="B361" s="17"/>
      <c r="C361" s="17"/>
      <c r="E361" s="15"/>
      <c r="F361" s="15"/>
      <c r="G361" s="15"/>
      <c r="H361" s="16"/>
      <c r="I361" s="15"/>
      <c r="J361" s="16"/>
      <c r="K361" s="15"/>
      <c r="L361" s="15"/>
      <c r="M361" s="29"/>
      <c r="N361" s="19"/>
      <c r="O361" s="18">
        <f t="shared" si="7"/>
        <v>0</v>
      </c>
      <c r="P361" s="17"/>
      <c r="R361" s="22"/>
      <c r="S361" s="22"/>
      <c r="T361" s="19"/>
      <c r="U361" s="19"/>
    </row>
    <row r="362" spans="2:21" s="20" customFormat="1" ht="17.100000000000001" customHeight="1" x14ac:dyDescent="0.3">
      <c r="B362" s="17"/>
      <c r="C362" s="17"/>
      <c r="E362" s="15"/>
      <c r="F362" s="15"/>
      <c r="G362" s="15"/>
      <c r="H362" s="16"/>
      <c r="I362" s="15"/>
      <c r="J362" s="16"/>
      <c r="K362" s="15"/>
      <c r="L362" s="15"/>
      <c r="M362" s="29"/>
      <c r="N362" s="19"/>
      <c r="O362" s="18">
        <f t="shared" si="7"/>
        <v>0</v>
      </c>
      <c r="P362" s="17"/>
      <c r="R362" s="22"/>
      <c r="S362" s="22"/>
      <c r="T362" s="19"/>
      <c r="U362" s="19"/>
    </row>
    <row r="363" spans="2:21" s="20" customFormat="1" ht="17.100000000000001" customHeight="1" x14ac:dyDescent="0.3">
      <c r="B363" s="17"/>
      <c r="C363" s="17"/>
      <c r="E363" s="15"/>
      <c r="F363" s="15"/>
      <c r="G363" s="15"/>
      <c r="H363" s="16"/>
      <c r="I363" s="15"/>
      <c r="J363" s="16"/>
      <c r="K363" s="15"/>
      <c r="L363" s="15"/>
      <c r="M363" s="29"/>
      <c r="N363" s="19"/>
      <c r="O363" s="18">
        <f t="shared" si="7"/>
        <v>0</v>
      </c>
      <c r="P363" s="17"/>
      <c r="R363" s="22"/>
      <c r="S363" s="22"/>
      <c r="T363" s="19"/>
      <c r="U363" s="19"/>
    </row>
    <row r="364" spans="2:21" s="20" customFormat="1" ht="17.100000000000001" customHeight="1" x14ac:dyDescent="0.3">
      <c r="B364" s="17"/>
      <c r="C364" s="17"/>
      <c r="E364" s="15"/>
      <c r="F364" s="15"/>
      <c r="G364" s="15"/>
      <c r="H364" s="16"/>
      <c r="I364" s="15"/>
      <c r="J364" s="16"/>
      <c r="K364" s="15"/>
      <c r="L364" s="15"/>
      <c r="M364" s="29"/>
      <c r="N364" s="19"/>
      <c r="O364" s="18">
        <f t="shared" si="7"/>
        <v>0</v>
      </c>
      <c r="P364" s="17"/>
      <c r="R364" s="22"/>
      <c r="S364" s="22"/>
      <c r="T364" s="19"/>
      <c r="U364" s="19"/>
    </row>
    <row r="365" spans="2:21" s="20" customFormat="1" ht="17.100000000000001" customHeight="1" x14ac:dyDescent="0.3">
      <c r="B365" s="17"/>
      <c r="C365" s="17"/>
      <c r="E365" s="15"/>
      <c r="F365" s="15"/>
      <c r="G365" s="15"/>
      <c r="H365" s="16"/>
      <c r="I365" s="15"/>
      <c r="J365" s="16"/>
      <c r="K365" s="15"/>
      <c r="L365" s="15"/>
      <c r="M365" s="29"/>
      <c r="N365" s="19"/>
      <c r="O365" s="18">
        <f t="shared" si="7"/>
        <v>0</v>
      </c>
      <c r="P365" s="17"/>
      <c r="R365" s="22"/>
      <c r="S365" s="22"/>
      <c r="T365" s="19"/>
      <c r="U365" s="19"/>
    </row>
    <row r="366" spans="2:21" s="20" customFormat="1" ht="17.100000000000001" customHeight="1" x14ac:dyDescent="0.3">
      <c r="B366" s="17"/>
      <c r="C366" s="17"/>
      <c r="E366" s="15"/>
      <c r="F366" s="15"/>
      <c r="G366" s="15"/>
      <c r="H366" s="16"/>
      <c r="I366" s="15"/>
      <c r="J366" s="16"/>
      <c r="K366" s="15"/>
      <c r="L366" s="15"/>
      <c r="M366" s="29"/>
      <c r="N366" s="19"/>
      <c r="O366" s="18">
        <f t="shared" si="7"/>
        <v>0</v>
      </c>
      <c r="P366" s="17"/>
      <c r="R366" s="22"/>
      <c r="S366" s="22"/>
      <c r="T366" s="19"/>
      <c r="U366" s="19"/>
    </row>
    <row r="367" spans="2:21" s="20" customFormat="1" ht="17.100000000000001" customHeight="1" x14ac:dyDescent="0.3">
      <c r="B367" s="17"/>
      <c r="C367" s="17"/>
      <c r="E367" s="15"/>
      <c r="F367" s="15"/>
      <c r="G367" s="15"/>
      <c r="H367" s="16"/>
      <c r="I367" s="15"/>
      <c r="J367" s="16"/>
      <c r="K367" s="15"/>
      <c r="L367" s="15"/>
      <c r="M367" s="29"/>
      <c r="N367" s="19"/>
      <c r="O367" s="18">
        <f t="shared" si="7"/>
        <v>0</v>
      </c>
      <c r="P367" s="17"/>
      <c r="R367" s="22"/>
      <c r="S367" s="22"/>
      <c r="T367" s="19"/>
      <c r="U367" s="19"/>
    </row>
    <row r="368" spans="2:21" s="20" customFormat="1" ht="17.100000000000001" customHeight="1" x14ac:dyDescent="0.3">
      <c r="B368" s="17"/>
      <c r="C368" s="17"/>
      <c r="E368" s="15"/>
      <c r="F368" s="15"/>
      <c r="G368" s="15"/>
      <c r="H368" s="16"/>
      <c r="I368" s="15"/>
      <c r="J368" s="16"/>
      <c r="K368" s="15"/>
      <c r="L368" s="15"/>
      <c r="M368" s="29"/>
      <c r="N368" s="19"/>
      <c r="O368" s="18">
        <f t="shared" si="7"/>
        <v>0</v>
      </c>
      <c r="P368" s="17"/>
      <c r="R368" s="22"/>
      <c r="S368" s="22"/>
      <c r="T368" s="19"/>
      <c r="U368" s="19"/>
    </row>
    <row r="369" spans="2:21" s="20" customFormat="1" ht="17.100000000000001" customHeight="1" x14ac:dyDescent="0.3">
      <c r="B369" s="17"/>
      <c r="C369" s="17"/>
      <c r="E369" s="15"/>
      <c r="F369" s="15"/>
      <c r="G369" s="15"/>
      <c r="H369" s="16"/>
      <c r="I369" s="15"/>
      <c r="J369" s="16"/>
      <c r="K369" s="15"/>
      <c r="L369" s="15"/>
      <c r="M369" s="29"/>
      <c r="N369" s="19"/>
      <c r="O369" s="18">
        <f t="shared" si="7"/>
        <v>0</v>
      </c>
      <c r="P369" s="17"/>
      <c r="R369" s="22"/>
      <c r="S369" s="22"/>
      <c r="T369" s="19"/>
      <c r="U369" s="19"/>
    </row>
    <row r="370" spans="2:21" s="20" customFormat="1" ht="17.100000000000001" customHeight="1" x14ac:dyDescent="0.3">
      <c r="B370" s="17"/>
      <c r="C370" s="17"/>
      <c r="E370" s="15"/>
      <c r="F370" s="15"/>
      <c r="G370" s="15"/>
      <c r="H370" s="16"/>
      <c r="I370" s="15"/>
      <c r="J370" s="16"/>
      <c r="K370" s="15"/>
      <c r="L370" s="15"/>
      <c r="M370" s="29"/>
      <c r="N370" s="19"/>
      <c r="O370" s="18">
        <f t="shared" si="7"/>
        <v>0</v>
      </c>
      <c r="P370" s="17"/>
      <c r="R370" s="22"/>
      <c r="S370" s="22"/>
      <c r="T370" s="19"/>
      <c r="U370" s="19"/>
    </row>
    <row r="371" spans="2:21" s="20" customFormat="1" ht="17.100000000000001" customHeight="1" x14ac:dyDescent="0.3">
      <c r="B371" s="17"/>
      <c r="C371" s="17"/>
      <c r="E371" s="15"/>
      <c r="F371" s="15"/>
      <c r="G371" s="15"/>
      <c r="H371" s="16"/>
      <c r="I371" s="15"/>
      <c r="J371" s="16"/>
      <c r="K371" s="15"/>
      <c r="L371" s="15"/>
      <c r="M371" s="29"/>
      <c r="N371" s="19"/>
      <c r="O371" s="18">
        <f t="shared" si="7"/>
        <v>0</v>
      </c>
      <c r="P371" s="17"/>
      <c r="R371" s="22"/>
      <c r="S371" s="22"/>
      <c r="T371" s="19"/>
      <c r="U371" s="19"/>
    </row>
    <row r="372" spans="2:21" s="20" customFormat="1" ht="17.100000000000001" customHeight="1" x14ac:dyDescent="0.3">
      <c r="B372" s="17"/>
      <c r="C372" s="17"/>
      <c r="E372" s="15"/>
      <c r="F372" s="15"/>
      <c r="G372" s="15"/>
      <c r="H372" s="16"/>
      <c r="I372" s="15"/>
      <c r="J372" s="16"/>
      <c r="K372" s="15"/>
      <c r="L372" s="15"/>
      <c r="M372" s="29"/>
      <c r="N372" s="19"/>
      <c r="O372" s="18">
        <f t="shared" si="7"/>
        <v>0</v>
      </c>
      <c r="P372" s="17"/>
      <c r="R372" s="22"/>
      <c r="S372" s="22"/>
      <c r="T372" s="19"/>
      <c r="U372" s="19"/>
    </row>
    <row r="373" spans="2:21" s="20" customFormat="1" ht="17.100000000000001" customHeight="1" x14ac:dyDescent="0.3">
      <c r="B373" s="17"/>
      <c r="C373" s="17"/>
      <c r="E373" s="15"/>
      <c r="F373" s="15"/>
      <c r="G373" s="15"/>
      <c r="H373" s="16"/>
      <c r="I373" s="15"/>
      <c r="J373" s="16"/>
      <c r="K373" s="15"/>
      <c r="L373" s="15"/>
      <c r="M373" s="29"/>
      <c r="N373" s="19"/>
      <c r="O373" s="18">
        <f t="shared" si="7"/>
        <v>0</v>
      </c>
      <c r="P373" s="17"/>
      <c r="R373" s="22"/>
      <c r="S373" s="22"/>
      <c r="T373" s="19"/>
      <c r="U373" s="19"/>
    </row>
    <row r="374" spans="2:21" s="20" customFormat="1" ht="17.100000000000001" customHeight="1" x14ac:dyDescent="0.3">
      <c r="B374" s="17"/>
      <c r="C374" s="17"/>
      <c r="E374" s="15"/>
      <c r="F374" s="15"/>
      <c r="G374" s="15"/>
      <c r="H374" s="16"/>
      <c r="I374" s="15"/>
      <c r="J374" s="16"/>
      <c r="K374" s="15"/>
      <c r="L374" s="15"/>
      <c r="M374" s="29"/>
      <c r="N374" s="19"/>
      <c r="O374" s="18">
        <f t="shared" si="7"/>
        <v>0</v>
      </c>
      <c r="P374" s="17"/>
      <c r="R374" s="22"/>
      <c r="S374" s="22"/>
      <c r="T374" s="19"/>
      <c r="U374" s="19"/>
    </row>
    <row r="375" spans="2:21" s="20" customFormat="1" ht="17.100000000000001" customHeight="1" x14ac:dyDescent="0.3">
      <c r="B375" s="17"/>
      <c r="C375" s="17"/>
      <c r="E375" s="15"/>
      <c r="F375" s="15"/>
      <c r="G375" s="15"/>
      <c r="H375" s="16"/>
      <c r="I375" s="15"/>
      <c r="J375" s="16"/>
      <c r="K375" s="15"/>
      <c r="L375" s="15"/>
      <c r="M375" s="29"/>
      <c r="N375" s="19"/>
      <c r="O375" s="18">
        <f t="shared" si="7"/>
        <v>0</v>
      </c>
      <c r="P375" s="17"/>
      <c r="R375" s="22"/>
      <c r="S375" s="22"/>
      <c r="T375" s="19"/>
      <c r="U375" s="19"/>
    </row>
    <row r="376" spans="2:21" s="20" customFormat="1" ht="17.100000000000001" customHeight="1" x14ac:dyDescent="0.3">
      <c r="B376" s="17"/>
      <c r="C376" s="17"/>
      <c r="E376" s="15"/>
      <c r="F376" s="15"/>
      <c r="G376" s="15"/>
      <c r="H376" s="16"/>
      <c r="I376" s="15"/>
      <c r="J376" s="16"/>
      <c r="K376" s="15"/>
      <c r="L376" s="15"/>
      <c r="M376" s="29"/>
      <c r="N376" s="19"/>
      <c r="O376" s="18">
        <f t="shared" si="7"/>
        <v>0</v>
      </c>
      <c r="P376" s="17"/>
      <c r="R376" s="22"/>
      <c r="S376" s="22"/>
      <c r="T376" s="19"/>
      <c r="U376" s="19"/>
    </row>
    <row r="377" spans="2:21" s="20" customFormat="1" ht="17.100000000000001" customHeight="1" x14ac:dyDescent="0.3">
      <c r="B377" s="17"/>
      <c r="C377" s="17"/>
      <c r="E377" s="15"/>
      <c r="F377" s="15"/>
      <c r="G377" s="15"/>
      <c r="H377" s="16"/>
      <c r="I377" s="15"/>
      <c r="J377" s="16"/>
      <c r="K377" s="15"/>
      <c r="L377" s="15"/>
      <c r="M377" s="29"/>
      <c r="N377" s="19"/>
      <c r="O377" s="18">
        <f t="shared" si="7"/>
        <v>0</v>
      </c>
      <c r="P377" s="17"/>
      <c r="R377" s="22"/>
      <c r="S377" s="22"/>
      <c r="T377" s="19"/>
      <c r="U377" s="19"/>
    </row>
    <row r="378" spans="2:21" s="20" customFormat="1" ht="17.100000000000001" customHeight="1" x14ac:dyDescent="0.3">
      <c r="B378" s="17"/>
      <c r="C378" s="17"/>
      <c r="E378" s="15"/>
      <c r="F378" s="15"/>
      <c r="G378" s="15"/>
      <c r="H378" s="16"/>
      <c r="I378" s="15"/>
      <c r="J378" s="16"/>
      <c r="K378" s="15"/>
      <c r="L378" s="15"/>
      <c r="M378" s="29"/>
      <c r="N378" s="19"/>
      <c r="O378" s="18">
        <f t="shared" si="7"/>
        <v>0</v>
      </c>
      <c r="P378" s="17"/>
      <c r="R378" s="22"/>
      <c r="S378" s="22"/>
      <c r="T378" s="19"/>
      <c r="U378" s="19"/>
    </row>
    <row r="379" spans="2:21" s="20" customFormat="1" ht="17.100000000000001" customHeight="1" x14ac:dyDescent="0.3">
      <c r="B379" s="17"/>
      <c r="C379" s="17"/>
      <c r="E379" s="15"/>
      <c r="F379" s="15"/>
      <c r="G379" s="15"/>
      <c r="H379" s="16"/>
      <c r="I379" s="15"/>
      <c r="J379" s="16"/>
      <c r="K379" s="15"/>
      <c r="L379" s="15"/>
      <c r="M379" s="29"/>
      <c r="N379" s="19"/>
      <c r="O379" s="18">
        <f t="shared" si="7"/>
        <v>0</v>
      </c>
      <c r="P379" s="17"/>
      <c r="R379" s="22"/>
      <c r="S379" s="22"/>
      <c r="T379" s="19"/>
      <c r="U379" s="19"/>
    </row>
    <row r="380" spans="2:21" s="20" customFormat="1" ht="17.100000000000001" customHeight="1" x14ac:dyDescent="0.3">
      <c r="B380" s="17"/>
      <c r="C380" s="17"/>
      <c r="E380" s="15"/>
      <c r="F380" s="15"/>
      <c r="G380" s="15"/>
      <c r="H380" s="16"/>
      <c r="I380" s="15"/>
      <c r="J380" s="16"/>
      <c r="K380" s="15"/>
      <c r="L380" s="15"/>
      <c r="M380" s="29"/>
      <c r="N380" s="19"/>
      <c r="O380" s="18">
        <f t="shared" si="7"/>
        <v>0</v>
      </c>
      <c r="P380" s="17"/>
      <c r="R380" s="22"/>
      <c r="S380" s="22"/>
      <c r="T380" s="19"/>
      <c r="U380" s="19"/>
    </row>
    <row r="381" spans="2:21" s="20" customFormat="1" ht="17.100000000000001" customHeight="1" x14ac:dyDescent="0.3">
      <c r="B381" s="17"/>
      <c r="C381" s="17"/>
      <c r="E381" s="15"/>
      <c r="F381" s="15"/>
      <c r="G381" s="15"/>
      <c r="H381" s="16"/>
      <c r="I381" s="15"/>
      <c r="J381" s="16"/>
      <c r="K381" s="15"/>
      <c r="L381" s="15"/>
      <c r="M381" s="29"/>
      <c r="N381" s="19"/>
      <c r="O381" s="18">
        <f t="shared" si="7"/>
        <v>0</v>
      </c>
      <c r="P381" s="17"/>
      <c r="R381" s="22"/>
      <c r="S381" s="22"/>
      <c r="T381" s="19"/>
      <c r="U381" s="19"/>
    </row>
    <row r="382" spans="2:21" s="20" customFormat="1" ht="17.100000000000001" customHeight="1" x14ac:dyDescent="0.3">
      <c r="B382" s="17"/>
      <c r="C382" s="17"/>
      <c r="E382" s="15"/>
      <c r="F382" s="15"/>
      <c r="G382" s="15"/>
      <c r="H382" s="16"/>
      <c r="I382" s="15"/>
      <c r="J382" s="16"/>
      <c r="K382" s="15"/>
      <c r="L382" s="15"/>
      <c r="M382" s="29"/>
      <c r="N382" s="19"/>
      <c r="O382" s="18">
        <f t="shared" si="7"/>
        <v>0</v>
      </c>
      <c r="P382" s="17"/>
      <c r="R382" s="22"/>
      <c r="S382" s="22"/>
      <c r="T382" s="19"/>
      <c r="U382" s="19"/>
    </row>
    <row r="383" spans="2:21" s="20" customFormat="1" ht="17.100000000000001" customHeight="1" x14ac:dyDescent="0.3">
      <c r="B383" s="17"/>
      <c r="C383" s="17"/>
      <c r="E383" s="15"/>
      <c r="F383" s="15"/>
      <c r="G383" s="15"/>
      <c r="H383" s="16"/>
      <c r="I383" s="15"/>
      <c r="J383" s="16"/>
      <c r="K383" s="15"/>
      <c r="L383" s="15"/>
      <c r="M383" s="29"/>
      <c r="N383" s="19"/>
      <c r="O383" s="18">
        <f t="shared" si="7"/>
        <v>0</v>
      </c>
      <c r="P383" s="17"/>
      <c r="R383" s="22"/>
      <c r="S383" s="22"/>
      <c r="T383" s="19"/>
      <c r="U383" s="19"/>
    </row>
    <row r="384" spans="2:21" s="20" customFormat="1" ht="17.100000000000001" customHeight="1" x14ac:dyDescent="0.3">
      <c r="B384" s="17"/>
      <c r="C384" s="17"/>
      <c r="E384" s="15"/>
      <c r="F384" s="15"/>
      <c r="G384" s="15"/>
      <c r="H384" s="16"/>
      <c r="I384" s="15"/>
      <c r="J384" s="16"/>
      <c r="K384" s="15"/>
      <c r="L384" s="15"/>
      <c r="M384" s="29"/>
      <c r="N384" s="19"/>
      <c r="O384" s="18">
        <f t="shared" si="7"/>
        <v>0</v>
      </c>
      <c r="P384" s="17"/>
      <c r="R384" s="22"/>
      <c r="S384" s="22"/>
      <c r="T384" s="19"/>
      <c r="U384" s="19"/>
    </row>
    <row r="385" spans="2:21" s="20" customFormat="1" ht="17.100000000000001" customHeight="1" x14ac:dyDescent="0.3">
      <c r="B385" s="17"/>
      <c r="C385" s="17"/>
      <c r="E385" s="15"/>
      <c r="F385" s="15"/>
      <c r="G385" s="15"/>
      <c r="H385" s="16"/>
      <c r="I385" s="15"/>
      <c r="J385" s="16"/>
      <c r="K385" s="15"/>
      <c r="L385" s="15"/>
      <c r="M385" s="29"/>
      <c r="N385" s="19"/>
      <c r="O385" s="18">
        <f t="shared" si="7"/>
        <v>0</v>
      </c>
      <c r="P385" s="17"/>
      <c r="R385" s="22"/>
      <c r="S385" s="22"/>
      <c r="T385" s="19"/>
      <c r="U385" s="19"/>
    </row>
    <row r="386" spans="2:21" s="20" customFormat="1" ht="17.100000000000001" customHeight="1" x14ac:dyDescent="0.3">
      <c r="B386" s="17"/>
      <c r="C386" s="17"/>
      <c r="E386" s="15"/>
      <c r="F386" s="15"/>
      <c r="G386" s="15"/>
      <c r="H386" s="16"/>
      <c r="I386" s="15"/>
      <c r="J386" s="16"/>
      <c r="K386" s="15"/>
      <c r="L386" s="15"/>
      <c r="M386" s="29"/>
      <c r="N386" s="19"/>
      <c r="O386" s="18">
        <f t="shared" si="7"/>
        <v>0</v>
      </c>
      <c r="P386" s="17"/>
      <c r="R386" s="22"/>
      <c r="S386" s="22"/>
      <c r="T386" s="19"/>
      <c r="U386" s="19"/>
    </row>
    <row r="387" spans="2:21" s="20" customFormat="1" ht="17.100000000000001" customHeight="1" x14ac:dyDescent="0.3">
      <c r="B387" s="17"/>
      <c r="C387" s="17"/>
      <c r="E387" s="15"/>
      <c r="F387" s="15"/>
      <c r="G387" s="15"/>
      <c r="H387" s="16"/>
      <c r="I387" s="15"/>
      <c r="J387" s="16"/>
      <c r="K387" s="15"/>
      <c r="L387" s="15"/>
      <c r="M387" s="29"/>
      <c r="N387" s="19"/>
      <c r="O387" s="18">
        <f t="shared" si="7"/>
        <v>0</v>
      </c>
      <c r="P387" s="17"/>
      <c r="R387" s="22"/>
      <c r="S387" s="22"/>
      <c r="T387" s="19"/>
      <c r="U387" s="19"/>
    </row>
    <row r="388" spans="2:21" s="20" customFormat="1" ht="17.100000000000001" customHeight="1" x14ac:dyDescent="0.3">
      <c r="B388" s="17"/>
      <c r="C388" s="17"/>
      <c r="E388" s="15"/>
      <c r="F388" s="15"/>
      <c r="G388" s="15"/>
      <c r="H388" s="16"/>
      <c r="I388" s="15"/>
      <c r="J388" s="16"/>
      <c r="K388" s="15"/>
      <c r="L388" s="15"/>
      <c r="M388" s="29"/>
      <c r="N388" s="19"/>
      <c r="O388" s="18">
        <f t="shared" si="7"/>
        <v>0</v>
      </c>
      <c r="P388" s="17"/>
      <c r="R388" s="22"/>
      <c r="S388" s="22"/>
      <c r="T388" s="19"/>
      <c r="U388" s="19"/>
    </row>
    <row r="389" spans="2:21" s="20" customFormat="1" ht="17.100000000000001" customHeight="1" x14ac:dyDescent="0.3">
      <c r="B389" s="17"/>
      <c r="C389" s="17"/>
      <c r="E389" s="15"/>
      <c r="F389" s="15"/>
      <c r="G389" s="15"/>
      <c r="H389" s="16"/>
      <c r="I389" s="15"/>
      <c r="J389" s="16"/>
      <c r="K389" s="15"/>
      <c r="L389" s="15"/>
      <c r="M389" s="29"/>
      <c r="N389" s="19"/>
      <c r="O389" s="18">
        <f t="shared" si="7"/>
        <v>0</v>
      </c>
      <c r="P389" s="17"/>
      <c r="R389" s="22"/>
      <c r="S389" s="22"/>
      <c r="T389" s="19"/>
      <c r="U389" s="19"/>
    </row>
    <row r="390" spans="2:21" s="20" customFormat="1" ht="17.100000000000001" customHeight="1" x14ac:dyDescent="0.3">
      <c r="B390" s="17"/>
      <c r="C390" s="17"/>
      <c r="E390" s="15"/>
      <c r="F390" s="15"/>
      <c r="G390" s="15"/>
      <c r="H390" s="16"/>
      <c r="I390" s="15"/>
      <c r="J390" s="16"/>
      <c r="K390" s="15"/>
      <c r="L390" s="15"/>
      <c r="M390" s="29"/>
      <c r="N390" s="19"/>
      <c r="O390" s="18">
        <f t="shared" si="7"/>
        <v>0</v>
      </c>
      <c r="P390" s="17"/>
      <c r="R390" s="22"/>
      <c r="S390" s="22"/>
      <c r="T390" s="19"/>
      <c r="U390" s="19"/>
    </row>
    <row r="391" spans="2:21" s="20" customFormat="1" ht="17.100000000000001" customHeight="1" x14ac:dyDescent="0.3">
      <c r="B391" s="17"/>
      <c r="C391" s="17"/>
      <c r="E391" s="15"/>
      <c r="F391" s="15"/>
      <c r="G391" s="15"/>
      <c r="H391" s="16"/>
      <c r="I391" s="15"/>
      <c r="J391" s="16"/>
      <c r="K391" s="15"/>
      <c r="L391" s="15"/>
      <c r="M391" s="29"/>
      <c r="N391" s="19"/>
      <c r="O391" s="18">
        <f t="shared" si="7"/>
        <v>0</v>
      </c>
      <c r="P391" s="17"/>
      <c r="R391" s="22"/>
      <c r="S391" s="22"/>
      <c r="T391" s="19"/>
      <c r="U391" s="19"/>
    </row>
    <row r="392" spans="2:21" s="20" customFormat="1" ht="17.100000000000001" customHeight="1" x14ac:dyDescent="0.3">
      <c r="B392" s="17"/>
      <c r="C392" s="17"/>
      <c r="E392" s="15"/>
      <c r="F392" s="15"/>
      <c r="G392" s="15"/>
      <c r="H392" s="16"/>
      <c r="I392" s="15"/>
      <c r="J392" s="16"/>
      <c r="K392" s="15"/>
      <c r="L392" s="15"/>
      <c r="M392" s="29"/>
      <c r="N392" s="19"/>
      <c r="O392" s="18">
        <f t="shared" si="7"/>
        <v>0</v>
      </c>
      <c r="P392" s="17"/>
      <c r="R392" s="22"/>
      <c r="S392" s="22"/>
      <c r="T392" s="19"/>
      <c r="U392" s="19"/>
    </row>
    <row r="393" spans="2:21" s="20" customFormat="1" ht="17.100000000000001" customHeight="1" x14ac:dyDescent="0.3">
      <c r="B393" s="17"/>
      <c r="C393" s="17"/>
      <c r="E393" s="15"/>
      <c r="F393" s="15"/>
      <c r="G393" s="15"/>
      <c r="H393" s="16"/>
      <c r="I393" s="15"/>
      <c r="J393" s="16"/>
      <c r="K393" s="15"/>
      <c r="L393" s="15"/>
      <c r="M393" s="29"/>
      <c r="N393" s="19"/>
      <c r="O393" s="18">
        <f t="shared" si="7"/>
        <v>0</v>
      </c>
      <c r="P393" s="17"/>
      <c r="R393" s="22"/>
      <c r="S393" s="22"/>
      <c r="T393" s="19"/>
      <c r="U393" s="19"/>
    </row>
    <row r="394" spans="2:21" s="20" customFormat="1" ht="17.100000000000001" customHeight="1" x14ac:dyDescent="0.3">
      <c r="B394" s="17"/>
      <c r="C394" s="17"/>
      <c r="E394" s="15"/>
      <c r="F394" s="15"/>
      <c r="G394" s="15"/>
      <c r="H394" s="16"/>
      <c r="I394" s="15"/>
      <c r="J394" s="16"/>
      <c r="K394" s="15"/>
      <c r="L394" s="15"/>
      <c r="M394" s="29"/>
      <c r="N394" s="19"/>
      <c r="O394" s="18">
        <f t="shared" si="7"/>
        <v>0</v>
      </c>
      <c r="P394" s="17"/>
      <c r="R394" s="22"/>
      <c r="S394" s="22"/>
      <c r="T394" s="19"/>
      <c r="U394" s="19"/>
    </row>
    <row r="395" spans="2:21" s="20" customFormat="1" ht="17.100000000000001" customHeight="1" x14ac:dyDescent="0.3">
      <c r="B395" s="17"/>
      <c r="C395" s="17"/>
      <c r="E395" s="15"/>
      <c r="F395" s="15"/>
      <c r="G395" s="15"/>
      <c r="H395" s="16"/>
      <c r="I395" s="15"/>
      <c r="J395" s="16"/>
      <c r="K395" s="15"/>
      <c r="L395" s="15"/>
      <c r="M395" s="29"/>
      <c r="N395" s="19"/>
      <c r="O395" s="18">
        <f t="shared" si="7"/>
        <v>0</v>
      </c>
      <c r="P395" s="17"/>
      <c r="R395" s="22"/>
      <c r="S395" s="22"/>
      <c r="T395" s="19"/>
      <c r="U395" s="19"/>
    </row>
    <row r="396" spans="2:21" s="20" customFormat="1" ht="17.100000000000001" customHeight="1" x14ac:dyDescent="0.3">
      <c r="B396" s="17"/>
      <c r="C396" s="17"/>
      <c r="E396" s="15"/>
      <c r="F396" s="15"/>
      <c r="G396" s="15"/>
      <c r="H396" s="16"/>
      <c r="I396" s="15"/>
      <c r="J396" s="16"/>
      <c r="K396" s="15"/>
      <c r="L396" s="15"/>
      <c r="M396" s="29"/>
      <c r="N396" s="19"/>
      <c r="O396" s="18">
        <f t="shared" si="7"/>
        <v>0</v>
      </c>
      <c r="P396" s="17"/>
      <c r="R396" s="22"/>
      <c r="S396" s="22"/>
      <c r="T396" s="19"/>
      <c r="U396" s="19"/>
    </row>
    <row r="397" spans="2:21" s="20" customFormat="1" ht="17.100000000000001" customHeight="1" x14ac:dyDescent="0.3">
      <c r="B397" s="17"/>
      <c r="C397" s="17"/>
      <c r="E397" s="15"/>
      <c r="F397" s="15"/>
      <c r="G397" s="15"/>
      <c r="H397" s="16"/>
      <c r="I397" s="15"/>
      <c r="J397" s="16"/>
      <c r="K397" s="15"/>
      <c r="L397" s="15"/>
      <c r="M397" s="29"/>
      <c r="N397" s="19"/>
      <c r="O397" s="18">
        <f t="shared" si="7"/>
        <v>0</v>
      </c>
      <c r="P397" s="17"/>
      <c r="R397" s="22"/>
      <c r="S397" s="22"/>
      <c r="T397" s="19"/>
      <c r="U397" s="19"/>
    </row>
    <row r="398" spans="2:21" s="20" customFormat="1" ht="17.100000000000001" customHeight="1" x14ac:dyDescent="0.3">
      <c r="B398" s="17"/>
      <c r="C398" s="17"/>
      <c r="E398" s="15"/>
      <c r="F398" s="15"/>
      <c r="G398" s="15"/>
      <c r="H398" s="16"/>
      <c r="I398" s="15"/>
      <c r="J398" s="16"/>
      <c r="K398" s="15"/>
      <c r="L398" s="15"/>
      <c r="M398" s="29"/>
      <c r="N398" s="19"/>
      <c r="O398" s="18">
        <f t="shared" si="7"/>
        <v>0</v>
      </c>
      <c r="P398" s="17"/>
      <c r="R398" s="22"/>
      <c r="S398" s="22"/>
      <c r="T398" s="19"/>
      <c r="U398" s="19"/>
    </row>
    <row r="399" spans="2:21" s="20" customFormat="1" ht="17.100000000000001" customHeight="1" x14ac:dyDescent="0.3">
      <c r="B399" s="17"/>
      <c r="C399" s="17"/>
      <c r="E399" s="15"/>
      <c r="F399" s="15"/>
      <c r="G399" s="15"/>
      <c r="H399" s="16"/>
      <c r="I399" s="15"/>
      <c r="J399" s="16"/>
      <c r="K399" s="15"/>
      <c r="L399" s="15"/>
      <c r="M399" s="29"/>
      <c r="N399" s="19"/>
      <c r="O399" s="18">
        <f t="shared" si="7"/>
        <v>0</v>
      </c>
      <c r="P399" s="17"/>
      <c r="R399" s="22"/>
      <c r="S399" s="22"/>
      <c r="T399" s="19"/>
      <c r="U399" s="19"/>
    </row>
    <row r="400" spans="2:21" s="20" customFormat="1" ht="17.100000000000001" customHeight="1" x14ac:dyDescent="0.3">
      <c r="B400" s="17"/>
      <c r="C400" s="17"/>
      <c r="E400" s="15"/>
      <c r="F400" s="15"/>
      <c r="G400" s="15"/>
      <c r="H400" s="16"/>
      <c r="I400" s="15"/>
      <c r="J400" s="16"/>
      <c r="K400" s="15"/>
      <c r="L400" s="15"/>
      <c r="M400" s="29"/>
      <c r="N400" s="19"/>
      <c r="O400" s="18">
        <f t="shared" si="7"/>
        <v>0</v>
      </c>
      <c r="P400" s="17"/>
      <c r="R400" s="22"/>
      <c r="S400" s="22"/>
      <c r="T400" s="19"/>
      <c r="U400" s="19"/>
    </row>
    <row r="401" spans="2:21" s="20" customFormat="1" ht="17.100000000000001" customHeight="1" x14ac:dyDescent="0.3">
      <c r="B401" s="17"/>
      <c r="C401" s="17"/>
      <c r="E401" s="15"/>
      <c r="F401" s="15"/>
      <c r="G401" s="15"/>
      <c r="H401" s="16"/>
      <c r="I401" s="15"/>
      <c r="J401" s="16"/>
      <c r="K401" s="15"/>
      <c r="L401" s="15"/>
      <c r="M401" s="29"/>
      <c r="N401" s="19"/>
      <c r="O401" s="18">
        <f t="shared" si="7"/>
        <v>0</v>
      </c>
      <c r="P401" s="17"/>
      <c r="R401" s="22"/>
      <c r="S401" s="22"/>
      <c r="T401" s="19"/>
      <c r="U401" s="19"/>
    </row>
    <row r="402" spans="2:21" s="20" customFormat="1" ht="17.100000000000001" customHeight="1" x14ac:dyDescent="0.3">
      <c r="B402" s="17"/>
      <c r="C402" s="17"/>
      <c r="E402" s="15"/>
      <c r="F402" s="15"/>
      <c r="G402" s="15"/>
      <c r="H402" s="16"/>
      <c r="I402" s="15"/>
      <c r="J402" s="16"/>
      <c r="K402" s="15"/>
      <c r="L402" s="15"/>
      <c r="M402" s="29"/>
      <c r="N402" s="19"/>
      <c r="O402" s="18">
        <f t="shared" si="7"/>
        <v>0</v>
      </c>
      <c r="P402" s="17"/>
      <c r="R402" s="22"/>
      <c r="S402" s="22"/>
      <c r="T402" s="19"/>
      <c r="U402" s="19"/>
    </row>
    <row r="403" spans="2:21" s="20" customFormat="1" ht="17.100000000000001" customHeight="1" x14ac:dyDescent="0.3">
      <c r="B403" s="17"/>
      <c r="C403" s="17"/>
      <c r="E403" s="15"/>
      <c r="F403" s="15"/>
      <c r="G403" s="15"/>
      <c r="H403" s="16"/>
      <c r="I403" s="15"/>
      <c r="J403" s="16"/>
      <c r="K403" s="15"/>
      <c r="L403" s="15"/>
      <c r="M403" s="29"/>
      <c r="N403" s="19"/>
      <c r="O403" s="18">
        <f t="shared" si="7"/>
        <v>0</v>
      </c>
      <c r="P403" s="17"/>
      <c r="R403" s="22"/>
      <c r="S403" s="22"/>
      <c r="T403" s="19"/>
      <c r="U403" s="19"/>
    </row>
    <row r="404" spans="2:21" s="20" customFormat="1" ht="17.100000000000001" customHeight="1" x14ac:dyDescent="0.3">
      <c r="B404" s="17"/>
      <c r="C404" s="17"/>
      <c r="E404" s="15"/>
      <c r="F404" s="15"/>
      <c r="G404" s="15"/>
      <c r="H404" s="16"/>
      <c r="I404" s="15"/>
      <c r="J404" s="16"/>
      <c r="K404" s="15"/>
      <c r="L404" s="15"/>
      <c r="M404" s="29"/>
      <c r="N404" s="19"/>
      <c r="O404" s="18">
        <f t="shared" si="7"/>
        <v>0</v>
      </c>
      <c r="P404" s="17"/>
      <c r="R404" s="22"/>
      <c r="S404" s="22"/>
      <c r="T404" s="19"/>
      <c r="U404" s="19"/>
    </row>
    <row r="405" spans="2:21" s="20" customFormat="1" ht="17.100000000000001" customHeight="1" x14ac:dyDescent="0.3">
      <c r="B405" s="17"/>
      <c r="C405" s="17"/>
      <c r="E405" s="15"/>
      <c r="F405" s="15"/>
      <c r="G405" s="15"/>
      <c r="H405" s="16"/>
      <c r="I405" s="15"/>
      <c r="J405" s="16"/>
      <c r="K405" s="15"/>
      <c r="L405" s="15"/>
      <c r="M405" s="29"/>
      <c r="N405" s="19"/>
      <c r="O405" s="18">
        <f t="shared" si="7"/>
        <v>0</v>
      </c>
      <c r="P405" s="17"/>
      <c r="R405" s="22"/>
      <c r="S405" s="22"/>
      <c r="T405" s="19"/>
      <c r="U405" s="19"/>
    </row>
    <row r="406" spans="2:21" s="20" customFormat="1" ht="17.100000000000001" customHeight="1" x14ac:dyDescent="0.3">
      <c r="B406" s="17"/>
      <c r="C406" s="17"/>
      <c r="E406" s="15"/>
      <c r="F406" s="15"/>
      <c r="G406" s="15"/>
      <c r="H406" s="16"/>
      <c r="I406" s="15"/>
      <c r="J406" s="16"/>
      <c r="K406" s="15"/>
      <c r="L406" s="15"/>
      <c r="M406" s="29"/>
      <c r="N406" s="19"/>
      <c r="O406" s="18">
        <f t="shared" si="7"/>
        <v>0</v>
      </c>
      <c r="P406" s="17"/>
      <c r="R406" s="22"/>
      <c r="S406" s="22"/>
      <c r="T406" s="19"/>
      <c r="U406" s="19"/>
    </row>
    <row r="407" spans="2:21" s="20" customFormat="1" ht="17.100000000000001" customHeight="1" x14ac:dyDescent="0.3">
      <c r="B407" s="17"/>
      <c r="C407" s="17"/>
      <c r="E407" s="15"/>
      <c r="F407" s="15"/>
      <c r="G407" s="15"/>
      <c r="H407" s="16"/>
      <c r="I407" s="15"/>
      <c r="J407" s="16"/>
      <c r="K407" s="15"/>
      <c r="L407" s="15"/>
      <c r="M407" s="29"/>
      <c r="N407" s="19"/>
      <c r="O407" s="18">
        <f t="shared" si="7"/>
        <v>0</v>
      </c>
      <c r="P407" s="17"/>
      <c r="R407" s="22"/>
      <c r="S407" s="22"/>
      <c r="T407" s="19"/>
      <c r="U407" s="19"/>
    </row>
    <row r="408" spans="2:21" s="20" customFormat="1" ht="17.100000000000001" customHeight="1" x14ac:dyDescent="0.3">
      <c r="B408" s="17"/>
      <c r="C408" s="17"/>
      <c r="E408" s="15"/>
      <c r="F408" s="15"/>
      <c r="G408" s="15"/>
      <c r="H408" s="16"/>
      <c r="I408" s="15"/>
      <c r="J408" s="16"/>
      <c r="K408" s="15"/>
      <c r="L408" s="15"/>
      <c r="M408" s="29"/>
      <c r="N408" s="19"/>
      <c r="O408" s="18">
        <f t="shared" si="7"/>
        <v>0</v>
      </c>
      <c r="P408" s="17"/>
      <c r="R408" s="22"/>
      <c r="S408" s="22"/>
      <c r="T408" s="19"/>
      <c r="U408" s="19"/>
    </row>
    <row r="409" spans="2:21" s="20" customFormat="1" ht="17.100000000000001" customHeight="1" x14ac:dyDescent="0.3">
      <c r="B409" s="17"/>
      <c r="C409" s="17"/>
      <c r="E409" s="15"/>
      <c r="F409" s="15"/>
      <c r="G409" s="15"/>
      <c r="H409" s="16"/>
      <c r="I409" s="15"/>
      <c r="J409" s="16"/>
      <c r="K409" s="15"/>
      <c r="L409" s="15"/>
      <c r="M409" s="29"/>
      <c r="N409" s="19"/>
      <c r="O409" s="18">
        <f t="shared" si="7"/>
        <v>0</v>
      </c>
      <c r="P409" s="17"/>
      <c r="R409" s="22"/>
      <c r="S409" s="22"/>
      <c r="T409" s="19"/>
      <c r="U409" s="19"/>
    </row>
    <row r="410" spans="2:21" s="20" customFormat="1" ht="17.100000000000001" customHeight="1" x14ac:dyDescent="0.3">
      <c r="B410" s="17"/>
      <c r="C410" s="17"/>
      <c r="E410" s="15"/>
      <c r="F410" s="15"/>
      <c r="G410" s="15"/>
      <c r="H410" s="16"/>
      <c r="I410" s="15"/>
      <c r="J410" s="16"/>
      <c r="K410" s="15"/>
      <c r="L410" s="15"/>
      <c r="M410" s="29"/>
      <c r="N410" s="19"/>
      <c r="O410" s="18">
        <f t="shared" si="7"/>
        <v>0</v>
      </c>
      <c r="P410" s="17"/>
      <c r="R410" s="22"/>
      <c r="S410" s="22"/>
      <c r="T410" s="19"/>
      <c r="U410" s="19"/>
    </row>
    <row r="411" spans="2:21" s="20" customFormat="1" ht="17.100000000000001" customHeight="1" x14ac:dyDescent="0.3">
      <c r="B411" s="17"/>
      <c r="C411" s="17"/>
      <c r="E411" s="15"/>
      <c r="F411" s="15"/>
      <c r="G411" s="15"/>
      <c r="H411" s="16"/>
      <c r="I411" s="15"/>
      <c r="J411" s="16"/>
      <c r="K411" s="15"/>
      <c r="L411" s="15"/>
      <c r="M411" s="29"/>
      <c r="N411" s="19"/>
      <c r="O411" s="18">
        <f t="shared" ref="O411:O474" si="8">(N411*I411)+U411</f>
        <v>0</v>
      </c>
      <c r="P411" s="17"/>
      <c r="R411" s="22"/>
      <c r="S411" s="22"/>
      <c r="T411" s="19"/>
      <c r="U411" s="19"/>
    </row>
    <row r="412" spans="2:21" s="20" customFormat="1" ht="17.100000000000001" customHeight="1" x14ac:dyDescent="0.3">
      <c r="B412" s="17"/>
      <c r="C412" s="17"/>
      <c r="E412" s="15"/>
      <c r="F412" s="15"/>
      <c r="G412" s="15"/>
      <c r="H412" s="16"/>
      <c r="I412" s="15"/>
      <c r="J412" s="16"/>
      <c r="K412" s="15"/>
      <c r="L412" s="15"/>
      <c r="M412" s="29"/>
      <c r="N412" s="19"/>
      <c r="O412" s="18">
        <f t="shared" si="8"/>
        <v>0</v>
      </c>
      <c r="P412" s="17"/>
      <c r="R412" s="22"/>
      <c r="S412" s="22"/>
      <c r="T412" s="19"/>
      <c r="U412" s="19"/>
    </row>
    <row r="413" spans="2:21" s="20" customFormat="1" ht="17.100000000000001" customHeight="1" x14ac:dyDescent="0.3">
      <c r="B413" s="17"/>
      <c r="C413" s="17"/>
      <c r="E413" s="15"/>
      <c r="F413" s="15"/>
      <c r="G413" s="15"/>
      <c r="H413" s="16"/>
      <c r="I413" s="15"/>
      <c r="J413" s="16"/>
      <c r="K413" s="15"/>
      <c r="L413" s="15"/>
      <c r="M413" s="29"/>
      <c r="N413" s="19"/>
      <c r="O413" s="18">
        <f t="shared" si="8"/>
        <v>0</v>
      </c>
      <c r="P413" s="17"/>
      <c r="R413" s="22"/>
      <c r="S413" s="22"/>
      <c r="T413" s="19"/>
      <c r="U413" s="19"/>
    </row>
    <row r="414" spans="2:21" s="20" customFormat="1" ht="17.100000000000001" customHeight="1" x14ac:dyDescent="0.3">
      <c r="B414" s="17"/>
      <c r="C414" s="17"/>
      <c r="E414" s="15"/>
      <c r="F414" s="15"/>
      <c r="G414" s="15"/>
      <c r="H414" s="16"/>
      <c r="I414" s="15"/>
      <c r="J414" s="16"/>
      <c r="K414" s="15"/>
      <c r="L414" s="15"/>
      <c r="M414" s="29"/>
      <c r="N414" s="19"/>
      <c r="O414" s="18">
        <f t="shared" si="8"/>
        <v>0</v>
      </c>
      <c r="P414" s="17"/>
      <c r="R414" s="22"/>
      <c r="S414" s="22"/>
      <c r="T414" s="19"/>
      <c r="U414" s="19"/>
    </row>
    <row r="415" spans="2:21" s="20" customFormat="1" ht="17.100000000000001" customHeight="1" x14ac:dyDescent="0.3">
      <c r="B415" s="17"/>
      <c r="C415" s="17"/>
      <c r="E415" s="15"/>
      <c r="F415" s="15"/>
      <c r="G415" s="15"/>
      <c r="H415" s="16"/>
      <c r="I415" s="15"/>
      <c r="J415" s="16"/>
      <c r="K415" s="15"/>
      <c r="L415" s="15"/>
      <c r="M415" s="29"/>
      <c r="N415" s="19"/>
      <c r="O415" s="18">
        <f t="shared" si="8"/>
        <v>0</v>
      </c>
      <c r="P415" s="17"/>
      <c r="R415" s="22"/>
      <c r="S415" s="22"/>
      <c r="T415" s="19"/>
      <c r="U415" s="19"/>
    </row>
    <row r="416" spans="2:21" s="20" customFormat="1" ht="17.100000000000001" customHeight="1" x14ac:dyDescent="0.3">
      <c r="B416" s="17"/>
      <c r="C416" s="17"/>
      <c r="E416" s="15"/>
      <c r="F416" s="15"/>
      <c r="G416" s="15"/>
      <c r="H416" s="16"/>
      <c r="I416" s="15"/>
      <c r="J416" s="16"/>
      <c r="K416" s="15"/>
      <c r="L416" s="15"/>
      <c r="M416" s="29"/>
      <c r="N416" s="19"/>
      <c r="O416" s="18">
        <f t="shared" si="8"/>
        <v>0</v>
      </c>
      <c r="P416" s="17"/>
      <c r="R416" s="22"/>
      <c r="S416" s="22"/>
      <c r="T416" s="19"/>
      <c r="U416" s="19"/>
    </row>
    <row r="417" spans="2:21" s="20" customFormat="1" ht="17.100000000000001" customHeight="1" x14ac:dyDescent="0.3">
      <c r="B417" s="17"/>
      <c r="C417" s="17"/>
      <c r="E417" s="15"/>
      <c r="F417" s="15"/>
      <c r="G417" s="15"/>
      <c r="H417" s="16"/>
      <c r="I417" s="15"/>
      <c r="J417" s="16"/>
      <c r="K417" s="15"/>
      <c r="L417" s="15"/>
      <c r="M417" s="29"/>
      <c r="N417" s="19"/>
      <c r="O417" s="18">
        <f t="shared" si="8"/>
        <v>0</v>
      </c>
      <c r="P417" s="17"/>
      <c r="R417" s="22"/>
      <c r="S417" s="22"/>
      <c r="T417" s="19"/>
      <c r="U417" s="19"/>
    </row>
    <row r="418" spans="2:21" s="20" customFormat="1" ht="17.100000000000001" customHeight="1" x14ac:dyDescent="0.3">
      <c r="B418" s="17"/>
      <c r="C418" s="17"/>
      <c r="E418" s="15"/>
      <c r="F418" s="15"/>
      <c r="G418" s="15"/>
      <c r="H418" s="16"/>
      <c r="I418" s="15"/>
      <c r="J418" s="16"/>
      <c r="K418" s="15"/>
      <c r="L418" s="15"/>
      <c r="M418" s="29"/>
      <c r="N418" s="19"/>
      <c r="O418" s="18">
        <f t="shared" si="8"/>
        <v>0</v>
      </c>
      <c r="P418" s="17"/>
      <c r="R418" s="22"/>
      <c r="S418" s="22"/>
      <c r="T418" s="19"/>
      <c r="U418" s="19"/>
    </row>
    <row r="419" spans="2:21" s="20" customFormat="1" ht="17.100000000000001" customHeight="1" x14ac:dyDescent="0.3">
      <c r="B419" s="17"/>
      <c r="C419" s="17"/>
      <c r="E419" s="15"/>
      <c r="F419" s="15"/>
      <c r="G419" s="15"/>
      <c r="H419" s="16"/>
      <c r="I419" s="15"/>
      <c r="J419" s="16"/>
      <c r="K419" s="15"/>
      <c r="L419" s="15"/>
      <c r="M419" s="29"/>
      <c r="N419" s="19"/>
      <c r="O419" s="18">
        <f t="shared" si="8"/>
        <v>0</v>
      </c>
      <c r="P419" s="17"/>
      <c r="R419" s="22"/>
      <c r="S419" s="22"/>
      <c r="T419" s="19"/>
      <c r="U419" s="19"/>
    </row>
    <row r="420" spans="2:21" s="20" customFormat="1" ht="17.100000000000001" customHeight="1" x14ac:dyDescent="0.3">
      <c r="B420" s="17"/>
      <c r="C420" s="17"/>
      <c r="E420" s="15"/>
      <c r="F420" s="15"/>
      <c r="G420" s="15"/>
      <c r="H420" s="16"/>
      <c r="I420" s="15"/>
      <c r="J420" s="16"/>
      <c r="K420" s="15"/>
      <c r="L420" s="15"/>
      <c r="M420" s="29"/>
      <c r="N420" s="19"/>
      <c r="O420" s="18">
        <f t="shared" si="8"/>
        <v>0</v>
      </c>
      <c r="P420" s="17"/>
      <c r="R420" s="22"/>
      <c r="S420" s="22"/>
      <c r="T420" s="19"/>
      <c r="U420" s="19"/>
    </row>
    <row r="421" spans="2:21" s="20" customFormat="1" ht="17.100000000000001" customHeight="1" x14ac:dyDescent="0.3">
      <c r="B421" s="17"/>
      <c r="C421" s="17"/>
      <c r="E421" s="15"/>
      <c r="F421" s="15"/>
      <c r="G421" s="15"/>
      <c r="H421" s="16"/>
      <c r="I421" s="15"/>
      <c r="J421" s="16"/>
      <c r="K421" s="15"/>
      <c r="L421" s="15"/>
      <c r="M421" s="29"/>
      <c r="N421" s="19"/>
      <c r="O421" s="18">
        <f t="shared" si="8"/>
        <v>0</v>
      </c>
      <c r="P421" s="17"/>
      <c r="R421" s="22"/>
      <c r="S421" s="22"/>
      <c r="T421" s="19"/>
      <c r="U421" s="19"/>
    </row>
    <row r="422" spans="2:21" s="20" customFormat="1" ht="17.100000000000001" customHeight="1" x14ac:dyDescent="0.3">
      <c r="B422" s="17"/>
      <c r="C422" s="17"/>
      <c r="E422" s="15"/>
      <c r="F422" s="15"/>
      <c r="G422" s="15"/>
      <c r="H422" s="16"/>
      <c r="I422" s="15"/>
      <c r="J422" s="16"/>
      <c r="K422" s="15"/>
      <c r="L422" s="15"/>
      <c r="M422" s="29"/>
      <c r="N422" s="19"/>
      <c r="O422" s="18">
        <f t="shared" si="8"/>
        <v>0</v>
      </c>
      <c r="P422" s="17"/>
      <c r="R422" s="22"/>
      <c r="S422" s="22"/>
      <c r="T422" s="19"/>
      <c r="U422" s="19"/>
    </row>
    <row r="423" spans="2:21" s="20" customFormat="1" ht="17.100000000000001" customHeight="1" x14ac:dyDescent="0.3">
      <c r="B423" s="17"/>
      <c r="C423" s="17"/>
      <c r="E423" s="15"/>
      <c r="F423" s="15"/>
      <c r="G423" s="15"/>
      <c r="H423" s="16"/>
      <c r="I423" s="15"/>
      <c r="J423" s="16"/>
      <c r="K423" s="15"/>
      <c r="L423" s="15"/>
      <c r="M423" s="29"/>
      <c r="N423" s="19"/>
      <c r="O423" s="18">
        <f t="shared" si="8"/>
        <v>0</v>
      </c>
      <c r="P423" s="17"/>
      <c r="R423" s="22"/>
      <c r="S423" s="22"/>
      <c r="T423" s="19"/>
      <c r="U423" s="19"/>
    </row>
    <row r="424" spans="2:21" s="20" customFormat="1" ht="17.100000000000001" customHeight="1" x14ac:dyDescent="0.3">
      <c r="B424" s="17"/>
      <c r="C424" s="17"/>
      <c r="E424" s="15"/>
      <c r="F424" s="15"/>
      <c r="G424" s="15"/>
      <c r="H424" s="16"/>
      <c r="I424" s="15"/>
      <c r="J424" s="16"/>
      <c r="K424" s="15"/>
      <c r="L424" s="15"/>
      <c r="M424" s="29"/>
      <c r="N424" s="19"/>
      <c r="O424" s="18">
        <f t="shared" si="8"/>
        <v>0</v>
      </c>
      <c r="P424" s="17"/>
      <c r="R424" s="22"/>
      <c r="S424" s="22"/>
      <c r="T424" s="19"/>
      <c r="U424" s="19"/>
    </row>
    <row r="425" spans="2:21" s="20" customFormat="1" ht="17.100000000000001" customHeight="1" x14ac:dyDescent="0.3">
      <c r="B425" s="17"/>
      <c r="C425" s="17"/>
      <c r="E425" s="15"/>
      <c r="F425" s="15"/>
      <c r="G425" s="15"/>
      <c r="H425" s="16"/>
      <c r="I425" s="15"/>
      <c r="J425" s="16"/>
      <c r="K425" s="15"/>
      <c r="L425" s="15"/>
      <c r="M425" s="29"/>
      <c r="N425" s="19"/>
      <c r="O425" s="18">
        <f t="shared" si="8"/>
        <v>0</v>
      </c>
      <c r="P425" s="17"/>
      <c r="R425" s="22"/>
      <c r="S425" s="22"/>
      <c r="T425" s="19"/>
      <c r="U425" s="19"/>
    </row>
    <row r="426" spans="2:21" s="20" customFormat="1" ht="17.100000000000001" customHeight="1" x14ac:dyDescent="0.3">
      <c r="B426" s="17"/>
      <c r="C426" s="17"/>
      <c r="E426" s="15"/>
      <c r="F426" s="15"/>
      <c r="G426" s="15"/>
      <c r="H426" s="16"/>
      <c r="I426" s="15"/>
      <c r="J426" s="16"/>
      <c r="K426" s="15"/>
      <c r="L426" s="15"/>
      <c r="M426" s="29"/>
      <c r="N426" s="19"/>
      <c r="O426" s="18">
        <f t="shared" si="8"/>
        <v>0</v>
      </c>
      <c r="P426" s="17"/>
      <c r="R426" s="22"/>
      <c r="S426" s="22"/>
      <c r="T426" s="19"/>
      <c r="U426" s="19"/>
    </row>
    <row r="427" spans="2:21" s="20" customFormat="1" ht="17.100000000000001" customHeight="1" x14ac:dyDescent="0.3">
      <c r="B427" s="17"/>
      <c r="C427" s="17"/>
      <c r="E427" s="15"/>
      <c r="F427" s="15"/>
      <c r="G427" s="15"/>
      <c r="H427" s="16"/>
      <c r="I427" s="15"/>
      <c r="J427" s="16"/>
      <c r="K427" s="15"/>
      <c r="L427" s="15"/>
      <c r="M427" s="29"/>
      <c r="N427" s="19"/>
      <c r="O427" s="18">
        <f t="shared" si="8"/>
        <v>0</v>
      </c>
      <c r="P427" s="17"/>
      <c r="R427" s="22"/>
      <c r="S427" s="22"/>
      <c r="T427" s="19"/>
      <c r="U427" s="19"/>
    </row>
    <row r="428" spans="2:21" s="20" customFormat="1" ht="17.100000000000001" customHeight="1" x14ac:dyDescent="0.3">
      <c r="B428" s="17"/>
      <c r="C428" s="17"/>
      <c r="E428" s="15"/>
      <c r="F428" s="15"/>
      <c r="G428" s="15"/>
      <c r="H428" s="16"/>
      <c r="I428" s="15"/>
      <c r="J428" s="16"/>
      <c r="K428" s="15"/>
      <c r="L428" s="15"/>
      <c r="M428" s="29"/>
      <c r="N428" s="19"/>
      <c r="O428" s="18">
        <f t="shared" si="8"/>
        <v>0</v>
      </c>
      <c r="P428" s="17"/>
      <c r="R428" s="22"/>
      <c r="S428" s="22"/>
      <c r="T428" s="19"/>
      <c r="U428" s="19"/>
    </row>
    <row r="429" spans="2:21" s="20" customFormat="1" ht="17.100000000000001" customHeight="1" x14ac:dyDescent="0.3">
      <c r="B429" s="17"/>
      <c r="C429" s="17"/>
      <c r="E429" s="15"/>
      <c r="F429" s="15"/>
      <c r="G429" s="15"/>
      <c r="H429" s="16"/>
      <c r="I429" s="15"/>
      <c r="J429" s="16"/>
      <c r="K429" s="15"/>
      <c r="L429" s="15"/>
      <c r="M429" s="29"/>
      <c r="N429" s="19"/>
      <c r="O429" s="18">
        <f t="shared" si="8"/>
        <v>0</v>
      </c>
      <c r="P429" s="17"/>
      <c r="R429" s="22"/>
      <c r="S429" s="22"/>
      <c r="T429" s="19"/>
      <c r="U429" s="19"/>
    </row>
    <row r="430" spans="2:21" s="20" customFormat="1" ht="17.100000000000001" customHeight="1" x14ac:dyDescent="0.3">
      <c r="B430" s="17"/>
      <c r="C430" s="17"/>
      <c r="E430" s="15"/>
      <c r="F430" s="15"/>
      <c r="G430" s="15"/>
      <c r="H430" s="16"/>
      <c r="I430" s="15"/>
      <c r="J430" s="16"/>
      <c r="K430" s="15"/>
      <c r="L430" s="15"/>
      <c r="M430" s="29"/>
      <c r="N430" s="19"/>
      <c r="O430" s="18">
        <f t="shared" si="8"/>
        <v>0</v>
      </c>
      <c r="P430" s="17"/>
      <c r="R430" s="22"/>
      <c r="S430" s="22"/>
      <c r="T430" s="19"/>
      <c r="U430" s="19"/>
    </row>
    <row r="431" spans="2:21" s="20" customFormat="1" ht="17.100000000000001" customHeight="1" x14ac:dyDescent="0.3">
      <c r="B431" s="17"/>
      <c r="C431" s="17"/>
      <c r="E431" s="15"/>
      <c r="F431" s="15"/>
      <c r="G431" s="15"/>
      <c r="H431" s="16"/>
      <c r="I431" s="15"/>
      <c r="J431" s="16"/>
      <c r="K431" s="15"/>
      <c r="L431" s="15"/>
      <c r="M431" s="29"/>
      <c r="N431" s="19"/>
      <c r="O431" s="18">
        <f t="shared" si="8"/>
        <v>0</v>
      </c>
      <c r="P431" s="17"/>
      <c r="R431" s="22"/>
      <c r="S431" s="22"/>
      <c r="T431" s="19"/>
      <c r="U431" s="19"/>
    </row>
    <row r="432" spans="2:21" s="20" customFormat="1" ht="17.100000000000001" customHeight="1" x14ac:dyDescent="0.3">
      <c r="B432" s="17"/>
      <c r="C432" s="17"/>
      <c r="E432" s="15"/>
      <c r="F432" s="15"/>
      <c r="G432" s="15"/>
      <c r="H432" s="16"/>
      <c r="I432" s="15"/>
      <c r="J432" s="16"/>
      <c r="K432" s="15"/>
      <c r="L432" s="15"/>
      <c r="M432" s="29"/>
      <c r="N432" s="19"/>
      <c r="O432" s="18">
        <f t="shared" si="8"/>
        <v>0</v>
      </c>
      <c r="P432" s="17"/>
      <c r="R432" s="22"/>
      <c r="S432" s="22"/>
      <c r="T432" s="19"/>
      <c r="U432" s="19"/>
    </row>
    <row r="433" spans="2:21" s="20" customFormat="1" ht="17.100000000000001" customHeight="1" x14ac:dyDescent="0.3">
      <c r="B433" s="17"/>
      <c r="C433" s="17"/>
      <c r="E433" s="15"/>
      <c r="F433" s="15"/>
      <c r="G433" s="15"/>
      <c r="H433" s="16"/>
      <c r="I433" s="15"/>
      <c r="J433" s="16"/>
      <c r="K433" s="15"/>
      <c r="L433" s="15"/>
      <c r="M433" s="29"/>
      <c r="N433" s="19"/>
      <c r="O433" s="18">
        <f t="shared" si="8"/>
        <v>0</v>
      </c>
      <c r="P433" s="17"/>
      <c r="R433" s="22"/>
      <c r="S433" s="22"/>
      <c r="T433" s="19"/>
      <c r="U433" s="19"/>
    </row>
    <row r="434" spans="2:21" s="20" customFormat="1" ht="17.100000000000001" customHeight="1" x14ac:dyDescent="0.3">
      <c r="B434" s="17"/>
      <c r="C434" s="17"/>
      <c r="E434" s="15"/>
      <c r="F434" s="15"/>
      <c r="G434" s="15"/>
      <c r="H434" s="16"/>
      <c r="I434" s="15"/>
      <c r="J434" s="16"/>
      <c r="K434" s="15"/>
      <c r="L434" s="15"/>
      <c r="M434" s="29"/>
      <c r="N434" s="19"/>
      <c r="O434" s="18">
        <f t="shared" si="8"/>
        <v>0</v>
      </c>
      <c r="P434" s="17"/>
      <c r="R434" s="22"/>
      <c r="S434" s="22"/>
      <c r="T434" s="19"/>
      <c r="U434" s="19"/>
    </row>
    <row r="435" spans="2:21" s="20" customFormat="1" ht="17.100000000000001" customHeight="1" x14ac:dyDescent="0.3">
      <c r="B435" s="17"/>
      <c r="C435" s="17"/>
      <c r="E435" s="15"/>
      <c r="F435" s="15"/>
      <c r="G435" s="15"/>
      <c r="H435" s="16"/>
      <c r="I435" s="15"/>
      <c r="J435" s="16"/>
      <c r="K435" s="15"/>
      <c r="L435" s="15"/>
      <c r="M435" s="29"/>
      <c r="N435" s="19"/>
      <c r="O435" s="18">
        <f t="shared" si="8"/>
        <v>0</v>
      </c>
      <c r="P435" s="17"/>
      <c r="R435" s="22"/>
      <c r="S435" s="22"/>
      <c r="T435" s="19"/>
      <c r="U435" s="19"/>
    </row>
    <row r="436" spans="2:21" s="20" customFormat="1" ht="17.100000000000001" customHeight="1" x14ac:dyDescent="0.3">
      <c r="B436" s="17"/>
      <c r="C436" s="17"/>
      <c r="E436" s="15"/>
      <c r="F436" s="15"/>
      <c r="G436" s="15"/>
      <c r="H436" s="16"/>
      <c r="I436" s="15"/>
      <c r="J436" s="16"/>
      <c r="K436" s="15"/>
      <c r="L436" s="15"/>
      <c r="M436" s="29"/>
      <c r="N436" s="19"/>
      <c r="O436" s="18">
        <f t="shared" si="8"/>
        <v>0</v>
      </c>
      <c r="P436" s="17"/>
      <c r="R436" s="22"/>
      <c r="S436" s="22"/>
      <c r="T436" s="19"/>
      <c r="U436" s="19"/>
    </row>
    <row r="437" spans="2:21" s="20" customFormat="1" ht="17.100000000000001" customHeight="1" x14ac:dyDescent="0.3">
      <c r="B437" s="17"/>
      <c r="C437" s="17"/>
      <c r="E437" s="15"/>
      <c r="F437" s="15"/>
      <c r="G437" s="15"/>
      <c r="H437" s="16"/>
      <c r="I437" s="15"/>
      <c r="J437" s="16"/>
      <c r="K437" s="15"/>
      <c r="L437" s="15"/>
      <c r="M437" s="29"/>
      <c r="N437" s="19"/>
      <c r="O437" s="18">
        <f t="shared" si="8"/>
        <v>0</v>
      </c>
      <c r="P437" s="17"/>
      <c r="R437" s="22"/>
      <c r="S437" s="22"/>
      <c r="T437" s="19"/>
      <c r="U437" s="19"/>
    </row>
    <row r="438" spans="2:21" s="20" customFormat="1" ht="17.100000000000001" customHeight="1" x14ac:dyDescent="0.3">
      <c r="B438" s="17"/>
      <c r="C438" s="17"/>
      <c r="E438" s="15"/>
      <c r="F438" s="15"/>
      <c r="G438" s="15"/>
      <c r="H438" s="16"/>
      <c r="I438" s="15"/>
      <c r="J438" s="16"/>
      <c r="K438" s="15"/>
      <c r="L438" s="15"/>
      <c r="M438" s="29"/>
      <c r="N438" s="19"/>
      <c r="O438" s="18">
        <f t="shared" si="8"/>
        <v>0</v>
      </c>
      <c r="P438" s="17"/>
      <c r="R438" s="22"/>
      <c r="S438" s="22"/>
      <c r="T438" s="19"/>
      <c r="U438" s="19"/>
    </row>
    <row r="439" spans="2:21" s="20" customFormat="1" ht="17.100000000000001" customHeight="1" x14ac:dyDescent="0.3">
      <c r="B439" s="17"/>
      <c r="C439" s="17"/>
      <c r="E439" s="15"/>
      <c r="F439" s="15"/>
      <c r="G439" s="15"/>
      <c r="H439" s="16"/>
      <c r="I439" s="15"/>
      <c r="J439" s="16"/>
      <c r="K439" s="15"/>
      <c r="L439" s="15"/>
      <c r="M439" s="29"/>
      <c r="N439" s="19"/>
      <c r="O439" s="18">
        <f t="shared" si="8"/>
        <v>0</v>
      </c>
      <c r="P439" s="17"/>
      <c r="R439" s="22"/>
      <c r="S439" s="22"/>
      <c r="T439" s="19"/>
      <c r="U439" s="19"/>
    </row>
    <row r="440" spans="2:21" s="20" customFormat="1" ht="17.100000000000001" customHeight="1" x14ac:dyDescent="0.3">
      <c r="B440" s="17"/>
      <c r="C440" s="17"/>
      <c r="E440" s="15"/>
      <c r="F440" s="15"/>
      <c r="G440" s="15"/>
      <c r="H440" s="16"/>
      <c r="I440" s="15"/>
      <c r="J440" s="16"/>
      <c r="K440" s="15"/>
      <c r="L440" s="15"/>
      <c r="M440" s="29"/>
      <c r="N440" s="19"/>
      <c r="O440" s="18">
        <f t="shared" si="8"/>
        <v>0</v>
      </c>
      <c r="P440" s="17"/>
      <c r="R440" s="22"/>
      <c r="S440" s="22"/>
      <c r="T440" s="19"/>
      <c r="U440" s="19"/>
    </row>
    <row r="441" spans="2:21" s="20" customFormat="1" ht="17.100000000000001" customHeight="1" x14ac:dyDescent="0.3">
      <c r="B441" s="17"/>
      <c r="C441" s="17"/>
      <c r="E441" s="15"/>
      <c r="F441" s="15"/>
      <c r="G441" s="15"/>
      <c r="H441" s="16"/>
      <c r="I441" s="15"/>
      <c r="J441" s="16"/>
      <c r="K441" s="15"/>
      <c r="L441" s="15"/>
      <c r="M441" s="29"/>
      <c r="N441" s="19"/>
      <c r="O441" s="18">
        <f t="shared" si="8"/>
        <v>0</v>
      </c>
      <c r="P441" s="17"/>
      <c r="R441" s="22"/>
      <c r="S441" s="22"/>
      <c r="T441" s="19"/>
      <c r="U441" s="19"/>
    </row>
    <row r="442" spans="2:21" s="20" customFormat="1" ht="17.100000000000001" customHeight="1" x14ac:dyDescent="0.3">
      <c r="B442" s="17"/>
      <c r="C442" s="17"/>
      <c r="E442" s="15"/>
      <c r="F442" s="15"/>
      <c r="G442" s="15"/>
      <c r="H442" s="16"/>
      <c r="I442" s="15"/>
      <c r="J442" s="16"/>
      <c r="K442" s="15"/>
      <c r="L442" s="15"/>
      <c r="M442" s="29"/>
      <c r="N442" s="19"/>
      <c r="O442" s="18">
        <f t="shared" si="8"/>
        <v>0</v>
      </c>
      <c r="P442" s="17"/>
      <c r="R442" s="22"/>
      <c r="S442" s="22"/>
      <c r="T442" s="19"/>
      <c r="U442" s="19"/>
    </row>
    <row r="443" spans="2:21" s="20" customFormat="1" ht="17.100000000000001" customHeight="1" x14ac:dyDescent="0.3">
      <c r="B443" s="17"/>
      <c r="C443" s="17"/>
      <c r="E443" s="15"/>
      <c r="F443" s="15"/>
      <c r="G443" s="15"/>
      <c r="H443" s="16"/>
      <c r="I443" s="15"/>
      <c r="J443" s="16"/>
      <c r="K443" s="15"/>
      <c r="L443" s="15"/>
      <c r="M443" s="29"/>
      <c r="N443" s="19"/>
      <c r="O443" s="18">
        <f t="shared" si="8"/>
        <v>0</v>
      </c>
      <c r="P443" s="17"/>
      <c r="R443" s="22"/>
      <c r="S443" s="22"/>
      <c r="T443" s="19"/>
      <c r="U443" s="19"/>
    </row>
    <row r="444" spans="2:21" s="20" customFormat="1" ht="17.100000000000001" customHeight="1" x14ac:dyDescent="0.3">
      <c r="B444" s="17"/>
      <c r="C444" s="17"/>
      <c r="E444" s="15"/>
      <c r="F444" s="15"/>
      <c r="G444" s="15"/>
      <c r="H444" s="16"/>
      <c r="I444" s="15"/>
      <c r="J444" s="16"/>
      <c r="K444" s="15"/>
      <c r="L444" s="15"/>
      <c r="M444" s="29"/>
      <c r="N444" s="19"/>
      <c r="O444" s="18">
        <f t="shared" si="8"/>
        <v>0</v>
      </c>
      <c r="P444" s="17"/>
      <c r="R444" s="22"/>
      <c r="S444" s="22"/>
      <c r="T444" s="19"/>
      <c r="U444" s="19"/>
    </row>
    <row r="445" spans="2:21" s="20" customFormat="1" ht="17.100000000000001" customHeight="1" x14ac:dyDescent="0.3">
      <c r="B445" s="17"/>
      <c r="C445" s="17"/>
      <c r="E445" s="15"/>
      <c r="F445" s="15"/>
      <c r="G445" s="15"/>
      <c r="H445" s="16"/>
      <c r="I445" s="15"/>
      <c r="J445" s="16"/>
      <c r="K445" s="15"/>
      <c r="L445" s="15"/>
      <c r="M445" s="29"/>
      <c r="N445" s="19"/>
      <c r="O445" s="18">
        <f t="shared" si="8"/>
        <v>0</v>
      </c>
      <c r="P445" s="17"/>
      <c r="R445" s="22"/>
      <c r="S445" s="22"/>
      <c r="T445" s="19"/>
      <c r="U445" s="19"/>
    </row>
    <row r="446" spans="2:21" s="20" customFormat="1" ht="17.100000000000001" customHeight="1" x14ac:dyDescent="0.3">
      <c r="B446" s="17"/>
      <c r="C446" s="17"/>
      <c r="E446" s="15"/>
      <c r="F446" s="15"/>
      <c r="G446" s="15"/>
      <c r="H446" s="16"/>
      <c r="I446" s="15"/>
      <c r="J446" s="16"/>
      <c r="K446" s="15"/>
      <c r="L446" s="15"/>
      <c r="M446" s="29"/>
      <c r="N446" s="19"/>
      <c r="O446" s="18">
        <f t="shared" si="8"/>
        <v>0</v>
      </c>
      <c r="P446" s="17"/>
      <c r="R446" s="22"/>
      <c r="S446" s="22"/>
      <c r="T446" s="19"/>
      <c r="U446" s="19"/>
    </row>
    <row r="447" spans="2:21" s="20" customFormat="1" ht="17.100000000000001" customHeight="1" x14ac:dyDescent="0.3">
      <c r="B447" s="17"/>
      <c r="C447" s="17"/>
      <c r="E447" s="15"/>
      <c r="F447" s="15"/>
      <c r="G447" s="15"/>
      <c r="H447" s="16"/>
      <c r="I447" s="15"/>
      <c r="J447" s="16"/>
      <c r="K447" s="15"/>
      <c r="L447" s="15"/>
      <c r="M447" s="29"/>
      <c r="N447" s="19"/>
      <c r="O447" s="18">
        <f t="shared" si="8"/>
        <v>0</v>
      </c>
      <c r="P447" s="17"/>
      <c r="R447" s="22"/>
      <c r="S447" s="22"/>
      <c r="T447" s="19"/>
      <c r="U447" s="19"/>
    </row>
    <row r="448" spans="2:21" s="20" customFormat="1" ht="17.100000000000001" customHeight="1" x14ac:dyDescent="0.3">
      <c r="B448" s="17"/>
      <c r="C448" s="17"/>
      <c r="E448" s="15"/>
      <c r="F448" s="15"/>
      <c r="G448" s="15"/>
      <c r="H448" s="16"/>
      <c r="I448" s="15"/>
      <c r="J448" s="16"/>
      <c r="K448" s="15"/>
      <c r="L448" s="15"/>
      <c r="M448" s="29"/>
      <c r="N448" s="19"/>
      <c r="O448" s="18">
        <f t="shared" si="8"/>
        <v>0</v>
      </c>
      <c r="P448" s="17"/>
      <c r="R448" s="22"/>
      <c r="S448" s="22"/>
      <c r="T448" s="19"/>
      <c r="U448" s="19"/>
    </row>
    <row r="449" spans="2:21" s="20" customFormat="1" ht="17.100000000000001" customHeight="1" x14ac:dyDescent="0.3">
      <c r="B449" s="17"/>
      <c r="C449" s="17"/>
      <c r="E449" s="15"/>
      <c r="F449" s="15"/>
      <c r="G449" s="15"/>
      <c r="H449" s="16"/>
      <c r="I449" s="15"/>
      <c r="J449" s="16"/>
      <c r="K449" s="15"/>
      <c r="L449" s="15"/>
      <c r="M449" s="29"/>
      <c r="N449" s="19"/>
      <c r="O449" s="18">
        <f t="shared" si="8"/>
        <v>0</v>
      </c>
      <c r="P449" s="17"/>
      <c r="R449" s="22"/>
      <c r="S449" s="22"/>
      <c r="T449" s="19"/>
      <c r="U449" s="19"/>
    </row>
    <row r="450" spans="2:21" s="20" customFormat="1" ht="17.100000000000001" customHeight="1" x14ac:dyDescent="0.3">
      <c r="B450" s="17"/>
      <c r="C450" s="17"/>
      <c r="E450" s="15"/>
      <c r="F450" s="15"/>
      <c r="G450" s="15"/>
      <c r="H450" s="16"/>
      <c r="I450" s="15"/>
      <c r="J450" s="16"/>
      <c r="K450" s="15"/>
      <c r="L450" s="15"/>
      <c r="M450" s="29"/>
      <c r="N450" s="19"/>
      <c r="O450" s="18">
        <f t="shared" si="8"/>
        <v>0</v>
      </c>
      <c r="P450" s="17"/>
      <c r="R450" s="22"/>
      <c r="S450" s="22"/>
      <c r="T450" s="19"/>
      <c r="U450" s="19"/>
    </row>
    <row r="451" spans="2:21" s="20" customFormat="1" ht="17.100000000000001" customHeight="1" x14ac:dyDescent="0.3">
      <c r="B451" s="17"/>
      <c r="C451" s="17"/>
      <c r="E451" s="15"/>
      <c r="F451" s="15"/>
      <c r="G451" s="15"/>
      <c r="H451" s="16"/>
      <c r="I451" s="15"/>
      <c r="J451" s="16"/>
      <c r="K451" s="15"/>
      <c r="L451" s="15"/>
      <c r="M451" s="29"/>
      <c r="N451" s="19"/>
      <c r="O451" s="18">
        <f t="shared" si="8"/>
        <v>0</v>
      </c>
      <c r="P451" s="17"/>
      <c r="R451" s="22"/>
      <c r="S451" s="22"/>
      <c r="T451" s="19"/>
      <c r="U451" s="19"/>
    </row>
    <row r="452" spans="2:21" s="21" customFormat="1" ht="17.100000000000001" customHeight="1" x14ac:dyDescent="0.3">
      <c r="B452" s="12"/>
      <c r="C452" s="12"/>
      <c r="E452" s="10"/>
      <c r="F452" s="10"/>
      <c r="G452" s="10"/>
      <c r="H452" s="11"/>
      <c r="I452" s="10"/>
      <c r="J452" s="11"/>
      <c r="K452" s="10"/>
      <c r="L452" s="10"/>
      <c r="M452" s="31"/>
      <c r="N452" s="13"/>
      <c r="O452" s="18">
        <f t="shared" si="8"/>
        <v>0</v>
      </c>
      <c r="P452" s="12"/>
      <c r="R452" s="39"/>
      <c r="S452" s="39"/>
      <c r="T452" s="13"/>
      <c r="U452" s="13"/>
    </row>
    <row r="453" spans="2:21" s="21" customFormat="1" ht="17.100000000000001" customHeight="1" x14ac:dyDescent="0.3">
      <c r="B453" s="12"/>
      <c r="C453" s="12"/>
      <c r="E453" s="10"/>
      <c r="F453" s="10"/>
      <c r="G453" s="10"/>
      <c r="H453" s="11"/>
      <c r="I453" s="10"/>
      <c r="J453" s="11"/>
      <c r="K453" s="10"/>
      <c r="L453" s="10"/>
      <c r="M453" s="31"/>
      <c r="N453" s="13"/>
      <c r="O453" s="18">
        <f t="shared" si="8"/>
        <v>0</v>
      </c>
      <c r="P453" s="12"/>
      <c r="R453" s="39"/>
      <c r="S453" s="39"/>
      <c r="T453" s="13"/>
      <c r="U453" s="13"/>
    </row>
    <row r="454" spans="2:21" s="21" customFormat="1" ht="17.100000000000001" customHeight="1" x14ac:dyDescent="0.3">
      <c r="B454" s="12"/>
      <c r="C454" s="12"/>
      <c r="E454" s="10"/>
      <c r="F454" s="10"/>
      <c r="G454" s="10"/>
      <c r="H454" s="11"/>
      <c r="I454" s="10"/>
      <c r="J454" s="11"/>
      <c r="K454" s="10"/>
      <c r="L454" s="10"/>
      <c r="M454" s="31"/>
      <c r="N454" s="13"/>
      <c r="O454" s="18">
        <f t="shared" si="8"/>
        <v>0</v>
      </c>
      <c r="P454" s="12"/>
      <c r="R454" s="39"/>
      <c r="S454" s="39"/>
      <c r="T454" s="13"/>
      <c r="U454" s="13"/>
    </row>
    <row r="455" spans="2:21" s="21" customFormat="1" ht="17.100000000000001" customHeight="1" x14ac:dyDescent="0.3">
      <c r="B455" s="12"/>
      <c r="C455" s="12"/>
      <c r="E455" s="10"/>
      <c r="F455" s="10"/>
      <c r="G455" s="10"/>
      <c r="H455" s="11"/>
      <c r="I455" s="10"/>
      <c r="J455" s="11"/>
      <c r="K455" s="10"/>
      <c r="L455" s="10"/>
      <c r="M455" s="31"/>
      <c r="N455" s="13"/>
      <c r="O455" s="18">
        <f t="shared" si="8"/>
        <v>0</v>
      </c>
      <c r="P455" s="12"/>
      <c r="R455" s="39"/>
      <c r="S455" s="39"/>
      <c r="T455" s="13"/>
      <c r="U455" s="13"/>
    </row>
    <row r="456" spans="2:21" s="21" customFormat="1" ht="17.100000000000001" customHeight="1" x14ac:dyDescent="0.3">
      <c r="B456" s="12"/>
      <c r="C456" s="12"/>
      <c r="E456" s="10"/>
      <c r="F456" s="10"/>
      <c r="G456" s="10"/>
      <c r="H456" s="11"/>
      <c r="I456" s="10"/>
      <c r="J456" s="11"/>
      <c r="K456" s="10"/>
      <c r="L456" s="10"/>
      <c r="M456" s="31"/>
      <c r="N456" s="13"/>
      <c r="O456" s="18">
        <f t="shared" si="8"/>
        <v>0</v>
      </c>
      <c r="P456" s="12"/>
      <c r="R456" s="39"/>
      <c r="S456" s="39"/>
      <c r="T456" s="13"/>
      <c r="U456" s="13"/>
    </row>
    <row r="457" spans="2:21" s="21" customFormat="1" ht="17.100000000000001" customHeight="1" x14ac:dyDescent="0.3">
      <c r="B457" s="12"/>
      <c r="C457" s="12"/>
      <c r="E457" s="10"/>
      <c r="F457" s="10"/>
      <c r="G457" s="10"/>
      <c r="H457" s="11"/>
      <c r="I457" s="10"/>
      <c r="J457" s="11"/>
      <c r="K457" s="10"/>
      <c r="L457" s="10"/>
      <c r="M457" s="31"/>
      <c r="N457" s="13"/>
      <c r="O457" s="18">
        <f t="shared" si="8"/>
        <v>0</v>
      </c>
      <c r="P457" s="12"/>
      <c r="R457" s="39"/>
      <c r="S457" s="39"/>
      <c r="T457" s="13"/>
      <c r="U457" s="13"/>
    </row>
    <row r="458" spans="2:21" s="21" customFormat="1" ht="17.100000000000001" customHeight="1" x14ac:dyDescent="0.3">
      <c r="B458" s="12"/>
      <c r="C458" s="12"/>
      <c r="E458" s="10"/>
      <c r="F458" s="10"/>
      <c r="G458" s="10"/>
      <c r="H458" s="11"/>
      <c r="I458" s="10"/>
      <c r="J458" s="11"/>
      <c r="K458" s="10"/>
      <c r="L458" s="10"/>
      <c r="M458" s="31"/>
      <c r="N458" s="13"/>
      <c r="O458" s="18">
        <f t="shared" si="8"/>
        <v>0</v>
      </c>
      <c r="P458" s="12"/>
      <c r="R458" s="39"/>
      <c r="S458" s="39"/>
      <c r="T458" s="13"/>
      <c r="U458" s="13"/>
    </row>
    <row r="459" spans="2:21" s="21" customFormat="1" ht="17.100000000000001" customHeight="1" x14ac:dyDescent="0.3">
      <c r="B459" s="12"/>
      <c r="C459" s="12"/>
      <c r="E459" s="10"/>
      <c r="F459" s="10"/>
      <c r="G459" s="10"/>
      <c r="H459" s="11"/>
      <c r="I459" s="10"/>
      <c r="J459" s="11"/>
      <c r="K459" s="10"/>
      <c r="L459" s="10"/>
      <c r="M459" s="31"/>
      <c r="N459" s="13"/>
      <c r="O459" s="18">
        <f t="shared" si="8"/>
        <v>0</v>
      </c>
      <c r="P459" s="12"/>
      <c r="R459" s="39"/>
      <c r="S459" s="39"/>
      <c r="T459" s="13"/>
      <c r="U459" s="13"/>
    </row>
    <row r="460" spans="2:21" s="21" customFormat="1" ht="17.100000000000001" customHeight="1" x14ac:dyDescent="0.3">
      <c r="B460" s="12"/>
      <c r="C460" s="12"/>
      <c r="E460" s="10"/>
      <c r="F460" s="10"/>
      <c r="G460" s="10"/>
      <c r="H460" s="11"/>
      <c r="I460" s="10"/>
      <c r="J460" s="11"/>
      <c r="K460" s="10"/>
      <c r="L460" s="10"/>
      <c r="M460" s="31"/>
      <c r="N460" s="13"/>
      <c r="O460" s="18">
        <f t="shared" si="8"/>
        <v>0</v>
      </c>
      <c r="P460" s="12"/>
      <c r="R460" s="39"/>
      <c r="S460" s="39"/>
      <c r="T460" s="13"/>
      <c r="U460" s="13"/>
    </row>
    <row r="461" spans="2:21" s="21" customFormat="1" ht="17.100000000000001" customHeight="1" x14ac:dyDescent="0.3">
      <c r="B461" s="12"/>
      <c r="C461" s="12"/>
      <c r="E461" s="10"/>
      <c r="F461" s="10"/>
      <c r="G461" s="10"/>
      <c r="H461" s="11"/>
      <c r="I461" s="10"/>
      <c r="J461" s="11"/>
      <c r="K461" s="10"/>
      <c r="L461" s="10"/>
      <c r="M461" s="31"/>
      <c r="N461" s="13"/>
      <c r="O461" s="18">
        <f t="shared" si="8"/>
        <v>0</v>
      </c>
      <c r="P461" s="12"/>
      <c r="R461" s="39"/>
      <c r="S461" s="39"/>
      <c r="T461" s="13"/>
      <c r="U461" s="13"/>
    </row>
    <row r="462" spans="2:21" s="21" customFormat="1" ht="17.100000000000001" customHeight="1" x14ac:dyDescent="0.3">
      <c r="B462" s="12"/>
      <c r="C462" s="12"/>
      <c r="E462" s="10"/>
      <c r="F462" s="10"/>
      <c r="G462" s="10"/>
      <c r="H462" s="11"/>
      <c r="I462" s="10"/>
      <c r="J462" s="11"/>
      <c r="K462" s="10"/>
      <c r="L462" s="10"/>
      <c r="M462" s="31"/>
      <c r="N462" s="13"/>
      <c r="O462" s="18">
        <f t="shared" si="8"/>
        <v>0</v>
      </c>
      <c r="P462" s="12"/>
      <c r="R462" s="39"/>
      <c r="S462" s="39"/>
      <c r="T462" s="13"/>
      <c r="U462" s="13"/>
    </row>
    <row r="463" spans="2:21" s="21" customFormat="1" ht="17.100000000000001" customHeight="1" x14ac:dyDescent="0.3">
      <c r="B463" s="12"/>
      <c r="C463" s="12"/>
      <c r="E463" s="10"/>
      <c r="F463" s="10"/>
      <c r="G463" s="10"/>
      <c r="H463" s="11"/>
      <c r="I463" s="10"/>
      <c r="J463" s="11"/>
      <c r="K463" s="10"/>
      <c r="L463" s="10"/>
      <c r="M463" s="31"/>
      <c r="N463" s="13"/>
      <c r="O463" s="18">
        <f t="shared" si="8"/>
        <v>0</v>
      </c>
      <c r="P463" s="12"/>
      <c r="R463" s="39"/>
      <c r="S463" s="39"/>
      <c r="T463" s="13"/>
      <c r="U463" s="13"/>
    </row>
    <row r="464" spans="2:21" s="21" customFormat="1" ht="17.100000000000001" customHeight="1" x14ac:dyDescent="0.3">
      <c r="B464" s="12"/>
      <c r="C464" s="12"/>
      <c r="E464" s="10"/>
      <c r="F464" s="10"/>
      <c r="G464" s="10"/>
      <c r="H464" s="11"/>
      <c r="I464" s="10"/>
      <c r="J464" s="11"/>
      <c r="K464" s="10"/>
      <c r="L464" s="10"/>
      <c r="M464" s="31"/>
      <c r="N464" s="13"/>
      <c r="O464" s="18">
        <f t="shared" si="8"/>
        <v>0</v>
      </c>
      <c r="P464" s="12"/>
      <c r="R464" s="39"/>
      <c r="S464" s="39"/>
      <c r="T464" s="13"/>
      <c r="U464" s="13"/>
    </row>
    <row r="465" spans="2:21" s="21" customFormat="1" ht="17.100000000000001" customHeight="1" x14ac:dyDescent="0.3">
      <c r="B465" s="12"/>
      <c r="C465" s="12"/>
      <c r="E465" s="10"/>
      <c r="F465" s="10"/>
      <c r="G465" s="10"/>
      <c r="H465" s="11"/>
      <c r="I465" s="10"/>
      <c r="J465" s="11"/>
      <c r="K465" s="10"/>
      <c r="L465" s="10"/>
      <c r="M465" s="31"/>
      <c r="N465" s="13"/>
      <c r="O465" s="18">
        <f t="shared" si="8"/>
        <v>0</v>
      </c>
      <c r="P465" s="12"/>
      <c r="R465" s="39"/>
      <c r="S465" s="39"/>
      <c r="T465" s="13"/>
      <c r="U465" s="13"/>
    </row>
    <row r="466" spans="2:21" s="21" customFormat="1" ht="17.100000000000001" customHeight="1" x14ac:dyDescent="0.3">
      <c r="B466" s="12"/>
      <c r="C466" s="12"/>
      <c r="E466" s="10"/>
      <c r="F466" s="10"/>
      <c r="G466" s="10"/>
      <c r="H466" s="11"/>
      <c r="I466" s="10"/>
      <c r="J466" s="11"/>
      <c r="K466" s="10"/>
      <c r="L466" s="10"/>
      <c r="M466" s="31"/>
      <c r="N466" s="13"/>
      <c r="O466" s="18">
        <f t="shared" si="8"/>
        <v>0</v>
      </c>
      <c r="P466" s="12"/>
      <c r="R466" s="39"/>
      <c r="S466" s="39"/>
      <c r="T466" s="13"/>
      <c r="U466" s="13"/>
    </row>
    <row r="467" spans="2:21" s="21" customFormat="1" ht="17.100000000000001" customHeight="1" x14ac:dyDescent="0.3">
      <c r="B467" s="12"/>
      <c r="C467" s="12"/>
      <c r="E467" s="10"/>
      <c r="F467" s="10"/>
      <c r="G467" s="10"/>
      <c r="H467" s="11"/>
      <c r="I467" s="10"/>
      <c r="J467" s="11"/>
      <c r="K467" s="10"/>
      <c r="L467" s="10"/>
      <c r="M467" s="31"/>
      <c r="N467" s="13"/>
      <c r="O467" s="18">
        <f t="shared" si="8"/>
        <v>0</v>
      </c>
      <c r="P467" s="12"/>
      <c r="R467" s="39"/>
      <c r="S467" s="39"/>
      <c r="T467" s="13"/>
      <c r="U467" s="13"/>
    </row>
    <row r="468" spans="2:21" s="21" customFormat="1" ht="17.100000000000001" customHeight="1" x14ac:dyDescent="0.3">
      <c r="B468" s="12"/>
      <c r="C468" s="12"/>
      <c r="E468" s="10"/>
      <c r="F468" s="10"/>
      <c r="G468" s="10"/>
      <c r="H468" s="11"/>
      <c r="I468" s="10"/>
      <c r="J468" s="11"/>
      <c r="K468" s="10"/>
      <c r="L468" s="10"/>
      <c r="M468" s="31"/>
      <c r="N468" s="13"/>
      <c r="O468" s="18">
        <f t="shared" si="8"/>
        <v>0</v>
      </c>
      <c r="P468" s="12"/>
      <c r="R468" s="39"/>
      <c r="S468" s="39"/>
      <c r="T468" s="13"/>
      <c r="U468" s="13"/>
    </row>
    <row r="469" spans="2:21" s="21" customFormat="1" ht="17.100000000000001" customHeight="1" x14ac:dyDescent="0.3">
      <c r="B469" s="12"/>
      <c r="C469" s="12"/>
      <c r="E469" s="10"/>
      <c r="F469" s="10"/>
      <c r="G469" s="10"/>
      <c r="H469" s="11"/>
      <c r="I469" s="10"/>
      <c r="J469" s="11"/>
      <c r="K469" s="10"/>
      <c r="L469" s="10"/>
      <c r="M469" s="31"/>
      <c r="N469" s="13"/>
      <c r="O469" s="18">
        <f t="shared" si="8"/>
        <v>0</v>
      </c>
      <c r="P469" s="12"/>
      <c r="R469" s="39"/>
      <c r="S469" s="39"/>
      <c r="T469" s="13"/>
      <c r="U469" s="13"/>
    </row>
    <row r="470" spans="2:21" s="21" customFormat="1" ht="17.100000000000001" customHeight="1" x14ac:dyDescent="0.3">
      <c r="B470" s="12"/>
      <c r="C470" s="12"/>
      <c r="E470" s="10"/>
      <c r="F470" s="10"/>
      <c r="G470" s="10"/>
      <c r="H470" s="11"/>
      <c r="I470" s="10"/>
      <c r="J470" s="11"/>
      <c r="K470" s="10"/>
      <c r="L470" s="10"/>
      <c r="M470" s="31"/>
      <c r="N470" s="13"/>
      <c r="O470" s="18">
        <f t="shared" si="8"/>
        <v>0</v>
      </c>
      <c r="P470" s="12"/>
      <c r="R470" s="39"/>
      <c r="S470" s="39"/>
      <c r="T470" s="13"/>
      <c r="U470" s="13"/>
    </row>
    <row r="471" spans="2:21" s="21" customFormat="1" ht="17.100000000000001" customHeight="1" x14ac:dyDescent="0.3">
      <c r="B471" s="12"/>
      <c r="C471" s="12"/>
      <c r="E471" s="10"/>
      <c r="F471" s="10"/>
      <c r="G471" s="10"/>
      <c r="H471" s="11"/>
      <c r="I471" s="10"/>
      <c r="J471" s="11"/>
      <c r="K471" s="10"/>
      <c r="L471" s="10"/>
      <c r="M471" s="31"/>
      <c r="N471" s="13"/>
      <c r="O471" s="18">
        <f t="shared" si="8"/>
        <v>0</v>
      </c>
      <c r="P471" s="12"/>
      <c r="R471" s="39"/>
      <c r="S471" s="39"/>
      <c r="T471" s="13"/>
      <c r="U471" s="13"/>
    </row>
    <row r="472" spans="2:21" s="21" customFormat="1" ht="17.100000000000001" customHeight="1" x14ac:dyDescent="0.3">
      <c r="B472" s="12"/>
      <c r="C472" s="12"/>
      <c r="E472" s="10"/>
      <c r="F472" s="10"/>
      <c r="G472" s="10"/>
      <c r="H472" s="11"/>
      <c r="I472" s="10"/>
      <c r="J472" s="11"/>
      <c r="K472" s="10"/>
      <c r="L472" s="10"/>
      <c r="M472" s="31"/>
      <c r="N472" s="13"/>
      <c r="O472" s="18">
        <f t="shared" si="8"/>
        <v>0</v>
      </c>
      <c r="P472" s="12"/>
      <c r="R472" s="39"/>
      <c r="S472" s="39"/>
      <c r="T472" s="13"/>
      <c r="U472" s="13"/>
    </row>
    <row r="473" spans="2:21" s="21" customFormat="1" ht="17.100000000000001" customHeight="1" x14ac:dyDescent="0.3">
      <c r="B473" s="12"/>
      <c r="C473" s="12"/>
      <c r="E473" s="10"/>
      <c r="F473" s="10"/>
      <c r="G473" s="10"/>
      <c r="H473" s="11"/>
      <c r="I473" s="10"/>
      <c r="J473" s="11"/>
      <c r="K473" s="10"/>
      <c r="L473" s="10"/>
      <c r="M473" s="31"/>
      <c r="N473" s="13"/>
      <c r="O473" s="18">
        <f t="shared" si="8"/>
        <v>0</v>
      </c>
      <c r="P473" s="12"/>
      <c r="R473" s="39"/>
      <c r="S473" s="39"/>
      <c r="T473" s="13"/>
      <c r="U473" s="13"/>
    </row>
    <row r="474" spans="2:21" s="21" customFormat="1" ht="17.100000000000001" customHeight="1" x14ac:dyDescent="0.3">
      <c r="B474" s="12"/>
      <c r="C474" s="12"/>
      <c r="E474" s="10"/>
      <c r="F474" s="10"/>
      <c r="G474" s="10"/>
      <c r="H474" s="11"/>
      <c r="I474" s="10"/>
      <c r="J474" s="11"/>
      <c r="K474" s="10"/>
      <c r="L474" s="10"/>
      <c r="M474" s="31"/>
      <c r="N474" s="13"/>
      <c r="O474" s="18">
        <f t="shared" si="8"/>
        <v>0</v>
      </c>
      <c r="P474" s="12"/>
      <c r="R474" s="39"/>
      <c r="S474" s="39"/>
      <c r="T474" s="13"/>
      <c r="U474" s="13"/>
    </row>
    <row r="475" spans="2:21" s="21" customFormat="1" ht="17.100000000000001" customHeight="1" x14ac:dyDescent="0.3">
      <c r="B475" s="12"/>
      <c r="C475" s="12"/>
      <c r="E475" s="10"/>
      <c r="F475" s="10"/>
      <c r="G475" s="10"/>
      <c r="H475" s="11"/>
      <c r="I475" s="10"/>
      <c r="J475" s="11"/>
      <c r="K475" s="10"/>
      <c r="L475" s="10"/>
      <c r="M475" s="31"/>
      <c r="N475" s="13"/>
      <c r="O475" s="18">
        <f t="shared" ref="O475:O482" si="9">(N475*I475)+U475</f>
        <v>0</v>
      </c>
      <c r="P475" s="12"/>
      <c r="R475" s="39"/>
      <c r="S475" s="39"/>
      <c r="T475" s="13"/>
      <c r="U475" s="13"/>
    </row>
    <row r="476" spans="2:21" s="21" customFormat="1" ht="17.100000000000001" customHeight="1" x14ac:dyDescent="0.3">
      <c r="B476" s="12"/>
      <c r="C476" s="12"/>
      <c r="E476" s="10"/>
      <c r="F476" s="10"/>
      <c r="G476" s="10"/>
      <c r="H476" s="11"/>
      <c r="I476" s="10"/>
      <c r="J476" s="11"/>
      <c r="K476" s="10"/>
      <c r="L476" s="10"/>
      <c r="M476" s="31"/>
      <c r="N476" s="13"/>
      <c r="O476" s="18">
        <f t="shared" si="9"/>
        <v>0</v>
      </c>
      <c r="P476" s="12"/>
      <c r="R476" s="39"/>
      <c r="S476" s="39"/>
      <c r="T476" s="13"/>
      <c r="U476" s="13"/>
    </row>
    <row r="477" spans="2:21" s="21" customFormat="1" ht="17.100000000000001" customHeight="1" x14ac:dyDescent="0.3">
      <c r="B477" s="12"/>
      <c r="C477" s="12"/>
      <c r="E477" s="10"/>
      <c r="F477" s="10"/>
      <c r="G477" s="10"/>
      <c r="H477" s="11"/>
      <c r="I477" s="10"/>
      <c r="J477" s="11"/>
      <c r="K477" s="10"/>
      <c r="L477" s="10"/>
      <c r="M477" s="31"/>
      <c r="N477" s="13"/>
      <c r="O477" s="18">
        <f t="shared" si="9"/>
        <v>0</v>
      </c>
      <c r="P477" s="12"/>
      <c r="R477" s="39"/>
      <c r="S477" s="39"/>
      <c r="T477" s="13"/>
      <c r="U477" s="13"/>
    </row>
    <row r="478" spans="2:21" s="21" customFormat="1" ht="17.100000000000001" customHeight="1" x14ac:dyDescent="0.3">
      <c r="B478" s="12"/>
      <c r="C478" s="12"/>
      <c r="E478" s="10"/>
      <c r="F478" s="10"/>
      <c r="G478" s="10"/>
      <c r="H478" s="11"/>
      <c r="I478" s="10"/>
      <c r="J478" s="11"/>
      <c r="K478" s="10"/>
      <c r="L478" s="10"/>
      <c r="M478" s="31"/>
      <c r="N478" s="13"/>
      <c r="O478" s="18">
        <f t="shared" si="9"/>
        <v>0</v>
      </c>
      <c r="P478" s="12"/>
      <c r="R478" s="39"/>
      <c r="S478" s="39"/>
      <c r="T478" s="13"/>
      <c r="U478" s="13"/>
    </row>
    <row r="479" spans="2:21" s="21" customFormat="1" ht="17.100000000000001" customHeight="1" x14ac:dyDescent="0.3">
      <c r="B479" s="12"/>
      <c r="C479" s="12"/>
      <c r="E479" s="10"/>
      <c r="F479" s="10"/>
      <c r="G479" s="10"/>
      <c r="H479" s="11"/>
      <c r="I479" s="10"/>
      <c r="J479" s="11"/>
      <c r="K479" s="10"/>
      <c r="L479" s="10"/>
      <c r="M479" s="31"/>
      <c r="N479" s="13"/>
      <c r="O479" s="18">
        <f t="shared" si="9"/>
        <v>0</v>
      </c>
      <c r="P479" s="12"/>
      <c r="R479" s="39"/>
      <c r="S479" s="39"/>
      <c r="T479" s="13"/>
      <c r="U479" s="13"/>
    </row>
    <row r="480" spans="2:21" s="21" customFormat="1" ht="12" customHeight="1" x14ac:dyDescent="0.3">
      <c r="B480" s="12"/>
      <c r="C480" s="12"/>
      <c r="E480" s="10"/>
      <c r="F480" s="10"/>
      <c r="G480" s="10"/>
      <c r="H480" s="11"/>
      <c r="I480" s="10"/>
      <c r="J480" s="11"/>
      <c r="K480" s="10"/>
      <c r="L480" s="10"/>
      <c r="M480" s="31"/>
      <c r="N480" s="13"/>
      <c r="O480" s="18">
        <f t="shared" si="9"/>
        <v>0</v>
      </c>
      <c r="P480" s="12"/>
      <c r="R480" s="39"/>
      <c r="S480" s="39"/>
      <c r="T480" s="13"/>
      <c r="U480" s="13"/>
    </row>
    <row r="481" spans="2:21" s="21" customFormat="1" ht="12" customHeight="1" x14ac:dyDescent="0.3">
      <c r="B481" s="12"/>
      <c r="C481" s="12"/>
      <c r="E481" s="10"/>
      <c r="F481" s="10"/>
      <c r="G481" s="10"/>
      <c r="H481" s="11"/>
      <c r="I481" s="10"/>
      <c r="J481" s="11"/>
      <c r="K481" s="10"/>
      <c r="L481" s="10"/>
      <c r="M481" s="31"/>
      <c r="N481" s="13"/>
      <c r="O481" s="18">
        <f t="shared" si="9"/>
        <v>0</v>
      </c>
      <c r="P481" s="12"/>
      <c r="R481" s="39"/>
      <c r="S481" s="39"/>
      <c r="T481" s="13"/>
      <c r="U481" s="13"/>
    </row>
    <row r="482" spans="2:21" s="9" customFormat="1" ht="13.5" customHeight="1" x14ac:dyDescent="0.3">
      <c r="B482" s="7"/>
      <c r="C482" s="7"/>
      <c r="E482" s="5"/>
      <c r="F482" s="5"/>
      <c r="G482" s="5"/>
      <c r="H482" s="6"/>
      <c r="I482" s="5"/>
      <c r="J482" s="6"/>
      <c r="K482" s="5"/>
      <c r="L482" s="5"/>
      <c r="M482" s="32"/>
      <c r="N482" s="8"/>
      <c r="O482" s="18">
        <f t="shared" si="9"/>
        <v>0</v>
      </c>
      <c r="P482" s="7"/>
      <c r="R482" s="40"/>
      <c r="S482" s="40"/>
      <c r="T482" s="8"/>
      <c r="U482" s="8"/>
    </row>
    <row r="483" spans="2:21" s="9" customFormat="1" ht="13.5" customHeight="1" x14ac:dyDescent="0.3">
      <c r="B483" s="7"/>
      <c r="C483" s="7"/>
      <c r="E483" s="5"/>
      <c r="F483" s="5"/>
      <c r="G483" s="5"/>
      <c r="H483" s="6"/>
      <c r="I483" s="5"/>
      <c r="J483" s="6"/>
      <c r="K483" s="5"/>
      <c r="L483" s="5"/>
      <c r="M483" s="32"/>
      <c r="N483" s="8"/>
      <c r="O483" s="18">
        <f t="shared" ref="O483:O486" si="10">N483*I483</f>
        <v>0</v>
      </c>
      <c r="P483" s="7"/>
      <c r="R483" s="40"/>
      <c r="S483" s="40"/>
      <c r="T483" s="8"/>
      <c r="U483" s="8"/>
    </row>
    <row r="484" spans="2:21" s="9" customFormat="1" ht="13.5" customHeight="1" x14ac:dyDescent="0.3">
      <c r="B484" s="7"/>
      <c r="C484" s="7"/>
      <c r="E484" s="5"/>
      <c r="F484" s="5"/>
      <c r="G484" s="5"/>
      <c r="H484" s="6"/>
      <c r="I484" s="5"/>
      <c r="J484" s="6"/>
      <c r="K484" s="5"/>
      <c r="L484" s="5"/>
      <c r="M484" s="32"/>
      <c r="N484" s="8"/>
      <c r="O484" s="18">
        <f t="shared" si="10"/>
        <v>0</v>
      </c>
      <c r="P484" s="7"/>
      <c r="R484" s="40"/>
      <c r="S484" s="40"/>
      <c r="T484" s="8"/>
      <c r="U484" s="8"/>
    </row>
    <row r="485" spans="2:21" s="9" customFormat="1" ht="13.5" customHeight="1" x14ac:dyDescent="0.3">
      <c r="B485" s="7"/>
      <c r="C485" s="7"/>
      <c r="E485" s="5"/>
      <c r="F485" s="5"/>
      <c r="G485" s="5"/>
      <c r="H485" s="6"/>
      <c r="I485" s="5"/>
      <c r="J485" s="6"/>
      <c r="K485" s="5"/>
      <c r="L485" s="5"/>
      <c r="M485" s="32"/>
      <c r="N485" s="8"/>
      <c r="O485" s="18">
        <f t="shared" si="10"/>
        <v>0</v>
      </c>
      <c r="P485" s="7"/>
      <c r="R485" s="40"/>
      <c r="S485" s="40"/>
      <c r="T485" s="8"/>
      <c r="U485" s="8"/>
    </row>
    <row r="486" spans="2:21" s="9" customFormat="1" ht="13.5" x14ac:dyDescent="0.3">
      <c r="B486" s="7"/>
      <c r="C486" s="7"/>
      <c r="E486" s="5"/>
      <c r="F486" s="5"/>
      <c r="G486" s="5"/>
      <c r="H486" s="6"/>
      <c r="I486" s="5"/>
      <c r="J486" s="6"/>
      <c r="K486" s="5"/>
      <c r="L486" s="5"/>
      <c r="M486" s="32"/>
      <c r="N486" s="8"/>
      <c r="O486" s="18">
        <f t="shared" si="10"/>
        <v>0</v>
      </c>
      <c r="P486" s="7"/>
      <c r="R486" s="40"/>
      <c r="S486" s="40"/>
      <c r="T486" s="8"/>
      <c r="U486" s="8"/>
    </row>
    <row r="487" spans="2:21" s="9" customFormat="1" ht="13.5" x14ac:dyDescent="0.3">
      <c r="B487" s="7"/>
      <c r="C487" s="7"/>
      <c r="E487" s="5"/>
      <c r="F487" s="5"/>
      <c r="G487" s="5"/>
      <c r="H487" s="6"/>
      <c r="I487" s="5"/>
      <c r="J487" s="6"/>
      <c r="K487" s="5"/>
      <c r="L487" s="5"/>
      <c r="M487" s="32"/>
      <c r="N487" s="8"/>
      <c r="O487" s="8"/>
      <c r="P487" s="7"/>
      <c r="R487" s="40"/>
      <c r="S487" s="40"/>
      <c r="T487" s="8"/>
      <c r="U487" s="8"/>
    </row>
    <row r="488" spans="2:21" s="9" customFormat="1" ht="13.5" x14ac:dyDescent="0.3">
      <c r="B488" s="7"/>
      <c r="C488" s="7"/>
      <c r="E488" s="5"/>
      <c r="F488" s="5"/>
      <c r="G488" s="5"/>
      <c r="H488" s="6"/>
      <c r="I488" s="5"/>
      <c r="J488" s="6"/>
      <c r="K488" s="5"/>
      <c r="L488" s="5"/>
      <c r="M488" s="32"/>
      <c r="N488" s="8"/>
      <c r="O488" s="8"/>
      <c r="P488" s="7"/>
      <c r="R488" s="40"/>
      <c r="S488" s="40"/>
      <c r="T488" s="8"/>
      <c r="U488" s="8"/>
    </row>
    <row r="489" spans="2:21" s="9" customFormat="1" ht="13.5" x14ac:dyDescent="0.3">
      <c r="B489" s="7"/>
      <c r="C489" s="7"/>
      <c r="E489" s="5"/>
      <c r="F489" s="5"/>
      <c r="G489" s="5"/>
      <c r="H489" s="6"/>
      <c r="I489" s="5"/>
      <c r="J489" s="6"/>
      <c r="K489" s="5"/>
      <c r="L489" s="5"/>
      <c r="M489" s="32"/>
      <c r="N489" s="8"/>
      <c r="O489" s="8"/>
      <c r="P489" s="7"/>
      <c r="R489" s="40"/>
      <c r="S489" s="40"/>
      <c r="T489" s="8"/>
      <c r="U489" s="8"/>
    </row>
    <row r="490" spans="2:21" s="9" customFormat="1" ht="13.5" x14ac:dyDescent="0.3">
      <c r="B490" s="7"/>
      <c r="C490" s="7"/>
      <c r="E490" s="5"/>
      <c r="F490" s="5"/>
      <c r="G490" s="5"/>
      <c r="H490" s="6"/>
      <c r="I490" s="5"/>
      <c r="J490" s="6"/>
      <c r="K490" s="5"/>
      <c r="L490" s="5"/>
      <c r="M490" s="32"/>
      <c r="N490" s="8"/>
      <c r="O490" s="8"/>
      <c r="P490" s="7"/>
      <c r="R490" s="40"/>
      <c r="S490" s="40"/>
      <c r="T490" s="8"/>
      <c r="U490" s="8"/>
    </row>
    <row r="491" spans="2:21" s="9" customFormat="1" ht="13.5" x14ac:dyDescent="0.3">
      <c r="B491" s="7"/>
      <c r="C491" s="7"/>
      <c r="E491" s="5"/>
      <c r="F491" s="5"/>
      <c r="G491" s="5"/>
      <c r="H491" s="6"/>
      <c r="I491" s="5"/>
      <c r="J491" s="6"/>
      <c r="K491" s="5"/>
      <c r="L491" s="5"/>
      <c r="M491" s="32"/>
      <c r="N491" s="8"/>
      <c r="O491" s="8"/>
      <c r="P491" s="7"/>
      <c r="R491" s="40"/>
      <c r="S491" s="40"/>
      <c r="T491" s="8"/>
      <c r="U491" s="8"/>
    </row>
    <row r="492" spans="2:21" x14ac:dyDescent="0.3">
      <c r="O492" s="8"/>
    </row>
    <row r="493" spans="2:21" x14ac:dyDescent="0.3">
      <c r="O493" s="8"/>
    </row>
    <row r="494" spans="2:21" x14ac:dyDescent="0.3">
      <c r="O494" s="8"/>
    </row>
    <row r="495" spans="2:21" x14ac:dyDescent="0.3">
      <c r="O495" s="8"/>
    </row>
    <row r="496" spans="2:21" x14ac:dyDescent="0.3">
      <c r="O496" s="8"/>
    </row>
    <row r="497" spans="15:15" x14ac:dyDescent="0.3">
      <c r="O497" s="8"/>
    </row>
    <row r="498" spans="15:15" x14ac:dyDescent="0.3">
      <c r="O498" s="8"/>
    </row>
    <row r="499" spans="15:15" x14ac:dyDescent="0.3">
      <c r="O499" s="8"/>
    </row>
  </sheetData>
  <sheetProtection formatCells="0" formatColumns="0" formatRows="0" insertColumns="0"/>
  <autoFilter ref="A4:AC4" xr:uid="{00000000-0009-0000-0000-000005000000}">
    <filterColumn colId="13" showButton="0"/>
    <filterColumn colId="15" showButton="0"/>
  </autoFilter>
  <mergeCells count="31">
    <mergeCell ref="R36:R37"/>
    <mergeCell ref="S36:S37"/>
    <mergeCell ref="U2:U4"/>
    <mergeCell ref="V2:V4"/>
    <mergeCell ref="A2:A4"/>
    <mergeCell ref="B2:B4"/>
    <mergeCell ref="C2:C4"/>
    <mergeCell ref="D2:D4"/>
    <mergeCell ref="L36:L37"/>
    <mergeCell ref="M36:M37"/>
    <mergeCell ref="N36:N37"/>
    <mergeCell ref="O36:O37"/>
    <mergeCell ref="Q36:Q37"/>
    <mergeCell ref="E2:E4"/>
    <mergeCell ref="F2:G3"/>
    <mergeCell ref="H2:I3"/>
    <mergeCell ref="J2:J4"/>
    <mergeCell ref="K2:K4"/>
    <mergeCell ref="W2:W4"/>
    <mergeCell ref="X2:X4"/>
    <mergeCell ref="Y2:Y4"/>
    <mergeCell ref="Z2:Z4"/>
    <mergeCell ref="L3:L4"/>
    <mergeCell ref="M3:M4"/>
    <mergeCell ref="N3:Q3"/>
    <mergeCell ref="R3:R4"/>
    <mergeCell ref="S3:S4"/>
    <mergeCell ref="T3:T4"/>
    <mergeCell ref="L2:T2"/>
    <mergeCell ref="N4:O4"/>
    <mergeCell ref="P4:Q4"/>
  </mergeCells>
  <phoneticPr fontId="2" type="noConversion"/>
  <conditionalFormatting sqref="F1:G1048576">
    <cfRule type="containsText" dxfId="19" priority="1" operator="containsText" text="지역난방">
      <formula>NOT(ISERROR(SEARCH("지역난방",F1)))</formula>
    </cfRule>
    <cfRule type="containsText" dxfId="18" priority="2" operator="containsText" text="상수도">
      <formula>NOT(ISERROR(SEARCH("상수도",F1)))</formula>
    </cfRule>
  </conditionalFormatting>
  <conditionalFormatting sqref="O11:O36">
    <cfRule type="cellIs" dxfId="17" priority="11" operator="greaterThan">
      <formula>50000000</formula>
    </cfRule>
  </conditionalFormatting>
  <conditionalFormatting sqref="O38:O477">
    <cfRule type="cellIs" dxfId="16" priority="6" operator="greaterThan">
      <formula>50000000</formula>
    </cfRule>
  </conditionalFormatting>
  <conditionalFormatting sqref="T5:T10">
    <cfRule type="cellIs" dxfId="15" priority="3" operator="greaterThan">
      <formula>50000000</formula>
    </cfRule>
  </conditionalFormatting>
  <conditionalFormatting sqref="W11:W1048576">
    <cfRule type="containsText" dxfId="14" priority="7" operator="containsText" text="원도급">
      <formula>NOT(ISERROR(SEARCH("원도급",W11)))</formula>
    </cfRule>
    <cfRule type="containsText" dxfId="13" priority="8" operator="containsText" text="하도급">
      <formula>NOT(ISERROR(SEARCH("하도급",W11)))</formula>
    </cfRule>
  </conditionalFormatting>
  <pageMargins left="0.70866141732283472" right="0.70866141732283472" top="0.74803149606299213" bottom="0.74803149606299213" header="0.31496062992125984" footer="0.31496062992125984"/>
  <pageSetup paperSize="8" scale="10" orientation="landscape"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W499"/>
  <sheetViews>
    <sheetView workbookViewId="0">
      <pane xSplit="4" ySplit="3" topLeftCell="E4" activePane="bottomRight" state="frozen"/>
      <selection pane="topRight" activeCell="C1" sqref="C1"/>
      <selection pane="bottomLeft" activeCell="A4" sqref="A4"/>
      <selection pane="bottomRight" activeCell="F18" sqref="F18"/>
    </sheetView>
  </sheetViews>
  <sheetFormatPr defaultRowHeight="16.5" x14ac:dyDescent="0.3"/>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6.625" style="2" customWidth="1"/>
    <col min="11" max="11" width="6.625" style="1" customWidth="1"/>
    <col min="12" max="12" width="17.625" style="1" customWidth="1"/>
    <col min="13" max="13" width="16.625" style="28" customWidth="1"/>
    <col min="14" max="15" width="14.625" style="4" customWidth="1"/>
    <col min="16" max="16" width="9" style="3" customWidth="1"/>
    <col min="17" max="17" width="40.25" customWidth="1"/>
    <col min="18" max="18" width="15.125" style="37" customWidth="1"/>
    <col min="19" max="19" width="9" style="37"/>
    <col min="20" max="21" width="15.25" style="4" customWidth="1"/>
    <col min="22" max="22" width="11.125" customWidth="1"/>
    <col min="23" max="23" width="6" customWidth="1"/>
  </cols>
  <sheetData>
    <row r="1" spans="1:23" x14ac:dyDescent="0.3">
      <c r="B1" t="s">
        <v>81</v>
      </c>
    </row>
    <row r="2" spans="1:23" s="14" customFormat="1" ht="16.5" customHeight="1" x14ac:dyDescent="0.3">
      <c r="A2" s="248" t="s">
        <v>0</v>
      </c>
      <c r="B2" s="244" t="s">
        <v>5</v>
      </c>
      <c r="C2" s="244" t="s">
        <v>6</v>
      </c>
      <c r="D2" s="228" t="s">
        <v>1</v>
      </c>
      <c r="E2" s="228" t="s">
        <v>15</v>
      </c>
      <c r="F2" s="228" t="s">
        <v>18</v>
      </c>
      <c r="G2" s="228"/>
      <c r="H2" s="228" t="s">
        <v>4</v>
      </c>
      <c r="I2" s="228"/>
      <c r="J2" s="228" t="s">
        <v>16</v>
      </c>
      <c r="K2" s="228"/>
      <c r="L2" s="228" t="s">
        <v>7</v>
      </c>
      <c r="M2" s="229" t="s">
        <v>8</v>
      </c>
      <c r="N2" s="242" t="s">
        <v>9</v>
      </c>
      <c r="O2" s="242"/>
      <c r="P2" s="244" t="s">
        <v>12</v>
      </c>
      <c r="Q2" s="228" t="s">
        <v>14</v>
      </c>
      <c r="R2" s="247" t="s">
        <v>22</v>
      </c>
      <c r="S2" s="247" t="s">
        <v>13</v>
      </c>
      <c r="T2" s="230" t="s">
        <v>431</v>
      </c>
      <c r="U2" s="230" t="s">
        <v>425</v>
      </c>
      <c r="V2" s="233" t="s">
        <v>426</v>
      </c>
      <c r="W2" s="257" t="s">
        <v>632</v>
      </c>
    </row>
    <row r="3" spans="1:23" s="14" customFormat="1" x14ac:dyDescent="0.3">
      <c r="A3" s="248"/>
      <c r="B3" s="244"/>
      <c r="C3" s="244"/>
      <c r="D3" s="228"/>
      <c r="E3" s="228"/>
      <c r="F3" s="25" t="s">
        <v>19</v>
      </c>
      <c r="G3" s="25" t="s">
        <v>20</v>
      </c>
      <c r="H3" s="26" t="s">
        <v>2</v>
      </c>
      <c r="I3" s="25" t="s">
        <v>3</v>
      </c>
      <c r="J3" s="26" t="s">
        <v>23</v>
      </c>
      <c r="K3" s="25" t="s">
        <v>17</v>
      </c>
      <c r="L3" s="228"/>
      <c r="M3" s="229"/>
      <c r="N3" s="27" t="s">
        <v>11</v>
      </c>
      <c r="O3" s="27" t="s">
        <v>10</v>
      </c>
      <c r="P3" s="244"/>
      <c r="Q3" s="228"/>
      <c r="R3" s="247"/>
      <c r="S3" s="247"/>
      <c r="T3" s="232"/>
      <c r="U3" s="232"/>
      <c r="V3" s="235"/>
      <c r="W3" s="258"/>
    </row>
    <row r="4" spans="1:23" s="23" customFormat="1" ht="17.100000000000001" customHeight="1" x14ac:dyDescent="0.3">
      <c r="B4" s="17"/>
      <c r="C4" s="17"/>
      <c r="E4" s="15"/>
      <c r="F4" s="15"/>
      <c r="G4" s="15"/>
      <c r="H4" s="16"/>
      <c r="I4" s="15"/>
      <c r="J4" s="16"/>
      <c r="K4" s="15"/>
      <c r="L4" s="15"/>
      <c r="M4" s="29"/>
      <c r="N4" s="18"/>
      <c r="O4" s="18">
        <f>(N4*I4)+U4</f>
        <v>0</v>
      </c>
      <c r="P4" s="17">
        <v>44515</v>
      </c>
      <c r="R4" s="41" t="s">
        <v>269</v>
      </c>
      <c r="S4" s="38"/>
      <c r="T4" s="42"/>
      <c r="U4" s="42"/>
    </row>
    <row r="5" spans="1:23" s="23" customFormat="1" ht="17.100000000000001" customHeight="1" x14ac:dyDescent="0.3">
      <c r="B5" s="17"/>
      <c r="C5" s="17"/>
      <c r="E5" s="15"/>
      <c r="F5" s="15"/>
      <c r="G5" s="15"/>
      <c r="H5" s="16"/>
      <c r="I5" s="15"/>
      <c r="J5" s="16"/>
      <c r="K5" s="15"/>
      <c r="L5" s="15"/>
      <c r="M5" s="29"/>
      <c r="N5" s="18"/>
      <c r="O5" s="18">
        <f t="shared" ref="O5:O6" si="0">(N5*I5)+U5</f>
        <v>0</v>
      </c>
      <c r="P5" s="17">
        <v>44515</v>
      </c>
      <c r="R5" s="41" t="s">
        <v>193</v>
      </c>
      <c r="S5" s="38" t="s">
        <v>2580</v>
      </c>
      <c r="T5" s="42"/>
      <c r="U5" s="42"/>
    </row>
    <row r="6" spans="1:23" s="23" customFormat="1" ht="17.100000000000001" customHeight="1" x14ac:dyDescent="0.3">
      <c r="B6" s="17"/>
      <c r="C6" s="17"/>
      <c r="E6" s="15"/>
      <c r="F6" s="15"/>
      <c r="G6" s="15"/>
      <c r="H6" s="16"/>
      <c r="I6" s="15"/>
      <c r="J6" s="16"/>
      <c r="K6" s="15"/>
      <c r="L6" s="15"/>
      <c r="M6" s="29"/>
      <c r="N6" s="18"/>
      <c r="O6" s="18">
        <f t="shared" si="0"/>
        <v>0</v>
      </c>
      <c r="P6" s="17">
        <v>44489</v>
      </c>
      <c r="Q6" s="23" t="s">
        <v>166</v>
      </c>
      <c r="R6" s="41" t="s">
        <v>284</v>
      </c>
      <c r="S6" s="38" t="s">
        <v>2581</v>
      </c>
      <c r="T6" s="42"/>
      <c r="U6" s="42"/>
    </row>
    <row r="7" spans="1:23" s="23" customFormat="1" ht="17.100000000000001" customHeight="1" x14ac:dyDescent="0.3">
      <c r="B7" s="17"/>
      <c r="C7" s="17"/>
      <c r="E7" s="15"/>
      <c r="F7" s="15"/>
      <c r="G7" s="15"/>
      <c r="H7" s="16"/>
      <c r="I7" s="15"/>
      <c r="J7" s="16"/>
      <c r="K7" s="15"/>
      <c r="L7" s="15"/>
      <c r="M7" s="29"/>
      <c r="N7" s="18"/>
      <c r="O7" s="18"/>
      <c r="P7" s="17"/>
      <c r="R7" s="41"/>
      <c r="S7" s="38"/>
      <c r="T7" s="42"/>
      <c r="U7" s="42"/>
    </row>
    <row r="8" spans="1:23" s="23" customFormat="1" ht="17.100000000000001" customHeight="1" x14ac:dyDescent="0.3">
      <c r="B8" s="17"/>
      <c r="C8" s="17"/>
      <c r="E8" s="15"/>
      <c r="F8" s="15"/>
      <c r="G8" s="15"/>
      <c r="H8" s="16"/>
      <c r="I8" s="15"/>
      <c r="J8" s="16"/>
      <c r="K8" s="15"/>
      <c r="L8" s="15"/>
      <c r="M8" s="29"/>
      <c r="N8" s="18"/>
      <c r="O8" s="18"/>
      <c r="P8" s="17"/>
      <c r="R8" s="41"/>
      <c r="S8" s="38"/>
      <c r="T8" s="42"/>
      <c r="U8" s="42"/>
    </row>
    <row r="9" spans="1:23" s="23" customFormat="1" ht="17.100000000000001" customHeight="1" x14ac:dyDescent="0.3">
      <c r="B9" s="17"/>
      <c r="C9" s="17"/>
      <c r="E9" s="15"/>
      <c r="F9" s="15"/>
      <c r="G9" s="15"/>
      <c r="H9" s="16"/>
      <c r="I9" s="15"/>
      <c r="J9" s="16"/>
      <c r="K9" s="15"/>
      <c r="L9" s="15"/>
      <c r="M9" s="29"/>
      <c r="N9" s="18"/>
      <c r="O9" s="18"/>
      <c r="P9" s="17"/>
      <c r="R9" s="41"/>
      <c r="S9" s="38"/>
      <c r="T9" s="42"/>
      <c r="U9" s="42"/>
    </row>
    <row r="10" spans="1:23" s="23" customFormat="1" ht="17.100000000000001" customHeight="1" x14ac:dyDescent="0.3">
      <c r="B10" s="17"/>
      <c r="C10" s="17"/>
      <c r="E10" s="15"/>
      <c r="F10" s="15"/>
      <c r="G10" s="15"/>
      <c r="H10" s="16"/>
      <c r="I10" s="15"/>
      <c r="J10" s="16"/>
      <c r="K10" s="15"/>
      <c r="L10" s="15"/>
      <c r="M10" s="29"/>
      <c r="N10" s="18"/>
      <c r="O10" s="18"/>
      <c r="P10" s="17"/>
      <c r="R10" s="41"/>
      <c r="S10" s="38"/>
      <c r="T10" s="42"/>
      <c r="U10" s="42"/>
    </row>
    <row r="11" spans="1:23" s="23" customFormat="1" ht="17.100000000000001" customHeight="1" x14ac:dyDescent="0.3">
      <c r="B11" s="17"/>
      <c r="C11" s="17"/>
      <c r="E11" s="15"/>
      <c r="F11" s="15"/>
      <c r="G11" s="15"/>
      <c r="H11" s="16"/>
      <c r="I11" s="15"/>
      <c r="J11" s="16"/>
      <c r="K11" s="15"/>
      <c r="L11" s="15"/>
      <c r="M11" s="29"/>
      <c r="N11" s="18"/>
      <c r="O11" s="18"/>
      <c r="P11" s="17"/>
      <c r="R11" s="41"/>
      <c r="S11" s="38"/>
      <c r="T11" s="42"/>
      <c r="U11" s="42"/>
    </row>
    <row r="12" spans="1:23" s="23" customFormat="1" ht="17.100000000000001" customHeight="1" x14ac:dyDescent="0.3">
      <c r="B12" s="17"/>
      <c r="C12" s="17"/>
      <c r="E12" s="15"/>
      <c r="F12" s="15"/>
      <c r="G12" s="15"/>
      <c r="H12" s="16"/>
      <c r="I12" s="15"/>
      <c r="J12" s="16"/>
      <c r="K12" s="15"/>
      <c r="L12" s="15"/>
      <c r="M12" s="29"/>
      <c r="N12" s="18"/>
      <c r="O12" s="18"/>
      <c r="P12" s="17"/>
      <c r="R12" s="41"/>
      <c r="S12" s="38"/>
      <c r="T12" s="42"/>
      <c r="U12" s="42"/>
    </row>
    <row r="13" spans="1:23" s="23" customFormat="1" ht="17.100000000000001" customHeight="1" x14ac:dyDescent="0.3">
      <c r="B13" s="17"/>
      <c r="C13" s="17"/>
      <c r="E13" s="15"/>
      <c r="F13" s="15"/>
      <c r="G13" s="15"/>
      <c r="H13" s="16"/>
      <c r="I13" s="15"/>
      <c r="J13" s="16"/>
      <c r="K13" s="15"/>
      <c r="L13" s="15"/>
      <c r="M13" s="29"/>
      <c r="N13" s="18"/>
      <c r="O13" s="18"/>
      <c r="P13" s="17"/>
      <c r="R13" s="41"/>
      <c r="S13" s="38"/>
      <c r="T13" s="42"/>
      <c r="U13" s="42"/>
    </row>
    <row r="14" spans="1:23" s="23" customFormat="1" ht="17.100000000000001" customHeight="1" x14ac:dyDescent="0.3">
      <c r="B14" s="17"/>
      <c r="C14" s="17"/>
      <c r="E14" s="15"/>
      <c r="F14" s="15"/>
      <c r="G14" s="15"/>
      <c r="H14" s="16"/>
      <c r="I14" s="15"/>
      <c r="J14" s="16"/>
      <c r="K14" s="15"/>
      <c r="L14" s="15"/>
      <c r="M14" s="29"/>
      <c r="N14" s="18"/>
      <c r="O14" s="18"/>
      <c r="P14" s="17"/>
      <c r="R14" s="41"/>
      <c r="S14" s="38"/>
      <c r="T14" s="42"/>
      <c r="U14" s="42"/>
      <c r="V14" s="45"/>
    </row>
    <row r="15" spans="1:23" s="23" customFormat="1" ht="17.100000000000001" customHeight="1" x14ac:dyDescent="0.3">
      <c r="B15" s="17"/>
      <c r="C15" s="17"/>
      <c r="E15" s="15"/>
      <c r="F15" s="15"/>
      <c r="G15" s="15"/>
      <c r="H15" s="16"/>
      <c r="I15" s="15"/>
      <c r="J15" s="16"/>
      <c r="K15" s="15"/>
      <c r="L15" s="15"/>
      <c r="M15" s="29"/>
      <c r="N15" s="19"/>
      <c r="O15" s="18"/>
      <c r="P15" s="17"/>
      <c r="R15" s="41"/>
      <c r="S15" s="38"/>
      <c r="T15" s="42"/>
      <c r="U15" s="42"/>
      <c r="V15" s="45"/>
    </row>
    <row r="16" spans="1:23" s="20" customFormat="1" ht="17.100000000000001" customHeight="1" x14ac:dyDescent="0.3">
      <c r="B16" s="17"/>
      <c r="C16" s="17"/>
      <c r="E16" s="15"/>
      <c r="F16" s="15"/>
      <c r="G16" s="15"/>
      <c r="H16" s="16"/>
      <c r="I16" s="15"/>
      <c r="J16" s="16"/>
      <c r="K16" s="15"/>
      <c r="L16" s="15"/>
      <c r="M16" s="29"/>
      <c r="N16" s="19"/>
      <c r="O16" s="18"/>
      <c r="P16" s="17"/>
      <c r="R16" s="22"/>
      <c r="S16" s="38"/>
      <c r="T16" s="19"/>
      <c r="U16" s="19"/>
    </row>
    <row r="17" spans="2:22" s="20" customFormat="1" ht="17.100000000000001" customHeight="1" x14ac:dyDescent="0.3">
      <c r="B17" s="17"/>
      <c r="C17" s="17"/>
      <c r="E17" s="15"/>
      <c r="F17" s="15"/>
      <c r="G17" s="15"/>
      <c r="H17" s="16"/>
      <c r="I17" s="15"/>
      <c r="J17" s="16"/>
      <c r="K17" s="15"/>
      <c r="L17" s="15"/>
      <c r="M17" s="29"/>
      <c r="N17" s="19"/>
      <c r="O17" s="18"/>
      <c r="P17" s="17"/>
      <c r="R17" s="22"/>
      <c r="S17" s="38"/>
      <c r="T17" s="19"/>
      <c r="U17" s="19"/>
    </row>
    <row r="18" spans="2:22" s="20" customFormat="1" ht="17.100000000000001" customHeight="1" x14ac:dyDescent="0.3">
      <c r="B18" s="17"/>
      <c r="C18" s="17"/>
      <c r="E18" s="15"/>
      <c r="F18" s="15"/>
      <c r="G18" s="15"/>
      <c r="H18" s="16"/>
      <c r="I18" s="15"/>
      <c r="J18" s="16"/>
      <c r="K18" s="15"/>
      <c r="L18" s="15"/>
      <c r="M18" s="29"/>
      <c r="N18" s="19"/>
      <c r="O18" s="18"/>
      <c r="P18" s="17"/>
      <c r="R18" s="22"/>
      <c r="S18" s="38"/>
      <c r="T18" s="19"/>
      <c r="U18" s="19"/>
    </row>
    <row r="19" spans="2:22" s="20" customFormat="1" ht="17.100000000000001" customHeight="1" x14ac:dyDescent="0.3">
      <c r="B19" s="17"/>
      <c r="C19" s="17"/>
      <c r="E19" s="15"/>
      <c r="F19" s="15"/>
      <c r="G19" s="15"/>
      <c r="H19" s="16"/>
      <c r="I19" s="15"/>
      <c r="J19" s="16"/>
      <c r="K19" s="15"/>
      <c r="L19" s="15"/>
      <c r="M19" s="29"/>
      <c r="N19" s="19"/>
      <c r="O19" s="18"/>
      <c r="P19" s="17"/>
      <c r="R19" s="22"/>
      <c r="S19" s="38"/>
      <c r="T19" s="19"/>
      <c r="U19" s="19"/>
    </row>
    <row r="20" spans="2:22" s="20" customFormat="1" ht="17.100000000000001" customHeight="1" x14ac:dyDescent="0.3">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x14ac:dyDescent="0.3">
      <c r="B21" s="17"/>
      <c r="C21" s="17"/>
      <c r="E21" s="15"/>
      <c r="F21" s="15"/>
      <c r="G21" s="15"/>
      <c r="H21" s="16"/>
      <c r="I21" s="15"/>
      <c r="J21" s="16"/>
      <c r="K21" s="15"/>
      <c r="L21" s="15"/>
      <c r="M21" s="29"/>
      <c r="N21" s="19"/>
      <c r="O21" s="18"/>
      <c r="P21" s="17"/>
      <c r="Q21" s="23"/>
      <c r="R21" s="22"/>
      <c r="S21" s="38"/>
      <c r="T21" s="19"/>
      <c r="U21" s="19"/>
      <c r="V21" s="45"/>
    </row>
    <row r="22" spans="2:22" s="20" customFormat="1" ht="17.100000000000001" customHeight="1" x14ac:dyDescent="0.3">
      <c r="B22" s="17"/>
      <c r="C22" s="17"/>
      <c r="E22" s="15"/>
      <c r="F22" s="15"/>
      <c r="G22" s="15"/>
      <c r="H22" s="16"/>
      <c r="I22" s="15"/>
      <c r="J22" s="16"/>
      <c r="K22" s="15"/>
      <c r="L22" s="15"/>
      <c r="M22" s="29"/>
      <c r="N22" s="19"/>
      <c r="O22" s="18"/>
      <c r="P22" s="17"/>
      <c r="R22" s="22"/>
      <c r="S22" s="38"/>
      <c r="T22" s="19"/>
      <c r="U22" s="19"/>
    </row>
    <row r="23" spans="2:22" s="20" customFormat="1" ht="17.100000000000001" customHeight="1" x14ac:dyDescent="0.3">
      <c r="B23" s="17"/>
      <c r="C23" s="17"/>
      <c r="E23" s="15"/>
      <c r="F23" s="15"/>
      <c r="G23" s="15"/>
      <c r="H23" s="16"/>
      <c r="I23" s="15"/>
      <c r="J23" s="16"/>
      <c r="K23" s="15"/>
      <c r="L23" s="15"/>
      <c r="M23" s="29"/>
      <c r="N23" s="19"/>
      <c r="O23" s="18"/>
      <c r="P23" s="17"/>
      <c r="R23" s="22"/>
      <c r="S23" s="38"/>
      <c r="T23" s="19"/>
      <c r="U23" s="19"/>
    </row>
    <row r="24" spans="2:22" s="20" customFormat="1" ht="17.100000000000001" customHeight="1" x14ac:dyDescent="0.3">
      <c r="B24" s="17"/>
      <c r="C24" s="17"/>
      <c r="E24" s="15"/>
      <c r="F24" s="15"/>
      <c r="G24" s="15"/>
      <c r="H24" s="16"/>
      <c r="I24" s="15"/>
      <c r="J24" s="16"/>
      <c r="K24" s="15"/>
      <c r="L24" s="15"/>
      <c r="M24" s="29"/>
      <c r="N24" s="19"/>
      <c r="O24" s="18"/>
      <c r="P24" s="17"/>
      <c r="R24" s="22"/>
      <c r="S24" s="38"/>
      <c r="T24" s="19"/>
      <c r="U24" s="19"/>
    </row>
    <row r="25" spans="2:22" s="20" customFormat="1" ht="17.100000000000001" customHeight="1" x14ac:dyDescent="0.3">
      <c r="B25" s="17"/>
      <c r="C25" s="17"/>
      <c r="E25" s="15"/>
      <c r="F25" s="15"/>
      <c r="G25" s="15"/>
      <c r="H25" s="16"/>
      <c r="I25" s="15"/>
      <c r="J25" s="16"/>
      <c r="K25" s="15"/>
      <c r="L25" s="15"/>
      <c r="M25" s="30"/>
      <c r="N25" s="19"/>
      <c r="O25" s="18"/>
      <c r="P25" s="17"/>
      <c r="Q25" s="23"/>
      <c r="R25" s="22"/>
      <c r="S25" s="38"/>
      <c r="T25" s="19"/>
      <c r="U25" s="19"/>
      <c r="V25" s="45"/>
    </row>
    <row r="26" spans="2:22" s="20" customFormat="1" ht="17.100000000000001" customHeight="1" x14ac:dyDescent="0.3">
      <c r="B26" s="17"/>
      <c r="C26" s="17"/>
      <c r="E26" s="15"/>
      <c r="F26" s="15"/>
      <c r="G26" s="15"/>
      <c r="H26" s="16"/>
      <c r="I26" s="15"/>
      <c r="J26" s="16"/>
      <c r="K26" s="15"/>
      <c r="L26" s="15"/>
      <c r="M26" s="29"/>
      <c r="N26" s="19"/>
      <c r="O26" s="18"/>
      <c r="P26" s="17"/>
      <c r="R26" s="22"/>
      <c r="S26" s="38"/>
      <c r="T26" s="19"/>
      <c r="U26" s="19"/>
    </row>
    <row r="27" spans="2:22" s="20" customFormat="1" ht="17.100000000000001" customHeight="1" x14ac:dyDescent="0.3">
      <c r="B27" s="17"/>
      <c r="C27" s="17"/>
      <c r="E27" s="15"/>
      <c r="F27" s="15"/>
      <c r="G27" s="15"/>
      <c r="H27" s="16"/>
      <c r="I27" s="15"/>
      <c r="J27" s="16"/>
      <c r="K27" s="15"/>
      <c r="L27" s="15"/>
      <c r="M27" s="29"/>
      <c r="N27" s="19"/>
      <c r="O27" s="18"/>
      <c r="P27" s="17"/>
      <c r="R27" s="22"/>
      <c r="S27" s="38"/>
      <c r="T27" s="19"/>
      <c r="U27" s="19"/>
    </row>
    <row r="28" spans="2:22" s="20" customFormat="1" ht="17.100000000000001" customHeight="1" x14ac:dyDescent="0.3">
      <c r="B28" s="17"/>
      <c r="C28" s="17"/>
      <c r="E28" s="15"/>
      <c r="F28" s="15"/>
      <c r="G28" s="15"/>
      <c r="H28" s="16"/>
      <c r="I28" s="15"/>
      <c r="J28" s="16"/>
      <c r="K28" s="15"/>
      <c r="L28" s="15"/>
      <c r="M28" s="29"/>
      <c r="N28" s="19"/>
      <c r="O28" s="18"/>
      <c r="P28" s="17"/>
      <c r="R28" s="22"/>
      <c r="S28" s="38"/>
      <c r="T28" s="19"/>
      <c r="U28" s="19"/>
    </row>
    <row r="29" spans="2:22" s="20" customFormat="1" ht="17.100000000000001" customHeight="1" x14ac:dyDescent="0.3">
      <c r="B29" s="17"/>
      <c r="C29" s="17"/>
      <c r="E29" s="15"/>
      <c r="F29" s="15"/>
      <c r="G29" s="15"/>
      <c r="H29" s="16"/>
      <c r="I29" s="15"/>
      <c r="J29" s="16"/>
      <c r="K29" s="15"/>
      <c r="L29" s="15"/>
      <c r="M29" s="30"/>
      <c r="N29" s="19"/>
      <c r="O29" s="18"/>
      <c r="P29" s="17"/>
      <c r="Q29" s="23"/>
      <c r="R29" s="22"/>
      <c r="S29" s="38"/>
      <c r="T29" s="44"/>
      <c r="U29" s="19"/>
      <c r="V29" s="45"/>
    </row>
    <row r="30" spans="2:22" s="20" customFormat="1" ht="17.100000000000001" customHeight="1" x14ac:dyDescent="0.3">
      <c r="B30" s="17"/>
      <c r="C30" s="17"/>
      <c r="E30" s="15"/>
      <c r="F30" s="15"/>
      <c r="G30" s="15"/>
      <c r="H30" s="16"/>
      <c r="I30" s="15"/>
      <c r="J30" s="16"/>
      <c r="K30" s="15"/>
      <c r="L30" s="15"/>
      <c r="M30" s="29"/>
      <c r="N30" s="19"/>
      <c r="O30" s="18"/>
      <c r="P30" s="17"/>
      <c r="R30" s="22"/>
      <c r="S30" s="38"/>
      <c r="T30" s="19"/>
      <c r="U30" s="19"/>
    </row>
    <row r="31" spans="2:22" s="20" customFormat="1" ht="17.100000000000001" customHeight="1" x14ac:dyDescent="0.3">
      <c r="B31" s="17"/>
      <c r="C31" s="17"/>
      <c r="E31" s="15"/>
      <c r="F31" s="15"/>
      <c r="G31" s="15"/>
      <c r="H31" s="16"/>
      <c r="I31" s="15"/>
      <c r="J31" s="16"/>
      <c r="K31" s="15"/>
      <c r="L31" s="15"/>
      <c r="M31" s="29"/>
      <c r="N31" s="19"/>
      <c r="O31" s="18"/>
      <c r="P31" s="17"/>
      <c r="R31" s="22"/>
      <c r="S31" s="38"/>
      <c r="T31" s="19"/>
      <c r="U31" s="19"/>
    </row>
    <row r="32" spans="2:22" s="20" customFormat="1" ht="17.100000000000001" customHeight="1" x14ac:dyDescent="0.3">
      <c r="B32" s="17"/>
      <c r="C32" s="17"/>
      <c r="E32" s="15"/>
      <c r="F32" s="15"/>
      <c r="G32" s="15"/>
      <c r="H32" s="16"/>
      <c r="I32" s="15"/>
      <c r="J32" s="16"/>
      <c r="K32" s="15"/>
      <c r="L32" s="15"/>
      <c r="M32" s="29"/>
      <c r="N32" s="19"/>
      <c r="O32" s="18"/>
      <c r="P32" s="17"/>
      <c r="R32" s="22"/>
      <c r="S32" s="38"/>
      <c r="T32" s="19"/>
      <c r="U32" s="19"/>
    </row>
    <row r="33" spans="2:22" s="20" customFormat="1" ht="17.100000000000001" customHeight="1" x14ac:dyDescent="0.3">
      <c r="B33" s="17"/>
      <c r="C33" s="17"/>
      <c r="E33" s="15"/>
      <c r="F33" s="15"/>
      <c r="G33" s="15"/>
      <c r="H33" s="16"/>
      <c r="I33" s="15"/>
      <c r="J33" s="16"/>
      <c r="K33" s="15"/>
      <c r="L33" s="15"/>
      <c r="M33" s="30"/>
      <c r="N33" s="19"/>
      <c r="O33" s="18"/>
      <c r="P33" s="17"/>
      <c r="Q33" s="23"/>
      <c r="R33" s="22"/>
      <c r="S33" s="38"/>
      <c r="T33" s="19"/>
      <c r="U33" s="19"/>
      <c r="V33" s="45"/>
    </row>
    <row r="34" spans="2:22" s="20" customFormat="1" ht="17.100000000000001" customHeight="1" x14ac:dyDescent="0.3">
      <c r="B34" s="17"/>
      <c r="C34" s="17"/>
      <c r="E34" s="15"/>
      <c r="F34" s="15"/>
      <c r="G34" s="15"/>
      <c r="H34" s="16"/>
      <c r="I34" s="15"/>
      <c r="J34" s="16"/>
      <c r="K34" s="15"/>
      <c r="L34" s="15"/>
      <c r="M34" s="29"/>
      <c r="N34" s="19"/>
      <c r="O34" s="18"/>
      <c r="P34" s="17"/>
      <c r="R34" s="22"/>
      <c r="S34" s="38"/>
      <c r="T34" s="19"/>
      <c r="U34" s="19"/>
    </row>
    <row r="35" spans="2:22" s="20" customFormat="1" ht="17.100000000000001" customHeight="1" x14ac:dyDescent="0.3">
      <c r="B35" s="17"/>
      <c r="C35" s="17"/>
      <c r="E35" s="15"/>
      <c r="F35" s="15"/>
      <c r="G35" s="15"/>
      <c r="H35" s="16"/>
      <c r="I35" s="15"/>
      <c r="J35" s="16"/>
      <c r="K35" s="15"/>
      <c r="L35" s="15"/>
      <c r="M35" s="29"/>
      <c r="N35" s="19"/>
      <c r="O35" s="18"/>
      <c r="P35" s="17"/>
      <c r="R35" s="22"/>
      <c r="S35" s="38"/>
      <c r="T35" s="19"/>
      <c r="U35" s="19"/>
    </row>
    <row r="36" spans="2:22" s="20" customFormat="1" ht="17.100000000000001" customHeight="1" x14ac:dyDescent="0.3">
      <c r="B36" s="17"/>
      <c r="C36" s="17"/>
      <c r="E36" s="15"/>
      <c r="F36" s="15"/>
      <c r="G36" s="15"/>
      <c r="H36" s="16"/>
      <c r="I36" s="15"/>
      <c r="J36" s="16"/>
      <c r="K36" s="15"/>
      <c r="L36" s="259"/>
      <c r="M36" s="262"/>
      <c r="N36" s="251"/>
      <c r="O36" s="251"/>
      <c r="P36" s="33"/>
      <c r="Q36" s="253"/>
      <c r="R36" s="264"/>
      <c r="S36" s="249"/>
      <c r="T36" s="19"/>
      <c r="U36" s="19"/>
    </row>
    <row r="37" spans="2:22" s="20" customFormat="1" ht="17.100000000000001" customHeight="1" x14ac:dyDescent="0.3">
      <c r="B37" s="17"/>
      <c r="C37" s="17"/>
      <c r="E37" s="15"/>
      <c r="F37" s="15"/>
      <c r="G37" s="15"/>
      <c r="H37" s="16"/>
      <c r="I37" s="15"/>
      <c r="J37" s="16"/>
      <c r="K37" s="15"/>
      <c r="L37" s="260"/>
      <c r="M37" s="263"/>
      <c r="N37" s="252"/>
      <c r="O37" s="252"/>
      <c r="P37" s="33"/>
      <c r="Q37" s="254"/>
      <c r="R37" s="250"/>
      <c r="S37" s="250"/>
      <c r="T37" s="19"/>
      <c r="U37" s="19"/>
    </row>
    <row r="38" spans="2:22" s="20" customFormat="1" ht="17.100000000000001" customHeight="1" x14ac:dyDescent="0.3">
      <c r="B38" s="17"/>
      <c r="C38" s="17"/>
      <c r="E38" s="15"/>
      <c r="F38" s="15"/>
      <c r="G38" s="15"/>
      <c r="H38" s="16"/>
      <c r="I38" s="15"/>
      <c r="J38" s="16"/>
      <c r="K38" s="15"/>
      <c r="L38" s="15"/>
      <c r="M38" s="29"/>
      <c r="N38" s="19"/>
      <c r="O38" s="18"/>
      <c r="P38" s="17"/>
      <c r="R38" s="22"/>
      <c r="S38" s="38"/>
      <c r="T38" s="19"/>
      <c r="U38" s="19"/>
    </row>
    <row r="39" spans="2:22" s="20" customFormat="1" ht="17.100000000000001" customHeight="1" x14ac:dyDescent="0.3">
      <c r="B39" s="17"/>
      <c r="C39" s="17"/>
      <c r="E39" s="15"/>
      <c r="F39" s="15"/>
      <c r="G39" s="15"/>
      <c r="H39" s="16"/>
      <c r="I39" s="15"/>
      <c r="J39" s="16"/>
      <c r="K39" s="15"/>
      <c r="L39" s="15"/>
      <c r="M39" s="29"/>
      <c r="N39" s="19"/>
      <c r="O39" s="18"/>
      <c r="P39" s="17"/>
      <c r="Q39" s="23"/>
      <c r="R39" s="22"/>
      <c r="S39" s="38"/>
      <c r="T39" s="19"/>
      <c r="U39" s="19"/>
      <c r="V39" s="45"/>
    </row>
    <row r="40" spans="2:22" s="20" customFormat="1" ht="17.100000000000001" customHeight="1" x14ac:dyDescent="0.3">
      <c r="B40" s="17"/>
      <c r="C40" s="17"/>
      <c r="E40" s="15"/>
      <c r="F40" s="15"/>
      <c r="G40" s="15"/>
      <c r="H40" s="16"/>
      <c r="I40" s="15"/>
      <c r="J40" s="16"/>
      <c r="K40" s="15"/>
      <c r="L40" s="15"/>
      <c r="M40" s="29"/>
      <c r="N40" s="19"/>
      <c r="O40" s="18"/>
      <c r="P40" s="17"/>
      <c r="Q40" s="23"/>
      <c r="R40" s="41"/>
      <c r="S40" s="38"/>
      <c r="T40" s="19"/>
      <c r="U40" s="19"/>
      <c r="V40" s="45"/>
    </row>
    <row r="41" spans="2:22" s="20" customFormat="1" ht="17.100000000000001" customHeight="1" x14ac:dyDescent="0.3">
      <c r="B41" s="17"/>
      <c r="C41" s="17"/>
      <c r="E41" s="15"/>
      <c r="F41" s="15"/>
      <c r="G41" s="15"/>
      <c r="H41" s="16"/>
      <c r="I41" s="15"/>
      <c r="J41" s="16"/>
      <c r="K41" s="15"/>
      <c r="L41" s="15"/>
      <c r="M41" s="29"/>
      <c r="N41" s="19"/>
      <c r="O41" s="18"/>
      <c r="P41" s="17"/>
      <c r="R41" s="22"/>
      <c r="S41" s="38"/>
      <c r="T41" s="19"/>
      <c r="U41" s="19"/>
    </row>
    <row r="42" spans="2:22" s="20" customFormat="1" ht="17.100000000000001" customHeight="1" x14ac:dyDescent="0.3">
      <c r="B42" s="17"/>
      <c r="C42" s="17"/>
      <c r="E42" s="15"/>
      <c r="F42" s="15"/>
      <c r="G42" s="15"/>
      <c r="H42" s="16"/>
      <c r="I42" s="15"/>
      <c r="J42" s="16"/>
      <c r="K42" s="15"/>
      <c r="L42" s="15"/>
      <c r="M42" s="29"/>
      <c r="N42" s="19"/>
      <c r="O42" s="18"/>
      <c r="P42" s="17"/>
      <c r="Q42" s="23"/>
      <c r="R42" s="22"/>
      <c r="S42" s="38"/>
      <c r="T42" s="19"/>
      <c r="U42" s="19"/>
      <c r="V42" s="45"/>
    </row>
    <row r="43" spans="2:22" s="20" customFormat="1" ht="17.100000000000001" customHeight="1" x14ac:dyDescent="0.3">
      <c r="B43" s="17"/>
      <c r="C43" s="17"/>
      <c r="E43" s="15"/>
      <c r="F43" s="15"/>
      <c r="G43" s="15"/>
      <c r="H43" s="16"/>
      <c r="I43" s="15"/>
      <c r="J43" s="16"/>
      <c r="K43" s="15"/>
      <c r="L43" s="15"/>
      <c r="M43" s="29"/>
      <c r="N43" s="19"/>
      <c r="O43" s="18"/>
      <c r="P43" s="17"/>
      <c r="Q43" s="23"/>
      <c r="R43" s="22"/>
      <c r="S43" s="38"/>
      <c r="T43" s="46"/>
      <c r="U43" s="19"/>
      <c r="V43" s="45"/>
    </row>
    <row r="44" spans="2:22" s="20" customFormat="1" ht="17.100000000000001" customHeight="1" x14ac:dyDescent="0.3">
      <c r="B44" s="17"/>
      <c r="C44" s="17"/>
      <c r="E44" s="15"/>
      <c r="F44" s="15"/>
      <c r="G44" s="15"/>
      <c r="H44" s="16"/>
      <c r="I44" s="15"/>
      <c r="J44" s="16"/>
      <c r="K44" s="15"/>
      <c r="L44" s="15"/>
      <c r="M44" s="30"/>
      <c r="N44" s="19"/>
      <c r="O44" s="18"/>
      <c r="P44" s="17"/>
      <c r="Q44" s="23"/>
      <c r="R44" s="22"/>
      <c r="S44" s="38"/>
      <c r="T44" s="19"/>
      <c r="U44" s="19"/>
      <c r="V44" s="45"/>
    </row>
    <row r="45" spans="2:22" s="20" customFormat="1" ht="17.100000000000001" customHeight="1" x14ac:dyDescent="0.3">
      <c r="B45" s="17"/>
      <c r="C45" s="17"/>
      <c r="E45" s="15"/>
      <c r="F45" s="15"/>
      <c r="G45" s="15"/>
      <c r="H45" s="16"/>
      <c r="I45" s="15"/>
      <c r="J45" s="16"/>
      <c r="K45" s="15"/>
      <c r="L45" s="15"/>
      <c r="M45" s="29"/>
      <c r="N45" s="19"/>
      <c r="O45" s="18"/>
      <c r="P45" s="17"/>
      <c r="R45" s="22"/>
      <c r="S45" s="38"/>
      <c r="T45" s="19"/>
      <c r="U45" s="19"/>
    </row>
    <row r="46" spans="2:22" s="20" customFormat="1" ht="17.100000000000001" customHeight="1" x14ac:dyDescent="0.3">
      <c r="B46" s="17"/>
      <c r="C46" s="17"/>
      <c r="E46" s="15"/>
      <c r="F46" s="15"/>
      <c r="G46" s="15"/>
      <c r="H46" s="16"/>
      <c r="I46" s="15"/>
      <c r="J46" s="16"/>
      <c r="K46" s="15"/>
      <c r="L46" s="15"/>
      <c r="M46" s="29"/>
      <c r="N46" s="19"/>
      <c r="O46" s="18"/>
      <c r="P46" s="17"/>
      <c r="R46" s="22"/>
      <c r="S46" s="38"/>
      <c r="T46" s="19"/>
      <c r="U46" s="19"/>
    </row>
    <row r="47" spans="2:22" s="20" customFormat="1" ht="17.100000000000001" customHeight="1" x14ac:dyDescent="0.3">
      <c r="B47" s="17"/>
      <c r="C47" s="17"/>
      <c r="E47" s="15"/>
      <c r="F47" s="15"/>
      <c r="G47" s="15"/>
      <c r="H47" s="16"/>
      <c r="I47" s="15"/>
      <c r="J47" s="16"/>
      <c r="K47" s="15"/>
      <c r="L47" s="15"/>
      <c r="M47" s="29"/>
      <c r="N47" s="19"/>
      <c r="O47" s="18"/>
      <c r="P47" s="17"/>
      <c r="R47" s="22"/>
      <c r="S47" s="38"/>
      <c r="T47" s="19"/>
      <c r="U47" s="19"/>
    </row>
    <row r="48" spans="2:22" s="20" customFormat="1" ht="17.100000000000001" customHeight="1" x14ac:dyDescent="0.3">
      <c r="B48" s="17"/>
      <c r="C48" s="17"/>
      <c r="E48" s="15"/>
      <c r="F48" s="15"/>
      <c r="G48" s="15"/>
      <c r="H48" s="16"/>
      <c r="I48" s="15"/>
      <c r="J48" s="16"/>
      <c r="K48" s="15"/>
      <c r="L48" s="15"/>
      <c r="M48" s="29"/>
      <c r="N48" s="19"/>
      <c r="O48" s="18"/>
      <c r="P48" s="17"/>
      <c r="R48" s="22"/>
      <c r="S48" s="38"/>
      <c r="T48" s="19"/>
      <c r="U48" s="19"/>
    </row>
    <row r="49" spans="2:22" s="20" customFormat="1" ht="17.100000000000001" customHeight="1" x14ac:dyDescent="0.3">
      <c r="B49" s="17"/>
      <c r="C49" s="17"/>
      <c r="E49" s="15"/>
      <c r="F49" s="15"/>
      <c r="G49" s="15"/>
      <c r="H49" s="16"/>
      <c r="I49" s="15"/>
      <c r="J49" s="16"/>
      <c r="K49" s="15"/>
      <c r="L49" s="15"/>
      <c r="M49" s="29"/>
      <c r="N49" s="19"/>
      <c r="O49" s="18"/>
      <c r="P49" s="17"/>
      <c r="R49" s="22"/>
      <c r="S49" s="38"/>
      <c r="T49" s="19"/>
      <c r="U49" s="19"/>
    </row>
    <row r="50" spans="2:22" s="20" customFormat="1" ht="17.100000000000001" customHeight="1" x14ac:dyDescent="0.3">
      <c r="B50" s="17"/>
      <c r="C50" s="17"/>
      <c r="E50" s="15"/>
      <c r="F50" s="15"/>
      <c r="G50" s="15"/>
      <c r="H50" s="16"/>
      <c r="I50" s="15"/>
      <c r="J50" s="16"/>
      <c r="K50" s="15"/>
      <c r="L50" s="15"/>
      <c r="M50" s="29"/>
      <c r="N50" s="19"/>
      <c r="O50" s="18"/>
      <c r="P50" s="17"/>
      <c r="R50" s="22"/>
      <c r="S50" s="38"/>
      <c r="T50" s="19"/>
      <c r="U50" s="19"/>
    </row>
    <row r="51" spans="2:22" s="20" customFormat="1" ht="17.100000000000001" customHeight="1" x14ac:dyDescent="0.3">
      <c r="B51" s="17"/>
      <c r="C51" s="17"/>
      <c r="E51" s="15"/>
      <c r="F51" s="15"/>
      <c r="G51" s="15"/>
      <c r="H51" s="16"/>
      <c r="I51" s="15"/>
      <c r="J51" s="16"/>
      <c r="K51" s="15"/>
      <c r="L51" s="15"/>
      <c r="M51" s="29"/>
      <c r="N51" s="19"/>
      <c r="O51" s="18"/>
      <c r="P51" s="17"/>
      <c r="Q51" s="23"/>
      <c r="R51" s="22"/>
      <c r="S51" s="38"/>
      <c r="T51" s="19"/>
      <c r="U51" s="19"/>
      <c r="V51" s="45"/>
    </row>
    <row r="52" spans="2:22" s="20" customFormat="1" ht="17.100000000000001" customHeight="1" x14ac:dyDescent="0.3">
      <c r="B52" s="17"/>
      <c r="C52" s="17"/>
      <c r="E52" s="15"/>
      <c r="F52" s="15"/>
      <c r="G52" s="15"/>
      <c r="H52" s="16"/>
      <c r="I52" s="15"/>
      <c r="J52" s="16"/>
      <c r="K52" s="15"/>
      <c r="L52" s="15"/>
      <c r="M52" s="29"/>
      <c r="N52" s="19"/>
      <c r="O52" s="18"/>
      <c r="P52" s="17"/>
      <c r="Q52" s="23"/>
      <c r="R52" s="22"/>
      <c r="S52" s="38"/>
      <c r="T52" s="19"/>
      <c r="U52" s="19"/>
      <c r="V52" s="45"/>
    </row>
    <row r="53" spans="2:22" s="20" customFormat="1" ht="17.100000000000001" customHeight="1" x14ac:dyDescent="0.3">
      <c r="B53" s="17"/>
      <c r="C53" s="17"/>
      <c r="E53" s="15"/>
      <c r="F53" s="15"/>
      <c r="G53" s="15"/>
      <c r="H53" s="16"/>
      <c r="I53" s="15"/>
      <c r="J53" s="16"/>
      <c r="K53" s="15"/>
      <c r="L53" s="15"/>
      <c r="M53" s="15"/>
      <c r="N53" s="19"/>
      <c r="O53" s="18"/>
      <c r="P53" s="17"/>
      <c r="R53" s="22"/>
      <c r="S53" s="38"/>
      <c r="T53" s="19"/>
      <c r="U53" s="19"/>
    </row>
    <row r="54" spans="2:22" s="20" customFormat="1" ht="17.100000000000001" customHeight="1" x14ac:dyDescent="0.3">
      <c r="B54" s="17"/>
      <c r="C54" s="17"/>
      <c r="E54" s="15"/>
      <c r="F54" s="15"/>
      <c r="G54" s="15"/>
      <c r="H54" s="16"/>
      <c r="I54" s="15"/>
      <c r="J54" s="16"/>
      <c r="K54" s="15"/>
      <c r="L54" s="15"/>
      <c r="M54" s="15"/>
      <c r="N54" s="19"/>
      <c r="O54" s="18"/>
      <c r="P54" s="17"/>
      <c r="R54" s="22"/>
      <c r="S54" s="38"/>
      <c r="T54" s="19"/>
      <c r="U54" s="19"/>
    </row>
    <row r="55" spans="2:22" s="20" customFormat="1" ht="17.100000000000001" customHeight="1" x14ac:dyDescent="0.3">
      <c r="B55" s="17"/>
      <c r="C55" s="17"/>
      <c r="E55" s="15"/>
      <c r="F55" s="15"/>
      <c r="G55" s="15"/>
      <c r="H55" s="16"/>
      <c r="I55" s="15"/>
      <c r="J55" s="16"/>
      <c r="K55" s="15"/>
      <c r="L55" s="15"/>
      <c r="M55" s="29"/>
      <c r="N55" s="19"/>
      <c r="O55" s="18"/>
      <c r="P55" s="17"/>
      <c r="R55" s="22"/>
      <c r="S55" s="38"/>
      <c r="T55" s="19"/>
      <c r="U55" s="19"/>
    </row>
    <row r="56" spans="2:22" s="20" customFormat="1" ht="17.100000000000001" customHeight="1" x14ac:dyDescent="0.3">
      <c r="B56" s="17"/>
      <c r="C56" s="17"/>
      <c r="E56" s="15"/>
      <c r="F56" s="15"/>
      <c r="G56" s="15"/>
      <c r="H56" s="16"/>
      <c r="I56" s="15"/>
      <c r="J56" s="16"/>
      <c r="K56" s="15"/>
      <c r="L56" s="15"/>
      <c r="M56" s="29"/>
      <c r="N56" s="19"/>
      <c r="O56" s="18"/>
      <c r="P56" s="17"/>
      <c r="Q56" s="23"/>
      <c r="R56" s="22"/>
      <c r="S56" s="38"/>
      <c r="T56" s="19"/>
      <c r="U56" s="19"/>
      <c r="V56" s="45"/>
    </row>
    <row r="57" spans="2:22" s="20" customFormat="1" ht="17.100000000000001" customHeight="1" x14ac:dyDescent="0.3">
      <c r="B57" s="17"/>
      <c r="C57" s="17"/>
      <c r="E57" s="15"/>
      <c r="F57" s="15"/>
      <c r="G57" s="15"/>
      <c r="H57" s="16"/>
      <c r="I57" s="15"/>
      <c r="J57" s="16"/>
      <c r="K57" s="15"/>
      <c r="L57" s="15"/>
      <c r="M57" s="29"/>
      <c r="N57" s="19"/>
      <c r="O57" s="18"/>
      <c r="P57" s="17"/>
      <c r="R57" s="22"/>
      <c r="S57" s="38"/>
      <c r="T57" s="19"/>
      <c r="U57" s="19"/>
    </row>
    <row r="58" spans="2:22" s="20" customFormat="1" ht="17.100000000000001" customHeight="1" x14ac:dyDescent="0.3">
      <c r="B58" s="17"/>
      <c r="C58" s="17"/>
      <c r="E58" s="15"/>
      <c r="F58" s="15"/>
      <c r="G58" s="15"/>
      <c r="H58" s="16"/>
      <c r="I58" s="15"/>
      <c r="J58" s="16"/>
      <c r="K58" s="15"/>
      <c r="L58" s="15"/>
      <c r="M58" s="29"/>
      <c r="N58" s="19"/>
      <c r="O58" s="18"/>
      <c r="P58" s="17"/>
      <c r="Q58" s="23"/>
      <c r="R58" s="22"/>
      <c r="S58" s="38"/>
      <c r="T58" s="19"/>
      <c r="U58" s="19"/>
      <c r="V58" s="45"/>
    </row>
    <row r="59" spans="2:22" s="20" customFormat="1" ht="17.100000000000001" customHeight="1" x14ac:dyDescent="0.3">
      <c r="B59" s="17"/>
      <c r="C59" s="17"/>
      <c r="E59" s="15"/>
      <c r="F59" s="15"/>
      <c r="G59" s="15"/>
      <c r="H59" s="16"/>
      <c r="I59" s="15"/>
      <c r="J59" s="16"/>
      <c r="K59" s="15"/>
      <c r="L59" s="15"/>
      <c r="M59" s="29"/>
      <c r="N59" s="19"/>
      <c r="O59" s="18"/>
      <c r="P59" s="17"/>
      <c r="R59" s="22"/>
      <c r="S59" s="38"/>
      <c r="T59" s="19"/>
      <c r="U59" s="19"/>
    </row>
    <row r="60" spans="2:22" s="20" customFormat="1" ht="17.100000000000001" customHeight="1" x14ac:dyDescent="0.3">
      <c r="B60" s="17"/>
      <c r="C60" s="17"/>
      <c r="E60" s="15"/>
      <c r="F60" s="15"/>
      <c r="G60" s="15"/>
      <c r="H60" s="16"/>
      <c r="I60" s="15"/>
      <c r="J60" s="16"/>
      <c r="K60" s="15"/>
      <c r="L60" s="15"/>
      <c r="M60" s="29"/>
      <c r="N60" s="19"/>
      <c r="O60" s="18"/>
      <c r="P60" s="17"/>
      <c r="R60" s="22"/>
      <c r="S60" s="38"/>
      <c r="T60" s="19"/>
      <c r="U60" s="19"/>
    </row>
    <row r="61" spans="2:22" s="20" customFormat="1" ht="17.100000000000001" customHeight="1" x14ac:dyDescent="0.3">
      <c r="B61" s="17"/>
      <c r="C61" s="17"/>
      <c r="E61" s="15"/>
      <c r="F61" s="15"/>
      <c r="G61" s="15"/>
      <c r="H61" s="16"/>
      <c r="I61" s="15"/>
      <c r="J61" s="16"/>
      <c r="K61" s="15"/>
      <c r="L61" s="15"/>
      <c r="M61" s="29"/>
      <c r="N61" s="19"/>
      <c r="O61" s="18"/>
      <c r="P61" s="17"/>
      <c r="R61" s="22"/>
      <c r="S61" s="38"/>
      <c r="T61" s="19"/>
      <c r="U61" s="19"/>
    </row>
    <row r="62" spans="2:22" s="20" customFormat="1" ht="17.100000000000001" customHeight="1" x14ac:dyDescent="0.3">
      <c r="B62" s="17"/>
      <c r="C62" s="17"/>
      <c r="E62" s="15"/>
      <c r="F62" s="15"/>
      <c r="G62" s="15"/>
      <c r="H62" s="16"/>
      <c r="I62" s="15"/>
      <c r="J62" s="16"/>
      <c r="K62" s="15"/>
      <c r="L62" s="15"/>
      <c r="M62" s="29"/>
      <c r="N62" s="19"/>
      <c r="O62" s="18"/>
      <c r="P62" s="17"/>
      <c r="R62" s="22"/>
      <c r="S62" s="38"/>
      <c r="T62" s="19"/>
      <c r="U62" s="19"/>
    </row>
    <row r="63" spans="2:22" s="20" customFormat="1" ht="17.100000000000001" customHeight="1" x14ac:dyDescent="0.3">
      <c r="B63" s="17"/>
      <c r="C63" s="17"/>
      <c r="E63" s="15"/>
      <c r="F63" s="15"/>
      <c r="G63" s="15"/>
      <c r="H63" s="16"/>
      <c r="I63" s="15"/>
      <c r="J63" s="16"/>
      <c r="K63" s="15"/>
      <c r="L63" s="15"/>
      <c r="M63" s="29"/>
      <c r="N63" s="19"/>
      <c r="O63" s="18"/>
      <c r="P63" s="17"/>
      <c r="R63" s="22"/>
      <c r="S63" s="38"/>
      <c r="T63" s="19"/>
      <c r="U63" s="19"/>
    </row>
    <row r="64" spans="2:22" s="20" customFormat="1" ht="17.100000000000001" customHeight="1" x14ac:dyDescent="0.3">
      <c r="B64" s="17"/>
      <c r="C64" s="17"/>
      <c r="E64" s="15"/>
      <c r="F64" s="15"/>
      <c r="G64" s="15"/>
      <c r="H64" s="16"/>
      <c r="I64" s="15"/>
      <c r="J64" s="16"/>
      <c r="K64" s="15"/>
      <c r="L64" s="15"/>
      <c r="M64" s="29"/>
      <c r="N64" s="19"/>
      <c r="O64" s="18"/>
      <c r="P64" s="17"/>
      <c r="R64" s="22"/>
      <c r="S64" s="38"/>
      <c r="T64" s="19"/>
      <c r="U64" s="19"/>
    </row>
    <row r="65" spans="2:22" s="20" customFormat="1" ht="17.100000000000001" customHeight="1" x14ac:dyDescent="0.3">
      <c r="B65" s="17"/>
      <c r="C65" s="17"/>
      <c r="E65" s="15"/>
      <c r="F65" s="15"/>
      <c r="G65" s="15"/>
      <c r="H65" s="16"/>
      <c r="I65" s="15"/>
      <c r="J65" s="16"/>
      <c r="K65" s="15"/>
      <c r="L65" s="15"/>
      <c r="M65" s="29"/>
      <c r="N65" s="19"/>
      <c r="O65" s="18"/>
      <c r="P65" s="17"/>
      <c r="Q65" s="23"/>
      <c r="R65" s="41"/>
      <c r="S65" s="38"/>
      <c r="T65" s="19"/>
      <c r="U65" s="19"/>
      <c r="V65" s="45"/>
    </row>
    <row r="66" spans="2:22" s="20" customFormat="1" ht="17.100000000000001" customHeight="1" x14ac:dyDescent="0.3">
      <c r="B66" s="17"/>
      <c r="C66" s="17"/>
      <c r="E66" s="15"/>
      <c r="F66" s="15"/>
      <c r="G66" s="15"/>
      <c r="H66" s="16"/>
      <c r="I66" s="15"/>
      <c r="J66" s="16"/>
      <c r="K66" s="15"/>
      <c r="L66" s="15"/>
      <c r="M66" s="29"/>
      <c r="N66" s="19"/>
      <c r="O66" s="18"/>
      <c r="P66" s="17"/>
      <c r="R66" s="22"/>
      <c r="S66" s="38"/>
      <c r="T66" s="19"/>
      <c r="U66" s="19"/>
    </row>
    <row r="67" spans="2:22" s="20" customFormat="1" ht="17.100000000000001" customHeight="1" x14ac:dyDescent="0.3">
      <c r="B67" s="17"/>
      <c r="C67" s="17"/>
      <c r="E67" s="15"/>
      <c r="F67" s="15"/>
      <c r="G67" s="15"/>
      <c r="H67" s="16"/>
      <c r="I67" s="15"/>
      <c r="J67" s="16"/>
      <c r="K67" s="15"/>
      <c r="L67" s="15"/>
      <c r="M67" s="29"/>
      <c r="N67" s="19"/>
      <c r="O67" s="18"/>
      <c r="P67" s="17"/>
      <c r="R67" s="22"/>
      <c r="S67" s="38"/>
      <c r="T67" s="19"/>
      <c r="U67" s="19"/>
    </row>
    <row r="68" spans="2:22" s="20" customFormat="1" ht="17.100000000000001" customHeight="1" x14ac:dyDescent="0.3">
      <c r="B68" s="17"/>
      <c r="C68" s="17"/>
      <c r="E68" s="15"/>
      <c r="F68" s="15"/>
      <c r="G68" s="15"/>
      <c r="H68" s="16"/>
      <c r="I68" s="15"/>
      <c r="J68" s="16"/>
      <c r="K68" s="15"/>
      <c r="L68" s="15"/>
      <c r="M68" s="29"/>
      <c r="N68" s="19"/>
      <c r="O68" s="18"/>
      <c r="P68" s="17"/>
      <c r="R68" s="22"/>
      <c r="S68" s="38"/>
      <c r="T68" s="19"/>
      <c r="U68" s="19"/>
    </row>
    <row r="69" spans="2:22" s="20" customFormat="1" ht="17.100000000000001" customHeight="1" x14ac:dyDescent="0.3">
      <c r="B69" s="17"/>
      <c r="C69" s="17"/>
      <c r="E69" s="15"/>
      <c r="F69" s="15"/>
      <c r="G69" s="15"/>
      <c r="H69" s="16"/>
      <c r="I69" s="15"/>
      <c r="J69" s="16"/>
      <c r="K69" s="15"/>
      <c r="L69" s="15"/>
      <c r="M69" s="29"/>
      <c r="N69" s="19"/>
      <c r="O69" s="18"/>
      <c r="P69" s="17"/>
      <c r="R69" s="22"/>
      <c r="S69" s="38"/>
      <c r="T69" s="19"/>
      <c r="U69" s="19"/>
    </row>
    <row r="70" spans="2:22" s="20" customFormat="1" ht="17.100000000000001" customHeight="1" x14ac:dyDescent="0.3">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x14ac:dyDescent="0.3">
      <c r="B71" s="17"/>
      <c r="C71" s="17"/>
      <c r="E71" s="15"/>
      <c r="F71" s="15"/>
      <c r="G71" s="15"/>
      <c r="H71" s="16"/>
      <c r="I71" s="15"/>
      <c r="J71" s="16"/>
      <c r="K71" s="15"/>
      <c r="L71" s="15"/>
      <c r="M71" s="29"/>
      <c r="N71" s="19"/>
      <c r="O71" s="18"/>
      <c r="P71" s="17"/>
      <c r="Q71" s="23"/>
      <c r="R71" s="22"/>
      <c r="S71" s="38"/>
      <c r="T71" s="19"/>
      <c r="U71" s="19"/>
      <c r="V71" s="45"/>
    </row>
    <row r="72" spans="2:22" s="20" customFormat="1" ht="17.100000000000001" customHeight="1" x14ac:dyDescent="0.3">
      <c r="B72" s="17"/>
      <c r="C72" s="17"/>
      <c r="E72" s="15"/>
      <c r="F72" s="15"/>
      <c r="G72" s="15"/>
      <c r="H72" s="16"/>
      <c r="I72" s="15"/>
      <c r="J72" s="16"/>
      <c r="K72" s="15"/>
      <c r="L72" s="15"/>
      <c r="M72" s="29"/>
      <c r="N72" s="19"/>
      <c r="O72" s="18"/>
      <c r="P72" s="17"/>
      <c r="R72" s="22"/>
      <c r="S72" s="38"/>
      <c r="T72" s="19"/>
      <c r="U72" s="19"/>
    </row>
    <row r="73" spans="2:22" s="20" customFormat="1" ht="17.100000000000001" customHeight="1" x14ac:dyDescent="0.3">
      <c r="B73" s="17"/>
      <c r="C73" s="17"/>
      <c r="E73" s="15"/>
      <c r="F73" s="15"/>
      <c r="G73" s="15"/>
      <c r="H73" s="16"/>
      <c r="I73" s="15"/>
      <c r="J73" s="16"/>
      <c r="K73" s="15"/>
      <c r="L73" s="15"/>
      <c r="M73" s="29"/>
      <c r="N73" s="19"/>
      <c r="O73" s="18"/>
      <c r="P73" s="17"/>
      <c r="Q73" s="23"/>
      <c r="R73" s="22"/>
      <c r="S73" s="38"/>
      <c r="T73" s="19"/>
      <c r="U73" s="19"/>
      <c r="V73" s="45"/>
    </row>
    <row r="74" spans="2:22" s="20" customFormat="1" ht="17.100000000000001" customHeight="1" x14ac:dyDescent="0.3">
      <c r="B74" s="17"/>
      <c r="C74" s="17"/>
      <c r="E74" s="15"/>
      <c r="F74" s="15"/>
      <c r="G74" s="15"/>
      <c r="H74" s="16"/>
      <c r="I74" s="15"/>
      <c r="J74" s="16"/>
      <c r="K74" s="15"/>
      <c r="L74" s="15"/>
      <c r="M74" s="29"/>
      <c r="N74" s="19"/>
      <c r="O74" s="18"/>
      <c r="P74" s="17"/>
      <c r="R74" s="22"/>
      <c r="S74" s="38"/>
      <c r="T74" s="19"/>
      <c r="U74" s="19"/>
    </row>
    <row r="75" spans="2:22" s="20" customFormat="1" ht="17.100000000000001" customHeight="1" x14ac:dyDescent="0.3">
      <c r="B75" s="17"/>
      <c r="C75" s="17"/>
      <c r="E75" s="15"/>
      <c r="F75" s="15"/>
      <c r="G75" s="15"/>
      <c r="H75" s="16"/>
      <c r="I75" s="15"/>
      <c r="J75" s="16"/>
      <c r="K75" s="15"/>
      <c r="L75" s="15"/>
      <c r="M75" s="29"/>
      <c r="N75" s="19"/>
      <c r="O75" s="18"/>
      <c r="P75" s="17"/>
      <c r="R75" s="22"/>
      <c r="S75" s="38"/>
      <c r="T75" s="19"/>
      <c r="U75" s="19"/>
    </row>
    <row r="76" spans="2:22" s="20" customFormat="1" ht="17.100000000000001" customHeight="1" x14ac:dyDescent="0.3">
      <c r="B76" s="17"/>
      <c r="C76" s="17"/>
      <c r="E76" s="15"/>
      <c r="F76" s="15"/>
      <c r="G76" s="15"/>
      <c r="H76" s="16"/>
      <c r="I76" s="15"/>
      <c r="J76" s="16"/>
      <c r="K76" s="15"/>
      <c r="L76" s="15"/>
      <c r="M76" s="29"/>
      <c r="N76" s="19"/>
      <c r="O76" s="18"/>
      <c r="P76" s="17"/>
      <c r="R76" s="22"/>
      <c r="S76" s="38"/>
      <c r="T76" s="19"/>
      <c r="U76" s="19"/>
    </row>
    <row r="77" spans="2:22" s="20" customFormat="1" ht="17.100000000000001" customHeight="1" x14ac:dyDescent="0.3">
      <c r="B77" s="17"/>
      <c r="C77" s="17"/>
      <c r="E77" s="15"/>
      <c r="F77" s="15"/>
      <c r="G77" s="15"/>
      <c r="H77" s="16"/>
      <c r="I77" s="15"/>
      <c r="J77" s="16"/>
      <c r="K77" s="15"/>
      <c r="L77" s="15"/>
      <c r="M77" s="29"/>
      <c r="N77" s="19"/>
      <c r="O77" s="18"/>
      <c r="P77" s="17"/>
      <c r="R77" s="22"/>
      <c r="S77" s="38"/>
      <c r="T77" s="19"/>
      <c r="U77" s="19"/>
    </row>
    <row r="78" spans="2:22" s="20" customFormat="1" ht="17.100000000000001" customHeight="1" x14ac:dyDescent="0.3">
      <c r="B78" s="17"/>
      <c r="C78" s="17"/>
      <c r="E78" s="15"/>
      <c r="F78" s="15"/>
      <c r="G78" s="15"/>
      <c r="H78" s="16"/>
      <c r="I78" s="15"/>
      <c r="J78" s="16"/>
      <c r="K78" s="15"/>
      <c r="L78" s="15"/>
      <c r="M78" s="29"/>
      <c r="N78" s="19"/>
      <c r="O78" s="18"/>
      <c r="P78" s="17"/>
      <c r="R78" s="22"/>
      <c r="S78" s="38"/>
      <c r="T78" s="19"/>
      <c r="U78" s="19"/>
    </row>
    <row r="79" spans="2:22" s="20" customFormat="1" ht="17.100000000000001" customHeight="1" x14ac:dyDescent="0.3">
      <c r="B79" s="17"/>
      <c r="C79" s="17"/>
      <c r="E79" s="15"/>
      <c r="F79" s="15"/>
      <c r="G79" s="15"/>
      <c r="H79" s="16"/>
      <c r="I79" s="15"/>
      <c r="J79" s="16"/>
      <c r="K79" s="15"/>
      <c r="L79" s="15"/>
      <c r="M79" s="29"/>
      <c r="N79" s="19"/>
      <c r="O79" s="18"/>
      <c r="P79" s="17"/>
      <c r="R79" s="22"/>
      <c r="S79" s="38"/>
      <c r="T79" s="19"/>
      <c r="U79" s="19"/>
    </row>
    <row r="80" spans="2:22" s="20" customFormat="1" ht="17.100000000000001" customHeight="1" x14ac:dyDescent="0.3">
      <c r="B80" s="17"/>
      <c r="C80" s="17"/>
      <c r="E80" s="15"/>
      <c r="F80" s="15"/>
      <c r="G80" s="15"/>
      <c r="H80" s="16"/>
      <c r="I80" s="15"/>
      <c r="J80" s="16"/>
      <c r="K80" s="15"/>
      <c r="L80" s="15"/>
      <c r="M80" s="29"/>
      <c r="N80" s="19"/>
      <c r="O80" s="18"/>
      <c r="P80" s="17"/>
      <c r="Q80" s="23"/>
      <c r="R80" s="22"/>
      <c r="S80" s="38"/>
      <c r="T80" s="19"/>
      <c r="U80" s="19"/>
      <c r="V80" s="45"/>
    </row>
    <row r="81" spans="2:22" s="20" customFormat="1" ht="17.100000000000001" customHeight="1" x14ac:dyDescent="0.3">
      <c r="B81" s="17"/>
      <c r="C81" s="17"/>
      <c r="E81" s="15"/>
      <c r="F81" s="15"/>
      <c r="G81" s="15"/>
      <c r="H81" s="16"/>
      <c r="I81" s="15"/>
      <c r="J81" s="16"/>
      <c r="K81" s="15"/>
      <c r="L81" s="15"/>
      <c r="M81" s="29"/>
      <c r="N81" s="19"/>
      <c r="O81" s="18"/>
      <c r="P81" s="17"/>
      <c r="Q81" s="23"/>
      <c r="R81" s="22"/>
      <c r="S81" s="38"/>
      <c r="T81" s="19"/>
      <c r="U81" s="19"/>
      <c r="V81" s="45"/>
    </row>
    <row r="82" spans="2:22" s="20" customFormat="1" ht="17.100000000000001" customHeight="1" x14ac:dyDescent="0.3">
      <c r="B82" s="17"/>
      <c r="C82" s="17"/>
      <c r="E82" s="15"/>
      <c r="F82" s="15"/>
      <c r="G82" s="15"/>
      <c r="H82" s="16"/>
      <c r="I82" s="15"/>
      <c r="J82" s="16"/>
      <c r="K82" s="15"/>
      <c r="L82" s="15"/>
      <c r="M82" s="29"/>
      <c r="N82" s="19"/>
      <c r="O82" s="18"/>
      <c r="P82" s="17"/>
      <c r="R82" s="22"/>
      <c r="S82" s="38"/>
      <c r="T82" s="19"/>
      <c r="U82" s="19"/>
    </row>
    <row r="83" spans="2:22" s="20" customFormat="1" ht="17.100000000000001" customHeight="1" x14ac:dyDescent="0.3">
      <c r="B83" s="17"/>
      <c r="C83" s="17"/>
      <c r="E83" s="15"/>
      <c r="F83" s="15"/>
      <c r="G83" s="15"/>
      <c r="H83" s="16"/>
      <c r="I83" s="15"/>
      <c r="J83" s="16"/>
      <c r="K83" s="15"/>
      <c r="L83" s="15"/>
      <c r="M83" s="29"/>
      <c r="N83" s="19"/>
      <c r="O83" s="18"/>
      <c r="P83" s="17"/>
      <c r="R83" s="22"/>
      <c r="S83" s="38"/>
      <c r="T83" s="19"/>
      <c r="U83" s="19"/>
    </row>
    <row r="84" spans="2:22" s="20" customFormat="1" ht="17.100000000000001" customHeight="1" x14ac:dyDescent="0.3">
      <c r="B84" s="17"/>
      <c r="C84" s="17"/>
      <c r="E84" s="15"/>
      <c r="F84" s="15"/>
      <c r="G84" s="15"/>
      <c r="H84" s="16"/>
      <c r="I84" s="15"/>
      <c r="J84" s="16"/>
      <c r="K84" s="15"/>
      <c r="L84" s="15"/>
      <c r="M84" s="29"/>
      <c r="N84" s="19"/>
      <c r="O84" s="18"/>
      <c r="P84" s="17"/>
      <c r="R84" s="22"/>
      <c r="S84" s="38"/>
      <c r="T84" s="19"/>
      <c r="U84" s="19"/>
    </row>
    <row r="85" spans="2:22" s="20" customFormat="1" ht="17.100000000000001" customHeight="1" x14ac:dyDescent="0.3">
      <c r="B85" s="17"/>
      <c r="C85" s="17"/>
      <c r="E85" s="15"/>
      <c r="F85" s="15"/>
      <c r="G85" s="15"/>
      <c r="H85" s="16"/>
      <c r="I85" s="15"/>
      <c r="J85" s="16"/>
      <c r="K85" s="15"/>
      <c r="L85" s="15"/>
      <c r="M85" s="29"/>
      <c r="N85" s="19"/>
      <c r="O85" s="18"/>
      <c r="P85" s="17"/>
      <c r="R85" s="22"/>
      <c r="S85" s="38"/>
      <c r="T85" s="19"/>
      <c r="U85" s="19"/>
    </row>
    <row r="86" spans="2:22" s="20" customFormat="1" ht="17.100000000000001" customHeight="1" x14ac:dyDescent="0.3">
      <c r="B86" s="17"/>
      <c r="C86" s="17"/>
      <c r="E86" s="15"/>
      <c r="F86" s="15"/>
      <c r="G86" s="15"/>
      <c r="H86" s="16"/>
      <c r="I86" s="15"/>
      <c r="J86" s="16"/>
      <c r="K86" s="15"/>
      <c r="L86" s="15"/>
      <c r="M86" s="29"/>
      <c r="N86" s="19"/>
      <c r="O86" s="18"/>
      <c r="P86" s="17"/>
      <c r="R86" s="22"/>
      <c r="S86" s="38"/>
      <c r="T86" s="19"/>
      <c r="U86" s="19"/>
    </row>
    <row r="87" spans="2:22" s="20" customFormat="1" ht="17.100000000000001" customHeight="1" x14ac:dyDescent="0.3">
      <c r="B87" s="17"/>
      <c r="C87" s="17"/>
      <c r="E87" s="15"/>
      <c r="F87" s="15"/>
      <c r="G87" s="15"/>
      <c r="H87" s="16"/>
      <c r="I87" s="15"/>
      <c r="J87" s="16"/>
      <c r="K87" s="15"/>
      <c r="L87" s="15"/>
      <c r="M87" s="29"/>
      <c r="N87" s="19"/>
      <c r="O87" s="18"/>
      <c r="P87" s="17"/>
      <c r="Q87" s="23"/>
      <c r="R87" s="22"/>
      <c r="S87" s="38"/>
      <c r="T87" s="19"/>
      <c r="U87" s="19"/>
      <c r="V87" s="45"/>
    </row>
    <row r="88" spans="2:22" s="20" customFormat="1" ht="17.100000000000001" customHeight="1" x14ac:dyDescent="0.3">
      <c r="B88" s="17"/>
      <c r="C88" s="17"/>
      <c r="E88" s="15"/>
      <c r="F88" s="15"/>
      <c r="G88" s="15"/>
      <c r="H88" s="16"/>
      <c r="I88" s="15"/>
      <c r="J88" s="16"/>
      <c r="K88" s="15"/>
      <c r="L88" s="15"/>
      <c r="M88" s="29"/>
      <c r="N88" s="19"/>
      <c r="O88" s="18"/>
      <c r="P88" s="17"/>
      <c r="R88" s="22"/>
      <c r="S88" s="38"/>
      <c r="T88" s="19"/>
      <c r="U88" s="19"/>
    </row>
    <row r="89" spans="2:22" s="20" customFormat="1" ht="17.100000000000001" customHeight="1" x14ac:dyDescent="0.3">
      <c r="B89" s="17"/>
      <c r="C89" s="17"/>
      <c r="E89" s="15"/>
      <c r="F89" s="15"/>
      <c r="G89" s="15"/>
      <c r="H89" s="16"/>
      <c r="I89" s="15"/>
      <c r="J89" s="16"/>
      <c r="K89" s="15"/>
      <c r="L89" s="15"/>
      <c r="M89" s="29"/>
      <c r="N89" s="19"/>
      <c r="O89" s="18"/>
      <c r="P89" s="17"/>
      <c r="R89" s="22"/>
      <c r="S89" s="38"/>
      <c r="T89" s="19"/>
      <c r="U89" s="19"/>
    </row>
    <row r="90" spans="2:22" s="20" customFormat="1" ht="17.100000000000001" customHeight="1" x14ac:dyDescent="0.3">
      <c r="B90" s="17"/>
      <c r="C90" s="17"/>
      <c r="E90" s="15"/>
      <c r="F90" s="15"/>
      <c r="G90" s="15"/>
      <c r="H90" s="16"/>
      <c r="I90" s="15"/>
      <c r="J90" s="16"/>
      <c r="K90" s="15"/>
      <c r="L90" s="15"/>
      <c r="M90" s="29"/>
      <c r="N90" s="19"/>
      <c r="O90" s="18"/>
      <c r="P90" s="17"/>
      <c r="R90" s="22"/>
      <c r="S90" s="38"/>
      <c r="T90" s="19"/>
      <c r="U90" s="19"/>
    </row>
    <row r="91" spans="2:22" s="20" customFormat="1" ht="17.100000000000001" customHeight="1" x14ac:dyDescent="0.3">
      <c r="B91" s="17"/>
      <c r="C91" s="17"/>
      <c r="E91" s="15"/>
      <c r="F91" s="15"/>
      <c r="G91" s="15"/>
      <c r="H91" s="16"/>
      <c r="I91" s="15"/>
      <c r="J91" s="16"/>
      <c r="K91" s="15"/>
      <c r="L91" s="15"/>
      <c r="M91" s="29"/>
      <c r="N91" s="19"/>
      <c r="O91" s="18"/>
      <c r="P91" s="17"/>
      <c r="R91" s="22"/>
      <c r="S91" s="38"/>
      <c r="T91" s="19"/>
      <c r="U91" s="19"/>
    </row>
    <row r="92" spans="2:22" s="20" customFormat="1" ht="17.100000000000001" customHeight="1" x14ac:dyDescent="0.3">
      <c r="B92" s="17"/>
      <c r="C92" s="17"/>
      <c r="E92" s="15"/>
      <c r="F92" s="15"/>
      <c r="G92" s="15"/>
      <c r="H92" s="16"/>
      <c r="I92" s="15"/>
      <c r="J92" s="16"/>
      <c r="K92" s="15"/>
      <c r="L92" s="15"/>
      <c r="M92" s="29"/>
      <c r="N92" s="19"/>
      <c r="O92" s="18"/>
      <c r="P92" s="17"/>
      <c r="R92" s="22"/>
      <c r="S92" s="38"/>
      <c r="T92" s="19"/>
      <c r="U92" s="19"/>
    </row>
    <row r="93" spans="2:22" s="20" customFormat="1" ht="17.100000000000001" customHeight="1" x14ac:dyDescent="0.3">
      <c r="B93" s="17"/>
      <c r="C93" s="17"/>
      <c r="E93" s="15"/>
      <c r="F93" s="15"/>
      <c r="G93" s="15"/>
      <c r="H93" s="16"/>
      <c r="I93" s="15"/>
      <c r="J93" s="16"/>
      <c r="K93" s="15"/>
      <c r="L93" s="15"/>
      <c r="M93" s="29"/>
      <c r="N93" s="19"/>
      <c r="O93" s="18"/>
      <c r="P93" s="17"/>
      <c r="Q93" s="23"/>
      <c r="R93" s="22"/>
      <c r="S93" s="38"/>
      <c r="T93" s="19"/>
      <c r="U93" s="19"/>
      <c r="V93" s="45"/>
    </row>
    <row r="94" spans="2:22" s="20" customFormat="1" ht="17.100000000000001" customHeight="1" x14ac:dyDescent="0.3">
      <c r="B94" s="17"/>
      <c r="C94" s="17"/>
      <c r="E94" s="15"/>
      <c r="F94" s="15"/>
      <c r="G94" s="15"/>
      <c r="H94" s="16"/>
      <c r="I94" s="15"/>
      <c r="J94" s="16"/>
      <c r="K94" s="15"/>
      <c r="L94" s="15"/>
      <c r="M94" s="29"/>
      <c r="N94" s="19"/>
      <c r="O94" s="18"/>
      <c r="P94" s="17"/>
      <c r="R94" s="22"/>
      <c r="S94" s="38"/>
      <c r="T94" s="19"/>
      <c r="U94" s="19"/>
    </row>
    <row r="95" spans="2:22" s="20" customFormat="1" ht="17.100000000000001" customHeight="1" x14ac:dyDescent="0.3">
      <c r="B95" s="17"/>
      <c r="C95" s="17"/>
      <c r="E95" s="15"/>
      <c r="F95" s="15"/>
      <c r="G95" s="15"/>
      <c r="H95" s="16"/>
      <c r="I95" s="15"/>
      <c r="J95" s="16"/>
      <c r="K95" s="15"/>
      <c r="L95" s="15"/>
      <c r="M95" s="29"/>
      <c r="N95" s="19"/>
      <c r="O95" s="18"/>
      <c r="P95" s="17"/>
      <c r="R95" s="22"/>
      <c r="S95" s="38"/>
      <c r="T95" s="19"/>
      <c r="U95" s="19"/>
    </row>
    <row r="96" spans="2:22" s="20" customFormat="1" ht="17.100000000000001" customHeight="1" x14ac:dyDescent="0.3">
      <c r="B96" s="17"/>
      <c r="C96" s="17"/>
      <c r="E96" s="15"/>
      <c r="F96" s="15"/>
      <c r="G96" s="15"/>
      <c r="H96" s="16"/>
      <c r="I96" s="15"/>
      <c r="J96" s="16"/>
      <c r="K96" s="15"/>
      <c r="L96" s="15"/>
      <c r="M96" s="29"/>
      <c r="N96" s="19"/>
      <c r="O96" s="18"/>
      <c r="P96" s="17"/>
      <c r="Q96" s="23"/>
      <c r="R96" s="22"/>
      <c r="S96" s="38"/>
      <c r="T96" s="19"/>
      <c r="U96" s="19"/>
      <c r="V96" s="45"/>
    </row>
    <row r="97" spans="2:22" s="20" customFormat="1" ht="17.100000000000001" customHeight="1" x14ac:dyDescent="0.3">
      <c r="B97" s="17"/>
      <c r="C97" s="17"/>
      <c r="E97" s="15"/>
      <c r="F97" s="15"/>
      <c r="G97" s="15"/>
      <c r="H97" s="16"/>
      <c r="I97" s="15"/>
      <c r="J97" s="16"/>
      <c r="K97" s="15"/>
      <c r="L97" s="15"/>
      <c r="M97" s="29"/>
      <c r="N97" s="19"/>
      <c r="O97" s="18"/>
      <c r="P97" s="17"/>
      <c r="R97" s="22"/>
      <c r="S97" s="38"/>
      <c r="T97" s="19"/>
      <c r="U97" s="19"/>
    </row>
    <row r="98" spans="2:22" s="20" customFormat="1" ht="17.100000000000001" customHeight="1" x14ac:dyDescent="0.3">
      <c r="B98" s="17"/>
      <c r="C98" s="17"/>
      <c r="E98" s="15"/>
      <c r="F98" s="15"/>
      <c r="G98" s="15"/>
      <c r="H98" s="16"/>
      <c r="I98" s="15"/>
      <c r="J98" s="16"/>
      <c r="K98" s="15"/>
      <c r="L98" s="15"/>
      <c r="M98" s="29"/>
      <c r="N98" s="19"/>
      <c r="O98" s="18"/>
      <c r="P98" s="17"/>
      <c r="Q98" s="23"/>
      <c r="R98" s="22"/>
      <c r="S98" s="38"/>
      <c r="T98" s="19"/>
      <c r="U98" s="19"/>
      <c r="V98" s="45"/>
    </row>
    <row r="99" spans="2:22" s="20" customFormat="1" ht="17.100000000000001" customHeight="1" x14ac:dyDescent="0.3">
      <c r="B99" s="17"/>
      <c r="C99" s="17"/>
      <c r="E99" s="15"/>
      <c r="F99" s="15"/>
      <c r="G99" s="15"/>
      <c r="H99" s="16"/>
      <c r="I99" s="15"/>
      <c r="J99" s="16"/>
      <c r="K99" s="15"/>
      <c r="L99" s="15"/>
      <c r="M99" s="29"/>
      <c r="N99" s="19"/>
      <c r="O99" s="18"/>
      <c r="P99" s="17"/>
      <c r="R99" s="22"/>
      <c r="S99" s="38"/>
      <c r="T99" s="19"/>
      <c r="U99" s="19"/>
    </row>
    <row r="100" spans="2:22" s="20" customFormat="1" ht="17.100000000000001" customHeight="1" x14ac:dyDescent="0.3">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x14ac:dyDescent="0.3">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x14ac:dyDescent="0.3">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x14ac:dyDescent="0.3">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x14ac:dyDescent="0.3">
      <c r="B104" s="17"/>
      <c r="C104" s="17"/>
      <c r="E104" s="15"/>
      <c r="F104" s="15"/>
      <c r="G104" s="15"/>
      <c r="H104" s="16"/>
      <c r="I104" s="15"/>
      <c r="J104" s="16"/>
      <c r="K104" s="15"/>
      <c r="L104" s="15"/>
      <c r="M104" s="29"/>
      <c r="N104" s="19"/>
      <c r="O104" s="18"/>
      <c r="P104" s="17"/>
      <c r="Q104" s="23"/>
      <c r="R104" s="22"/>
      <c r="S104" s="38"/>
      <c r="T104" s="19"/>
      <c r="U104" s="19"/>
      <c r="V104" s="45"/>
    </row>
    <row r="105" spans="2:22" s="20" customFormat="1" ht="17.100000000000001" customHeight="1" x14ac:dyDescent="0.3">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x14ac:dyDescent="0.3">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x14ac:dyDescent="0.3">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x14ac:dyDescent="0.3">
      <c r="B108" s="17"/>
      <c r="C108" s="17"/>
      <c r="E108" s="15"/>
      <c r="F108" s="15"/>
      <c r="G108" s="15"/>
      <c r="H108" s="16"/>
      <c r="I108" s="15"/>
      <c r="J108" s="16"/>
      <c r="K108" s="15"/>
      <c r="L108" s="15"/>
      <c r="M108" s="29"/>
      <c r="N108" s="19"/>
      <c r="O108" s="18"/>
      <c r="P108" s="17"/>
      <c r="Q108" s="23"/>
      <c r="R108" s="22"/>
      <c r="S108" s="38"/>
      <c r="T108" s="19"/>
      <c r="U108" s="19"/>
      <c r="V108" s="45"/>
    </row>
    <row r="109" spans="2:22" s="20" customFormat="1" ht="17.100000000000001" customHeight="1" x14ac:dyDescent="0.3">
      <c r="B109" s="17"/>
      <c r="C109" s="17"/>
      <c r="E109" s="15"/>
      <c r="F109" s="15"/>
      <c r="G109" s="15"/>
      <c r="H109" s="16"/>
      <c r="I109" s="15"/>
      <c r="J109" s="16"/>
      <c r="K109" s="15"/>
      <c r="L109" s="15"/>
      <c r="M109" s="29"/>
      <c r="N109" s="19"/>
      <c r="O109" s="18"/>
      <c r="P109" s="17"/>
      <c r="Q109" s="23"/>
      <c r="R109" s="22"/>
      <c r="S109" s="38"/>
      <c r="T109" s="19"/>
      <c r="U109" s="19"/>
      <c r="V109" s="45"/>
    </row>
    <row r="110" spans="2:22" s="20" customFormat="1" ht="17.100000000000001" customHeight="1" x14ac:dyDescent="0.3">
      <c r="B110" s="17"/>
      <c r="C110" s="17"/>
      <c r="E110" s="15"/>
      <c r="F110" s="15"/>
      <c r="G110" s="15"/>
      <c r="H110" s="16"/>
      <c r="I110" s="15"/>
      <c r="J110" s="16"/>
      <c r="K110" s="15"/>
      <c r="L110" s="15"/>
      <c r="M110" s="29"/>
      <c r="N110" s="19"/>
      <c r="O110" s="18"/>
      <c r="P110" s="17"/>
      <c r="Q110" s="23"/>
      <c r="R110" s="22"/>
      <c r="S110" s="38"/>
      <c r="T110" s="19"/>
      <c r="U110" s="19"/>
      <c r="V110" s="45"/>
    </row>
    <row r="111" spans="2:22" s="20" customFormat="1" ht="17.100000000000001" customHeight="1" x14ac:dyDescent="0.3">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x14ac:dyDescent="0.3">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x14ac:dyDescent="0.3">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x14ac:dyDescent="0.3">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x14ac:dyDescent="0.3">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x14ac:dyDescent="0.3">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x14ac:dyDescent="0.3">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x14ac:dyDescent="0.3">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x14ac:dyDescent="0.3">
      <c r="B119" s="17"/>
      <c r="C119" s="17"/>
      <c r="E119" s="15"/>
      <c r="F119" s="15"/>
      <c r="G119" s="15"/>
      <c r="H119" s="16"/>
      <c r="I119" s="15"/>
      <c r="J119" s="16"/>
      <c r="K119" s="15"/>
      <c r="L119" s="15"/>
      <c r="M119" s="29"/>
      <c r="N119" s="19"/>
      <c r="O119" s="18"/>
      <c r="P119" s="17"/>
      <c r="Q119" s="23"/>
      <c r="R119" s="22"/>
      <c r="S119" s="38"/>
      <c r="T119" s="19"/>
      <c r="U119" s="19"/>
      <c r="V119" s="45"/>
    </row>
    <row r="120" spans="2:22" s="20" customFormat="1" ht="17.100000000000001" customHeight="1" x14ac:dyDescent="0.3">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x14ac:dyDescent="0.3">
      <c r="B121" s="17"/>
      <c r="C121" s="17"/>
      <c r="E121" s="15"/>
      <c r="F121" s="15"/>
      <c r="G121" s="15"/>
      <c r="H121" s="16"/>
      <c r="I121" s="15"/>
      <c r="J121" s="16"/>
      <c r="K121" s="15"/>
      <c r="L121" s="15"/>
      <c r="M121" s="29"/>
      <c r="N121" s="19"/>
      <c r="O121" s="18"/>
      <c r="P121" s="17"/>
      <c r="Q121" s="23"/>
      <c r="R121" s="22"/>
      <c r="S121" s="38"/>
      <c r="T121" s="19"/>
      <c r="U121" s="19"/>
      <c r="V121" s="45"/>
    </row>
    <row r="122" spans="2:22" s="20" customFormat="1" ht="17.100000000000001" customHeight="1" x14ac:dyDescent="0.3">
      <c r="B122" s="17"/>
      <c r="C122" s="17"/>
      <c r="E122" s="15"/>
      <c r="F122" s="15"/>
      <c r="G122" s="15"/>
      <c r="H122" s="16"/>
      <c r="I122" s="15"/>
      <c r="J122" s="16"/>
      <c r="K122" s="15"/>
      <c r="L122" s="15"/>
      <c r="M122" s="29"/>
      <c r="N122" s="19"/>
      <c r="O122" s="18"/>
      <c r="P122" s="17"/>
      <c r="R122" s="59"/>
      <c r="S122" s="38"/>
      <c r="T122" s="19"/>
      <c r="U122" s="19"/>
    </row>
    <row r="123" spans="2:22" s="20" customFormat="1" ht="17.100000000000001" customHeight="1" x14ac:dyDescent="0.3">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x14ac:dyDescent="0.3">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x14ac:dyDescent="0.3">
      <c r="B125" s="17"/>
      <c r="C125" s="17"/>
      <c r="D125" s="22"/>
      <c r="E125" s="15"/>
      <c r="F125" s="15"/>
      <c r="G125" s="15"/>
      <c r="H125" s="16"/>
      <c r="I125" s="15"/>
      <c r="J125" s="16"/>
      <c r="K125" s="15"/>
      <c r="L125" s="15"/>
      <c r="M125" s="29"/>
      <c r="N125" s="19"/>
      <c r="O125" s="18"/>
      <c r="P125" s="17"/>
      <c r="Q125" s="23"/>
      <c r="R125" s="22"/>
      <c r="S125" s="38"/>
      <c r="T125" s="19"/>
      <c r="U125" s="19"/>
      <c r="V125" s="45"/>
    </row>
    <row r="126" spans="2:22" s="20" customFormat="1" ht="17.100000000000001" customHeight="1" x14ac:dyDescent="0.3">
      <c r="B126" s="17"/>
      <c r="C126" s="17"/>
      <c r="E126" s="15"/>
      <c r="F126" s="15"/>
      <c r="G126" s="15"/>
      <c r="H126" s="16"/>
      <c r="I126" s="15"/>
      <c r="J126" s="16"/>
      <c r="K126" s="15"/>
      <c r="L126" s="15"/>
      <c r="M126" s="29"/>
      <c r="N126" s="19"/>
      <c r="O126" s="18"/>
      <c r="P126" s="17"/>
      <c r="Q126" s="23"/>
      <c r="R126" s="22"/>
      <c r="S126" s="38"/>
      <c r="T126" s="19"/>
      <c r="U126" s="19"/>
      <c r="V126" s="45"/>
    </row>
    <row r="127" spans="2:22" s="20" customFormat="1" ht="17.100000000000001" customHeight="1" x14ac:dyDescent="0.3">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x14ac:dyDescent="0.3">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x14ac:dyDescent="0.3">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x14ac:dyDescent="0.3">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x14ac:dyDescent="0.3">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x14ac:dyDescent="0.3">
      <c r="B132" s="17"/>
      <c r="C132" s="17"/>
      <c r="E132" s="15"/>
      <c r="F132" s="15"/>
      <c r="G132" s="15"/>
      <c r="H132" s="16"/>
      <c r="I132" s="15"/>
      <c r="J132" s="16"/>
      <c r="K132" s="15"/>
      <c r="L132" s="15"/>
      <c r="M132" s="29"/>
      <c r="N132" s="19"/>
      <c r="O132" s="18"/>
      <c r="P132" s="17"/>
      <c r="Q132" s="23"/>
      <c r="R132" s="22"/>
      <c r="S132" s="38"/>
      <c r="T132" s="19"/>
      <c r="U132" s="19"/>
      <c r="V132" s="45"/>
    </row>
    <row r="133" spans="2:22" s="20" customFormat="1" ht="17.100000000000001" customHeight="1" x14ac:dyDescent="0.3">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x14ac:dyDescent="0.3">
      <c r="B134" s="17"/>
      <c r="C134" s="17"/>
      <c r="E134" s="15"/>
      <c r="F134" s="15"/>
      <c r="G134" s="15"/>
      <c r="H134" s="16"/>
      <c r="I134" s="15"/>
      <c r="J134" s="16"/>
      <c r="K134" s="15"/>
      <c r="L134" s="15"/>
      <c r="M134" s="29"/>
      <c r="N134" s="19"/>
      <c r="O134" s="18"/>
      <c r="P134" s="17"/>
      <c r="Q134" s="23"/>
      <c r="R134" s="22"/>
      <c r="S134" s="38"/>
      <c r="T134" s="19"/>
      <c r="U134" s="19"/>
      <c r="V134" s="45"/>
    </row>
    <row r="135" spans="2:22" s="20" customFormat="1" ht="17.100000000000001" customHeight="1" x14ac:dyDescent="0.3">
      <c r="B135" s="17"/>
      <c r="C135" s="17"/>
      <c r="E135" s="15"/>
      <c r="F135" s="15"/>
      <c r="G135" s="15"/>
      <c r="H135" s="16"/>
      <c r="I135" s="15"/>
      <c r="J135" s="16"/>
      <c r="K135" s="15"/>
      <c r="L135" s="15"/>
      <c r="M135" s="29"/>
      <c r="N135" s="19"/>
      <c r="O135" s="18"/>
      <c r="P135" s="17"/>
      <c r="Q135" s="23"/>
      <c r="R135" s="22"/>
      <c r="S135" s="38"/>
      <c r="T135" s="19"/>
      <c r="U135" s="19"/>
      <c r="V135" s="45"/>
    </row>
    <row r="136" spans="2:22" s="20" customFormat="1" ht="17.100000000000001" customHeight="1" x14ac:dyDescent="0.3">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x14ac:dyDescent="0.3">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x14ac:dyDescent="0.3">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x14ac:dyDescent="0.3">
      <c r="B139" s="17"/>
      <c r="C139" s="17"/>
      <c r="E139" s="15"/>
      <c r="F139" s="15"/>
      <c r="G139" s="15"/>
      <c r="H139" s="16"/>
      <c r="I139" s="15"/>
      <c r="J139" s="16"/>
      <c r="K139" s="15"/>
      <c r="L139" s="15"/>
      <c r="M139" s="29"/>
      <c r="N139" s="19"/>
      <c r="O139" s="18"/>
      <c r="P139" s="17"/>
      <c r="Q139" s="23"/>
      <c r="R139" s="22"/>
      <c r="S139" s="38"/>
      <c r="T139" s="19"/>
      <c r="U139" s="19"/>
      <c r="V139" s="45"/>
    </row>
    <row r="140" spans="2:22" s="20" customFormat="1" ht="17.100000000000001" customHeight="1" x14ac:dyDescent="0.3">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x14ac:dyDescent="0.3">
      <c r="B141" s="17"/>
      <c r="C141" s="17"/>
      <c r="E141" s="15"/>
      <c r="F141" s="15"/>
      <c r="G141" s="15"/>
      <c r="H141" s="16"/>
      <c r="I141" s="15"/>
      <c r="J141" s="16"/>
      <c r="K141" s="15"/>
      <c r="L141" s="15"/>
      <c r="M141" s="29"/>
      <c r="N141" s="19"/>
      <c r="O141" s="18"/>
      <c r="P141" s="17"/>
      <c r="Q141" s="23"/>
      <c r="R141" s="22"/>
      <c r="S141" s="38"/>
      <c r="T141" s="19"/>
      <c r="U141" s="19"/>
      <c r="V141" s="45"/>
    </row>
    <row r="142" spans="2:22" s="20" customFormat="1" ht="17.100000000000001" customHeight="1" x14ac:dyDescent="0.3">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x14ac:dyDescent="0.3">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x14ac:dyDescent="0.3">
      <c r="B144" s="17"/>
      <c r="C144" s="17"/>
      <c r="E144" s="15"/>
      <c r="F144" s="15"/>
      <c r="G144" s="15"/>
      <c r="H144" s="16"/>
      <c r="I144" s="15"/>
      <c r="J144" s="16"/>
      <c r="K144" s="15"/>
      <c r="L144" s="15"/>
      <c r="M144" s="29"/>
      <c r="N144" s="19"/>
      <c r="O144" s="18"/>
      <c r="P144" s="17"/>
      <c r="Q144" s="23"/>
      <c r="R144" s="22"/>
      <c r="S144" s="38"/>
      <c r="T144" s="19"/>
      <c r="U144" s="19"/>
      <c r="V144" s="45"/>
    </row>
    <row r="145" spans="2:22" s="20" customFormat="1" ht="17.100000000000001" customHeight="1" x14ac:dyDescent="0.3">
      <c r="B145" s="17"/>
      <c r="C145" s="17"/>
      <c r="E145" s="15"/>
      <c r="F145" s="15"/>
      <c r="G145" s="15"/>
      <c r="H145" s="50"/>
      <c r="I145" s="57"/>
      <c r="J145" s="50"/>
      <c r="K145" s="57"/>
      <c r="L145" s="57"/>
      <c r="M145" s="51"/>
      <c r="N145" s="47"/>
      <c r="O145" s="18"/>
      <c r="P145" s="17"/>
      <c r="R145" s="22"/>
      <c r="S145" s="38"/>
      <c r="T145" s="19"/>
      <c r="U145" s="19"/>
    </row>
    <row r="146" spans="2:22" s="20" customFormat="1" ht="17.100000000000001" customHeight="1" x14ac:dyDescent="0.3">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x14ac:dyDescent="0.3">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x14ac:dyDescent="0.3">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x14ac:dyDescent="0.3">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x14ac:dyDescent="0.3">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x14ac:dyDescent="0.3">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x14ac:dyDescent="0.3">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x14ac:dyDescent="0.3">
      <c r="B153" s="17"/>
      <c r="C153" s="17"/>
      <c r="E153" s="15"/>
      <c r="F153" s="15"/>
      <c r="G153" s="15"/>
      <c r="H153" s="16"/>
      <c r="I153" s="15"/>
      <c r="J153" s="16"/>
      <c r="K153" s="15"/>
      <c r="L153" s="15"/>
      <c r="M153" s="29"/>
      <c r="N153" s="19"/>
      <c r="O153" s="18"/>
      <c r="P153" s="17"/>
      <c r="Q153" s="23"/>
      <c r="R153" s="22"/>
      <c r="S153" s="38"/>
      <c r="T153" s="19"/>
      <c r="U153" s="19"/>
      <c r="V153" s="45"/>
    </row>
    <row r="154" spans="2:22" s="20" customFormat="1" ht="17.100000000000001" customHeight="1" x14ac:dyDescent="0.3">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x14ac:dyDescent="0.3">
      <c r="B155" s="17"/>
      <c r="C155" s="17"/>
      <c r="E155" s="15"/>
      <c r="F155" s="15"/>
      <c r="G155" s="15"/>
      <c r="H155" s="16"/>
      <c r="I155" s="15"/>
      <c r="J155" s="16"/>
      <c r="K155" s="15"/>
      <c r="L155" s="15"/>
      <c r="M155" s="29"/>
      <c r="N155" s="19"/>
      <c r="O155" s="18">
        <f t="shared" ref="O155:O200" si="1">(N155*I155)+U155</f>
        <v>0</v>
      </c>
      <c r="P155" s="17"/>
      <c r="R155" s="22"/>
      <c r="S155" s="22"/>
      <c r="T155" s="19"/>
      <c r="U155" s="19"/>
    </row>
    <row r="156" spans="2:22" s="20" customFormat="1" ht="17.100000000000001" customHeight="1" x14ac:dyDescent="0.3">
      <c r="B156" s="17"/>
      <c r="C156" s="17"/>
      <c r="E156" s="15"/>
      <c r="F156" s="15"/>
      <c r="G156" s="15"/>
      <c r="H156" s="16"/>
      <c r="I156" s="15"/>
      <c r="J156" s="16"/>
      <c r="K156" s="15"/>
      <c r="L156" s="15"/>
      <c r="M156" s="29"/>
      <c r="N156" s="19"/>
      <c r="O156" s="18">
        <f t="shared" si="1"/>
        <v>0</v>
      </c>
      <c r="P156" s="17"/>
      <c r="R156" s="22"/>
      <c r="S156" s="22"/>
      <c r="T156" s="19"/>
      <c r="U156" s="19"/>
    </row>
    <row r="157" spans="2:22" s="20" customFormat="1" ht="17.100000000000001" customHeight="1" x14ac:dyDescent="0.3">
      <c r="B157" s="17"/>
      <c r="C157" s="17"/>
      <c r="E157" s="15"/>
      <c r="F157" s="15"/>
      <c r="G157" s="15"/>
      <c r="H157" s="16"/>
      <c r="I157" s="15"/>
      <c r="J157" s="16"/>
      <c r="K157" s="15"/>
      <c r="L157" s="15"/>
      <c r="M157" s="29"/>
      <c r="N157" s="19"/>
      <c r="O157" s="18">
        <f t="shared" si="1"/>
        <v>0</v>
      </c>
      <c r="P157" s="17"/>
      <c r="R157" s="22"/>
      <c r="S157" s="22"/>
      <c r="T157" s="19"/>
      <c r="U157" s="19"/>
    </row>
    <row r="158" spans="2:22" s="20" customFormat="1" ht="17.100000000000001" customHeight="1" x14ac:dyDescent="0.3">
      <c r="B158" s="17"/>
      <c r="C158" s="17"/>
      <c r="E158" s="15"/>
      <c r="F158" s="15"/>
      <c r="G158" s="15"/>
      <c r="H158" s="16"/>
      <c r="I158" s="15"/>
      <c r="J158" s="16"/>
      <c r="K158" s="15"/>
      <c r="L158" s="15"/>
      <c r="M158" s="29"/>
      <c r="N158" s="19"/>
      <c r="O158" s="18">
        <f t="shared" si="1"/>
        <v>0</v>
      </c>
      <c r="P158" s="17"/>
      <c r="R158" s="22"/>
      <c r="S158" s="22"/>
      <c r="T158" s="19"/>
      <c r="U158" s="19"/>
    </row>
    <row r="159" spans="2:22" s="20" customFormat="1" ht="17.100000000000001" customHeight="1" x14ac:dyDescent="0.3">
      <c r="B159" s="17"/>
      <c r="C159" s="17"/>
      <c r="E159" s="15"/>
      <c r="F159" s="15"/>
      <c r="G159" s="15"/>
      <c r="H159" s="16"/>
      <c r="I159" s="15"/>
      <c r="J159" s="16"/>
      <c r="K159" s="15"/>
      <c r="L159" s="15"/>
      <c r="M159" s="29"/>
      <c r="N159" s="19"/>
      <c r="O159" s="18">
        <f t="shared" si="1"/>
        <v>0</v>
      </c>
      <c r="P159" s="17"/>
      <c r="R159" s="22"/>
      <c r="S159" s="22"/>
      <c r="T159" s="19"/>
      <c r="U159" s="19"/>
    </row>
    <row r="160" spans="2:22" s="20" customFormat="1" ht="17.100000000000001" customHeight="1" x14ac:dyDescent="0.3">
      <c r="B160" s="17"/>
      <c r="C160" s="17"/>
      <c r="E160" s="15"/>
      <c r="F160" s="15"/>
      <c r="G160" s="15"/>
      <c r="H160" s="16"/>
      <c r="I160" s="15"/>
      <c r="J160" s="16"/>
      <c r="K160" s="15"/>
      <c r="L160" s="15"/>
      <c r="M160" s="29"/>
      <c r="N160" s="19"/>
      <c r="O160" s="18">
        <f t="shared" si="1"/>
        <v>0</v>
      </c>
      <c r="P160" s="17"/>
      <c r="R160" s="22"/>
      <c r="S160" s="22"/>
      <c r="T160" s="19"/>
      <c r="U160" s="19"/>
    </row>
    <row r="161" spans="2:21" s="20" customFormat="1" ht="17.100000000000001" customHeight="1" x14ac:dyDescent="0.3">
      <c r="B161" s="17"/>
      <c r="C161" s="17"/>
      <c r="E161" s="15"/>
      <c r="F161" s="15"/>
      <c r="G161" s="15"/>
      <c r="H161" s="16"/>
      <c r="I161" s="15"/>
      <c r="J161" s="16"/>
      <c r="K161" s="15"/>
      <c r="L161" s="15"/>
      <c r="M161" s="29"/>
      <c r="N161" s="19"/>
      <c r="O161" s="18">
        <f t="shared" si="1"/>
        <v>0</v>
      </c>
      <c r="P161" s="17"/>
      <c r="R161" s="22"/>
      <c r="S161" s="22"/>
      <c r="T161" s="19"/>
      <c r="U161" s="19"/>
    </row>
    <row r="162" spans="2:21" s="20" customFormat="1" ht="17.100000000000001" customHeight="1" x14ac:dyDescent="0.3">
      <c r="B162" s="17"/>
      <c r="C162" s="17"/>
      <c r="E162" s="15"/>
      <c r="F162" s="15"/>
      <c r="G162" s="15"/>
      <c r="H162" s="16"/>
      <c r="I162" s="15"/>
      <c r="J162" s="16"/>
      <c r="K162" s="15"/>
      <c r="L162" s="15"/>
      <c r="M162" s="29"/>
      <c r="N162" s="19"/>
      <c r="O162" s="18">
        <f t="shared" si="1"/>
        <v>0</v>
      </c>
      <c r="P162" s="17"/>
      <c r="R162" s="22"/>
      <c r="S162" s="22"/>
      <c r="T162" s="19"/>
      <c r="U162" s="19"/>
    </row>
    <row r="163" spans="2:21" s="20" customFormat="1" ht="17.100000000000001" customHeight="1" x14ac:dyDescent="0.3">
      <c r="B163" s="17"/>
      <c r="C163" s="17"/>
      <c r="E163" s="15"/>
      <c r="F163" s="15"/>
      <c r="G163" s="15"/>
      <c r="H163" s="16"/>
      <c r="I163" s="15"/>
      <c r="J163" s="16"/>
      <c r="K163" s="15"/>
      <c r="L163" s="15"/>
      <c r="M163" s="29"/>
      <c r="N163" s="19"/>
      <c r="O163" s="18">
        <f t="shared" si="1"/>
        <v>0</v>
      </c>
      <c r="P163" s="17"/>
      <c r="R163" s="22"/>
      <c r="S163" s="22"/>
      <c r="T163" s="19"/>
      <c r="U163" s="19"/>
    </row>
    <row r="164" spans="2:21" s="20" customFormat="1" ht="17.100000000000001" customHeight="1" x14ac:dyDescent="0.3">
      <c r="B164" s="17"/>
      <c r="C164" s="17"/>
      <c r="E164" s="15"/>
      <c r="F164" s="15"/>
      <c r="G164" s="15"/>
      <c r="H164" s="16"/>
      <c r="I164" s="15"/>
      <c r="J164" s="16"/>
      <c r="K164" s="15"/>
      <c r="L164" s="15"/>
      <c r="M164" s="29"/>
      <c r="N164" s="19"/>
      <c r="O164" s="18">
        <f t="shared" si="1"/>
        <v>0</v>
      </c>
      <c r="P164" s="17"/>
      <c r="R164" s="22"/>
      <c r="S164" s="22"/>
      <c r="T164" s="19"/>
      <c r="U164" s="19"/>
    </row>
    <row r="165" spans="2:21" s="20" customFormat="1" ht="17.100000000000001" customHeight="1" x14ac:dyDescent="0.3">
      <c r="B165" s="17"/>
      <c r="C165" s="17"/>
      <c r="E165" s="15"/>
      <c r="F165" s="15"/>
      <c r="G165" s="15"/>
      <c r="H165" s="16"/>
      <c r="I165" s="15"/>
      <c r="J165" s="16"/>
      <c r="K165" s="15"/>
      <c r="L165" s="15"/>
      <c r="M165" s="29"/>
      <c r="N165" s="19"/>
      <c r="O165" s="18">
        <f t="shared" si="1"/>
        <v>0</v>
      </c>
      <c r="P165" s="17"/>
      <c r="R165" s="22"/>
      <c r="S165" s="22"/>
      <c r="T165" s="19"/>
      <c r="U165" s="19"/>
    </row>
    <row r="166" spans="2:21" s="20" customFormat="1" ht="17.100000000000001" customHeight="1" x14ac:dyDescent="0.3">
      <c r="B166" s="17"/>
      <c r="C166" s="17"/>
      <c r="E166" s="15"/>
      <c r="F166" s="15"/>
      <c r="G166" s="15"/>
      <c r="H166" s="16"/>
      <c r="I166" s="15"/>
      <c r="J166" s="16"/>
      <c r="K166" s="15"/>
      <c r="L166" s="15"/>
      <c r="M166" s="29"/>
      <c r="N166" s="19"/>
      <c r="O166" s="18">
        <f t="shared" si="1"/>
        <v>0</v>
      </c>
      <c r="P166" s="17"/>
      <c r="R166" s="22"/>
      <c r="S166" s="22"/>
      <c r="T166" s="19"/>
      <c r="U166" s="19"/>
    </row>
    <row r="167" spans="2:21" s="20" customFormat="1" ht="17.100000000000001" customHeight="1" x14ac:dyDescent="0.3">
      <c r="B167" s="17"/>
      <c r="C167" s="17"/>
      <c r="E167" s="15"/>
      <c r="F167" s="15"/>
      <c r="G167" s="15"/>
      <c r="H167" s="16"/>
      <c r="I167" s="15"/>
      <c r="J167" s="16"/>
      <c r="K167" s="15"/>
      <c r="L167" s="15"/>
      <c r="M167" s="29"/>
      <c r="N167" s="19"/>
      <c r="O167" s="18">
        <f t="shared" si="1"/>
        <v>0</v>
      </c>
      <c r="P167" s="17"/>
      <c r="R167" s="22"/>
      <c r="S167" s="22"/>
      <c r="T167" s="19"/>
      <c r="U167" s="19"/>
    </row>
    <row r="168" spans="2:21" s="20" customFormat="1" ht="17.100000000000001" customHeight="1" x14ac:dyDescent="0.3">
      <c r="B168" s="17"/>
      <c r="C168" s="17"/>
      <c r="E168" s="15"/>
      <c r="F168" s="15"/>
      <c r="G168" s="15"/>
      <c r="H168" s="16"/>
      <c r="I168" s="15"/>
      <c r="J168" s="16"/>
      <c r="K168" s="15"/>
      <c r="L168" s="15"/>
      <c r="M168" s="29"/>
      <c r="N168" s="19"/>
      <c r="O168" s="18">
        <f t="shared" si="1"/>
        <v>0</v>
      </c>
      <c r="P168" s="17"/>
      <c r="R168" s="22"/>
      <c r="S168" s="22"/>
      <c r="T168" s="19"/>
      <c r="U168" s="19"/>
    </row>
    <row r="169" spans="2:21" s="20" customFormat="1" ht="17.100000000000001" customHeight="1" x14ac:dyDescent="0.3">
      <c r="B169" s="17"/>
      <c r="C169" s="17"/>
      <c r="E169" s="15"/>
      <c r="F169" s="15"/>
      <c r="G169" s="15"/>
      <c r="H169" s="16"/>
      <c r="I169" s="15"/>
      <c r="J169" s="16"/>
      <c r="K169" s="15"/>
      <c r="L169" s="15"/>
      <c r="M169" s="29"/>
      <c r="N169" s="19"/>
      <c r="O169" s="18">
        <f t="shared" si="1"/>
        <v>0</v>
      </c>
      <c r="P169" s="17"/>
      <c r="R169" s="22"/>
      <c r="S169" s="22"/>
      <c r="T169" s="19"/>
      <c r="U169" s="19"/>
    </row>
    <row r="170" spans="2:21" s="20" customFormat="1" ht="17.100000000000001" customHeight="1" x14ac:dyDescent="0.3">
      <c r="B170" s="17"/>
      <c r="C170" s="17"/>
      <c r="E170" s="15"/>
      <c r="F170" s="15"/>
      <c r="G170" s="15"/>
      <c r="H170" s="16"/>
      <c r="I170" s="15"/>
      <c r="J170" s="16"/>
      <c r="K170" s="15"/>
      <c r="L170" s="15"/>
      <c r="M170" s="29"/>
      <c r="N170" s="19"/>
      <c r="O170" s="18">
        <f t="shared" si="1"/>
        <v>0</v>
      </c>
      <c r="P170" s="17"/>
      <c r="R170" s="22"/>
      <c r="S170" s="22"/>
      <c r="T170" s="19"/>
      <c r="U170" s="19"/>
    </row>
    <row r="171" spans="2:21" s="20" customFormat="1" ht="17.100000000000001" customHeight="1" x14ac:dyDescent="0.3">
      <c r="B171" s="17"/>
      <c r="C171" s="17"/>
      <c r="E171" s="15"/>
      <c r="F171" s="15"/>
      <c r="G171" s="15"/>
      <c r="H171" s="16"/>
      <c r="I171" s="15"/>
      <c r="J171" s="16"/>
      <c r="K171" s="15"/>
      <c r="L171" s="15"/>
      <c r="M171" s="29"/>
      <c r="N171" s="19"/>
      <c r="O171" s="18">
        <f t="shared" si="1"/>
        <v>0</v>
      </c>
      <c r="P171" s="17"/>
      <c r="R171" s="22"/>
      <c r="S171" s="22"/>
      <c r="T171" s="19"/>
      <c r="U171" s="19"/>
    </row>
    <row r="172" spans="2:21" s="20" customFormat="1" ht="17.100000000000001" customHeight="1" x14ac:dyDescent="0.3">
      <c r="B172" s="17"/>
      <c r="C172" s="17"/>
      <c r="E172" s="15"/>
      <c r="F172" s="15"/>
      <c r="G172" s="15"/>
      <c r="H172" s="16"/>
      <c r="I172" s="15"/>
      <c r="J172" s="16"/>
      <c r="K172" s="15"/>
      <c r="L172" s="15"/>
      <c r="M172" s="29"/>
      <c r="N172" s="19"/>
      <c r="O172" s="18">
        <f t="shared" si="1"/>
        <v>0</v>
      </c>
      <c r="P172" s="17"/>
      <c r="R172" s="22"/>
      <c r="S172" s="22"/>
      <c r="T172" s="19"/>
      <c r="U172" s="19"/>
    </row>
    <row r="173" spans="2:21" s="20" customFormat="1" ht="17.100000000000001" customHeight="1" x14ac:dyDescent="0.3">
      <c r="B173" s="17"/>
      <c r="C173" s="17"/>
      <c r="E173" s="15"/>
      <c r="F173" s="15"/>
      <c r="G173" s="15"/>
      <c r="H173" s="16"/>
      <c r="I173" s="15"/>
      <c r="J173" s="16"/>
      <c r="K173" s="15"/>
      <c r="L173" s="15"/>
      <c r="M173" s="29"/>
      <c r="N173" s="19"/>
      <c r="O173" s="18">
        <f t="shared" si="1"/>
        <v>0</v>
      </c>
      <c r="P173" s="17"/>
      <c r="R173" s="22"/>
      <c r="S173" s="22"/>
      <c r="T173" s="19"/>
      <c r="U173" s="19"/>
    </row>
    <row r="174" spans="2:21" s="20" customFormat="1" ht="17.100000000000001" customHeight="1" x14ac:dyDescent="0.3">
      <c r="B174" s="17"/>
      <c r="C174" s="17"/>
      <c r="E174" s="15"/>
      <c r="F174" s="15"/>
      <c r="G174" s="15"/>
      <c r="H174" s="16"/>
      <c r="I174" s="15"/>
      <c r="J174" s="16"/>
      <c r="K174" s="15"/>
      <c r="L174" s="15"/>
      <c r="M174" s="29"/>
      <c r="N174" s="19"/>
      <c r="O174" s="18">
        <f t="shared" si="1"/>
        <v>0</v>
      </c>
      <c r="P174" s="17"/>
      <c r="R174" s="22"/>
      <c r="S174" s="22"/>
      <c r="T174" s="19"/>
      <c r="U174" s="19"/>
    </row>
    <row r="175" spans="2:21" s="20" customFormat="1" ht="17.100000000000001" customHeight="1" x14ac:dyDescent="0.3">
      <c r="B175" s="17"/>
      <c r="C175" s="17"/>
      <c r="E175" s="15"/>
      <c r="F175" s="15"/>
      <c r="G175" s="15"/>
      <c r="H175" s="16"/>
      <c r="I175" s="15"/>
      <c r="J175" s="16"/>
      <c r="K175" s="15"/>
      <c r="L175" s="15"/>
      <c r="M175" s="29"/>
      <c r="N175" s="19"/>
      <c r="O175" s="18">
        <f t="shared" si="1"/>
        <v>0</v>
      </c>
      <c r="P175" s="17"/>
      <c r="R175" s="22"/>
      <c r="S175" s="22"/>
      <c r="T175" s="19"/>
      <c r="U175" s="19"/>
    </row>
    <row r="176" spans="2:21" s="20" customFormat="1" ht="17.100000000000001" customHeight="1" x14ac:dyDescent="0.3">
      <c r="B176" s="17"/>
      <c r="C176" s="17"/>
      <c r="E176" s="15"/>
      <c r="F176" s="15"/>
      <c r="G176" s="15"/>
      <c r="H176" s="16"/>
      <c r="I176" s="15"/>
      <c r="J176" s="16"/>
      <c r="K176" s="15"/>
      <c r="L176" s="15"/>
      <c r="M176" s="29"/>
      <c r="N176" s="19"/>
      <c r="O176" s="18">
        <f t="shared" si="1"/>
        <v>0</v>
      </c>
      <c r="P176" s="17"/>
      <c r="R176" s="22"/>
      <c r="S176" s="22"/>
      <c r="T176" s="19"/>
      <c r="U176" s="19"/>
    </row>
    <row r="177" spans="2:21" s="20" customFormat="1" ht="17.100000000000001" customHeight="1" x14ac:dyDescent="0.3">
      <c r="B177" s="17"/>
      <c r="C177" s="17"/>
      <c r="E177" s="15"/>
      <c r="F177" s="15"/>
      <c r="G177" s="15"/>
      <c r="H177" s="16"/>
      <c r="I177" s="15"/>
      <c r="J177" s="16"/>
      <c r="K177" s="15"/>
      <c r="L177" s="15"/>
      <c r="M177" s="29"/>
      <c r="N177" s="19"/>
      <c r="O177" s="18">
        <f t="shared" si="1"/>
        <v>0</v>
      </c>
      <c r="P177" s="17"/>
      <c r="R177" s="22"/>
      <c r="S177" s="22"/>
      <c r="T177" s="19"/>
      <c r="U177" s="19"/>
    </row>
    <row r="178" spans="2:21" s="20" customFormat="1" ht="17.100000000000001" customHeight="1" x14ac:dyDescent="0.3">
      <c r="B178" s="17"/>
      <c r="C178" s="17"/>
      <c r="E178" s="15"/>
      <c r="F178" s="15"/>
      <c r="G178" s="15"/>
      <c r="H178" s="16"/>
      <c r="I178" s="15"/>
      <c r="J178" s="16"/>
      <c r="K178" s="15"/>
      <c r="L178" s="15"/>
      <c r="M178" s="29"/>
      <c r="N178" s="19"/>
      <c r="O178" s="18">
        <f t="shared" si="1"/>
        <v>0</v>
      </c>
      <c r="P178" s="17"/>
      <c r="R178" s="22"/>
      <c r="S178" s="22"/>
      <c r="T178" s="19"/>
      <c r="U178" s="19"/>
    </row>
    <row r="179" spans="2:21" s="20" customFormat="1" ht="17.100000000000001" customHeight="1" x14ac:dyDescent="0.3">
      <c r="B179" s="17"/>
      <c r="C179" s="17"/>
      <c r="E179" s="15"/>
      <c r="F179" s="15"/>
      <c r="G179" s="15"/>
      <c r="H179" s="16"/>
      <c r="I179" s="15"/>
      <c r="J179" s="16"/>
      <c r="K179" s="15"/>
      <c r="L179" s="15"/>
      <c r="M179" s="29"/>
      <c r="N179" s="19"/>
      <c r="O179" s="18">
        <f t="shared" si="1"/>
        <v>0</v>
      </c>
      <c r="P179" s="17"/>
      <c r="R179" s="22"/>
      <c r="S179" s="22"/>
      <c r="T179" s="19"/>
      <c r="U179" s="19"/>
    </row>
    <row r="180" spans="2:21" s="20" customFormat="1" ht="17.100000000000001" customHeight="1" x14ac:dyDescent="0.3">
      <c r="B180" s="17"/>
      <c r="C180" s="17"/>
      <c r="E180" s="15"/>
      <c r="F180" s="15"/>
      <c r="G180" s="15"/>
      <c r="H180" s="16"/>
      <c r="I180" s="15"/>
      <c r="J180" s="16"/>
      <c r="K180" s="15"/>
      <c r="L180" s="15"/>
      <c r="M180" s="29"/>
      <c r="N180" s="19"/>
      <c r="O180" s="18">
        <f t="shared" si="1"/>
        <v>0</v>
      </c>
      <c r="P180" s="17"/>
      <c r="R180" s="22"/>
      <c r="S180" s="22"/>
      <c r="T180" s="19"/>
      <c r="U180" s="19"/>
    </row>
    <row r="181" spans="2:21" s="20" customFormat="1" ht="17.100000000000001" customHeight="1" x14ac:dyDescent="0.3">
      <c r="B181" s="17"/>
      <c r="C181" s="17"/>
      <c r="E181" s="15"/>
      <c r="F181" s="15"/>
      <c r="G181" s="15"/>
      <c r="H181" s="16"/>
      <c r="I181" s="15"/>
      <c r="J181" s="16"/>
      <c r="K181" s="15"/>
      <c r="L181" s="15"/>
      <c r="M181" s="29"/>
      <c r="N181" s="19"/>
      <c r="O181" s="18">
        <f t="shared" si="1"/>
        <v>0</v>
      </c>
      <c r="P181" s="17"/>
      <c r="R181" s="22"/>
      <c r="S181" s="22"/>
      <c r="T181" s="19"/>
      <c r="U181" s="19"/>
    </row>
    <row r="182" spans="2:21" s="20" customFormat="1" ht="17.100000000000001" customHeight="1" x14ac:dyDescent="0.3">
      <c r="B182" s="17"/>
      <c r="C182" s="17"/>
      <c r="E182" s="15"/>
      <c r="F182" s="15"/>
      <c r="G182" s="15"/>
      <c r="H182" s="16"/>
      <c r="I182" s="15"/>
      <c r="J182" s="16"/>
      <c r="K182" s="15"/>
      <c r="L182" s="15"/>
      <c r="M182" s="29"/>
      <c r="N182" s="19"/>
      <c r="O182" s="18">
        <f t="shared" si="1"/>
        <v>0</v>
      </c>
      <c r="P182" s="17"/>
      <c r="R182" s="22"/>
      <c r="S182" s="22"/>
      <c r="T182" s="19"/>
      <c r="U182" s="19"/>
    </row>
    <row r="183" spans="2:21" s="20" customFormat="1" ht="17.100000000000001" customHeight="1" x14ac:dyDescent="0.3">
      <c r="B183" s="17"/>
      <c r="C183" s="17"/>
      <c r="E183" s="15"/>
      <c r="F183" s="15"/>
      <c r="G183" s="15"/>
      <c r="H183" s="16"/>
      <c r="I183" s="15"/>
      <c r="J183" s="16"/>
      <c r="K183" s="15"/>
      <c r="L183" s="15"/>
      <c r="M183" s="29"/>
      <c r="N183" s="19"/>
      <c r="O183" s="18">
        <f t="shared" si="1"/>
        <v>0</v>
      </c>
      <c r="P183" s="17"/>
      <c r="R183" s="22"/>
      <c r="S183" s="22"/>
      <c r="T183" s="19"/>
      <c r="U183" s="19"/>
    </row>
    <row r="184" spans="2:21" s="20" customFormat="1" ht="17.100000000000001" customHeight="1" x14ac:dyDescent="0.3">
      <c r="B184" s="17"/>
      <c r="C184" s="17"/>
      <c r="E184" s="15"/>
      <c r="F184" s="15"/>
      <c r="G184" s="15"/>
      <c r="H184" s="16"/>
      <c r="I184" s="15"/>
      <c r="J184" s="16"/>
      <c r="K184" s="15"/>
      <c r="L184" s="15"/>
      <c r="M184" s="29"/>
      <c r="N184" s="19"/>
      <c r="O184" s="18">
        <f t="shared" si="1"/>
        <v>0</v>
      </c>
      <c r="P184" s="17"/>
      <c r="R184" s="22"/>
      <c r="S184" s="22"/>
      <c r="T184" s="19"/>
      <c r="U184" s="19"/>
    </row>
    <row r="185" spans="2:21" s="20" customFormat="1" ht="17.100000000000001" customHeight="1" x14ac:dyDescent="0.3">
      <c r="B185" s="17"/>
      <c r="C185" s="17"/>
      <c r="E185" s="15"/>
      <c r="F185" s="15"/>
      <c r="G185" s="15"/>
      <c r="H185" s="16"/>
      <c r="I185" s="15"/>
      <c r="J185" s="16"/>
      <c r="K185" s="15"/>
      <c r="L185" s="15"/>
      <c r="M185" s="29"/>
      <c r="N185" s="19"/>
      <c r="O185" s="18">
        <f t="shared" si="1"/>
        <v>0</v>
      </c>
      <c r="P185" s="17"/>
      <c r="R185" s="22"/>
      <c r="S185" s="22"/>
      <c r="T185" s="19"/>
      <c r="U185" s="19"/>
    </row>
    <row r="186" spans="2:21" s="20" customFormat="1" ht="17.100000000000001" customHeight="1" x14ac:dyDescent="0.3">
      <c r="B186" s="17"/>
      <c r="C186" s="17"/>
      <c r="E186" s="15"/>
      <c r="F186" s="15"/>
      <c r="G186" s="15"/>
      <c r="H186" s="16"/>
      <c r="I186" s="15"/>
      <c r="J186" s="16"/>
      <c r="K186" s="15"/>
      <c r="L186" s="15"/>
      <c r="M186" s="29"/>
      <c r="N186" s="19"/>
      <c r="O186" s="18">
        <f t="shared" si="1"/>
        <v>0</v>
      </c>
      <c r="P186" s="17"/>
      <c r="R186" s="22"/>
      <c r="S186" s="22"/>
      <c r="T186" s="19"/>
      <c r="U186" s="19"/>
    </row>
    <row r="187" spans="2:21" s="20" customFormat="1" ht="17.100000000000001" customHeight="1" x14ac:dyDescent="0.3">
      <c r="B187" s="17"/>
      <c r="C187" s="17"/>
      <c r="E187" s="15"/>
      <c r="F187" s="15"/>
      <c r="G187" s="15"/>
      <c r="H187" s="16"/>
      <c r="I187" s="15"/>
      <c r="J187" s="16"/>
      <c r="K187" s="15"/>
      <c r="L187" s="15"/>
      <c r="M187" s="29"/>
      <c r="N187" s="19"/>
      <c r="O187" s="18">
        <f t="shared" si="1"/>
        <v>0</v>
      </c>
      <c r="P187" s="17"/>
      <c r="R187" s="22"/>
      <c r="S187" s="22"/>
      <c r="T187" s="19"/>
      <c r="U187" s="19"/>
    </row>
    <row r="188" spans="2:21" s="20" customFormat="1" ht="17.100000000000001" customHeight="1" x14ac:dyDescent="0.3">
      <c r="B188" s="17"/>
      <c r="C188" s="17"/>
      <c r="E188" s="15"/>
      <c r="F188" s="15"/>
      <c r="G188" s="15"/>
      <c r="H188" s="16"/>
      <c r="I188" s="15"/>
      <c r="J188" s="16"/>
      <c r="K188" s="15"/>
      <c r="L188" s="15"/>
      <c r="M188" s="29"/>
      <c r="N188" s="19"/>
      <c r="O188" s="18">
        <f t="shared" si="1"/>
        <v>0</v>
      </c>
      <c r="P188" s="17"/>
      <c r="R188" s="22"/>
      <c r="S188" s="22"/>
      <c r="T188" s="19"/>
      <c r="U188" s="19"/>
    </row>
    <row r="189" spans="2:21" s="20" customFormat="1" ht="17.100000000000001" customHeight="1" x14ac:dyDescent="0.3">
      <c r="B189" s="17"/>
      <c r="C189" s="17"/>
      <c r="E189" s="15"/>
      <c r="F189" s="15"/>
      <c r="G189" s="15"/>
      <c r="H189" s="16"/>
      <c r="I189" s="15"/>
      <c r="J189" s="16"/>
      <c r="K189" s="15"/>
      <c r="L189" s="15"/>
      <c r="M189" s="29"/>
      <c r="N189" s="19"/>
      <c r="O189" s="18">
        <f t="shared" si="1"/>
        <v>0</v>
      </c>
      <c r="P189" s="17"/>
      <c r="R189" s="22"/>
      <c r="S189" s="22"/>
      <c r="T189" s="19"/>
      <c r="U189" s="19"/>
    </row>
    <row r="190" spans="2:21" s="20" customFormat="1" ht="17.100000000000001" customHeight="1" x14ac:dyDescent="0.3">
      <c r="B190" s="17"/>
      <c r="C190" s="17"/>
      <c r="E190" s="15"/>
      <c r="F190" s="15"/>
      <c r="G190" s="15"/>
      <c r="H190" s="16"/>
      <c r="I190" s="15"/>
      <c r="J190" s="16"/>
      <c r="K190" s="15"/>
      <c r="L190" s="15"/>
      <c r="M190" s="29"/>
      <c r="N190" s="19"/>
      <c r="O190" s="18">
        <f t="shared" si="1"/>
        <v>0</v>
      </c>
      <c r="P190" s="17"/>
      <c r="R190" s="22"/>
      <c r="S190" s="22"/>
      <c r="T190" s="19"/>
      <c r="U190" s="19"/>
    </row>
    <row r="191" spans="2:21" s="20" customFormat="1" ht="17.100000000000001" customHeight="1" x14ac:dyDescent="0.3">
      <c r="B191" s="17"/>
      <c r="C191" s="17"/>
      <c r="E191" s="15"/>
      <c r="F191" s="15"/>
      <c r="G191" s="15"/>
      <c r="H191" s="16"/>
      <c r="I191" s="15"/>
      <c r="J191" s="16"/>
      <c r="K191" s="15"/>
      <c r="L191" s="15"/>
      <c r="M191" s="29"/>
      <c r="N191" s="19"/>
      <c r="O191" s="18">
        <f t="shared" si="1"/>
        <v>0</v>
      </c>
      <c r="P191" s="17"/>
      <c r="R191" s="22"/>
      <c r="S191" s="22"/>
      <c r="T191" s="19"/>
      <c r="U191" s="19"/>
    </row>
    <row r="192" spans="2:21" s="20" customFormat="1" ht="17.100000000000001" customHeight="1" x14ac:dyDescent="0.3">
      <c r="B192" s="17"/>
      <c r="C192" s="17"/>
      <c r="E192" s="15"/>
      <c r="F192" s="15"/>
      <c r="G192" s="15"/>
      <c r="H192" s="16"/>
      <c r="I192" s="15"/>
      <c r="J192" s="16"/>
      <c r="K192" s="15"/>
      <c r="L192" s="15"/>
      <c r="M192" s="29"/>
      <c r="N192" s="19"/>
      <c r="O192" s="18">
        <f t="shared" si="1"/>
        <v>0</v>
      </c>
      <c r="P192" s="17"/>
      <c r="R192" s="22"/>
      <c r="S192" s="22"/>
      <c r="T192" s="19"/>
      <c r="U192" s="19"/>
    </row>
    <row r="193" spans="2:21" s="20" customFormat="1" ht="17.100000000000001" customHeight="1" x14ac:dyDescent="0.3">
      <c r="B193" s="17"/>
      <c r="C193" s="17"/>
      <c r="E193" s="15"/>
      <c r="F193" s="15"/>
      <c r="G193" s="15"/>
      <c r="H193" s="16"/>
      <c r="I193" s="15"/>
      <c r="J193" s="16"/>
      <c r="K193" s="15"/>
      <c r="L193" s="15"/>
      <c r="M193" s="29"/>
      <c r="N193" s="19"/>
      <c r="O193" s="18">
        <f t="shared" si="1"/>
        <v>0</v>
      </c>
      <c r="P193" s="17"/>
      <c r="R193" s="22"/>
      <c r="S193" s="22"/>
      <c r="T193" s="19"/>
      <c r="U193" s="19"/>
    </row>
    <row r="194" spans="2:21" s="20" customFormat="1" ht="17.100000000000001" customHeight="1" x14ac:dyDescent="0.3">
      <c r="B194" s="17"/>
      <c r="C194" s="17"/>
      <c r="E194" s="15"/>
      <c r="F194" s="15"/>
      <c r="G194" s="15"/>
      <c r="H194" s="16"/>
      <c r="I194" s="15"/>
      <c r="J194" s="16"/>
      <c r="K194" s="15"/>
      <c r="L194" s="15"/>
      <c r="M194" s="29"/>
      <c r="N194" s="19"/>
      <c r="O194" s="18">
        <f t="shared" si="1"/>
        <v>0</v>
      </c>
      <c r="P194" s="17"/>
      <c r="R194" s="22"/>
      <c r="S194" s="22"/>
      <c r="T194" s="19"/>
      <c r="U194" s="19"/>
    </row>
    <row r="195" spans="2:21" s="20" customFormat="1" ht="17.100000000000001" customHeight="1" x14ac:dyDescent="0.3">
      <c r="B195" s="17"/>
      <c r="C195" s="17"/>
      <c r="E195" s="15"/>
      <c r="F195" s="15"/>
      <c r="G195" s="15"/>
      <c r="H195" s="16"/>
      <c r="I195" s="15"/>
      <c r="J195" s="16"/>
      <c r="K195" s="15"/>
      <c r="L195" s="15"/>
      <c r="M195" s="29"/>
      <c r="N195" s="19"/>
      <c r="O195" s="18">
        <f t="shared" si="1"/>
        <v>0</v>
      </c>
      <c r="P195" s="17"/>
      <c r="R195" s="22"/>
      <c r="S195" s="22"/>
      <c r="T195" s="19"/>
      <c r="U195" s="19"/>
    </row>
    <row r="196" spans="2:21" s="20" customFormat="1" ht="17.100000000000001" customHeight="1" x14ac:dyDescent="0.3">
      <c r="B196" s="17"/>
      <c r="C196" s="17"/>
      <c r="E196" s="15"/>
      <c r="F196" s="15"/>
      <c r="G196" s="15"/>
      <c r="H196" s="16"/>
      <c r="I196" s="15"/>
      <c r="J196" s="16"/>
      <c r="K196" s="15"/>
      <c r="L196" s="15"/>
      <c r="M196" s="29"/>
      <c r="N196" s="19"/>
      <c r="O196" s="18">
        <f t="shared" si="1"/>
        <v>0</v>
      </c>
      <c r="P196" s="17"/>
      <c r="R196" s="22"/>
      <c r="S196" s="22"/>
      <c r="T196" s="19"/>
      <c r="U196" s="19"/>
    </row>
    <row r="197" spans="2:21" s="20" customFormat="1" ht="17.100000000000001" customHeight="1" x14ac:dyDescent="0.3">
      <c r="B197" s="17"/>
      <c r="C197" s="17"/>
      <c r="E197" s="15"/>
      <c r="F197" s="15"/>
      <c r="G197" s="15"/>
      <c r="H197" s="16"/>
      <c r="I197" s="15"/>
      <c r="J197" s="16"/>
      <c r="K197" s="15"/>
      <c r="L197" s="15"/>
      <c r="M197" s="29"/>
      <c r="N197" s="19"/>
      <c r="O197" s="18">
        <f t="shared" si="1"/>
        <v>0</v>
      </c>
      <c r="P197" s="17"/>
      <c r="R197" s="22"/>
      <c r="S197" s="22"/>
      <c r="T197" s="19"/>
      <c r="U197" s="19"/>
    </row>
    <row r="198" spans="2:21" s="20" customFormat="1" ht="17.100000000000001" customHeight="1" x14ac:dyDescent="0.3">
      <c r="B198" s="17"/>
      <c r="C198" s="17"/>
      <c r="E198" s="15"/>
      <c r="F198" s="15"/>
      <c r="G198" s="15"/>
      <c r="H198" s="16"/>
      <c r="I198" s="15"/>
      <c r="J198" s="16"/>
      <c r="K198" s="15"/>
      <c r="L198" s="15"/>
      <c r="M198" s="29"/>
      <c r="N198" s="19"/>
      <c r="O198" s="18">
        <f t="shared" si="1"/>
        <v>0</v>
      </c>
      <c r="P198" s="17"/>
      <c r="R198" s="22"/>
      <c r="S198" s="22"/>
      <c r="T198" s="19"/>
      <c r="U198" s="19"/>
    </row>
    <row r="199" spans="2:21" s="20" customFormat="1" ht="17.100000000000001" customHeight="1" x14ac:dyDescent="0.3">
      <c r="B199" s="17"/>
      <c r="C199" s="17"/>
      <c r="E199" s="15"/>
      <c r="F199" s="15"/>
      <c r="G199" s="15"/>
      <c r="H199" s="16"/>
      <c r="I199" s="15"/>
      <c r="J199" s="16"/>
      <c r="K199" s="15"/>
      <c r="L199" s="15"/>
      <c r="M199" s="29"/>
      <c r="N199" s="19"/>
      <c r="O199" s="18">
        <f t="shared" si="1"/>
        <v>0</v>
      </c>
      <c r="P199" s="17"/>
      <c r="R199" s="22"/>
      <c r="S199" s="22"/>
      <c r="T199" s="19"/>
      <c r="U199" s="19"/>
    </row>
    <row r="200" spans="2:21" s="20" customFormat="1" ht="17.100000000000001" customHeight="1" x14ac:dyDescent="0.3">
      <c r="B200" s="17"/>
      <c r="C200" s="17"/>
      <c r="E200" s="15"/>
      <c r="F200" s="15"/>
      <c r="G200" s="15"/>
      <c r="H200" s="16"/>
      <c r="I200" s="15"/>
      <c r="J200" s="16"/>
      <c r="K200" s="15"/>
      <c r="L200" s="15"/>
      <c r="M200" s="29"/>
      <c r="N200" s="19"/>
      <c r="O200" s="18">
        <f t="shared" si="1"/>
        <v>0</v>
      </c>
      <c r="P200" s="17"/>
      <c r="R200" s="22"/>
      <c r="S200" s="22"/>
      <c r="T200" s="19"/>
      <c r="U200" s="19"/>
    </row>
    <row r="201" spans="2:21" s="20" customFormat="1" ht="17.100000000000001" customHeight="1" x14ac:dyDescent="0.3">
      <c r="B201" s="17"/>
      <c r="C201" s="17"/>
      <c r="E201" s="15"/>
      <c r="F201" s="15"/>
      <c r="G201" s="15"/>
      <c r="H201" s="16"/>
      <c r="I201" s="15"/>
      <c r="J201" s="16"/>
      <c r="K201" s="15"/>
      <c r="L201" s="15"/>
      <c r="M201" s="29"/>
      <c r="N201" s="19"/>
      <c r="O201" s="18">
        <f t="shared" ref="O201:O264" si="2">(N201*I201)+U201</f>
        <v>0</v>
      </c>
      <c r="P201" s="17"/>
      <c r="R201" s="22"/>
      <c r="S201" s="22"/>
      <c r="T201" s="19"/>
      <c r="U201" s="19"/>
    </row>
    <row r="202" spans="2:21" s="20" customFormat="1" ht="17.100000000000001" customHeight="1" x14ac:dyDescent="0.3">
      <c r="B202" s="17"/>
      <c r="C202" s="17"/>
      <c r="E202" s="15"/>
      <c r="F202" s="15"/>
      <c r="G202" s="15"/>
      <c r="H202" s="16"/>
      <c r="I202" s="15"/>
      <c r="J202" s="16"/>
      <c r="K202" s="15"/>
      <c r="L202" s="15"/>
      <c r="M202" s="29"/>
      <c r="N202" s="19"/>
      <c r="O202" s="18">
        <f t="shared" si="2"/>
        <v>0</v>
      </c>
      <c r="P202" s="17"/>
      <c r="R202" s="22"/>
      <c r="S202" s="22"/>
      <c r="T202" s="19"/>
      <c r="U202" s="19"/>
    </row>
    <row r="203" spans="2:21" s="20" customFormat="1" ht="17.100000000000001" customHeight="1" x14ac:dyDescent="0.3">
      <c r="B203" s="17"/>
      <c r="C203" s="17"/>
      <c r="E203" s="15"/>
      <c r="F203" s="15"/>
      <c r="G203" s="15"/>
      <c r="H203" s="16"/>
      <c r="I203" s="15"/>
      <c r="J203" s="16"/>
      <c r="K203" s="15"/>
      <c r="L203" s="15"/>
      <c r="M203" s="29"/>
      <c r="N203" s="19"/>
      <c r="O203" s="18">
        <f t="shared" si="2"/>
        <v>0</v>
      </c>
      <c r="P203" s="17"/>
      <c r="R203" s="22"/>
      <c r="S203" s="22"/>
      <c r="T203" s="19"/>
      <c r="U203" s="19"/>
    </row>
    <row r="204" spans="2:21" s="20" customFormat="1" ht="17.100000000000001" customHeight="1" x14ac:dyDescent="0.3">
      <c r="B204" s="17"/>
      <c r="C204" s="17"/>
      <c r="E204" s="15"/>
      <c r="F204" s="15"/>
      <c r="G204" s="15"/>
      <c r="H204" s="16"/>
      <c r="I204" s="15"/>
      <c r="J204" s="16"/>
      <c r="K204" s="15"/>
      <c r="L204" s="15"/>
      <c r="M204" s="29"/>
      <c r="N204" s="19"/>
      <c r="O204" s="18">
        <f t="shared" si="2"/>
        <v>0</v>
      </c>
      <c r="P204" s="17"/>
      <c r="R204" s="22"/>
      <c r="S204" s="22"/>
      <c r="T204" s="19"/>
      <c r="U204" s="19"/>
    </row>
    <row r="205" spans="2:21" s="20" customFormat="1" ht="17.100000000000001" customHeight="1" x14ac:dyDescent="0.3">
      <c r="B205" s="17"/>
      <c r="C205" s="17"/>
      <c r="E205" s="15"/>
      <c r="F205" s="15"/>
      <c r="G205" s="15"/>
      <c r="H205" s="16"/>
      <c r="I205" s="15"/>
      <c r="J205" s="16"/>
      <c r="K205" s="15"/>
      <c r="L205" s="15"/>
      <c r="M205" s="29"/>
      <c r="N205" s="19"/>
      <c r="O205" s="18">
        <f t="shared" si="2"/>
        <v>0</v>
      </c>
      <c r="P205" s="17"/>
      <c r="R205" s="22"/>
      <c r="S205" s="22"/>
      <c r="T205" s="19"/>
      <c r="U205" s="19"/>
    </row>
    <row r="206" spans="2:21" s="20" customFormat="1" ht="17.100000000000001" customHeight="1" x14ac:dyDescent="0.3">
      <c r="B206" s="17"/>
      <c r="C206" s="17"/>
      <c r="E206" s="15"/>
      <c r="F206" s="15"/>
      <c r="G206" s="15"/>
      <c r="H206" s="16"/>
      <c r="I206" s="15"/>
      <c r="J206" s="16"/>
      <c r="K206" s="15"/>
      <c r="L206" s="15"/>
      <c r="M206" s="29"/>
      <c r="N206" s="19"/>
      <c r="O206" s="18">
        <f t="shared" si="2"/>
        <v>0</v>
      </c>
      <c r="P206" s="17"/>
      <c r="R206" s="22"/>
      <c r="S206" s="22"/>
      <c r="T206" s="19"/>
      <c r="U206" s="19"/>
    </row>
    <row r="207" spans="2:21" s="20" customFormat="1" ht="17.100000000000001" customHeight="1" x14ac:dyDescent="0.3">
      <c r="B207" s="17"/>
      <c r="C207" s="17"/>
      <c r="E207" s="15"/>
      <c r="F207" s="15"/>
      <c r="G207" s="15"/>
      <c r="H207" s="16"/>
      <c r="I207" s="15"/>
      <c r="J207" s="16"/>
      <c r="K207" s="15"/>
      <c r="L207" s="15"/>
      <c r="M207" s="29"/>
      <c r="N207" s="19"/>
      <c r="O207" s="18">
        <f t="shared" si="2"/>
        <v>0</v>
      </c>
      <c r="P207" s="17"/>
      <c r="R207" s="22"/>
      <c r="S207" s="22"/>
      <c r="T207" s="19"/>
      <c r="U207" s="19"/>
    </row>
    <row r="208" spans="2:21" s="20" customFormat="1" ht="17.100000000000001" customHeight="1" x14ac:dyDescent="0.3">
      <c r="B208" s="17"/>
      <c r="C208" s="17"/>
      <c r="E208" s="15"/>
      <c r="F208" s="15"/>
      <c r="G208" s="15"/>
      <c r="H208" s="16"/>
      <c r="I208" s="15"/>
      <c r="J208" s="16"/>
      <c r="K208" s="15"/>
      <c r="L208" s="15"/>
      <c r="M208" s="29"/>
      <c r="N208" s="19"/>
      <c r="O208" s="18">
        <f t="shared" si="2"/>
        <v>0</v>
      </c>
      <c r="P208" s="17"/>
      <c r="R208" s="22"/>
      <c r="S208" s="22"/>
      <c r="T208" s="19"/>
      <c r="U208" s="19"/>
    </row>
    <row r="209" spans="2:21" s="20" customFormat="1" ht="17.100000000000001" customHeight="1" x14ac:dyDescent="0.3">
      <c r="B209" s="17"/>
      <c r="C209" s="17"/>
      <c r="E209" s="15"/>
      <c r="F209" s="15"/>
      <c r="G209" s="15"/>
      <c r="H209" s="16"/>
      <c r="I209" s="15"/>
      <c r="J209" s="16"/>
      <c r="K209" s="15"/>
      <c r="L209" s="15"/>
      <c r="M209" s="29"/>
      <c r="N209" s="19"/>
      <c r="O209" s="18">
        <f t="shared" si="2"/>
        <v>0</v>
      </c>
      <c r="P209" s="17"/>
      <c r="R209" s="22"/>
      <c r="S209" s="22"/>
      <c r="T209" s="19"/>
      <c r="U209" s="19"/>
    </row>
    <row r="210" spans="2:21" s="20" customFormat="1" ht="17.100000000000001" customHeight="1" x14ac:dyDescent="0.3">
      <c r="B210" s="17"/>
      <c r="C210" s="17"/>
      <c r="E210" s="15"/>
      <c r="F210" s="15"/>
      <c r="G210" s="15"/>
      <c r="H210" s="16"/>
      <c r="I210" s="15"/>
      <c r="J210" s="16"/>
      <c r="K210" s="15"/>
      <c r="L210" s="15"/>
      <c r="M210" s="29"/>
      <c r="N210" s="19"/>
      <c r="O210" s="18">
        <f t="shared" si="2"/>
        <v>0</v>
      </c>
      <c r="P210" s="17"/>
      <c r="R210" s="22"/>
      <c r="S210" s="22"/>
      <c r="T210" s="19"/>
      <c r="U210" s="19"/>
    </row>
    <row r="211" spans="2:21" s="20" customFormat="1" ht="17.100000000000001" customHeight="1" x14ac:dyDescent="0.3">
      <c r="B211" s="17"/>
      <c r="C211" s="17"/>
      <c r="E211" s="15"/>
      <c r="F211" s="15"/>
      <c r="G211" s="15"/>
      <c r="H211" s="16"/>
      <c r="I211" s="15"/>
      <c r="J211" s="16"/>
      <c r="K211" s="15"/>
      <c r="L211" s="15"/>
      <c r="M211" s="29"/>
      <c r="N211" s="19"/>
      <c r="O211" s="18">
        <f t="shared" si="2"/>
        <v>0</v>
      </c>
      <c r="P211" s="17"/>
      <c r="R211" s="22"/>
      <c r="S211" s="22"/>
      <c r="T211" s="19"/>
      <c r="U211" s="19"/>
    </row>
    <row r="212" spans="2:21" s="20" customFormat="1" ht="17.100000000000001" customHeight="1" x14ac:dyDescent="0.3">
      <c r="B212" s="17"/>
      <c r="C212" s="17"/>
      <c r="E212" s="15"/>
      <c r="F212" s="15"/>
      <c r="G212" s="15"/>
      <c r="H212" s="16"/>
      <c r="I212" s="15"/>
      <c r="J212" s="16"/>
      <c r="K212" s="15"/>
      <c r="L212" s="15"/>
      <c r="M212" s="29"/>
      <c r="N212" s="19"/>
      <c r="O212" s="18">
        <f t="shared" si="2"/>
        <v>0</v>
      </c>
      <c r="P212" s="17"/>
      <c r="R212" s="22"/>
      <c r="S212" s="22"/>
      <c r="T212" s="19"/>
      <c r="U212" s="19"/>
    </row>
    <row r="213" spans="2:21" s="20" customFormat="1" ht="17.100000000000001" customHeight="1" x14ac:dyDescent="0.3">
      <c r="B213" s="17"/>
      <c r="C213" s="17"/>
      <c r="E213" s="15"/>
      <c r="F213" s="15"/>
      <c r="G213" s="15"/>
      <c r="H213" s="16"/>
      <c r="I213" s="15"/>
      <c r="J213" s="16"/>
      <c r="K213" s="15"/>
      <c r="L213" s="15"/>
      <c r="M213" s="29"/>
      <c r="N213" s="19"/>
      <c r="O213" s="18">
        <f t="shared" si="2"/>
        <v>0</v>
      </c>
      <c r="P213" s="17"/>
      <c r="R213" s="22"/>
      <c r="S213" s="22"/>
      <c r="T213" s="19"/>
      <c r="U213" s="19"/>
    </row>
    <row r="214" spans="2:21" s="20" customFormat="1" ht="17.100000000000001" customHeight="1" x14ac:dyDescent="0.3">
      <c r="B214" s="17"/>
      <c r="C214" s="17"/>
      <c r="E214" s="15"/>
      <c r="F214" s="15"/>
      <c r="G214" s="15"/>
      <c r="H214" s="16"/>
      <c r="I214" s="15"/>
      <c r="J214" s="16"/>
      <c r="K214" s="15"/>
      <c r="L214" s="15"/>
      <c r="M214" s="29"/>
      <c r="N214" s="19"/>
      <c r="O214" s="18">
        <f t="shared" si="2"/>
        <v>0</v>
      </c>
      <c r="P214" s="17"/>
      <c r="R214" s="22"/>
      <c r="S214" s="22"/>
      <c r="T214" s="19"/>
      <c r="U214" s="19"/>
    </row>
    <row r="215" spans="2:21" s="20" customFormat="1" ht="17.100000000000001" customHeight="1" x14ac:dyDescent="0.3">
      <c r="B215" s="17"/>
      <c r="C215" s="17"/>
      <c r="E215" s="15"/>
      <c r="F215" s="15"/>
      <c r="G215" s="15"/>
      <c r="H215" s="16"/>
      <c r="I215" s="15"/>
      <c r="J215" s="16"/>
      <c r="K215" s="15"/>
      <c r="L215" s="15"/>
      <c r="M215" s="29"/>
      <c r="N215" s="19"/>
      <c r="O215" s="18">
        <f t="shared" si="2"/>
        <v>0</v>
      </c>
      <c r="P215" s="17"/>
      <c r="R215" s="22"/>
      <c r="S215" s="22"/>
      <c r="T215" s="19"/>
      <c r="U215" s="19"/>
    </row>
    <row r="216" spans="2:21" s="20" customFormat="1" ht="17.100000000000001" customHeight="1" x14ac:dyDescent="0.3">
      <c r="B216" s="17"/>
      <c r="C216" s="17"/>
      <c r="E216" s="15"/>
      <c r="F216" s="15"/>
      <c r="G216" s="15"/>
      <c r="H216" s="16"/>
      <c r="I216" s="15"/>
      <c r="J216" s="16"/>
      <c r="K216" s="15"/>
      <c r="L216" s="15"/>
      <c r="M216" s="29"/>
      <c r="N216" s="19"/>
      <c r="O216" s="18">
        <f t="shared" si="2"/>
        <v>0</v>
      </c>
      <c r="P216" s="17"/>
      <c r="R216" s="22"/>
      <c r="S216" s="22"/>
      <c r="T216" s="19"/>
      <c r="U216" s="19"/>
    </row>
    <row r="217" spans="2:21" s="20" customFormat="1" ht="17.100000000000001" customHeight="1" x14ac:dyDescent="0.3">
      <c r="B217" s="17"/>
      <c r="C217" s="17"/>
      <c r="E217" s="15"/>
      <c r="F217" s="15"/>
      <c r="G217" s="15"/>
      <c r="H217" s="16"/>
      <c r="I217" s="15"/>
      <c r="J217" s="16"/>
      <c r="K217" s="15"/>
      <c r="L217" s="15"/>
      <c r="M217" s="29"/>
      <c r="N217" s="19"/>
      <c r="O217" s="18">
        <f t="shared" si="2"/>
        <v>0</v>
      </c>
      <c r="P217" s="17"/>
      <c r="R217" s="22"/>
      <c r="S217" s="22"/>
      <c r="T217" s="19"/>
      <c r="U217" s="19"/>
    </row>
    <row r="218" spans="2:21" s="20" customFormat="1" ht="17.100000000000001" customHeight="1" x14ac:dyDescent="0.3">
      <c r="B218" s="17"/>
      <c r="C218" s="17"/>
      <c r="E218" s="15"/>
      <c r="F218" s="15"/>
      <c r="G218" s="15"/>
      <c r="H218" s="16"/>
      <c r="I218" s="15"/>
      <c r="J218" s="16"/>
      <c r="K218" s="15"/>
      <c r="L218" s="15"/>
      <c r="M218" s="29"/>
      <c r="N218" s="19"/>
      <c r="O218" s="18">
        <f t="shared" si="2"/>
        <v>0</v>
      </c>
      <c r="P218" s="17"/>
      <c r="R218" s="22"/>
      <c r="S218" s="22"/>
      <c r="T218" s="19"/>
      <c r="U218" s="19"/>
    </row>
    <row r="219" spans="2:21" s="20" customFormat="1" ht="17.100000000000001" customHeight="1" x14ac:dyDescent="0.3">
      <c r="B219" s="17"/>
      <c r="C219" s="17"/>
      <c r="E219" s="15"/>
      <c r="F219" s="15"/>
      <c r="G219" s="15"/>
      <c r="H219" s="16"/>
      <c r="I219" s="15"/>
      <c r="J219" s="16"/>
      <c r="K219" s="15"/>
      <c r="L219" s="15"/>
      <c r="M219" s="29"/>
      <c r="N219" s="19"/>
      <c r="O219" s="18">
        <f t="shared" si="2"/>
        <v>0</v>
      </c>
      <c r="P219" s="17"/>
      <c r="R219" s="22"/>
      <c r="S219" s="22"/>
      <c r="T219" s="19"/>
      <c r="U219" s="19"/>
    </row>
    <row r="220" spans="2:21" s="20" customFormat="1" ht="17.100000000000001" customHeight="1" x14ac:dyDescent="0.3">
      <c r="B220" s="17"/>
      <c r="C220" s="17"/>
      <c r="E220" s="15"/>
      <c r="F220" s="15"/>
      <c r="G220" s="15"/>
      <c r="H220" s="16"/>
      <c r="I220" s="15"/>
      <c r="J220" s="16"/>
      <c r="K220" s="15"/>
      <c r="L220" s="15"/>
      <c r="M220" s="29"/>
      <c r="N220" s="19"/>
      <c r="O220" s="18">
        <f t="shared" si="2"/>
        <v>0</v>
      </c>
      <c r="P220" s="17"/>
      <c r="R220" s="22"/>
      <c r="S220" s="22"/>
      <c r="T220" s="19"/>
      <c r="U220" s="19"/>
    </row>
    <row r="221" spans="2:21" s="20" customFormat="1" ht="17.100000000000001" customHeight="1" x14ac:dyDescent="0.3">
      <c r="B221" s="17"/>
      <c r="C221" s="17"/>
      <c r="E221" s="15"/>
      <c r="F221" s="15"/>
      <c r="G221" s="15"/>
      <c r="H221" s="16"/>
      <c r="I221" s="15"/>
      <c r="J221" s="16"/>
      <c r="K221" s="15"/>
      <c r="L221" s="15"/>
      <c r="M221" s="29"/>
      <c r="N221" s="19"/>
      <c r="O221" s="18">
        <f t="shared" si="2"/>
        <v>0</v>
      </c>
      <c r="P221" s="17"/>
      <c r="R221" s="22"/>
      <c r="S221" s="22"/>
      <c r="T221" s="19"/>
      <c r="U221" s="19"/>
    </row>
    <row r="222" spans="2:21" s="20" customFormat="1" ht="17.100000000000001" customHeight="1" x14ac:dyDescent="0.3">
      <c r="B222" s="17"/>
      <c r="C222" s="17"/>
      <c r="E222" s="15"/>
      <c r="F222" s="15"/>
      <c r="G222" s="15"/>
      <c r="H222" s="16"/>
      <c r="I222" s="15"/>
      <c r="J222" s="16"/>
      <c r="K222" s="15"/>
      <c r="L222" s="15"/>
      <c r="M222" s="29"/>
      <c r="N222" s="19"/>
      <c r="O222" s="18">
        <f t="shared" si="2"/>
        <v>0</v>
      </c>
      <c r="P222" s="17"/>
      <c r="R222" s="22"/>
      <c r="S222" s="22"/>
      <c r="T222" s="19"/>
      <c r="U222" s="19"/>
    </row>
    <row r="223" spans="2:21" s="20" customFormat="1" ht="17.100000000000001" customHeight="1" x14ac:dyDescent="0.3">
      <c r="B223" s="17"/>
      <c r="C223" s="17"/>
      <c r="E223" s="15"/>
      <c r="F223" s="15"/>
      <c r="G223" s="15"/>
      <c r="H223" s="16"/>
      <c r="I223" s="15"/>
      <c r="J223" s="16"/>
      <c r="K223" s="15"/>
      <c r="L223" s="15"/>
      <c r="M223" s="29"/>
      <c r="N223" s="19"/>
      <c r="O223" s="18">
        <f t="shared" si="2"/>
        <v>0</v>
      </c>
      <c r="P223" s="17"/>
      <c r="R223" s="22"/>
      <c r="S223" s="22"/>
      <c r="T223" s="19"/>
      <c r="U223" s="19"/>
    </row>
    <row r="224" spans="2:21" s="20" customFormat="1" ht="17.100000000000001" customHeight="1" x14ac:dyDescent="0.3">
      <c r="B224" s="17"/>
      <c r="C224" s="17"/>
      <c r="E224" s="15"/>
      <c r="F224" s="15"/>
      <c r="G224" s="15"/>
      <c r="H224" s="16"/>
      <c r="I224" s="15"/>
      <c r="J224" s="16"/>
      <c r="K224" s="15"/>
      <c r="L224" s="15"/>
      <c r="M224" s="29"/>
      <c r="N224" s="19"/>
      <c r="O224" s="18">
        <f t="shared" si="2"/>
        <v>0</v>
      </c>
      <c r="P224" s="17"/>
      <c r="R224" s="22"/>
      <c r="S224" s="22"/>
      <c r="T224" s="19"/>
      <c r="U224" s="19"/>
    </row>
    <row r="225" spans="2:21" s="20" customFormat="1" ht="17.100000000000001" customHeight="1" x14ac:dyDescent="0.3">
      <c r="B225" s="17"/>
      <c r="C225" s="17"/>
      <c r="E225" s="15"/>
      <c r="F225" s="15"/>
      <c r="G225" s="15"/>
      <c r="H225" s="16"/>
      <c r="I225" s="15"/>
      <c r="J225" s="16"/>
      <c r="K225" s="15"/>
      <c r="L225" s="15"/>
      <c r="M225" s="29"/>
      <c r="N225" s="19"/>
      <c r="O225" s="18">
        <f t="shared" si="2"/>
        <v>0</v>
      </c>
      <c r="P225" s="17"/>
      <c r="R225" s="22"/>
      <c r="S225" s="22"/>
      <c r="T225" s="19"/>
      <c r="U225" s="19"/>
    </row>
    <row r="226" spans="2:21" s="20" customFormat="1" ht="17.100000000000001" customHeight="1" x14ac:dyDescent="0.3">
      <c r="B226" s="17"/>
      <c r="C226" s="17"/>
      <c r="E226" s="15"/>
      <c r="F226" s="15"/>
      <c r="G226" s="15"/>
      <c r="H226" s="16"/>
      <c r="I226" s="15"/>
      <c r="J226" s="16"/>
      <c r="K226" s="15"/>
      <c r="L226" s="15"/>
      <c r="M226" s="29"/>
      <c r="N226" s="19"/>
      <c r="O226" s="18">
        <f t="shared" si="2"/>
        <v>0</v>
      </c>
      <c r="P226" s="17"/>
      <c r="R226" s="22"/>
      <c r="S226" s="22"/>
      <c r="T226" s="19"/>
      <c r="U226" s="19"/>
    </row>
    <row r="227" spans="2:21" s="20" customFormat="1" ht="17.100000000000001" customHeight="1" x14ac:dyDescent="0.3">
      <c r="B227" s="17"/>
      <c r="C227" s="17"/>
      <c r="E227" s="15"/>
      <c r="F227" s="15"/>
      <c r="G227" s="15"/>
      <c r="H227" s="16"/>
      <c r="I227" s="15"/>
      <c r="J227" s="16"/>
      <c r="K227" s="15"/>
      <c r="L227" s="15"/>
      <c r="M227" s="29"/>
      <c r="N227" s="19"/>
      <c r="O227" s="18">
        <f t="shared" si="2"/>
        <v>0</v>
      </c>
      <c r="P227" s="17"/>
      <c r="R227" s="22"/>
      <c r="S227" s="22"/>
      <c r="T227" s="19"/>
      <c r="U227" s="19"/>
    </row>
    <row r="228" spans="2:21" s="20" customFormat="1" ht="17.100000000000001" customHeight="1" x14ac:dyDescent="0.3">
      <c r="B228" s="17"/>
      <c r="C228" s="17"/>
      <c r="E228" s="15"/>
      <c r="F228" s="15"/>
      <c r="G228" s="15"/>
      <c r="H228" s="16"/>
      <c r="I228" s="15"/>
      <c r="J228" s="16"/>
      <c r="K228" s="15"/>
      <c r="L228" s="15"/>
      <c r="M228" s="29"/>
      <c r="N228" s="19"/>
      <c r="O228" s="18">
        <f t="shared" si="2"/>
        <v>0</v>
      </c>
      <c r="P228" s="17"/>
      <c r="R228" s="22"/>
      <c r="S228" s="22"/>
      <c r="T228" s="19"/>
      <c r="U228" s="19"/>
    </row>
    <row r="229" spans="2:21" s="20" customFormat="1" ht="17.100000000000001" customHeight="1" x14ac:dyDescent="0.3">
      <c r="B229" s="17"/>
      <c r="C229" s="17"/>
      <c r="E229" s="15"/>
      <c r="F229" s="15"/>
      <c r="G229" s="15"/>
      <c r="H229" s="16"/>
      <c r="I229" s="15"/>
      <c r="J229" s="16"/>
      <c r="K229" s="15"/>
      <c r="L229" s="15"/>
      <c r="M229" s="29"/>
      <c r="N229" s="19"/>
      <c r="O229" s="18">
        <f t="shared" si="2"/>
        <v>0</v>
      </c>
      <c r="P229" s="17"/>
      <c r="R229" s="22"/>
      <c r="S229" s="22"/>
      <c r="T229" s="19"/>
      <c r="U229" s="19"/>
    </row>
    <row r="230" spans="2:21" s="20" customFormat="1" ht="17.100000000000001" customHeight="1" x14ac:dyDescent="0.3">
      <c r="B230" s="17"/>
      <c r="C230" s="17"/>
      <c r="E230" s="15"/>
      <c r="F230" s="15"/>
      <c r="G230" s="15"/>
      <c r="H230" s="16"/>
      <c r="I230" s="15"/>
      <c r="J230" s="16"/>
      <c r="K230" s="15"/>
      <c r="L230" s="15"/>
      <c r="M230" s="29"/>
      <c r="N230" s="19"/>
      <c r="O230" s="18">
        <f t="shared" si="2"/>
        <v>0</v>
      </c>
      <c r="P230" s="17"/>
      <c r="R230" s="22"/>
      <c r="S230" s="22"/>
      <c r="T230" s="19"/>
      <c r="U230" s="19"/>
    </row>
    <row r="231" spans="2:21" s="20" customFormat="1" ht="17.100000000000001" customHeight="1" x14ac:dyDescent="0.3">
      <c r="B231" s="17"/>
      <c r="C231" s="17"/>
      <c r="E231" s="15"/>
      <c r="F231" s="15"/>
      <c r="G231" s="15"/>
      <c r="H231" s="16"/>
      <c r="I231" s="15"/>
      <c r="J231" s="16"/>
      <c r="K231" s="15"/>
      <c r="L231" s="15"/>
      <c r="M231" s="29"/>
      <c r="N231" s="19"/>
      <c r="O231" s="18">
        <f t="shared" si="2"/>
        <v>0</v>
      </c>
      <c r="P231" s="17"/>
      <c r="R231" s="22"/>
      <c r="S231" s="22"/>
      <c r="T231" s="19"/>
      <c r="U231" s="19"/>
    </row>
    <row r="232" spans="2:21" s="20" customFormat="1" ht="17.100000000000001" customHeight="1" x14ac:dyDescent="0.3">
      <c r="B232" s="17"/>
      <c r="C232" s="17"/>
      <c r="E232" s="15"/>
      <c r="F232" s="15"/>
      <c r="G232" s="15"/>
      <c r="H232" s="16"/>
      <c r="I232" s="15"/>
      <c r="J232" s="16"/>
      <c r="K232" s="15"/>
      <c r="L232" s="15"/>
      <c r="M232" s="29"/>
      <c r="N232" s="19"/>
      <c r="O232" s="18">
        <f t="shared" si="2"/>
        <v>0</v>
      </c>
      <c r="P232" s="17"/>
      <c r="R232" s="22"/>
      <c r="S232" s="22"/>
      <c r="T232" s="19"/>
      <c r="U232" s="19"/>
    </row>
    <row r="233" spans="2:21" s="20" customFormat="1" ht="17.100000000000001" customHeight="1" x14ac:dyDescent="0.3">
      <c r="B233" s="17"/>
      <c r="C233" s="17"/>
      <c r="E233" s="15"/>
      <c r="F233" s="15"/>
      <c r="G233" s="15"/>
      <c r="H233" s="16"/>
      <c r="I233" s="15"/>
      <c r="J233" s="16"/>
      <c r="K233" s="15"/>
      <c r="L233" s="15"/>
      <c r="M233" s="29"/>
      <c r="N233" s="19"/>
      <c r="O233" s="18">
        <f t="shared" si="2"/>
        <v>0</v>
      </c>
      <c r="P233" s="17"/>
      <c r="R233" s="22"/>
      <c r="S233" s="22"/>
      <c r="T233" s="19"/>
      <c r="U233" s="19"/>
    </row>
    <row r="234" spans="2:21" s="20" customFormat="1" ht="17.100000000000001" customHeight="1" x14ac:dyDescent="0.3">
      <c r="B234" s="17"/>
      <c r="C234" s="17"/>
      <c r="E234" s="15"/>
      <c r="F234" s="15"/>
      <c r="G234" s="15"/>
      <c r="H234" s="16"/>
      <c r="I234" s="15"/>
      <c r="J234" s="16"/>
      <c r="K234" s="15"/>
      <c r="L234" s="15"/>
      <c r="M234" s="29"/>
      <c r="N234" s="19"/>
      <c r="O234" s="18">
        <f t="shared" si="2"/>
        <v>0</v>
      </c>
      <c r="P234" s="17"/>
      <c r="R234" s="22"/>
      <c r="S234" s="22"/>
      <c r="T234" s="19"/>
      <c r="U234" s="19"/>
    </row>
    <row r="235" spans="2:21" s="20" customFormat="1" ht="17.100000000000001" customHeight="1" x14ac:dyDescent="0.3">
      <c r="B235" s="17"/>
      <c r="C235" s="17"/>
      <c r="E235" s="15"/>
      <c r="F235" s="15"/>
      <c r="G235" s="15"/>
      <c r="H235" s="16"/>
      <c r="I235" s="15"/>
      <c r="J235" s="16"/>
      <c r="K235" s="15"/>
      <c r="L235" s="15"/>
      <c r="M235" s="29"/>
      <c r="N235" s="19"/>
      <c r="O235" s="18">
        <f t="shared" si="2"/>
        <v>0</v>
      </c>
      <c r="P235" s="17"/>
      <c r="R235" s="22"/>
      <c r="S235" s="22"/>
      <c r="T235" s="19"/>
      <c r="U235" s="19"/>
    </row>
    <row r="236" spans="2:21" s="20" customFormat="1" ht="17.100000000000001" customHeight="1" x14ac:dyDescent="0.3">
      <c r="B236" s="17"/>
      <c r="C236" s="17"/>
      <c r="E236" s="15"/>
      <c r="F236" s="15"/>
      <c r="G236" s="15"/>
      <c r="H236" s="16"/>
      <c r="I236" s="15"/>
      <c r="J236" s="16"/>
      <c r="K236" s="15"/>
      <c r="L236" s="15"/>
      <c r="M236" s="29"/>
      <c r="N236" s="19"/>
      <c r="O236" s="18">
        <f t="shared" si="2"/>
        <v>0</v>
      </c>
      <c r="P236" s="17"/>
      <c r="R236" s="22"/>
      <c r="S236" s="22"/>
      <c r="T236" s="19"/>
      <c r="U236" s="19"/>
    </row>
    <row r="237" spans="2:21" s="20" customFormat="1" ht="17.100000000000001" customHeight="1" x14ac:dyDescent="0.3">
      <c r="B237" s="17"/>
      <c r="C237" s="17"/>
      <c r="E237" s="15"/>
      <c r="F237" s="15"/>
      <c r="G237" s="15"/>
      <c r="H237" s="16"/>
      <c r="I237" s="15"/>
      <c r="J237" s="16"/>
      <c r="K237" s="15"/>
      <c r="L237" s="15"/>
      <c r="M237" s="29"/>
      <c r="N237" s="19"/>
      <c r="O237" s="18">
        <f t="shared" si="2"/>
        <v>0</v>
      </c>
      <c r="P237" s="17"/>
      <c r="R237" s="22"/>
      <c r="S237" s="22"/>
      <c r="T237" s="19"/>
      <c r="U237" s="19"/>
    </row>
    <row r="238" spans="2:21" s="20" customFormat="1" ht="17.100000000000001" customHeight="1" x14ac:dyDescent="0.3">
      <c r="B238" s="17"/>
      <c r="C238" s="17"/>
      <c r="E238" s="15"/>
      <c r="F238" s="15"/>
      <c r="G238" s="15"/>
      <c r="H238" s="16"/>
      <c r="I238" s="15"/>
      <c r="J238" s="16"/>
      <c r="K238" s="15"/>
      <c r="L238" s="15"/>
      <c r="M238" s="29"/>
      <c r="N238" s="19"/>
      <c r="O238" s="18">
        <f t="shared" si="2"/>
        <v>0</v>
      </c>
      <c r="P238" s="17"/>
      <c r="R238" s="22"/>
      <c r="S238" s="22"/>
      <c r="T238" s="19"/>
      <c r="U238" s="19"/>
    </row>
    <row r="239" spans="2:21" s="20" customFormat="1" ht="17.100000000000001" customHeight="1" x14ac:dyDescent="0.3">
      <c r="B239" s="17"/>
      <c r="C239" s="17"/>
      <c r="E239" s="15"/>
      <c r="F239" s="15"/>
      <c r="G239" s="15"/>
      <c r="H239" s="16"/>
      <c r="I239" s="15"/>
      <c r="J239" s="16"/>
      <c r="K239" s="15"/>
      <c r="L239" s="15"/>
      <c r="M239" s="29"/>
      <c r="N239" s="19"/>
      <c r="O239" s="18">
        <f t="shared" si="2"/>
        <v>0</v>
      </c>
      <c r="P239" s="17"/>
      <c r="R239" s="22"/>
      <c r="S239" s="22"/>
      <c r="T239" s="19"/>
      <c r="U239" s="19"/>
    </row>
    <row r="240" spans="2:21" s="20" customFormat="1" ht="17.100000000000001" customHeight="1" x14ac:dyDescent="0.3">
      <c r="B240" s="17"/>
      <c r="C240" s="17"/>
      <c r="E240" s="15"/>
      <c r="F240" s="15"/>
      <c r="G240" s="15"/>
      <c r="H240" s="16"/>
      <c r="I240" s="15"/>
      <c r="J240" s="16"/>
      <c r="K240" s="15"/>
      <c r="L240" s="15"/>
      <c r="M240" s="29"/>
      <c r="N240" s="19"/>
      <c r="O240" s="18">
        <f t="shared" si="2"/>
        <v>0</v>
      </c>
      <c r="P240" s="17"/>
      <c r="R240" s="22"/>
      <c r="S240" s="22"/>
      <c r="T240" s="19"/>
      <c r="U240" s="19"/>
    </row>
    <row r="241" spans="2:21" s="20" customFormat="1" ht="17.100000000000001" customHeight="1" x14ac:dyDescent="0.3">
      <c r="B241" s="17"/>
      <c r="C241" s="17"/>
      <c r="E241" s="15"/>
      <c r="F241" s="15"/>
      <c r="G241" s="15"/>
      <c r="H241" s="16"/>
      <c r="I241" s="15"/>
      <c r="J241" s="16"/>
      <c r="K241" s="15"/>
      <c r="L241" s="15"/>
      <c r="M241" s="29"/>
      <c r="N241" s="19"/>
      <c r="O241" s="18">
        <f t="shared" si="2"/>
        <v>0</v>
      </c>
      <c r="P241" s="17"/>
      <c r="R241" s="22"/>
      <c r="S241" s="22"/>
      <c r="T241" s="19"/>
      <c r="U241" s="19"/>
    </row>
    <row r="242" spans="2:21" s="20" customFormat="1" ht="17.100000000000001" customHeight="1" x14ac:dyDescent="0.3">
      <c r="B242" s="17"/>
      <c r="C242" s="17"/>
      <c r="E242" s="15"/>
      <c r="F242" s="15"/>
      <c r="G242" s="15"/>
      <c r="H242" s="16"/>
      <c r="I242" s="15"/>
      <c r="J242" s="16"/>
      <c r="K242" s="15"/>
      <c r="L242" s="15"/>
      <c r="M242" s="29"/>
      <c r="N242" s="19"/>
      <c r="O242" s="18">
        <f t="shared" si="2"/>
        <v>0</v>
      </c>
      <c r="P242" s="17"/>
      <c r="R242" s="22"/>
      <c r="S242" s="22"/>
      <c r="T242" s="19"/>
      <c r="U242" s="19"/>
    </row>
    <row r="243" spans="2:21" s="20" customFormat="1" ht="17.100000000000001" customHeight="1" x14ac:dyDescent="0.3">
      <c r="B243" s="17"/>
      <c r="C243" s="17"/>
      <c r="E243" s="15"/>
      <c r="F243" s="15"/>
      <c r="G243" s="15"/>
      <c r="H243" s="16"/>
      <c r="I243" s="15"/>
      <c r="J243" s="16"/>
      <c r="K243" s="15"/>
      <c r="L243" s="15"/>
      <c r="M243" s="29"/>
      <c r="N243" s="19"/>
      <c r="O243" s="18">
        <f t="shared" si="2"/>
        <v>0</v>
      </c>
      <c r="P243" s="17"/>
      <c r="R243" s="22"/>
      <c r="S243" s="22"/>
      <c r="T243" s="19"/>
      <c r="U243" s="19"/>
    </row>
    <row r="244" spans="2:21" s="20" customFormat="1" ht="17.100000000000001" customHeight="1" x14ac:dyDescent="0.3">
      <c r="B244" s="17"/>
      <c r="C244" s="17"/>
      <c r="E244" s="15"/>
      <c r="F244" s="15"/>
      <c r="G244" s="15"/>
      <c r="H244" s="16"/>
      <c r="I244" s="15"/>
      <c r="J244" s="16"/>
      <c r="K244" s="15"/>
      <c r="L244" s="15"/>
      <c r="M244" s="29"/>
      <c r="N244" s="19"/>
      <c r="O244" s="18">
        <f t="shared" si="2"/>
        <v>0</v>
      </c>
      <c r="P244" s="17"/>
      <c r="R244" s="22"/>
      <c r="S244" s="22"/>
      <c r="T244" s="19"/>
      <c r="U244" s="19"/>
    </row>
    <row r="245" spans="2:21" s="20" customFormat="1" ht="17.100000000000001" customHeight="1" x14ac:dyDescent="0.3">
      <c r="B245" s="17"/>
      <c r="C245" s="17"/>
      <c r="E245" s="15"/>
      <c r="F245" s="15"/>
      <c r="G245" s="15"/>
      <c r="H245" s="16"/>
      <c r="I245" s="15"/>
      <c r="J245" s="16"/>
      <c r="K245" s="15"/>
      <c r="L245" s="15"/>
      <c r="M245" s="29"/>
      <c r="N245" s="19"/>
      <c r="O245" s="18">
        <f t="shared" si="2"/>
        <v>0</v>
      </c>
      <c r="P245" s="17"/>
      <c r="R245" s="22"/>
      <c r="S245" s="22"/>
      <c r="T245" s="19"/>
      <c r="U245" s="19"/>
    </row>
    <row r="246" spans="2:21" s="20" customFormat="1" ht="17.100000000000001" customHeight="1" x14ac:dyDescent="0.3">
      <c r="B246" s="17"/>
      <c r="C246" s="17"/>
      <c r="E246" s="15"/>
      <c r="F246" s="15"/>
      <c r="G246" s="15"/>
      <c r="H246" s="16"/>
      <c r="I246" s="15"/>
      <c r="J246" s="16"/>
      <c r="K246" s="15"/>
      <c r="L246" s="15"/>
      <c r="M246" s="29"/>
      <c r="N246" s="19"/>
      <c r="O246" s="18">
        <f t="shared" si="2"/>
        <v>0</v>
      </c>
      <c r="P246" s="17"/>
      <c r="R246" s="22"/>
      <c r="S246" s="22"/>
      <c r="T246" s="19"/>
      <c r="U246" s="19"/>
    </row>
    <row r="247" spans="2:21" s="20" customFormat="1" ht="17.100000000000001" customHeight="1" x14ac:dyDescent="0.3">
      <c r="B247" s="17"/>
      <c r="C247" s="17"/>
      <c r="E247" s="15"/>
      <c r="F247" s="15"/>
      <c r="G247" s="15"/>
      <c r="H247" s="16"/>
      <c r="I247" s="15"/>
      <c r="J247" s="16"/>
      <c r="K247" s="15"/>
      <c r="L247" s="15"/>
      <c r="M247" s="29"/>
      <c r="N247" s="19"/>
      <c r="O247" s="18">
        <f t="shared" si="2"/>
        <v>0</v>
      </c>
      <c r="P247" s="17"/>
      <c r="R247" s="22"/>
      <c r="S247" s="22"/>
      <c r="T247" s="19"/>
      <c r="U247" s="19"/>
    </row>
    <row r="248" spans="2:21" s="20" customFormat="1" ht="17.100000000000001" customHeight="1" x14ac:dyDescent="0.3">
      <c r="B248" s="17"/>
      <c r="C248" s="17"/>
      <c r="E248" s="15"/>
      <c r="F248" s="15"/>
      <c r="G248" s="15"/>
      <c r="H248" s="16"/>
      <c r="I248" s="15"/>
      <c r="J248" s="16"/>
      <c r="K248" s="15"/>
      <c r="L248" s="15"/>
      <c r="M248" s="29"/>
      <c r="N248" s="19"/>
      <c r="O248" s="18">
        <f t="shared" si="2"/>
        <v>0</v>
      </c>
      <c r="P248" s="17"/>
      <c r="R248" s="22"/>
      <c r="S248" s="22"/>
      <c r="T248" s="19"/>
      <c r="U248" s="19"/>
    </row>
    <row r="249" spans="2:21" s="20" customFormat="1" ht="17.100000000000001" customHeight="1" x14ac:dyDescent="0.3">
      <c r="B249" s="17"/>
      <c r="C249" s="17"/>
      <c r="E249" s="15"/>
      <c r="F249" s="15"/>
      <c r="G249" s="15"/>
      <c r="H249" s="16"/>
      <c r="I249" s="15"/>
      <c r="J249" s="16"/>
      <c r="K249" s="15"/>
      <c r="L249" s="15"/>
      <c r="M249" s="29"/>
      <c r="N249" s="19"/>
      <c r="O249" s="18">
        <f t="shared" si="2"/>
        <v>0</v>
      </c>
      <c r="P249" s="17"/>
      <c r="R249" s="22"/>
      <c r="S249" s="22"/>
      <c r="T249" s="19"/>
      <c r="U249" s="19"/>
    </row>
    <row r="250" spans="2:21" s="20" customFormat="1" ht="17.100000000000001" customHeight="1" x14ac:dyDescent="0.3">
      <c r="B250" s="17"/>
      <c r="C250" s="17"/>
      <c r="E250" s="15"/>
      <c r="F250" s="15"/>
      <c r="G250" s="15"/>
      <c r="H250" s="16"/>
      <c r="I250" s="15"/>
      <c r="J250" s="16"/>
      <c r="K250" s="15"/>
      <c r="L250" s="15"/>
      <c r="M250" s="29"/>
      <c r="N250" s="19"/>
      <c r="O250" s="18">
        <f t="shared" si="2"/>
        <v>0</v>
      </c>
      <c r="P250" s="17"/>
      <c r="R250" s="22"/>
      <c r="S250" s="22"/>
      <c r="T250" s="19"/>
      <c r="U250" s="19"/>
    </row>
    <row r="251" spans="2:21" s="20" customFormat="1" ht="17.100000000000001" customHeight="1" x14ac:dyDescent="0.3">
      <c r="B251" s="17"/>
      <c r="C251" s="17"/>
      <c r="E251" s="15"/>
      <c r="F251" s="15"/>
      <c r="G251" s="15"/>
      <c r="H251" s="16"/>
      <c r="I251" s="15"/>
      <c r="J251" s="16"/>
      <c r="K251" s="15"/>
      <c r="L251" s="15"/>
      <c r="M251" s="29"/>
      <c r="N251" s="19"/>
      <c r="O251" s="18">
        <f t="shared" si="2"/>
        <v>0</v>
      </c>
      <c r="P251" s="17"/>
      <c r="R251" s="22"/>
      <c r="S251" s="22"/>
      <c r="T251" s="19"/>
      <c r="U251" s="19"/>
    </row>
    <row r="252" spans="2:21" s="20" customFormat="1" ht="17.100000000000001" customHeight="1" x14ac:dyDescent="0.3">
      <c r="B252" s="17"/>
      <c r="C252" s="17"/>
      <c r="E252" s="15"/>
      <c r="F252" s="15"/>
      <c r="G252" s="15"/>
      <c r="H252" s="16"/>
      <c r="I252" s="15"/>
      <c r="J252" s="16"/>
      <c r="K252" s="15"/>
      <c r="L252" s="15"/>
      <c r="M252" s="29"/>
      <c r="N252" s="19"/>
      <c r="O252" s="18">
        <f t="shared" si="2"/>
        <v>0</v>
      </c>
      <c r="P252" s="17"/>
      <c r="R252" s="22"/>
      <c r="S252" s="22"/>
      <c r="T252" s="19"/>
      <c r="U252" s="19"/>
    </row>
    <row r="253" spans="2:21" s="20" customFormat="1" ht="17.100000000000001" customHeight="1" x14ac:dyDescent="0.3">
      <c r="B253" s="17"/>
      <c r="C253" s="17"/>
      <c r="E253" s="15"/>
      <c r="F253" s="15"/>
      <c r="G253" s="15"/>
      <c r="H253" s="16"/>
      <c r="I253" s="15"/>
      <c r="J253" s="16"/>
      <c r="K253" s="15"/>
      <c r="L253" s="15"/>
      <c r="M253" s="29"/>
      <c r="N253" s="19"/>
      <c r="O253" s="18">
        <f t="shared" si="2"/>
        <v>0</v>
      </c>
      <c r="P253" s="17"/>
      <c r="R253" s="22"/>
      <c r="S253" s="22"/>
      <c r="T253" s="19"/>
      <c r="U253" s="19"/>
    </row>
    <row r="254" spans="2:21" s="20" customFormat="1" ht="17.100000000000001" customHeight="1" x14ac:dyDescent="0.3">
      <c r="B254" s="17"/>
      <c r="C254" s="17"/>
      <c r="E254" s="15"/>
      <c r="F254" s="15"/>
      <c r="G254" s="15"/>
      <c r="H254" s="16"/>
      <c r="I254" s="15"/>
      <c r="J254" s="16"/>
      <c r="K254" s="15"/>
      <c r="L254" s="15"/>
      <c r="M254" s="29"/>
      <c r="N254" s="19"/>
      <c r="O254" s="18">
        <f t="shared" si="2"/>
        <v>0</v>
      </c>
      <c r="P254" s="17"/>
      <c r="R254" s="22"/>
      <c r="S254" s="22"/>
      <c r="T254" s="19"/>
      <c r="U254" s="19"/>
    </row>
    <row r="255" spans="2:21" s="20" customFormat="1" ht="17.100000000000001" customHeight="1" x14ac:dyDescent="0.3">
      <c r="B255" s="17"/>
      <c r="C255" s="17"/>
      <c r="E255" s="15"/>
      <c r="F255" s="15"/>
      <c r="G255" s="15"/>
      <c r="H255" s="16"/>
      <c r="I255" s="15"/>
      <c r="J255" s="16"/>
      <c r="K255" s="15"/>
      <c r="L255" s="15"/>
      <c r="M255" s="29"/>
      <c r="N255" s="19"/>
      <c r="O255" s="18">
        <f t="shared" si="2"/>
        <v>0</v>
      </c>
      <c r="P255" s="17"/>
      <c r="R255" s="22"/>
      <c r="S255" s="22"/>
      <c r="T255" s="19"/>
      <c r="U255" s="19"/>
    </row>
    <row r="256" spans="2:21" s="20" customFormat="1" ht="17.100000000000001" customHeight="1" x14ac:dyDescent="0.3">
      <c r="B256" s="17"/>
      <c r="C256" s="17"/>
      <c r="E256" s="15"/>
      <c r="F256" s="15"/>
      <c r="G256" s="15"/>
      <c r="H256" s="16"/>
      <c r="I256" s="15"/>
      <c r="J256" s="16"/>
      <c r="K256" s="15"/>
      <c r="L256" s="15"/>
      <c r="M256" s="29"/>
      <c r="N256" s="19"/>
      <c r="O256" s="18">
        <f t="shared" si="2"/>
        <v>0</v>
      </c>
      <c r="P256" s="17"/>
      <c r="R256" s="22"/>
      <c r="S256" s="22"/>
      <c r="T256" s="19"/>
      <c r="U256" s="19"/>
    </row>
    <row r="257" spans="2:21" s="20" customFormat="1" ht="17.100000000000001" customHeight="1" x14ac:dyDescent="0.3">
      <c r="B257" s="17"/>
      <c r="C257" s="17"/>
      <c r="E257" s="15"/>
      <c r="F257" s="15"/>
      <c r="G257" s="15"/>
      <c r="H257" s="16"/>
      <c r="I257" s="15"/>
      <c r="J257" s="16"/>
      <c r="K257" s="15"/>
      <c r="L257" s="15"/>
      <c r="M257" s="29"/>
      <c r="N257" s="19"/>
      <c r="O257" s="18">
        <f t="shared" si="2"/>
        <v>0</v>
      </c>
      <c r="P257" s="17"/>
      <c r="R257" s="22"/>
      <c r="S257" s="22"/>
      <c r="T257" s="19"/>
      <c r="U257" s="19"/>
    </row>
    <row r="258" spans="2:21" s="20" customFormat="1" ht="17.100000000000001" customHeight="1" x14ac:dyDescent="0.3">
      <c r="B258" s="17"/>
      <c r="C258" s="17"/>
      <c r="E258" s="15"/>
      <c r="F258" s="15"/>
      <c r="G258" s="15"/>
      <c r="H258" s="16"/>
      <c r="I258" s="15"/>
      <c r="J258" s="16"/>
      <c r="K258" s="15"/>
      <c r="L258" s="15"/>
      <c r="M258" s="29"/>
      <c r="N258" s="19"/>
      <c r="O258" s="18">
        <f t="shared" si="2"/>
        <v>0</v>
      </c>
      <c r="P258" s="17"/>
      <c r="R258" s="22"/>
      <c r="S258" s="22"/>
      <c r="T258" s="19"/>
      <c r="U258" s="19"/>
    </row>
    <row r="259" spans="2:21" s="20" customFormat="1" ht="17.100000000000001" customHeight="1" x14ac:dyDescent="0.3">
      <c r="B259" s="17"/>
      <c r="C259" s="17"/>
      <c r="E259" s="15"/>
      <c r="F259" s="15"/>
      <c r="G259" s="15"/>
      <c r="H259" s="16"/>
      <c r="I259" s="15"/>
      <c r="J259" s="16"/>
      <c r="K259" s="15"/>
      <c r="L259" s="15"/>
      <c r="M259" s="29"/>
      <c r="N259" s="19"/>
      <c r="O259" s="18">
        <f t="shared" si="2"/>
        <v>0</v>
      </c>
      <c r="P259" s="17"/>
      <c r="R259" s="22"/>
      <c r="S259" s="22"/>
      <c r="T259" s="19"/>
      <c r="U259" s="19"/>
    </row>
    <row r="260" spans="2:21" s="20" customFormat="1" ht="17.100000000000001" customHeight="1" x14ac:dyDescent="0.3">
      <c r="B260" s="17"/>
      <c r="C260" s="17"/>
      <c r="E260" s="15"/>
      <c r="F260" s="15"/>
      <c r="G260" s="15"/>
      <c r="H260" s="16"/>
      <c r="I260" s="15"/>
      <c r="J260" s="16"/>
      <c r="K260" s="15"/>
      <c r="L260" s="15"/>
      <c r="M260" s="29"/>
      <c r="N260" s="19"/>
      <c r="O260" s="18">
        <f t="shared" si="2"/>
        <v>0</v>
      </c>
      <c r="P260" s="17"/>
      <c r="R260" s="22"/>
      <c r="S260" s="22"/>
      <c r="T260" s="19"/>
      <c r="U260" s="19"/>
    </row>
    <row r="261" spans="2:21" s="20" customFormat="1" ht="17.100000000000001" customHeight="1" x14ac:dyDescent="0.3">
      <c r="B261" s="17"/>
      <c r="C261" s="17"/>
      <c r="E261" s="15"/>
      <c r="F261" s="15"/>
      <c r="G261" s="15"/>
      <c r="H261" s="16"/>
      <c r="I261" s="15"/>
      <c r="J261" s="16"/>
      <c r="K261" s="15"/>
      <c r="L261" s="15"/>
      <c r="M261" s="29"/>
      <c r="N261" s="19"/>
      <c r="O261" s="18">
        <f t="shared" si="2"/>
        <v>0</v>
      </c>
      <c r="P261" s="17"/>
      <c r="R261" s="22"/>
      <c r="S261" s="22"/>
      <c r="T261" s="19"/>
      <c r="U261" s="19"/>
    </row>
    <row r="262" spans="2:21" s="20" customFormat="1" ht="17.100000000000001" customHeight="1" x14ac:dyDescent="0.3">
      <c r="B262" s="17"/>
      <c r="C262" s="17"/>
      <c r="E262" s="15"/>
      <c r="F262" s="15"/>
      <c r="G262" s="15"/>
      <c r="H262" s="16"/>
      <c r="I262" s="15"/>
      <c r="J262" s="16"/>
      <c r="K262" s="15"/>
      <c r="L262" s="15"/>
      <c r="M262" s="29"/>
      <c r="N262" s="19"/>
      <c r="O262" s="18">
        <f t="shared" si="2"/>
        <v>0</v>
      </c>
      <c r="P262" s="17"/>
      <c r="R262" s="22"/>
      <c r="S262" s="22"/>
      <c r="T262" s="19"/>
      <c r="U262" s="19"/>
    </row>
    <row r="263" spans="2:21" s="20" customFormat="1" ht="17.100000000000001" customHeight="1" x14ac:dyDescent="0.3">
      <c r="B263" s="17"/>
      <c r="C263" s="17"/>
      <c r="E263" s="15"/>
      <c r="F263" s="15"/>
      <c r="G263" s="15"/>
      <c r="H263" s="16"/>
      <c r="I263" s="15"/>
      <c r="J263" s="16"/>
      <c r="K263" s="15"/>
      <c r="L263" s="15"/>
      <c r="M263" s="29"/>
      <c r="N263" s="19"/>
      <c r="O263" s="18">
        <f t="shared" si="2"/>
        <v>0</v>
      </c>
      <c r="P263" s="17"/>
      <c r="R263" s="22"/>
      <c r="S263" s="22"/>
      <c r="T263" s="19"/>
      <c r="U263" s="19"/>
    </row>
    <row r="264" spans="2:21" s="20" customFormat="1" ht="17.100000000000001" customHeight="1" x14ac:dyDescent="0.3">
      <c r="B264" s="17"/>
      <c r="C264" s="17"/>
      <c r="E264" s="15"/>
      <c r="F264" s="15"/>
      <c r="G264" s="15"/>
      <c r="H264" s="16"/>
      <c r="I264" s="15"/>
      <c r="J264" s="16"/>
      <c r="K264" s="15"/>
      <c r="L264" s="15"/>
      <c r="M264" s="29"/>
      <c r="N264" s="19"/>
      <c r="O264" s="18">
        <f t="shared" si="2"/>
        <v>0</v>
      </c>
      <c r="P264" s="17"/>
      <c r="R264" s="22"/>
      <c r="S264" s="22"/>
      <c r="T264" s="19"/>
      <c r="U264" s="19"/>
    </row>
    <row r="265" spans="2:21" s="20" customFormat="1" ht="17.100000000000001" customHeight="1" x14ac:dyDescent="0.3">
      <c r="B265" s="17"/>
      <c r="C265" s="17"/>
      <c r="E265" s="15"/>
      <c r="F265" s="15"/>
      <c r="G265" s="15"/>
      <c r="H265" s="16"/>
      <c r="I265" s="15"/>
      <c r="J265" s="16"/>
      <c r="K265" s="15"/>
      <c r="L265" s="15"/>
      <c r="M265" s="29"/>
      <c r="N265" s="19"/>
      <c r="O265" s="18">
        <f t="shared" ref="O265:O328" si="3">(N265*I265)+U265</f>
        <v>0</v>
      </c>
      <c r="P265" s="17"/>
      <c r="R265" s="22"/>
      <c r="S265" s="22"/>
      <c r="T265" s="19"/>
      <c r="U265" s="19"/>
    </row>
    <row r="266" spans="2:21" s="20" customFormat="1" ht="17.100000000000001" customHeight="1" x14ac:dyDescent="0.3">
      <c r="B266" s="17"/>
      <c r="C266" s="17"/>
      <c r="E266" s="15"/>
      <c r="F266" s="15"/>
      <c r="G266" s="15"/>
      <c r="H266" s="16"/>
      <c r="I266" s="15"/>
      <c r="J266" s="16"/>
      <c r="K266" s="15"/>
      <c r="L266" s="15"/>
      <c r="M266" s="29"/>
      <c r="N266" s="19"/>
      <c r="O266" s="18">
        <f t="shared" si="3"/>
        <v>0</v>
      </c>
      <c r="P266" s="17"/>
      <c r="R266" s="22"/>
      <c r="S266" s="22"/>
      <c r="T266" s="19"/>
      <c r="U266" s="19"/>
    </row>
    <row r="267" spans="2:21" s="20" customFormat="1" ht="17.100000000000001" customHeight="1" x14ac:dyDescent="0.3">
      <c r="B267" s="17"/>
      <c r="C267" s="17"/>
      <c r="E267" s="15"/>
      <c r="F267" s="15"/>
      <c r="G267" s="15"/>
      <c r="H267" s="16"/>
      <c r="I267" s="15"/>
      <c r="J267" s="16"/>
      <c r="K267" s="15"/>
      <c r="L267" s="15"/>
      <c r="M267" s="29"/>
      <c r="N267" s="19"/>
      <c r="O267" s="18">
        <f t="shared" si="3"/>
        <v>0</v>
      </c>
      <c r="P267" s="17"/>
      <c r="R267" s="22"/>
      <c r="S267" s="22"/>
      <c r="T267" s="19"/>
      <c r="U267" s="19"/>
    </row>
    <row r="268" spans="2:21" s="20" customFormat="1" ht="17.100000000000001" customHeight="1" x14ac:dyDescent="0.3">
      <c r="B268" s="17"/>
      <c r="C268" s="17"/>
      <c r="E268" s="15"/>
      <c r="F268" s="15"/>
      <c r="G268" s="15"/>
      <c r="H268" s="16"/>
      <c r="I268" s="15"/>
      <c r="J268" s="16"/>
      <c r="K268" s="15"/>
      <c r="L268" s="15"/>
      <c r="M268" s="29"/>
      <c r="N268" s="19"/>
      <c r="O268" s="18">
        <f t="shared" si="3"/>
        <v>0</v>
      </c>
      <c r="P268" s="17"/>
      <c r="R268" s="22"/>
      <c r="S268" s="22"/>
      <c r="T268" s="19"/>
      <c r="U268" s="19"/>
    </row>
    <row r="269" spans="2:21" s="20" customFormat="1" ht="17.100000000000001" customHeight="1" x14ac:dyDescent="0.3">
      <c r="B269" s="17"/>
      <c r="C269" s="17"/>
      <c r="E269" s="15"/>
      <c r="F269" s="15"/>
      <c r="G269" s="15"/>
      <c r="H269" s="16"/>
      <c r="I269" s="15"/>
      <c r="J269" s="16"/>
      <c r="K269" s="15"/>
      <c r="L269" s="15"/>
      <c r="M269" s="29"/>
      <c r="N269" s="19"/>
      <c r="O269" s="18">
        <f t="shared" si="3"/>
        <v>0</v>
      </c>
      <c r="P269" s="17"/>
      <c r="R269" s="22"/>
      <c r="S269" s="22"/>
      <c r="T269" s="19"/>
      <c r="U269" s="19"/>
    </row>
    <row r="270" spans="2:21" s="20" customFormat="1" ht="17.100000000000001" customHeight="1" x14ac:dyDescent="0.3">
      <c r="B270" s="17"/>
      <c r="C270" s="17"/>
      <c r="E270" s="15"/>
      <c r="F270" s="15"/>
      <c r="G270" s="15"/>
      <c r="H270" s="16"/>
      <c r="I270" s="15"/>
      <c r="J270" s="16"/>
      <c r="K270" s="15"/>
      <c r="L270" s="15"/>
      <c r="M270" s="29"/>
      <c r="N270" s="19"/>
      <c r="O270" s="18">
        <f t="shared" si="3"/>
        <v>0</v>
      </c>
      <c r="P270" s="17"/>
      <c r="R270" s="22"/>
      <c r="S270" s="22"/>
      <c r="T270" s="19"/>
      <c r="U270" s="19"/>
    </row>
    <row r="271" spans="2:21" s="20" customFormat="1" ht="17.100000000000001" customHeight="1" x14ac:dyDescent="0.3">
      <c r="B271" s="17"/>
      <c r="C271" s="17"/>
      <c r="E271" s="15"/>
      <c r="F271" s="15"/>
      <c r="G271" s="15"/>
      <c r="H271" s="16"/>
      <c r="I271" s="15"/>
      <c r="J271" s="16"/>
      <c r="K271" s="15"/>
      <c r="L271" s="15"/>
      <c r="M271" s="29"/>
      <c r="N271" s="19"/>
      <c r="O271" s="18">
        <f t="shared" si="3"/>
        <v>0</v>
      </c>
      <c r="P271" s="17"/>
      <c r="R271" s="22"/>
      <c r="S271" s="22"/>
      <c r="T271" s="19"/>
      <c r="U271" s="19"/>
    </row>
    <row r="272" spans="2:21" s="20" customFormat="1" ht="17.100000000000001" customHeight="1" x14ac:dyDescent="0.3">
      <c r="B272" s="17"/>
      <c r="C272" s="17"/>
      <c r="E272" s="15"/>
      <c r="F272" s="15"/>
      <c r="G272" s="15"/>
      <c r="H272" s="16"/>
      <c r="I272" s="15"/>
      <c r="J272" s="16"/>
      <c r="K272" s="15"/>
      <c r="L272" s="15"/>
      <c r="M272" s="29"/>
      <c r="N272" s="19"/>
      <c r="O272" s="18">
        <f t="shared" si="3"/>
        <v>0</v>
      </c>
      <c r="P272" s="17"/>
      <c r="R272" s="22"/>
      <c r="S272" s="22"/>
      <c r="T272" s="19"/>
      <c r="U272" s="19"/>
    </row>
    <row r="273" spans="2:21" s="20" customFormat="1" ht="17.100000000000001" customHeight="1" x14ac:dyDescent="0.3">
      <c r="B273" s="17"/>
      <c r="C273" s="17"/>
      <c r="E273" s="15"/>
      <c r="F273" s="15"/>
      <c r="G273" s="15"/>
      <c r="H273" s="16"/>
      <c r="I273" s="15"/>
      <c r="J273" s="16"/>
      <c r="K273" s="15"/>
      <c r="L273" s="15"/>
      <c r="M273" s="29"/>
      <c r="N273" s="19"/>
      <c r="O273" s="18">
        <f t="shared" si="3"/>
        <v>0</v>
      </c>
      <c r="P273" s="17"/>
      <c r="R273" s="22"/>
      <c r="S273" s="22"/>
      <c r="T273" s="19"/>
      <c r="U273" s="19"/>
    </row>
    <row r="274" spans="2:21" s="20" customFormat="1" ht="17.100000000000001" customHeight="1" x14ac:dyDescent="0.3">
      <c r="B274" s="17"/>
      <c r="C274" s="17"/>
      <c r="E274" s="15"/>
      <c r="F274" s="15"/>
      <c r="G274" s="15"/>
      <c r="H274" s="16"/>
      <c r="I274" s="15"/>
      <c r="J274" s="16"/>
      <c r="K274" s="15"/>
      <c r="L274" s="15"/>
      <c r="M274" s="29"/>
      <c r="N274" s="19"/>
      <c r="O274" s="18">
        <f t="shared" si="3"/>
        <v>0</v>
      </c>
      <c r="P274" s="17"/>
      <c r="R274" s="22"/>
      <c r="S274" s="22"/>
      <c r="T274" s="19"/>
      <c r="U274" s="19"/>
    </row>
    <row r="275" spans="2:21" s="20" customFormat="1" ht="17.100000000000001" customHeight="1" x14ac:dyDescent="0.3">
      <c r="B275" s="17"/>
      <c r="C275" s="17"/>
      <c r="E275" s="15"/>
      <c r="F275" s="15"/>
      <c r="G275" s="15"/>
      <c r="H275" s="16"/>
      <c r="I275" s="15"/>
      <c r="J275" s="16"/>
      <c r="K275" s="15"/>
      <c r="L275" s="15"/>
      <c r="M275" s="29"/>
      <c r="N275" s="19"/>
      <c r="O275" s="18">
        <f t="shared" si="3"/>
        <v>0</v>
      </c>
      <c r="P275" s="17"/>
      <c r="R275" s="22"/>
      <c r="S275" s="22"/>
      <c r="T275" s="19"/>
      <c r="U275" s="19"/>
    </row>
    <row r="276" spans="2:21" s="20" customFormat="1" ht="17.100000000000001" customHeight="1" x14ac:dyDescent="0.3">
      <c r="B276" s="17"/>
      <c r="C276" s="17"/>
      <c r="E276" s="15"/>
      <c r="F276" s="15"/>
      <c r="G276" s="15"/>
      <c r="H276" s="16"/>
      <c r="I276" s="15"/>
      <c r="J276" s="16"/>
      <c r="K276" s="15"/>
      <c r="L276" s="15"/>
      <c r="M276" s="29"/>
      <c r="N276" s="19"/>
      <c r="O276" s="18">
        <f t="shared" si="3"/>
        <v>0</v>
      </c>
      <c r="P276" s="17"/>
      <c r="R276" s="22"/>
      <c r="S276" s="22"/>
      <c r="T276" s="19"/>
      <c r="U276" s="19"/>
    </row>
    <row r="277" spans="2:21" s="20" customFormat="1" ht="17.100000000000001" customHeight="1" x14ac:dyDescent="0.3">
      <c r="B277" s="17"/>
      <c r="C277" s="17"/>
      <c r="E277" s="15"/>
      <c r="F277" s="15"/>
      <c r="G277" s="15"/>
      <c r="H277" s="16"/>
      <c r="I277" s="15"/>
      <c r="J277" s="16"/>
      <c r="K277" s="15"/>
      <c r="L277" s="15"/>
      <c r="M277" s="29"/>
      <c r="N277" s="19"/>
      <c r="O277" s="18">
        <f t="shared" si="3"/>
        <v>0</v>
      </c>
      <c r="P277" s="17"/>
      <c r="R277" s="22"/>
      <c r="S277" s="22"/>
      <c r="T277" s="19"/>
      <c r="U277" s="19"/>
    </row>
    <row r="278" spans="2:21" s="20" customFormat="1" ht="17.100000000000001" customHeight="1" x14ac:dyDescent="0.3">
      <c r="B278" s="17"/>
      <c r="C278" s="17"/>
      <c r="E278" s="15"/>
      <c r="F278" s="15"/>
      <c r="G278" s="15"/>
      <c r="H278" s="16"/>
      <c r="I278" s="15"/>
      <c r="J278" s="16"/>
      <c r="K278" s="15"/>
      <c r="L278" s="15"/>
      <c r="M278" s="29"/>
      <c r="N278" s="19"/>
      <c r="O278" s="18">
        <f t="shared" si="3"/>
        <v>0</v>
      </c>
      <c r="P278" s="17"/>
      <c r="R278" s="22"/>
      <c r="S278" s="22"/>
      <c r="T278" s="19"/>
      <c r="U278" s="19"/>
    </row>
    <row r="279" spans="2:21" s="20" customFormat="1" ht="17.100000000000001" customHeight="1" x14ac:dyDescent="0.3">
      <c r="B279" s="17"/>
      <c r="C279" s="17"/>
      <c r="E279" s="15"/>
      <c r="F279" s="15"/>
      <c r="G279" s="15"/>
      <c r="H279" s="16"/>
      <c r="I279" s="15"/>
      <c r="J279" s="16"/>
      <c r="K279" s="15"/>
      <c r="L279" s="15"/>
      <c r="M279" s="29"/>
      <c r="N279" s="19"/>
      <c r="O279" s="18">
        <f t="shared" si="3"/>
        <v>0</v>
      </c>
      <c r="P279" s="17"/>
      <c r="R279" s="22"/>
      <c r="S279" s="22"/>
      <c r="T279" s="19"/>
      <c r="U279" s="19"/>
    </row>
    <row r="280" spans="2:21" s="20" customFormat="1" ht="17.100000000000001" customHeight="1" x14ac:dyDescent="0.3">
      <c r="B280" s="17"/>
      <c r="C280" s="17"/>
      <c r="E280" s="15"/>
      <c r="F280" s="15"/>
      <c r="G280" s="15"/>
      <c r="H280" s="16"/>
      <c r="I280" s="15"/>
      <c r="J280" s="16"/>
      <c r="K280" s="15"/>
      <c r="L280" s="15"/>
      <c r="M280" s="29"/>
      <c r="N280" s="19"/>
      <c r="O280" s="18">
        <f t="shared" si="3"/>
        <v>0</v>
      </c>
      <c r="P280" s="17"/>
      <c r="R280" s="22"/>
      <c r="S280" s="22"/>
      <c r="T280" s="19"/>
      <c r="U280" s="19"/>
    </row>
    <row r="281" spans="2:21" s="20" customFormat="1" ht="17.100000000000001" customHeight="1" x14ac:dyDescent="0.3">
      <c r="B281" s="17"/>
      <c r="C281" s="17"/>
      <c r="E281" s="15"/>
      <c r="F281" s="15"/>
      <c r="G281" s="15"/>
      <c r="H281" s="16"/>
      <c r="I281" s="15"/>
      <c r="J281" s="16"/>
      <c r="K281" s="15"/>
      <c r="L281" s="15"/>
      <c r="M281" s="29"/>
      <c r="N281" s="19"/>
      <c r="O281" s="18">
        <f t="shared" si="3"/>
        <v>0</v>
      </c>
      <c r="P281" s="17"/>
      <c r="R281" s="22"/>
      <c r="S281" s="22"/>
      <c r="T281" s="19"/>
      <c r="U281" s="19"/>
    </row>
    <row r="282" spans="2:21" s="20" customFormat="1" ht="17.100000000000001" customHeight="1" x14ac:dyDescent="0.3">
      <c r="B282" s="17"/>
      <c r="C282" s="17"/>
      <c r="E282" s="15"/>
      <c r="F282" s="15"/>
      <c r="G282" s="15"/>
      <c r="H282" s="16"/>
      <c r="I282" s="15"/>
      <c r="J282" s="16"/>
      <c r="K282" s="15"/>
      <c r="L282" s="15"/>
      <c r="M282" s="29"/>
      <c r="N282" s="19"/>
      <c r="O282" s="18">
        <f t="shared" si="3"/>
        <v>0</v>
      </c>
      <c r="P282" s="17"/>
      <c r="R282" s="22"/>
      <c r="S282" s="22"/>
      <c r="T282" s="19"/>
      <c r="U282" s="19"/>
    </row>
    <row r="283" spans="2:21" s="20" customFormat="1" ht="17.100000000000001" customHeight="1" x14ac:dyDescent="0.3">
      <c r="B283" s="17"/>
      <c r="C283" s="17"/>
      <c r="E283" s="15"/>
      <c r="F283" s="15"/>
      <c r="G283" s="15"/>
      <c r="H283" s="16"/>
      <c r="I283" s="15"/>
      <c r="J283" s="16"/>
      <c r="K283" s="15"/>
      <c r="L283" s="15"/>
      <c r="M283" s="29"/>
      <c r="N283" s="19"/>
      <c r="O283" s="18">
        <f t="shared" si="3"/>
        <v>0</v>
      </c>
      <c r="P283" s="17"/>
      <c r="R283" s="22"/>
      <c r="S283" s="22"/>
      <c r="T283" s="19"/>
      <c r="U283" s="19"/>
    </row>
    <row r="284" spans="2:21" s="20" customFormat="1" ht="17.100000000000001" customHeight="1" x14ac:dyDescent="0.3">
      <c r="B284" s="17"/>
      <c r="C284" s="17"/>
      <c r="E284" s="15"/>
      <c r="F284" s="15"/>
      <c r="G284" s="15"/>
      <c r="H284" s="16"/>
      <c r="I284" s="15"/>
      <c r="J284" s="16"/>
      <c r="K284" s="15"/>
      <c r="L284" s="15"/>
      <c r="M284" s="29"/>
      <c r="N284" s="19"/>
      <c r="O284" s="18">
        <f t="shared" si="3"/>
        <v>0</v>
      </c>
      <c r="P284" s="17"/>
      <c r="R284" s="22"/>
      <c r="S284" s="22"/>
      <c r="T284" s="19"/>
      <c r="U284" s="19"/>
    </row>
    <row r="285" spans="2:21" s="20" customFormat="1" ht="17.100000000000001" customHeight="1" x14ac:dyDescent="0.3">
      <c r="B285" s="17"/>
      <c r="C285" s="17"/>
      <c r="E285" s="15"/>
      <c r="F285" s="15"/>
      <c r="G285" s="15"/>
      <c r="H285" s="16"/>
      <c r="I285" s="15"/>
      <c r="J285" s="16"/>
      <c r="K285" s="15"/>
      <c r="L285" s="15"/>
      <c r="M285" s="29"/>
      <c r="N285" s="19"/>
      <c r="O285" s="18">
        <f t="shared" si="3"/>
        <v>0</v>
      </c>
      <c r="P285" s="17"/>
      <c r="R285" s="22"/>
      <c r="S285" s="22"/>
      <c r="T285" s="19"/>
      <c r="U285" s="19"/>
    </row>
    <row r="286" spans="2:21" s="20" customFormat="1" ht="17.100000000000001" customHeight="1" x14ac:dyDescent="0.3">
      <c r="B286" s="17"/>
      <c r="C286" s="17"/>
      <c r="E286" s="15"/>
      <c r="F286" s="15"/>
      <c r="G286" s="15"/>
      <c r="H286" s="16"/>
      <c r="I286" s="15"/>
      <c r="J286" s="16"/>
      <c r="K286" s="15"/>
      <c r="L286" s="15"/>
      <c r="M286" s="29"/>
      <c r="N286" s="19"/>
      <c r="O286" s="18">
        <f t="shared" si="3"/>
        <v>0</v>
      </c>
      <c r="P286" s="17"/>
      <c r="R286" s="22"/>
      <c r="S286" s="22"/>
      <c r="T286" s="19"/>
      <c r="U286" s="19"/>
    </row>
    <row r="287" spans="2:21" s="20" customFormat="1" ht="17.100000000000001" customHeight="1" x14ac:dyDescent="0.3">
      <c r="B287" s="17"/>
      <c r="C287" s="17"/>
      <c r="E287" s="15"/>
      <c r="F287" s="15"/>
      <c r="G287" s="15"/>
      <c r="H287" s="16"/>
      <c r="I287" s="15"/>
      <c r="J287" s="16"/>
      <c r="K287" s="15"/>
      <c r="L287" s="15"/>
      <c r="M287" s="29"/>
      <c r="N287" s="19"/>
      <c r="O287" s="18">
        <f t="shared" si="3"/>
        <v>0</v>
      </c>
      <c r="P287" s="17"/>
      <c r="R287" s="22"/>
      <c r="S287" s="22"/>
      <c r="T287" s="19"/>
      <c r="U287" s="19"/>
    </row>
    <row r="288" spans="2:21" s="20" customFormat="1" ht="17.100000000000001" customHeight="1" x14ac:dyDescent="0.3">
      <c r="B288" s="17"/>
      <c r="C288" s="17"/>
      <c r="E288" s="15"/>
      <c r="F288" s="15"/>
      <c r="G288" s="15"/>
      <c r="H288" s="16"/>
      <c r="I288" s="15"/>
      <c r="J288" s="16"/>
      <c r="K288" s="15"/>
      <c r="L288" s="15"/>
      <c r="M288" s="29"/>
      <c r="N288" s="19"/>
      <c r="O288" s="18">
        <f t="shared" si="3"/>
        <v>0</v>
      </c>
      <c r="P288" s="17"/>
      <c r="R288" s="22"/>
      <c r="S288" s="22"/>
      <c r="T288" s="19"/>
      <c r="U288" s="19"/>
    </row>
    <row r="289" spans="2:21" s="20" customFormat="1" ht="17.100000000000001" customHeight="1" x14ac:dyDescent="0.3">
      <c r="B289" s="17"/>
      <c r="C289" s="17"/>
      <c r="E289" s="15"/>
      <c r="F289" s="15"/>
      <c r="G289" s="15"/>
      <c r="H289" s="16"/>
      <c r="I289" s="15"/>
      <c r="J289" s="16"/>
      <c r="K289" s="15"/>
      <c r="L289" s="15"/>
      <c r="M289" s="29"/>
      <c r="N289" s="19"/>
      <c r="O289" s="18">
        <f t="shared" si="3"/>
        <v>0</v>
      </c>
      <c r="P289" s="17"/>
      <c r="R289" s="22"/>
      <c r="S289" s="22"/>
      <c r="T289" s="19"/>
      <c r="U289" s="19"/>
    </row>
    <row r="290" spans="2:21" s="20" customFormat="1" ht="17.100000000000001" customHeight="1" x14ac:dyDescent="0.3">
      <c r="B290" s="17"/>
      <c r="C290" s="17"/>
      <c r="E290" s="15"/>
      <c r="F290" s="15"/>
      <c r="G290" s="15"/>
      <c r="H290" s="16"/>
      <c r="I290" s="15"/>
      <c r="J290" s="16"/>
      <c r="K290" s="15"/>
      <c r="L290" s="15"/>
      <c r="M290" s="29"/>
      <c r="N290" s="19"/>
      <c r="O290" s="18">
        <f t="shared" si="3"/>
        <v>0</v>
      </c>
      <c r="P290" s="17"/>
      <c r="R290" s="22"/>
      <c r="S290" s="22"/>
      <c r="T290" s="19"/>
      <c r="U290" s="19"/>
    </row>
    <row r="291" spans="2:21" s="20" customFormat="1" ht="17.100000000000001" customHeight="1" x14ac:dyDescent="0.3">
      <c r="B291" s="17"/>
      <c r="C291" s="17"/>
      <c r="E291" s="15"/>
      <c r="F291" s="15"/>
      <c r="G291" s="15"/>
      <c r="H291" s="16"/>
      <c r="I291" s="15"/>
      <c r="J291" s="16"/>
      <c r="K291" s="15"/>
      <c r="L291" s="15"/>
      <c r="M291" s="29"/>
      <c r="N291" s="19"/>
      <c r="O291" s="18">
        <f t="shared" si="3"/>
        <v>0</v>
      </c>
      <c r="P291" s="17"/>
      <c r="R291" s="22"/>
      <c r="S291" s="22"/>
      <c r="T291" s="19"/>
      <c r="U291" s="19"/>
    </row>
    <row r="292" spans="2:21" s="20" customFormat="1" ht="17.100000000000001" customHeight="1" x14ac:dyDescent="0.3">
      <c r="B292" s="17"/>
      <c r="C292" s="17"/>
      <c r="E292" s="15"/>
      <c r="F292" s="15"/>
      <c r="G292" s="15"/>
      <c r="H292" s="16"/>
      <c r="I292" s="15"/>
      <c r="J292" s="16"/>
      <c r="K292" s="15"/>
      <c r="L292" s="15"/>
      <c r="M292" s="29"/>
      <c r="N292" s="19"/>
      <c r="O292" s="18">
        <f t="shared" si="3"/>
        <v>0</v>
      </c>
      <c r="P292" s="17"/>
      <c r="R292" s="22"/>
      <c r="S292" s="22"/>
      <c r="T292" s="19"/>
      <c r="U292" s="19"/>
    </row>
    <row r="293" spans="2:21" s="20" customFormat="1" ht="17.100000000000001" customHeight="1" x14ac:dyDescent="0.3">
      <c r="B293" s="17"/>
      <c r="C293" s="17"/>
      <c r="E293" s="15"/>
      <c r="F293" s="15"/>
      <c r="G293" s="15"/>
      <c r="H293" s="16"/>
      <c r="I293" s="15"/>
      <c r="J293" s="16"/>
      <c r="K293" s="15"/>
      <c r="L293" s="15"/>
      <c r="M293" s="29"/>
      <c r="N293" s="19"/>
      <c r="O293" s="18">
        <f t="shared" si="3"/>
        <v>0</v>
      </c>
      <c r="P293" s="17"/>
      <c r="R293" s="22"/>
      <c r="S293" s="22"/>
      <c r="T293" s="19"/>
      <c r="U293" s="19"/>
    </row>
    <row r="294" spans="2:21" s="20" customFormat="1" ht="17.100000000000001" customHeight="1" x14ac:dyDescent="0.3">
      <c r="B294" s="17"/>
      <c r="C294" s="17"/>
      <c r="E294" s="15"/>
      <c r="F294" s="15"/>
      <c r="G294" s="15"/>
      <c r="H294" s="16"/>
      <c r="I294" s="15"/>
      <c r="J294" s="16"/>
      <c r="K294" s="15"/>
      <c r="L294" s="15"/>
      <c r="M294" s="29"/>
      <c r="N294" s="19"/>
      <c r="O294" s="18">
        <f t="shared" si="3"/>
        <v>0</v>
      </c>
      <c r="P294" s="17"/>
      <c r="R294" s="22"/>
      <c r="S294" s="22"/>
      <c r="T294" s="19"/>
      <c r="U294" s="19"/>
    </row>
    <row r="295" spans="2:21" s="20" customFormat="1" ht="17.100000000000001" customHeight="1" x14ac:dyDescent="0.3">
      <c r="B295" s="17"/>
      <c r="C295" s="17"/>
      <c r="E295" s="15"/>
      <c r="F295" s="15"/>
      <c r="G295" s="15"/>
      <c r="H295" s="16"/>
      <c r="I295" s="15"/>
      <c r="J295" s="16"/>
      <c r="K295" s="15"/>
      <c r="L295" s="15"/>
      <c r="M295" s="29"/>
      <c r="N295" s="19"/>
      <c r="O295" s="18">
        <f t="shared" si="3"/>
        <v>0</v>
      </c>
      <c r="P295" s="17"/>
      <c r="R295" s="22"/>
      <c r="S295" s="22"/>
      <c r="T295" s="19"/>
      <c r="U295" s="19"/>
    </row>
    <row r="296" spans="2:21" s="20" customFormat="1" ht="17.100000000000001" customHeight="1" x14ac:dyDescent="0.3">
      <c r="B296" s="17"/>
      <c r="C296" s="17"/>
      <c r="E296" s="15"/>
      <c r="F296" s="15"/>
      <c r="G296" s="15"/>
      <c r="H296" s="16"/>
      <c r="I296" s="15"/>
      <c r="J296" s="16"/>
      <c r="K296" s="15"/>
      <c r="L296" s="15"/>
      <c r="M296" s="29"/>
      <c r="N296" s="19"/>
      <c r="O296" s="18">
        <f t="shared" si="3"/>
        <v>0</v>
      </c>
      <c r="P296" s="17"/>
      <c r="R296" s="22"/>
      <c r="S296" s="22"/>
      <c r="T296" s="19"/>
      <c r="U296" s="19"/>
    </row>
    <row r="297" spans="2:21" s="20" customFormat="1" ht="17.100000000000001" customHeight="1" x14ac:dyDescent="0.3">
      <c r="B297" s="17"/>
      <c r="C297" s="17"/>
      <c r="E297" s="15"/>
      <c r="F297" s="15"/>
      <c r="G297" s="15"/>
      <c r="H297" s="16"/>
      <c r="I297" s="15"/>
      <c r="J297" s="16"/>
      <c r="K297" s="15"/>
      <c r="L297" s="15"/>
      <c r="M297" s="29"/>
      <c r="N297" s="19"/>
      <c r="O297" s="18">
        <f t="shared" si="3"/>
        <v>0</v>
      </c>
      <c r="P297" s="17"/>
      <c r="R297" s="22"/>
      <c r="S297" s="22"/>
      <c r="T297" s="19"/>
      <c r="U297" s="19"/>
    </row>
    <row r="298" spans="2:21" s="20" customFormat="1" ht="17.100000000000001" customHeight="1" x14ac:dyDescent="0.3">
      <c r="B298" s="17"/>
      <c r="C298" s="17"/>
      <c r="E298" s="15"/>
      <c r="F298" s="15"/>
      <c r="G298" s="15"/>
      <c r="H298" s="16"/>
      <c r="I298" s="15"/>
      <c r="J298" s="16"/>
      <c r="K298" s="15"/>
      <c r="L298" s="15"/>
      <c r="M298" s="29"/>
      <c r="N298" s="19"/>
      <c r="O298" s="18">
        <f t="shared" si="3"/>
        <v>0</v>
      </c>
      <c r="P298" s="17"/>
      <c r="R298" s="22"/>
      <c r="S298" s="22"/>
      <c r="T298" s="19"/>
      <c r="U298" s="19"/>
    </row>
    <row r="299" spans="2:21" s="20" customFormat="1" ht="17.100000000000001" customHeight="1" x14ac:dyDescent="0.3">
      <c r="B299" s="17"/>
      <c r="C299" s="17"/>
      <c r="E299" s="15"/>
      <c r="F299" s="15"/>
      <c r="G299" s="15"/>
      <c r="H299" s="16"/>
      <c r="I299" s="15"/>
      <c r="J299" s="16"/>
      <c r="K299" s="15"/>
      <c r="L299" s="15"/>
      <c r="M299" s="29"/>
      <c r="N299" s="19"/>
      <c r="O299" s="18">
        <f t="shared" si="3"/>
        <v>0</v>
      </c>
      <c r="P299" s="17"/>
      <c r="R299" s="22"/>
      <c r="S299" s="22"/>
      <c r="T299" s="19"/>
      <c r="U299" s="19"/>
    </row>
    <row r="300" spans="2:21" s="20" customFormat="1" ht="17.100000000000001" customHeight="1" x14ac:dyDescent="0.3">
      <c r="B300" s="17"/>
      <c r="C300" s="17"/>
      <c r="E300" s="15"/>
      <c r="F300" s="15"/>
      <c r="G300" s="15"/>
      <c r="H300" s="16"/>
      <c r="I300" s="15"/>
      <c r="J300" s="16"/>
      <c r="K300" s="15"/>
      <c r="L300" s="15"/>
      <c r="M300" s="29"/>
      <c r="N300" s="19"/>
      <c r="O300" s="18">
        <f t="shared" si="3"/>
        <v>0</v>
      </c>
      <c r="P300" s="17"/>
      <c r="R300" s="22"/>
      <c r="S300" s="22"/>
      <c r="T300" s="19"/>
      <c r="U300" s="19"/>
    </row>
    <row r="301" spans="2:21" s="20" customFormat="1" ht="17.100000000000001" customHeight="1" x14ac:dyDescent="0.3">
      <c r="B301" s="17"/>
      <c r="C301" s="17"/>
      <c r="E301" s="15"/>
      <c r="F301" s="15"/>
      <c r="G301" s="15"/>
      <c r="H301" s="16"/>
      <c r="I301" s="15"/>
      <c r="J301" s="16"/>
      <c r="K301" s="15"/>
      <c r="L301" s="15"/>
      <c r="M301" s="29"/>
      <c r="N301" s="19"/>
      <c r="O301" s="18">
        <f t="shared" si="3"/>
        <v>0</v>
      </c>
      <c r="P301" s="17"/>
      <c r="R301" s="22"/>
      <c r="S301" s="22"/>
      <c r="T301" s="19"/>
      <c r="U301" s="19"/>
    </row>
    <row r="302" spans="2:21" s="20" customFormat="1" ht="17.100000000000001" customHeight="1" x14ac:dyDescent="0.3">
      <c r="B302" s="17"/>
      <c r="C302" s="17"/>
      <c r="E302" s="15"/>
      <c r="F302" s="15"/>
      <c r="G302" s="15"/>
      <c r="H302" s="16"/>
      <c r="I302" s="15"/>
      <c r="J302" s="16"/>
      <c r="K302" s="15"/>
      <c r="L302" s="15"/>
      <c r="M302" s="29"/>
      <c r="N302" s="19"/>
      <c r="O302" s="18">
        <f t="shared" si="3"/>
        <v>0</v>
      </c>
      <c r="P302" s="17"/>
      <c r="R302" s="22"/>
      <c r="S302" s="22"/>
      <c r="T302" s="19"/>
      <c r="U302" s="19"/>
    </row>
    <row r="303" spans="2:21" s="20" customFormat="1" ht="17.100000000000001" customHeight="1" x14ac:dyDescent="0.3">
      <c r="B303" s="17"/>
      <c r="C303" s="17"/>
      <c r="E303" s="15"/>
      <c r="F303" s="15"/>
      <c r="G303" s="15"/>
      <c r="H303" s="16"/>
      <c r="I303" s="15"/>
      <c r="J303" s="16"/>
      <c r="K303" s="15"/>
      <c r="L303" s="15"/>
      <c r="M303" s="29"/>
      <c r="N303" s="19"/>
      <c r="O303" s="18">
        <f t="shared" si="3"/>
        <v>0</v>
      </c>
      <c r="P303" s="17"/>
      <c r="R303" s="22"/>
      <c r="S303" s="22"/>
      <c r="T303" s="19"/>
      <c r="U303" s="19"/>
    </row>
    <row r="304" spans="2:21" s="20" customFormat="1" ht="17.100000000000001" customHeight="1" x14ac:dyDescent="0.3">
      <c r="B304" s="17"/>
      <c r="C304" s="17"/>
      <c r="E304" s="15"/>
      <c r="F304" s="15"/>
      <c r="G304" s="15"/>
      <c r="H304" s="16"/>
      <c r="I304" s="15"/>
      <c r="J304" s="16"/>
      <c r="K304" s="15"/>
      <c r="L304" s="15"/>
      <c r="M304" s="29"/>
      <c r="N304" s="19"/>
      <c r="O304" s="18">
        <f t="shared" si="3"/>
        <v>0</v>
      </c>
      <c r="P304" s="17"/>
      <c r="R304" s="22"/>
      <c r="S304" s="22"/>
      <c r="T304" s="19"/>
      <c r="U304" s="19"/>
    </row>
    <row r="305" spans="2:21" s="20" customFormat="1" ht="17.100000000000001" customHeight="1" x14ac:dyDescent="0.3">
      <c r="B305" s="17"/>
      <c r="C305" s="17"/>
      <c r="E305" s="15"/>
      <c r="F305" s="15"/>
      <c r="G305" s="15"/>
      <c r="H305" s="16"/>
      <c r="I305" s="15"/>
      <c r="J305" s="16"/>
      <c r="K305" s="15"/>
      <c r="L305" s="15"/>
      <c r="M305" s="29"/>
      <c r="N305" s="19"/>
      <c r="O305" s="18">
        <f t="shared" si="3"/>
        <v>0</v>
      </c>
      <c r="P305" s="17"/>
      <c r="R305" s="22"/>
      <c r="S305" s="22"/>
      <c r="T305" s="19"/>
      <c r="U305" s="19"/>
    </row>
    <row r="306" spans="2:21" s="20" customFormat="1" ht="17.100000000000001" customHeight="1" x14ac:dyDescent="0.3">
      <c r="B306" s="17"/>
      <c r="C306" s="17"/>
      <c r="E306" s="15"/>
      <c r="F306" s="15"/>
      <c r="G306" s="15"/>
      <c r="H306" s="16"/>
      <c r="I306" s="15"/>
      <c r="J306" s="16"/>
      <c r="K306" s="15"/>
      <c r="L306" s="15"/>
      <c r="M306" s="29"/>
      <c r="N306" s="19"/>
      <c r="O306" s="18">
        <f t="shared" si="3"/>
        <v>0</v>
      </c>
      <c r="P306" s="17"/>
      <c r="R306" s="22"/>
      <c r="S306" s="22"/>
      <c r="T306" s="19"/>
      <c r="U306" s="19"/>
    </row>
    <row r="307" spans="2:21" s="20" customFormat="1" ht="17.100000000000001" customHeight="1" x14ac:dyDescent="0.3">
      <c r="B307" s="17"/>
      <c r="C307" s="17"/>
      <c r="E307" s="15"/>
      <c r="F307" s="15"/>
      <c r="G307" s="15"/>
      <c r="H307" s="16"/>
      <c r="I307" s="15"/>
      <c r="J307" s="16"/>
      <c r="K307" s="15"/>
      <c r="L307" s="15"/>
      <c r="M307" s="29"/>
      <c r="N307" s="19"/>
      <c r="O307" s="18">
        <f t="shared" si="3"/>
        <v>0</v>
      </c>
      <c r="P307" s="17"/>
      <c r="R307" s="22"/>
      <c r="S307" s="22"/>
      <c r="T307" s="19"/>
      <c r="U307" s="19"/>
    </row>
    <row r="308" spans="2:21" s="20" customFormat="1" ht="17.100000000000001" customHeight="1" x14ac:dyDescent="0.3">
      <c r="B308" s="17"/>
      <c r="C308" s="17"/>
      <c r="E308" s="15"/>
      <c r="F308" s="15"/>
      <c r="G308" s="15"/>
      <c r="H308" s="16"/>
      <c r="I308" s="15"/>
      <c r="J308" s="16"/>
      <c r="K308" s="15"/>
      <c r="L308" s="15"/>
      <c r="M308" s="29"/>
      <c r="N308" s="19"/>
      <c r="O308" s="18">
        <f t="shared" si="3"/>
        <v>0</v>
      </c>
      <c r="P308" s="17"/>
      <c r="R308" s="22"/>
      <c r="S308" s="22"/>
      <c r="T308" s="19"/>
      <c r="U308" s="19"/>
    </row>
    <row r="309" spans="2:21" s="20" customFormat="1" ht="17.100000000000001" customHeight="1" x14ac:dyDescent="0.3">
      <c r="B309" s="17"/>
      <c r="C309" s="17"/>
      <c r="E309" s="15"/>
      <c r="F309" s="15"/>
      <c r="G309" s="15"/>
      <c r="H309" s="16"/>
      <c r="I309" s="15"/>
      <c r="J309" s="16"/>
      <c r="K309" s="15"/>
      <c r="L309" s="15"/>
      <c r="M309" s="29"/>
      <c r="N309" s="19"/>
      <c r="O309" s="18">
        <f t="shared" si="3"/>
        <v>0</v>
      </c>
      <c r="P309" s="17"/>
      <c r="R309" s="22"/>
      <c r="S309" s="22"/>
      <c r="T309" s="19"/>
      <c r="U309" s="19"/>
    </row>
    <row r="310" spans="2:21" s="20" customFormat="1" ht="17.100000000000001" customHeight="1" x14ac:dyDescent="0.3">
      <c r="B310" s="17"/>
      <c r="C310" s="17"/>
      <c r="E310" s="15"/>
      <c r="F310" s="15"/>
      <c r="G310" s="15"/>
      <c r="H310" s="16"/>
      <c r="I310" s="15"/>
      <c r="J310" s="16"/>
      <c r="K310" s="15"/>
      <c r="L310" s="15"/>
      <c r="M310" s="29"/>
      <c r="N310" s="19"/>
      <c r="O310" s="18">
        <f t="shared" si="3"/>
        <v>0</v>
      </c>
      <c r="P310" s="17"/>
      <c r="R310" s="22"/>
      <c r="S310" s="22"/>
      <c r="T310" s="19"/>
      <c r="U310" s="19"/>
    </row>
    <row r="311" spans="2:21" s="20" customFormat="1" ht="17.100000000000001" customHeight="1" x14ac:dyDescent="0.3">
      <c r="B311" s="17"/>
      <c r="C311" s="17"/>
      <c r="E311" s="15"/>
      <c r="F311" s="15"/>
      <c r="G311" s="15"/>
      <c r="H311" s="16"/>
      <c r="I311" s="15"/>
      <c r="J311" s="16"/>
      <c r="K311" s="15"/>
      <c r="L311" s="15"/>
      <c r="M311" s="29"/>
      <c r="N311" s="19"/>
      <c r="O311" s="18">
        <f t="shared" si="3"/>
        <v>0</v>
      </c>
      <c r="P311" s="17"/>
      <c r="R311" s="22"/>
      <c r="S311" s="22"/>
      <c r="T311" s="19"/>
      <c r="U311" s="19"/>
    </row>
    <row r="312" spans="2:21" s="20" customFormat="1" ht="17.100000000000001" customHeight="1" x14ac:dyDescent="0.3">
      <c r="B312" s="17"/>
      <c r="C312" s="17"/>
      <c r="E312" s="15"/>
      <c r="F312" s="15"/>
      <c r="G312" s="15"/>
      <c r="H312" s="16"/>
      <c r="I312" s="15"/>
      <c r="J312" s="16"/>
      <c r="K312" s="15"/>
      <c r="L312" s="15"/>
      <c r="M312" s="29"/>
      <c r="N312" s="19"/>
      <c r="O312" s="18">
        <f t="shared" si="3"/>
        <v>0</v>
      </c>
      <c r="P312" s="17"/>
      <c r="R312" s="22"/>
      <c r="S312" s="22"/>
      <c r="T312" s="19"/>
      <c r="U312" s="19"/>
    </row>
    <row r="313" spans="2:21" s="20" customFormat="1" ht="17.100000000000001" customHeight="1" x14ac:dyDescent="0.3">
      <c r="B313" s="17"/>
      <c r="C313" s="17"/>
      <c r="E313" s="15"/>
      <c r="F313" s="15"/>
      <c r="G313" s="15"/>
      <c r="H313" s="16"/>
      <c r="I313" s="15"/>
      <c r="J313" s="16"/>
      <c r="K313" s="15"/>
      <c r="L313" s="15"/>
      <c r="M313" s="29"/>
      <c r="N313" s="19"/>
      <c r="O313" s="18">
        <f t="shared" si="3"/>
        <v>0</v>
      </c>
      <c r="P313" s="17"/>
      <c r="R313" s="22"/>
      <c r="S313" s="22"/>
      <c r="T313" s="19"/>
      <c r="U313" s="19"/>
    </row>
    <row r="314" spans="2:21" s="20" customFormat="1" ht="17.100000000000001" customHeight="1" x14ac:dyDescent="0.3">
      <c r="B314" s="17"/>
      <c r="C314" s="17"/>
      <c r="E314" s="15"/>
      <c r="F314" s="15"/>
      <c r="G314" s="15"/>
      <c r="H314" s="16"/>
      <c r="I314" s="15"/>
      <c r="J314" s="16"/>
      <c r="K314" s="15"/>
      <c r="L314" s="15"/>
      <c r="M314" s="29"/>
      <c r="N314" s="19"/>
      <c r="O314" s="18">
        <f t="shared" si="3"/>
        <v>0</v>
      </c>
      <c r="P314" s="17"/>
      <c r="R314" s="22"/>
      <c r="S314" s="22"/>
      <c r="T314" s="19"/>
      <c r="U314" s="19"/>
    </row>
    <row r="315" spans="2:21" s="20" customFormat="1" ht="17.100000000000001" customHeight="1" x14ac:dyDescent="0.3">
      <c r="B315" s="17"/>
      <c r="C315" s="17"/>
      <c r="E315" s="15"/>
      <c r="F315" s="15"/>
      <c r="G315" s="15"/>
      <c r="H315" s="16"/>
      <c r="I315" s="15"/>
      <c r="J315" s="16"/>
      <c r="K315" s="15"/>
      <c r="L315" s="15"/>
      <c r="M315" s="29"/>
      <c r="N315" s="19"/>
      <c r="O315" s="18">
        <f t="shared" si="3"/>
        <v>0</v>
      </c>
      <c r="P315" s="17"/>
      <c r="R315" s="22"/>
      <c r="S315" s="22"/>
      <c r="T315" s="19"/>
      <c r="U315" s="19"/>
    </row>
    <row r="316" spans="2:21" s="20" customFormat="1" ht="17.100000000000001" customHeight="1" x14ac:dyDescent="0.3">
      <c r="B316" s="17"/>
      <c r="C316" s="17"/>
      <c r="E316" s="15"/>
      <c r="F316" s="15"/>
      <c r="G316" s="15"/>
      <c r="H316" s="16"/>
      <c r="I316" s="15"/>
      <c r="J316" s="16"/>
      <c r="K316" s="15"/>
      <c r="L316" s="15"/>
      <c r="M316" s="29"/>
      <c r="N316" s="19"/>
      <c r="O316" s="18">
        <f t="shared" si="3"/>
        <v>0</v>
      </c>
      <c r="P316" s="17"/>
      <c r="R316" s="22"/>
      <c r="S316" s="22"/>
      <c r="T316" s="19"/>
      <c r="U316" s="19"/>
    </row>
    <row r="317" spans="2:21" s="20" customFormat="1" ht="17.100000000000001" customHeight="1" x14ac:dyDescent="0.3">
      <c r="B317" s="17"/>
      <c r="C317" s="17"/>
      <c r="E317" s="15"/>
      <c r="F317" s="15"/>
      <c r="G317" s="15"/>
      <c r="H317" s="16"/>
      <c r="I317" s="15"/>
      <c r="J317" s="16"/>
      <c r="K317" s="15"/>
      <c r="L317" s="15"/>
      <c r="M317" s="29"/>
      <c r="N317" s="19"/>
      <c r="O317" s="18">
        <f t="shared" si="3"/>
        <v>0</v>
      </c>
      <c r="P317" s="17"/>
      <c r="R317" s="22"/>
      <c r="S317" s="22"/>
      <c r="T317" s="19"/>
      <c r="U317" s="19"/>
    </row>
    <row r="318" spans="2:21" s="20" customFormat="1" ht="17.100000000000001" customHeight="1" x14ac:dyDescent="0.3">
      <c r="B318" s="17"/>
      <c r="C318" s="17"/>
      <c r="E318" s="15"/>
      <c r="F318" s="15"/>
      <c r="G318" s="15"/>
      <c r="H318" s="16"/>
      <c r="I318" s="15"/>
      <c r="J318" s="16"/>
      <c r="K318" s="15"/>
      <c r="L318" s="15"/>
      <c r="M318" s="29"/>
      <c r="N318" s="19"/>
      <c r="O318" s="18">
        <f t="shared" si="3"/>
        <v>0</v>
      </c>
      <c r="P318" s="17"/>
      <c r="R318" s="22"/>
      <c r="S318" s="22"/>
      <c r="T318" s="19"/>
      <c r="U318" s="19"/>
    </row>
    <row r="319" spans="2:21" s="20" customFormat="1" ht="17.100000000000001" customHeight="1" x14ac:dyDescent="0.3">
      <c r="B319" s="17"/>
      <c r="C319" s="17"/>
      <c r="E319" s="15"/>
      <c r="F319" s="15"/>
      <c r="G319" s="15"/>
      <c r="H319" s="16"/>
      <c r="I319" s="15"/>
      <c r="J319" s="16"/>
      <c r="K319" s="15"/>
      <c r="L319" s="15"/>
      <c r="M319" s="29"/>
      <c r="N319" s="19"/>
      <c r="O319" s="18">
        <f t="shared" si="3"/>
        <v>0</v>
      </c>
      <c r="P319" s="17"/>
      <c r="R319" s="22"/>
      <c r="S319" s="22"/>
      <c r="T319" s="19"/>
      <c r="U319" s="19"/>
    </row>
    <row r="320" spans="2:21" s="20" customFormat="1" ht="17.100000000000001" customHeight="1" x14ac:dyDescent="0.3">
      <c r="B320" s="17"/>
      <c r="C320" s="17"/>
      <c r="E320" s="15"/>
      <c r="F320" s="15"/>
      <c r="G320" s="15"/>
      <c r="H320" s="16"/>
      <c r="I320" s="15"/>
      <c r="J320" s="16"/>
      <c r="K320" s="15"/>
      <c r="L320" s="15"/>
      <c r="M320" s="29"/>
      <c r="N320" s="19"/>
      <c r="O320" s="18">
        <f t="shared" si="3"/>
        <v>0</v>
      </c>
      <c r="P320" s="17"/>
      <c r="R320" s="22"/>
      <c r="S320" s="22"/>
      <c r="T320" s="19"/>
      <c r="U320" s="19"/>
    </row>
    <row r="321" spans="2:21" s="20" customFormat="1" ht="17.100000000000001" customHeight="1" x14ac:dyDescent="0.3">
      <c r="B321" s="17"/>
      <c r="C321" s="17"/>
      <c r="E321" s="15"/>
      <c r="F321" s="15"/>
      <c r="G321" s="15"/>
      <c r="H321" s="16"/>
      <c r="I321" s="15"/>
      <c r="J321" s="16"/>
      <c r="K321" s="15"/>
      <c r="L321" s="15"/>
      <c r="M321" s="29"/>
      <c r="N321" s="19"/>
      <c r="O321" s="18">
        <f t="shared" si="3"/>
        <v>0</v>
      </c>
      <c r="P321" s="17"/>
      <c r="R321" s="22"/>
      <c r="S321" s="22"/>
      <c r="T321" s="19"/>
      <c r="U321" s="19"/>
    </row>
    <row r="322" spans="2:21" s="20" customFormat="1" ht="17.100000000000001" customHeight="1" x14ac:dyDescent="0.3">
      <c r="B322" s="17"/>
      <c r="C322" s="17"/>
      <c r="E322" s="15"/>
      <c r="F322" s="15"/>
      <c r="G322" s="15"/>
      <c r="H322" s="16"/>
      <c r="I322" s="15"/>
      <c r="J322" s="16"/>
      <c r="K322" s="15"/>
      <c r="L322" s="15"/>
      <c r="M322" s="29"/>
      <c r="N322" s="19"/>
      <c r="O322" s="18">
        <f t="shared" si="3"/>
        <v>0</v>
      </c>
      <c r="P322" s="17"/>
      <c r="R322" s="22"/>
      <c r="S322" s="22"/>
      <c r="T322" s="19"/>
      <c r="U322" s="19"/>
    </row>
    <row r="323" spans="2:21" s="20" customFormat="1" ht="17.100000000000001" customHeight="1" x14ac:dyDescent="0.3">
      <c r="B323" s="17"/>
      <c r="C323" s="17"/>
      <c r="E323" s="15"/>
      <c r="F323" s="15"/>
      <c r="G323" s="15"/>
      <c r="H323" s="16"/>
      <c r="I323" s="15"/>
      <c r="J323" s="16"/>
      <c r="K323" s="15"/>
      <c r="L323" s="15"/>
      <c r="M323" s="29"/>
      <c r="N323" s="19"/>
      <c r="O323" s="18">
        <f t="shared" si="3"/>
        <v>0</v>
      </c>
      <c r="P323" s="17"/>
      <c r="R323" s="22"/>
      <c r="S323" s="22"/>
      <c r="T323" s="19"/>
      <c r="U323" s="19"/>
    </row>
    <row r="324" spans="2:21" s="20" customFormat="1" ht="17.100000000000001" customHeight="1" x14ac:dyDescent="0.3">
      <c r="B324" s="17"/>
      <c r="C324" s="17"/>
      <c r="E324" s="15"/>
      <c r="F324" s="15"/>
      <c r="G324" s="15"/>
      <c r="H324" s="16"/>
      <c r="I324" s="15"/>
      <c r="J324" s="16"/>
      <c r="K324" s="15"/>
      <c r="L324" s="15"/>
      <c r="M324" s="29"/>
      <c r="N324" s="19"/>
      <c r="O324" s="18">
        <f t="shared" si="3"/>
        <v>0</v>
      </c>
      <c r="P324" s="17"/>
      <c r="R324" s="22"/>
      <c r="S324" s="22"/>
      <c r="T324" s="19"/>
      <c r="U324" s="19"/>
    </row>
    <row r="325" spans="2:21" s="20" customFormat="1" ht="17.100000000000001" customHeight="1" x14ac:dyDescent="0.3">
      <c r="B325" s="17"/>
      <c r="C325" s="17"/>
      <c r="E325" s="15"/>
      <c r="F325" s="15"/>
      <c r="G325" s="15"/>
      <c r="H325" s="16"/>
      <c r="I325" s="15"/>
      <c r="J325" s="16"/>
      <c r="K325" s="15"/>
      <c r="L325" s="15"/>
      <c r="M325" s="29"/>
      <c r="N325" s="19"/>
      <c r="O325" s="18">
        <f t="shared" si="3"/>
        <v>0</v>
      </c>
      <c r="P325" s="17"/>
      <c r="R325" s="22"/>
      <c r="S325" s="22"/>
      <c r="T325" s="19"/>
      <c r="U325" s="19"/>
    </row>
    <row r="326" spans="2:21" s="20" customFormat="1" ht="17.100000000000001" customHeight="1" x14ac:dyDescent="0.3">
      <c r="B326" s="17"/>
      <c r="C326" s="17"/>
      <c r="E326" s="15"/>
      <c r="F326" s="15"/>
      <c r="G326" s="15"/>
      <c r="H326" s="16"/>
      <c r="I326" s="15"/>
      <c r="J326" s="16"/>
      <c r="K326" s="15"/>
      <c r="L326" s="15"/>
      <c r="M326" s="29"/>
      <c r="N326" s="19"/>
      <c r="O326" s="18">
        <f t="shared" si="3"/>
        <v>0</v>
      </c>
      <c r="P326" s="17"/>
      <c r="R326" s="22"/>
      <c r="S326" s="22"/>
      <c r="T326" s="19"/>
      <c r="U326" s="19"/>
    </row>
    <row r="327" spans="2:21" s="20" customFormat="1" ht="17.100000000000001" customHeight="1" x14ac:dyDescent="0.3">
      <c r="B327" s="17"/>
      <c r="C327" s="17"/>
      <c r="E327" s="15"/>
      <c r="F327" s="15"/>
      <c r="G327" s="15"/>
      <c r="H327" s="16"/>
      <c r="I327" s="15"/>
      <c r="J327" s="16"/>
      <c r="K327" s="15"/>
      <c r="L327" s="15"/>
      <c r="M327" s="29"/>
      <c r="N327" s="19"/>
      <c r="O327" s="18">
        <f t="shared" si="3"/>
        <v>0</v>
      </c>
      <c r="P327" s="17"/>
      <c r="R327" s="22"/>
      <c r="S327" s="22"/>
      <c r="T327" s="19"/>
      <c r="U327" s="19"/>
    </row>
    <row r="328" spans="2:21" s="20" customFormat="1" ht="17.100000000000001" customHeight="1" x14ac:dyDescent="0.3">
      <c r="B328" s="17"/>
      <c r="C328" s="17"/>
      <c r="E328" s="15"/>
      <c r="F328" s="15"/>
      <c r="G328" s="15"/>
      <c r="H328" s="16"/>
      <c r="I328" s="15"/>
      <c r="J328" s="16"/>
      <c r="K328" s="15"/>
      <c r="L328" s="15"/>
      <c r="M328" s="29"/>
      <c r="N328" s="19"/>
      <c r="O328" s="18">
        <f t="shared" si="3"/>
        <v>0</v>
      </c>
      <c r="P328" s="17"/>
      <c r="R328" s="22"/>
      <c r="S328" s="22"/>
      <c r="T328" s="19"/>
      <c r="U328" s="19"/>
    </row>
    <row r="329" spans="2:21" s="20" customFormat="1" ht="17.100000000000001" customHeight="1" x14ac:dyDescent="0.3">
      <c r="B329" s="17"/>
      <c r="C329" s="17"/>
      <c r="E329" s="15"/>
      <c r="F329" s="15"/>
      <c r="G329" s="15"/>
      <c r="H329" s="16"/>
      <c r="I329" s="15"/>
      <c r="J329" s="16"/>
      <c r="K329" s="15"/>
      <c r="L329" s="15"/>
      <c r="M329" s="29"/>
      <c r="N329" s="19"/>
      <c r="O329" s="18">
        <f t="shared" ref="O329:O392" si="4">(N329*I329)+U329</f>
        <v>0</v>
      </c>
      <c r="P329" s="17"/>
      <c r="R329" s="22"/>
      <c r="S329" s="22"/>
      <c r="T329" s="19"/>
      <c r="U329" s="19"/>
    </row>
    <row r="330" spans="2:21" s="20" customFormat="1" ht="17.100000000000001" customHeight="1" x14ac:dyDescent="0.3">
      <c r="B330" s="17"/>
      <c r="C330" s="17"/>
      <c r="E330" s="15"/>
      <c r="F330" s="15"/>
      <c r="G330" s="15"/>
      <c r="H330" s="16"/>
      <c r="I330" s="15"/>
      <c r="J330" s="16"/>
      <c r="K330" s="15"/>
      <c r="L330" s="15"/>
      <c r="M330" s="29"/>
      <c r="N330" s="19"/>
      <c r="O330" s="18">
        <f t="shared" si="4"/>
        <v>0</v>
      </c>
      <c r="P330" s="17"/>
      <c r="R330" s="22"/>
      <c r="S330" s="22"/>
      <c r="T330" s="19"/>
      <c r="U330" s="19"/>
    </row>
    <row r="331" spans="2:21" s="20" customFormat="1" ht="17.100000000000001" customHeight="1" x14ac:dyDescent="0.3">
      <c r="B331" s="17"/>
      <c r="C331" s="17"/>
      <c r="E331" s="15"/>
      <c r="F331" s="15"/>
      <c r="G331" s="15"/>
      <c r="H331" s="16"/>
      <c r="I331" s="15"/>
      <c r="J331" s="16"/>
      <c r="K331" s="15"/>
      <c r="L331" s="15"/>
      <c r="M331" s="29"/>
      <c r="N331" s="19"/>
      <c r="O331" s="18">
        <f t="shared" si="4"/>
        <v>0</v>
      </c>
      <c r="P331" s="17"/>
      <c r="R331" s="22"/>
      <c r="S331" s="22"/>
      <c r="T331" s="19"/>
      <c r="U331" s="19"/>
    </row>
    <row r="332" spans="2:21" s="20" customFormat="1" ht="17.100000000000001" customHeight="1" x14ac:dyDescent="0.3">
      <c r="B332" s="17"/>
      <c r="C332" s="17"/>
      <c r="E332" s="15"/>
      <c r="F332" s="15"/>
      <c r="G332" s="15"/>
      <c r="H332" s="16"/>
      <c r="I332" s="15"/>
      <c r="J332" s="16"/>
      <c r="K332" s="15"/>
      <c r="L332" s="15"/>
      <c r="M332" s="29"/>
      <c r="N332" s="19"/>
      <c r="O332" s="18">
        <f t="shared" si="4"/>
        <v>0</v>
      </c>
      <c r="P332" s="17"/>
      <c r="R332" s="22"/>
      <c r="S332" s="22"/>
      <c r="T332" s="19"/>
      <c r="U332" s="19"/>
    </row>
    <row r="333" spans="2:21" s="20" customFormat="1" ht="17.100000000000001" customHeight="1" x14ac:dyDescent="0.3">
      <c r="B333" s="17"/>
      <c r="C333" s="17"/>
      <c r="E333" s="15"/>
      <c r="F333" s="15"/>
      <c r="G333" s="15"/>
      <c r="H333" s="16"/>
      <c r="I333" s="15"/>
      <c r="J333" s="16"/>
      <c r="K333" s="15"/>
      <c r="L333" s="15"/>
      <c r="M333" s="29"/>
      <c r="N333" s="19"/>
      <c r="O333" s="18">
        <f t="shared" si="4"/>
        <v>0</v>
      </c>
      <c r="P333" s="17"/>
      <c r="R333" s="22"/>
      <c r="S333" s="22"/>
      <c r="T333" s="19"/>
      <c r="U333" s="19"/>
    </row>
    <row r="334" spans="2:21" s="20" customFormat="1" ht="17.100000000000001" customHeight="1" x14ac:dyDescent="0.3">
      <c r="B334" s="17"/>
      <c r="C334" s="17"/>
      <c r="E334" s="15"/>
      <c r="F334" s="15"/>
      <c r="G334" s="15"/>
      <c r="H334" s="16"/>
      <c r="I334" s="15"/>
      <c r="J334" s="16"/>
      <c r="K334" s="15"/>
      <c r="L334" s="15"/>
      <c r="M334" s="29"/>
      <c r="N334" s="19"/>
      <c r="O334" s="18">
        <f t="shared" si="4"/>
        <v>0</v>
      </c>
      <c r="P334" s="17"/>
      <c r="R334" s="22"/>
      <c r="S334" s="22"/>
      <c r="T334" s="19"/>
      <c r="U334" s="19"/>
    </row>
    <row r="335" spans="2:21" s="20" customFormat="1" ht="17.100000000000001" customHeight="1" x14ac:dyDescent="0.3">
      <c r="B335" s="17"/>
      <c r="C335" s="17"/>
      <c r="E335" s="15"/>
      <c r="F335" s="15"/>
      <c r="G335" s="15"/>
      <c r="H335" s="16"/>
      <c r="I335" s="15"/>
      <c r="J335" s="16"/>
      <c r="K335" s="15"/>
      <c r="L335" s="15"/>
      <c r="M335" s="29"/>
      <c r="N335" s="19"/>
      <c r="O335" s="18">
        <f t="shared" si="4"/>
        <v>0</v>
      </c>
      <c r="P335" s="17"/>
      <c r="R335" s="22"/>
      <c r="S335" s="22"/>
      <c r="T335" s="19"/>
      <c r="U335" s="19"/>
    </row>
    <row r="336" spans="2:21" s="20" customFormat="1" ht="17.100000000000001" customHeight="1" x14ac:dyDescent="0.3">
      <c r="B336" s="17"/>
      <c r="C336" s="17"/>
      <c r="E336" s="15"/>
      <c r="F336" s="15"/>
      <c r="G336" s="15"/>
      <c r="H336" s="16"/>
      <c r="I336" s="15"/>
      <c r="J336" s="16"/>
      <c r="K336" s="15"/>
      <c r="L336" s="15"/>
      <c r="M336" s="29"/>
      <c r="N336" s="19"/>
      <c r="O336" s="18">
        <f t="shared" si="4"/>
        <v>0</v>
      </c>
      <c r="P336" s="17"/>
      <c r="R336" s="22"/>
      <c r="S336" s="22"/>
      <c r="T336" s="19"/>
      <c r="U336" s="19"/>
    </row>
    <row r="337" spans="2:21" s="20" customFormat="1" ht="17.100000000000001" customHeight="1" x14ac:dyDescent="0.3">
      <c r="B337" s="17"/>
      <c r="C337" s="17"/>
      <c r="E337" s="15"/>
      <c r="F337" s="15"/>
      <c r="G337" s="15"/>
      <c r="H337" s="16"/>
      <c r="I337" s="15"/>
      <c r="J337" s="16"/>
      <c r="K337" s="15"/>
      <c r="L337" s="15"/>
      <c r="M337" s="29"/>
      <c r="N337" s="19"/>
      <c r="O337" s="18">
        <f t="shared" si="4"/>
        <v>0</v>
      </c>
      <c r="P337" s="17"/>
      <c r="R337" s="22"/>
      <c r="S337" s="22"/>
      <c r="T337" s="19"/>
      <c r="U337" s="19"/>
    </row>
    <row r="338" spans="2:21" s="20" customFormat="1" ht="17.100000000000001" customHeight="1" x14ac:dyDescent="0.3">
      <c r="B338" s="17"/>
      <c r="C338" s="17"/>
      <c r="E338" s="15"/>
      <c r="F338" s="15"/>
      <c r="G338" s="15"/>
      <c r="H338" s="16"/>
      <c r="I338" s="15"/>
      <c r="J338" s="16"/>
      <c r="K338" s="15"/>
      <c r="L338" s="15"/>
      <c r="M338" s="29"/>
      <c r="N338" s="19"/>
      <c r="O338" s="18">
        <f t="shared" si="4"/>
        <v>0</v>
      </c>
      <c r="P338" s="17"/>
      <c r="R338" s="22"/>
      <c r="S338" s="22"/>
      <c r="T338" s="19"/>
      <c r="U338" s="19"/>
    </row>
    <row r="339" spans="2:21" s="20" customFormat="1" ht="17.100000000000001" customHeight="1" x14ac:dyDescent="0.3">
      <c r="B339" s="17"/>
      <c r="C339" s="17"/>
      <c r="E339" s="15"/>
      <c r="F339" s="15"/>
      <c r="G339" s="15"/>
      <c r="H339" s="16"/>
      <c r="I339" s="15"/>
      <c r="J339" s="16"/>
      <c r="K339" s="15"/>
      <c r="L339" s="15"/>
      <c r="M339" s="29"/>
      <c r="N339" s="19"/>
      <c r="O339" s="18">
        <f t="shared" si="4"/>
        <v>0</v>
      </c>
      <c r="P339" s="17"/>
      <c r="R339" s="22"/>
      <c r="S339" s="22"/>
      <c r="T339" s="19"/>
      <c r="U339" s="19"/>
    </row>
    <row r="340" spans="2:21" s="20" customFormat="1" ht="17.100000000000001" customHeight="1" x14ac:dyDescent="0.3">
      <c r="B340" s="17"/>
      <c r="C340" s="17"/>
      <c r="E340" s="15"/>
      <c r="F340" s="15"/>
      <c r="G340" s="15"/>
      <c r="H340" s="16"/>
      <c r="I340" s="15"/>
      <c r="J340" s="16"/>
      <c r="K340" s="15"/>
      <c r="L340" s="15"/>
      <c r="M340" s="29"/>
      <c r="N340" s="19"/>
      <c r="O340" s="18">
        <f t="shared" si="4"/>
        <v>0</v>
      </c>
      <c r="P340" s="17"/>
      <c r="R340" s="22"/>
      <c r="S340" s="22"/>
      <c r="T340" s="19"/>
      <c r="U340" s="19"/>
    </row>
    <row r="341" spans="2:21" s="20" customFormat="1" ht="17.100000000000001" customHeight="1" x14ac:dyDescent="0.3">
      <c r="B341" s="17"/>
      <c r="C341" s="17"/>
      <c r="E341" s="15"/>
      <c r="F341" s="15"/>
      <c r="G341" s="15"/>
      <c r="H341" s="16"/>
      <c r="I341" s="15"/>
      <c r="J341" s="16"/>
      <c r="K341" s="15"/>
      <c r="L341" s="15"/>
      <c r="M341" s="29"/>
      <c r="N341" s="19"/>
      <c r="O341" s="18">
        <f t="shared" si="4"/>
        <v>0</v>
      </c>
      <c r="P341" s="17"/>
      <c r="R341" s="22"/>
      <c r="S341" s="22"/>
      <c r="T341" s="19"/>
      <c r="U341" s="19"/>
    </row>
    <row r="342" spans="2:21" s="20" customFormat="1" ht="17.100000000000001" customHeight="1" x14ac:dyDescent="0.3">
      <c r="B342" s="17"/>
      <c r="C342" s="17"/>
      <c r="E342" s="15"/>
      <c r="F342" s="15"/>
      <c r="G342" s="15"/>
      <c r="H342" s="16"/>
      <c r="I342" s="15"/>
      <c r="J342" s="16"/>
      <c r="K342" s="15"/>
      <c r="L342" s="15"/>
      <c r="M342" s="29"/>
      <c r="N342" s="19"/>
      <c r="O342" s="18">
        <f t="shared" si="4"/>
        <v>0</v>
      </c>
      <c r="P342" s="17"/>
      <c r="R342" s="22"/>
      <c r="S342" s="22"/>
      <c r="T342" s="19"/>
      <c r="U342" s="19"/>
    </row>
    <row r="343" spans="2:21" s="20" customFormat="1" ht="17.100000000000001" customHeight="1" x14ac:dyDescent="0.3">
      <c r="B343" s="17"/>
      <c r="C343" s="17"/>
      <c r="E343" s="15"/>
      <c r="F343" s="15"/>
      <c r="G343" s="15"/>
      <c r="H343" s="16"/>
      <c r="I343" s="15"/>
      <c r="J343" s="16"/>
      <c r="K343" s="15"/>
      <c r="L343" s="15"/>
      <c r="M343" s="29"/>
      <c r="N343" s="19"/>
      <c r="O343" s="18">
        <f t="shared" si="4"/>
        <v>0</v>
      </c>
      <c r="P343" s="17"/>
      <c r="R343" s="22"/>
      <c r="S343" s="22"/>
      <c r="T343" s="19"/>
      <c r="U343" s="19"/>
    </row>
    <row r="344" spans="2:21" s="20" customFormat="1" ht="17.100000000000001" customHeight="1" x14ac:dyDescent="0.3">
      <c r="B344" s="17"/>
      <c r="C344" s="17"/>
      <c r="E344" s="15"/>
      <c r="F344" s="15"/>
      <c r="G344" s="15"/>
      <c r="H344" s="16"/>
      <c r="I344" s="15"/>
      <c r="J344" s="16"/>
      <c r="K344" s="15"/>
      <c r="L344" s="15"/>
      <c r="M344" s="29"/>
      <c r="N344" s="19"/>
      <c r="O344" s="18">
        <f t="shared" si="4"/>
        <v>0</v>
      </c>
      <c r="P344" s="17"/>
      <c r="R344" s="22"/>
      <c r="S344" s="22"/>
      <c r="T344" s="19"/>
      <c r="U344" s="19"/>
    </row>
    <row r="345" spans="2:21" s="20" customFormat="1" ht="17.100000000000001" customHeight="1" x14ac:dyDescent="0.3">
      <c r="B345" s="17"/>
      <c r="C345" s="17"/>
      <c r="E345" s="15"/>
      <c r="F345" s="15"/>
      <c r="G345" s="15"/>
      <c r="H345" s="16"/>
      <c r="I345" s="15"/>
      <c r="J345" s="16"/>
      <c r="K345" s="15"/>
      <c r="L345" s="15"/>
      <c r="M345" s="29"/>
      <c r="N345" s="19"/>
      <c r="O345" s="18">
        <f t="shared" si="4"/>
        <v>0</v>
      </c>
      <c r="P345" s="17"/>
      <c r="R345" s="22"/>
      <c r="S345" s="22"/>
      <c r="T345" s="19"/>
      <c r="U345" s="19"/>
    </row>
    <row r="346" spans="2:21" s="20" customFormat="1" ht="17.100000000000001" customHeight="1" x14ac:dyDescent="0.3">
      <c r="B346" s="17"/>
      <c r="C346" s="17"/>
      <c r="E346" s="15"/>
      <c r="F346" s="15"/>
      <c r="G346" s="15"/>
      <c r="H346" s="16"/>
      <c r="I346" s="15"/>
      <c r="J346" s="16"/>
      <c r="K346" s="15"/>
      <c r="L346" s="15"/>
      <c r="M346" s="29"/>
      <c r="N346" s="19"/>
      <c r="O346" s="18">
        <f t="shared" si="4"/>
        <v>0</v>
      </c>
      <c r="P346" s="17"/>
      <c r="R346" s="22"/>
      <c r="S346" s="22"/>
      <c r="T346" s="19"/>
      <c r="U346" s="19"/>
    </row>
    <row r="347" spans="2:21" s="20" customFormat="1" ht="17.100000000000001" customHeight="1" x14ac:dyDescent="0.3">
      <c r="B347" s="17"/>
      <c r="C347" s="17"/>
      <c r="E347" s="15"/>
      <c r="F347" s="15"/>
      <c r="G347" s="15"/>
      <c r="H347" s="16"/>
      <c r="I347" s="15"/>
      <c r="J347" s="16"/>
      <c r="K347" s="15"/>
      <c r="L347" s="15"/>
      <c r="M347" s="29"/>
      <c r="N347" s="19"/>
      <c r="O347" s="18">
        <f t="shared" si="4"/>
        <v>0</v>
      </c>
      <c r="P347" s="17"/>
      <c r="R347" s="22"/>
      <c r="S347" s="22"/>
      <c r="T347" s="19"/>
      <c r="U347" s="19"/>
    </row>
    <row r="348" spans="2:21" s="20" customFormat="1" ht="17.100000000000001" customHeight="1" x14ac:dyDescent="0.3">
      <c r="B348" s="17"/>
      <c r="C348" s="17"/>
      <c r="E348" s="15"/>
      <c r="F348" s="15"/>
      <c r="G348" s="15"/>
      <c r="H348" s="16"/>
      <c r="I348" s="15"/>
      <c r="J348" s="16"/>
      <c r="K348" s="15"/>
      <c r="L348" s="15"/>
      <c r="M348" s="29"/>
      <c r="N348" s="19"/>
      <c r="O348" s="18">
        <f t="shared" si="4"/>
        <v>0</v>
      </c>
      <c r="P348" s="17"/>
      <c r="R348" s="22"/>
      <c r="S348" s="22"/>
      <c r="T348" s="19"/>
      <c r="U348" s="19"/>
    </row>
    <row r="349" spans="2:21" s="20" customFormat="1" ht="17.100000000000001" customHeight="1" x14ac:dyDescent="0.3">
      <c r="B349" s="17"/>
      <c r="C349" s="17"/>
      <c r="E349" s="15"/>
      <c r="F349" s="15"/>
      <c r="G349" s="15"/>
      <c r="H349" s="16"/>
      <c r="I349" s="15"/>
      <c r="J349" s="16"/>
      <c r="K349" s="15"/>
      <c r="L349" s="15"/>
      <c r="M349" s="29"/>
      <c r="N349" s="19"/>
      <c r="O349" s="18">
        <f t="shared" si="4"/>
        <v>0</v>
      </c>
      <c r="P349" s="17"/>
      <c r="R349" s="22"/>
      <c r="S349" s="22"/>
      <c r="T349" s="19"/>
      <c r="U349" s="19"/>
    </row>
    <row r="350" spans="2:21" s="20" customFormat="1" ht="17.100000000000001" customHeight="1" x14ac:dyDescent="0.3">
      <c r="B350" s="17"/>
      <c r="C350" s="17"/>
      <c r="E350" s="15"/>
      <c r="F350" s="15"/>
      <c r="G350" s="15"/>
      <c r="H350" s="16"/>
      <c r="I350" s="15"/>
      <c r="J350" s="16"/>
      <c r="K350" s="15"/>
      <c r="L350" s="15"/>
      <c r="M350" s="29"/>
      <c r="N350" s="19"/>
      <c r="O350" s="18">
        <f t="shared" si="4"/>
        <v>0</v>
      </c>
      <c r="P350" s="17"/>
      <c r="R350" s="22"/>
      <c r="S350" s="22"/>
      <c r="T350" s="19"/>
      <c r="U350" s="19"/>
    </row>
    <row r="351" spans="2:21" s="20" customFormat="1" ht="17.100000000000001" customHeight="1" x14ac:dyDescent="0.3">
      <c r="B351" s="17"/>
      <c r="C351" s="17"/>
      <c r="E351" s="15"/>
      <c r="F351" s="15"/>
      <c r="G351" s="15"/>
      <c r="H351" s="16"/>
      <c r="I351" s="15"/>
      <c r="J351" s="16"/>
      <c r="K351" s="15"/>
      <c r="L351" s="15"/>
      <c r="M351" s="29"/>
      <c r="N351" s="19"/>
      <c r="O351" s="18">
        <f t="shared" si="4"/>
        <v>0</v>
      </c>
      <c r="P351" s="17"/>
      <c r="R351" s="22"/>
      <c r="S351" s="22"/>
      <c r="T351" s="19"/>
      <c r="U351" s="19"/>
    </row>
    <row r="352" spans="2:21" s="20" customFormat="1" ht="17.100000000000001" customHeight="1" x14ac:dyDescent="0.3">
      <c r="B352" s="17"/>
      <c r="C352" s="17"/>
      <c r="E352" s="15"/>
      <c r="F352" s="15"/>
      <c r="G352" s="15"/>
      <c r="H352" s="16"/>
      <c r="I352" s="15"/>
      <c r="J352" s="16"/>
      <c r="K352" s="15"/>
      <c r="L352" s="15"/>
      <c r="M352" s="29"/>
      <c r="N352" s="19"/>
      <c r="O352" s="18">
        <f t="shared" si="4"/>
        <v>0</v>
      </c>
      <c r="P352" s="17"/>
      <c r="R352" s="22"/>
      <c r="S352" s="22"/>
      <c r="T352" s="19"/>
      <c r="U352" s="19"/>
    </row>
    <row r="353" spans="2:21" s="20" customFormat="1" ht="17.100000000000001" customHeight="1" x14ac:dyDescent="0.3">
      <c r="B353" s="17"/>
      <c r="C353" s="17"/>
      <c r="E353" s="15"/>
      <c r="F353" s="15"/>
      <c r="G353" s="15"/>
      <c r="H353" s="16"/>
      <c r="I353" s="15"/>
      <c r="J353" s="16"/>
      <c r="K353" s="15"/>
      <c r="L353" s="15"/>
      <c r="M353" s="29"/>
      <c r="N353" s="19"/>
      <c r="O353" s="18">
        <f t="shared" si="4"/>
        <v>0</v>
      </c>
      <c r="P353" s="17"/>
      <c r="R353" s="22"/>
      <c r="S353" s="22"/>
      <c r="T353" s="19"/>
      <c r="U353" s="19"/>
    </row>
    <row r="354" spans="2:21" s="20" customFormat="1" ht="17.100000000000001" customHeight="1" x14ac:dyDescent="0.3">
      <c r="B354" s="17"/>
      <c r="C354" s="17"/>
      <c r="E354" s="15"/>
      <c r="F354" s="15"/>
      <c r="G354" s="15"/>
      <c r="H354" s="16"/>
      <c r="I354" s="15"/>
      <c r="J354" s="16"/>
      <c r="K354" s="15"/>
      <c r="L354" s="15"/>
      <c r="M354" s="29"/>
      <c r="N354" s="19"/>
      <c r="O354" s="18">
        <f t="shared" si="4"/>
        <v>0</v>
      </c>
      <c r="P354" s="17"/>
      <c r="R354" s="22"/>
      <c r="S354" s="22"/>
      <c r="T354" s="19"/>
      <c r="U354" s="19"/>
    </row>
    <row r="355" spans="2:21" s="20" customFormat="1" ht="17.100000000000001" customHeight="1" x14ac:dyDescent="0.3">
      <c r="B355" s="17"/>
      <c r="C355" s="17"/>
      <c r="E355" s="15"/>
      <c r="F355" s="15"/>
      <c r="G355" s="15"/>
      <c r="H355" s="16"/>
      <c r="I355" s="15"/>
      <c r="J355" s="16"/>
      <c r="K355" s="15"/>
      <c r="L355" s="15"/>
      <c r="M355" s="29"/>
      <c r="N355" s="19"/>
      <c r="O355" s="18">
        <f t="shared" si="4"/>
        <v>0</v>
      </c>
      <c r="P355" s="17"/>
      <c r="R355" s="22"/>
      <c r="S355" s="22"/>
      <c r="T355" s="19"/>
      <c r="U355" s="19"/>
    </row>
    <row r="356" spans="2:21" s="20" customFormat="1" ht="17.100000000000001" customHeight="1" x14ac:dyDescent="0.3">
      <c r="B356" s="17"/>
      <c r="C356" s="17"/>
      <c r="E356" s="15"/>
      <c r="F356" s="15"/>
      <c r="G356" s="15"/>
      <c r="H356" s="16"/>
      <c r="I356" s="15"/>
      <c r="J356" s="16"/>
      <c r="K356" s="15"/>
      <c r="L356" s="15"/>
      <c r="M356" s="29"/>
      <c r="N356" s="19"/>
      <c r="O356" s="18">
        <f t="shared" si="4"/>
        <v>0</v>
      </c>
      <c r="P356" s="17"/>
      <c r="R356" s="22"/>
      <c r="S356" s="22"/>
      <c r="T356" s="19"/>
      <c r="U356" s="19"/>
    </row>
    <row r="357" spans="2:21" s="20" customFormat="1" ht="17.100000000000001" customHeight="1" x14ac:dyDescent="0.3">
      <c r="B357" s="17"/>
      <c r="C357" s="17"/>
      <c r="E357" s="15"/>
      <c r="F357" s="15"/>
      <c r="G357" s="15"/>
      <c r="H357" s="16"/>
      <c r="I357" s="15"/>
      <c r="J357" s="16"/>
      <c r="K357" s="15"/>
      <c r="L357" s="15"/>
      <c r="M357" s="29"/>
      <c r="N357" s="19"/>
      <c r="O357" s="18">
        <f t="shared" si="4"/>
        <v>0</v>
      </c>
      <c r="P357" s="17"/>
      <c r="R357" s="22"/>
      <c r="S357" s="22"/>
      <c r="T357" s="19"/>
      <c r="U357" s="19"/>
    </row>
    <row r="358" spans="2:21" s="20" customFormat="1" ht="17.100000000000001" customHeight="1" x14ac:dyDescent="0.3">
      <c r="B358" s="17"/>
      <c r="C358" s="17"/>
      <c r="E358" s="15"/>
      <c r="F358" s="15"/>
      <c r="G358" s="15"/>
      <c r="H358" s="16"/>
      <c r="I358" s="15"/>
      <c r="J358" s="16"/>
      <c r="K358" s="15"/>
      <c r="L358" s="15"/>
      <c r="M358" s="29"/>
      <c r="N358" s="19"/>
      <c r="O358" s="18">
        <f t="shared" si="4"/>
        <v>0</v>
      </c>
      <c r="P358" s="17"/>
      <c r="R358" s="22"/>
      <c r="S358" s="22"/>
      <c r="T358" s="19"/>
      <c r="U358" s="19"/>
    </row>
    <row r="359" spans="2:21" s="20" customFormat="1" ht="17.100000000000001" customHeight="1" x14ac:dyDescent="0.3">
      <c r="B359" s="17"/>
      <c r="C359" s="17"/>
      <c r="E359" s="15"/>
      <c r="F359" s="15"/>
      <c r="G359" s="15"/>
      <c r="H359" s="16"/>
      <c r="I359" s="15"/>
      <c r="J359" s="16"/>
      <c r="K359" s="15"/>
      <c r="L359" s="15"/>
      <c r="M359" s="29"/>
      <c r="N359" s="19"/>
      <c r="O359" s="18">
        <f t="shared" si="4"/>
        <v>0</v>
      </c>
      <c r="P359" s="17"/>
      <c r="R359" s="22"/>
      <c r="S359" s="22"/>
      <c r="T359" s="19"/>
      <c r="U359" s="19"/>
    </row>
    <row r="360" spans="2:21" s="20" customFormat="1" ht="17.100000000000001" customHeight="1" x14ac:dyDescent="0.3">
      <c r="B360" s="17"/>
      <c r="C360" s="17"/>
      <c r="E360" s="15"/>
      <c r="F360" s="15"/>
      <c r="G360" s="15"/>
      <c r="H360" s="16"/>
      <c r="I360" s="15"/>
      <c r="J360" s="16"/>
      <c r="K360" s="15"/>
      <c r="L360" s="15"/>
      <c r="M360" s="29"/>
      <c r="N360" s="19"/>
      <c r="O360" s="18">
        <f t="shared" si="4"/>
        <v>0</v>
      </c>
      <c r="P360" s="17"/>
      <c r="R360" s="22"/>
      <c r="S360" s="22"/>
      <c r="T360" s="19"/>
      <c r="U360" s="19"/>
    </row>
    <row r="361" spans="2:21" s="20" customFormat="1" ht="17.100000000000001" customHeight="1" x14ac:dyDescent="0.3">
      <c r="B361" s="17"/>
      <c r="C361" s="17"/>
      <c r="E361" s="15"/>
      <c r="F361" s="15"/>
      <c r="G361" s="15"/>
      <c r="H361" s="16"/>
      <c r="I361" s="15"/>
      <c r="J361" s="16"/>
      <c r="K361" s="15"/>
      <c r="L361" s="15"/>
      <c r="M361" s="29"/>
      <c r="N361" s="19"/>
      <c r="O361" s="18">
        <f t="shared" si="4"/>
        <v>0</v>
      </c>
      <c r="P361" s="17"/>
      <c r="R361" s="22"/>
      <c r="S361" s="22"/>
      <c r="T361" s="19"/>
      <c r="U361" s="19"/>
    </row>
    <row r="362" spans="2:21" s="20" customFormat="1" ht="17.100000000000001" customHeight="1" x14ac:dyDescent="0.3">
      <c r="B362" s="17"/>
      <c r="C362" s="17"/>
      <c r="E362" s="15"/>
      <c r="F362" s="15"/>
      <c r="G362" s="15"/>
      <c r="H362" s="16"/>
      <c r="I362" s="15"/>
      <c r="J362" s="16"/>
      <c r="K362" s="15"/>
      <c r="L362" s="15"/>
      <c r="M362" s="29"/>
      <c r="N362" s="19"/>
      <c r="O362" s="18">
        <f t="shared" si="4"/>
        <v>0</v>
      </c>
      <c r="P362" s="17"/>
      <c r="R362" s="22"/>
      <c r="S362" s="22"/>
      <c r="T362" s="19"/>
      <c r="U362" s="19"/>
    </row>
    <row r="363" spans="2:21" s="20" customFormat="1" ht="17.100000000000001" customHeight="1" x14ac:dyDescent="0.3">
      <c r="B363" s="17"/>
      <c r="C363" s="17"/>
      <c r="E363" s="15"/>
      <c r="F363" s="15"/>
      <c r="G363" s="15"/>
      <c r="H363" s="16"/>
      <c r="I363" s="15"/>
      <c r="J363" s="16"/>
      <c r="K363" s="15"/>
      <c r="L363" s="15"/>
      <c r="M363" s="29"/>
      <c r="N363" s="19"/>
      <c r="O363" s="18">
        <f t="shared" si="4"/>
        <v>0</v>
      </c>
      <c r="P363" s="17"/>
      <c r="R363" s="22"/>
      <c r="S363" s="22"/>
      <c r="T363" s="19"/>
      <c r="U363" s="19"/>
    </row>
    <row r="364" spans="2:21" s="20" customFormat="1" ht="17.100000000000001" customHeight="1" x14ac:dyDescent="0.3">
      <c r="B364" s="17"/>
      <c r="C364" s="17"/>
      <c r="E364" s="15"/>
      <c r="F364" s="15"/>
      <c r="G364" s="15"/>
      <c r="H364" s="16"/>
      <c r="I364" s="15"/>
      <c r="J364" s="16"/>
      <c r="K364" s="15"/>
      <c r="L364" s="15"/>
      <c r="M364" s="29"/>
      <c r="N364" s="19"/>
      <c r="O364" s="18">
        <f t="shared" si="4"/>
        <v>0</v>
      </c>
      <c r="P364" s="17"/>
      <c r="R364" s="22"/>
      <c r="S364" s="22"/>
      <c r="T364" s="19"/>
      <c r="U364" s="19"/>
    </row>
    <row r="365" spans="2:21" s="20" customFormat="1" ht="17.100000000000001" customHeight="1" x14ac:dyDescent="0.3">
      <c r="B365" s="17"/>
      <c r="C365" s="17"/>
      <c r="E365" s="15"/>
      <c r="F365" s="15"/>
      <c r="G365" s="15"/>
      <c r="H365" s="16"/>
      <c r="I365" s="15"/>
      <c r="J365" s="16"/>
      <c r="K365" s="15"/>
      <c r="L365" s="15"/>
      <c r="M365" s="29"/>
      <c r="N365" s="19"/>
      <c r="O365" s="18">
        <f t="shared" si="4"/>
        <v>0</v>
      </c>
      <c r="P365" s="17"/>
      <c r="R365" s="22"/>
      <c r="S365" s="22"/>
      <c r="T365" s="19"/>
      <c r="U365" s="19"/>
    </row>
    <row r="366" spans="2:21" s="20" customFormat="1" ht="17.100000000000001" customHeight="1" x14ac:dyDescent="0.3">
      <c r="B366" s="17"/>
      <c r="C366" s="17"/>
      <c r="E366" s="15"/>
      <c r="F366" s="15"/>
      <c r="G366" s="15"/>
      <c r="H366" s="16"/>
      <c r="I366" s="15"/>
      <c r="J366" s="16"/>
      <c r="K366" s="15"/>
      <c r="L366" s="15"/>
      <c r="M366" s="29"/>
      <c r="N366" s="19"/>
      <c r="O366" s="18">
        <f t="shared" si="4"/>
        <v>0</v>
      </c>
      <c r="P366" s="17"/>
      <c r="R366" s="22"/>
      <c r="S366" s="22"/>
      <c r="T366" s="19"/>
      <c r="U366" s="19"/>
    </row>
    <row r="367" spans="2:21" s="20" customFormat="1" ht="17.100000000000001" customHeight="1" x14ac:dyDescent="0.3">
      <c r="B367" s="17"/>
      <c r="C367" s="17"/>
      <c r="E367" s="15"/>
      <c r="F367" s="15"/>
      <c r="G367" s="15"/>
      <c r="H367" s="16"/>
      <c r="I367" s="15"/>
      <c r="J367" s="16"/>
      <c r="K367" s="15"/>
      <c r="L367" s="15"/>
      <c r="M367" s="29"/>
      <c r="N367" s="19"/>
      <c r="O367" s="18">
        <f t="shared" si="4"/>
        <v>0</v>
      </c>
      <c r="P367" s="17"/>
      <c r="R367" s="22"/>
      <c r="S367" s="22"/>
      <c r="T367" s="19"/>
      <c r="U367" s="19"/>
    </row>
    <row r="368" spans="2:21" s="20" customFormat="1" ht="17.100000000000001" customHeight="1" x14ac:dyDescent="0.3">
      <c r="B368" s="17"/>
      <c r="C368" s="17"/>
      <c r="E368" s="15"/>
      <c r="F368" s="15"/>
      <c r="G368" s="15"/>
      <c r="H368" s="16"/>
      <c r="I368" s="15"/>
      <c r="J368" s="16"/>
      <c r="K368" s="15"/>
      <c r="L368" s="15"/>
      <c r="M368" s="29"/>
      <c r="N368" s="19"/>
      <c r="O368" s="18">
        <f t="shared" si="4"/>
        <v>0</v>
      </c>
      <c r="P368" s="17"/>
      <c r="R368" s="22"/>
      <c r="S368" s="22"/>
      <c r="T368" s="19"/>
      <c r="U368" s="19"/>
    </row>
    <row r="369" spans="2:21" s="20" customFormat="1" ht="17.100000000000001" customHeight="1" x14ac:dyDescent="0.3">
      <c r="B369" s="17"/>
      <c r="C369" s="17"/>
      <c r="E369" s="15"/>
      <c r="F369" s="15"/>
      <c r="G369" s="15"/>
      <c r="H369" s="16"/>
      <c r="I369" s="15"/>
      <c r="J369" s="16"/>
      <c r="K369" s="15"/>
      <c r="L369" s="15"/>
      <c r="M369" s="29"/>
      <c r="N369" s="19"/>
      <c r="O369" s="18">
        <f t="shared" si="4"/>
        <v>0</v>
      </c>
      <c r="P369" s="17"/>
      <c r="R369" s="22"/>
      <c r="S369" s="22"/>
      <c r="T369" s="19"/>
      <c r="U369" s="19"/>
    </row>
    <row r="370" spans="2:21" s="20" customFormat="1" ht="17.100000000000001" customHeight="1" x14ac:dyDescent="0.3">
      <c r="B370" s="17"/>
      <c r="C370" s="17"/>
      <c r="E370" s="15"/>
      <c r="F370" s="15"/>
      <c r="G370" s="15"/>
      <c r="H370" s="16"/>
      <c r="I370" s="15"/>
      <c r="J370" s="16"/>
      <c r="K370" s="15"/>
      <c r="L370" s="15"/>
      <c r="M370" s="29"/>
      <c r="N370" s="19"/>
      <c r="O370" s="18">
        <f t="shared" si="4"/>
        <v>0</v>
      </c>
      <c r="P370" s="17"/>
      <c r="R370" s="22"/>
      <c r="S370" s="22"/>
      <c r="T370" s="19"/>
      <c r="U370" s="19"/>
    </row>
    <row r="371" spans="2:21" s="20" customFormat="1" ht="17.100000000000001" customHeight="1" x14ac:dyDescent="0.3">
      <c r="B371" s="17"/>
      <c r="C371" s="17"/>
      <c r="E371" s="15"/>
      <c r="F371" s="15"/>
      <c r="G371" s="15"/>
      <c r="H371" s="16"/>
      <c r="I371" s="15"/>
      <c r="J371" s="16"/>
      <c r="K371" s="15"/>
      <c r="L371" s="15"/>
      <c r="M371" s="29"/>
      <c r="N371" s="19"/>
      <c r="O371" s="18">
        <f t="shared" si="4"/>
        <v>0</v>
      </c>
      <c r="P371" s="17"/>
      <c r="R371" s="22"/>
      <c r="S371" s="22"/>
      <c r="T371" s="19"/>
      <c r="U371" s="19"/>
    </row>
    <row r="372" spans="2:21" s="20" customFormat="1" ht="17.100000000000001" customHeight="1" x14ac:dyDescent="0.3">
      <c r="B372" s="17"/>
      <c r="C372" s="17"/>
      <c r="E372" s="15"/>
      <c r="F372" s="15"/>
      <c r="G372" s="15"/>
      <c r="H372" s="16"/>
      <c r="I372" s="15"/>
      <c r="J372" s="16"/>
      <c r="K372" s="15"/>
      <c r="L372" s="15"/>
      <c r="M372" s="29"/>
      <c r="N372" s="19"/>
      <c r="O372" s="18">
        <f t="shared" si="4"/>
        <v>0</v>
      </c>
      <c r="P372" s="17"/>
      <c r="R372" s="22"/>
      <c r="S372" s="22"/>
      <c r="T372" s="19"/>
      <c r="U372" s="19"/>
    </row>
    <row r="373" spans="2:21" s="20" customFormat="1" ht="17.100000000000001" customHeight="1" x14ac:dyDescent="0.3">
      <c r="B373" s="17"/>
      <c r="C373" s="17"/>
      <c r="E373" s="15"/>
      <c r="F373" s="15"/>
      <c r="G373" s="15"/>
      <c r="H373" s="16"/>
      <c r="I373" s="15"/>
      <c r="J373" s="16"/>
      <c r="K373" s="15"/>
      <c r="L373" s="15"/>
      <c r="M373" s="29"/>
      <c r="N373" s="19"/>
      <c r="O373" s="18">
        <f t="shared" si="4"/>
        <v>0</v>
      </c>
      <c r="P373" s="17"/>
      <c r="R373" s="22"/>
      <c r="S373" s="22"/>
      <c r="T373" s="19"/>
      <c r="U373" s="19"/>
    </row>
    <row r="374" spans="2:21" s="20" customFormat="1" ht="17.100000000000001" customHeight="1" x14ac:dyDescent="0.3">
      <c r="B374" s="17"/>
      <c r="C374" s="17"/>
      <c r="E374" s="15"/>
      <c r="F374" s="15"/>
      <c r="G374" s="15"/>
      <c r="H374" s="16"/>
      <c r="I374" s="15"/>
      <c r="J374" s="16"/>
      <c r="K374" s="15"/>
      <c r="L374" s="15"/>
      <c r="M374" s="29"/>
      <c r="N374" s="19"/>
      <c r="O374" s="18">
        <f t="shared" si="4"/>
        <v>0</v>
      </c>
      <c r="P374" s="17"/>
      <c r="R374" s="22"/>
      <c r="S374" s="22"/>
      <c r="T374" s="19"/>
      <c r="U374" s="19"/>
    </row>
    <row r="375" spans="2:21" s="20" customFormat="1" ht="17.100000000000001" customHeight="1" x14ac:dyDescent="0.3">
      <c r="B375" s="17"/>
      <c r="C375" s="17"/>
      <c r="E375" s="15"/>
      <c r="F375" s="15"/>
      <c r="G375" s="15"/>
      <c r="H375" s="16"/>
      <c r="I375" s="15"/>
      <c r="J375" s="16"/>
      <c r="K375" s="15"/>
      <c r="L375" s="15"/>
      <c r="M375" s="29"/>
      <c r="N375" s="19"/>
      <c r="O375" s="18">
        <f t="shared" si="4"/>
        <v>0</v>
      </c>
      <c r="P375" s="17"/>
      <c r="R375" s="22"/>
      <c r="S375" s="22"/>
      <c r="T375" s="19"/>
      <c r="U375" s="19"/>
    </row>
    <row r="376" spans="2:21" s="20" customFormat="1" ht="17.100000000000001" customHeight="1" x14ac:dyDescent="0.3">
      <c r="B376" s="17"/>
      <c r="C376" s="17"/>
      <c r="E376" s="15"/>
      <c r="F376" s="15"/>
      <c r="G376" s="15"/>
      <c r="H376" s="16"/>
      <c r="I376" s="15"/>
      <c r="J376" s="16"/>
      <c r="K376" s="15"/>
      <c r="L376" s="15"/>
      <c r="M376" s="29"/>
      <c r="N376" s="19"/>
      <c r="O376" s="18">
        <f t="shared" si="4"/>
        <v>0</v>
      </c>
      <c r="P376" s="17"/>
      <c r="R376" s="22"/>
      <c r="S376" s="22"/>
      <c r="T376" s="19"/>
      <c r="U376" s="19"/>
    </row>
    <row r="377" spans="2:21" s="20" customFormat="1" ht="17.100000000000001" customHeight="1" x14ac:dyDescent="0.3">
      <c r="B377" s="17"/>
      <c r="C377" s="17"/>
      <c r="E377" s="15"/>
      <c r="F377" s="15"/>
      <c r="G377" s="15"/>
      <c r="H377" s="16"/>
      <c r="I377" s="15"/>
      <c r="J377" s="16"/>
      <c r="K377" s="15"/>
      <c r="L377" s="15"/>
      <c r="M377" s="29"/>
      <c r="N377" s="19"/>
      <c r="O377" s="18">
        <f t="shared" si="4"/>
        <v>0</v>
      </c>
      <c r="P377" s="17"/>
      <c r="R377" s="22"/>
      <c r="S377" s="22"/>
      <c r="T377" s="19"/>
      <c r="U377" s="19"/>
    </row>
    <row r="378" spans="2:21" s="20" customFormat="1" ht="17.100000000000001" customHeight="1" x14ac:dyDescent="0.3">
      <c r="B378" s="17"/>
      <c r="C378" s="17"/>
      <c r="E378" s="15"/>
      <c r="F378" s="15"/>
      <c r="G378" s="15"/>
      <c r="H378" s="16"/>
      <c r="I378" s="15"/>
      <c r="J378" s="16"/>
      <c r="K378" s="15"/>
      <c r="L378" s="15"/>
      <c r="M378" s="29"/>
      <c r="N378" s="19"/>
      <c r="O378" s="18">
        <f t="shared" si="4"/>
        <v>0</v>
      </c>
      <c r="P378" s="17"/>
      <c r="R378" s="22"/>
      <c r="S378" s="22"/>
      <c r="T378" s="19"/>
      <c r="U378" s="19"/>
    </row>
    <row r="379" spans="2:21" s="20" customFormat="1" ht="17.100000000000001" customHeight="1" x14ac:dyDescent="0.3">
      <c r="B379" s="17"/>
      <c r="C379" s="17"/>
      <c r="E379" s="15"/>
      <c r="F379" s="15"/>
      <c r="G379" s="15"/>
      <c r="H379" s="16"/>
      <c r="I379" s="15"/>
      <c r="J379" s="16"/>
      <c r="K379" s="15"/>
      <c r="L379" s="15"/>
      <c r="M379" s="29"/>
      <c r="N379" s="19"/>
      <c r="O379" s="18">
        <f t="shared" si="4"/>
        <v>0</v>
      </c>
      <c r="P379" s="17"/>
      <c r="R379" s="22"/>
      <c r="S379" s="22"/>
      <c r="T379" s="19"/>
      <c r="U379" s="19"/>
    </row>
    <row r="380" spans="2:21" s="20" customFormat="1" ht="17.100000000000001" customHeight="1" x14ac:dyDescent="0.3">
      <c r="B380" s="17"/>
      <c r="C380" s="17"/>
      <c r="E380" s="15"/>
      <c r="F380" s="15"/>
      <c r="G380" s="15"/>
      <c r="H380" s="16"/>
      <c r="I380" s="15"/>
      <c r="J380" s="16"/>
      <c r="K380" s="15"/>
      <c r="L380" s="15"/>
      <c r="M380" s="29"/>
      <c r="N380" s="19"/>
      <c r="O380" s="18">
        <f t="shared" si="4"/>
        <v>0</v>
      </c>
      <c r="P380" s="17"/>
      <c r="R380" s="22"/>
      <c r="S380" s="22"/>
      <c r="T380" s="19"/>
      <c r="U380" s="19"/>
    </row>
    <row r="381" spans="2:21" s="20" customFormat="1" ht="17.100000000000001" customHeight="1" x14ac:dyDescent="0.3">
      <c r="B381" s="17"/>
      <c r="C381" s="17"/>
      <c r="E381" s="15"/>
      <c r="F381" s="15"/>
      <c r="G381" s="15"/>
      <c r="H381" s="16"/>
      <c r="I381" s="15"/>
      <c r="J381" s="16"/>
      <c r="K381" s="15"/>
      <c r="L381" s="15"/>
      <c r="M381" s="29"/>
      <c r="N381" s="19"/>
      <c r="O381" s="18">
        <f t="shared" si="4"/>
        <v>0</v>
      </c>
      <c r="P381" s="17"/>
      <c r="R381" s="22"/>
      <c r="S381" s="22"/>
      <c r="T381" s="19"/>
      <c r="U381" s="19"/>
    </row>
    <row r="382" spans="2:21" s="20" customFormat="1" ht="17.100000000000001" customHeight="1" x14ac:dyDescent="0.3">
      <c r="B382" s="17"/>
      <c r="C382" s="17"/>
      <c r="E382" s="15"/>
      <c r="F382" s="15"/>
      <c r="G382" s="15"/>
      <c r="H382" s="16"/>
      <c r="I382" s="15"/>
      <c r="J382" s="16"/>
      <c r="K382" s="15"/>
      <c r="L382" s="15"/>
      <c r="M382" s="29"/>
      <c r="N382" s="19"/>
      <c r="O382" s="18">
        <f t="shared" si="4"/>
        <v>0</v>
      </c>
      <c r="P382" s="17"/>
      <c r="R382" s="22"/>
      <c r="S382" s="22"/>
      <c r="T382" s="19"/>
      <c r="U382" s="19"/>
    </row>
    <row r="383" spans="2:21" s="20" customFormat="1" ht="17.100000000000001" customHeight="1" x14ac:dyDescent="0.3">
      <c r="B383" s="17"/>
      <c r="C383" s="17"/>
      <c r="E383" s="15"/>
      <c r="F383" s="15"/>
      <c r="G383" s="15"/>
      <c r="H383" s="16"/>
      <c r="I383" s="15"/>
      <c r="J383" s="16"/>
      <c r="K383" s="15"/>
      <c r="L383" s="15"/>
      <c r="M383" s="29"/>
      <c r="N383" s="19"/>
      <c r="O383" s="18">
        <f t="shared" si="4"/>
        <v>0</v>
      </c>
      <c r="P383" s="17"/>
      <c r="R383" s="22"/>
      <c r="S383" s="22"/>
      <c r="T383" s="19"/>
      <c r="U383" s="19"/>
    </row>
    <row r="384" spans="2:21" s="20" customFormat="1" ht="17.100000000000001" customHeight="1" x14ac:dyDescent="0.3">
      <c r="B384" s="17"/>
      <c r="C384" s="17"/>
      <c r="E384" s="15"/>
      <c r="F384" s="15"/>
      <c r="G384" s="15"/>
      <c r="H384" s="16"/>
      <c r="I384" s="15"/>
      <c r="J384" s="16"/>
      <c r="K384" s="15"/>
      <c r="L384" s="15"/>
      <c r="M384" s="29"/>
      <c r="N384" s="19"/>
      <c r="O384" s="18">
        <f t="shared" si="4"/>
        <v>0</v>
      </c>
      <c r="P384" s="17"/>
      <c r="R384" s="22"/>
      <c r="S384" s="22"/>
      <c r="T384" s="19"/>
      <c r="U384" s="19"/>
    </row>
    <row r="385" spans="2:21" s="20" customFormat="1" ht="17.100000000000001" customHeight="1" x14ac:dyDescent="0.3">
      <c r="B385" s="17"/>
      <c r="C385" s="17"/>
      <c r="E385" s="15"/>
      <c r="F385" s="15"/>
      <c r="G385" s="15"/>
      <c r="H385" s="16"/>
      <c r="I385" s="15"/>
      <c r="J385" s="16"/>
      <c r="K385" s="15"/>
      <c r="L385" s="15"/>
      <c r="M385" s="29"/>
      <c r="N385" s="19"/>
      <c r="O385" s="18">
        <f t="shared" si="4"/>
        <v>0</v>
      </c>
      <c r="P385" s="17"/>
      <c r="R385" s="22"/>
      <c r="S385" s="22"/>
      <c r="T385" s="19"/>
      <c r="U385" s="19"/>
    </row>
    <row r="386" spans="2:21" s="20" customFormat="1" ht="17.100000000000001" customHeight="1" x14ac:dyDescent="0.3">
      <c r="B386" s="17"/>
      <c r="C386" s="17"/>
      <c r="E386" s="15"/>
      <c r="F386" s="15"/>
      <c r="G386" s="15"/>
      <c r="H386" s="16"/>
      <c r="I386" s="15"/>
      <c r="J386" s="16"/>
      <c r="K386" s="15"/>
      <c r="L386" s="15"/>
      <c r="M386" s="29"/>
      <c r="N386" s="19"/>
      <c r="O386" s="18">
        <f t="shared" si="4"/>
        <v>0</v>
      </c>
      <c r="P386" s="17"/>
      <c r="R386" s="22"/>
      <c r="S386" s="22"/>
      <c r="T386" s="19"/>
      <c r="U386" s="19"/>
    </row>
    <row r="387" spans="2:21" s="20" customFormat="1" ht="17.100000000000001" customHeight="1" x14ac:dyDescent="0.3">
      <c r="B387" s="17"/>
      <c r="C387" s="17"/>
      <c r="E387" s="15"/>
      <c r="F387" s="15"/>
      <c r="G387" s="15"/>
      <c r="H387" s="16"/>
      <c r="I387" s="15"/>
      <c r="J387" s="16"/>
      <c r="K387" s="15"/>
      <c r="L387" s="15"/>
      <c r="M387" s="29"/>
      <c r="N387" s="19"/>
      <c r="O387" s="18">
        <f t="shared" si="4"/>
        <v>0</v>
      </c>
      <c r="P387" s="17"/>
      <c r="R387" s="22"/>
      <c r="S387" s="22"/>
      <c r="T387" s="19"/>
      <c r="U387" s="19"/>
    </row>
    <row r="388" spans="2:21" s="20" customFormat="1" ht="17.100000000000001" customHeight="1" x14ac:dyDescent="0.3">
      <c r="B388" s="17"/>
      <c r="C388" s="17"/>
      <c r="E388" s="15"/>
      <c r="F388" s="15"/>
      <c r="G388" s="15"/>
      <c r="H388" s="16"/>
      <c r="I388" s="15"/>
      <c r="J388" s="16"/>
      <c r="K388" s="15"/>
      <c r="L388" s="15"/>
      <c r="M388" s="29"/>
      <c r="N388" s="19"/>
      <c r="O388" s="18">
        <f t="shared" si="4"/>
        <v>0</v>
      </c>
      <c r="P388" s="17"/>
      <c r="R388" s="22"/>
      <c r="S388" s="22"/>
      <c r="T388" s="19"/>
      <c r="U388" s="19"/>
    </row>
    <row r="389" spans="2:21" s="20" customFormat="1" ht="17.100000000000001" customHeight="1" x14ac:dyDescent="0.3">
      <c r="B389" s="17"/>
      <c r="C389" s="17"/>
      <c r="E389" s="15"/>
      <c r="F389" s="15"/>
      <c r="G389" s="15"/>
      <c r="H389" s="16"/>
      <c r="I389" s="15"/>
      <c r="J389" s="16"/>
      <c r="K389" s="15"/>
      <c r="L389" s="15"/>
      <c r="M389" s="29"/>
      <c r="N389" s="19"/>
      <c r="O389" s="18">
        <f t="shared" si="4"/>
        <v>0</v>
      </c>
      <c r="P389" s="17"/>
      <c r="R389" s="22"/>
      <c r="S389" s="22"/>
      <c r="T389" s="19"/>
      <c r="U389" s="19"/>
    </row>
    <row r="390" spans="2:21" s="20" customFormat="1" ht="17.100000000000001" customHeight="1" x14ac:dyDescent="0.3">
      <c r="B390" s="17"/>
      <c r="C390" s="17"/>
      <c r="E390" s="15"/>
      <c r="F390" s="15"/>
      <c r="G390" s="15"/>
      <c r="H390" s="16"/>
      <c r="I390" s="15"/>
      <c r="J390" s="16"/>
      <c r="K390" s="15"/>
      <c r="L390" s="15"/>
      <c r="M390" s="29"/>
      <c r="N390" s="19"/>
      <c r="O390" s="18">
        <f t="shared" si="4"/>
        <v>0</v>
      </c>
      <c r="P390" s="17"/>
      <c r="R390" s="22"/>
      <c r="S390" s="22"/>
      <c r="T390" s="19"/>
      <c r="U390" s="19"/>
    </row>
    <row r="391" spans="2:21" s="20" customFormat="1" ht="17.100000000000001" customHeight="1" x14ac:dyDescent="0.3">
      <c r="B391" s="17"/>
      <c r="C391" s="17"/>
      <c r="E391" s="15"/>
      <c r="F391" s="15"/>
      <c r="G391" s="15"/>
      <c r="H391" s="16"/>
      <c r="I391" s="15"/>
      <c r="J391" s="16"/>
      <c r="K391" s="15"/>
      <c r="L391" s="15"/>
      <c r="M391" s="29"/>
      <c r="N391" s="19"/>
      <c r="O391" s="18">
        <f t="shared" si="4"/>
        <v>0</v>
      </c>
      <c r="P391" s="17"/>
      <c r="R391" s="22"/>
      <c r="S391" s="22"/>
      <c r="T391" s="19"/>
      <c r="U391" s="19"/>
    </row>
    <row r="392" spans="2:21" s="20" customFormat="1" ht="17.100000000000001" customHeight="1" x14ac:dyDescent="0.3">
      <c r="B392" s="17"/>
      <c r="C392" s="17"/>
      <c r="E392" s="15"/>
      <c r="F392" s="15"/>
      <c r="G392" s="15"/>
      <c r="H392" s="16"/>
      <c r="I392" s="15"/>
      <c r="J392" s="16"/>
      <c r="K392" s="15"/>
      <c r="L392" s="15"/>
      <c r="M392" s="29"/>
      <c r="N392" s="19"/>
      <c r="O392" s="18">
        <f t="shared" si="4"/>
        <v>0</v>
      </c>
      <c r="P392" s="17"/>
      <c r="R392" s="22"/>
      <c r="S392" s="22"/>
      <c r="T392" s="19"/>
      <c r="U392" s="19"/>
    </row>
    <row r="393" spans="2:21" s="20" customFormat="1" ht="17.100000000000001" customHeight="1" x14ac:dyDescent="0.3">
      <c r="B393" s="17"/>
      <c r="C393" s="17"/>
      <c r="E393" s="15"/>
      <c r="F393" s="15"/>
      <c r="G393" s="15"/>
      <c r="H393" s="16"/>
      <c r="I393" s="15"/>
      <c r="J393" s="16"/>
      <c r="K393" s="15"/>
      <c r="L393" s="15"/>
      <c r="M393" s="29"/>
      <c r="N393" s="19"/>
      <c r="O393" s="18">
        <f t="shared" ref="O393:O456" si="5">(N393*I393)+U393</f>
        <v>0</v>
      </c>
      <c r="P393" s="17"/>
      <c r="R393" s="22"/>
      <c r="S393" s="22"/>
      <c r="T393" s="19"/>
      <c r="U393" s="19"/>
    </row>
    <row r="394" spans="2:21" s="20" customFormat="1" ht="17.100000000000001" customHeight="1" x14ac:dyDescent="0.3">
      <c r="B394" s="17"/>
      <c r="C394" s="17"/>
      <c r="E394" s="15"/>
      <c r="F394" s="15"/>
      <c r="G394" s="15"/>
      <c r="H394" s="16"/>
      <c r="I394" s="15"/>
      <c r="J394" s="16"/>
      <c r="K394" s="15"/>
      <c r="L394" s="15"/>
      <c r="M394" s="29"/>
      <c r="N394" s="19"/>
      <c r="O394" s="18">
        <f t="shared" si="5"/>
        <v>0</v>
      </c>
      <c r="P394" s="17"/>
      <c r="R394" s="22"/>
      <c r="S394" s="22"/>
      <c r="T394" s="19"/>
      <c r="U394" s="19"/>
    </row>
    <row r="395" spans="2:21" s="20" customFormat="1" ht="17.100000000000001" customHeight="1" x14ac:dyDescent="0.3">
      <c r="B395" s="17"/>
      <c r="C395" s="17"/>
      <c r="E395" s="15"/>
      <c r="F395" s="15"/>
      <c r="G395" s="15"/>
      <c r="H395" s="16"/>
      <c r="I395" s="15"/>
      <c r="J395" s="16"/>
      <c r="K395" s="15"/>
      <c r="L395" s="15"/>
      <c r="M395" s="29"/>
      <c r="N395" s="19"/>
      <c r="O395" s="18">
        <f t="shared" si="5"/>
        <v>0</v>
      </c>
      <c r="P395" s="17"/>
      <c r="R395" s="22"/>
      <c r="S395" s="22"/>
      <c r="T395" s="19"/>
      <c r="U395" s="19"/>
    </row>
    <row r="396" spans="2:21" s="20" customFormat="1" ht="17.100000000000001" customHeight="1" x14ac:dyDescent="0.3">
      <c r="B396" s="17"/>
      <c r="C396" s="17"/>
      <c r="E396" s="15"/>
      <c r="F396" s="15"/>
      <c r="G396" s="15"/>
      <c r="H396" s="16"/>
      <c r="I396" s="15"/>
      <c r="J396" s="16"/>
      <c r="K396" s="15"/>
      <c r="L396" s="15"/>
      <c r="M396" s="29"/>
      <c r="N396" s="19"/>
      <c r="O396" s="18">
        <f t="shared" si="5"/>
        <v>0</v>
      </c>
      <c r="P396" s="17"/>
      <c r="R396" s="22"/>
      <c r="S396" s="22"/>
      <c r="T396" s="19"/>
      <c r="U396" s="19"/>
    </row>
    <row r="397" spans="2:21" s="20" customFormat="1" ht="17.100000000000001" customHeight="1" x14ac:dyDescent="0.3">
      <c r="B397" s="17"/>
      <c r="C397" s="17"/>
      <c r="E397" s="15"/>
      <c r="F397" s="15"/>
      <c r="G397" s="15"/>
      <c r="H397" s="16"/>
      <c r="I397" s="15"/>
      <c r="J397" s="16"/>
      <c r="K397" s="15"/>
      <c r="L397" s="15"/>
      <c r="M397" s="29"/>
      <c r="N397" s="19"/>
      <c r="O397" s="18">
        <f t="shared" si="5"/>
        <v>0</v>
      </c>
      <c r="P397" s="17"/>
      <c r="R397" s="22"/>
      <c r="S397" s="22"/>
      <c r="T397" s="19"/>
      <c r="U397" s="19"/>
    </row>
    <row r="398" spans="2:21" s="20" customFormat="1" ht="17.100000000000001" customHeight="1" x14ac:dyDescent="0.3">
      <c r="B398" s="17"/>
      <c r="C398" s="17"/>
      <c r="E398" s="15"/>
      <c r="F398" s="15"/>
      <c r="G398" s="15"/>
      <c r="H398" s="16"/>
      <c r="I398" s="15"/>
      <c r="J398" s="16"/>
      <c r="K398" s="15"/>
      <c r="L398" s="15"/>
      <c r="M398" s="29"/>
      <c r="N398" s="19"/>
      <c r="O398" s="18">
        <f t="shared" si="5"/>
        <v>0</v>
      </c>
      <c r="P398" s="17"/>
      <c r="R398" s="22"/>
      <c r="S398" s="22"/>
      <c r="T398" s="19"/>
      <c r="U398" s="19"/>
    </row>
    <row r="399" spans="2:21" s="20" customFormat="1" ht="17.100000000000001" customHeight="1" x14ac:dyDescent="0.3">
      <c r="B399" s="17"/>
      <c r="C399" s="17"/>
      <c r="E399" s="15"/>
      <c r="F399" s="15"/>
      <c r="G399" s="15"/>
      <c r="H399" s="16"/>
      <c r="I399" s="15"/>
      <c r="J399" s="16"/>
      <c r="K399" s="15"/>
      <c r="L399" s="15"/>
      <c r="M399" s="29"/>
      <c r="N399" s="19"/>
      <c r="O399" s="18">
        <f t="shared" si="5"/>
        <v>0</v>
      </c>
      <c r="P399" s="17"/>
      <c r="R399" s="22"/>
      <c r="S399" s="22"/>
      <c r="T399" s="19"/>
      <c r="U399" s="19"/>
    </row>
    <row r="400" spans="2:21" s="20" customFormat="1" ht="17.100000000000001" customHeight="1" x14ac:dyDescent="0.3">
      <c r="B400" s="17"/>
      <c r="C400" s="17"/>
      <c r="E400" s="15"/>
      <c r="F400" s="15"/>
      <c r="G400" s="15"/>
      <c r="H400" s="16"/>
      <c r="I400" s="15"/>
      <c r="J400" s="16"/>
      <c r="K400" s="15"/>
      <c r="L400" s="15"/>
      <c r="M400" s="29"/>
      <c r="N400" s="19"/>
      <c r="O400" s="18">
        <f t="shared" si="5"/>
        <v>0</v>
      </c>
      <c r="P400" s="17"/>
      <c r="R400" s="22"/>
      <c r="S400" s="22"/>
      <c r="T400" s="19"/>
      <c r="U400" s="19"/>
    </row>
    <row r="401" spans="2:21" s="20" customFormat="1" ht="17.100000000000001" customHeight="1" x14ac:dyDescent="0.3">
      <c r="B401" s="17"/>
      <c r="C401" s="17"/>
      <c r="E401" s="15"/>
      <c r="F401" s="15"/>
      <c r="G401" s="15"/>
      <c r="H401" s="16"/>
      <c r="I401" s="15"/>
      <c r="J401" s="16"/>
      <c r="K401" s="15"/>
      <c r="L401" s="15"/>
      <c r="M401" s="29"/>
      <c r="N401" s="19"/>
      <c r="O401" s="18">
        <f t="shared" si="5"/>
        <v>0</v>
      </c>
      <c r="P401" s="17"/>
      <c r="R401" s="22"/>
      <c r="S401" s="22"/>
      <c r="T401" s="19"/>
      <c r="U401" s="19"/>
    </row>
    <row r="402" spans="2:21" s="20" customFormat="1" ht="17.100000000000001" customHeight="1" x14ac:dyDescent="0.3">
      <c r="B402" s="17"/>
      <c r="C402" s="17"/>
      <c r="E402" s="15"/>
      <c r="F402" s="15"/>
      <c r="G402" s="15"/>
      <c r="H402" s="16"/>
      <c r="I402" s="15"/>
      <c r="J402" s="16"/>
      <c r="K402" s="15"/>
      <c r="L402" s="15"/>
      <c r="M402" s="29"/>
      <c r="N402" s="19"/>
      <c r="O402" s="18">
        <f t="shared" si="5"/>
        <v>0</v>
      </c>
      <c r="P402" s="17"/>
      <c r="R402" s="22"/>
      <c r="S402" s="22"/>
      <c r="T402" s="19"/>
      <c r="U402" s="19"/>
    </row>
    <row r="403" spans="2:21" s="20" customFormat="1" ht="17.100000000000001" customHeight="1" x14ac:dyDescent="0.3">
      <c r="B403" s="17"/>
      <c r="C403" s="17"/>
      <c r="E403" s="15"/>
      <c r="F403" s="15"/>
      <c r="G403" s="15"/>
      <c r="H403" s="16"/>
      <c r="I403" s="15"/>
      <c r="J403" s="16"/>
      <c r="K403" s="15"/>
      <c r="L403" s="15"/>
      <c r="M403" s="29"/>
      <c r="N403" s="19"/>
      <c r="O403" s="18">
        <f t="shared" si="5"/>
        <v>0</v>
      </c>
      <c r="P403" s="17"/>
      <c r="R403" s="22"/>
      <c r="S403" s="22"/>
      <c r="T403" s="19"/>
      <c r="U403" s="19"/>
    </row>
    <row r="404" spans="2:21" s="20" customFormat="1" ht="17.100000000000001" customHeight="1" x14ac:dyDescent="0.3">
      <c r="B404" s="17"/>
      <c r="C404" s="17"/>
      <c r="E404" s="15"/>
      <c r="F404" s="15"/>
      <c r="G404" s="15"/>
      <c r="H404" s="16"/>
      <c r="I404" s="15"/>
      <c r="J404" s="16"/>
      <c r="K404" s="15"/>
      <c r="L404" s="15"/>
      <c r="M404" s="29"/>
      <c r="N404" s="19"/>
      <c r="O404" s="18">
        <f t="shared" si="5"/>
        <v>0</v>
      </c>
      <c r="P404" s="17"/>
      <c r="R404" s="22"/>
      <c r="S404" s="22"/>
      <c r="T404" s="19"/>
      <c r="U404" s="19"/>
    </row>
    <row r="405" spans="2:21" s="20" customFormat="1" ht="17.100000000000001" customHeight="1" x14ac:dyDescent="0.3">
      <c r="B405" s="17"/>
      <c r="C405" s="17"/>
      <c r="E405" s="15"/>
      <c r="F405" s="15"/>
      <c r="G405" s="15"/>
      <c r="H405" s="16"/>
      <c r="I405" s="15"/>
      <c r="J405" s="16"/>
      <c r="K405" s="15"/>
      <c r="L405" s="15"/>
      <c r="M405" s="29"/>
      <c r="N405" s="19"/>
      <c r="O405" s="18">
        <f t="shared" si="5"/>
        <v>0</v>
      </c>
      <c r="P405" s="17"/>
      <c r="R405" s="22"/>
      <c r="S405" s="22"/>
      <c r="T405" s="19"/>
      <c r="U405" s="19"/>
    </row>
    <row r="406" spans="2:21" s="20" customFormat="1" ht="17.100000000000001" customHeight="1" x14ac:dyDescent="0.3">
      <c r="B406" s="17"/>
      <c r="C406" s="17"/>
      <c r="E406" s="15"/>
      <c r="F406" s="15"/>
      <c r="G406" s="15"/>
      <c r="H406" s="16"/>
      <c r="I406" s="15"/>
      <c r="J406" s="16"/>
      <c r="K406" s="15"/>
      <c r="L406" s="15"/>
      <c r="M406" s="29"/>
      <c r="N406" s="19"/>
      <c r="O406" s="18">
        <f t="shared" si="5"/>
        <v>0</v>
      </c>
      <c r="P406" s="17"/>
      <c r="R406" s="22"/>
      <c r="S406" s="22"/>
      <c r="T406" s="19"/>
      <c r="U406" s="19"/>
    </row>
    <row r="407" spans="2:21" s="20" customFormat="1" ht="17.100000000000001" customHeight="1" x14ac:dyDescent="0.3">
      <c r="B407" s="17"/>
      <c r="C407" s="17"/>
      <c r="E407" s="15"/>
      <c r="F407" s="15"/>
      <c r="G407" s="15"/>
      <c r="H407" s="16"/>
      <c r="I407" s="15"/>
      <c r="J407" s="16"/>
      <c r="K407" s="15"/>
      <c r="L407" s="15"/>
      <c r="M407" s="29"/>
      <c r="N407" s="19"/>
      <c r="O407" s="18">
        <f t="shared" si="5"/>
        <v>0</v>
      </c>
      <c r="P407" s="17"/>
      <c r="R407" s="22"/>
      <c r="S407" s="22"/>
      <c r="T407" s="19"/>
      <c r="U407" s="19"/>
    </row>
    <row r="408" spans="2:21" s="20" customFormat="1" ht="17.100000000000001" customHeight="1" x14ac:dyDescent="0.3">
      <c r="B408" s="17"/>
      <c r="C408" s="17"/>
      <c r="E408" s="15"/>
      <c r="F408" s="15"/>
      <c r="G408" s="15"/>
      <c r="H408" s="16"/>
      <c r="I408" s="15"/>
      <c r="J408" s="16"/>
      <c r="K408" s="15"/>
      <c r="L408" s="15"/>
      <c r="M408" s="29"/>
      <c r="N408" s="19"/>
      <c r="O408" s="18">
        <f t="shared" si="5"/>
        <v>0</v>
      </c>
      <c r="P408" s="17"/>
      <c r="R408" s="22"/>
      <c r="S408" s="22"/>
      <c r="T408" s="19"/>
      <c r="U408" s="19"/>
    </row>
    <row r="409" spans="2:21" s="20" customFormat="1" ht="17.100000000000001" customHeight="1" x14ac:dyDescent="0.3">
      <c r="B409" s="17"/>
      <c r="C409" s="17"/>
      <c r="E409" s="15"/>
      <c r="F409" s="15"/>
      <c r="G409" s="15"/>
      <c r="H409" s="16"/>
      <c r="I409" s="15"/>
      <c r="J409" s="16"/>
      <c r="K409" s="15"/>
      <c r="L409" s="15"/>
      <c r="M409" s="29"/>
      <c r="N409" s="19"/>
      <c r="O409" s="18">
        <f t="shared" si="5"/>
        <v>0</v>
      </c>
      <c r="P409" s="17"/>
      <c r="R409" s="22"/>
      <c r="S409" s="22"/>
      <c r="T409" s="19"/>
      <c r="U409" s="19"/>
    </row>
    <row r="410" spans="2:21" s="20" customFormat="1" ht="17.100000000000001" customHeight="1" x14ac:dyDescent="0.3">
      <c r="B410" s="17"/>
      <c r="C410" s="17"/>
      <c r="E410" s="15"/>
      <c r="F410" s="15"/>
      <c r="G410" s="15"/>
      <c r="H410" s="16"/>
      <c r="I410" s="15"/>
      <c r="J410" s="16"/>
      <c r="K410" s="15"/>
      <c r="L410" s="15"/>
      <c r="M410" s="29"/>
      <c r="N410" s="19"/>
      <c r="O410" s="18">
        <f t="shared" si="5"/>
        <v>0</v>
      </c>
      <c r="P410" s="17"/>
      <c r="R410" s="22"/>
      <c r="S410" s="22"/>
      <c r="T410" s="19"/>
      <c r="U410" s="19"/>
    </row>
    <row r="411" spans="2:21" s="20" customFormat="1" ht="17.100000000000001" customHeight="1" x14ac:dyDescent="0.3">
      <c r="B411" s="17"/>
      <c r="C411" s="17"/>
      <c r="E411" s="15"/>
      <c r="F411" s="15"/>
      <c r="G411" s="15"/>
      <c r="H411" s="16"/>
      <c r="I411" s="15"/>
      <c r="J411" s="16"/>
      <c r="K411" s="15"/>
      <c r="L411" s="15"/>
      <c r="M411" s="29"/>
      <c r="N411" s="19"/>
      <c r="O411" s="18">
        <f t="shared" si="5"/>
        <v>0</v>
      </c>
      <c r="P411" s="17"/>
      <c r="R411" s="22"/>
      <c r="S411" s="22"/>
      <c r="T411" s="19"/>
      <c r="U411" s="19"/>
    </row>
    <row r="412" spans="2:21" s="20" customFormat="1" ht="17.100000000000001" customHeight="1" x14ac:dyDescent="0.3">
      <c r="B412" s="17"/>
      <c r="C412" s="17"/>
      <c r="E412" s="15"/>
      <c r="F412" s="15"/>
      <c r="G412" s="15"/>
      <c r="H412" s="16"/>
      <c r="I412" s="15"/>
      <c r="J412" s="16"/>
      <c r="K412" s="15"/>
      <c r="L412" s="15"/>
      <c r="M412" s="29"/>
      <c r="N412" s="19"/>
      <c r="O412" s="18">
        <f t="shared" si="5"/>
        <v>0</v>
      </c>
      <c r="P412" s="17"/>
      <c r="R412" s="22"/>
      <c r="S412" s="22"/>
      <c r="T412" s="19"/>
      <c r="U412" s="19"/>
    </row>
    <row r="413" spans="2:21" s="20" customFormat="1" ht="17.100000000000001" customHeight="1" x14ac:dyDescent="0.3">
      <c r="B413" s="17"/>
      <c r="C413" s="17"/>
      <c r="E413" s="15"/>
      <c r="F413" s="15"/>
      <c r="G413" s="15"/>
      <c r="H413" s="16"/>
      <c r="I413" s="15"/>
      <c r="J413" s="16"/>
      <c r="K413" s="15"/>
      <c r="L413" s="15"/>
      <c r="M413" s="29"/>
      <c r="N413" s="19"/>
      <c r="O413" s="18">
        <f t="shared" si="5"/>
        <v>0</v>
      </c>
      <c r="P413" s="17"/>
      <c r="R413" s="22"/>
      <c r="S413" s="22"/>
      <c r="T413" s="19"/>
      <c r="U413" s="19"/>
    </row>
    <row r="414" spans="2:21" s="20" customFormat="1" ht="17.100000000000001" customHeight="1" x14ac:dyDescent="0.3">
      <c r="B414" s="17"/>
      <c r="C414" s="17"/>
      <c r="E414" s="15"/>
      <c r="F414" s="15"/>
      <c r="G414" s="15"/>
      <c r="H414" s="16"/>
      <c r="I414" s="15"/>
      <c r="J414" s="16"/>
      <c r="K414" s="15"/>
      <c r="L414" s="15"/>
      <c r="M414" s="29"/>
      <c r="N414" s="19"/>
      <c r="O414" s="18">
        <f t="shared" si="5"/>
        <v>0</v>
      </c>
      <c r="P414" s="17"/>
      <c r="R414" s="22"/>
      <c r="S414" s="22"/>
      <c r="T414" s="19"/>
      <c r="U414" s="19"/>
    </row>
    <row r="415" spans="2:21" s="20" customFormat="1" ht="17.100000000000001" customHeight="1" x14ac:dyDescent="0.3">
      <c r="B415" s="17"/>
      <c r="C415" s="17"/>
      <c r="E415" s="15"/>
      <c r="F415" s="15"/>
      <c r="G415" s="15"/>
      <c r="H415" s="16"/>
      <c r="I415" s="15"/>
      <c r="J415" s="16"/>
      <c r="K415" s="15"/>
      <c r="L415" s="15"/>
      <c r="M415" s="29"/>
      <c r="N415" s="19"/>
      <c r="O415" s="18">
        <f t="shared" si="5"/>
        <v>0</v>
      </c>
      <c r="P415" s="17"/>
      <c r="R415" s="22"/>
      <c r="S415" s="22"/>
      <c r="T415" s="19"/>
      <c r="U415" s="19"/>
    </row>
    <row r="416" spans="2:21" s="20" customFormat="1" ht="17.100000000000001" customHeight="1" x14ac:dyDescent="0.3">
      <c r="B416" s="17"/>
      <c r="C416" s="17"/>
      <c r="E416" s="15"/>
      <c r="F416" s="15"/>
      <c r="G416" s="15"/>
      <c r="H416" s="16"/>
      <c r="I416" s="15"/>
      <c r="J416" s="16"/>
      <c r="K416" s="15"/>
      <c r="L416" s="15"/>
      <c r="M416" s="29"/>
      <c r="N416" s="19"/>
      <c r="O416" s="18">
        <f t="shared" si="5"/>
        <v>0</v>
      </c>
      <c r="P416" s="17"/>
      <c r="R416" s="22"/>
      <c r="S416" s="22"/>
      <c r="T416" s="19"/>
      <c r="U416" s="19"/>
    </row>
    <row r="417" spans="2:21" s="20" customFormat="1" ht="17.100000000000001" customHeight="1" x14ac:dyDescent="0.3">
      <c r="B417" s="17"/>
      <c r="C417" s="17"/>
      <c r="E417" s="15"/>
      <c r="F417" s="15"/>
      <c r="G417" s="15"/>
      <c r="H417" s="16"/>
      <c r="I417" s="15"/>
      <c r="J417" s="16"/>
      <c r="K417" s="15"/>
      <c r="L417" s="15"/>
      <c r="M417" s="29"/>
      <c r="N417" s="19"/>
      <c r="O417" s="18">
        <f t="shared" si="5"/>
        <v>0</v>
      </c>
      <c r="P417" s="17"/>
      <c r="R417" s="22"/>
      <c r="S417" s="22"/>
      <c r="T417" s="19"/>
      <c r="U417" s="19"/>
    </row>
    <row r="418" spans="2:21" s="20" customFormat="1" ht="17.100000000000001" customHeight="1" x14ac:dyDescent="0.3">
      <c r="B418" s="17"/>
      <c r="C418" s="17"/>
      <c r="E418" s="15"/>
      <c r="F418" s="15"/>
      <c r="G418" s="15"/>
      <c r="H418" s="16"/>
      <c r="I418" s="15"/>
      <c r="J418" s="16"/>
      <c r="K418" s="15"/>
      <c r="L418" s="15"/>
      <c r="M418" s="29"/>
      <c r="N418" s="19"/>
      <c r="O418" s="18">
        <f t="shared" si="5"/>
        <v>0</v>
      </c>
      <c r="P418" s="17"/>
      <c r="R418" s="22"/>
      <c r="S418" s="22"/>
      <c r="T418" s="19"/>
      <c r="U418" s="19"/>
    </row>
    <row r="419" spans="2:21" s="20" customFormat="1" ht="17.100000000000001" customHeight="1" x14ac:dyDescent="0.3">
      <c r="B419" s="17"/>
      <c r="C419" s="17"/>
      <c r="E419" s="15"/>
      <c r="F419" s="15"/>
      <c r="G419" s="15"/>
      <c r="H419" s="16"/>
      <c r="I419" s="15"/>
      <c r="J419" s="16"/>
      <c r="K419" s="15"/>
      <c r="L419" s="15"/>
      <c r="M419" s="29"/>
      <c r="N419" s="19"/>
      <c r="O419" s="18">
        <f t="shared" si="5"/>
        <v>0</v>
      </c>
      <c r="P419" s="17"/>
      <c r="R419" s="22"/>
      <c r="S419" s="22"/>
      <c r="T419" s="19"/>
      <c r="U419" s="19"/>
    </row>
    <row r="420" spans="2:21" s="20" customFormat="1" ht="17.100000000000001" customHeight="1" x14ac:dyDescent="0.3">
      <c r="B420" s="17"/>
      <c r="C420" s="17"/>
      <c r="E420" s="15"/>
      <c r="F420" s="15"/>
      <c r="G420" s="15"/>
      <c r="H420" s="16"/>
      <c r="I420" s="15"/>
      <c r="J420" s="16"/>
      <c r="K420" s="15"/>
      <c r="L420" s="15"/>
      <c r="M420" s="29"/>
      <c r="N420" s="19"/>
      <c r="O420" s="18">
        <f t="shared" si="5"/>
        <v>0</v>
      </c>
      <c r="P420" s="17"/>
      <c r="R420" s="22"/>
      <c r="S420" s="22"/>
      <c r="T420" s="19"/>
      <c r="U420" s="19"/>
    </row>
    <row r="421" spans="2:21" s="20" customFormat="1" ht="17.100000000000001" customHeight="1" x14ac:dyDescent="0.3">
      <c r="B421" s="17"/>
      <c r="C421" s="17"/>
      <c r="E421" s="15"/>
      <c r="F421" s="15"/>
      <c r="G421" s="15"/>
      <c r="H421" s="16"/>
      <c r="I421" s="15"/>
      <c r="J421" s="16"/>
      <c r="K421" s="15"/>
      <c r="L421" s="15"/>
      <c r="M421" s="29"/>
      <c r="N421" s="19"/>
      <c r="O421" s="18">
        <f t="shared" si="5"/>
        <v>0</v>
      </c>
      <c r="P421" s="17"/>
      <c r="R421" s="22"/>
      <c r="S421" s="22"/>
      <c r="T421" s="19"/>
      <c r="U421" s="19"/>
    </row>
    <row r="422" spans="2:21" s="20" customFormat="1" ht="17.100000000000001" customHeight="1" x14ac:dyDescent="0.3">
      <c r="B422" s="17"/>
      <c r="C422" s="17"/>
      <c r="E422" s="15"/>
      <c r="F422" s="15"/>
      <c r="G422" s="15"/>
      <c r="H422" s="16"/>
      <c r="I422" s="15"/>
      <c r="J422" s="16"/>
      <c r="K422" s="15"/>
      <c r="L422" s="15"/>
      <c r="M422" s="29"/>
      <c r="N422" s="19"/>
      <c r="O422" s="18">
        <f t="shared" si="5"/>
        <v>0</v>
      </c>
      <c r="P422" s="17"/>
      <c r="R422" s="22"/>
      <c r="S422" s="22"/>
      <c r="T422" s="19"/>
      <c r="U422" s="19"/>
    </row>
    <row r="423" spans="2:21" s="20" customFormat="1" ht="17.100000000000001" customHeight="1" x14ac:dyDescent="0.3">
      <c r="B423" s="17"/>
      <c r="C423" s="17"/>
      <c r="E423" s="15"/>
      <c r="F423" s="15"/>
      <c r="G423" s="15"/>
      <c r="H423" s="16"/>
      <c r="I423" s="15"/>
      <c r="J423" s="16"/>
      <c r="K423" s="15"/>
      <c r="L423" s="15"/>
      <c r="M423" s="29"/>
      <c r="N423" s="19"/>
      <c r="O423" s="18">
        <f t="shared" si="5"/>
        <v>0</v>
      </c>
      <c r="P423" s="17"/>
      <c r="R423" s="22"/>
      <c r="S423" s="22"/>
      <c r="T423" s="19"/>
      <c r="U423" s="19"/>
    </row>
    <row r="424" spans="2:21" s="20" customFormat="1" ht="17.100000000000001" customHeight="1" x14ac:dyDescent="0.3">
      <c r="B424" s="17"/>
      <c r="C424" s="17"/>
      <c r="E424" s="15"/>
      <c r="F424" s="15"/>
      <c r="G424" s="15"/>
      <c r="H424" s="16"/>
      <c r="I424" s="15"/>
      <c r="J424" s="16"/>
      <c r="K424" s="15"/>
      <c r="L424" s="15"/>
      <c r="M424" s="29"/>
      <c r="N424" s="19"/>
      <c r="O424" s="18">
        <f t="shared" si="5"/>
        <v>0</v>
      </c>
      <c r="P424" s="17"/>
      <c r="R424" s="22"/>
      <c r="S424" s="22"/>
      <c r="T424" s="19"/>
      <c r="U424" s="19"/>
    </row>
    <row r="425" spans="2:21" s="20" customFormat="1" ht="17.100000000000001" customHeight="1" x14ac:dyDescent="0.3">
      <c r="B425" s="17"/>
      <c r="C425" s="17"/>
      <c r="E425" s="15"/>
      <c r="F425" s="15"/>
      <c r="G425" s="15"/>
      <c r="H425" s="16"/>
      <c r="I425" s="15"/>
      <c r="J425" s="16"/>
      <c r="K425" s="15"/>
      <c r="L425" s="15"/>
      <c r="M425" s="29"/>
      <c r="N425" s="19"/>
      <c r="O425" s="18">
        <f t="shared" si="5"/>
        <v>0</v>
      </c>
      <c r="P425" s="17"/>
      <c r="R425" s="22"/>
      <c r="S425" s="22"/>
      <c r="T425" s="19"/>
      <c r="U425" s="19"/>
    </row>
    <row r="426" spans="2:21" s="20" customFormat="1" ht="17.100000000000001" customHeight="1" x14ac:dyDescent="0.3">
      <c r="B426" s="17"/>
      <c r="C426" s="17"/>
      <c r="E426" s="15"/>
      <c r="F426" s="15"/>
      <c r="G426" s="15"/>
      <c r="H426" s="16"/>
      <c r="I426" s="15"/>
      <c r="J426" s="16"/>
      <c r="K426" s="15"/>
      <c r="L426" s="15"/>
      <c r="M426" s="29"/>
      <c r="N426" s="19"/>
      <c r="O426" s="18">
        <f t="shared" si="5"/>
        <v>0</v>
      </c>
      <c r="P426" s="17"/>
      <c r="R426" s="22"/>
      <c r="S426" s="22"/>
      <c r="T426" s="19"/>
      <c r="U426" s="19"/>
    </row>
    <row r="427" spans="2:21" s="20" customFormat="1" ht="17.100000000000001" customHeight="1" x14ac:dyDescent="0.3">
      <c r="B427" s="17"/>
      <c r="C427" s="17"/>
      <c r="E427" s="15"/>
      <c r="F427" s="15"/>
      <c r="G427" s="15"/>
      <c r="H427" s="16"/>
      <c r="I427" s="15"/>
      <c r="J427" s="16"/>
      <c r="K427" s="15"/>
      <c r="L427" s="15"/>
      <c r="M427" s="29"/>
      <c r="N427" s="19"/>
      <c r="O427" s="18">
        <f t="shared" si="5"/>
        <v>0</v>
      </c>
      <c r="P427" s="17"/>
      <c r="R427" s="22"/>
      <c r="S427" s="22"/>
      <c r="T427" s="19"/>
      <c r="U427" s="19"/>
    </row>
    <row r="428" spans="2:21" s="20" customFormat="1" ht="17.100000000000001" customHeight="1" x14ac:dyDescent="0.3">
      <c r="B428" s="17"/>
      <c r="C428" s="17"/>
      <c r="E428" s="15"/>
      <c r="F428" s="15"/>
      <c r="G428" s="15"/>
      <c r="H428" s="16"/>
      <c r="I428" s="15"/>
      <c r="J428" s="16"/>
      <c r="K428" s="15"/>
      <c r="L428" s="15"/>
      <c r="M428" s="29"/>
      <c r="N428" s="19"/>
      <c r="O428" s="18">
        <f t="shared" si="5"/>
        <v>0</v>
      </c>
      <c r="P428" s="17"/>
      <c r="R428" s="22"/>
      <c r="S428" s="22"/>
      <c r="T428" s="19"/>
      <c r="U428" s="19"/>
    </row>
    <row r="429" spans="2:21" s="20" customFormat="1" ht="17.100000000000001" customHeight="1" x14ac:dyDescent="0.3">
      <c r="B429" s="17"/>
      <c r="C429" s="17"/>
      <c r="E429" s="15"/>
      <c r="F429" s="15"/>
      <c r="G429" s="15"/>
      <c r="H429" s="16"/>
      <c r="I429" s="15"/>
      <c r="J429" s="16"/>
      <c r="K429" s="15"/>
      <c r="L429" s="15"/>
      <c r="M429" s="29"/>
      <c r="N429" s="19"/>
      <c r="O429" s="18">
        <f t="shared" si="5"/>
        <v>0</v>
      </c>
      <c r="P429" s="17"/>
      <c r="R429" s="22"/>
      <c r="S429" s="22"/>
      <c r="T429" s="19"/>
      <c r="U429" s="19"/>
    </row>
    <row r="430" spans="2:21" s="20" customFormat="1" ht="17.100000000000001" customHeight="1" x14ac:dyDescent="0.3">
      <c r="B430" s="17"/>
      <c r="C430" s="17"/>
      <c r="E430" s="15"/>
      <c r="F430" s="15"/>
      <c r="G430" s="15"/>
      <c r="H430" s="16"/>
      <c r="I430" s="15"/>
      <c r="J430" s="16"/>
      <c r="K430" s="15"/>
      <c r="L430" s="15"/>
      <c r="M430" s="29"/>
      <c r="N430" s="19"/>
      <c r="O430" s="18">
        <f t="shared" si="5"/>
        <v>0</v>
      </c>
      <c r="P430" s="17"/>
      <c r="R430" s="22"/>
      <c r="S430" s="22"/>
      <c r="T430" s="19"/>
      <c r="U430" s="19"/>
    </row>
    <row r="431" spans="2:21" s="20" customFormat="1" ht="17.100000000000001" customHeight="1" x14ac:dyDescent="0.3">
      <c r="B431" s="17"/>
      <c r="C431" s="17"/>
      <c r="E431" s="15"/>
      <c r="F431" s="15"/>
      <c r="G431" s="15"/>
      <c r="H431" s="16"/>
      <c r="I431" s="15"/>
      <c r="J431" s="16"/>
      <c r="K431" s="15"/>
      <c r="L431" s="15"/>
      <c r="M431" s="29"/>
      <c r="N431" s="19"/>
      <c r="O431" s="18">
        <f t="shared" si="5"/>
        <v>0</v>
      </c>
      <c r="P431" s="17"/>
      <c r="R431" s="22"/>
      <c r="S431" s="22"/>
      <c r="T431" s="19"/>
      <c r="U431" s="19"/>
    </row>
    <row r="432" spans="2:21" s="20" customFormat="1" ht="17.100000000000001" customHeight="1" x14ac:dyDescent="0.3">
      <c r="B432" s="17"/>
      <c r="C432" s="17"/>
      <c r="E432" s="15"/>
      <c r="F432" s="15"/>
      <c r="G432" s="15"/>
      <c r="H432" s="16"/>
      <c r="I432" s="15"/>
      <c r="J432" s="16"/>
      <c r="K432" s="15"/>
      <c r="L432" s="15"/>
      <c r="M432" s="29"/>
      <c r="N432" s="19"/>
      <c r="O432" s="18">
        <f t="shared" si="5"/>
        <v>0</v>
      </c>
      <c r="P432" s="17"/>
      <c r="R432" s="22"/>
      <c r="S432" s="22"/>
      <c r="T432" s="19"/>
      <c r="U432" s="19"/>
    </row>
    <row r="433" spans="2:21" s="20" customFormat="1" ht="17.100000000000001" customHeight="1" x14ac:dyDescent="0.3">
      <c r="B433" s="17"/>
      <c r="C433" s="17"/>
      <c r="E433" s="15"/>
      <c r="F433" s="15"/>
      <c r="G433" s="15"/>
      <c r="H433" s="16"/>
      <c r="I433" s="15"/>
      <c r="J433" s="16"/>
      <c r="K433" s="15"/>
      <c r="L433" s="15"/>
      <c r="M433" s="29"/>
      <c r="N433" s="19"/>
      <c r="O433" s="18">
        <f t="shared" si="5"/>
        <v>0</v>
      </c>
      <c r="P433" s="17"/>
      <c r="R433" s="22"/>
      <c r="S433" s="22"/>
      <c r="T433" s="19"/>
      <c r="U433" s="19"/>
    </row>
    <row r="434" spans="2:21" s="20" customFormat="1" ht="17.100000000000001" customHeight="1" x14ac:dyDescent="0.3">
      <c r="B434" s="17"/>
      <c r="C434" s="17"/>
      <c r="E434" s="15"/>
      <c r="F434" s="15"/>
      <c r="G434" s="15"/>
      <c r="H434" s="16"/>
      <c r="I434" s="15"/>
      <c r="J434" s="16"/>
      <c r="K434" s="15"/>
      <c r="L434" s="15"/>
      <c r="M434" s="29"/>
      <c r="N434" s="19"/>
      <c r="O434" s="18">
        <f t="shared" si="5"/>
        <v>0</v>
      </c>
      <c r="P434" s="17"/>
      <c r="R434" s="22"/>
      <c r="S434" s="22"/>
      <c r="T434" s="19"/>
      <c r="U434" s="19"/>
    </row>
    <row r="435" spans="2:21" s="20" customFormat="1" ht="17.100000000000001" customHeight="1" x14ac:dyDescent="0.3">
      <c r="B435" s="17"/>
      <c r="C435" s="17"/>
      <c r="E435" s="15"/>
      <c r="F435" s="15"/>
      <c r="G435" s="15"/>
      <c r="H435" s="16"/>
      <c r="I435" s="15"/>
      <c r="J435" s="16"/>
      <c r="K435" s="15"/>
      <c r="L435" s="15"/>
      <c r="M435" s="29"/>
      <c r="N435" s="19"/>
      <c r="O435" s="18">
        <f t="shared" si="5"/>
        <v>0</v>
      </c>
      <c r="P435" s="17"/>
      <c r="R435" s="22"/>
      <c r="S435" s="22"/>
      <c r="T435" s="19"/>
      <c r="U435" s="19"/>
    </row>
    <row r="436" spans="2:21" s="20" customFormat="1" ht="17.100000000000001" customHeight="1" x14ac:dyDescent="0.3">
      <c r="B436" s="17"/>
      <c r="C436" s="17"/>
      <c r="E436" s="15"/>
      <c r="F436" s="15"/>
      <c r="G436" s="15"/>
      <c r="H436" s="16"/>
      <c r="I436" s="15"/>
      <c r="J436" s="16"/>
      <c r="K436" s="15"/>
      <c r="L436" s="15"/>
      <c r="M436" s="29"/>
      <c r="N436" s="19"/>
      <c r="O436" s="18">
        <f t="shared" si="5"/>
        <v>0</v>
      </c>
      <c r="P436" s="17"/>
      <c r="R436" s="22"/>
      <c r="S436" s="22"/>
      <c r="T436" s="19"/>
      <c r="U436" s="19"/>
    </row>
    <row r="437" spans="2:21" s="20" customFormat="1" ht="17.100000000000001" customHeight="1" x14ac:dyDescent="0.3">
      <c r="B437" s="17"/>
      <c r="C437" s="17"/>
      <c r="E437" s="15"/>
      <c r="F437" s="15"/>
      <c r="G437" s="15"/>
      <c r="H437" s="16"/>
      <c r="I437" s="15"/>
      <c r="J437" s="16"/>
      <c r="K437" s="15"/>
      <c r="L437" s="15"/>
      <c r="M437" s="29"/>
      <c r="N437" s="19"/>
      <c r="O437" s="18">
        <f t="shared" si="5"/>
        <v>0</v>
      </c>
      <c r="P437" s="17"/>
      <c r="R437" s="22"/>
      <c r="S437" s="22"/>
      <c r="T437" s="19"/>
      <c r="U437" s="19"/>
    </row>
    <row r="438" spans="2:21" s="20" customFormat="1" ht="17.100000000000001" customHeight="1" x14ac:dyDescent="0.3">
      <c r="B438" s="17"/>
      <c r="C438" s="17"/>
      <c r="E438" s="15"/>
      <c r="F438" s="15"/>
      <c r="G438" s="15"/>
      <c r="H438" s="16"/>
      <c r="I438" s="15"/>
      <c r="J438" s="16"/>
      <c r="K438" s="15"/>
      <c r="L438" s="15"/>
      <c r="M438" s="29"/>
      <c r="N438" s="19"/>
      <c r="O438" s="18">
        <f t="shared" si="5"/>
        <v>0</v>
      </c>
      <c r="P438" s="17"/>
      <c r="R438" s="22"/>
      <c r="S438" s="22"/>
      <c r="T438" s="19"/>
      <c r="U438" s="19"/>
    </row>
    <row r="439" spans="2:21" s="20" customFormat="1" ht="17.100000000000001" customHeight="1" x14ac:dyDescent="0.3">
      <c r="B439" s="17"/>
      <c r="C439" s="17"/>
      <c r="E439" s="15"/>
      <c r="F439" s="15"/>
      <c r="G439" s="15"/>
      <c r="H439" s="16"/>
      <c r="I439" s="15"/>
      <c r="J439" s="16"/>
      <c r="K439" s="15"/>
      <c r="L439" s="15"/>
      <c r="M439" s="29"/>
      <c r="N439" s="19"/>
      <c r="O439" s="18">
        <f t="shared" si="5"/>
        <v>0</v>
      </c>
      <c r="P439" s="17"/>
      <c r="R439" s="22"/>
      <c r="S439" s="22"/>
      <c r="T439" s="19"/>
      <c r="U439" s="19"/>
    </row>
    <row r="440" spans="2:21" s="20" customFormat="1" ht="17.100000000000001" customHeight="1" x14ac:dyDescent="0.3">
      <c r="B440" s="17"/>
      <c r="C440" s="17"/>
      <c r="E440" s="15"/>
      <c r="F440" s="15"/>
      <c r="G440" s="15"/>
      <c r="H440" s="16"/>
      <c r="I440" s="15"/>
      <c r="J440" s="16"/>
      <c r="K440" s="15"/>
      <c r="L440" s="15"/>
      <c r="M440" s="29"/>
      <c r="N440" s="19"/>
      <c r="O440" s="18">
        <f t="shared" si="5"/>
        <v>0</v>
      </c>
      <c r="P440" s="17"/>
      <c r="R440" s="22"/>
      <c r="S440" s="22"/>
      <c r="T440" s="19"/>
      <c r="U440" s="19"/>
    </row>
    <row r="441" spans="2:21" s="20" customFormat="1" ht="17.100000000000001" customHeight="1" x14ac:dyDescent="0.3">
      <c r="B441" s="17"/>
      <c r="C441" s="17"/>
      <c r="E441" s="15"/>
      <c r="F441" s="15"/>
      <c r="G441" s="15"/>
      <c r="H441" s="16"/>
      <c r="I441" s="15"/>
      <c r="J441" s="16"/>
      <c r="K441" s="15"/>
      <c r="L441" s="15"/>
      <c r="M441" s="29"/>
      <c r="N441" s="19"/>
      <c r="O441" s="18">
        <f t="shared" si="5"/>
        <v>0</v>
      </c>
      <c r="P441" s="17"/>
      <c r="R441" s="22"/>
      <c r="S441" s="22"/>
      <c r="T441" s="19"/>
      <c r="U441" s="19"/>
    </row>
    <row r="442" spans="2:21" s="20" customFormat="1" ht="17.100000000000001" customHeight="1" x14ac:dyDescent="0.3">
      <c r="B442" s="17"/>
      <c r="C442" s="17"/>
      <c r="E442" s="15"/>
      <c r="F442" s="15"/>
      <c r="G442" s="15"/>
      <c r="H442" s="16"/>
      <c r="I442" s="15"/>
      <c r="J442" s="16"/>
      <c r="K442" s="15"/>
      <c r="L442" s="15"/>
      <c r="M442" s="29"/>
      <c r="N442" s="19"/>
      <c r="O442" s="18">
        <f t="shared" si="5"/>
        <v>0</v>
      </c>
      <c r="P442" s="17"/>
      <c r="R442" s="22"/>
      <c r="S442" s="22"/>
      <c r="T442" s="19"/>
      <c r="U442" s="19"/>
    </row>
    <row r="443" spans="2:21" s="20" customFormat="1" ht="17.100000000000001" customHeight="1" x14ac:dyDescent="0.3">
      <c r="B443" s="17"/>
      <c r="C443" s="17"/>
      <c r="E443" s="15"/>
      <c r="F443" s="15"/>
      <c r="G443" s="15"/>
      <c r="H443" s="16"/>
      <c r="I443" s="15"/>
      <c r="J443" s="16"/>
      <c r="K443" s="15"/>
      <c r="L443" s="15"/>
      <c r="M443" s="29"/>
      <c r="N443" s="19"/>
      <c r="O443" s="18">
        <f t="shared" si="5"/>
        <v>0</v>
      </c>
      <c r="P443" s="17"/>
      <c r="R443" s="22"/>
      <c r="S443" s="22"/>
      <c r="T443" s="19"/>
      <c r="U443" s="19"/>
    </row>
    <row r="444" spans="2:21" s="20" customFormat="1" ht="17.100000000000001" customHeight="1" x14ac:dyDescent="0.3">
      <c r="B444" s="17"/>
      <c r="C444" s="17"/>
      <c r="E444" s="15"/>
      <c r="F444" s="15"/>
      <c r="G444" s="15"/>
      <c r="H444" s="16"/>
      <c r="I444" s="15"/>
      <c r="J444" s="16"/>
      <c r="K444" s="15"/>
      <c r="L444" s="15"/>
      <c r="M444" s="29"/>
      <c r="N444" s="19"/>
      <c r="O444" s="18">
        <f t="shared" si="5"/>
        <v>0</v>
      </c>
      <c r="P444" s="17"/>
      <c r="R444" s="22"/>
      <c r="S444" s="22"/>
      <c r="T444" s="19"/>
      <c r="U444" s="19"/>
    </row>
    <row r="445" spans="2:21" s="20" customFormat="1" ht="17.100000000000001" customHeight="1" x14ac:dyDescent="0.3">
      <c r="B445" s="17"/>
      <c r="C445" s="17"/>
      <c r="E445" s="15"/>
      <c r="F445" s="15"/>
      <c r="G445" s="15"/>
      <c r="H445" s="16"/>
      <c r="I445" s="15"/>
      <c r="J445" s="16"/>
      <c r="K445" s="15"/>
      <c r="L445" s="15"/>
      <c r="M445" s="29"/>
      <c r="N445" s="19"/>
      <c r="O445" s="18">
        <f t="shared" si="5"/>
        <v>0</v>
      </c>
      <c r="P445" s="17"/>
      <c r="R445" s="22"/>
      <c r="S445" s="22"/>
      <c r="T445" s="19"/>
      <c r="U445" s="19"/>
    </row>
    <row r="446" spans="2:21" s="20" customFormat="1" ht="17.100000000000001" customHeight="1" x14ac:dyDescent="0.3">
      <c r="B446" s="17"/>
      <c r="C446" s="17"/>
      <c r="E446" s="15"/>
      <c r="F446" s="15"/>
      <c r="G446" s="15"/>
      <c r="H446" s="16"/>
      <c r="I446" s="15"/>
      <c r="J446" s="16"/>
      <c r="K446" s="15"/>
      <c r="L446" s="15"/>
      <c r="M446" s="29"/>
      <c r="N446" s="19"/>
      <c r="O446" s="18">
        <f t="shared" si="5"/>
        <v>0</v>
      </c>
      <c r="P446" s="17"/>
      <c r="R446" s="22"/>
      <c r="S446" s="22"/>
      <c r="T446" s="19"/>
      <c r="U446" s="19"/>
    </row>
    <row r="447" spans="2:21" s="20" customFormat="1" ht="17.100000000000001" customHeight="1" x14ac:dyDescent="0.3">
      <c r="B447" s="17"/>
      <c r="C447" s="17"/>
      <c r="E447" s="15"/>
      <c r="F447" s="15"/>
      <c r="G447" s="15"/>
      <c r="H447" s="16"/>
      <c r="I447" s="15"/>
      <c r="J447" s="16"/>
      <c r="K447" s="15"/>
      <c r="L447" s="15"/>
      <c r="M447" s="29"/>
      <c r="N447" s="19"/>
      <c r="O447" s="18">
        <f t="shared" si="5"/>
        <v>0</v>
      </c>
      <c r="P447" s="17"/>
      <c r="R447" s="22"/>
      <c r="S447" s="22"/>
      <c r="T447" s="19"/>
      <c r="U447" s="19"/>
    </row>
    <row r="448" spans="2:21" s="20" customFormat="1" ht="17.100000000000001" customHeight="1" x14ac:dyDescent="0.3">
      <c r="B448" s="17"/>
      <c r="C448" s="17"/>
      <c r="E448" s="15"/>
      <c r="F448" s="15"/>
      <c r="G448" s="15"/>
      <c r="H448" s="16"/>
      <c r="I448" s="15"/>
      <c r="J448" s="16"/>
      <c r="K448" s="15"/>
      <c r="L448" s="15"/>
      <c r="M448" s="29"/>
      <c r="N448" s="19"/>
      <c r="O448" s="18">
        <f t="shared" si="5"/>
        <v>0</v>
      </c>
      <c r="P448" s="17"/>
      <c r="R448" s="22"/>
      <c r="S448" s="22"/>
      <c r="T448" s="19"/>
      <c r="U448" s="19"/>
    </row>
    <row r="449" spans="2:21" s="20" customFormat="1" ht="17.100000000000001" customHeight="1" x14ac:dyDescent="0.3">
      <c r="B449" s="17"/>
      <c r="C449" s="17"/>
      <c r="E449" s="15"/>
      <c r="F449" s="15"/>
      <c r="G449" s="15"/>
      <c r="H449" s="16"/>
      <c r="I449" s="15"/>
      <c r="J449" s="16"/>
      <c r="K449" s="15"/>
      <c r="L449" s="15"/>
      <c r="M449" s="29"/>
      <c r="N449" s="19"/>
      <c r="O449" s="18">
        <f t="shared" si="5"/>
        <v>0</v>
      </c>
      <c r="P449" s="17"/>
      <c r="R449" s="22"/>
      <c r="S449" s="22"/>
      <c r="T449" s="19"/>
      <c r="U449" s="19"/>
    </row>
    <row r="450" spans="2:21" s="20" customFormat="1" ht="17.100000000000001" customHeight="1" x14ac:dyDescent="0.3">
      <c r="B450" s="17"/>
      <c r="C450" s="17"/>
      <c r="E450" s="15"/>
      <c r="F450" s="15"/>
      <c r="G450" s="15"/>
      <c r="H450" s="16"/>
      <c r="I450" s="15"/>
      <c r="J450" s="16"/>
      <c r="K450" s="15"/>
      <c r="L450" s="15"/>
      <c r="M450" s="29"/>
      <c r="N450" s="19"/>
      <c r="O450" s="18">
        <f t="shared" si="5"/>
        <v>0</v>
      </c>
      <c r="P450" s="17"/>
      <c r="R450" s="22"/>
      <c r="S450" s="22"/>
      <c r="T450" s="19"/>
      <c r="U450" s="19"/>
    </row>
    <row r="451" spans="2:21" s="20" customFormat="1" ht="17.100000000000001" customHeight="1" x14ac:dyDescent="0.3">
      <c r="B451" s="17"/>
      <c r="C451" s="17"/>
      <c r="E451" s="15"/>
      <c r="F451" s="15"/>
      <c r="G451" s="15"/>
      <c r="H451" s="16"/>
      <c r="I451" s="15"/>
      <c r="J451" s="16"/>
      <c r="K451" s="15"/>
      <c r="L451" s="15"/>
      <c r="M451" s="29"/>
      <c r="N451" s="19"/>
      <c r="O451" s="18">
        <f t="shared" si="5"/>
        <v>0</v>
      </c>
      <c r="P451" s="17"/>
      <c r="R451" s="22"/>
      <c r="S451" s="22"/>
      <c r="T451" s="19"/>
      <c r="U451" s="19"/>
    </row>
    <row r="452" spans="2:21" s="21" customFormat="1" ht="17.100000000000001" customHeight="1" x14ac:dyDescent="0.3">
      <c r="B452" s="12"/>
      <c r="C452" s="12"/>
      <c r="E452" s="10"/>
      <c r="F452" s="10"/>
      <c r="G452" s="10"/>
      <c r="H452" s="11"/>
      <c r="I452" s="10"/>
      <c r="J452" s="11"/>
      <c r="K452" s="10"/>
      <c r="L452" s="10"/>
      <c r="M452" s="31"/>
      <c r="N452" s="13"/>
      <c r="O452" s="18">
        <f t="shared" si="5"/>
        <v>0</v>
      </c>
      <c r="P452" s="12"/>
      <c r="R452" s="39"/>
      <c r="S452" s="39"/>
      <c r="T452" s="13"/>
      <c r="U452" s="13"/>
    </row>
    <row r="453" spans="2:21" s="21" customFormat="1" ht="17.100000000000001" customHeight="1" x14ac:dyDescent="0.3">
      <c r="B453" s="12"/>
      <c r="C453" s="12"/>
      <c r="E453" s="10"/>
      <c r="F453" s="10"/>
      <c r="G453" s="10"/>
      <c r="H453" s="11"/>
      <c r="I453" s="10"/>
      <c r="J453" s="11"/>
      <c r="K453" s="10"/>
      <c r="L453" s="10"/>
      <c r="M453" s="31"/>
      <c r="N453" s="13"/>
      <c r="O453" s="18">
        <f t="shared" si="5"/>
        <v>0</v>
      </c>
      <c r="P453" s="12"/>
      <c r="R453" s="39"/>
      <c r="S453" s="39"/>
      <c r="T453" s="13"/>
      <c r="U453" s="13"/>
    </row>
    <row r="454" spans="2:21" s="21" customFormat="1" ht="17.100000000000001" customHeight="1" x14ac:dyDescent="0.3">
      <c r="B454" s="12"/>
      <c r="C454" s="12"/>
      <c r="E454" s="10"/>
      <c r="F454" s="10"/>
      <c r="G454" s="10"/>
      <c r="H454" s="11"/>
      <c r="I454" s="10"/>
      <c r="J454" s="11"/>
      <c r="K454" s="10"/>
      <c r="L454" s="10"/>
      <c r="M454" s="31"/>
      <c r="N454" s="13"/>
      <c r="O454" s="18">
        <f t="shared" si="5"/>
        <v>0</v>
      </c>
      <c r="P454" s="12"/>
      <c r="R454" s="39"/>
      <c r="S454" s="39"/>
      <c r="T454" s="13"/>
      <c r="U454" s="13"/>
    </row>
    <row r="455" spans="2:21" s="21" customFormat="1" ht="17.100000000000001" customHeight="1" x14ac:dyDescent="0.3">
      <c r="B455" s="12"/>
      <c r="C455" s="12"/>
      <c r="E455" s="10"/>
      <c r="F455" s="10"/>
      <c r="G455" s="10"/>
      <c r="H455" s="11"/>
      <c r="I455" s="10"/>
      <c r="J455" s="11"/>
      <c r="K455" s="10"/>
      <c r="L455" s="10"/>
      <c r="M455" s="31"/>
      <c r="N455" s="13"/>
      <c r="O455" s="18">
        <f t="shared" si="5"/>
        <v>0</v>
      </c>
      <c r="P455" s="12"/>
      <c r="R455" s="39"/>
      <c r="S455" s="39"/>
      <c r="T455" s="13"/>
      <c r="U455" s="13"/>
    </row>
    <row r="456" spans="2:21" s="21" customFormat="1" ht="17.100000000000001" customHeight="1" x14ac:dyDescent="0.3">
      <c r="B456" s="12"/>
      <c r="C456" s="12"/>
      <c r="E456" s="10"/>
      <c r="F456" s="10"/>
      <c r="G456" s="10"/>
      <c r="H456" s="11"/>
      <c r="I456" s="10"/>
      <c r="J456" s="11"/>
      <c r="K456" s="10"/>
      <c r="L456" s="10"/>
      <c r="M456" s="31"/>
      <c r="N456" s="13"/>
      <c r="O456" s="18">
        <f t="shared" si="5"/>
        <v>0</v>
      </c>
      <c r="P456" s="12"/>
      <c r="R456" s="39"/>
      <c r="S456" s="39"/>
      <c r="T456" s="13"/>
      <c r="U456" s="13"/>
    </row>
    <row r="457" spans="2:21" s="21" customFormat="1" ht="17.100000000000001" customHeight="1" x14ac:dyDescent="0.3">
      <c r="B457" s="12"/>
      <c r="C457" s="12"/>
      <c r="E457" s="10"/>
      <c r="F457" s="10"/>
      <c r="G457" s="10"/>
      <c r="H457" s="11"/>
      <c r="I457" s="10"/>
      <c r="J457" s="11"/>
      <c r="K457" s="10"/>
      <c r="L457" s="10"/>
      <c r="M457" s="31"/>
      <c r="N457" s="13"/>
      <c r="O457" s="18">
        <f t="shared" ref="O457:O482" si="6">(N457*I457)+U457</f>
        <v>0</v>
      </c>
      <c r="P457" s="12"/>
      <c r="R457" s="39"/>
      <c r="S457" s="39"/>
      <c r="T457" s="13"/>
      <c r="U457" s="13"/>
    </row>
    <row r="458" spans="2:21" s="21" customFormat="1" ht="17.100000000000001" customHeight="1" x14ac:dyDescent="0.3">
      <c r="B458" s="12"/>
      <c r="C458" s="12"/>
      <c r="E458" s="10"/>
      <c r="F458" s="10"/>
      <c r="G458" s="10"/>
      <c r="H458" s="11"/>
      <c r="I458" s="10"/>
      <c r="J458" s="11"/>
      <c r="K458" s="10"/>
      <c r="L458" s="10"/>
      <c r="M458" s="31"/>
      <c r="N458" s="13"/>
      <c r="O458" s="18">
        <f t="shared" si="6"/>
        <v>0</v>
      </c>
      <c r="P458" s="12"/>
      <c r="R458" s="39"/>
      <c r="S458" s="39"/>
      <c r="T458" s="13"/>
      <c r="U458" s="13"/>
    </row>
    <row r="459" spans="2:21" s="21" customFormat="1" ht="17.100000000000001" customHeight="1" x14ac:dyDescent="0.3">
      <c r="B459" s="12"/>
      <c r="C459" s="12"/>
      <c r="E459" s="10"/>
      <c r="F459" s="10"/>
      <c r="G459" s="10"/>
      <c r="H459" s="11"/>
      <c r="I459" s="10"/>
      <c r="J459" s="11"/>
      <c r="K459" s="10"/>
      <c r="L459" s="10"/>
      <c r="M459" s="31"/>
      <c r="N459" s="13"/>
      <c r="O459" s="18">
        <f t="shared" si="6"/>
        <v>0</v>
      </c>
      <c r="P459" s="12"/>
      <c r="R459" s="39"/>
      <c r="S459" s="39"/>
      <c r="T459" s="13"/>
      <c r="U459" s="13"/>
    </row>
    <row r="460" spans="2:21" s="21" customFormat="1" ht="17.100000000000001" customHeight="1" x14ac:dyDescent="0.3">
      <c r="B460" s="12"/>
      <c r="C460" s="12"/>
      <c r="E460" s="10"/>
      <c r="F460" s="10"/>
      <c r="G460" s="10"/>
      <c r="H460" s="11"/>
      <c r="I460" s="10"/>
      <c r="J460" s="11"/>
      <c r="K460" s="10"/>
      <c r="L460" s="10"/>
      <c r="M460" s="31"/>
      <c r="N460" s="13"/>
      <c r="O460" s="18">
        <f t="shared" si="6"/>
        <v>0</v>
      </c>
      <c r="P460" s="12"/>
      <c r="R460" s="39"/>
      <c r="S460" s="39"/>
      <c r="T460" s="13"/>
      <c r="U460" s="13"/>
    </row>
    <row r="461" spans="2:21" s="21" customFormat="1" ht="17.100000000000001" customHeight="1" x14ac:dyDescent="0.3">
      <c r="B461" s="12"/>
      <c r="C461" s="12"/>
      <c r="E461" s="10"/>
      <c r="F461" s="10"/>
      <c r="G461" s="10"/>
      <c r="H461" s="11"/>
      <c r="I461" s="10"/>
      <c r="J461" s="11"/>
      <c r="K461" s="10"/>
      <c r="L461" s="10"/>
      <c r="M461" s="31"/>
      <c r="N461" s="13"/>
      <c r="O461" s="18">
        <f t="shared" si="6"/>
        <v>0</v>
      </c>
      <c r="P461" s="12"/>
      <c r="R461" s="39"/>
      <c r="S461" s="39"/>
      <c r="T461" s="13"/>
      <c r="U461" s="13"/>
    </row>
    <row r="462" spans="2:21" s="21" customFormat="1" ht="17.100000000000001" customHeight="1" x14ac:dyDescent="0.3">
      <c r="B462" s="12"/>
      <c r="C462" s="12"/>
      <c r="E462" s="10"/>
      <c r="F462" s="10"/>
      <c r="G462" s="10"/>
      <c r="H462" s="11"/>
      <c r="I462" s="10"/>
      <c r="J462" s="11"/>
      <c r="K462" s="10"/>
      <c r="L462" s="10"/>
      <c r="M462" s="31"/>
      <c r="N462" s="13"/>
      <c r="O462" s="18">
        <f t="shared" si="6"/>
        <v>0</v>
      </c>
      <c r="P462" s="12"/>
      <c r="R462" s="39"/>
      <c r="S462" s="39"/>
      <c r="T462" s="13"/>
      <c r="U462" s="13"/>
    </row>
    <row r="463" spans="2:21" s="21" customFormat="1" ht="17.100000000000001" customHeight="1" x14ac:dyDescent="0.3">
      <c r="B463" s="12"/>
      <c r="C463" s="12"/>
      <c r="E463" s="10"/>
      <c r="F463" s="10"/>
      <c r="G463" s="10"/>
      <c r="H463" s="11"/>
      <c r="I463" s="10"/>
      <c r="J463" s="11"/>
      <c r="K463" s="10"/>
      <c r="L463" s="10"/>
      <c r="M463" s="31"/>
      <c r="N463" s="13"/>
      <c r="O463" s="18">
        <f t="shared" si="6"/>
        <v>0</v>
      </c>
      <c r="P463" s="12"/>
      <c r="R463" s="39"/>
      <c r="S463" s="39"/>
      <c r="T463" s="13"/>
      <c r="U463" s="13"/>
    </row>
    <row r="464" spans="2:21" s="21" customFormat="1" ht="17.100000000000001" customHeight="1" x14ac:dyDescent="0.3">
      <c r="B464" s="12"/>
      <c r="C464" s="12"/>
      <c r="E464" s="10"/>
      <c r="F464" s="10"/>
      <c r="G464" s="10"/>
      <c r="H464" s="11"/>
      <c r="I464" s="10"/>
      <c r="J464" s="11"/>
      <c r="K464" s="10"/>
      <c r="L464" s="10"/>
      <c r="M464" s="31"/>
      <c r="N464" s="13"/>
      <c r="O464" s="18">
        <f t="shared" si="6"/>
        <v>0</v>
      </c>
      <c r="P464" s="12"/>
      <c r="R464" s="39"/>
      <c r="S464" s="39"/>
      <c r="T464" s="13"/>
      <c r="U464" s="13"/>
    </row>
    <row r="465" spans="2:21" s="21" customFormat="1" ht="17.100000000000001" customHeight="1" x14ac:dyDescent="0.3">
      <c r="B465" s="12"/>
      <c r="C465" s="12"/>
      <c r="E465" s="10"/>
      <c r="F465" s="10"/>
      <c r="G465" s="10"/>
      <c r="H465" s="11"/>
      <c r="I465" s="10"/>
      <c r="J465" s="11"/>
      <c r="K465" s="10"/>
      <c r="L465" s="10"/>
      <c r="M465" s="31"/>
      <c r="N465" s="13"/>
      <c r="O465" s="18">
        <f t="shared" si="6"/>
        <v>0</v>
      </c>
      <c r="P465" s="12"/>
      <c r="R465" s="39"/>
      <c r="S465" s="39"/>
      <c r="T465" s="13"/>
      <c r="U465" s="13"/>
    </row>
    <row r="466" spans="2:21" s="21" customFormat="1" ht="17.100000000000001" customHeight="1" x14ac:dyDescent="0.3">
      <c r="B466" s="12"/>
      <c r="C466" s="12"/>
      <c r="E466" s="10"/>
      <c r="F466" s="10"/>
      <c r="G466" s="10"/>
      <c r="H466" s="11"/>
      <c r="I466" s="10"/>
      <c r="J466" s="11"/>
      <c r="K466" s="10"/>
      <c r="L466" s="10"/>
      <c r="M466" s="31"/>
      <c r="N466" s="13"/>
      <c r="O466" s="18">
        <f t="shared" si="6"/>
        <v>0</v>
      </c>
      <c r="P466" s="12"/>
      <c r="R466" s="39"/>
      <c r="S466" s="39"/>
      <c r="T466" s="13"/>
      <c r="U466" s="13"/>
    </row>
    <row r="467" spans="2:21" s="21" customFormat="1" ht="17.100000000000001" customHeight="1" x14ac:dyDescent="0.3">
      <c r="B467" s="12"/>
      <c r="C467" s="12"/>
      <c r="E467" s="10"/>
      <c r="F467" s="10"/>
      <c r="G467" s="10"/>
      <c r="H467" s="11"/>
      <c r="I467" s="10"/>
      <c r="J467" s="11"/>
      <c r="K467" s="10"/>
      <c r="L467" s="10"/>
      <c r="M467" s="31"/>
      <c r="N467" s="13"/>
      <c r="O467" s="18">
        <f t="shared" si="6"/>
        <v>0</v>
      </c>
      <c r="P467" s="12"/>
      <c r="R467" s="39"/>
      <c r="S467" s="39"/>
      <c r="T467" s="13"/>
      <c r="U467" s="13"/>
    </row>
    <row r="468" spans="2:21" s="21" customFormat="1" ht="17.100000000000001" customHeight="1" x14ac:dyDescent="0.3">
      <c r="B468" s="12"/>
      <c r="C468" s="12"/>
      <c r="E468" s="10"/>
      <c r="F468" s="10"/>
      <c r="G468" s="10"/>
      <c r="H468" s="11"/>
      <c r="I468" s="10"/>
      <c r="J468" s="11"/>
      <c r="K468" s="10"/>
      <c r="L468" s="10"/>
      <c r="M468" s="31"/>
      <c r="N468" s="13"/>
      <c r="O468" s="18">
        <f t="shared" si="6"/>
        <v>0</v>
      </c>
      <c r="P468" s="12"/>
      <c r="R468" s="39"/>
      <c r="S468" s="39"/>
      <c r="T468" s="13"/>
      <c r="U468" s="13"/>
    </row>
    <row r="469" spans="2:21" s="21" customFormat="1" ht="17.100000000000001" customHeight="1" x14ac:dyDescent="0.3">
      <c r="B469" s="12"/>
      <c r="C469" s="12"/>
      <c r="E469" s="10"/>
      <c r="F469" s="10"/>
      <c r="G469" s="10"/>
      <c r="H469" s="11"/>
      <c r="I469" s="10"/>
      <c r="J469" s="11"/>
      <c r="K469" s="10"/>
      <c r="L469" s="10"/>
      <c r="M469" s="31"/>
      <c r="N469" s="13"/>
      <c r="O469" s="18">
        <f t="shared" si="6"/>
        <v>0</v>
      </c>
      <c r="P469" s="12"/>
      <c r="R469" s="39"/>
      <c r="S469" s="39"/>
      <c r="T469" s="13"/>
      <c r="U469" s="13"/>
    </row>
    <row r="470" spans="2:21" s="21" customFormat="1" ht="17.100000000000001" customHeight="1" x14ac:dyDescent="0.3">
      <c r="B470" s="12"/>
      <c r="C470" s="12"/>
      <c r="E470" s="10"/>
      <c r="F470" s="10"/>
      <c r="G470" s="10"/>
      <c r="H470" s="11"/>
      <c r="I470" s="10"/>
      <c r="J470" s="11"/>
      <c r="K470" s="10"/>
      <c r="L470" s="10"/>
      <c r="M470" s="31"/>
      <c r="N470" s="13"/>
      <c r="O470" s="18">
        <f t="shared" si="6"/>
        <v>0</v>
      </c>
      <c r="P470" s="12"/>
      <c r="R470" s="39"/>
      <c r="S470" s="39"/>
      <c r="T470" s="13"/>
      <c r="U470" s="13"/>
    </row>
    <row r="471" spans="2:21" s="21" customFormat="1" ht="17.100000000000001" customHeight="1" x14ac:dyDescent="0.3">
      <c r="B471" s="12"/>
      <c r="C471" s="12"/>
      <c r="E471" s="10"/>
      <c r="F471" s="10"/>
      <c r="G471" s="10"/>
      <c r="H471" s="11"/>
      <c r="I471" s="10"/>
      <c r="J471" s="11"/>
      <c r="K471" s="10"/>
      <c r="L471" s="10"/>
      <c r="M471" s="31"/>
      <c r="N471" s="13"/>
      <c r="O471" s="18">
        <f t="shared" si="6"/>
        <v>0</v>
      </c>
      <c r="P471" s="12"/>
      <c r="R471" s="39"/>
      <c r="S471" s="39"/>
      <c r="T471" s="13"/>
      <c r="U471" s="13"/>
    </row>
    <row r="472" spans="2:21" s="21" customFormat="1" ht="17.100000000000001" customHeight="1" x14ac:dyDescent="0.3">
      <c r="B472" s="12"/>
      <c r="C472" s="12"/>
      <c r="E472" s="10"/>
      <c r="F472" s="10"/>
      <c r="G472" s="10"/>
      <c r="H472" s="11"/>
      <c r="I472" s="10"/>
      <c r="J472" s="11"/>
      <c r="K472" s="10"/>
      <c r="L472" s="10"/>
      <c r="M472" s="31"/>
      <c r="N472" s="13"/>
      <c r="O472" s="18">
        <f t="shared" si="6"/>
        <v>0</v>
      </c>
      <c r="P472" s="12"/>
      <c r="R472" s="39"/>
      <c r="S472" s="39"/>
      <c r="T472" s="13"/>
      <c r="U472" s="13"/>
    </row>
    <row r="473" spans="2:21" s="21" customFormat="1" ht="17.100000000000001" customHeight="1" x14ac:dyDescent="0.3">
      <c r="B473" s="12"/>
      <c r="C473" s="12"/>
      <c r="E473" s="10"/>
      <c r="F473" s="10"/>
      <c r="G473" s="10"/>
      <c r="H473" s="11"/>
      <c r="I473" s="10"/>
      <c r="J473" s="11"/>
      <c r="K473" s="10"/>
      <c r="L473" s="10"/>
      <c r="M473" s="31"/>
      <c r="N473" s="13"/>
      <c r="O473" s="18">
        <f t="shared" si="6"/>
        <v>0</v>
      </c>
      <c r="P473" s="12"/>
      <c r="R473" s="39"/>
      <c r="S473" s="39"/>
      <c r="T473" s="13"/>
      <c r="U473" s="13"/>
    </row>
    <row r="474" spans="2:21" s="21" customFormat="1" ht="17.100000000000001" customHeight="1" x14ac:dyDescent="0.3">
      <c r="B474" s="12"/>
      <c r="C474" s="12"/>
      <c r="E474" s="10"/>
      <c r="F474" s="10"/>
      <c r="G474" s="10"/>
      <c r="H474" s="11"/>
      <c r="I474" s="10"/>
      <c r="J474" s="11"/>
      <c r="K474" s="10"/>
      <c r="L474" s="10"/>
      <c r="M474" s="31"/>
      <c r="N474" s="13"/>
      <c r="O474" s="18">
        <f t="shared" si="6"/>
        <v>0</v>
      </c>
      <c r="P474" s="12"/>
      <c r="R474" s="39"/>
      <c r="S474" s="39"/>
      <c r="T474" s="13"/>
      <c r="U474" s="13"/>
    </row>
    <row r="475" spans="2:21" s="21" customFormat="1" ht="17.100000000000001" customHeight="1" x14ac:dyDescent="0.3">
      <c r="B475" s="12"/>
      <c r="C475" s="12"/>
      <c r="E475" s="10"/>
      <c r="F475" s="10"/>
      <c r="G475" s="10"/>
      <c r="H475" s="11"/>
      <c r="I475" s="10"/>
      <c r="J475" s="11"/>
      <c r="K475" s="10"/>
      <c r="L475" s="10"/>
      <c r="M475" s="31"/>
      <c r="N475" s="13"/>
      <c r="O475" s="18">
        <f t="shared" si="6"/>
        <v>0</v>
      </c>
      <c r="P475" s="12"/>
      <c r="R475" s="39"/>
      <c r="S475" s="39"/>
      <c r="T475" s="13"/>
      <c r="U475" s="13"/>
    </row>
    <row r="476" spans="2:21" s="21" customFormat="1" ht="17.100000000000001" customHeight="1" x14ac:dyDescent="0.3">
      <c r="B476" s="12"/>
      <c r="C476" s="12"/>
      <c r="E476" s="10"/>
      <c r="F476" s="10"/>
      <c r="G476" s="10"/>
      <c r="H476" s="11"/>
      <c r="I476" s="10"/>
      <c r="J476" s="11"/>
      <c r="K476" s="10"/>
      <c r="L476" s="10"/>
      <c r="M476" s="31"/>
      <c r="N476" s="13"/>
      <c r="O476" s="18">
        <f t="shared" si="6"/>
        <v>0</v>
      </c>
      <c r="P476" s="12"/>
      <c r="R476" s="39"/>
      <c r="S476" s="39"/>
      <c r="T476" s="13"/>
      <c r="U476" s="13"/>
    </row>
    <row r="477" spans="2:21" s="21" customFormat="1" ht="17.100000000000001" customHeight="1" x14ac:dyDescent="0.3">
      <c r="B477" s="12"/>
      <c r="C477" s="12"/>
      <c r="E477" s="10"/>
      <c r="F477" s="10"/>
      <c r="G477" s="10"/>
      <c r="H477" s="11"/>
      <c r="I477" s="10"/>
      <c r="J477" s="11"/>
      <c r="K477" s="10"/>
      <c r="L477" s="10"/>
      <c r="M477" s="31"/>
      <c r="N477" s="13"/>
      <c r="O477" s="18">
        <f t="shared" si="6"/>
        <v>0</v>
      </c>
      <c r="P477" s="12"/>
      <c r="R477" s="39"/>
      <c r="S477" s="39"/>
      <c r="T477" s="13"/>
      <c r="U477" s="13"/>
    </row>
    <row r="478" spans="2:21" s="21" customFormat="1" ht="17.100000000000001" customHeight="1" x14ac:dyDescent="0.3">
      <c r="B478" s="12"/>
      <c r="C478" s="12"/>
      <c r="E478" s="10"/>
      <c r="F478" s="10"/>
      <c r="G478" s="10"/>
      <c r="H478" s="11"/>
      <c r="I478" s="10"/>
      <c r="J478" s="11"/>
      <c r="K478" s="10"/>
      <c r="L478" s="10"/>
      <c r="M478" s="31"/>
      <c r="N478" s="13"/>
      <c r="O478" s="18">
        <f t="shared" si="6"/>
        <v>0</v>
      </c>
      <c r="P478" s="12"/>
      <c r="R478" s="39"/>
      <c r="S478" s="39"/>
      <c r="T478" s="13"/>
      <c r="U478" s="13"/>
    </row>
    <row r="479" spans="2:21" s="21" customFormat="1" ht="17.100000000000001" customHeight="1" x14ac:dyDescent="0.3">
      <c r="B479" s="12"/>
      <c r="C479" s="12"/>
      <c r="E479" s="10"/>
      <c r="F479" s="10"/>
      <c r="G479" s="10"/>
      <c r="H479" s="11"/>
      <c r="I479" s="10"/>
      <c r="J479" s="11"/>
      <c r="K479" s="10"/>
      <c r="L479" s="10"/>
      <c r="M479" s="31"/>
      <c r="N479" s="13"/>
      <c r="O479" s="18">
        <f t="shared" si="6"/>
        <v>0</v>
      </c>
      <c r="P479" s="12"/>
      <c r="R479" s="39"/>
      <c r="S479" s="39"/>
      <c r="T479" s="13"/>
      <c r="U479" s="13"/>
    </row>
    <row r="480" spans="2:21" s="21" customFormat="1" ht="12" customHeight="1" x14ac:dyDescent="0.3">
      <c r="B480" s="12"/>
      <c r="C480" s="12"/>
      <c r="E480" s="10"/>
      <c r="F480" s="10"/>
      <c r="G480" s="10"/>
      <c r="H480" s="11"/>
      <c r="I480" s="10"/>
      <c r="J480" s="11"/>
      <c r="K480" s="10"/>
      <c r="L480" s="10"/>
      <c r="M480" s="31"/>
      <c r="N480" s="13"/>
      <c r="O480" s="18">
        <f t="shared" si="6"/>
        <v>0</v>
      </c>
      <c r="P480" s="12"/>
      <c r="R480" s="39"/>
      <c r="S480" s="39"/>
      <c r="T480" s="13"/>
      <c r="U480" s="13"/>
    </row>
    <row r="481" spans="2:21" s="21" customFormat="1" ht="12" customHeight="1" x14ac:dyDescent="0.3">
      <c r="B481" s="12"/>
      <c r="C481" s="12"/>
      <c r="E481" s="10"/>
      <c r="F481" s="10"/>
      <c r="G481" s="10"/>
      <c r="H481" s="11"/>
      <c r="I481" s="10"/>
      <c r="J481" s="11"/>
      <c r="K481" s="10"/>
      <c r="L481" s="10"/>
      <c r="M481" s="31"/>
      <c r="N481" s="13"/>
      <c r="O481" s="18">
        <f t="shared" si="6"/>
        <v>0</v>
      </c>
      <c r="P481" s="12"/>
      <c r="R481" s="39"/>
      <c r="S481" s="39"/>
      <c r="T481" s="13"/>
      <c r="U481" s="13"/>
    </row>
    <row r="482" spans="2:21" s="9" customFormat="1" ht="13.5" customHeight="1" x14ac:dyDescent="0.3">
      <c r="B482" s="7"/>
      <c r="C482" s="7"/>
      <c r="E482" s="5"/>
      <c r="F482" s="5"/>
      <c r="G482" s="5"/>
      <c r="H482" s="6"/>
      <c r="I482" s="5"/>
      <c r="J482" s="6"/>
      <c r="K482" s="5"/>
      <c r="L482" s="5"/>
      <c r="M482" s="32"/>
      <c r="N482" s="8"/>
      <c r="O482" s="18">
        <f t="shared" si="6"/>
        <v>0</v>
      </c>
      <c r="P482" s="7"/>
      <c r="R482" s="40"/>
      <c r="S482" s="40"/>
      <c r="T482" s="8"/>
      <c r="U482" s="8"/>
    </row>
    <row r="483" spans="2:21" s="9" customFormat="1" ht="13.5" customHeight="1" x14ac:dyDescent="0.3">
      <c r="B483" s="7"/>
      <c r="C483" s="7"/>
      <c r="E483" s="5"/>
      <c r="F483" s="5"/>
      <c r="G483" s="5"/>
      <c r="H483" s="6"/>
      <c r="I483" s="5"/>
      <c r="J483" s="6"/>
      <c r="K483" s="5"/>
      <c r="L483" s="5"/>
      <c r="M483" s="32"/>
      <c r="N483" s="8"/>
      <c r="O483" s="18">
        <f t="shared" ref="O483:O486" si="7">N483*I483</f>
        <v>0</v>
      </c>
      <c r="P483" s="7"/>
      <c r="R483" s="40"/>
      <c r="S483" s="40"/>
      <c r="T483" s="8"/>
      <c r="U483" s="8"/>
    </row>
    <row r="484" spans="2:21" s="9" customFormat="1" ht="13.5" customHeight="1" x14ac:dyDescent="0.3">
      <c r="B484" s="7"/>
      <c r="C484" s="7"/>
      <c r="E484" s="5"/>
      <c r="F484" s="5"/>
      <c r="G484" s="5"/>
      <c r="H484" s="6"/>
      <c r="I484" s="5"/>
      <c r="J484" s="6"/>
      <c r="K484" s="5"/>
      <c r="L484" s="5"/>
      <c r="M484" s="32"/>
      <c r="N484" s="8"/>
      <c r="O484" s="18">
        <f t="shared" si="7"/>
        <v>0</v>
      </c>
      <c r="P484" s="7"/>
      <c r="R484" s="40"/>
      <c r="S484" s="40"/>
      <c r="T484" s="8"/>
      <c r="U484" s="8"/>
    </row>
    <row r="485" spans="2:21" s="9" customFormat="1" ht="13.5" customHeight="1" x14ac:dyDescent="0.3">
      <c r="B485" s="7"/>
      <c r="C485" s="7"/>
      <c r="E485" s="5"/>
      <c r="F485" s="5"/>
      <c r="G485" s="5"/>
      <c r="H485" s="6"/>
      <c r="I485" s="5"/>
      <c r="J485" s="6"/>
      <c r="K485" s="5"/>
      <c r="L485" s="5"/>
      <c r="M485" s="32"/>
      <c r="N485" s="8"/>
      <c r="O485" s="18">
        <f t="shared" si="7"/>
        <v>0</v>
      </c>
      <c r="P485" s="7"/>
      <c r="R485" s="40"/>
      <c r="S485" s="40"/>
      <c r="T485" s="8"/>
      <c r="U485" s="8"/>
    </row>
    <row r="486" spans="2:21" s="9" customFormat="1" ht="13.5" x14ac:dyDescent="0.3">
      <c r="B486" s="7"/>
      <c r="C486" s="7"/>
      <c r="E486" s="5"/>
      <c r="F486" s="5"/>
      <c r="G486" s="5"/>
      <c r="H486" s="6"/>
      <c r="I486" s="5"/>
      <c r="J486" s="6"/>
      <c r="K486" s="5"/>
      <c r="L486" s="5"/>
      <c r="M486" s="32"/>
      <c r="N486" s="8"/>
      <c r="O486" s="18">
        <f t="shared" si="7"/>
        <v>0</v>
      </c>
      <c r="P486" s="7"/>
      <c r="R486" s="40"/>
      <c r="S486" s="40"/>
      <c r="T486" s="8"/>
      <c r="U486" s="8"/>
    </row>
    <row r="487" spans="2:21" s="9" customFormat="1" ht="13.5" x14ac:dyDescent="0.3">
      <c r="B487" s="7"/>
      <c r="C487" s="7"/>
      <c r="E487" s="5"/>
      <c r="F487" s="5"/>
      <c r="G487" s="5"/>
      <c r="H487" s="6"/>
      <c r="I487" s="5"/>
      <c r="J487" s="6"/>
      <c r="K487" s="5"/>
      <c r="L487" s="5"/>
      <c r="M487" s="32"/>
      <c r="N487" s="8"/>
      <c r="O487" s="8"/>
      <c r="P487" s="7"/>
      <c r="R487" s="40"/>
      <c r="S487" s="40"/>
      <c r="T487" s="8"/>
      <c r="U487" s="8"/>
    </row>
    <row r="488" spans="2:21" s="9" customFormat="1" ht="13.5" x14ac:dyDescent="0.3">
      <c r="B488" s="7"/>
      <c r="C488" s="7"/>
      <c r="E488" s="5"/>
      <c r="F488" s="5"/>
      <c r="G488" s="5"/>
      <c r="H488" s="6"/>
      <c r="I488" s="5"/>
      <c r="J488" s="6"/>
      <c r="K488" s="5"/>
      <c r="L488" s="5"/>
      <c r="M488" s="32"/>
      <c r="N488" s="8"/>
      <c r="O488" s="8"/>
      <c r="P488" s="7"/>
      <c r="R488" s="40"/>
      <c r="S488" s="40"/>
      <c r="T488" s="8"/>
      <c r="U488" s="8"/>
    </row>
    <row r="489" spans="2:21" s="9" customFormat="1" ht="13.5" x14ac:dyDescent="0.3">
      <c r="B489" s="7"/>
      <c r="C489" s="7"/>
      <c r="E489" s="5"/>
      <c r="F489" s="5"/>
      <c r="G489" s="5"/>
      <c r="H489" s="6"/>
      <c r="I489" s="5"/>
      <c r="J489" s="6"/>
      <c r="K489" s="5"/>
      <c r="L489" s="5"/>
      <c r="M489" s="32"/>
      <c r="N489" s="8"/>
      <c r="O489" s="8"/>
      <c r="P489" s="7"/>
      <c r="R489" s="40"/>
      <c r="S489" s="40"/>
      <c r="T489" s="8"/>
      <c r="U489" s="8"/>
    </row>
    <row r="490" spans="2:21" s="9" customFormat="1" ht="13.5" x14ac:dyDescent="0.3">
      <c r="B490" s="7"/>
      <c r="C490" s="7"/>
      <c r="E490" s="5"/>
      <c r="F490" s="5"/>
      <c r="G490" s="5"/>
      <c r="H490" s="6"/>
      <c r="I490" s="5"/>
      <c r="J490" s="6"/>
      <c r="K490" s="5"/>
      <c r="L490" s="5"/>
      <c r="M490" s="32"/>
      <c r="N490" s="8"/>
      <c r="O490" s="8"/>
      <c r="P490" s="7"/>
      <c r="R490" s="40"/>
      <c r="S490" s="40"/>
      <c r="T490" s="8"/>
      <c r="U490" s="8"/>
    </row>
    <row r="491" spans="2:21" s="9" customFormat="1" ht="13.5" x14ac:dyDescent="0.3">
      <c r="B491" s="7"/>
      <c r="C491" s="7"/>
      <c r="E491" s="5"/>
      <c r="F491" s="5"/>
      <c r="G491" s="5"/>
      <c r="H491" s="6"/>
      <c r="I491" s="5"/>
      <c r="J491" s="6"/>
      <c r="K491" s="5"/>
      <c r="L491" s="5"/>
      <c r="M491" s="32"/>
      <c r="N491" s="8"/>
      <c r="O491" s="8"/>
      <c r="P491" s="7"/>
      <c r="R491" s="40"/>
      <c r="S491" s="40"/>
      <c r="T491" s="8"/>
      <c r="U491" s="8"/>
    </row>
    <row r="492" spans="2:21" x14ac:dyDescent="0.3">
      <c r="O492" s="8"/>
    </row>
    <row r="493" spans="2:21" x14ac:dyDescent="0.3">
      <c r="O493" s="8"/>
    </row>
    <row r="494" spans="2:21" x14ac:dyDescent="0.3">
      <c r="O494" s="8"/>
    </row>
    <row r="495" spans="2:21" x14ac:dyDescent="0.3">
      <c r="O495" s="8"/>
    </row>
    <row r="496" spans="2:21" x14ac:dyDescent="0.3">
      <c r="O496" s="8"/>
    </row>
    <row r="497" spans="15:15" x14ac:dyDescent="0.3">
      <c r="O497" s="8"/>
    </row>
    <row r="498" spans="15:15" x14ac:dyDescent="0.3">
      <c r="O498" s="8"/>
    </row>
    <row r="499" spans="15:15" x14ac:dyDescent="0.3">
      <c r="O499" s="8"/>
    </row>
  </sheetData>
  <sheetProtection formatCells="0" formatColumns="0" formatRows="0" insertColumns="0"/>
  <autoFilter ref="A3:W486" xr:uid="{00000000-0009-0000-0000-000006000000}"/>
  <mergeCells count="26">
    <mergeCell ref="F2:G2"/>
    <mergeCell ref="A2:A3"/>
    <mergeCell ref="B2:B3"/>
    <mergeCell ref="C2:C3"/>
    <mergeCell ref="D2:D3"/>
    <mergeCell ref="E2:E3"/>
    <mergeCell ref="H2:I2"/>
    <mergeCell ref="J2:K2"/>
    <mergeCell ref="L2:L3"/>
    <mergeCell ref="M2:M3"/>
    <mergeCell ref="N2:O2"/>
    <mergeCell ref="W2:W3"/>
    <mergeCell ref="L36:L37"/>
    <mergeCell ref="M36:M37"/>
    <mergeCell ref="N36:N37"/>
    <mergeCell ref="O36:O37"/>
    <mergeCell ref="Q36:Q37"/>
    <mergeCell ref="R36:R37"/>
    <mergeCell ref="S36:S37"/>
    <mergeCell ref="Q2:Q3"/>
    <mergeCell ref="R2:R3"/>
    <mergeCell ref="S2:S3"/>
    <mergeCell ref="T2:T3"/>
    <mergeCell ref="U2:U3"/>
    <mergeCell ref="V2:V3"/>
    <mergeCell ref="P2:P3"/>
  </mergeCells>
  <phoneticPr fontId="2" type="noConversion"/>
  <conditionalFormatting sqref="F1:G1048576">
    <cfRule type="containsText" dxfId="12" priority="6" operator="containsText" text="지역난방">
      <formula>NOT(ISERROR(SEARCH("지역난방",F1)))</formula>
    </cfRule>
    <cfRule type="containsText" dxfId="11" priority="7" operator="containsText" text="상수도">
      <formula>NOT(ISERROR(SEARCH("상수도",F1)))</formula>
    </cfRule>
  </conditionalFormatting>
  <conditionalFormatting sqref="O4:O36">
    <cfRule type="cellIs" dxfId="10" priority="133" operator="greaterThan">
      <formula>50000000</formula>
    </cfRule>
  </conditionalFormatting>
  <conditionalFormatting sqref="O38:O477">
    <cfRule type="cellIs" dxfId="9" priority="1" operator="greaterThan">
      <formula>50000000</formula>
    </cfRule>
  </conditionalFormatting>
  <conditionalFormatting sqref="W1:W1048576">
    <cfRule type="containsText" dxfId="8" priority="2" operator="containsText" text="원도급">
      <formula>NOT(ISERROR(SEARCH("원도급",W1)))</formula>
    </cfRule>
    <cfRule type="containsText" dxfId="7" priority="3" operator="containsText" text="하도급">
      <formula>NOT(ISERROR(SEARCH("하도급",W1)))</formula>
    </cfRule>
  </conditionalFormatting>
  <hyperlinks>
    <hyperlink ref="S5" r:id="rId1" display="\\Desktop-yang\e\(주)대호스토퍼\0영업사항(견적서)\AA지역별 견적현황\2020년\충청남도\대청III5공구-수공,동부건설\기성-2020.10" xr:uid="{00000000-0004-0000-0600-000000000000}"/>
    <hyperlink ref="S6" r:id="rId2" display="\\Desktop-yang\e\(주)대호스토퍼\0영업사항(견적서)\AA지역별 견적현황\2020년\충청남도\대청III(2공구)-수공,동부건설\계약" xr:uid="{00000000-0004-0000-0600-000001000000}"/>
  </hyperlinks>
  <pageMargins left="0.70866141732283472" right="0.70866141732283472" top="0.74803149606299213" bottom="0.74803149606299213" header="0.31496062992125984" footer="0.31496062992125984"/>
  <pageSetup paperSize="8" scale="10" orientation="landscape" verticalDpi="12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P340"/>
  <sheetViews>
    <sheetView workbookViewId="0">
      <pane xSplit="4" ySplit="3" topLeftCell="E4" activePane="bottomRight" state="frozen"/>
      <selection pane="topRight" activeCell="C1" sqref="C1"/>
      <selection pane="bottomLeft" activeCell="A4" sqref="A4"/>
      <selection pane="bottomRight" activeCell="H10" sqref="H10"/>
    </sheetView>
  </sheetViews>
  <sheetFormatPr defaultRowHeight="16.5" x14ac:dyDescent="0.3"/>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x14ac:dyDescent="0.3">
      <c r="B1" t="s">
        <v>81</v>
      </c>
    </row>
    <row r="2" spans="1:16" s="14" customFormat="1" ht="16.5" customHeight="1" x14ac:dyDescent="0.3">
      <c r="A2" s="248" t="s">
        <v>0</v>
      </c>
      <c r="B2" s="244" t="s">
        <v>5</v>
      </c>
      <c r="C2" s="244" t="s">
        <v>6</v>
      </c>
      <c r="D2" s="228" t="s">
        <v>1</v>
      </c>
      <c r="E2" s="228" t="s">
        <v>7</v>
      </c>
      <c r="F2" s="229" t="s">
        <v>8</v>
      </c>
      <c r="G2" s="242" t="s">
        <v>9</v>
      </c>
      <c r="H2" s="242"/>
      <c r="I2" s="244" t="s">
        <v>12</v>
      </c>
      <c r="J2" s="228" t="s">
        <v>14</v>
      </c>
      <c r="K2" s="247" t="s">
        <v>22</v>
      </c>
      <c r="L2" s="247" t="s">
        <v>13</v>
      </c>
      <c r="M2" s="230" t="s">
        <v>431</v>
      </c>
      <c r="N2" s="230" t="s">
        <v>425</v>
      </c>
      <c r="O2" s="233" t="s">
        <v>426</v>
      </c>
      <c r="P2" s="257" t="s">
        <v>632</v>
      </c>
    </row>
    <row r="3" spans="1:16" s="14" customFormat="1" x14ac:dyDescent="0.3">
      <c r="A3" s="248"/>
      <c r="B3" s="244"/>
      <c r="C3" s="244"/>
      <c r="D3" s="228"/>
      <c r="E3" s="228"/>
      <c r="F3" s="229"/>
      <c r="G3" s="27" t="s">
        <v>11</v>
      </c>
      <c r="H3" s="27" t="s">
        <v>1237</v>
      </c>
      <c r="I3" s="244"/>
      <c r="J3" s="228"/>
      <c r="K3" s="247"/>
      <c r="L3" s="247"/>
      <c r="M3" s="232"/>
      <c r="N3" s="232"/>
      <c r="O3" s="235"/>
      <c r="P3" s="258"/>
    </row>
    <row r="4" spans="1:16" s="20" customFormat="1" ht="30" customHeight="1" x14ac:dyDescent="0.3">
      <c r="B4" s="17">
        <v>44490</v>
      </c>
      <c r="C4" s="17">
        <v>44532</v>
      </c>
      <c r="D4" s="20" t="s">
        <v>518</v>
      </c>
      <c r="E4" s="15" t="s">
        <v>1230</v>
      </c>
      <c r="F4" s="15" t="s">
        <v>1231</v>
      </c>
      <c r="G4" s="19">
        <v>79700000</v>
      </c>
      <c r="H4" s="18">
        <f>G4</f>
        <v>79700000</v>
      </c>
      <c r="I4" s="17">
        <v>44588</v>
      </c>
      <c r="J4" s="20" t="s">
        <v>1232</v>
      </c>
      <c r="K4" s="22"/>
      <c r="L4" s="38" t="s">
        <v>2599</v>
      </c>
      <c r="M4" s="19">
        <v>86900000</v>
      </c>
      <c r="N4" s="19"/>
    </row>
    <row r="5" spans="1:16" s="20" customFormat="1" ht="30" customHeight="1" x14ac:dyDescent="0.3">
      <c r="B5" s="17">
        <v>44481</v>
      </c>
      <c r="C5" s="17">
        <v>44517</v>
      </c>
      <c r="D5" s="20" t="s">
        <v>511</v>
      </c>
      <c r="E5" s="15" t="s">
        <v>652</v>
      </c>
      <c r="F5" s="29" t="s">
        <v>279</v>
      </c>
      <c r="G5" s="19">
        <v>11000000</v>
      </c>
      <c r="H5" s="18">
        <f t="shared" ref="H5:H7" si="0">G5</f>
        <v>11000000</v>
      </c>
      <c r="I5" s="17">
        <v>44539</v>
      </c>
      <c r="J5" s="20" t="s">
        <v>277</v>
      </c>
      <c r="K5" s="22" t="s">
        <v>510</v>
      </c>
      <c r="L5" s="38" t="s">
        <v>2601</v>
      </c>
      <c r="M5" s="19"/>
      <c r="N5" s="19"/>
    </row>
    <row r="6" spans="1:16" s="20" customFormat="1" ht="30" customHeight="1" x14ac:dyDescent="0.3">
      <c r="B6" s="75"/>
      <c r="C6" s="75"/>
      <c r="D6" s="76" t="s">
        <v>1234</v>
      </c>
      <c r="E6" s="287" t="s">
        <v>1235</v>
      </c>
      <c r="F6" s="288"/>
      <c r="G6" s="74"/>
      <c r="H6" s="18">
        <f>H4+H5</f>
        <v>90700000</v>
      </c>
      <c r="I6" s="17"/>
      <c r="K6" s="22"/>
      <c r="L6" s="38"/>
      <c r="M6" s="19"/>
      <c r="N6" s="19"/>
    </row>
    <row r="7" spans="1:16" s="20" customFormat="1" ht="30" customHeight="1" x14ac:dyDescent="0.3">
      <c r="B7" s="17">
        <v>44538</v>
      </c>
      <c r="C7" s="17">
        <v>44559</v>
      </c>
      <c r="D7" s="20" t="s">
        <v>502</v>
      </c>
      <c r="E7" s="15" t="s">
        <v>508</v>
      </c>
      <c r="F7" s="29" t="s">
        <v>506</v>
      </c>
      <c r="G7" s="19">
        <v>44000000</v>
      </c>
      <c r="H7" s="18">
        <f t="shared" si="0"/>
        <v>44000000</v>
      </c>
      <c r="I7" s="17"/>
      <c r="J7" s="20" t="s">
        <v>507</v>
      </c>
      <c r="K7" s="58" t="s">
        <v>686</v>
      </c>
      <c r="L7" s="38" t="s">
        <v>2617</v>
      </c>
      <c r="M7" s="19"/>
      <c r="N7" s="19"/>
      <c r="P7" s="20" t="s">
        <v>634</v>
      </c>
    </row>
    <row r="8" spans="1:16" s="20" customFormat="1" ht="30" customHeight="1" x14ac:dyDescent="0.3">
      <c r="B8" s="17">
        <v>44705</v>
      </c>
      <c r="C8" s="17">
        <v>44748</v>
      </c>
      <c r="D8" s="20" t="s">
        <v>898</v>
      </c>
      <c r="E8" s="15" t="s">
        <v>508</v>
      </c>
      <c r="F8" s="29" t="s">
        <v>506</v>
      </c>
      <c r="G8" s="19">
        <v>44000000</v>
      </c>
      <c r="H8" s="18">
        <f t="shared" ref="H8:H9" si="1">G8</f>
        <v>44000000</v>
      </c>
      <c r="I8" s="17"/>
      <c r="J8" s="20" t="s">
        <v>507</v>
      </c>
      <c r="K8" s="58" t="s">
        <v>686</v>
      </c>
      <c r="L8" s="38" t="s">
        <v>2617</v>
      </c>
      <c r="M8" s="19"/>
      <c r="N8" s="19"/>
    </row>
    <row r="9" spans="1:16" s="20" customFormat="1" ht="30" customHeight="1" x14ac:dyDescent="0.3">
      <c r="B9" s="17">
        <v>44747</v>
      </c>
      <c r="C9" s="17">
        <v>44763</v>
      </c>
      <c r="D9" s="20" t="s">
        <v>980</v>
      </c>
      <c r="E9" s="15" t="s">
        <v>508</v>
      </c>
      <c r="F9" s="29" t="s">
        <v>506</v>
      </c>
      <c r="G9" s="19">
        <v>23000000</v>
      </c>
      <c r="H9" s="18">
        <f t="shared" si="1"/>
        <v>23000000</v>
      </c>
      <c r="I9" s="17"/>
      <c r="J9" s="20" t="s">
        <v>507</v>
      </c>
      <c r="K9" s="58" t="s">
        <v>686</v>
      </c>
      <c r="L9" s="38" t="s">
        <v>2617</v>
      </c>
      <c r="M9" s="19"/>
      <c r="N9" s="19"/>
    </row>
    <row r="10" spans="1:16" s="20" customFormat="1" ht="30" customHeight="1" x14ac:dyDescent="0.3">
      <c r="B10" s="103"/>
      <c r="C10" s="103"/>
      <c r="D10" s="104" t="s">
        <v>1233</v>
      </c>
      <c r="E10" s="293" t="s">
        <v>1236</v>
      </c>
      <c r="F10" s="294"/>
      <c r="G10" s="105"/>
      <c r="H10" s="18">
        <f>H7+H8+H9</f>
        <v>111000000</v>
      </c>
      <c r="I10" s="17"/>
      <c r="K10" s="22"/>
      <c r="L10" s="22"/>
      <c r="M10" s="19"/>
      <c r="N10" s="19"/>
    </row>
    <row r="11" spans="1:16" s="20" customFormat="1" ht="17.100000000000001" customHeight="1" x14ac:dyDescent="0.3">
      <c r="B11" s="17"/>
      <c r="C11" s="17"/>
      <c r="E11" s="15"/>
      <c r="F11" s="29"/>
      <c r="G11" s="19"/>
      <c r="H11" s="18"/>
      <c r="I11" s="17"/>
      <c r="K11" s="22"/>
      <c r="L11" s="22"/>
      <c r="M11" s="19"/>
      <c r="N11" s="19"/>
    </row>
    <row r="12" spans="1:16" s="20" customFormat="1" ht="17.100000000000001" customHeight="1" x14ac:dyDescent="0.3">
      <c r="B12" s="17"/>
      <c r="C12" s="17"/>
      <c r="E12" s="15"/>
      <c r="F12" s="29"/>
      <c r="G12" s="19"/>
      <c r="H12" s="18"/>
      <c r="I12" s="17"/>
      <c r="K12" s="22"/>
      <c r="L12" s="22"/>
      <c r="M12" s="19"/>
      <c r="N12" s="19"/>
    </row>
    <row r="13" spans="1:16" s="20" customFormat="1" ht="17.100000000000001" customHeight="1" x14ac:dyDescent="0.3">
      <c r="B13" s="17"/>
      <c r="C13" s="17"/>
      <c r="E13" s="15"/>
      <c r="F13" s="29"/>
      <c r="G13" s="19"/>
      <c r="H13" s="18"/>
      <c r="I13" s="17"/>
      <c r="K13" s="22"/>
      <c r="L13" s="22"/>
      <c r="M13" s="19"/>
      <c r="N13" s="19"/>
    </row>
    <row r="14" spans="1:16" s="20" customFormat="1" ht="17.100000000000001" customHeight="1" x14ac:dyDescent="0.3">
      <c r="B14" s="17"/>
      <c r="C14" s="17"/>
      <c r="E14" s="15"/>
      <c r="F14" s="29"/>
      <c r="G14" s="19"/>
      <c r="H14" s="18"/>
      <c r="I14" s="17"/>
      <c r="K14" s="22"/>
      <c r="L14" s="22"/>
      <c r="M14" s="19"/>
      <c r="N14" s="19"/>
    </row>
    <row r="15" spans="1:16" s="20" customFormat="1" ht="17.100000000000001" customHeight="1" x14ac:dyDescent="0.3">
      <c r="B15" s="17"/>
      <c r="C15" s="17"/>
      <c r="E15" s="15"/>
      <c r="F15" s="29"/>
      <c r="G15" s="19"/>
      <c r="H15" s="18"/>
      <c r="I15" s="17"/>
      <c r="K15" s="22"/>
      <c r="L15" s="22"/>
      <c r="M15" s="19"/>
      <c r="N15" s="19"/>
    </row>
    <row r="16" spans="1:16" s="20" customFormat="1" ht="17.100000000000001" customHeight="1" x14ac:dyDescent="0.3">
      <c r="B16" s="17"/>
      <c r="C16" s="17"/>
      <c r="E16" s="15"/>
      <c r="F16" s="29"/>
      <c r="G16" s="19"/>
      <c r="H16" s="18"/>
      <c r="I16" s="17"/>
      <c r="K16" s="22"/>
      <c r="L16" s="22"/>
      <c r="M16" s="19"/>
      <c r="N16" s="19"/>
    </row>
    <row r="17" spans="2:14" s="20" customFormat="1" ht="17.100000000000001" customHeight="1" x14ac:dyDescent="0.3">
      <c r="B17" s="17"/>
      <c r="C17" s="17"/>
      <c r="E17" s="15"/>
      <c r="F17" s="29"/>
      <c r="G17" s="19"/>
      <c r="H17" s="18"/>
      <c r="I17" s="17"/>
      <c r="K17" s="22"/>
      <c r="L17" s="22"/>
      <c r="M17" s="19"/>
      <c r="N17" s="19"/>
    </row>
    <row r="18" spans="2:14" s="20" customFormat="1" ht="17.100000000000001" customHeight="1" x14ac:dyDescent="0.3">
      <c r="B18" s="17"/>
      <c r="C18" s="17"/>
      <c r="E18" s="15"/>
      <c r="F18" s="29"/>
      <c r="G18" s="19"/>
      <c r="H18" s="18"/>
      <c r="I18" s="17"/>
      <c r="K18" s="22"/>
      <c r="L18" s="22"/>
      <c r="M18" s="19"/>
      <c r="N18" s="19"/>
    </row>
    <row r="19" spans="2:14" s="20" customFormat="1" ht="17.100000000000001" customHeight="1" x14ac:dyDescent="0.3">
      <c r="B19" s="17"/>
      <c r="C19" s="17"/>
      <c r="E19" s="15"/>
      <c r="F19" s="29"/>
      <c r="G19" s="19"/>
      <c r="H19" s="18"/>
      <c r="I19" s="17"/>
      <c r="K19" s="22"/>
      <c r="L19" s="22"/>
      <c r="M19" s="19"/>
      <c r="N19" s="19"/>
    </row>
    <row r="20" spans="2:14" s="20" customFormat="1" ht="17.100000000000001" customHeight="1" x14ac:dyDescent="0.3">
      <c r="B20" s="17"/>
      <c r="C20" s="17"/>
      <c r="E20" s="15"/>
      <c r="F20" s="29"/>
      <c r="G20" s="19"/>
      <c r="H20" s="18"/>
      <c r="I20" s="17"/>
      <c r="K20" s="22"/>
      <c r="L20" s="22"/>
      <c r="M20" s="19"/>
      <c r="N20" s="19"/>
    </row>
    <row r="21" spans="2:14" s="20" customFormat="1" ht="17.100000000000001" customHeight="1" x14ac:dyDescent="0.3">
      <c r="B21" s="17"/>
      <c r="C21" s="17"/>
      <c r="E21" s="15"/>
      <c r="F21" s="29"/>
      <c r="G21" s="19"/>
      <c r="H21" s="18"/>
      <c r="I21" s="17"/>
      <c r="K21" s="22"/>
      <c r="L21" s="22"/>
      <c r="M21" s="19"/>
      <c r="N21" s="19"/>
    </row>
    <row r="22" spans="2:14" s="20" customFormat="1" ht="17.100000000000001" customHeight="1" x14ac:dyDescent="0.3">
      <c r="B22" s="17"/>
      <c r="C22" s="17"/>
      <c r="E22" s="15"/>
      <c r="F22" s="29"/>
      <c r="G22" s="19"/>
      <c r="H22" s="18"/>
      <c r="I22" s="17"/>
      <c r="K22" s="22"/>
      <c r="L22" s="22"/>
      <c r="M22" s="19"/>
      <c r="N22" s="19"/>
    </row>
    <row r="23" spans="2:14" s="20" customFormat="1" ht="17.100000000000001" customHeight="1" x14ac:dyDescent="0.3">
      <c r="B23" s="17"/>
      <c r="C23" s="17"/>
      <c r="E23" s="15"/>
      <c r="F23" s="29"/>
      <c r="G23" s="19"/>
      <c r="H23" s="18"/>
      <c r="I23" s="17"/>
      <c r="K23" s="22"/>
      <c r="L23" s="22"/>
      <c r="M23" s="19"/>
      <c r="N23" s="19"/>
    </row>
    <row r="24" spans="2:14" s="20" customFormat="1" ht="17.100000000000001" customHeight="1" x14ac:dyDescent="0.3">
      <c r="B24" s="17"/>
      <c r="C24" s="17"/>
      <c r="E24" s="15"/>
      <c r="F24" s="29"/>
      <c r="G24" s="19"/>
      <c r="H24" s="18"/>
      <c r="I24" s="17"/>
      <c r="K24" s="22"/>
      <c r="L24" s="22"/>
      <c r="M24" s="19"/>
      <c r="N24" s="19"/>
    </row>
    <row r="25" spans="2:14" s="20" customFormat="1" ht="17.100000000000001" customHeight="1" x14ac:dyDescent="0.3">
      <c r="B25" s="17"/>
      <c r="C25" s="17"/>
      <c r="E25" s="15"/>
      <c r="F25" s="29"/>
      <c r="G25" s="19"/>
      <c r="H25" s="18"/>
      <c r="I25" s="17"/>
      <c r="K25" s="22"/>
      <c r="L25" s="22"/>
      <c r="M25" s="19"/>
      <c r="N25" s="19"/>
    </row>
    <row r="26" spans="2:14" s="20" customFormat="1" ht="17.100000000000001" customHeight="1" x14ac:dyDescent="0.3">
      <c r="B26" s="17"/>
      <c r="C26" s="17"/>
      <c r="E26" s="15"/>
      <c r="F26" s="29"/>
      <c r="G26" s="19"/>
      <c r="H26" s="18"/>
      <c r="I26" s="17"/>
      <c r="K26" s="22"/>
      <c r="L26" s="22"/>
      <c r="M26" s="19"/>
      <c r="N26" s="19"/>
    </row>
    <row r="27" spans="2:14" s="20" customFormat="1" ht="17.100000000000001" customHeight="1" x14ac:dyDescent="0.3">
      <c r="B27" s="17"/>
      <c r="C27" s="17"/>
      <c r="E27" s="15"/>
      <c r="F27" s="29"/>
      <c r="G27" s="19"/>
      <c r="H27" s="18"/>
      <c r="I27" s="17"/>
      <c r="K27" s="22"/>
      <c r="L27" s="22"/>
      <c r="M27" s="19"/>
      <c r="N27" s="19"/>
    </row>
    <row r="28" spans="2:14" s="20" customFormat="1" ht="17.100000000000001" customHeight="1" x14ac:dyDescent="0.3">
      <c r="B28" s="17"/>
      <c r="C28" s="17"/>
      <c r="E28" s="15"/>
      <c r="F28" s="29"/>
      <c r="G28" s="19"/>
      <c r="H28" s="18"/>
      <c r="I28" s="17"/>
      <c r="K28" s="22"/>
      <c r="L28" s="22"/>
      <c r="M28" s="19"/>
      <c r="N28" s="19"/>
    </row>
    <row r="29" spans="2:14" s="20" customFormat="1" ht="17.100000000000001" customHeight="1" x14ac:dyDescent="0.3">
      <c r="B29" s="17"/>
      <c r="C29" s="17"/>
      <c r="E29" s="15"/>
      <c r="F29" s="29"/>
      <c r="G29" s="19"/>
      <c r="H29" s="18"/>
      <c r="I29" s="17"/>
      <c r="K29" s="22"/>
      <c r="L29" s="22"/>
      <c r="M29" s="19"/>
      <c r="N29" s="19"/>
    </row>
    <row r="30" spans="2:14" s="20" customFormat="1" ht="17.100000000000001" customHeight="1" x14ac:dyDescent="0.3">
      <c r="B30" s="17"/>
      <c r="C30" s="17"/>
      <c r="E30" s="15"/>
      <c r="F30" s="29"/>
      <c r="G30" s="19"/>
      <c r="H30" s="18"/>
      <c r="I30" s="17"/>
      <c r="K30" s="22"/>
      <c r="L30" s="22"/>
      <c r="M30" s="19"/>
      <c r="N30" s="19"/>
    </row>
    <row r="31" spans="2:14" s="20" customFormat="1" ht="17.100000000000001" customHeight="1" x14ac:dyDescent="0.3">
      <c r="B31" s="17"/>
      <c r="C31" s="17"/>
      <c r="E31" s="15"/>
      <c r="F31" s="29"/>
      <c r="G31" s="19"/>
      <c r="H31" s="18"/>
      <c r="I31" s="17"/>
      <c r="K31" s="22"/>
      <c r="L31" s="22"/>
      <c r="M31" s="19"/>
      <c r="N31" s="19"/>
    </row>
    <row r="32" spans="2:14" s="20" customFormat="1" ht="17.100000000000001" customHeight="1" x14ac:dyDescent="0.3">
      <c r="B32" s="17"/>
      <c r="C32" s="17"/>
      <c r="E32" s="15"/>
      <c r="F32" s="29"/>
      <c r="G32" s="19"/>
      <c r="H32" s="18"/>
      <c r="I32" s="17"/>
      <c r="K32" s="22"/>
      <c r="L32" s="22"/>
      <c r="M32" s="19"/>
      <c r="N32" s="19"/>
    </row>
    <row r="33" spans="2:14" s="20" customFormat="1" ht="17.100000000000001" customHeight="1" x14ac:dyDescent="0.3">
      <c r="B33" s="17"/>
      <c r="C33" s="17"/>
      <c r="E33" s="15"/>
      <c r="F33" s="29"/>
      <c r="G33" s="19"/>
      <c r="H33" s="18"/>
      <c r="I33" s="17"/>
      <c r="K33" s="22"/>
      <c r="L33" s="22"/>
      <c r="M33" s="19"/>
      <c r="N33" s="19"/>
    </row>
    <row r="34" spans="2:14" s="20" customFormat="1" ht="17.100000000000001" customHeight="1" x14ac:dyDescent="0.3">
      <c r="B34" s="17"/>
      <c r="C34" s="17"/>
      <c r="E34" s="15"/>
      <c r="F34" s="29"/>
      <c r="G34" s="19"/>
      <c r="H34" s="18"/>
      <c r="I34" s="17"/>
      <c r="K34" s="22"/>
      <c r="L34" s="22"/>
      <c r="M34" s="19"/>
      <c r="N34" s="19"/>
    </row>
    <row r="35" spans="2:14" s="20" customFormat="1" ht="17.100000000000001" customHeight="1" x14ac:dyDescent="0.3">
      <c r="B35" s="17"/>
      <c r="C35" s="17"/>
      <c r="E35" s="15"/>
      <c r="F35" s="29"/>
      <c r="G35" s="19"/>
      <c r="H35" s="18"/>
      <c r="I35" s="17"/>
      <c r="K35" s="22"/>
      <c r="L35" s="22"/>
      <c r="M35" s="19"/>
      <c r="N35" s="19"/>
    </row>
    <row r="36" spans="2:14" s="20" customFormat="1" ht="17.100000000000001" customHeight="1" x14ac:dyDescent="0.3">
      <c r="B36" s="17"/>
      <c r="C36" s="17"/>
      <c r="E36" s="15"/>
      <c r="F36" s="29"/>
      <c r="G36" s="19"/>
      <c r="H36" s="18"/>
      <c r="I36" s="17"/>
      <c r="K36" s="22"/>
      <c r="L36" s="22"/>
      <c r="M36" s="19"/>
      <c r="N36" s="19"/>
    </row>
    <row r="37" spans="2:14" s="20" customFormat="1" ht="17.100000000000001" customHeight="1" x14ac:dyDescent="0.3">
      <c r="B37" s="17"/>
      <c r="C37" s="17"/>
      <c r="E37" s="15"/>
      <c r="F37" s="29"/>
      <c r="G37" s="19"/>
      <c r="H37" s="18"/>
      <c r="I37" s="17"/>
      <c r="K37" s="22"/>
      <c r="L37" s="22"/>
      <c r="M37" s="19"/>
      <c r="N37" s="19"/>
    </row>
    <row r="38" spans="2:14" s="20" customFormat="1" ht="17.100000000000001" customHeight="1" x14ac:dyDescent="0.3">
      <c r="B38" s="17"/>
      <c r="C38" s="17"/>
      <c r="E38" s="15"/>
      <c r="F38" s="29"/>
      <c r="G38" s="19"/>
      <c r="H38" s="18"/>
      <c r="I38" s="17"/>
      <c r="K38" s="22"/>
      <c r="L38" s="22"/>
      <c r="M38" s="19"/>
      <c r="N38" s="19"/>
    </row>
    <row r="39" spans="2:14" s="20" customFormat="1" ht="17.100000000000001" customHeight="1" x14ac:dyDescent="0.3">
      <c r="B39" s="17"/>
      <c r="C39" s="17"/>
      <c r="E39" s="15"/>
      <c r="F39" s="29"/>
      <c r="G39" s="19"/>
      <c r="H39" s="18"/>
      <c r="I39" s="17"/>
      <c r="K39" s="22"/>
      <c r="L39" s="22"/>
      <c r="M39" s="19"/>
      <c r="N39" s="19"/>
    </row>
    <row r="40" spans="2:14" s="20" customFormat="1" ht="17.100000000000001" customHeight="1" x14ac:dyDescent="0.3">
      <c r="B40" s="17"/>
      <c r="C40" s="17"/>
      <c r="E40" s="15"/>
      <c r="F40" s="29"/>
      <c r="G40" s="19"/>
      <c r="H40" s="18"/>
      <c r="I40" s="17"/>
      <c r="K40" s="22"/>
      <c r="L40" s="22"/>
      <c r="M40" s="19"/>
      <c r="N40" s="19"/>
    </row>
    <row r="41" spans="2:14" s="20" customFormat="1" ht="17.100000000000001" customHeight="1" x14ac:dyDescent="0.3">
      <c r="B41" s="17"/>
      <c r="C41" s="17"/>
      <c r="E41" s="15"/>
      <c r="F41" s="29"/>
      <c r="G41" s="19"/>
      <c r="H41" s="18"/>
      <c r="I41" s="17"/>
      <c r="K41" s="22"/>
      <c r="L41" s="22"/>
      <c r="M41" s="19"/>
      <c r="N41" s="19"/>
    </row>
    <row r="42" spans="2:14" s="20" customFormat="1" ht="17.100000000000001" customHeight="1" x14ac:dyDescent="0.3">
      <c r="B42" s="17"/>
      <c r="C42" s="17"/>
      <c r="E42" s="15"/>
      <c r="F42" s="29"/>
      <c r="G42" s="19"/>
      <c r="H42" s="18"/>
      <c r="I42" s="17"/>
      <c r="K42" s="22"/>
      <c r="L42" s="22"/>
      <c r="M42" s="19"/>
      <c r="N42" s="19"/>
    </row>
    <row r="43" spans="2:14" s="20" customFormat="1" ht="17.100000000000001" customHeight="1" x14ac:dyDescent="0.3">
      <c r="B43" s="17"/>
      <c r="C43" s="17"/>
      <c r="E43" s="15"/>
      <c r="F43" s="29"/>
      <c r="G43" s="19"/>
      <c r="H43" s="18"/>
      <c r="I43" s="17"/>
      <c r="K43" s="22"/>
      <c r="L43" s="22"/>
      <c r="M43" s="19"/>
      <c r="N43" s="19"/>
    </row>
    <row r="44" spans="2:14" s="20" customFormat="1" ht="17.100000000000001" customHeight="1" x14ac:dyDescent="0.3">
      <c r="B44" s="17"/>
      <c r="C44" s="17"/>
      <c r="E44" s="15"/>
      <c r="F44" s="29"/>
      <c r="G44" s="19"/>
      <c r="H44" s="18"/>
      <c r="I44" s="17"/>
      <c r="K44" s="22"/>
      <c r="L44" s="22"/>
      <c r="M44" s="19"/>
      <c r="N44" s="19"/>
    </row>
    <row r="45" spans="2:14" s="20" customFormat="1" ht="17.100000000000001" customHeight="1" x14ac:dyDescent="0.3">
      <c r="B45" s="17"/>
      <c r="C45" s="17"/>
      <c r="E45" s="15"/>
      <c r="F45" s="29"/>
      <c r="G45" s="19"/>
      <c r="H45" s="18"/>
      <c r="I45" s="17"/>
      <c r="K45" s="22"/>
      <c r="L45" s="22"/>
      <c r="M45" s="19"/>
      <c r="N45" s="19"/>
    </row>
    <row r="46" spans="2:14" s="20" customFormat="1" ht="17.100000000000001" customHeight="1" x14ac:dyDescent="0.3">
      <c r="B46" s="17"/>
      <c r="C46" s="17"/>
      <c r="E46" s="15"/>
      <c r="F46" s="29"/>
      <c r="G46" s="19"/>
      <c r="H46" s="18"/>
      <c r="I46" s="17"/>
      <c r="K46" s="22"/>
      <c r="L46" s="22"/>
      <c r="M46" s="19"/>
      <c r="N46" s="19"/>
    </row>
    <row r="47" spans="2:14" s="20" customFormat="1" ht="17.100000000000001" customHeight="1" x14ac:dyDescent="0.3">
      <c r="B47" s="17"/>
      <c r="C47" s="17"/>
      <c r="E47" s="15"/>
      <c r="F47" s="29"/>
      <c r="G47" s="19"/>
      <c r="H47" s="18"/>
      <c r="I47" s="17"/>
      <c r="K47" s="22"/>
      <c r="L47" s="22"/>
      <c r="M47" s="19"/>
      <c r="N47" s="19"/>
    </row>
    <row r="48" spans="2:14" s="20" customFormat="1" ht="17.100000000000001" customHeight="1" x14ac:dyDescent="0.3">
      <c r="B48" s="17"/>
      <c r="C48" s="17"/>
      <c r="E48" s="15"/>
      <c r="F48" s="29"/>
      <c r="G48" s="19"/>
      <c r="H48" s="18"/>
      <c r="I48" s="17"/>
      <c r="K48" s="22"/>
      <c r="L48" s="22"/>
      <c r="M48" s="19"/>
      <c r="N48" s="19"/>
    </row>
    <row r="49" spans="2:14" s="20" customFormat="1" ht="17.100000000000001" customHeight="1" x14ac:dyDescent="0.3">
      <c r="B49" s="17"/>
      <c r="C49" s="17"/>
      <c r="E49" s="15"/>
      <c r="F49" s="29"/>
      <c r="G49" s="19"/>
      <c r="H49" s="18"/>
      <c r="I49" s="17"/>
      <c r="K49" s="22"/>
      <c r="L49" s="22"/>
      <c r="M49" s="19"/>
      <c r="N49" s="19"/>
    </row>
    <row r="50" spans="2:14" s="20" customFormat="1" ht="17.100000000000001" customHeight="1" x14ac:dyDescent="0.3">
      <c r="B50" s="17"/>
      <c r="C50" s="17"/>
      <c r="E50" s="15"/>
      <c r="F50" s="29"/>
      <c r="G50" s="19"/>
      <c r="H50" s="18"/>
      <c r="I50" s="17"/>
      <c r="K50" s="22"/>
      <c r="L50" s="22"/>
      <c r="M50" s="19"/>
      <c r="N50" s="19"/>
    </row>
    <row r="51" spans="2:14" s="20" customFormat="1" ht="17.100000000000001" customHeight="1" x14ac:dyDescent="0.3">
      <c r="B51" s="17"/>
      <c r="C51" s="17"/>
      <c r="E51" s="15"/>
      <c r="F51" s="29"/>
      <c r="G51" s="19"/>
      <c r="H51" s="18"/>
      <c r="I51" s="17"/>
      <c r="K51" s="22"/>
      <c r="L51" s="22"/>
      <c r="M51" s="19"/>
      <c r="N51" s="19"/>
    </row>
    <row r="52" spans="2:14" s="20" customFormat="1" ht="17.100000000000001" customHeight="1" x14ac:dyDescent="0.3">
      <c r="B52" s="17"/>
      <c r="C52" s="17"/>
      <c r="E52" s="15"/>
      <c r="F52" s="29"/>
      <c r="G52" s="19"/>
      <c r="H52" s="18"/>
      <c r="I52" s="17"/>
      <c r="K52" s="22"/>
      <c r="L52" s="22"/>
      <c r="M52" s="19"/>
      <c r="N52" s="19"/>
    </row>
    <row r="53" spans="2:14" s="20" customFormat="1" ht="17.100000000000001" customHeight="1" x14ac:dyDescent="0.3">
      <c r="B53" s="17"/>
      <c r="C53" s="17"/>
      <c r="E53" s="15"/>
      <c r="F53" s="29"/>
      <c r="G53" s="19"/>
      <c r="H53" s="18"/>
      <c r="I53" s="17"/>
      <c r="K53" s="22"/>
      <c r="L53" s="22"/>
      <c r="M53" s="19"/>
      <c r="N53" s="19"/>
    </row>
    <row r="54" spans="2:14" s="20" customFormat="1" ht="17.100000000000001" customHeight="1" x14ac:dyDescent="0.3">
      <c r="B54" s="17"/>
      <c r="C54" s="17"/>
      <c r="E54" s="15"/>
      <c r="F54" s="29"/>
      <c r="G54" s="19"/>
      <c r="H54" s="18"/>
      <c r="I54" s="17"/>
      <c r="K54" s="22"/>
      <c r="L54" s="22"/>
      <c r="M54" s="19"/>
      <c r="N54" s="19"/>
    </row>
    <row r="55" spans="2:14" s="20" customFormat="1" ht="17.100000000000001" customHeight="1" x14ac:dyDescent="0.3">
      <c r="B55" s="17"/>
      <c r="C55" s="17"/>
      <c r="E55" s="15"/>
      <c r="F55" s="29"/>
      <c r="G55" s="19"/>
      <c r="H55" s="18"/>
      <c r="I55" s="17"/>
      <c r="K55" s="22"/>
      <c r="L55" s="22"/>
      <c r="M55" s="19"/>
      <c r="N55" s="19"/>
    </row>
    <row r="56" spans="2:14" s="20" customFormat="1" ht="17.100000000000001" customHeight="1" x14ac:dyDescent="0.3">
      <c r="B56" s="17"/>
      <c r="C56" s="17"/>
      <c r="E56" s="15"/>
      <c r="F56" s="29"/>
      <c r="G56" s="19"/>
      <c r="H56" s="18"/>
      <c r="I56" s="17"/>
      <c r="K56" s="22"/>
      <c r="L56" s="22"/>
      <c r="M56" s="19"/>
      <c r="N56" s="19"/>
    </row>
    <row r="57" spans="2:14" s="20" customFormat="1" ht="17.100000000000001" customHeight="1" x14ac:dyDescent="0.3">
      <c r="B57" s="17"/>
      <c r="C57" s="17"/>
      <c r="E57" s="15"/>
      <c r="F57" s="29"/>
      <c r="G57" s="19"/>
      <c r="H57" s="18"/>
      <c r="I57" s="17"/>
      <c r="K57" s="22"/>
      <c r="L57" s="22"/>
      <c r="M57" s="19"/>
      <c r="N57" s="19"/>
    </row>
    <row r="58" spans="2:14" s="20" customFormat="1" ht="17.100000000000001" customHeight="1" x14ac:dyDescent="0.3">
      <c r="B58" s="17"/>
      <c r="C58" s="17"/>
      <c r="E58" s="15"/>
      <c r="F58" s="29"/>
      <c r="G58" s="19"/>
      <c r="H58" s="18"/>
      <c r="I58" s="17"/>
      <c r="K58" s="22"/>
      <c r="L58" s="22"/>
      <c r="M58" s="19"/>
      <c r="N58" s="19"/>
    </row>
    <row r="59" spans="2:14" s="20" customFormat="1" ht="17.100000000000001" customHeight="1" x14ac:dyDescent="0.3">
      <c r="B59" s="17"/>
      <c r="C59" s="17"/>
      <c r="E59" s="15"/>
      <c r="F59" s="29"/>
      <c r="G59" s="19"/>
      <c r="H59" s="18"/>
      <c r="I59" s="17"/>
      <c r="K59" s="22"/>
      <c r="L59" s="22"/>
      <c r="M59" s="19"/>
      <c r="N59" s="19"/>
    </row>
    <row r="60" spans="2:14" s="20" customFormat="1" ht="17.100000000000001" customHeight="1" x14ac:dyDescent="0.3">
      <c r="B60" s="17"/>
      <c r="C60" s="17"/>
      <c r="E60" s="15"/>
      <c r="F60" s="29"/>
      <c r="G60" s="19"/>
      <c r="H60" s="18"/>
      <c r="I60" s="17"/>
      <c r="K60" s="22"/>
      <c r="L60" s="22"/>
      <c r="M60" s="19"/>
      <c r="N60" s="19"/>
    </row>
    <row r="61" spans="2:14" s="20" customFormat="1" ht="17.100000000000001" customHeight="1" x14ac:dyDescent="0.3">
      <c r="B61" s="17"/>
      <c r="C61" s="17"/>
      <c r="E61" s="15"/>
      <c r="F61" s="29"/>
      <c r="G61" s="19"/>
      <c r="H61" s="18"/>
      <c r="I61" s="17"/>
      <c r="K61" s="22"/>
      <c r="L61" s="22"/>
      <c r="M61" s="19"/>
      <c r="N61" s="19"/>
    </row>
    <row r="62" spans="2:14" s="20" customFormat="1" ht="17.100000000000001" customHeight="1" x14ac:dyDescent="0.3">
      <c r="B62" s="17"/>
      <c r="C62" s="17"/>
      <c r="E62" s="15"/>
      <c r="F62" s="29"/>
      <c r="G62" s="19"/>
      <c r="H62" s="18"/>
      <c r="I62" s="17"/>
      <c r="K62" s="22"/>
      <c r="L62" s="22"/>
      <c r="M62" s="19"/>
      <c r="N62" s="19"/>
    </row>
    <row r="63" spans="2:14" s="20" customFormat="1" ht="17.100000000000001" customHeight="1" x14ac:dyDescent="0.3">
      <c r="B63" s="17"/>
      <c r="C63" s="17"/>
      <c r="E63" s="15"/>
      <c r="F63" s="29"/>
      <c r="G63" s="19"/>
      <c r="H63" s="18"/>
      <c r="I63" s="17"/>
      <c r="K63" s="22"/>
      <c r="L63" s="22"/>
      <c r="M63" s="19"/>
      <c r="N63" s="19"/>
    </row>
    <row r="64" spans="2:14" s="20" customFormat="1" ht="17.100000000000001" customHeight="1" x14ac:dyDescent="0.3">
      <c r="B64" s="17"/>
      <c r="C64" s="17"/>
      <c r="E64" s="15"/>
      <c r="F64" s="29"/>
      <c r="G64" s="19"/>
      <c r="H64" s="18"/>
      <c r="I64" s="17"/>
      <c r="K64" s="22"/>
      <c r="L64" s="22"/>
      <c r="M64" s="19"/>
      <c r="N64" s="19"/>
    </row>
    <row r="65" spans="2:14" s="20" customFormat="1" ht="17.100000000000001" customHeight="1" x14ac:dyDescent="0.3">
      <c r="B65" s="17"/>
      <c r="C65" s="17"/>
      <c r="E65" s="15"/>
      <c r="F65" s="29"/>
      <c r="G65" s="19"/>
      <c r="H65" s="18"/>
      <c r="I65" s="17"/>
      <c r="K65" s="22"/>
      <c r="L65" s="22"/>
      <c r="M65" s="19"/>
      <c r="N65" s="19"/>
    </row>
    <row r="66" spans="2:14" s="20" customFormat="1" ht="17.100000000000001" customHeight="1" x14ac:dyDescent="0.3">
      <c r="B66" s="17"/>
      <c r="C66" s="17"/>
      <c r="E66" s="15"/>
      <c r="F66" s="29"/>
      <c r="G66" s="19"/>
      <c r="H66" s="18"/>
      <c r="I66" s="17"/>
      <c r="K66" s="22"/>
      <c r="L66" s="22"/>
      <c r="M66" s="19"/>
      <c r="N66" s="19"/>
    </row>
    <row r="67" spans="2:14" s="20" customFormat="1" ht="17.100000000000001" customHeight="1" x14ac:dyDescent="0.3">
      <c r="B67" s="17"/>
      <c r="C67" s="17"/>
      <c r="E67" s="15"/>
      <c r="F67" s="29"/>
      <c r="G67" s="19"/>
      <c r="H67" s="18"/>
      <c r="I67" s="17"/>
      <c r="K67" s="22"/>
      <c r="L67" s="22"/>
      <c r="M67" s="19"/>
      <c r="N67" s="19"/>
    </row>
    <row r="68" spans="2:14" s="20" customFormat="1" ht="17.100000000000001" customHeight="1" x14ac:dyDescent="0.3">
      <c r="B68" s="17"/>
      <c r="C68" s="17"/>
      <c r="E68" s="15"/>
      <c r="F68" s="29"/>
      <c r="G68" s="19"/>
      <c r="H68" s="18"/>
      <c r="I68" s="17"/>
      <c r="K68" s="22"/>
      <c r="L68" s="22"/>
      <c r="M68" s="19"/>
      <c r="N68" s="19"/>
    </row>
    <row r="69" spans="2:14" s="20" customFormat="1" ht="17.100000000000001" customHeight="1" x14ac:dyDescent="0.3">
      <c r="B69" s="17"/>
      <c r="C69" s="17"/>
      <c r="E69" s="15"/>
      <c r="F69" s="29"/>
      <c r="G69" s="19"/>
      <c r="H69" s="18"/>
      <c r="I69" s="17"/>
      <c r="K69" s="22"/>
      <c r="L69" s="22"/>
      <c r="M69" s="19"/>
      <c r="N69" s="19"/>
    </row>
    <row r="70" spans="2:14" s="20" customFormat="1" ht="17.100000000000001" customHeight="1" x14ac:dyDescent="0.3">
      <c r="B70" s="17"/>
      <c r="C70" s="17"/>
      <c r="E70" s="15"/>
      <c r="F70" s="29"/>
      <c r="G70" s="19"/>
      <c r="H70" s="18"/>
      <c r="I70" s="17"/>
      <c r="K70" s="22"/>
      <c r="L70" s="22"/>
      <c r="M70" s="19"/>
      <c r="N70" s="19"/>
    </row>
    <row r="71" spans="2:14" s="20" customFormat="1" ht="17.100000000000001" customHeight="1" x14ac:dyDescent="0.3">
      <c r="B71" s="17"/>
      <c r="C71" s="17"/>
      <c r="E71" s="15"/>
      <c r="F71" s="29"/>
      <c r="G71" s="19"/>
      <c r="H71" s="18"/>
      <c r="I71" s="17"/>
      <c r="K71" s="22"/>
      <c r="L71" s="22"/>
      <c r="M71" s="19"/>
      <c r="N71" s="19"/>
    </row>
    <row r="72" spans="2:14" s="20" customFormat="1" ht="17.100000000000001" customHeight="1" x14ac:dyDescent="0.3">
      <c r="B72" s="17"/>
      <c r="C72" s="17"/>
      <c r="E72" s="15"/>
      <c r="F72" s="29"/>
      <c r="G72" s="19"/>
      <c r="H72" s="18"/>
      <c r="I72" s="17"/>
      <c r="K72" s="22"/>
      <c r="L72" s="22"/>
      <c r="M72" s="19"/>
      <c r="N72" s="19"/>
    </row>
    <row r="73" spans="2:14" s="20" customFormat="1" ht="17.100000000000001" customHeight="1" x14ac:dyDescent="0.3">
      <c r="B73" s="17"/>
      <c r="C73" s="17"/>
      <c r="E73" s="15"/>
      <c r="F73" s="29"/>
      <c r="G73" s="19"/>
      <c r="H73" s="18"/>
      <c r="I73" s="17"/>
      <c r="K73" s="22"/>
      <c r="L73" s="22"/>
      <c r="M73" s="19"/>
      <c r="N73" s="19"/>
    </row>
    <row r="74" spans="2:14" s="20" customFormat="1" ht="17.100000000000001" customHeight="1" x14ac:dyDescent="0.3">
      <c r="B74" s="17"/>
      <c r="C74" s="17"/>
      <c r="E74" s="15"/>
      <c r="F74" s="29"/>
      <c r="G74" s="19"/>
      <c r="H74" s="18"/>
      <c r="I74" s="17"/>
      <c r="K74" s="22"/>
      <c r="L74" s="22"/>
      <c r="M74" s="19"/>
      <c r="N74" s="19"/>
    </row>
    <row r="75" spans="2:14" s="20" customFormat="1" ht="17.100000000000001" customHeight="1" x14ac:dyDescent="0.3">
      <c r="B75" s="17"/>
      <c r="C75" s="17"/>
      <c r="E75" s="15"/>
      <c r="F75" s="29"/>
      <c r="G75" s="19"/>
      <c r="H75" s="18"/>
      <c r="I75" s="17"/>
      <c r="K75" s="22"/>
      <c r="L75" s="22"/>
      <c r="M75" s="19"/>
      <c r="N75" s="19"/>
    </row>
    <row r="76" spans="2:14" s="20" customFormat="1" ht="17.100000000000001" customHeight="1" x14ac:dyDescent="0.3">
      <c r="B76" s="17"/>
      <c r="C76" s="17"/>
      <c r="E76" s="15"/>
      <c r="F76" s="29"/>
      <c r="G76" s="19"/>
      <c r="H76" s="18"/>
      <c r="I76" s="17"/>
      <c r="K76" s="22"/>
      <c r="L76" s="22"/>
      <c r="M76" s="19"/>
      <c r="N76" s="19"/>
    </row>
    <row r="77" spans="2:14" s="20" customFormat="1" ht="17.100000000000001" customHeight="1" x14ac:dyDescent="0.3">
      <c r="B77" s="17"/>
      <c r="C77" s="17"/>
      <c r="E77" s="15"/>
      <c r="F77" s="29"/>
      <c r="G77" s="19"/>
      <c r="H77" s="18"/>
      <c r="I77" s="17"/>
      <c r="K77" s="22"/>
      <c r="L77" s="22"/>
      <c r="M77" s="19"/>
      <c r="N77" s="19"/>
    </row>
    <row r="78" spans="2:14" s="20" customFormat="1" ht="17.100000000000001" customHeight="1" x14ac:dyDescent="0.3">
      <c r="B78" s="17"/>
      <c r="C78" s="17"/>
      <c r="E78" s="15"/>
      <c r="F78" s="29"/>
      <c r="G78" s="19"/>
      <c r="H78" s="18"/>
      <c r="I78" s="17"/>
      <c r="K78" s="22"/>
      <c r="L78" s="22"/>
      <c r="M78" s="19"/>
      <c r="N78" s="19"/>
    </row>
    <row r="79" spans="2:14" s="20" customFormat="1" ht="17.100000000000001" customHeight="1" x14ac:dyDescent="0.3">
      <c r="B79" s="17"/>
      <c r="C79" s="17"/>
      <c r="E79" s="15"/>
      <c r="F79" s="29"/>
      <c r="G79" s="19"/>
      <c r="H79" s="18"/>
      <c r="I79" s="17"/>
      <c r="K79" s="22"/>
      <c r="L79" s="22"/>
      <c r="M79" s="19"/>
      <c r="N79" s="19"/>
    </row>
    <row r="80" spans="2:14" s="20" customFormat="1" ht="17.100000000000001" customHeight="1" x14ac:dyDescent="0.3">
      <c r="B80" s="17"/>
      <c r="C80" s="17"/>
      <c r="E80" s="15"/>
      <c r="F80" s="29"/>
      <c r="G80" s="19"/>
      <c r="H80" s="18"/>
      <c r="I80" s="17"/>
      <c r="K80" s="22"/>
      <c r="L80" s="22"/>
      <c r="M80" s="19"/>
      <c r="N80" s="19"/>
    </row>
    <row r="81" spans="2:14" s="20" customFormat="1" ht="17.100000000000001" customHeight="1" x14ac:dyDescent="0.3">
      <c r="B81" s="17"/>
      <c r="C81" s="17"/>
      <c r="E81" s="15"/>
      <c r="F81" s="29"/>
      <c r="G81" s="19"/>
      <c r="H81" s="18"/>
      <c r="I81" s="17"/>
      <c r="K81" s="22"/>
      <c r="L81" s="22"/>
      <c r="M81" s="19"/>
      <c r="N81" s="19"/>
    </row>
    <row r="82" spans="2:14" s="20" customFormat="1" ht="17.100000000000001" customHeight="1" x14ac:dyDescent="0.3">
      <c r="B82" s="17"/>
      <c r="C82" s="17"/>
      <c r="E82" s="15"/>
      <c r="F82" s="29"/>
      <c r="G82" s="19"/>
      <c r="H82" s="18"/>
      <c r="I82" s="17"/>
      <c r="K82" s="22"/>
      <c r="L82" s="22"/>
      <c r="M82" s="19"/>
      <c r="N82" s="19"/>
    </row>
    <row r="83" spans="2:14" s="20" customFormat="1" ht="17.100000000000001" customHeight="1" x14ac:dyDescent="0.3">
      <c r="B83" s="17"/>
      <c r="C83" s="17"/>
      <c r="E83" s="15"/>
      <c r="F83" s="29"/>
      <c r="G83" s="19"/>
      <c r="H83" s="18"/>
      <c r="I83" s="17"/>
      <c r="K83" s="22"/>
      <c r="L83" s="22"/>
      <c r="M83" s="19"/>
      <c r="N83" s="19"/>
    </row>
    <row r="84" spans="2:14" s="20" customFormat="1" ht="17.100000000000001" customHeight="1" x14ac:dyDescent="0.3">
      <c r="B84" s="17"/>
      <c r="C84" s="17"/>
      <c r="E84" s="15"/>
      <c r="F84" s="29"/>
      <c r="G84" s="19"/>
      <c r="H84" s="18"/>
      <c r="I84" s="17"/>
      <c r="K84" s="22"/>
      <c r="L84" s="22"/>
      <c r="M84" s="19"/>
      <c r="N84" s="19"/>
    </row>
    <row r="85" spans="2:14" s="20" customFormat="1" ht="17.100000000000001" customHeight="1" x14ac:dyDescent="0.3">
      <c r="B85" s="17"/>
      <c r="C85" s="17"/>
      <c r="E85" s="15"/>
      <c r="F85" s="29"/>
      <c r="G85" s="19"/>
      <c r="H85" s="18"/>
      <c r="I85" s="17"/>
      <c r="K85" s="22"/>
      <c r="L85" s="22"/>
      <c r="M85" s="19"/>
      <c r="N85" s="19"/>
    </row>
    <row r="86" spans="2:14" s="20" customFormat="1" ht="17.100000000000001" customHeight="1" x14ac:dyDescent="0.3">
      <c r="B86" s="17"/>
      <c r="C86" s="17"/>
      <c r="E86" s="15"/>
      <c r="F86" s="29"/>
      <c r="G86" s="19"/>
      <c r="H86" s="18"/>
      <c r="I86" s="17"/>
      <c r="K86" s="22"/>
      <c r="L86" s="22"/>
      <c r="M86" s="19"/>
      <c r="N86" s="19"/>
    </row>
    <row r="87" spans="2:14" s="20" customFormat="1" ht="17.100000000000001" customHeight="1" x14ac:dyDescent="0.3">
      <c r="B87" s="17"/>
      <c r="C87" s="17"/>
      <c r="E87" s="15"/>
      <c r="F87" s="29"/>
      <c r="G87" s="19"/>
      <c r="H87" s="18"/>
      <c r="I87" s="17"/>
      <c r="K87" s="22"/>
      <c r="L87" s="22"/>
      <c r="M87" s="19"/>
      <c r="N87" s="19"/>
    </row>
    <row r="88" spans="2:14" s="20" customFormat="1" ht="17.100000000000001" customHeight="1" x14ac:dyDescent="0.3">
      <c r="B88" s="17"/>
      <c r="C88" s="17"/>
      <c r="E88" s="15"/>
      <c r="F88" s="29"/>
      <c r="G88" s="19"/>
      <c r="H88" s="18"/>
      <c r="I88" s="17"/>
      <c r="K88" s="22"/>
      <c r="L88" s="22"/>
      <c r="M88" s="19"/>
      <c r="N88" s="19"/>
    </row>
    <row r="89" spans="2:14" s="20" customFormat="1" ht="17.100000000000001" customHeight="1" x14ac:dyDescent="0.3">
      <c r="B89" s="17"/>
      <c r="C89" s="17"/>
      <c r="E89" s="15"/>
      <c r="F89" s="29"/>
      <c r="G89" s="19"/>
      <c r="H89" s="18"/>
      <c r="I89" s="17"/>
      <c r="K89" s="22"/>
      <c r="L89" s="22"/>
      <c r="M89" s="19"/>
      <c r="N89" s="19"/>
    </row>
    <row r="90" spans="2:14" s="20" customFormat="1" ht="17.100000000000001" customHeight="1" x14ac:dyDescent="0.3">
      <c r="B90" s="17"/>
      <c r="C90" s="17"/>
      <c r="E90" s="15"/>
      <c r="F90" s="29"/>
      <c r="G90" s="19"/>
      <c r="H90" s="18"/>
      <c r="I90" s="17"/>
      <c r="K90" s="22"/>
      <c r="L90" s="22"/>
      <c r="M90" s="19"/>
      <c r="N90" s="19"/>
    </row>
    <row r="91" spans="2:14" s="20" customFormat="1" ht="17.100000000000001" customHeight="1" x14ac:dyDescent="0.3">
      <c r="B91" s="17"/>
      <c r="C91" s="17"/>
      <c r="E91" s="15"/>
      <c r="F91" s="29"/>
      <c r="G91" s="19"/>
      <c r="H91" s="18"/>
      <c r="I91" s="17"/>
      <c r="K91" s="22"/>
      <c r="L91" s="22"/>
      <c r="M91" s="19"/>
      <c r="N91" s="19"/>
    </row>
    <row r="92" spans="2:14" s="20" customFormat="1" ht="17.100000000000001" customHeight="1" x14ac:dyDescent="0.3">
      <c r="B92" s="17"/>
      <c r="C92" s="17"/>
      <c r="E92" s="15"/>
      <c r="F92" s="29"/>
      <c r="G92" s="19"/>
      <c r="H92" s="18"/>
      <c r="I92" s="17"/>
      <c r="K92" s="22"/>
      <c r="L92" s="22"/>
      <c r="M92" s="19"/>
      <c r="N92" s="19"/>
    </row>
    <row r="93" spans="2:14" s="20" customFormat="1" ht="17.100000000000001" customHeight="1" x14ac:dyDescent="0.3">
      <c r="B93" s="17"/>
      <c r="C93" s="17"/>
      <c r="E93" s="15"/>
      <c r="F93" s="29"/>
      <c r="G93" s="19"/>
      <c r="H93" s="18"/>
      <c r="I93" s="17"/>
      <c r="K93" s="22"/>
      <c r="L93" s="22"/>
      <c r="M93" s="19"/>
      <c r="N93" s="19"/>
    </row>
    <row r="94" spans="2:14" s="20" customFormat="1" ht="17.100000000000001" customHeight="1" x14ac:dyDescent="0.3">
      <c r="B94" s="17"/>
      <c r="C94" s="17"/>
      <c r="E94" s="15"/>
      <c r="F94" s="29"/>
      <c r="G94" s="19"/>
      <c r="H94" s="18"/>
      <c r="I94" s="17"/>
      <c r="K94" s="22"/>
      <c r="L94" s="22"/>
      <c r="M94" s="19"/>
      <c r="N94" s="19"/>
    </row>
    <row r="95" spans="2:14" s="20" customFormat="1" ht="17.100000000000001" customHeight="1" x14ac:dyDescent="0.3">
      <c r="B95" s="17"/>
      <c r="C95" s="17"/>
      <c r="E95" s="15"/>
      <c r="F95" s="29"/>
      <c r="G95" s="19"/>
      <c r="H95" s="18"/>
      <c r="I95" s="17"/>
      <c r="K95" s="22"/>
      <c r="L95" s="22"/>
      <c r="M95" s="19"/>
      <c r="N95" s="19"/>
    </row>
    <row r="96" spans="2:14" s="20" customFormat="1" ht="17.100000000000001" customHeight="1" x14ac:dyDescent="0.3">
      <c r="B96" s="17"/>
      <c r="C96" s="17"/>
      <c r="E96" s="15"/>
      <c r="F96" s="29"/>
      <c r="G96" s="19"/>
      <c r="H96" s="18"/>
      <c r="I96" s="17"/>
      <c r="K96" s="22"/>
      <c r="L96" s="22"/>
      <c r="M96" s="19"/>
      <c r="N96" s="19"/>
    </row>
    <row r="97" spans="2:14" s="20" customFormat="1" ht="17.100000000000001" customHeight="1" x14ac:dyDescent="0.3">
      <c r="B97" s="17"/>
      <c r="C97" s="17"/>
      <c r="E97" s="15"/>
      <c r="F97" s="29"/>
      <c r="G97" s="19"/>
      <c r="H97" s="18"/>
      <c r="I97" s="17"/>
      <c r="K97" s="22"/>
      <c r="L97" s="22"/>
      <c r="M97" s="19"/>
      <c r="N97" s="19"/>
    </row>
    <row r="98" spans="2:14" s="20" customFormat="1" ht="17.100000000000001" customHeight="1" x14ac:dyDescent="0.3">
      <c r="B98" s="17"/>
      <c r="C98" s="17"/>
      <c r="E98" s="15"/>
      <c r="F98" s="29"/>
      <c r="G98" s="19"/>
      <c r="H98" s="18"/>
      <c r="I98" s="17"/>
      <c r="K98" s="22"/>
      <c r="L98" s="22"/>
      <c r="M98" s="19"/>
      <c r="N98" s="19"/>
    </row>
    <row r="99" spans="2:14" s="20" customFormat="1" ht="17.100000000000001" customHeight="1" x14ac:dyDescent="0.3">
      <c r="B99" s="17"/>
      <c r="C99" s="17"/>
      <c r="E99" s="15"/>
      <c r="F99" s="29"/>
      <c r="G99" s="19"/>
      <c r="H99" s="18"/>
      <c r="I99" s="17"/>
      <c r="K99" s="22"/>
      <c r="L99" s="22"/>
      <c r="M99" s="19"/>
      <c r="N99" s="19"/>
    </row>
    <row r="100" spans="2:14" s="20" customFormat="1" ht="17.100000000000001" customHeight="1" x14ac:dyDescent="0.3">
      <c r="B100" s="17"/>
      <c r="C100" s="17"/>
      <c r="E100" s="15"/>
      <c r="F100" s="29"/>
      <c r="G100" s="19"/>
      <c r="H100" s="18"/>
      <c r="I100" s="17"/>
      <c r="K100" s="22"/>
      <c r="L100" s="22"/>
      <c r="M100" s="19"/>
      <c r="N100" s="19"/>
    </row>
    <row r="101" spans="2:14" s="20" customFormat="1" ht="17.100000000000001" customHeight="1" x14ac:dyDescent="0.3">
      <c r="B101" s="17"/>
      <c r="C101" s="17"/>
      <c r="E101" s="15"/>
      <c r="F101" s="29"/>
      <c r="G101" s="19"/>
      <c r="H101" s="18"/>
      <c r="I101" s="17"/>
      <c r="K101" s="22"/>
      <c r="L101" s="22"/>
      <c r="M101" s="19"/>
      <c r="N101" s="19"/>
    </row>
    <row r="102" spans="2:14" s="20" customFormat="1" ht="17.100000000000001" customHeight="1" x14ac:dyDescent="0.3">
      <c r="B102" s="17"/>
      <c r="C102" s="17"/>
      <c r="E102" s="15"/>
      <c r="F102" s="29"/>
      <c r="G102" s="19"/>
      <c r="H102" s="18"/>
      <c r="I102" s="17"/>
      <c r="K102" s="22"/>
      <c r="L102" s="22"/>
      <c r="M102" s="19"/>
      <c r="N102" s="19"/>
    </row>
    <row r="103" spans="2:14" s="20" customFormat="1" ht="17.100000000000001" customHeight="1" x14ac:dyDescent="0.3">
      <c r="B103" s="17"/>
      <c r="C103" s="17"/>
      <c r="E103" s="15"/>
      <c r="F103" s="29"/>
      <c r="G103" s="19"/>
      <c r="H103" s="18"/>
      <c r="I103" s="17"/>
      <c r="K103" s="22"/>
      <c r="L103" s="22"/>
      <c r="M103" s="19"/>
      <c r="N103" s="19"/>
    </row>
    <row r="104" spans="2:14" s="20" customFormat="1" ht="17.100000000000001" customHeight="1" x14ac:dyDescent="0.3">
      <c r="B104" s="17"/>
      <c r="C104" s="17"/>
      <c r="E104" s="15"/>
      <c r="F104" s="29"/>
      <c r="G104" s="19"/>
      <c r="H104" s="18"/>
      <c r="I104" s="17"/>
      <c r="K104" s="22"/>
      <c r="L104" s="22"/>
      <c r="M104" s="19"/>
      <c r="N104" s="19"/>
    </row>
    <row r="105" spans="2:14" s="20" customFormat="1" ht="17.100000000000001" customHeight="1" x14ac:dyDescent="0.3">
      <c r="B105" s="17"/>
      <c r="C105" s="17"/>
      <c r="E105" s="15"/>
      <c r="F105" s="29"/>
      <c r="G105" s="19"/>
      <c r="H105" s="18"/>
      <c r="I105" s="17"/>
      <c r="K105" s="22"/>
      <c r="L105" s="22"/>
      <c r="M105" s="19"/>
      <c r="N105" s="19"/>
    </row>
    <row r="106" spans="2:14" s="20" customFormat="1" ht="17.100000000000001" customHeight="1" x14ac:dyDescent="0.3">
      <c r="B106" s="17"/>
      <c r="C106" s="17"/>
      <c r="E106" s="15"/>
      <c r="F106" s="29"/>
      <c r="G106" s="19"/>
      <c r="H106" s="18"/>
      <c r="I106" s="17"/>
      <c r="K106" s="22"/>
      <c r="L106" s="22"/>
      <c r="M106" s="19"/>
      <c r="N106" s="19"/>
    </row>
    <row r="107" spans="2:14" s="20" customFormat="1" ht="17.100000000000001" customHeight="1" x14ac:dyDescent="0.3">
      <c r="B107" s="17"/>
      <c r="C107" s="17"/>
      <c r="E107" s="15"/>
      <c r="F107" s="29"/>
      <c r="G107" s="19"/>
      <c r="H107" s="18"/>
      <c r="I107" s="17"/>
      <c r="K107" s="22"/>
      <c r="L107" s="22"/>
      <c r="M107" s="19"/>
      <c r="N107" s="19"/>
    </row>
    <row r="108" spans="2:14" s="20" customFormat="1" ht="17.100000000000001" customHeight="1" x14ac:dyDescent="0.3">
      <c r="B108" s="17"/>
      <c r="C108" s="17"/>
      <c r="E108" s="15"/>
      <c r="F108" s="29"/>
      <c r="G108" s="19"/>
      <c r="H108" s="18"/>
      <c r="I108" s="17"/>
      <c r="K108" s="22"/>
      <c r="L108" s="22"/>
      <c r="M108" s="19"/>
      <c r="N108" s="19"/>
    </row>
    <row r="109" spans="2:14" s="20" customFormat="1" ht="17.100000000000001" customHeight="1" x14ac:dyDescent="0.3">
      <c r="B109" s="17"/>
      <c r="C109" s="17"/>
      <c r="E109" s="15"/>
      <c r="F109" s="29"/>
      <c r="G109" s="19"/>
      <c r="H109" s="18"/>
      <c r="I109" s="17"/>
      <c r="K109" s="22"/>
      <c r="L109" s="22"/>
      <c r="M109" s="19"/>
      <c r="N109" s="19"/>
    </row>
    <row r="110" spans="2:14" s="20" customFormat="1" ht="17.100000000000001" customHeight="1" x14ac:dyDescent="0.3">
      <c r="B110" s="17"/>
      <c r="C110" s="17"/>
      <c r="E110" s="15"/>
      <c r="F110" s="29"/>
      <c r="G110" s="19"/>
      <c r="H110" s="18"/>
      <c r="I110" s="17"/>
      <c r="K110" s="22"/>
      <c r="L110" s="22"/>
      <c r="M110" s="19"/>
      <c r="N110" s="19"/>
    </row>
    <row r="111" spans="2:14" s="20" customFormat="1" ht="17.100000000000001" customHeight="1" x14ac:dyDescent="0.3">
      <c r="B111" s="17"/>
      <c r="C111" s="17"/>
      <c r="E111" s="15"/>
      <c r="F111" s="29"/>
      <c r="G111" s="19"/>
      <c r="H111" s="18"/>
      <c r="I111" s="17"/>
      <c r="K111" s="22"/>
      <c r="L111" s="22"/>
      <c r="M111" s="19"/>
      <c r="N111" s="19"/>
    </row>
    <row r="112" spans="2:14" s="20" customFormat="1" ht="17.100000000000001" customHeight="1" x14ac:dyDescent="0.3">
      <c r="B112" s="17"/>
      <c r="C112" s="17"/>
      <c r="E112" s="15"/>
      <c r="F112" s="29"/>
      <c r="G112" s="19"/>
      <c r="H112" s="18"/>
      <c r="I112" s="17"/>
      <c r="K112" s="22"/>
      <c r="L112" s="22"/>
      <c r="M112" s="19"/>
      <c r="N112" s="19"/>
    </row>
    <row r="113" spans="2:14" s="20" customFormat="1" ht="17.100000000000001" customHeight="1" x14ac:dyDescent="0.3">
      <c r="B113" s="17"/>
      <c r="C113" s="17"/>
      <c r="E113" s="15"/>
      <c r="F113" s="29"/>
      <c r="G113" s="19"/>
      <c r="H113" s="18"/>
      <c r="I113" s="17"/>
      <c r="K113" s="22"/>
      <c r="L113" s="22"/>
      <c r="M113" s="19"/>
      <c r="N113" s="19"/>
    </row>
    <row r="114" spans="2:14" s="20" customFormat="1" ht="17.100000000000001" customHeight="1" x14ac:dyDescent="0.3">
      <c r="B114" s="17"/>
      <c r="C114" s="17"/>
      <c r="E114" s="15"/>
      <c r="F114" s="29"/>
      <c r="G114" s="19"/>
      <c r="H114" s="18"/>
      <c r="I114" s="17"/>
      <c r="K114" s="22"/>
      <c r="L114" s="22"/>
      <c r="M114" s="19"/>
      <c r="N114" s="19"/>
    </row>
    <row r="115" spans="2:14" s="20" customFormat="1" ht="17.100000000000001" customHeight="1" x14ac:dyDescent="0.3">
      <c r="B115" s="17"/>
      <c r="C115" s="17"/>
      <c r="E115" s="15"/>
      <c r="F115" s="29"/>
      <c r="G115" s="19"/>
      <c r="H115" s="18"/>
      <c r="I115" s="17"/>
      <c r="K115" s="22"/>
      <c r="L115" s="22"/>
      <c r="M115" s="19"/>
      <c r="N115" s="19"/>
    </row>
    <row r="116" spans="2:14" s="20" customFormat="1" ht="17.100000000000001" customHeight="1" x14ac:dyDescent="0.3">
      <c r="B116" s="17"/>
      <c r="C116" s="17"/>
      <c r="E116" s="15"/>
      <c r="F116" s="29"/>
      <c r="G116" s="19"/>
      <c r="H116" s="18"/>
      <c r="I116" s="17"/>
      <c r="K116" s="22"/>
      <c r="L116" s="22"/>
      <c r="M116" s="19"/>
      <c r="N116" s="19"/>
    </row>
    <row r="117" spans="2:14" s="20" customFormat="1" ht="17.100000000000001" customHeight="1" x14ac:dyDescent="0.3">
      <c r="B117" s="17"/>
      <c r="C117" s="17"/>
      <c r="E117" s="15"/>
      <c r="F117" s="29"/>
      <c r="G117" s="19"/>
      <c r="H117" s="18"/>
      <c r="I117" s="17"/>
      <c r="K117" s="22"/>
      <c r="L117" s="22"/>
      <c r="M117" s="19"/>
      <c r="N117" s="19"/>
    </row>
    <row r="118" spans="2:14" s="20" customFormat="1" ht="17.100000000000001" customHeight="1" x14ac:dyDescent="0.3">
      <c r="B118" s="17"/>
      <c r="C118" s="17"/>
      <c r="E118" s="15"/>
      <c r="F118" s="29"/>
      <c r="G118" s="19"/>
      <c r="H118" s="18"/>
      <c r="I118" s="17"/>
      <c r="K118" s="22"/>
      <c r="L118" s="22"/>
      <c r="M118" s="19"/>
      <c r="N118" s="19"/>
    </row>
    <row r="119" spans="2:14" s="20" customFormat="1" ht="17.100000000000001" customHeight="1" x14ac:dyDescent="0.3">
      <c r="B119" s="17"/>
      <c r="C119" s="17"/>
      <c r="E119" s="15"/>
      <c r="F119" s="29"/>
      <c r="G119" s="19"/>
      <c r="H119" s="18"/>
      <c r="I119" s="17"/>
      <c r="K119" s="22"/>
      <c r="L119" s="22"/>
      <c r="M119" s="19"/>
      <c r="N119" s="19"/>
    </row>
    <row r="120" spans="2:14" s="20" customFormat="1" ht="17.100000000000001" customHeight="1" x14ac:dyDescent="0.3">
      <c r="B120" s="17"/>
      <c r="C120" s="17"/>
      <c r="E120" s="15"/>
      <c r="F120" s="29"/>
      <c r="G120" s="19"/>
      <c r="H120" s="18"/>
      <c r="I120" s="17"/>
      <c r="K120" s="22"/>
      <c r="L120" s="22"/>
      <c r="M120" s="19"/>
      <c r="N120" s="19"/>
    </row>
    <row r="121" spans="2:14" s="20" customFormat="1" ht="17.100000000000001" customHeight="1" x14ac:dyDescent="0.3">
      <c r="B121" s="17"/>
      <c r="C121" s="17"/>
      <c r="E121" s="15"/>
      <c r="F121" s="29"/>
      <c r="G121" s="19"/>
      <c r="H121" s="18"/>
      <c r="I121" s="17"/>
      <c r="K121" s="22"/>
      <c r="L121" s="22"/>
      <c r="M121" s="19"/>
      <c r="N121" s="19"/>
    </row>
    <row r="122" spans="2:14" s="20" customFormat="1" ht="17.100000000000001" customHeight="1" x14ac:dyDescent="0.3">
      <c r="B122" s="17"/>
      <c r="C122" s="17"/>
      <c r="E122" s="15"/>
      <c r="F122" s="29"/>
      <c r="G122" s="19"/>
      <c r="H122" s="18"/>
      <c r="I122" s="17"/>
      <c r="K122" s="22"/>
      <c r="L122" s="22"/>
      <c r="M122" s="19"/>
      <c r="N122" s="19"/>
    </row>
    <row r="123" spans="2:14" s="20" customFormat="1" ht="17.100000000000001" customHeight="1" x14ac:dyDescent="0.3">
      <c r="B123" s="17"/>
      <c r="C123" s="17"/>
      <c r="E123" s="15"/>
      <c r="F123" s="29"/>
      <c r="G123" s="19"/>
      <c r="H123" s="18"/>
      <c r="I123" s="17"/>
      <c r="K123" s="22"/>
      <c r="L123" s="22"/>
      <c r="M123" s="19"/>
      <c r="N123" s="19"/>
    </row>
    <row r="124" spans="2:14" s="20" customFormat="1" ht="17.100000000000001" customHeight="1" x14ac:dyDescent="0.3">
      <c r="B124" s="17"/>
      <c r="C124" s="17"/>
      <c r="E124" s="15"/>
      <c r="F124" s="29"/>
      <c r="G124" s="19"/>
      <c r="H124" s="18"/>
      <c r="I124" s="17"/>
      <c r="K124" s="22"/>
      <c r="L124" s="22"/>
      <c r="M124" s="19"/>
      <c r="N124" s="19"/>
    </row>
    <row r="125" spans="2:14" s="20" customFormat="1" ht="17.100000000000001" customHeight="1" x14ac:dyDescent="0.3">
      <c r="B125" s="17"/>
      <c r="C125" s="17"/>
      <c r="E125" s="15"/>
      <c r="F125" s="29"/>
      <c r="G125" s="19"/>
      <c r="H125" s="18"/>
      <c r="I125" s="17"/>
      <c r="K125" s="22"/>
      <c r="L125" s="22"/>
      <c r="M125" s="19"/>
      <c r="N125" s="19"/>
    </row>
    <row r="126" spans="2:14" s="20" customFormat="1" ht="17.100000000000001" customHeight="1" x14ac:dyDescent="0.3">
      <c r="B126" s="17"/>
      <c r="C126" s="17"/>
      <c r="E126" s="15"/>
      <c r="F126" s="29"/>
      <c r="G126" s="19"/>
      <c r="H126" s="18"/>
      <c r="I126" s="17"/>
      <c r="K126" s="22"/>
      <c r="L126" s="22"/>
      <c r="M126" s="19"/>
      <c r="N126" s="19"/>
    </row>
    <row r="127" spans="2:14" s="20" customFormat="1" ht="17.100000000000001" customHeight="1" x14ac:dyDescent="0.3">
      <c r="B127" s="17"/>
      <c r="C127" s="17"/>
      <c r="E127" s="15"/>
      <c r="F127" s="29"/>
      <c r="G127" s="19"/>
      <c r="H127" s="18"/>
      <c r="I127" s="17"/>
      <c r="K127" s="22"/>
      <c r="L127" s="22"/>
      <c r="M127" s="19"/>
      <c r="N127" s="19"/>
    </row>
    <row r="128" spans="2:14" s="20" customFormat="1" ht="17.100000000000001" customHeight="1" x14ac:dyDescent="0.3">
      <c r="B128" s="17"/>
      <c r="C128" s="17"/>
      <c r="E128" s="15"/>
      <c r="F128" s="29"/>
      <c r="G128" s="19"/>
      <c r="H128" s="18"/>
      <c r="I128" s="17"/>
      <c r="K128" s="22"/>
      <c r="L128" s="22"/>
      <c r="M128" s="19"/>
      <c r="N128" s="19"/>
    </row>
    <row r="129" spans="2:14" s="20" customFormat="1" ht="17.100000000000001" customHeight="1" x14ac:dyDescent="0.3">
      <c r="B129" s="17"/>
      <c r="C129" s="17"/>
      <c r="E129" s="15"/>
      <c r="F129" s="29"/>
      <c r="G129" s="19"/>
      <c r="H129" s="18"/>
      <c r="I129" s="17"/>
      <c r="K129" s="22"/>
      <c r="L129" s="22"/>
      <c r="M129" s="19"/>
      <c r="N129" s="19"/>
    </row>
    <row r="130" spans="2:14" s="20" customFormat="1" ht="17.100000000000001" customHeight="1" x14ac:dyDescent="0.3">
      <c r="B130" s="17"/>
      <c r="C130" s="17"/>
      <c r="E130" s="15"/>
      <c r="F130" s="29"/>
      <c r="G130" s="19"/>
      <c r="H130" s="18"/>
      <c r="I130" s="17"/>
      <c r="K130" s="22"/>
      <c r="L130" s="22"/>
      <c r="M130" s="19"/>
      <c r="N130" s="19"/>
    </row>
    <row r="131" spans="2:14" s="20" customFormat="1" ht="17.100000000000001" customHeight="1" x14ac:dyDescent="0.3">
      <c r="B131" s="17"/>
      <c r="C131" s="17"/>
      <c r="E131" s="15"/>
      <c r="F131" s="29"/>
      <c r="G131" s="19"/>
      <c r="H131" s="18"/>
      <c r="I131" s="17"/>
      <c r="K131" s="22"/>
      <c r="L131" s="22"/>
      <c r="M131" s="19"/>
      <c r="N131" s="19"/>
    </row>
    <row r="132" spans="2:14" s="20" customFormat="1" ht="17.100000000000001" customHeight="1" x14ac:dyDescent="0.3">
      <c r="B132" s="17"/>
      <c r="C132" s="17"/>
      <c r="E132" s="15"/>
      <c r="F132" s="29"/>
      <c r="G132" s="19"/>
      <c r="H132" s="18"/>
      <c r="I132" s="17"/>
      <c r="K132" s="22"/>
      <c r="L132" s="22"/>
      <c r="M132" s="19"/>
      <c r="N132" s="19"/>
    </row>
    <row r="133" spans="2:14" s="20" customFormat="1" ht="17.100000000000001" customHeight="1" x14ac:dyDescent="0.3">
      <c r="B133" s="17"/>
      <c r="C133" s="17"/>
      <c r="E133" s="15"/>
      <c r="F133" s="29"/>
      <c r="G133" s="19"/>
      <c r="H133" s="18"/>
      <c r="I133" s="17"/>
      <c r="K133" s="22"/>
      <c r="L133" s="22"/>
      <c r="M133" s="19"/>
      <c r="N133" s="19"/>
    </row>
    <row r="134" spans="2:14" s="20" customFormat="1" ht="17.100000000000001" customHeight="1" x14ac:dyDescent="0.3">
      <c r="B134" s="17"/>
      <c r="C134" s="17"/>
      <c r="E134" s="15"/>
      <c r="F134" s="29"/>
      <c r="G134" s="19"/>
      <c r="H134" s="18"/>
      <c r="I134" s="17"/>
      <c r="K134" s="22"/>
      <c r="L134" s="22"/>
      <c r="M134" s="19"/>
      <c r="N134" s="19"/>
    </row>
    <row r="135" spans="2:14" s="20" customFormat="1" ht="17.100000000000001" customHeight="1" x14ac:dyDescent="0.3">
      <c r="B135" s="17"/>
      <c r="C135" s="17"/>
      <c r="E135" s="15"/>
      <c r="F135" s="29"/>
      <c r="G135" s="19"/>
      <c r="H135" s="18"/>
      <c r="I135" s="17"/>
      <c r="K135" s="22"/>
      <c r="L135" s="22"/>
      <c r="M135" s="19"/>
      <c r="N135" s="19"/>
    </row>
    <row r="136" spans="2:14" s="20" customFormat="1" ht="17.100000000000001" customHeight="1" x14ac:dyDescent="0.3">
      <c r="B136" s="17"/>
      <c r="C136" s="17"/>
      <c r="E136" s="15"/>
      <c r="F136" s="29"/>
      <c r="G136" s="19"/>
      <c r="H136" s="18"/>
      <c r="I136" s="17"/>
      <c r="K136" s="22"/>
      <c r="L136" s="22"/>
      <c r="M136" s="19"/>
      <c r="N136" s="19"/>
    </row>
    <row r="137" spans="2:14" s="20" customFormat="1" ht="17.100000000000001" customHeight="1" x14ac:dyDescent="0.3">
      <c r="B137" s="17"/>
      <c r="C137" s="17"/>
      <c r="E137" s="15"/>
      <c r="F137" s="29"/>
      <c r="G137" s="19"/>
      <c r="H137" s="18"/>
      <c r="I137" s="17"/>
      <c r="K137" s="22"/>
      <c r="L137" s="22"/>
      <c r="M137" s="19"/>
      <c r="N137" s="19"/>
    </row>
    <row r="138" spans="2:14" s="20" customFormat="1" ht="17.100000000000001" customHeight="1" x14ac:dyDescent="0.3">
      <c r="B138" s="17"/>
      <c r="C138" s="17"/>
      <c r="E138" s="15"/>
      <c r="F138" s="29"/>
      <c r="G138" s="19"/>
      <c r="H138" s="18"/>
      <c r="I138" s="17"/>
      <c r="K138" s="22"/>
      <c r="L138" s="22"/>
      <c r="M138" s="19"/>
      <c r="N138" s="19"/>
    </row>
    <row r="139" spans="2:14" s="20" customFormat="1" ht="17.100000000000001" customHeight="1" x14ac:dyDescent="0.3">
      <c r="B139" s="17"/>
      <c r="C139" s="17"/>
      <c r="E139" s="15"/>
      <c r="F139" s="29"/>
      <c r="G139" s="19"/>
      <c r="H139" s="18"/>
      <c r="I139" s="17"/>
      <c r="K139" s="22"/>
      <c r="L139" s="22"/>
      <c r="M139" s="19"/>
      <c r="N139" s="19"/>
    </row>
    <row r="140" spans="2:14" s="20" customFormat="1" ht="17.100000000000001" customHeight="1" x14ac:dyDescent="0.3">
      <c r="B140" s="17"/>
      <c r="C140" s="17"/>
      <c r="E140" s="15"/>
      <c r="F140" s="29"/>
      <c r="G140" s="19"/>
      <c r="H140" s="18"/>
      <c r="I140" s="17"/>
      <c r="K140" s="22"/>
      <c r="L140" s="22"/>
      <c r="M140" s="19"/>
      <c r="N140" s="19"/>
    </row>
    <row r="141" spans="2:14" s="20" customFormat="1" ht="17.100000000000001" customHeight="1" x14ac:dyDescent="0.3">
      <c r="B141" s="17"/>
      <c r="C141" s="17"/>
      <c r="E141" s="15"/>
      <c r="F141" s="29"/>
      <c r="G141" s="19"/>
      <c r="H141" s="18"/>
      <c r="I141" s="17"/>
      <c r="K141" s="22"/>
      <c r="L141" s="22"/>
      <c r="M141" s="19"/>
      <c r="N141" s="19"/>
    </row>
    <row r="142" spans="2:14" s="20" customFormat="1" ht="17.100000000000001" customHeight="1" x14ac:dyDescent="0.3">
      <c r="B142" s="17"/>
      <c r="C142" s="17"/>
      <c r="E142" s="15"/>
      <c r="F142" s="29"/>
      <c r="G142" s="19"/>
      <c r="H142" s="18"/>
      <c r="I142" s="17"/>
      <c r="K142" s="22"/>
      <c r="L142" s="22"/>
      <c r="M142" s="19"/>
      <c r="N142" s="19"/>
    </row>
    <row r="143" spans="2:14" s="20" customFormat="1" ht="17.100000000000001" customHeight="1" x14ac:dyDescent="0.3">
      <c r="B143" s="17"/>
      <c r="C143" s="17"/>
      <c r="E143" s="15"/>
      <c r="F143" s="29"/>
      <c r="G143" s="19"/>
      <c r="H143" s="18"/>
      <c r="I143" s="17"/>
      <c r="K143" s="22"/>
      <c r="L143" s="22"/>
      <c r="M143" s="19"/>
      <c r="N143" s="19"/>
    </row>
    <row r="144" spans="2:14" s="20" customFormat="1" ht="17.100000000000001" customHeight="1" x14ac:dyDescent="0.3">
      <c r="B144" s="17"/>
      <c r="C144" s="17"/>
      <c r="E144" s="15"/>
      <c r="F144" s="29"/>
      <c r="G144" s="19"/>
      <c r="H144" s="18"/>
      <c r="I144" s="17"/>
      <c r="K144" s="22"/>
      <c r="L144" s="22"/>
      <c r="M144" s="19"/>
      <c r="N144" s="19"/>
    </row>
    <row r="145" spans="2:14" s="20" customFormat="1" ht="17.100000000000001" customHeight="1" x14ac:dyDescent="0.3">
      <c r="B145" s="17"/>
      <c r="C145" s="17"/>
      <c r="E145" s="15"/>
      <c r="F145" s="29"/>
      <c r="G145" s="19"/>
      <c r="H145" s="18"/>
      <c r="I145" s="17"/>
      <c r="K145" s="22"/>
      <c r="L145" s="22"/>
      <c r="M145" s="19"/>
      <c r="N145" s="19"/>
    </row>
    <row r="146" spans="2:14" s="20" customFormat="1" ht="17.100000000000001" customHeight="1" x14ac:dyDescent="0.3">
      <c r="B146" s="17"/>
      <c r="C146" s="17"/>
      <c r="E146" s="15"/>
      <c r="F146" s="29"/>
      <c r="G146" s="19"/>
      <c r="H146" s="18"/>
      <c r="I146" s="17"/>
      <c r="K146" s="22"/>
      <c r="L146" s="22"/>
      <c r="M146" s="19"/>
      <c r="N146" s="19"/>
    </row>
    <row r="147" spans="2:14" s="20" customFormat="1" ht="17.100000000000001" customHeight="1" x14ac:dyDescent="0.3">
      <c r="B147" s="17"/>
      <c r="C147" s="17"/>
      <c r="E147" s="15"/>
      <c r="F147" s="29"/>
      <c r="G147" s="19"/>
      <c r="H147" s="18"/>
      <c r="I147" s="17"/>
      <c r="K147" s="22"/>
      <c r="L147" s="22"/>
      <c r="M147" s="19"/>
      <c r="N147" s="19"/>
    </row>
    <row r="148" spans="2:14" s="20" customFormat="1" ht="17.100000000000001" customHeight="1" x14ac:dyDescent="0.3">
      <c r="B148" s="17"/>
      <c r="C148" s="17"/>
      <c r="E148" s="15"/>
      <c r="F148" s="29"/>
      <c r="G148" s="19"/>
      <c r="H148" s="18"/>
      <c r="I148" s="17"/>
      <c r="K148" s="22"/>
      <c r="L148" s="22"/>
      <c r="M148" s="19"/>
      <c r="N148" s="19"/>
    </row>
    <row r="149" spans="2:14" s="20" customFormat="1" ht="17.100000000000001" customHeight="1" x14ac:dyDescent="0.3">
      <c r="B149" s="17"/>
      <c r="C149" s="17"/>
      <c r="E149" s="15"/>
      <c r="F149" s="29"/>
      <c r="G149" s="19"/>
      <c r="H149" s="18"/>
      <c r="I149" s="17"/>
      <c r="K149" s="22"/>
      <c r="L149" s="22"/>
      <c r="M149" s="19"/>
      <c r="N149" s="19"/>
    </row>
    <row r="150" spans="2:14" s="20" customFormat="1" ht="17.100000000000001" customHeight="1" x14ac:dyDescent="0.3">
      <c r="B150" s="17"/>
      <c r="C150" s="17"/>
      <c r="E150" s="15"/>
      <c r="F150" s="29"/>
      <c r="G150" s="19"/>
      <c r="H150" s="18"/>
      <c r="I150" s="17"/>
      <c r="K150" s="22"/>
      <c r="L150" s="22"/>
      <c r="M150" s="19"/>
      <c r="N150" s="19"/>
    </row>
    <row r="151" spans="2:14" s="20" customFormat="1" ht="17.100000000000001" customHeight="1" x14ac:dyDescent="0.3">
      <c r="B151" s="17"/>
      <c r="C151" s="17"/>
      <c r="E151" s="15"/>
      <c r="F151" s="29"/>
      <c r="G151" s="19"/>
      <c r="H151" s="18"/>
      <c r="I151" s="17"/>
      <c r="K151" s="22"/>
      <c r="L151" s="22"/>
      <c r="M151" s="19"/>
      <c r="N151" s="19"/>
    </row>
    <row r="152" spans="2:14" s="20" customFormat="1" ht="17.100000000000001" customHeight="1" x14ac:dyDescent="0.3">
      <c r="B152" s="17"/>
      <c r="C152" s="17"/>
      <c r="E152" s="15"/>
      <c r="F152" s="29"/>
      <c r="G152" s="19"/>
      <c r="H152" s="18"/>
      <c r="I152" s="17"/>
      <c r="K152" s="22"/>
      <c r="L152" s="22"/>
      <c r="M152" s="19"/>
      <c r="N152" s="19"/>
    </row>
    <row r="153" spans="2:14" s="20" customFormat="1" ht="17.100000000000001" customHeight="1" x14ac:dyDescent="0.3">
      <c r="B153" s="17"/>
      <c r="C153" s="17"/>
      <c r="E153" s="15"/>
      <c r="F153" s="29"/>
      <c r="G153" s="19"/>
      <c r="H153" s="18"/>
      <c r="I153" s="17"/>
      <c r="K153" s="22"/>
      <c r="L153" s="22"/>
      <c r="M153" s="19"/>
      <c r="N153" s="19"/>
    </row>
    <row r="154" spans="2:14" s="20" customFormat="1" ht="17.100000000000001" customHeight="1" x14ac:dyDescent="0.3">
      <c r="B154" s="17"/>
      <c r="C154" s="17"/>
      <c r="E154" s="15"/>
      <c r="F154" s="29"/>
      <c r="G154" s="19"/>
      <c r="H154" s="18"/>
      <c r="I154" s="17"/>
      <c r="K154" s="22"/>
      <c r="L154" s="22"/>
      <c r="M154" s="19"/>
      <c r="N154" s="19"/>
    </row>
    <row r="155" spans="2:14" s="20" customFormat="1" ht="17.100000000000001" customHeight="1" x14ac:dyDescent="0.3">
      <c r="B155" s="17"/>
      <c r="C155" s="17"/>
      <c r="E155" s="15"/>
      <c r="F155" s="29"/>
      <c r="G155" s="19"/>
      <c r="H155" s="18"/>
      <c r="I155" s="17"/>
      <c r="K155" s="22"/>
      <c r="L155" s="22"/>
      <c r="M155" s="19"/>
      <c r="N155" s="19"/>
    </row>
    <row r="156" spans="2:14" s="20" customFormat="1" ht="17.100000000000001" customHeight="1" x14ac:dyDescent="0.3">
      <c r="B156" s="17"/>
      <c r="C156" s="17"/>
      <c r="E156" s="15"/>
      <c r="F156" s="29"/>
      <c r="G156" s="19"/>
      <c r="H156" s="18"/>
      <c r="I156" s="17"/>
      <c r="K156" s="22"/>
      <c r="L156" s="22"/>
      <c r="M156" s="19"/>
      <c r="N156" s="19"/>
    </row>
    <row r="157" spans="2:14" s="20" customFormat="1" ht="17.100000000000001" customHeight="1" x14ac:dyDescent="0.3">
      <c r="B157" s="17"/>
      <c r="C157" s="17"/>
      <c r="E157" s="15"/>
      <c r="F157" s="29"/>
      <c r="G157" s="19"/>
      <c r="H157" s="18"/>
      <c r="I157" s="17"/>
      <c r="K157" s="22"/>
      <c r="L157" s="22"/>
      <c r="M157" s="19"/>
      <c r="N157" s="19"/>
    </row>
    <row r="158" spans="2:14" s="20" customFormat="1" ht="17.100000000000001" customHeight="1" x14ac:dyDescent="0.3">
      <c r="B158" s="17"/>
      <c r="C158" s="17"/>
      <c r="E158" s="15"/>
      <c r="F158" s="29"/>
      <c r="G158" s="19"/>
      <c r="H158" s="18"/>
      <c r="I158" s="17"/>
      <c r="K158" s="22"/>
      <c r="L158" s="22"/>
      <c r="M158" s="19"/>
      <c r="N158" s="19"/>
    </row>
    <row r="159" spans="2:14" s="20" customFormat="1" ht="17.100000000000001" customHeight="1" x14ac:dyDescent="0.3">
      <c r="B159" s="17"/>
      <c r="C159" s="17"/>
      <c r="E159" s="15"/>
      <c r="F159" s="29"/>
      <c r="G159" s="19"/>
      <c r="H159" s="18"/>
      <c r="I159" s="17"/>
      <c r="K159" s="22"/>
      <c r="L159" s="22"/>
      <c r="M159" s="19"/>
      <c r="N159" s="19"/>
    </row>
    <row r="160" spans="2:14" s="20" customFormat="1" ht="17.100000000000001" customHeight="1" x14ac:dyDescent="0.3">
      <c r="B160" s="17"/>
      <c r="C160" s="17"/>
      <c r="E160" s="15"/>
      <c r="F160" s="29"/>
      <c r="G160" s="19"/>
      <c r="H160" s="18"/>
      <c r="I160" s="17"/>
      <c r="K160" s="22"/>
      <c r="L160" s="22"/>
      <c r="M160" s="19"/>
      <c r="N160" s="19"/>
    </row>
    <row r="161" spans="2:14" s="20" customFormat="1" ht="17.100000000000001" customHeight="1" x14ac:dyDescent="0.3">
      <c r="B161" s="17"/>
      <c r="C161" s="17"/>
      <c r="E161" s="15"/>
      <c r="F161" s="29"/>
      <c r="G161" s="19"/>
      <c r="H161" s="18"/>
      <c r="I161" s="17"/>
      <c r="K161" s="22"/>
      <c r="L161" s="22"/>
      <c r="M161" s="19"/>
      <c r="N161" s="19"/>
    </row>
    <row r="162" spans="2:14" s="20" customFormat="1" ht="17.100000000000001" customHeight="1" x14ac:dyDescent="0.3">
      <c r="B162" s="17"/>
      <c r="C162" s="17"/>
      <c r="E162" s="15"/>
      <c r="F162" s="29"/>
      <c r="G162" s="19"/>
      <c r="H162" s="18"/>
      <c r="I162" s="17"/>
      <c r="K162" s="22"/>
      <c r="L162" s="22"/>
      <c r="M162" s="19"/>
      <c r="N162" s="19"/>
    </row>
    <row r="163" spans="2:14" s="20" customFormat="1" ht="17.100000000000001" customHeight="1" x14ac:dyDescent="0.3">
      <c r="B163" s="17"/>
      <c r="C163" s="17"/>
      <c r="E163" s="15"/>
      <c r="F163" s="29"/>
      <c r="G163" s="19"/>
      <c r="H163" s="18"/>
      <c r="I163" s="17"/>
      <c r="K163" s="22"/>
      <c r="L163" s="22"/>
      <c r="M163" s="19"/>
      <c r="N163" s="19"/>
    </row>
    <row r="164" spans="2:14" s="20" customFormat="1" ht="17.100000000000001" customHeight="1" x14ac:dyDescent="0.3">
      <c r="B164" s="17"/>
      <c r="C164" s="17"/>
      <c r="E164" s="15"/>
      <c r="F164" s="29"/>
      <c r="G164" s="19"/>
      <c r="H164" s="18"/>
      <c r="I164" s="17"/>
      <c r="K164" s="22"/>
      <c r="L164" s="22"/>
      <c r="M164" s="19"/>
      <c r="N164" s="19"/>
    </row>
    <row r="165" spans="2:14" s="20" customFormat="1" ht="17.100000000000001" customHeight="1" x14ac:dyDescent="0.3">
      <c r="B165" s="17"/>
      <c r="C165" s="17"/>
      <c r="E165" s="15"/>
      <c r="F165" s="29"/>
      <c r="G165" s="19"/>
      <c r="H165" s="18"/>
      <c r="I165" s="17"/>
      <c r="K165" s="22"/>
      <c r="L165" s="22"/>
      <c r="M165" s="19"/>
      <c r="N165" s="19"/>
    </row>
    <row r="166" spans="2:14" s="20" customFormat="1" ht="17.100000000000001" customHeight="1" x14ac:dyDescent="0.3">
      <c r="B166" s="17"/>
      <c r="C166" s="17"/>
      <c r="E166" s="15"/>
      <c r="F166" s="29"/>
      <c r="G166" s="19"/>
      <c r="H166" s="18"/>
      <c r="I166" s="17"/>
      <c r="K166" s="22"/>
      <c r="L166" s="22"/>
      <c r="M166" s="19"/>
      <c r="N166" s="19"/>
    </row>
    <row r="167" spans="2:14" s="20" customFormat="1" ht="17.100000000000001" customHeight="1" x14ac:dyDescent="0.3">
      <c r="B167" s="17"/>
      <c r="C167" s="17"/>
      <c r="E167" s="15"/>
      <c r="F167" s="29"/>
      <c r="G167" s="19"/>
      <c r="H167" s="18"/>
      <c r="I167" s="17"/>
      <c r="K167" s="22"/>
      <c r="L167" s="22"/>
      <c r="M167" s="19"/>
      <c r="N167" s="19"/>
    </row>
    <row r="168" spans="2:14" s="20" customFormat="1" ht="17.100000000000001" customHeight="1" x14ac:dyDescent="0.3">
      <c r="B168" s="17"/>
      <c r="C168" s="17"/>
      <c r="E168" s="15"/>
      <c r="F168" s="29"/>
      <c r="G168" s="19"/>
      <c r="H168" s="18"/>
      <c r="I168" s="17"/>
      <c r="K168" s="22"/>
      <c r="L168" s="22"/>
      <c r="M168" s="19"/>
      <c r="N168" s="19"/>
    </row>
    <row r="169" spans="2:14" s="20" customFormat="1" ht="17.100000000000001" customHeight="1" x14ac:dyDescent="0.3">
      <c r="B169" s="17"/>
      <c r="C169" s="17"/>
      <c r="E169" s="15"/>
      <c r="F169" s="29"/>
      <c r="G169" s="19"/>
      <c r="H169" s="18"/>
      <c r="I169" s="17"/>
      <c r="K169" s="22"/>
      <c r="L169" s="22"/>
      <c r="M169" s="19"/>
      <c r="N169" s="19"/>
    </row>
    <row r="170" spans="2:14" s="20" customFormat="1" ht="17.100000000000001" customHeight="1" x14ac:dyDescent="0.3">
      <c r="B170" s="17"/>
      <c r="C170" s="17"/>
      <c r="E170" s="15"/>
      <c r="F170" s="29"/>
      <c r="G170" s="19"/>
      <c r="H170" s="18"/>
      <c r="I170" s="17"/>
      <c r="K170" s="22"/>
      <c r="L170" s="22"/>
      <c r="M170" s="19"/>
      <c r="N170" s="19"/>
    </row>
    <row r="171" spans="2:14" s="20" customFormat="1" ht="17.100000000000001" customHeight="1" x14ac:dyDescent="0.3">
      <c r="B171" s="17"/>
      <c r="C171" s="17"/>
      <c r="E171" s="15"/>
      <c r="F171" s="29"/>
      <c r="G171" s="19"/>
      <c r="H171" s="18"/>
      <c r="I171" s="17"/>
      <c r="K171" s="22"/>
      <c r="L171" s="22"/>
      <c r="M171" s="19"/>
      <c r="N171" s="19"/>
    </row>
    <row r="172" spans="2:14" s="20" customFormat="1" ht="17.100000000000001" customHeight="1" x14ac:dyDescent="0.3">
      <c r="B172" s="17"/>
      <c r="C172" s="17"/>
      <c r="E172" s="15"/>
      <c r="F172" s="29"/>
      <c r="G172" s="19"/>
      <c r="H172" s="18"/>
      <c r="I172" s="17"/>
      <c r="K172" s="22"/>
      <c r="L172" s="22"/>
      <c r="M172" s="19"/>
      <c r="N172" s="19"/>
    </row>
    <row r="173" spans="2:14" s="20" customFormat="1" ht="17.100000000000001" customHeight="1" x14ac:dyDescent="0.3">
      <c r="B173" s="17"/>
      <c r="C173" s="17"/>
      <c r="E173" s="15"/>
      <c r="F173" s="29"/>
      <c r="G173" s="19"/>
      <c r="H173" s="18"/>
      <c r="I173" s="17"/>
      <c r="K173" s="22"/>
      <c r="L173" s="22"/>
      <c r="M173" s="19"/>
      <c r="N173" s="19"/>
    </row>
    <row r="174" spans="2:14" s="20" customFormat="1" ht="17.100000000000001" customHeight="1" x14ac:dyDescent="0.3">
      <c r="B174" s="17"/>
      <c r="C174" s="17"/>
      <c r="E174" s="15"/>
      <c r="F174" s="29"/>
      <c r="G174" s="19"/>
      <c r="H174" s="18"/>
      <c r="I174" s="17"/>
      <c r="K174" s="22"/>
      <c r="L174" s="22"/>
      <c r="M174" s="19"/>
      <c r="N174" s="19"/>
    </row>
    <row r="175" spans="2:14" s="20" customFormat="1" ht="17.100000000000001" customHeight="1" x14ac:dyDescent="0.3">
      <c r="B175" s="17"/>
      <c r="C175" s="17"/>
      <c r="E175" s="15"/>
      <c r="F175" s="29"/>
      <c r="G175" s="19"/>
      <c r="H175" s="18"/>
      <c r="I175" s="17"/>
      <c r="K175" s="22"/>
      <c r="L175" s="22"/>
      <c r="M175" s="19"/>
      <c r="N175" s="19"/>
    </row>
    <row r="176" spans="2:14" s="20" customFormat="1" ht="17.100000000000001" customHeight="1" x14ac:dyDescent="0.3">
      <c r="B176" s="17"/>
      <c r="C176" s="17"/>
      <c r="E176" s="15"/>
      <c r="F176" s="29"/>
      <c r="G176" s="19"/>
      <c r="H176" s="18"/>
      <c r="I176" s="17"/>
      <c r="K176" s="22"/>
      <c r="L176" s="22"/>
      <c r="M176" s="19"/>
      <c r="N176" s="19"/>
    </row>
    <row r="177" spans="2:14" s="20" customFormat="1" ht="17.100000000000001" customHeight="1" x14ac:dyDescent="0.3">
      <c r="B177" s="17"/>
      <c r="C177" s="17"/>
      <c r="E177" s="15"/>
      <c r="F177" s="29"/>
      <c r="G177" s="19"/>
      <c r="H177" s="18"/>
      <c r="I177" s="17"/>
      <c r="K177" s="22"/>
      <c r="L177" s="22"/>
      <c r="M177" s="19"/>
      <c r="N177" s="19"/>
    </row>
    <row r="178" spans="2:14" s="20" customFormat="1" ht="17.100000000000001" customHeight="1" x14ac:dyDescent="0.3">
      <c r="B178" s="17"/>
      <c r="C178" s="17"/>
      <c r="E178" s="15"/>
      <c r="F178" s="29"/>
      <c r="G178" s="19"/>
      <c r="H178" s="18"/>
      <c r="I178" s="17"/>
      <c r="K178" s="22"/>
      <c r="L178" s="22"/>
      <c r="M178" s="19"/>
      <c r="N178" s="19"/>
    </row>
    <row r="179" spans="2:14" s="20" customFormat="1" ht="17.100000000000001" customHeight="1" x14ac:dyDescent="0.3">
      <c r="B179" s="17"/>
      <c r="C179" s="17"/>
      <c r="E179" s="15"/>
      <c r="F179" s="29"/>
      <c r="G179" s="19"/>
      <c r="H179" s="18"/>
      <c r="I179" s="17"/>
      <c r="K179" s="22"/>
      <c r="L179" s="22"/>
      <c r="M179" s="19"/>
      <c r="N179" s="19"/>
    </row>
    <row r="180" spans="2:14" s="20" customFormat="1" ht="17.100000000000001" customHeight="1" x14ac:dyDescent="0.3">
      <c r="B180" s="17"/>
      <c r="C180" s="17"/>
      <c r="E180" s="15"/>
      <c r="F180" s="29"/>
      <c r="G180" s="19"/>
      <c r="H180" s="18"/>
      <c r="I180" s="17"/>
      <c r="K180" s="22"/>
      <c r="L180" s="22"/>
      <c r="M180" s="19"/>
      <c r="N180" s="19"/>
    </row>
    <row r="181" spans="2:14" s="20" customFormat="1" ht="17.100000000000001" customHeight="1" x14ac:dyDescent="0.3">
      <c r="B181" s="17"/>
      <c r="C181" s="17"/>
      <c r="E181" s="15"/>
      <c r="F181" s="29"/>
      <c r="G181" s="19"/>
      <c r="H181" s="18"/>
      <c r="I181" s="17"/>
      <c r="K181" s="22"/>
      <c r="L181" s="22"/>
      <c r="M181" s="19"/>
      <c r="N181" s="19"/>
    </row>
    <row r="182" spans="2:14" s="20" customFormat="1" ht="17.100000000000001" customHeight="1" x14ac:dyDescent="0.3">
      <c r="B182" s="17"/>
      <c r="C182" s="17"/>
      <c r="E182" s="15"/>
      <c r="F182" s="29"/>
      <c r="G182" s="19"/>
      <c r="H182" s="18"/>
      <c r="I182" s="17"/>
      <c r="K182" s="22"/>
      <c r="L182" s="22"/>
      <c r="M182" s="19"/>
      <c r="N182" s="19"/>
    </row>
    <row r="183" spans="2:14" s="20" customFormat="1" ht="17.100000000000001" customHeight="1" x14ac:dyDescent="0.3">
      <c r="B183" s="17"/>
      <c r="C183" s="17"/>
      <c r="E183" s="15"/>
      <c r="F183" s="29"/>
      <c r="G183" s="19"/>
      <c r="H183" s="18"/>
      <c r="I183" s="17"/>
      <c r="K183" s="22"/>
      <c r="L183" s="22"/>
      <c r="M183" s="19"/>
      <c r="N183" s="19"/>
    </row>
    <row r="184" spans="2:14" s="20" customFormat="1" ht="17.100000000000001" customHeight="1" x14ac:dyDescent="0.3">
      <c r="B184" s="17"/>
      <c r="C184" s="17"/>
      <c r="E184" s="15"/>
      <c r="F184" s="29"/>
      <c r="G184" s="19"/>
      <c r="H184" s="18"/>
      <c r="I184" s="17"/>
      <c r="K184" s="22"/>
      <c r="L184" s="22"/>
      <c r="M184" s="19"/>
      <c r="N184" s="19"/>
    </row>
    <row r="185" spans="2:14" s="20" customFormat="1" ht="17.100000000000001" customHeight="1" x14ac:dyDescent="0.3">
      <c r="B185" s="17"/>
      <c r="C185" s="17"/>
      <c r="E185" s="15"/>
      <c r="F185" s="29"/>
      <c r="G185" s="19"/>
      <c r="H185" s="18"/>
      <c r="I185" s="17"/>
      <c r="K185" s="22"/>
      <c r="L185" s="22"/>
      <c r="M185" s="19"/>
      <c r="N185" s="19"/>
    </row>
    <row r="186" spans="2:14" s="20" customFormat="1" ht="17.100000000000001" customHeight="1" x14ac:dyDescent="0.3">
      <c r="B186" s="17"/>
      <c r="C186" s="17"/>
      <c r="E186" s="15"/>
      <c r="F186" s="29"/>
      <c r="G186" s="19"/>
      <c r="H186" s="18"/>
      <c r="I186" s="17"/>
      <c r="K186" s="22"/>
      <c r="L186" s="22"/>
      <c r="M186" s="19"/>
      <c r="N186" s="19"/>
    </row>
    <row r="187" spans="2:14" s="20" customFormat="1" ht="17.100000000000001" customHeight="1" x14ac:dyDescent="0.3">
      <c r="B187" s="17"/>
      <c r="C187" s="17"/>
      <c r="E187" s="15"/>
      <c r="F187" s="29"/>
      <c r="G187" s="19"/>
      <c r="H187" s="18"/>
      <c r="I187" s="17"/>
      <c r="K187" s="22"/>
      <c r="L187" s="22"/>
      <c r="M187" s="19"/>
      <c r="N187" s="19"/>
    </row>
    <row r="188" spans="2:14" s="20" customFormat="1" ht="17.100000000000001" customHeight="1" x14ac:dyDescent="0.3">
      <c r="B188" s="17"/>
      <c r="C188" s="17"/>
      <c r="E188" s="15"/>
      <c r="F188" s="29"/>
      <c r="G188" s="19"/>
      <c r="H188" s="18"/>
      <c r="I188" s="17"/>
      <c r="K188" s="22"/>
      <c r="L188" s="22"/>
      <c r="M188" s="19"/>
      <c r="N188" s="19"/>
    </row>
    <row r="189" spans="2:14" s="20" customFormat="1" ht="17.100000000000001" customHeight="1" x14ac:dyDescent="0.3">
      <c r="B189" s="17"/>
      <c r="C189" s="17"/>
      <c r="E189" s="15"/>
      <c r="F189" s="29"/>
      <c r="G189" s="19"/>
      <c r="H189" s="18"/>
      <c r="I189" s="17"/>
      <c r="K189" s="22"/>
      <c r="L189" s="22"/>
      <c r="M189" s="19"/>
      <c r="N189" s="19"/>
    </row>
    <row r="190" spans="2:14" s="20" customFormat="1" ht="17.100000000000001" customHeight="1" x14ac:dyDescent="0.3">
      <c r="B190" s="17"/>
      <c r="C190" s="17"/>
      <c r="E190" s="15"/>
      <c r="F190" s="29"/>
      <c r="G190" s="19"/>
      <c r="H190" s="18"/>
      <c r="I190" s="17"/>
      <c r="K190" s="22"/>
      <c r="L190" s="22"/>
      <c r="M190" s="19"/>
      <c r="N190" s="19"/>
    </row>
    <row r="191" spans="2:14" s="20" customFormat="1" ht="17.100000000000001" customHeight="1" x14ac:dyDescent="0.3">
      <c r="B191" s="17"/>
      <c r="C191" s="17"/>
      <c r="E191" s="15"/>
      <c r="F191" s="29"/>
      <c r="G191" s="19"/>
      <c r="H191" s="18"/>
      <c r="I191" s="17"/>
      <c r="K191" s="22"/>
      <c r="L191" s="22"/>
      <c r="M191" s="19"/>
      <c r="N191" s="19"/>
    </row>
    <row r="192" spans="2:14" s="20" customFormat="1" ht="17.100000000000001" customHeight="1" x14ac:dyDescent="0.3">
      <c r="B192" s="17"/>
      <c r="C192" s="17"/>
      <c r="E192" s="15"/>
      <c r="F192" s="29"/>
      <c r="G192" s="19"/>
      <c r="H192" s="18"/>
      <c r="I192" s="17"/>
      <c r="K192" s="22"/>
      <c r="L192" s="22"/>
      <c r="M192" s="19"/>
      <c r="N192" s="19"/>
    </row>
    <row r="193" spans="2:14" s="20" customFormat="1" ht="17.100000000000001" customHeight="1" x14ac:dyDescent="0.3">
      <c r="B193" s="17"/>
      <c r="C193" s="17"/>
      <c r="E193" s="15"/>
      <c r="F193" s="29"/>
      <c r="G193" s="19"/>
      <c r="H193" s="18"/>
      <c r="I193" s="17"/>
      <c r="K193" s="22"/>
      <c r="L193" s="22"/>
      <c r="M193" s="19"/>
      <c r="N193" s="19"/>
    </row>
    <row r="194" spans="2:14" s="20" customFormat="1" ht="17.100000000000001" customHeight="1" x14ac:dyDescent="0.3">
      <c r="B194" s="17"/>
      <c r="C194" s="17"/>
      <c r="E194" s="15"/>
      <c r="F194" s="29"/>
      <c r="G194" s="19"/>
      <c r="H194" s="18"/>
      <c r="I194" s="17"/>
      <c r="K194" s="22"/>
      <c r="L194" s="22"/>
      <c r="M194" s="19"/>
      <c r="N194" s="19"/>
    </row>
    <row r="195" spans="2:14" s="20" customFormat="1" ht="17.100000000000001" customHeight="1" x14ac:dyDescent="0.3">
      <c r="B195" s="17"/>
      <c r="C195" s="17"/>
      <c r="E195" s="15"/>
      <c r="F195" s="29"/>
      <c r="G195" s="19"/>
      <c r="H195" s="18"/>
      <c r="I195" s="17"/>
      <c r="K195" s="22"/>
      <c r="L195" s="22"/>
      <c r="M195" s="19"/>
      <c r="N195" s="19"/>
    </row>
    <row r="196" spans="2:14" s="20" customFormat="1" ht="17.100000000000001" customHeight="1" x14ac:dyDescent="0.3">
      <c r="B196" s="17"/>
      <c r="C196" s="17"/>
      <c r="E196" s="15"/>
      <c r="F196" s="29"/>
      <c r="G196" s="19"/>
      <c r="H196" s="18"/>
      <c r="I196" s="17"/>
      <c r="K196" s="22"/>
      <c r="L196" s="22"/>
      <c r="M196" s="19"/>
      <c r="N196" s="19"/>
    </row>
    <row r="197" spans="2:14" s="20" customFormat="1" ht="17.100000000000001" customHeight="1" x14ac:dyDescent="0.3">
      <c r="B197" s="17"/>
      <c r="C197" s="17"/>
      <c r="E197" s="15"/>
      <c r="F197" s="29"/>
      <c r="G197" s="19"/>
      <c r="H197" s="18"/>
      <c r="I197" s="17"/>
      <c r="K197" s="22"/>
      <c r="L197" s="22"/>
      <c r="M197" s="19"/>
      <c r="N197" s="19"/>
    </row>
    <row r="198" spans="2:14" s="20" customFormat="1" ht="17.100000000000001" customHeight="1" x14ac:dyDescent="0.3">
      <c r="B198" s="17"/>
      <c r="C198" s="17"/>
      <c r="E198" s="15"/>
      <c r="F198" s="29"/>
      <c r="G198" s="19"/>
      <c r="H198" s="18"/>
      <c r="I198" s="17"/>
      <c r="K198" s="22"/>
      <c r="L198" s="22"/>
      <c r="M198" s="19"/>
      <c r="N198" s="19"/>
    </row>
    <row r="199" spans="2:14" s="20" customFormat="1" ht="17.100000000000001" customHeight="1" x14ac:dyDescent="0.3">
      <c r="B199" s="17"/>
      <c r="C199" s="17"/>
      <c r="E199" s="15"/>
      <c r="F199" s="29"/>
      <c r="G199" s="19"/>
      <c r="H199" s="18"/>
      <c r="I199" s="17"/>
      <c r="K199" s="22"/>
      <c r="L199" s="22"/>
      <c r="M199" s="19"/>
      <c r="N199" s="19"/>
    </row>
    <row r="200" spans="2:14" s="20" customFormat="1" ht="17.100000000000001" customHeight="1" x14ac:dyDescent="0.3">
      <c r="B200" s="17"/>
      <c r="C200" s="17"/>
      <c r="E200" s="15"/>
      <c r="F200" s="29"/>
      <c r="G200" s="19"/>
      <c r="H200" s="18"/>
      <c r="I200" s="17"/>
      <c r="K200" s="22"/>
      <c r="L200" s="22"/>
      <c r="M200" s="19"/>
      <c r="N200" s="19"/>
    </row>
    <row r="201" spans="2:14" s="20" customFormat="1" ht="17.100000000000001" customHeight="1" x14ac:dyDescent="0.3">
      <c r="B201" s="17"/>
      <c r="C201" s="17"/>
      <c r="E201" s="15"/>
      <c r="F201" s="29"/>
      <c r="G201" s="19"/>
      <c r="H201" s="18"/>
      <c r="I201" s="17"/>
      <c r="K201" s="22"/>
      <c r="L201" s="22"/>
      <c r="M201" s="19"/>
      <c r="N201" s="19"/>
    </row>
    <row r="202" spans="2:14" s="20" customFormat="1" ht="17.100000000000001" customHeight="1" x14ac:dyDescent="0.3">
      <c r="B202" s="17"/>
      <c r="C202" s="17"/>
      <c r="E202" s="15"/>
      <c r="F202" s="29"/>
      <c r="G202" s="19"/>
      <c r="H202" s="18"/>
      <c r="I202" s="17"/>
      <c r="K202" s="22"/>
      <c r="L202" s="22"/>
      <c r="M202" s="19"/>
      <c r="N202" s="19"/>
    </row>
    <row r="203" spans="2:14" s="20" customFormat="1" ht="17.100000000000001" customHeight="1" x14ac:dyDescent="0.3">
      <c r="B203" s="17"/>
      <c r="C203" s="17"/>
      <c r="E203" s="15"/>
      <c r="F203" s="29"/>
      <c r="G203" s="19"/>
      <c r="H203" s="18"/>
      <c r="I203" s="17"/>
      <c r="K203" s="22"/>
      <c r="L203" s="22"/>
      <c r="M203" s="19"/>
      <c r="N203" s="19"/>
    </row>
    <row r="204" spans="2:14" s="20" customFormat="1" ht="17.100000000000001" customHeight="1" x14ac:dyDescent="0.3">
      <c r="B204" s="17"/>
      <c r="C204" s="17"/>
      <c r="E204" s="15"/>
      <c r="F204" s="29"/>
      <c r="G204" s="19"/>
      <c r="H204" s="18"/>
      <c r="I204" s="17"/>
      <c r="K204" s="22"/>
      <c r="L204" s="22"/>
      <c r="M204" s="19"/>
      <c r="N204" s="19"/>
    </row>
    <row r="205" spans="2:14" s="20" customFormat="1" ht="17.100000000000001" customHeight="1" x14ac:dyDescent="0.3">
      <c r="B205" s="17"/>
      <c r="C205" s="17"/>
      <c r="E205" s="15"/>
      <c r="F205" s="29"/>
      <c r="G205" s="19"/>
      <c r="H205" s="18"/>
      <c r="I205" s="17"/>
      <c r="K205" s="22"/>
      <c r="L205" s="22"/>
      <c r="M205" s="19"/>
      <c r="N205" s="19"/>
    </row>
    <row r="206" spans="2:14" s="20" customFormat="1" ht="17.100000000000001" customHeight="1" x14ac:dyDescent="0.3">
      <c r="B206" s="17"/>
      <c r="C206" s="17"/>
      <c r="E206" s="15"/>
      <c r="F206" s="29"/>
      <c r="G206" s="19"/>
      <c r="H206" s="18"/>
      <c r="I206" s="17"/>
      <c r="K206" s="22"/>
      <c r="L206" s="22"/>
      <c r="M206" s="19"/>
      <c r="N206" s="19"/>
    </row>
    <row r="207" spans="2:14" s="20" customFormat="1" ht="17.100000000000001" customHeight="1" x14ac:dyDescent="0.3">
      <c r="B207" s="17"/>
      <c r="C207" s="17"/>
      <c r="E207" s="15"/>
      <c r="F207" s="29"/>
      <c r="G207" s="19"/>
      <c r="H207" s="18"/>
      <c r="I207" s="17"/>
      <c r="K207" s="22"/>
      <c r="L207" s="22"/>
      <c r="M207" s="19"/>
      <c r="N207" s="19"/>
    </row>
    <row r="208" spans="2:14" s="20" customFormat="1" ht="17.100000000000001" customHeight="1" x14ac:dyDescent="0.3">
      <c r="B208" s="17"/>
      <c r="C208" s="17"/>
      <c r="E208" s="15"/>
      <c r="F208" s="29"/>
      <c r="G208" s="19"/>
      <c r="H208" s="18"/>
      <c r="I208" s="17"/>
      <c r="K208" s="22"/>
      <c r="L208" s="22"/>
      <c r="M208" s="19"/>
      <c r="N208" s="19"/>
    </row>
    <row r="209" spans="2:14" s="20" customFormat="1" ht="17.100000000000001" customHeight="1" x14ac:dyDescent="0.3">
      <c r="B209" s="17"/>
      <c r="C209" s="17"/>
      <c r="E209" s="15"/>
      <c r="F209" s="29"/>
      <c r="G209" s="19"/>
      <c r="H209" s="18"/>
      <c r="I209" s="17"/>
      <c r="K209" s="22"/>
      <c r="L209" s="22"/>
      <c r="M209" s="19"/>
      <c r="N209" s="19"/>
    </row>
    <row r="210" spans="2:14" s="20" customFormat="1" ht="17.100000000000001" customHeight="1" x14ac:dyDescent="0.3">
      <c r="B210" s="17"/>
      <c r="C210" s="17"/>
      <c r="E210" s="15"/>
      <c r="F210" s="29"/>
      <c r="G210" s="19"/>
      <c r="H210" s="18"/>
      <c r="I210" s="17"/>
      <c r="K210" s="22"/>
      <c r="L210" s="22"/>
      <c r="M210" s="19"/>
      <c r="N210" s="19"/>
    </row>
    <row r="211" spans="2:14" s="20" customFormat="1" ht="17.100000000000001" customHeight="1" x14ac:dyDescent="0.3">
      <c r="B211" s="17"/>
      <c r="C211" s="17"/>
      <c r="E211" s="15"/>
      <c r="F211" s="29"/>
      <c r="G211" s="19"/>
      <c r="H211" s="18"/>
      <c r="I211" s="17"/>
      <c r="K211" s="22"/>
      <c r="L211" s="22"/>
      <c r="M211" s="19"/>
      <c r="N211" s="19"/>
    </row>
    <row r="212" spans="2:14" s="20" customFormat="1" ht="17.100000000000001" customHeight="1" x14ac:dyDescent="0.3">
      <c r="B212" s="17"/>
      <c r="C212" s="17"/>
      <c r="E212" s="15"/>
      <c r="F212" s="29"/>
      <c r="G212" s="19"/>
      <c r="H212" s="18"/>
      <c r="I212" s="17"/>
      <c r="K212" s="22"/>
      <c r="L212" s="22"/>
      <c r="M212" s="19"/>
      <c r="N212" s="19"/>
    </row>
    <row r="213" spans="2:14" s="20" customFormat="1" ht="17.100000000000001" customHeight="1" x14ac:dyDescent="0.3">
      <c r="B213" s="17"/>
      <c r="C213" s="17"/>
      <c r="E213" s="15"/>
      <c r="F213" s="29"/>
      <c r="G213" s="19"/>
      <c r="H213" s="18"/>
      <c r="I213" s="17"/>
      <c r="K213" s="22"/>
      <c r="L213" s="22"/>
      <c r="M213" s="19"/>
      <c r="N213" s="19"/>
    </row>
    <row r="214" spans="2:14" s="20" customFormat="1" ht="17.100000000000001" customHeight="1" x14ac:dyDescent="0.3">
      <c r="B214" s="17"/>
      <c r="C214" s="17"/>
      <c r="E214" s="15"/>
      <c r="F214" s="29"/>
      <c r="G214" s="19"/>
      <c r="H214" s="18"/>
      <c r="I214" s="17"/>
      <c r="K214" s="22"/>
      <c r="L214" s="22"/>
      <c r="M214" s="19"/>
      <c r="N214" s="19"/>
    </row>
    <row r="215" spans="2:14" s="20" customFormat="1" ht="17.100000000000001" customHeight="1" x14ac:dyDescent="0.3">
      <c r="B215" s="17"/>
      <c r="C215" s="17"/>
      <c r="E215" s="15"/>
      <c r="F215" s="29"/>
      <c r="G215" s="19"/>
      <c r="H215" s="18"/>
      <c r="I215" s="17"/>
      <c r="K215" s="22"/>
      <c r="L215" s="22"/>
      <c r="M215" s="19"/>
      <c r="N215" s="19"/>
    </row>
    <row r="216" spans="2:14" s="20" customFormat="1" ht="17.100000000000001" customHeight="1" x14ac:dyDescent="0.3">
      <c r="B216" s="17"/>
      <c r="C216" s="17"/>
      <c r="E216" s="15"/>
      <c r="F216" s="29"/>
      <c r="G216" s="19"/>
      <c r="H216" s="18"/>
      <c r="I216" s="17"/>
      <c r="K216" s="22"/>
      <c r="L216" s="22"/>
      <c r="M216" s="19"/>
      <c r="N216" s="19"/>
    </row>
    <row r="217" spans="2:14" s="20" customFormat="1" ht="17.100000000000001" customHeight="1" x14ac:dyDescent="0.3">
      <c r="B217" s="17"/>
      <c r="C217" s="17"/>
      <c r="E217" s="15"/>
      <c r="F217" s="29"/>
      <c r="G217" s="19"/>
      <c r="H217" s="18"/>
      <c r="I217" s="17"/>
      <c r="K217" s="22"/>
      <c r="L217" s="22"/>
      <c r="M217" s="19"/>
      <c r="N217" s="19"/>
    </row>
    <row r="218" spans="2:14" s="20" customFormat="1" ht="17.100000000000001" customHeight="1" x14ac:dyDescent="0.3">
      <c r="B218" s="17"/>
      <c r="C218" s="17"/>
      <c r="E218" s="15"/>
      <c r="F218" s="29"/>
      <c r="G218" s="19"/>
      <c r="H218" s="18"/>
      <c r="I218" s="17"/>
      <c r="K218" s="22"/>
      <c r="L218" s="22"/>
      <c r="M218" s="19"/>
      <c r="N218" s="19"/>
    </row>
    <row r="219" spans="2:14" s="20" customFormat="1" ht="17.100000000000001" customHeight="1" x14ac:dyDescent="0.3">
      <c r="B219" s="17"/>
      <c r="C219" s="17"/>
      <c r="E219" s="15"/>
      <c r="F219" s="29"/>
      <c r="G219" s="19"/>
      <c r="H219" s="18"/>
      <c r="I219" s="17"/>
      <c r="K219" s="22"/>
      <c r="L219" s="22"/>
      <c r="M219" s="19"/>
      <c r="N219" s="19"/>
    </row>
    <row r="220" spans="2:14" s="20" customFormat="1" ht="17.100000000000001" customHeight="1" x14ac:dyDescent="0.3">
      <c r="B220" s="17"/>
      <c r="C220" s="17"/>
      <c r="E220" s="15"/>
      <c r="F220" s="29"/>
      <c r="G220" s="19"/>
      <c r="H220" s="18"/>
      <c r="I220" s="17"/>
      <c r="K220" s="22"/>
      <c r="L220" s="22"/>
      <c r="M220" s="19"/>
      <c r="N220" s="19"/>
    </row>
    <row r="221" spans="2:14" s="20" customFormat="1" ht="17.100000000000001" customHeight="1" x14ac:dyDescent="0.3">
      <c r="B221" s="17"/>
      <c r="C221" s="17"/>
      <c r="E221" s="15"/>
      <c r="F221" s="29"/>
      <c r="G221" s="19"/>
      <c r="H221" s="18"/>
      <c r="I221" s="17"/>
      <c r="K221" s="22"/>
      <c r="L221" s="22"/>
      <c r="M221" s="19"/>
      <c r="N221" s="19"/>
    </row>
    <row r="222" spans="2:14" s="20" customFormat="1" ht="17.100000000000001" customHeight="1" x14ac:dyDescent="0.3">
      <c r="B222" s="17"/>
      <c r="C222" s="17"/>
      <c r="E222" s="15"/>
      <c r="F222" s="29"/>
      <c r="G222" s="19"/>
      <c r="H222" s="18"/>
      <c r="I222" s="17"/>
      <c r="K222" s="22"/>
      <c r="L222" s="22"/>
      <c r="M222" s="19"/>
      <c r="N222" s="19"/>
    </row>
    <row r="223" spans="2:14" s="20" customFormat="1" ht="17.100000000000001" customHeight="1" x14ac:dyDescent="0.3">
      <c r="B223" s="17"/>
      <c r="C223" s="17"/>
      <c r="E223" s="15"/>
      <c r="F223" s="29"/>
      <c r="G223" s="19"/>
      <c r="H223" s="18"/>
      <c r="I223" s="17"/>
      <c r="K223" s="22"/>
      <c r="L223" s="22"/>
      <c r="M223" s="19"/>
      <c r="N223" s="19"/>
    </row>
    <row r="224" spans="2:14" s="20" customFormat="1" ht="17.100000000000001" customHeight="1" x14ac:dyDescent="0.3">
      <c r="B224" s="17"/>
      <c r="C224" s="17"/>
      <c r="E224" s="15"/>
      <c r="F224" s="29"/>
      <c r="G224" s="19"/>
      <c r="H224" s="18"/>
      <c r="I224" s="17"/>
      <c r="K224" s="22"/>
      <c r="L224" s="22"/>
      <c r="M224" s="19"/>
      <c r="N224" s="19"/>
    </row>
    <row r="225" spans="2:14" s="20" customFormat="1" ht="17.100000000000001" customHeight="1" x14ac:dyDescent="0.3">
      <c r="B225" s="17"/>
      <c r="C225" s="17"/>
      <c r="E225" s="15"/>
      <c r="F225" s="29"/>
      <c r="G225" s="19"/>
      <c r="H225" s="18"/>
      <c r="I225" s="17"/>
      <c r="K225" s="22"/>
      <c r="L225" s="22"/>
      <c r="M225" s="19"/>
      <c r="N225" s="19"/>
    </row>
    <row r="226" spans="2:14" s="20" customFormat="1" ht="17.100000000000001" customHeight="1" x14ac:dyDescent="0.3">
      <c r="B226" s="17"/>
      <c r="C226" s="17"/>
      <c r="E226" s="15"/>
      <c r="F226" s="29"/>
      <c r="G226" s="19"/>
      <c r="H226" s="18"/>
      <c r="I226" s="17"/>
      <c r="K226" s="22"/>
      <c r="L226" s="22"/>
      <c r="M226" s="19"/>
      <c r="N226" s="19"/>
    </row>
    <row r="227" spans="2:14" s="20" customFormat="1" ht="17.100000000000001" customHeight="1" x14ac:dyDescent="0.3">
      <c r="B227" s="17"/>
      <c r="C227" s="17"/>
      <c r="E227" s="15"/>
      <c r="F227" s="29"/>
      <c r="G227" s="19"/>
      <c r="H227" s="18"/>
      <c r="I227" s="17"/>
      <c r="K227" s="22"/>
      <c r="L227" s="22"/>
      <c r="M227" s="19"/>
      <c r="N227" s="19"/>
    </row>
    <row r="228" spans="2:14" s="20" customFormat="1" ht="17.100000000000001" customHeight="1" x14ac:dyDescent="0.3">
      <c r="B228" s="17"/>
      <c r="C228" s="17"/>
      <c r="E228" s="15"/>
      <c r="F228" s="29"/>
      <c r="G228" s="19"/>
      <c r="H228" s="18"/>
      <c r="I228" s="17"/>
      <c r="K228" s="22"/>
      <c r="L228" s="22"/>
      <c r="M228" s="19"/>
      <c r="N228" s="19"/>
    </row>
    <row r="229" spans="2:14" s="20" customFormat="1" ht="17.100000000000001" customHeight="1" x14ac:dyDescent="0.3">
      <c r="B229" s="17"/>
      <c r="C229" s="17"/>
      <c r="E229" s="15"/>
      <c r="F229" s="29"/>
      <c r="G229" s="19"/>
      <c r="H229" s="18"/>
      <c r="I229" s="17"/>
      <c r="K229" s="22"/>
      <c r="L229" s="22"/>
      <c r="M229" s="19"/>
      <c r="N229" s="19"/>
    </row>
    <row r="230" spans="2:14" s="20" customFormat="1" ht="17.100000000000001" customHeight="1" x14ac:dyDescent="0.3">
      <c r="B230" s="17"/>
      <c r="C230" s="17"/>
      <c r="E230" s="15"/>
      <c r="F230" s="29"/>
      <c r="G230" s="19"/>
      <c r="H230" s="18"/>
      <c r="I230" s="17"/>
      <c r="K230" s="22"/>
      <c r="L230" s="22"/>
      <c r="M230" s="19"/>
      <c r="N230" s="19"/>
    </row>
    <row r="231" spans="2:14" s="20" customFormat="1" ht="17.100000000000001" customHeight="1" x14ac:dyDescent="0.3">
      <c r="B231" s="17"/>
      <c r="C231" s="17"/>
      <c r="E231" s="15"/>
      <c r="F231" s="29"/>
      <c r="G231" s="19"/>
      <c r="H231" s="18"/>
      <c r="I231" s="17"/>
      <c r="K231" s="22"/>
      <c r="L231" s="22"/>
      <c r="M231" s="19"/>
      <c r="N231" s="19"/>
    </row>
    <row r="232" spans="2:14" s="20" customFormat="1" ht="17.100000000000001" customHeight="1" x14ac:dyDescent="0.3">
      <c r="B232" s="17"/>
      <c r="C232" s="17"/>
      <c r="E232" s="15"/>
      <c r="F232" s="29"/>
      <c r="G232" s="19"/>
      <c r="H232" s="18"/>
      <c r="I232" s="17"/>
      <c r="K232" s="22"/>
      <c r="L232" s="22"/>
      <c r="M232" s="19"/>
      <c r="N232" s="19"/>
    </row>
    <row r="233" spans="2:14" s="20" customFormat="1" ht="17.100000000000001" customHeight="1" x14ac:dyDescent="0.3">
      <c r="B233" s="17"/>
      <c r="C233" s="17"/>
      <c r="E233" s="15"/>
      <c r="F233" s="29"/>
      <c r="G233" s="19"/>
      <c r="H233" s="18"/>
      <c r="I233" s="17"/>
      <c r="K233" s="22"/>
      <c r="L233" s="22"/>
      <c r="M233" s="19"/>
      <c r="N233" s="19"/>
    </row>
    <row r="234" spans="2:14" s="20" customFormat="1" ht="17.100000000000001" customHeight="1" x14ac:dyDescent="0.3">
      <c r="B234" s="17"/>
      <c r="C234" s="17"/>
      <c r="E234" s="15"/>
      <c r="F234" s="29"/>
      <c r="G234" s="19"/>
      <c r="H234" s="18"/>
      <c r="I234" s="17"/>
      <c r="K234" s="22"/>
      <c r="L234" s="22"/>
      <c r="M234" s="19"/>
      <c r="N234" s="19"/>
    </row>
    <row r="235" spans="2:14" s="20" customFormat="1" ht="17.100000000000001" customHeight="1" x14ac:dyDescent="0.3">
      <c r="B235" s="17"/>
      <c r="C235" s="17"/>
      <c r="E235" s="15"/>
      <c r="F235" s="29"/>
      <c r="G235" s="19"/>
      <c r="H235" s="18"/>
      <c r="I235" s="17"/>
      <c r="K235" s="22"/>
      <c r="L235" s="22"/>
      <c r="M235" s="19"/>
      <c r="N235" s="19"/>
    </row>
    <row r="236" spans="2:14" s="20" customFormat="1" ht="17.100000000000001" customHeight="1" x14ac:dyDescent="0.3">
      <c r="B236" s="17"/>
      <c r="C236" s="17"/>
      <c r="E236" s="15"/>
      <c r="F236" s="29"/>
      <c r="G236" s="19"/>
      <c r="H236" s="18"/>
      <c r="I236" s="17"/>
      <c r="K236" s="22"/>
      <c r="L236" s="22"/>
      <c r="M236" s="19"/>
      <c r="N236" s="19"/>
    </row>
    <row r="237" spans="2:14" s="20" customFormat="1" ht="17.100000000000001" customHeight="1" x14ac:dyDescent="0.3">
      <c r="B237" s="17"/>
      <c r="C237" s="17"/>
      <c r="E237" s="15"/>
      <c r="F237" s="29"/>
      <c r="G237" s="19"/>
      <c r="H237" s="18"/>
      <c r="I237" s="17"/>
      <c r="K237" s="22"/>
      <c r="L237" s="22"/>
      <c r="M237" s="19"/>
      <c r="N237" s="19"/>
    </row>
    <row r="238" spans="2:14" s="20" customFormat="1" ht="17.100000000000001" customHeight="1" x14ac:dyDescent="0.3">
      <c r="B238" s="17"/>
      <c r="C238" s="17"/>
      <c r="E238" s="15"/>
      <c r="F238" s="29"/>
      <c r="G238" s="19"/>
      <c r="H238" s="18"/>
      <c r="I238" s="17"/>
      <c r="K238" s="22"/>
      <c r="L238" s="22"/>
      <c r="M238" s="19"/>
      <c r="N238" s="19"/>
    </row>
    <row r="239" spans="2:14" s="20" customFormat="1" ht="17.100000000000001" customHeight="1" x14ac:dyDescent="0.3">
      <c r="B239" s="17"/>
      <c r="C239" s="17"/>
      <c r="E239" s="15"/>
      <c r="F239" s="29"/>
      <c r="G239" s="19"/>
      <c r="H239" s="18"/>
      <c r="I239" s="17"/>
      <c r="K239" s="22"/>
      <c r="L239" s="22"/>
      <c r="M239" s="19"/>
      <c r="N239" s="19"/>
    </row>
    <row r="240" spans="2:14" s="20" customFormat="1" ht="17.100000000000001" customHeight="1" x14ac:dyDescent="0.3">
      <c r="B240" s="17"/>
      <c r="C240" s="17"/>
      <c r="E240" s="15"/>
      <c r="F240" s="29"/>
      <c r="G240" s="19"/>
      <c r="H240" s="18"/>
      <c r="I240" s="17"/>
      <c r="K240" s="22"/>
      <c r="L240" s="22"/>
      <c r="M240" s="19"/>
      <c r="N240" s="19"/>
    </row>
    <row r="241" spans="2:14" s="20" customFormat="1" ht="17.100000000000001" customHeight="1" x14ac:dyDescent="0.3">
      <c r="B241" s="17"/>
      <c r="C241" s="17"/>
      <c r="E241" s="15"/>
      <c r="F241" s="29"/>
      <c r="G241" s="19"/>
      <c r="H241" s="18"/>
      <c r="I241" s="17"/>
      <c r="K241" s="22"/>
      <c r="L241" s="22"/>
      <c r="M241" s="19"/>
      <c r="N241" s="19"/>
    </row>
    <row r="242" spans="2:14" s="20" customFormat="1" ht="17.100000000000001" customHeight="1" x14ac:dyDescent="0.3">
      <c r="B242" s="17"/>
      <c r="C242" s="17"/>
      <c r="E242" s="15"/>
      <c r="F242" s="29"/>
      <c r="G242" s="19"/>
      <c r="H242" s="18"/>
      <c r="I242" s="17"/>
      <c r="K242" s="22"/>
      <c r="L242" s="22"/>
      <c r="M242" s="19"/>
      <c r="N242" s="19"/>
    </row>
    <row r="243" spans="2:14" s="20" customFormat="1" ht="17.100000000000001" customHeight="1" x14ac:dyDescent="0.3">
      <c r="B243" s="17"/>
      <c r="C243" s="17"/>
      <c r="E243" s="15"/>
      <c r="F243" s="29"/>
      <c r="G243" s="19"/>
      <c r="H243" s="18"/>
      <c r="I243" s="17"/>
      <c r="K243" s="22"/>
      <c r="L243" s="22"/>
      <c r="M243" s="19"/>
      <c r="N243" s="19"/>
    </row>
    <row r="244" spans="2:14" s="20" customFormat="1" ht="17.100000000000001" customHeight="1" x14ac:dyDescent="0.3">
      <c r="B244" s="17"/>
      <c r="C244" s="17"/>
      <c r="E244" s="15"/>
      <c r="F244" s="29"/>
      <c r="G244" s="19"/>
      <c r="H244" s="18"/>
      <c r="I244" s="17"/>
      <c r="K244" s="22"/>
      <c r="L244" s="22"/>
      <c r="M244" s="19"/>
      <c r="N244" s="19"/>
    </row>
    <row r="245" spans="2:14" s="20" customFormat="1" ht="17.100000000000001" customHeight="1" x14ac:dyDescent="0.3">
      <c r="B245" s="17"/>
      <c r="C245" s="17"/>
      <c r="E245" s="15"/>
      <c r="F245" s="29"/>
      <c r="G245" s="19"/>
      <c r="H245" s="18"/>
      <c r="I245" s="17"/>
      <c r="K245" s="22"/>
      <c r="L245" s="22"/>
      <c r="M245" s="19"/>
      <c r="N245" s="19"/>
    </row>
    <row r="246" spans="2:14" s="20" customFormat="1" ht="17.100000000000001" customHeight="1" x14ac:dyDescent="0.3">
      <c r="B246" s="17"/>
      <c r="C246" s="17"/>
      <c r="E246" s="15"/>
      <c r="F246" s="29"/>
      <c r="G246" s="19"/>
      <c r="H246" s="18"/>
      <c r="I246" s="17"/>
      <c r="K246" s="22"/>
      <c r="L246" s="22"/>
      <c r="M246" s="19"/>
      <c r="N246" s="19"/>
    </row>
    <row r="247" spans="2:14" s="20" customFormat="1" ht="17.100000000000001" customHeight="1" x14ac:dyDescent="0.3">
      <c r="B247" s="17"/>
      <c r="C247" s="17"/>
      <c r="E247" s="15"/>
      <c r="F247" s="29"/>
      <c r="G247" s="19"/>
      <c r="H247" s="18"/>
      <c r="I247" s="17"/>
      <c r="K247" s="22"/>
      <c r="L247" s="22"/>
      <c r="M247" s="19"/>
      <c r="N247" s="19"/>
    </row>
    <row r="248" spans="2:14" s="20" customFormat="1" ht="17.100000000000001" customHeight="1" x14ac:dyDescent="0.3">
      <c r="B248" s="17"/>
      <c r="C248" s="17"/>
      <c r="E248" s="15"/>
      <c r="F248" s="29"/>
      <c r="G248" s="19"/>
      <c r="H248" s="18"/>
      <c r="I248" s="17"/>
      <c r="K248" s="22"/>
      <c r="L248" s="22"/>
      <c r="M248" s="19"/>
      <c r="N248" s="19"/>
    </row>
    <row r="249" spans="2:14" s="20" customFormat="1" ht="17.100000000000001" customHeight="1" x14ac:dyDescent="0.3">
      <c r="B249" s="17"/>
      <c r="C249" s="17"/>
      <c r="E249" s="15"/>
      <c r="F249" s="29"/>
      <c r="G249" s="19"/>
      <c r="H249" s="18"/>
      <c r="I249" s="17"/>
      <c r="K249" s="22"/>
      <c r="L249" s="22"/>
      <c r="M249" s="19"/>
      <c r="N249" s="19"/>
    </row>
    <row r="250" spans="2:14" s="20" customFormat="1" ht="17.100000000000001" customHeight="1" x14ac:dyDescent="0.3">
      <c r="B250" s="17"/>
      <c r="C250" s="17"/>
      <c r="E250" s="15"/>
      <c r="F250" s="29"/>
      <c r="G250" s="19"/>
      <c r="H250" s="18"/>
      <c r="I250" s="17"/>
      <c r="K250" s="22"/>
      <c r="L250" s="22"/>
      <c r="M250" s="19"/>
      <c r="N250" s="19"/>
    </row>
    <row r="251" spans="2:14" s="20" customFormat="1" ht="17.100000000000001" customHeight="1" x14ac:dyDescent="0.3">
      <c r="B251" s="17"/>
      <c r="C251" s="17"/>
      <c r="E251" s="15"/>
      <c r="F251" s="29"/>
      <c r="G251" s="19"/>
      <c r="H251" s="18"/>
      <c r="I251" s="17"/>
      <c r="K251" s="22"/>
      <c r="L251" s="22"/>
      <c r="M251" s="19"/>
      <c r="N251" s="19"/>
    </row>
    <row r="252" spans="2:14" s="20" customFormat="1" ht="17.100000000000001" customHeight="1" x14ac:dyDescent="0.3">
      <c r="B252" s="17"/>
      <c r="C252" s="17"/>
      <c r="E252" s="15"/>
      <c r="F252" s="29"/>
      <c r="G252" s="19"/>
      <c r="H252" s="18"/>
      <c r="I252" s="17"/>
      <c r="K252" s="22"/>
      <c r="L252" s="22"/>
      <c r="M252" s="19"/>
      <c r="N252" s="19"/>
    </row>
    <row r="253" spans="2:14" s="20" customFormat="1" ht="17.100000000000001" customHeight="1" x14ac:dyDescent="0.3">
      <c r="B253" s="17"/>
      <c r="C253" s="17"/>
      <c r="E253" s="15"/>
      <c r="F253" s="29"/>
      <c r="G253" s="19"/>
      <c r="H253" s="18"/>
      <c r="I253" s="17"/>
      <c r="K253" s="22"/>
      <c r="L253" s="22"/>
      <c r="M253" s="19"/>
      <c r="N253" s="19"/>
    </row>
    <row r="254" spans="2:14" s="20" customFormat="1" ht="17.100000000000001" customHeight="1" x14ac:dyDescent="0.3">
      <c r="B254" s="17"/>
      <c r="C254" s="17"/>
      <c r="E254" s="15"/>
      <c r="F254" s="29"/>
      <c r="G254" s="19"/>
      <c r="H254" s="18"/>
      <c r="I254" s="17"/>
      <c r="K254" s="22"/>
      <c r="L254" s="22"/>
      <c r="M254" s="19"/>
      <c r="N254" s="19"/>
    </row>
    <row r="255" spans="2:14" s="20" customFormat="1" ht="17.100000000000001" customHeight="1" x14ac:dyDescent="0.3">
      <c r="B255" s="17"/>
      <c r="C255" s="17"/>
      <c r="E255" s="15"/>
      <c r="F255" s="29"/>
      <c r="G255" s="19"/>
      <c r="H255" s="18"/>
      <c r="I255" s="17"/>
      <c r="K255" s="22"/>
      <c r="L255" s="22"/>
      <c r="M255" s="19"/>
      <c r="N255" s="19"/>
    </row>
    <row r="256" spans="2:14" s="20" customFormat="1" ht="17.100000000000001" customHeight="1" x14ac:dyDescent="0.3">
      <c r="B256" s="17"/>
      <c r="C256" s="17"/>
      <c r="E256" s="15"/>
      <c r="F256" s="29"/>
      <c r="G256" s="19"/>
      <c r="H256" s="18"/>
      <c r="I256" s="17"/>
      <c r="K256" s="22"/>
      <c r="L256" s="22"/>
      <c r="M256" s="19"/>
      <c r="N256" s="19"/>
    </row>
    <row r="257" spans="2:14" s="20" customFormat="1" ht="17.100000000000001" customHeight="1" x14ac:dyDescent="0.3">
      <c r="B257" s="17"/>
      <c r="C257" s="17"/>
      <c r="E257" s="15"/>
      <c r="F257" s="29"/>
      <c r="G257" s="19"/>
      <c r="H257" s="18"/>
      <c r="I257" s="17"/>
      <c r="K257" s="22"/>
      <c r="L257" s="22"/>
      <c r="M257" s="19"/>
      <c r="N257" s="19"/>
    </row>
    <row r="258" spans="2:14" s="20" customFormat="1" ht="17.100000000000001" customHeight="1" x14ac:dyDescent="0.3">
      <c r="B258" s="17"/>
      <c r="C258" s="17"/>
      <c r="E258" s="15"/>
      <c r="F258" s="29"/>
      <c r="G258" s="19"/>
      <c r="H258" s="18"/>
      <c r="I258" s="17"/>
      <c r="K258" s="22"/>
      <c r="L258" s="22"/>
      <c r="M258" s="19"/>
      <c r="N258" s="19"/>
    </row>
    <row r="259" spans="2:14" s="20" customFormat="1" ht="17.100000000000001" customHeight="1" x14ac:dyDescent="0.3">
      <c r="B259" s="17"/>
      <c r="C259" s="17"/>
      <c r="E259" s="15"/>
      <c r="F259" s="29"/>
      <c r="G259" s="19"/>
      <c r="H259" s="18"/>
      <c r="I259" s="17"/>
      <c r="K259" s="22"/>
      <c r="L259" s="22"/>
      <c r="M259" s="19"/>
      <c r="N259" s="19"/>
    </row>
    <row r="260" spans="2:14" s="20" customFormat="1" ht="17.100000000000001" customHeight="1" x14ac:dyDescent="0.3">
      <c r="B260" s="17"/>
      <c r="C260" s="17"/>
      <c r="E260" s="15"/>
      <c r="F260" s="29"/>
      <c r="G260" s="19"/>
      <c r="H260" s="18"/>
      <c r="I260" s="17"/>
      <c r="K260" s="22"/>
      <c r="L260" s="22"/>
      <c r="M260" s="19"/>
      <c r="N260" s="19"/>
    </row>
    <row r="261" spans="2:14" s="20" customFormat="1" ht="17.100000000000001" customHeight="1" x14ac:dyDescent="0.3">
      <c r="B261" s="17"/>
      <c r="C261" s="17"/>
      <c r="E261" s="15"/>
      <c r="F261" s="29"/>
      <c r="G261" s="19"/>
      <c r="H261" s="18"/>
      <c r="I261" s="17"/>
      <c r="K261" s="22"/>
      <c r="L261" s="22"/>
      <c r="M261" s="19"/>
      <c r="N261" s="19"/>
    </row>
    <row r="262" spans="2:14" s="20" customFormat="1" ht="17.100000000000001" customHeight="1" x14ac:dyDescent="0.3">
      <c r="B262" s="17"/>
      <c r="C262" s="17"/>
      <c r="E262" s="15"/>
      <c r="F262" s="29"/>
      <c r="G262" s="19"/>
      <c r="H262" s="18"/>
      <c r="I262" s="17"/>
      <c r="K262" s="22"/>
      <c r="L262" s="22"/>
      <c r="M262" s="19"/>
      <c r="N262" s="19"/>
    </row>
    <row r="263" spans="2:14" s="20" customFormat="1" ht="17.100000000000001" customHeight="1" x14ac:dyDescent="0.3">
      <c r="B263" s="17"/>
      <c r="C263" s="17"/>
      <c r="E263" s="15"/>
      <c r="F263" s="29"/>
      <c r="G263" s="19"/>
      <c r="H263" s="18"/>
      <c r="I263" s="17"/>
      <c r="K263" s="22"/>
      <c r="L263" s="22"/>
      <c r="M263" s="19"/>
      <c r="N263" s="19"/>
    </row>
    <row r="264" spans="2:14" s="20" customFormat="1" ht="17.100000000000001" customHeight="1" x14ac:dyDescent="0.3">
      <c r="B264" s="17"/>
      <c r="C264" s="17"/>
      <c r="E264" s="15"/>
      <c r="F264" s="29"/>
      <c r="G264" s="19"/>
      <c r="H264" s="18"/>
      <c r="I264" s="17"/>
      <c r="K264" s="22"/>
      <c r="L264" s="22"/>
      <c r="M264" s="19"/>
      <c r="N264" s="19"/>
    </row>
    <row r="265" spans="2:14" s="20" customFormat="1" ht="17.100000000000001" customHeight="1" x14ac:dyDescent="0.3">
      <c r="B265" s="17"/>
      <c r="C265" s="17"/>
      <c r="E265" s="15"/>
      <c r="F265" s="29"/>
      <c r="G265" s="19"/>
      <c r="H265" s="18"/>
      <c r="I265" s="17"/>
      <c r="K265" s="22"/>
      <c r="L265" s="22"/>
      <c r="M265" s="19"/>
      <c r="N265" s="19"/>
    </row>
    <row r="266" spans="2:14" s="20" customFormat="1" ht="17.100000000000001" customHeight="1" x14ac:dyDescent="0.3">
      <c r="B266" s="17"/>
      <c r="C266" s="17"/>
      <c r="E266" s="15"/>
      <c r="F266" s="29"/>
      <c r="G266" s="19"/>
      <c r="H266" s="18"/>
      <c r="I266" s="17"/>
      <c r="K266" s="22"/>
      <c r="L266" s="22"/>
      <c r="M266" s="19"/>
      <c r="N266" s="19"/>
    </row>
    <row r="267" spans="2:14" s="20" customFormat="1" ht="17.100000000000001" customHeight="1" x14ac:dyDescent="0.3">
      <c r="B267" s="17"/>
      <c r="C267" s="17"/>
      <c r="E267" s="15"/>
      <c r="F267" s="29"/>
      <c r="G267" s="19"/>
      <c r="H267" s="18"/>
      <c r="I267" s="17"/>
      <c r="K267" s="22"/>
      <c r="L267" s="22"/>
      <c r="M267" s="19"/>
      <c r="N267" s="19"/>
    </row>
    <row r="268" spans="2:14" s="20" customFormat="1" ht="17.100000000000001" customHeight="1" x14ac:dyDescent="0.3">
      <c r="B268" s="17"/>
      <c r="C268" s="17"/>
      <c r="E268" s="15"/>
      <c r="F268" s="29"/>
      <c r="G268" s="19"/>
      <c r="H268" s="18"/>
      <c r="I268" s="17"/>
      <c r="K268" s="22"/>
      <c r="L268" s="22"/>
      <c r="M268" s="19"/>
      <c r="N268" s="19"/>
    </row>
    <row r="269" spans="2:14" s="20" customFormat="1" ht="17.100000000000001" customHeight="1" x14ac:dyDescent="0.3">
      <c r="B269" s="17"/>
      <c r="C269" s="17"/>
      <c r="E269" s="15"/>
      <c r="F269" s="29"/>
      <c r="G269" s="19"/>
      <c r="H269" s="18"/>
      <c r="I269" s="17"/>
      <c r="K269" s="22"/>
      <c r="L269" s="22"/>
      <c r="M269" s="19"/>
      <c r="N269" s="19"/>
    </row>
    <row r="270" spans="2:14" s="20" customFormat="1" ht="17.100000000000001" customHeight="1" x14ac:dyDescent="0.3">
      <c r="B270" s="17"/>
      <c r="C270" s="17"/>
      <c r="E270" s="15"/>
      <c r="F270" s="29"/>
      <c r="G270" s="19"/>
      <c r="H270" s="18"/>
      <c r="I270" s="17"/>
      <c r="K270" s="22"/>
      <c r="L270" s="22"/>
      <c r="M270" s="19"/>
      <c r="N270" s="19"/>
    </row>
    <row r="271" spans="2:14" s="20" customFormat="1" ht="17.100000000000001" customHeight="1" x14ac:dyDescent="0.3">
      <c r="B271" s="17"/>
      <c r="C271" s="17"/>
      <c r="E271" s="15"/>
      <c r="F271" s="29"/>
      <c r="G271" s="19"/>
      <c r="H271" s="18"/>
      <c r="I271" s="17"/>
      <c r="K271" s="22"/>
      <c r="L271" s="22"/>
      <c r="M271" s="19"/>
      <c r="N271" s="19"/>
    </row>
    <row r="272" spans="2:14" s="20" customFormat="1" ht="17.100000000000001" customHeight="1" x14ac:dyDescent="0.3">
      <c r="B272" s="17"/>
      <c r="C272" s="17"/>
      <c r="E272" s="15"/>
      <c r="F272" s="29"/>
      <c r="G272" s="19"/>
      <c r="H272" s="18"/>
      <c r="I272" s="17"/>
      <c r="K272" s="22"/>
      <c r="L272" s="22"/>
      <c r="M272" s="19"/>
      <c r="N272" s="19"/>
    </row>
    <row r="273" spans="2:14" s="20" customFormat="1" ht="17.100000000000001" customHeight="1" x14ac:dyDescent="0.3">
      <c r="B273" s="17"/>
      <c r="C273" s="17"/>
      <c r="E273" s="15"/>
      <c r="F273" s="29"/>
      <c r="G273" s="19"/>
      <c r="H273" s="18"/>
      <c r="I273" s="17"/>
      <c r="K273" s="22"/>
      <c r="L273" s="22"/>
      <c r="M273" s="19"/>
      <c r="N273" s="19"/>
    </row>
    <row r="274" spans="2:14" s="20" customFormat="1" ht="17.100000000000001" customHeight="1" x14ac:dyDescent="0.3">
      <c r="B274" s="17"/>
      <c r="C274" s="17"/>
      <c r="E274" s="15"/>
      <c r="F274" s="29"/>
      <c r="G274" s="19"/>
      <c r="H274" s="18"/>
      <c r="I274" s="17"/>
      <c r="K274" s="22"/>
      <c r="L274" s="22"/>
      <c r="M274" s="19"/>
      <c r="N274" s="19"/>
    </row>
    <row r="275" spans="2:14" s="20" customFormat="1" ht="17.100000000000001" customHeight="1" x14ac:dyDescent="0.3">
      <c r="B275" s="17"/>
      <c r="C275" s="17"/>
      <c r="E275" s="15"/>
      <c r="F275" s="29"/>
      <c r="G275" s="19"/>
      <c r="H275" s="18"/>
      <c r="I275" s="17"/>
      <c r="K275" s="22"/>
      <c r="L275" s="22"/>
      <c r="M275" s="19"/>
      <c r="N275" s="19"/>
    </row>
    <row r="276" spans="2:14" s="20" customFormat="1" ht="17.100000000000001" customHeight="1" x14ac:dyDescent="0.3">
      <c r="B276" s="17"/>
      <c r="C276" s="17"/>
      <c r="E276" s="15"/>
      <c r="F276" s="29"/>
      <c r="G276" s="19"/>
      <c r="H276" s="18"/>
      <c r="I276" s="17"/>
      <c r="K276" s="22"/>
      <c r="L276" s="22"/>
      <c r="M276" s="19"/>
      <c r="N276" s="19"/>
    </row>
    <row r="277" spans="2:14" s="20" customFormat="1" ht="17.100000000000001" customHeight="1" x14ac:dyDescent="0.3">
      <c r="B277" s="17"/>
      <c r="C277" s="17"/>
      <c r="E277" s="15"/>
      <c r="F277" s="29"/>
      <c r="G277" s="19"/>
      <c r="H277" s="18"/>
      <c r="I277" s="17"/>
      <c r="K277" s="22"/>
      <c r="L277" s="22"/>
      <c r="M277" s="19"/>
      <c r="N277" s="19"/>
    </row>
    <row r="278" spans="2:14" s="20" customFormat="1" ht="17.100000000000001" customHeight="1" x14ac:dyDescent="0.3">
      <c r="B278" s="17"/>
      <c r="C278" s="17"/>
      <c r="E278" s="15"/>
      <c r="F278" s="29"/>
      <c r="G278" s="19"/>
      <c r="H278" s="18"/>
      <c r="I278" s="17"/>
      <c r="K278" s="22"/>
      <c r="L278" s="22"/>
      <c r="M278" s="19"/>
      <c r="N278" s="19"/>
    </row>
    <row r="279" spans="2:14" s="20" customFormat="1" ht="17.100000000000001" customHeight="1" x14ac:dyDescent="0.3">
      <c r="B279" s="17"/>
      <c r="C279" s="17"/>
      <c r="E279" s="15"/>
      <c r="F279" s="29"/>
      <c r="G279" s="19"/>
      <c r="H279" s="18"/>
      <c r="I279" s="17"/>
      <c r="K279" s="22"/>
      <c r="L279" s="22"/>
      <c r="M279" s="19"/>
      <c r="N279" s="19"/>
    </row>
    <row r="280" spans="2:14" s="20" customFormat="1" ht="17.100000000000001" customHeight="1" x14ac:dyDescent="0.3">
      <c r="B280" s="17"/>
      <c r="C280" s="17"/>
      <c r="E280" s="15"/>
      <c r="F280" s="29"/>
      <c r="G280" s="19"/>
      <c r="H280" s="18"/>
      <c r="I280" s="17"/>
      <c r="K280" s="22"/>
      <c r="L280" s="22"/>
      <c r="M280" s="19"/>
      <c r="N280" s="19"/>
    </row>
    <row r="281" spans="2:14" s="20" customFormat="1" ht="17.100000000000001" customHeight="1" x14ac:dyDescent="0.3">
      <c r="B281" s="17"/>
      <c r="C281" s="17"/>
      <c r="E281" s="15"/>
      <c r="F281" s="29"/>
      <c r="G281" s="19"/>
      <c r="H281" s="18"/>
      <c r="I281" s="17"/>
      <c r="K281" s="22"/>
      <c r="L281" s="22"/>
      <c r="M281" s="19"/>
      <c r="N281" s="19"/>
    </row>
    <row r="282" spans="2:14" s="20" customFormat="1" ht="17.100000000000001" customHeight="1" x14ac:dyDescent="0.3">
      <c r="B282" s="17"/>
      <c r="C282" s="17"/>
      <c r="E282" s="15"/>
      <c r="F282" s="29"/>
      <c r="G282" s="19"/>
      <c r="H282" s="18"/>
      <c r="I282" s="17"/>
      <c r="K282" s="22"/>
      <c r="L282" s="22"/>
      <c r="M282" s="19"/>
      <c r="N282" s="19"/>
    </row>
    <row r="283" spans="2:14" s="20" customFormat="1" ht="17.100000000000001" customHeight="1" x14ac:dyDescent="0.3">
      <c r="B283" s="17"/>
      <c r="C283" s="17"/>
      <c r="E283" s="15"/>
      <c r="F283" s="29"/>
      <c r="G283" s="19"/>
      <c r="H283" s="18"/>
      <c r="I283" s="17"/>
      <c r="K283" s="22"/>
      <c r="L283" s="22"/>
      <c r="M283" s="19"/>
      <c r="N283" s="19"/>
    </row>
    <row r="284" spans="2:14" s="20" customFormat="1" ht="17.100000000000001" customHeight="1" x14ac:dyDescent="0.3">
      <c r="B284" s="17"/>
      <c r="C284" s="17"/>
      <c r="E284" s="15"/>
      <c r="F284" s="29"/>
      <c r="G284" s="19"/>
      <c r="H284" s="18"/>
      <c r="I284" s="17"/>
      <c r="K284" s="22"/>
      <c r="L284" s="22"/>
      <c r="M284" s="19"/>
      <c r="N284" s="19"/>
    </row>
    <row r="285" spans="2:14" s="20" customFormat="1" ht="17.100000000000001" customHeight="1" x14ac:dyDescent="0.3">
      <c r="B285" s="17"/>
      <c r="C285" s="17"/>
      <c r="E285" s="15"/>
      <c r="F285" s="29"/>
      <c r="G285" s="19"/>
      <c r="H285" s="18"/>
      <c r="I285" s="17"/>
      <c r="K285" s="22"/>
      <c r="L285" s="22"/>
      <c r="M285" s="19"/>
      <c r="N285" s="19"/>
    </row>
    <row r="286" spans="2:14" s="20" customFormat="1" ht="17.100000000000001" customHeight="1" x14ac:dyDescent="0.3">
      <c r="B286" s="17"/>
      <c r="C286" s="17"/>
      <c r="E286" s="15"/>
      <c r="F286" s="29"/>
      <c r="G286" s="19"/>
      <c r="H286" s="18"/>
      <c r="I286" s="17"/>
      <c r="K286" s="22"/>
      <c r="L286" s="22"/>
      <c r="M286" s="19"/>
      <c r="N286" s="19"/>
    </row>
    <row r="287" spans="2:14" s="20" customFormat="1" ht="17.100000000000001" customHeight="1" x14ac:dyDescent="0.3">
      <c r="B287" s="17"/>
      <c r="C287" s="17"/>
      <c r="E287" s="15"/>
      <c r="F287" s="29"/>
      <c r="G287" s="19"/>
      <c r="H287" s="18"/>
      <c r="I287" s="17"/>
      <c r="K287" s="22"/>
      <c r="L287" s="22"/>
      <c r="M287" s="19"/>
      <c r="N287" s="19"/>
    </row>
    <row r="288" spans="2:14" s="20" customFormat="1" ht="17.100000000000001" customHeight="1" x14ac:dyDescent="0.3">
      <c r="B288" s="17"/>
      <c r="C288" s="17"/>
      <c r="E288" s="15"/>
      <c r="F288" s="29"/>
      <c r="G288" s="19"/>
      <c r="H288" s="18"/>
      <c r="I288" s="17"/>
      <c r="K288" s="22"/>
      <c r="L288" s="22"/>
      <c r="M288" s="19"/>
      <c r="N288" s="19"/>
    </row>
    <row r="289" spans="2:14" s="20" customFormat="1" ht="17.100000000000001" customHeight="1" x14ac:dyDescent="0.3">
      <c r="B289" s="17"/>
      <c r="C289" s="17"/>
      <c r="E289" s="15"/>
      <c r="F289" s="29"/>
      <c r="G289" s="19"/>
      <c r="H289" s="18"/>
      <c r="I289" s="17"/>
      <c r="K289" s="22"/>
      <c r="L289" s="22"/>
      <c r="M289" s="19"/>
      <c r="N289" s="19"/>
    </row>
    <row r="290" spans="2:14" s="20" customFormat="1" ht="17.100000000000001" customHeight="1" x14ac:dyDescent="0.3">
      <c r="B290" s="17"/>
      <c r="C290" s="17"/>
      <c r="E290" s="15"/>
      <c r="F290" s="29"/>
      <c r="G290" s="19"/>
      <c r="H290" s="18"/>
      <c r="I290" s="17"/>
      <c r="K290" s="22"/>
      <c r="L290" s="22"/>
      <c r="M290" s="19"/>
      <c r="N290" s="19"/>
    </row>
    <row r="291" spans="2:14" s="20" customFormat="1" ht="17.100000000000001" customHeight="1" x14ac:dyDescent="0.3">
      <c r="B291" s="17"/>
      <c r="C291" s="17"/>
      <c r="E291" s="15"/>
      <c r="F291" s="29"/>
      <c r="G291" s="19"/>
      <c r="H291" s="18"/>
      <c r="I291" s="17"/>
      <c r="K291" s="22"/>
      <c r="L291" s="22"/>
      <c r="M291" s="19"/>
      <c r="N291" s="19"/>
    </row>
    <row r="292" spans="2:14" s="20" customFormat="1" ht="17.100000000000001" customHeight="1" x14ac:dyDescent="0.3">
      <c r="B292" s="17"/>
      <c r="C292" s="17"/>
      <c r="E292" s="15"/>
      <c r="F292" s="29"/>
      <c r="G292" s="19"/>
      <c r="H292" s="18"/>
      <c r="I292" s="17"/>
      <c r="K292" s="22"/>
      <c r="L292" s="22"/>
      <c r="M292" s="19"/>
      <c r="N292" s="19"/>
    </row>
    <row r="293" spans="2:14" s="21" customFormat="1" ht="17.100000000000001" customHeight="1" x14ac:dyDescent="0.3">
      <c r="B293" s="12"/>
      <c r="C293" s="12"/>
      <c r="E293" s="10"/>
      <c r="F293" s="31"/>
      <c r="G293" s="13"/>
      <c r="H293" s="18"/>
      <c r="I293" s="12"/>
      <c r="K293" s="39"/>
      <c r="L293" s="39"/>
      <c r="M293" s="13"/>
      <c r="N293" s="13"/>
    </row>
    <row r="294" spans="2:14" s="21" customFormat="1" ht="17.100000000000001" customHeight="1" x14ac:dyDescent="0.3">
      <c r="B294" s="12"/>
      <c r="C294" s="12"/>
      <c r="E294" s="10"/>
      <c r="F294" s="31"/>
      <c r="G294" s="13"/>
      <c r="H294" s="18"/>
      <c r="I294" s="12"/>
      <c r="K294" s="39"/>
      <c r="L294" s="39"/>
      <c r="M294" s="13"/>
      <c r="N294" s="13"/>
    </row>
    <row r="295" spans="2:14" s="21" customFormat="1" ht="17.100000000000001" customHeight="1" x14ac:dyDescent="0.3">
      <c r="B295" s="12"/>
      <c r="C295" s="12"/>
      <c r="E295" s="10"/>
      <c r="F295" s="31"/>
      <c r="G295" s="13"/>
      <c r="H295" s="18"/>
      <c r="I295" s="12"/>
      <c r="K295" s="39"/>
      <c r="L295" s="39"/>
      <c r="M295" s="13"/>
      <c r="N295" s="13"/>
    </row>
    <row r="296" spans="2:14" s="21" customFormat="1" ht="17.100000000000001" customHeight="1" x14ac:dyDescent="0.3">
      <c r="B296" s="12"/>
      <c r="C296" s="12"/>
      <c r="E296" s="10"/>
      <c r="F296" s="31"/>
      <c r="G296" s="13"/>
      <c r="H296" s="18"/>
      <c r="I296" s="12"/>
      <c r="K296" s="39"/>
      <c r="L296" s="39"/>
      <c r="M296" s="13"/>
      <c r="N296" s="13"/>
    </row>
    <row r="297" spans="2:14" s="21" customFormat="1" ht="17.100000000000001" customHeight="1" x14ac:dyDescent="0.3">
      <c r="B297" s="12"/>
      <c r="C297" s="12"/>
      <c r="E297" s="10"/>
      <c r="F297" s="31"/>
      <c r="G297" s="13"/>
      <c r="H297" s="18"/>
      <c r="I297" s="12"/>
      <c r="K297" s="39"/>
      <c r="L297" s="39"/>
      <c r="M297" s="13"/>
      <c r="N297" s="13"/>
    </row>
    <row r="298" spans="2:14" s="21" customFormat="1" ht="17.100000000000001" customHeight="1" x14ac:dyDescent="0.3">
      <c r="B298" s="12"/>
      <c r="C298" s="12"/>
      <c r="E298" s="10"/>
      <c r="F298" s="31"/>
      <c r="G298" s="13"/>
      <c r="H298" s="18"/>
      <c r="I298" s="12"/>
      <c r="K298" s="39"/>
      <c r="L298" s="39"/>
      <c r="M298" s="13"/>
      <c r="N298" s="13"/>
    </row>
    <row r="299" spans="2:14" s="21" customFormat="1" ht="17.100000000000001" customHeight="1" x14ac:dyDescent="0.3">
      <c r="B299" s="12"/>
      <c r="C299" s="12"/>
      <c r="E299" s="10"/>
      <c r="F299" s="31"/>
      <c r="G299" s="13"/>
      <c r="H299" s="18"/>
      <c r="I299" s="12"/>
      <c r="K299" s="39"/>
      <c r="L299" s="39"/>
      <c r="M299" s="13"/>
      <c r="N299" s="13"/>
    </row>
    <row r="300" spans="2:14" s="21" customFormat="1" ht="17.100000000000001" customHeight="1" x14ac:dyDescent="0.3">
      <c r="B300" s="12"/>
      <c r="C300" s="12"/>
      <c r="E300" s="10"/>
      <c r="F300" s="31"/>
      <c r="G300" s="13"/>
      <c r="H300" s="18"/>
      <c r="I300" s="12"/>
      <c r="K300" s="39"/>
      <c r="L300" s="39"/>
      <c r="M300" s="13"/>
      <c r="N300" s="13"/>
    </row>
    <row r="301" spans="2:14" s="21" customFormat="1" ht="17.100000000000001" customHeight="1" x14ac:dyDescent="0.3">
      <c r="B301" s="12"/>
      <c r="C301" s="12"/>
      <c r="E301" s="10"/>
      <c r="F301" s="31"/>
      <c r="G301" s="13"/>
      <c r="H301" s="18"/>
      <c r="I301" s="12"/>
      <c r="K301" s="39"/>
      <c r="L301" s="39"/>
      <c r="M301" s="13"/>
      <c r="N301" s="13"/>
    </row>
    <row r="302" spans="2:14" s="21" customFormat="1" ht="17.100000000000001" customHeight="1" x14ac:dyDescent="0.3">
      <c r="B302" s="12"/>
      <c r="C302" s="12"/>
      <c r="E302" s="10"/>
      <c r="F302" s="31"/>
      <c r="G302" s="13"/>
      <c r="H302" s="18"/>
      <c r="I302" s="12"/>
      <c r="K302" s="39"/>
      <c r="L302" s="39"/>
      <c r="M302" s="13"/>
      <c r="N302" s="13"/>
    </row>
    <row r="303" spans="2:14" s="21" customFormat="1" ht="17.100000000000001" customHeight="1" x14ac:dyDescent="0.3">
      <c r="B303" s="12"/>
      <c r="C303" s="12"/>
      <c r="E303" s="10"/>
      <c r="F303" s="31"/>
      <c r="G303" s="13"/>
      <c r="H303" s="18"/>
      <c r="I303" s="12"/>
      <c r="K303" s="39"/>
      <c r="L303" s="39"/>
      <c r="M303" s="13"/>
      <c r="N303" s="13"/>
    </row>
    <row r="304" spans="2:14" s="21" customFormat="1" ht="17.100000000000001" customHeight="1" x14ac:dyDescent="0.3">
      <c r="B304" s="12"/>
      <c r="C304" s="12"/>
      <c r="E304" s="10"/>
      <c r="F304" s="31"/>
      <c r="G304" s="13"/>
      <c r="H304" s="18"/>
      <c r="I304" s="12"/>
      <c r="K304" s="39"/>
      <c r="L304" s="39"/>
      <c r="M304" s="13"/>
      <c r="N304" s="13"/>
    </row>
    <row r="305" spans="2:14" s="21" customFormat="1" ht="17.100000000000001" customHeight="1" x14ac:dyDescent="0.3">
      <c r="B305" s="12"/>
      <c r="C305" s="12"/>
      <c r="E305" s="10"/>
      <c r="F305" s="31"/>
      <c r="G305" s="13"/>
      <c r="H305" s="18"/>
      <c r="I305" s="12"/>
      <c r="K305" s="39"/>
      <c r="L305" s="39"/>
      <c r="M305" s="13"/>
      <c r="N305" s="13"/>
    </row>
    <row r="306" spans="2:14" s="21" customFormat="1" ht="17.100000000000001" customHeight="1" x14ac:dyDescent="0.3">
      <c r="B306" s="12"/>
      <c r="C306" s="12"/>
      <c r="E306" s="10"/>
      <c r="F306" s="31"/>
      <c r="G306" s="13"/>
      <c r="H306" s="18"/>
      <c r="I306" s="12"/>
      <c r="K306" s="39"/>
      <c r="L306" s="39"/>
      <c r="M306" s="13"/>
      <c r="N306" s="13"/>
    </row>
    <row r="307" spans="2:14" s="21" customFormat="1" ht="17.100000000000001" customHeight="1" x14ac:dyDescent="0.3">
      <c r="B307" s="12"/>
      <c r="C307" s="12"/>
      <c r="E307" s="10"/>
      <c r="F307" s="31"/>
      <c r="G307" s="13"/>
      <c r="H307" s="18"/>
      <c r="I307" s="12"/>
      <c r="K307" s="39"/>
      <c r="L307" s="39"/>
      <c r="M307" s="13"/>
      <c r="N307" s="13"/>
    </row>
    <row r="308" spans="2:14" s="21" customFormat="1" ht="17.100000000000001" customHeight="1" x14ac:dyDescent="0.3">
      <c r="B308" s="12"/>
      <c r="C308" s="12"/>
      <c r="E308" s="10"/>
      <c r="F308" s="31"/>
      <c r="G308" s="13"/>
      <c r="H308" s="18"/>
      <c r="I308" s="12"/>
      <c r="K308" s="39"/>
      <c r="L308" s="39"/>
      <c r="M308" s="13"/>
      <c r="N308" s="13"/>
    </row>
    <row r="309" spans="2:14" s="21" customFormat="1" ht="17.100000000000001" customHeight="1" x14ac:dyDescent="0.3">
      <c r="B309" s="12"/>
      <c r="C309" s="12"/>
      <c r="E309" s="10"/>
      <c r="F309" s="31"/>
      <c r="G309" s="13"/>
      <c r="H309" s="18"/>
      <c r="I309" s="12"/>
      <c r="K309" s="39"/>
      <c r="L309" s="39"/>
      <c r="M309" s="13"/>
      <c r="N309" s="13"/>
    </row>
    <row r="310" spans="2:14" s="21" customFormat="1" ht="17.100000000000001" customHeight="1" x14ac:dyDescent="0.3">
      <c r="B310" s="12"/>
      <c r="C310" s="12"/>
      <c r="E310" s="10"/>
      <c r="F310" s="31"/>
      <c r="G310" s="13"/>
      <c r="H310" s="18"/>
      <c r="I310" s="12"/>
      <c r="K310" s="39"/>
      <c r="L310" s="39"/>
      <c r="M310" s="13"/>
      <c r="N310" s="13"/>
    </row>
    <row r="311" spans="2:14" s="21" customFormat="1" ht="17.100000000000001" customHeight="1" x14ac:dyDescent="0.3">
      <c r="B311" s="12"/>
      <c r="C311" s="12"/>
      <c r="E311" s="10"/>
      <c r="F311" s="31"/>
      <c r="G311" s="13"/>
      <c r="H311" s="18"/>
      <c r="I311" s="12"/>
      <c r="K311" s="39"/>
      <c r="L311" s="39"/>
      <c r="M311" s="13"/>
      <c r="N311" s="13"/>
    </row>
    <row r="312" spans="2:14" s="21" customFormat="1" ht="17.100000000000001" customHeight="1" x14ac:dyDescent="0.3">
      <c r="B312" s="12"/>
      <c r="C312" s="12"/>
      <c r="E312" s="10"/>
      <c r="F312" s="31"/>
      <c r="G312" s="13"/>
      <c r="H312" s="18"/>
      <c r="I312" s="12"/>
      <c r="K312" s="39"/>
      <c r="L312" s="39"/>
      <c r="M312" s="13"/>
      <c r="N312" s="13"/>
    </row>
    <row r="313" spans="2:14" s="21" customFormat="1" ht="17.100000000000001" customHeight="1" x14ac:dyDescent="0.3">
      <c r="B313" s="12"/>
      <c r="C313" s="12"/>
      <c r="E313" s="10"/>
      <c r="F313" s="31"/>
      <c r="G313" s="13"/>
      <c r="H313" s="18"/>
      <c r="I313" s="12"/>
      <c r="K313" s="39"/>
      <c r="L313" s="39"/>
      <c r="M313" s="13"/>
      <c r="N313" s="13"/>
    </row>
    <row r="314" spans="2:14" s="21" customFormat="1" ht="17.100000000000001" customHeight="1" x14ac:dyDescent="0.3">
      <c r="B314" s="12"/>
      <c r="C314" s="12"/>
      <c r="E314" s="10"/>
      <c r="F314" s="31"/>
      <c r="G314" s="13"/>
      <c r="H314" s="18"/>
      <c r="I314" s="12"/>
      <c r="K314" s="39"/>
      <c r="L314" s="39"/>
      <c r="M314" s="13"/>
      <c r="N314" s="13"/>
    </row>
    <row r="315" spans="2:14" s="21" customFormat="1" ht="17.100000000000001" customHeight="1" x14ac:dyDescent="0.3">
      <c r="B315" s="12"/>
      <c r="C315" s="12"/>
      <c r="E315" s="10"/>
      <c r="F315" s="31"/>
      <c r="G315" s="13"/>
      <c r="H315" s="18"/>
      <c r="I315" s="12"/>
      <c r="K315" s="39"/>
      <c r="L315" s="39"/>
      <c r="M315" s="13"/>
      <c r="N315" s="13"/>
    </row>
    <row r="316" spans="2:14" s="21" customFormat="1" ht="17.100000000000001" customHeight="1" x14ac:dyDescent="0.3">
      <c r="B316" s="12"/>
      <c r="C316" s="12"/>
      <c r="E316" s="10"/>
      <c r="F316" s="31"/>
      <c r="G316" s="13"/>
      <c r="H316" s="18"/>
      <c r="I316" s="12"/>
      <c r="K316" s="39"/>
      <c r="L316" s="39"/>
      <c r="M316" s="13"/>
      <c r="N316" s="13"/>
    </row>
    <row r="317" spans="2:14" s="21" customFormat="1" ht="17.100000000000001" customHeight="1" x14ac:dyDescent="0.3">
      <c r="B317" s="12"/>
      <c r="C317" s="12"/>
      <c r="E317" s="10"/>
      <c r="F317" s="31"/>
      <c r="G317" s="13"/>
      <c r="H317" s="18"/>
      <c r="I317" s="12"/>
      <c r="K317" s="39"/>
      <c r="L317" s="39"/>
      <c r="M317" s="13"/>
      <c r="N317" s="13"/>
    </row>
    <row r="318" spans="2:14" s="21" customFormat="1" ht="17.100000000000001" customHeight="1" x14ac:dyDescent="0.3">
      <c r="B318" s="12"/>
      <c r="C318" s="12"/>
      <c r="E318" s="10"/>
      <c r="F318" s="31"/>
      <c r="G318" s="13"/>
      <c r="H318" s="18"/>
      <c r="I318" s="12"/>
      <c r="K318" s="39"/>
      <c r="L318" s="39"/>
      <c r="M318" s="13"/>
      <c r="N318" s="13"/>
    </row>
    <row r="319" spans="2:14" s="21" customFormat="1" ht="17.100000000000001" customHeight="1" x14ac:dyDescent="0.3">
      <c r="B319" s="12"/>
      <c r="C319" s="12"/>
      <c r="E319" s="10"/>
      <c r="F319" s="31"/>
      <c r="G319" s="13"/>
      <c r="H319" s="18"/>
      <c r="I319" s="12"/>
      <c r="K319" s="39"/>
      <c r="L319" s="39"/>
      <c r="M319" s="13"/>
      <c r="N319" s="13"/>
    </row>
    <row r="320" spans="2:14" s="21" customFormat="1" ht="17.100000000000001" customHeight="1" x14ac:dyDescent="0.3">
      <c r="B320" s="12"/>
      <c r="C320" s="12"/>
      <c r="E320" s="10"/>
      <c r="F320" s="31"/>
      <c r="G320" s="13"/>
      <c r="H320" s="18"/>
      <c r="I320" s="12"/>
      <c r="K320" s="39"/>
      <c r="L320" s="39"/>
      <c r="M320" s="13"/>
      <c r="N320" s="13"/>
    </row>
    <row r="321" spans="2:14" s="21" customFormat="1" ht="12" customHeight="1" x14ac:dyDescent="0.3">
      <c r="B321" s="12"/>
      <c r="C321" s="12"/>
      <c r="E321" s="10"/>
      <c r="F321" s="31"/>
      <c r="G321" s="13"/>
      <c r="H321" s="18"/>
      <c r="I321" s="12"/>
      <c r="K321" s="39"/>
      <c r="L321" s="39"/>
      <c r="M321" s="13"/>
      <c r="N321" s="13"/>
    </row>
    <row r="322" spans="2:14" s="21" customFormat="1" ht="12" customHeight="1" x14ac:dyDescent="0.3">
      <c r="B322" s="12"/>
      <c r="C322" s="12"/>
      <c r="E322" s="10"/>
      <c r="F322" s="31"/>
      <c r="G322" s="13"/>
      <c r="H322" s="18"/>
      <c r="I322" s="12"/>
      <c r="K322" s="39"/>
      <c r="L322" s="39"/>
      <c r="M322" s="13"/>
      <c r="N322" s="13"/>
    </row>
    <row r="323" spans="2:14" s="9" customFormat="1" ht="13.5" customHeight="1" x14ac:dyDescent="0.3">
      <c r="B323" s="7"/>
      <c r="C323" s="7"/>
      <c r="E323" s="5"/>
      <c r="F323" s="32"/>
      <c r="G323" s="8"/>
      <c r="H323" s="18"/>
      <c r="I323" s="7"/>
      <c r="K323" s="40"/>
      <c r="L323" s="40"/>
      <c r="M323" s="8"/>
      <c r="N323" s="8"/>
    </row>
    <row r="324" spans="2:14" s="9" customFormat="1" ht="13.5" customHeight="1" x14ac:dyDescent="0.3">
      <c r="B324" s="7"/>
      <c r="C324" s="7"/>
      <c r="E324" s="5"/>
      <c r="F324" s="32"/>
      <c r="G324" s="8"/>
      <c r="H324" s="18"/>
      <c r="I324" s="7"/>
      <c r="K324" s="40"/>
      <c r="L324" s="40"/>
      <c r="M324" s="8"/>
      <c r="N324" s="8"/>
    </row>
    <row r="325" spans="2:14" s="9" customFormat="1" ht="13.5" customHeight="1" x14ac:dyDescent="0.3">
      <c r="B325" s="7"/>
      <c r="C325" s="7"/>
      <c r="E325" s="5"/>
      <c r="F325" s="32"/>
      <c r="G325" s="8"/>
      <c r="H325" s="18"/>
      <c r="I325" s="7"/>
      <c r="K325" s="40"/>
      <c r="L325" s="40"/>
      <c r="M325" s="8"/>
      <c r="N325" s="8"/>
    </row>
    <row r="326" spans="2:14" s="9" customFormat="1" ht="13.5" customHeight="1" x14ac:dyDescent="0.3">
      <c r="B326" s="7"/>
      <c r="C326" s="7"/>
      <c r="E326" s="5"/>
      <c r="F326" s="32"/>
      <c r="G326" s="8"/>
      <c r="H326" s="18"/>
      <c r="I326" s="7"/>
      <c r="K326" s="40"/>
      <c r="L326" s="40"/>
      <c r="M326" s="8"/>
      <c r="N326" s="8"/>
    </row>
    <row r="327" spans="2:14" s="9" customFormat="1" ht="13.5" x14ac:dyDescent="0.3">
      <c r="B327" s="7"/>
      <c r="C327" s="7"/>
      <c r="E327" s="5"/>
      <c r="F327" s="32"/>
      <c r="G327" s="8"/>
      <c r="H327" s="18"/>
      <c r="I327" s="7"/>
      <c r="K327" s="40"/>
      <c r="L327" s="40"/>
      <c r="M327" s="8"/>
      <c r="N327" s="8"/>
    </row>
    <row r="328" spans="2:14" s="9" customFormat="1" ht="13.5" x14ac:dyDescent="0.3">
      <c r="B328" s="7"/>
      <c r="C328" s="7"/>
      <c r="E328" s="5"/>
      <c r="F328" s="32"/>
      <c r="G328" s="8"/>
      <c r="H328" s="8"/>
      <c r="I328" s="7"/>
      <c r="K328" s="40"/>
      <c r="L328" s="40"/>
      <c r="M328" s="8"/>
      <c r="N328" s="8"/>
    </row>
    <row r="329" spans="2:14" s="9" customFormat="1" ht="13.5" x14ac:dyDescent="0.3">
      <c r="B329" s="7"/>
      <c r="C329" s="7"/>
      <c r="E329" s="5"/>
      <c r="F329" s="32"/>
      <c r="G329" s="8"/>
      <c r="H329" s="8"/>
      <c r="I329" s="7"/>
      <c r="K329" s="40"/>
      <c r="L329" s="40"/>
      <c r="M329" s="8"/>
      <c r="N329" s="8"/>
    </row>
    <row r="330" spans="2:14" s="9" customFormat="1" ht="13.5" x14ac:dyDescent="0.3">
      <c r="B330" s="7"/>
      <c r="C330" s="7"/>
      <c r="E330" s="5"/>
      <c r="F330" s="32"/>
      <c r="G330" s="8"/>
      <c r="H330" s="8"/>
      <c r="I330" s="7"/>
      <c r="K330" s="40"/>
      <c r="L330" s="40"/>
      <c r="M330" s="8"/>
      <c r="N330" s="8"/>
    </row>
    <row r="331" spans="2:14" s="9" customFormat="1" ht="13.5" x14ac:dyDescent="0.3">
      <c r="B331" s="7"/>
      <c r="C331" s="7"/>
      <c r="E331" s="5"/>
      <c r="F331" s="32"/>
      <c r="G331" s="8"/>
      <c r="H331" s="8"/>
      <c r="I331" s="7"/>
      <c r="K331" s="40"/>
      <c r="L331" s="40"/>
      <c r="M331" s="8"/>
      <c r="N331" s="8"/>
    </row>
    <row r="332" spans="2:14" s="9" customFormat="1" ht="13.5" x14ac:dyDescent="0.3">
      <c r="B332" s="7"/>
      <c r="C332" s="7"/>
      <c r="E332" s="5"/>
      <c r="F332" s="32"/>
      <c r="G332" s="8"/>
      <c r="H332" s="8"/>
      <c r="I332" s="7"/>
      <c r="K332" s="40"/>
      <c r="L332" s="40"/>
      <c r="M332" s="8"/>
      <c r="N332" s="8"/>
    </row>
    <row r="333" spans="2:14" x14ac:dyDescent="0.3">
      <c r="H333" s="8"/>
    </row>
    <row r="334" spans="2:14" x14ac:dyDescent="0.3">
      <c r="H334" s="8"/>
    </row>
    <row r="335" spans="2:14" x14ac:dyDescent="0.3">
      <c r="H335" s="8"/>
    </row>
    <row r="336" spans="2:14" x14ac:dyDescent="0.3">
      <c r="H336" s="8"/>
    </row>
    <row r="337" spans="1:16" s="3" customFormat="1" x14ac:dyDescent="0.3">
      <c r="A337"/>
      <c r="D337"/>
      <c r="E337" s="1"/>
      <c r="F337" s="28"/>
      <c r="G337" s="4"/>
      <c r="H337" s="8"/>
      <c r="J337"/>
      <c r="K337" s="37"/>
      <c r="L337" s="37"/>
      <c r="M337" s="4"/>
      <c r="N337" s="4"/>
      <c r="O337"/>
      <c r="P337"/>
    </row>
    <row r="338" spans="1:16" s="3" customFormat="1" x14ac:dyDescent="0.3">
      <c r="A338"/>
      <c r="D338"/>
      <c r="E338" s="1"/>
      <c r="F338" s="28"/>
      <c r="G338" s="4"/>
      <c r="H338" s="8"/>
      <c r="J338"/>
      <c r="K338" s="37"/>
      <c r="L338" s="37"/>
      <c r="M338" s="4"/>
      <c r="N338" s="4"/>
      <c r="O338"/>
      <c r="P338"/>
    </row>
    <row r="339" spans="1:16" s="3" customFormat="1" x14ac:dyDescent="0.3">
      <c r="A339"/>
      <c r="D339"/>
      <c r="E339" s="1"/>
      <c r="F339" s="28"/>
      <c r="G339" s="4"/>
      <c r="H339" s="8"/>
      <c r="J339"/>
      <c r="K339" s="37"/>
      <c r="L339" s="37"/>
      <c r="M339" s="4"/>
      <c r="N339" s="4"/>
      <c r="O339"/>
      <c r="P339"/>
    </row>
    <row r="340" spans="1:16" s="3" customFormat="1" x14ac:dyDescent="0.3">
      <c r="A340"/>
      <c r="D340"/>
      <c r="E340" s="1"/>
      <c r="F340" s="28"/>
      <c r="G340" s="4"/>
      <c r="H340" s="8"/>
      <c r="J340"/>
      <c r="K340" s="37"/>
      <c r="L340" s="37"/>
      <c r="M340" s="4"/>
      <c r="N340" s="4"/>
      <c r="O340"/>
      <c r="P340"/>
    </row>
  </sheetData>
  <sheetProtection formatCells="0" formatColumns="0" formatRows="0" insertColumns="0"/>
  <autoFilter ref="A3:P327" xr:uid="{00000000-0009-0000-0000-000007000000}"/>
  <mergeCells count="17">
    <mergeCell ref="A2:A3"/>
    <mergeCell ref="B2:B3"/>
    <mergeCell ref="C2:C3"/>
    <mergeCell ref="D2:D3"/>
    <mergeCell ref="E10:F10"/>
    <mergeCell ref="E6:F6"/>
    <mergeCell ref="E2:E3"/>
    <mergeCell ref="F2:F3"/>
    <mergeCell ref="G2:H2"/>
    <mergeCell ref="I2:I3"/>
    <mergeCell ref="P2:P3"/>
    <mergeCell ref="J2:J3"/>
    <mergeCell ref="K2:K3"/>
    <mergeCell ref="L2:L3"/>
    <mergeCell ref="M2:M3"/>
    <mergeCell ref="N2:N3"/>
    <mergeCell ref="O2:O3"/>
  </mergeCells>
  <phoneticPr fontId="2" type="noConversion"/>
  <conditionalFormatting sqref="H4:H318">
    <cfRule type="cellIs" dxfId="6" priority="1" operator="greaterThan">
      <formula>50000000</formula>
    </cfRule>
  </conditionalFormatting>
  <conditionalFormatting sqref="P1:P1048576">
    <cfRule type="containsText" dxfId="5" priority="76" operator="containsText" text="원도급">
      <formula>NOT(ISERROR(SEARCH("원도급",P1)))</formula>
    </cfRule>
    <cfRule type="containsText" dxfId="4" priority="77" operator="containsText" text="하도급">
      <formula>NOT(ISERROR(SEARCH("하도급",P1)))</formula>
    </cfRule>
  </conditionalFormatting>
  <hyperlinks>
    <hyperlink ref="L7" r:id="rId1" display="\\Desktop-yang\e\(주)대호스토퍼\0영업사항(견적서)\AA지역별 견적현황\2021년\전라남도\광양공업용수도(450A, 1650A)-수공여수권, 남경중공업(450A),동남종합건설(1650A)\(고흥)남계어울마당 450AxD-D-고흥군,경성건설" xr:uid="{00000000-0004-0000-0700-000000000000}"/>
    <hyperlink ref="L5" r:id="rId2" display="\\Desktop-yang\e\(주)대호스토퍼\0영업사항(견적서)\AA지역별 견적현황\2021년\충청북도\충주(이천~문경, 200A~1350A)-한국철도시설공단,현대건설,대성기공" xr:uid="{00000000-0004-0000-0700-000001000000}"/>
    <hyperlink ref="L4" r:id="rId3" display="\\Desktop-yang\e\(주)대호스토퍼\0영업사항(견적서)\AA지역별 견적현황\2022년\경상북도\포항공업용수도2차(1350A PC관 외)-수공,화인종합건설\" xr:uid="{00000000-0004-0000-0700-000002000000}"/>
    <hyperlink ref="L8" r:id="rId4" display="\\Desktop-yang\e\(주)대호스토퍼\0영업사항(견적서)\AA지역별 견적현황\2021년\전라남도\광양공업용수도(450A, 1650A)-수공여수권, 남경중공업(450A),동남종합건설(1650A)\(고흥)남계어울마당 450AxD-D-고흥군,경성건설" xr:uid="{00000000-0004-0000-0700-000003000000}"/>
    <hyperlink ref="L9" r:id="rId5" display="\\Desktop-yang\e\(주)대호스토퍼\0영업사항(견적서)\AA지역별 견적현황\2021년\전라남도\광양공업용수도(450A, 1650A)-수공여수권, 남경중공업(450A),동남종합건설(1650A)\(고흥)남계어울마당 450AxD-D-고흥군,경성건설" xr:uid="{00000000-0004-0000-0700-000004000000}"/>
  </hyperlinks>
  <pageMargins left="0.70866141732283472" right="0.70866141732283472" top="0.74803149606299213" bottom="0.74803149606299213" header="0.31496062992125984" footer="0.31496062992125984"/>
  <pageSetup paperSize="9" scale="10" orientation="landscape" verticalDpi="1200"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P341"/>
  <sheetViews>
    <sheetView workbookViewId="0">
      <pane xSplit="4" ySplit="3" topLeftCell="E16" activePane="bottomRight" state="frozen"/>
      <selection pane="topRight" activeCell="C1" sqref="C1"/>
      <selection pane="bottomLeft" activeCell="A4" sqref="A4"/>
      <selection pane="bottomRight" activeCell="F25" sqref="F25"/>
    </sheetView>
  </sheetViews>
  <sheetFormatPr defaultRowHeight="16.5" x14ac:dyDescent="0.3"/>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x14ac:dyDescent="0.3">
      <c r="B1" t="s">
        <v>81</v>
      </c>
    </row>
    <row r="2" spans="1:16" s="14" customFormat="1" ht="16.5" customHeight="1" x14ac:dyDescent="0.3">
      <c r="A2" s="248" t="s">
        <v>0</v>
      </c>
      <c r="B2" s="244" t="s">
        <v>5</v>
      </c>
      <c r="C2" s="244" t="s">
        <v>6</v>
      </c>
      <c r="D2" s="228" t="s">
        <v>1</v>
      </c>
      <c r="E2" s="228" t="s">
        <v>7</v>
      </c>
      <c r="F2" s="229" t="s">
        <v>8</v>
      </c>
      <c r="G2" s="242" t="s">
        <v>9</v>
      </c>
      <c r="H2" s="242"/>
      <c r="I2" s="244" t="s">
        <v>12</v>
      </c>
      <c r="J2" s="228" t="s">
        <v>14</v>
      </c>
      <c r="K2" s="247" t="s">
        <v>22</v>
      </c>
      <c r="L2" s="247" t="s">
        <v>13</v>
      </c>
      <c r="M2" s="230" t="s">
        <v>431</v>
      </c>
      <c r="N2" s="230" t="s">
        <v>425</v>
      </c>
      <c r="O2" s="233" t="s">
        <v>426</v>
      </c>
      <c r="P2" s="257" t="s">
        <v>632</v>
      </c>
    </row>
    <row r="3" spans="1:16" s="14" customFormat="1" x14ac:dyDescent="0.3">
      <c r="A3" s="248"/>
      <c r="B3" s="244"/>
      <c r="C3" s="244"/>
      <c r="D3" s="228"/>
      <c r="E3" s="228"/>
      <c r="F3" s="229"/>
      <c r="G3" s="27" t="s">
        <v>11</v>
      </c>
      <c r="H3" s="27" t="s">
        <v>1237</v>
      </c>
      <c r="I3" s="244"/>
      <c r="J3" s="228"/>
      <c r="K3" s="247"/>
      <c r="L3" s="247"/>
      <c r="M3" s="232"/>
      <c r="N3" s="232"/>
      <c r="O3" s="235"/>
      <c r="P3" s="258"/>
    </row>
    <row r="4" spans="1:16" s="20" customFormat="1" ht="30" hidden="1" customHeight="1" x14ac:dyDescent="0.3">
      <c r="B4" s="17">
        <v>44490</v>
      </c>
      <c r="C4" s="17">
        <v>44532</v>
      </c>
      <c r="D4" s="20" t="s">
        <v>518</v>
      </c>
      <c r="E4" s="15" t="s">
        <v>246</v>
      </c>
      <c r="F4" s="15" t="s">
        <v>245</v>
      </c>
      <c r="G4" s="19">
        <v>60000000</v>
      </c>
      <c r="H4" s="18">
        <f>G4</f>
        <v>60000000</v>
      </c>
      <c r="I4" s="17">
        <v>44588</v>
      </c>
      <c r="J4" s="20" t="s">
        <v>248</v>
      </c>
      <c r="K4" s="22"/>
      <c r="L4" s="38" t="s">
        <v>2599</v>
      </c>
      <c r="M4" s="19">
        <v>86900000</v>
      </c>
      <c r="N4" s="19"/>
    </row>
    <row r="5" spans="1:16" s="20" customFormat="1" ht="30" hidden="1" customHeight="1" x14ac:dyDescent="0.3">
      <c r="B5" s="17">
        <v>44481</v>
      </c>
      <c r="C5" s="17">
        <v>44517</v>
      </c>
      <c r="D5" s="20" t="s">
        <v>511</v>
      </c>
      <c r="E5" s="15" t="s">
        <v>278</v>
      </c>
      <c r="F5" s="29" t="s">
        <v>279</v>
      </c>
      <c r="G5" s="19">
        <v>10000000</v>
      </c>
      <c r="H5" s="18">
        <f t="shared" ref="H5:H10" si="0">G5</f>
        <v>10000000</v>
      </c>
      <c r="I5" s="17">
        <v>44539</v>
      </c>
      <c r="J5" s="20" t="s">
        <v>277</v>
      </c>
      <c r="K5" s="22" t="s">
        <v>510</v>
      </c>
      <c r="L5" s="38" t="s">
        <v>2601</v>
      </c>
      <c r="M5" s="19"/>
      <c r="N5" s="19"/>
    </row>
    <row r="6" spans="1:16" s="20" customFormat="1" ht="30" hidden="1" customHeight="1" x14ac:dyDescent="0.3">
      <c r="B6" s="17">
        <v>44676</v>
      </c>
      <c r="C6" s="17">
        <v>44736</v>
      </c>
      <c r="D6" s="20" t="s">
        <v>852</v>
      </c>
      <c r="E6" s="15" t="s">
        <v>335</v>
      </c>
      <c r="F6" s="29" t="s">
        <v>555</v>
      </c>
      <c r="G6" s="19">
        <v>67300000</v>
      </c>
      <c r="H6" s="18">
        <f t="shared" si="0"/>
        <v>67300000</v>
      </c>
      <c r="I6" s="17"/>
      <c r="J6" s="20" t="s">
        <v>334</v>
      </c>
      <c r="K6" s="22"/>
      <c r="L6" s="38"/>
      <c r="M6" s="19"/>
      <c r="N6" s="19"/>
    </row>
    <row r="7" spans="1:16" s="20" customFormat="1" ht="30" hidden="1" customHeight="1" x14ac:dyDescent="0.3">
      <c r="B7" s="75"/>
      <c r="C7" s="75"/>
      <c r="D7" s="76" t="s">
        <v>1234</v>
      </c>
      <c r="E7" s="287" t="s">
        <v>1235</v>
      </c>
      <c r="F7" s="288"/>
      <c r="G7" s="74"/>
      <c r="H7" s="18">
        <f>H4+H5+H6</f>
        <v>137300000</v>
      </c>
      <c r="I7" s="17"/>
      <c r="K7" s="22"/>
      <c r="L7" s="38"/>
      <c r="M7" s="19"/>
      <c r="N7" s="19"/>
    </row>
    <row r="8" spans="1:16" s="20" customFormat="1" ht="30" hidden="1" customHeight="1" x14ac:dyDescent="0.3">
      <c r="B8" s="17">
        <v>44538</v>
      </c>
      <c r="C8" s="17">
        <v>44559</v>
      </c>
      <c r="D8" s="20" t="s">
        <v>502</v>
      </c>
      <c r="E8" s="15" t="s">
        <v>508</v>
      </c>
      <c r="F8" s="29" t="s">
        <v>506</v>
      </c>
      <c r="G8" s="19">
        <v>44000000</v>
      </c>
      <c r="H8" s="18">
        <f t="shared" si="0"/>
        <v>44000000</v>
      </c>
      <c r="I8" s="17"/>
      <c r="J8" s="20" t="s">
        <v>507</v>
      </c>
      <c r="K8" s="58" t="s">
        <v>686</v>
      </c>
      <c r="L8" s="38" t="s">
        <v>2617</v>
      </c>
      <c r="M8" s="19"/>
      <c r="N8" s="19"/>
      <c r="P8" s="20" t="s">
        <v>634</v>
      </c>
    </row>
    <row r="9" spans="1:16" s="20" customFormat="1" ht="30" hidden="1" customHeight="1" x14ac:dyDescent="0.3">
      <c r="B9" s="17">
        <v>44705</v>
      </c>
      <c r="C9" s="17">
        <v>44748</v>
      </c>
      <c r="D9" s="20" t="s">
        <v>898</v>
      </c>
      <c r="E9" s="15" t="s">
        <v>508</v>
      </c>
      <c r="F9" s="29" t="s">
        <v>506</v>
      </c>
      <c r="G9" s="19">
        <v>44000000</v>
      </c>
      <c r="H9" s="18">
        <f t="shared" si="0"/>
        <v>44000000</v>
      </c>
      <c r="I9" s="17"/>
      <c r="J9" s="20" t="s">
        <v>507</v>
      </c>
      <c r="K9" s="58" t="s">
        <v>686</v>
      </c>
      <c r="L9" s="38" t="s">
        <v>2617</v>
      </c>
      <c r="M9" s="19"/>
      <c r="N9" s="19"/>
    </row>
    <row r="10" spans="1:16" s="20" customFormat="1" ht="30" hidden="1" customHeight="1" x14ac:dyDescent="0.3">
      <c r="B10" s="17">
        <v>44747</v>
      </c>
      <c r="C10" s="17">
        <v>44763</v>
      </c>
      <c r="D10" s="20" t="s">
        <v>980</v>
      </c>
      <c r="E10" s="15" t="s">
        <v>508</v>
      </c>
      <c r="F10" s="29" t="s">
        <v>506</v>
      </c>
      <c r="G10" s="19">
        <v>23000000</v>
      </c>
      <c r="H10" s="18">
        <f t="shared" si="0"/>
        <v>23000000</v>
      </c>
      <c r="I10" s="17"/>
      <c r="J10" s="20" t="s">
        <v>507</v>
      </c>
      <c r="K10" s="58" t="s">
        <v>686</v>
      </c>
      <c r="L10" s="38" t="s">
        <v>2617</v>
      </c>
      <c r="M10" s="19"/>
      <c r="N10" s="19"/>
    </row>
    <row r="11" spans="1:16" s="20" customFormat="1" ht="30" hidden="1" customHeight="1" x14ac:dyDescent="0.3">
      <c r="B11" s="103"/>
      <c r="C11" s="103"/>
      <c r="D11" s="104" t="s">
        <v>1233</v>
      </c>
      <c r="E11" s="289" t="s">
        <v>1238</v>
      </c>
      <c r="F11" s="290"/>
      <c r="G11" s="105"/>
      <c r="H11" s="18">
        <f>H8+H9+H10</f>
        <v>111000000</v>
      </c>
      <c r="I11" s="17"/>
      <c r="K11" s="22"/>
      <c r="L11" s="22"/>
      <c r="M11" s="19"/>
      <c r="N11" s="19"/>
    </row>
    <row r="12" spans="1:16" s="20" customFormat="1" ht="30" hidden="1" customHeight="1" x14ac:dyDescent="0.3">
      <c r="B12" s="17"/>
      <c r="C12" s="17"/>
      <c r="E12" s="15"/>
      <c r="F12" s="29"/>
      <c r="G12" s="19"/>
      <c r="H12" s="18"/>
      <c r="I12" s="17"/>
      <c r="K12" s="22"/>
      <c r="L12" s="22"/>
      <c r="M12" s="19"/>
      <c r="N12" s="19"/>
    </row>
    <row r="13" spans="1:16" s="20" customFormat="1" ht="30" hidden="1" customHeight="1" x14ac:dyDescent="0.3">
      <c r="B13" s="17"/>
      <c r="C13" s="17"/>
      <c r="E13" s="15"/>
      <c r="F13" s="29"/>
      <c r="G13" s="298" t="s">
        <v>1252</v>
      </c>
      <c r="H13" s="299"/>
      <c r="I13" s="17"/>
      <c r="K13" s="22"/>
      <c r="L13" s="22"/>
      <c r="M13" s="19"/>
      <c r="N13" s="19"/>
    </row>
    <row r="14" spans="1:16" s="20" customFormat="1" ht="30" hidden="1" customHeight="1" x14ac:dyDescent="0.3">
      <c r="B14" s="107"/>
      <c r="C14" s="107"/>
      <c r="D14" s="295" t="s">
        <v>1239</v>
      </c>
      <c r="E14" s="296"/>
      <c r="F14" s="297"/>
      <c r="G14" s="108"/>
      <c r="H14" s="106">
        <f>H7-H11</f>
        <v>26300000</v>
      </c>
      <c r="I14" s="17"/>
      <c r="K14" s="22"/>
      <c r="L14" s="22"/>
      <c r="M14" s="19"/>
      <c r="N14" s="19"/>
    </row>
    <row r="15" spans="1:16" s="20" customFormat="1" ht="30" hidden="1" customHeight="1" x14ac:dyDescent="0.3">
      <c r="B15" s="17"/>
      <c r="C15" s="17"/>
      <c r="E15" s="15"/>
      <c r="F15" s="29"/>
      <c r="G15" s="19"/>
      <c r="H15" s="18"/>
      <c r="I15" s="17"/>
      <c r="K15" s="22"/>
      <c r="L15" s="22"/>
      <c r="M15" s="19"/>
      <c r="N15" s="19"/>
    </row>
    <row r="16" spans="1:16" s="20" customFormat="1" ht="30" customHeight="1" x14ac:dyDescent="0.3">
      <c r="B16" s="17">
        <v>45110</v>
      </c>
      <c r="C16" s="17">
        <v>45111</v>
      </c>
      <c r="D16" s="20" t="s">
        <v>1777</v>
      </c>
      <c r="E16" s="15"/>
      <c r="F16" s="29" t="s">
        <v>1736</v>
      </c>
      <c r="G16" s="19"/>
      <c r="H16" s="18"/>
      <c r="I16" s="17"/>
      <c r="K16" s="22"/>
      <c r="L16" s="22"/>
      <c r="M16" s="19"/>
      <c r="N16" s="19"/>
    </row>
    <row r="17" spans="2:14" s="20" customFormat="1" ht="30" customHeight="1" x14ac:dyDescent="0.3">
      <c r="B17" s="17">
        <v>45205</v>
      </c>
      <c r="C17" s="17">
        <v>45227</v>
      </c>
      <c r="D17" s="20" t="s">
        <v>1849</v>
      </c>
      <c r="E17" s="15"/>
      <c r="F17" s="29" t="s">
        <v>1736</v>
      </c>
      <c r="G17" s="19"/>
      <c r="H17" s="18"/>
      <c r="I17" s="17"/>
      <c r="K17" s="22"/>
      <c r="L17" s="22"/>
      <c r="M17" s="19"/>
      <c r="N17" s="19"/>
    </row>
    <row r="18" spans="2:14" s="20" customFormat="1" ht="30" customHeight="1" x14ac:dyDescent="0.3">
      <c r="B18" s="17">
        <v>45253</v>
      </c>
      <c r="C18" s="17"/>
      <c r="D18" s="20" t="s">
        <v>1919</v>
      </c>
      <c r="E18" s="15" t="s">
        <v>1920</v>
      </c>
      <c r="F18" s="29" t="s">
        <v>1736</v>
      </c>
      <c r="G18" s="19"/>
      <c r="H18" s="18"/>
      <c r="I18" s="17"/>
      <c r="K18" s="22"/>
      <c r="L18" s="22"/>
      <c r="M18" s="19"/>
      <c r="N18" s="19"/>
    </row>
    <row r="19" spans="2:14" s="20" customFormat="1" ht="30" customHeight="1" x14ac:dyDescent="0.3">
      <c r="B19" s="103"/>
      <c r="C19" s="103"/>
      <c r="D19" s="104" t="s">
        <v>1233</v>
      </c>
      <c r="E19" s="289"/>
      <c r="F19" s="290"/>
      <c r="G19" s="105"/>
      <c r="H19" s="18">
        <f>H16+H17+H18</f>
        <v>0</v>
      </c>
      <c r="I19" s="17"/>
      <c r="K19" s="22"/>
      <c r="L19" s="22"/>
      <c r="M19" s="19"/>
      <c r="N19" s="19"/>
    </row>
    <row r="20" spans="2:14" s="20" customFormat="1" ht="30" customHeight="1" x14ac:dyDescent="0.3">
      <c r="B20" s="17"/>
      <c r="C20" s="17"/>
      <c r="E20" s="15"/>
      <c r="F20" s="29"/>
      <c r="G20" s="19"/>
      <c r="H20" s="18"/>
      <c r="I20" s="17"/>
      <c r="K20" s="22"/>
      <c r="L20" s="22"/>
      <c r="M20" s="19"/>
      <c r="N20" s="19"/>
    </row>
    <row r="21" spans="2:14" s="20" customFormat="1" ht="17.100000000000001" customHeight="1" x14ac:dyDescent="0.3">
      <c r="B21" s="17"/>
      <c r="C21" s="17"/>
      <c r="E21" s="15"/>
      <c r="F21" s="29"/>
      <c r="G21" s="19"/>
      <c r="H21" s="18"/>
      <c r="I21" s="17"/>
      <c r="K21" s="22"/>
      <c r="L21" s="22"/>
      <c r="M21" s="19"/>
      <c r="N21" s="19"/>
    </row>
    <row r="22" spans="2:14" s="20" customFormat="1" ht="17.100000000000001" customHeight="1" x14ac:dyDescent="0.3">
      <c r="B22" s="17"/>
      <c r="C22" s="17"/>
      <c r="E22" s="15"/>
      <c r="F22" s="29"/>
      <c r="G22" s="19"/>
      <c r="H22" s="18"/>
      <c r="I22" s="17"/>
      <c r="K22" s="22"/>
      <c r="L22" s="22"/>
      <c r="M22" s="19"/>
      <c r="N22" s="19"/>
    </row>
    <row r="23" spans="2:14" s="20" customFormat="1" ht="17.100000000000001" customHeight="1" x14ac:dyDescent="0.3">
      <c r="B23" s="17"/>
      <c r="C23" s="17"/>
      <c r="E23" s="15"/>
      <c r="F23" s="29"/>
      <c r="G23" s="19"/>
      <c r="H23" s="18"/>
      <c r="I23" s="17"/>
      <c r="K23" s="22"/>
      <c r="L23" s="22"/>
      <c r="M23" s="19"/>
      <c r="N23" s="19"/>
    </row>
    <row r="24" spans="2:14" s="20" customFormat="1" ht="17.100000000000001" customHeight="1" x14ac:dyDescent="0.3">
      <c r="B24" s="17"/>
      <c r="C24" s="17"/>
      <c r="E24" s="15"/>
      <c r="F24" s="29"/>
      <c r="G24" s="19"/>
      <c r="H24" s="18"/>
      <c r="I24" s="17"/>
      <c r="K24" s="22"/>
      <c r="L24" s="22"/>
      <c r="M24" s="19"/>
      <c r="N24" s="19"/>
    </row>
    <row r="25" spans="2:14" s="20" customFormat="1" ht="17.100000000000001" customHeight="1" x14ac:dyDescent="0.3">
      <c r="B25" s="17"/>
      <c r="C25" s="17"/>
      <c r="E25" s="15"/>
      <c r="F25" s="29"/>
      <c r="G25" s="19"/>
      <c r="H25" s="18"/>
      <c r="I25" s="17"/>
      <c r="K25" s="22"/>
      <c r="L25" s="22"/>
      <c r="M25" s="19"/>
      <c r="N25" s="19"/>
    </row>
    <row r="26" spans="2:14" s="20" customFormat="1" ht="17.100000000000001" customHeight="1" x14ac:dyDescent="0.3">
      <c r="B26" s="17"/>
      <c r="C26" s="17"/>
      <c r="E26" s="15"/>
      <c r="F26" s="29"/>
      <c r="G26" s="19"/>
      <c r="H26" s="18"/>
      <c r="I26" s="17"/>
      <c r="K26" s="22"/>
      <c r="L26" s="22"/>
      <c r="M26" s="19"/>
      <c r="N26" s="19"/>
    </row>
    <row r="27" spans="2:14" s="20" customFormat="1" ht="17.100000000000001" customHeight="1" x14ac:dyDescent="0.3">
      <c r="B27" s="17"/>
      <c r="C27" s="17"/>
      <c r="E27" s="15"/>
      <c r="F27" s="29"/>
      <c r="G27" s="19"/>
      <c r="H27" s="18"/>
      <c r="I27" s="17"/>
      <c r="K27" s="22"/>
      <c r="L27" s="22"/>
      <c r="M27" s="19"/>
      <c r="N27" s="19"/>
    </row>
    <row r="28" spans="2:14" s="20" customFormat="1" ht="17.100000000000001" customHeight="1" x14ac:dyDescent="0.3">
      <c r="B28" s="17"/>
      <c r="C28" s="17"/>
      <c r="E28" s="15"/>
      <c r="F28" s="29"/>
      <c r="G28" s="19"/>
      <c r="H28" s="18"/>
      <c r="I28" s="17"/>
      <c r="K28" s="22"/>
      <c r="L28" s="22"/>
      <c r="M28" s="19"/>
      <c r="N28" s="19"/>
    </row>
    <row r="29" spans="2:14" s="20" customFormat="1" ht="17.100000000000001" customHeight="1" x14ac:dyDescent="0.3">
      <c r="B29" s="17"/>
      <c r="C29" s="17"/>
      <c r="E29" s="15"/>
      <c r="F29" s="29"/>
      <c r="G29" s="19"/>
      <c r="H29" s="18"/>
      <c r="I29" s="17"/>
      <c r="K29" s="22"/>
      <c r="L29" s="22"/>
      <c r="M29" s="19"/>
      <c r="N29" s="19"/>
    </row>
    <row r="30" spans="2:14" s="20" customFormat="1" ht="17.100000000000001" customHeight="1" x14ac:dyDescent="0.3">
      <c r="B30" s="17"/>
      <c r="C30" s="17"/>
      <c r="E30" s="15"/>
      <c r="F30" s="29"/>
      <c r="G30" s="19"/>
      <c r="H30" s="18"/>
      <c r="I30" s="17"/>
      <c r="K30" s="22"/>
      <c r="L30" s="22"/>
      <c r="M30" s="19"/>
      <c r="N30" s="19"/>
    </row>
    <row r="31" spans="2:14" s="20" customFormat="1" ht="17.100000000000001" customHeight="1" x14ac:dyDescent="0.3">
      <c r="B31" s="17"/>
      <c r="C31" s="17"/>
      <c r="E31" s="15"/>
      <c r="F31" s="29"/>
      <c r="G31" s="19"/>
      <c r="H31" s="18"/>
      <c r="I31" s="17"/>
      <c r="K31" s="22"/>
      <c r="L31" s="22"/>
      <c r="M31" s="19"/>
      <c r="N31" s="19"/>
    </row>
    <row r="32" spans="2:14" s="20" customFormat="1" ht="17.100000000000001" customHeight="1" x14ac:dyDescent="0.3">
      <c r="B32" s="17"/>
      <c r="C32" s="17"/>
      <c r="E32" s="15"/>
      <c r="F32" s="29"/>
      <c r="G32" s="19"/>
      <c r="H32" s="18"/>
      <c r="I32" s="17"/>
      <c r="K32" s="22"/>
      <c r="L32" s="22"/>
      <c r="M32" s="19"/>
      <c r="N32" s="19"/>
    </row>
    <row r="33" spans="2:14" s="20" customFormat="1" ht="17.100000000000001" customHeight="1" x14ac:dyDescent="0.3">
      <c r="B33" s="17"/>
      <c r="C33" s="17"/>
      <c r="E33" s="15"/>
      <c r="F33" s="29"/>
      <c r="G33" s="19"/>
      <c r="H33" s="18"/>
      <c r="I33" s="17"/>
      <c r="K33" s="22"/>
      <c r="L33" s="22"/>
      <c r="M33" s="19"/>
      <c r="N33" s="19"/>
    </row>
    <row r="34" spans="2:14" s="20" customFormat="1" ht="17.100000000000001" customHeight="1" x14ac:dyDescent="0.3">
      <c r="B34" s="17"/>
      <c r="C34" s="17"/>
      <c r="E34" s="15"/>
      <c r="F34" s="29"/>
      <c r="G34" s="19"/>
      <c r="H34" s="18"/>
      <c r="I34" s="17"/>
      <c r="K34" s="22"/>
      <c r="L34" s="22"/>
      <c r="M34" s="19"/>
      <c r="N34" s="19"/>
    </row>
    <row r="35" spans="2:14" s="20" customFormat="1" ht="17.100000000000001" customHeight="1" x14ac:dyDescent="0.3">
      <c r="B35" s="17"/>
      <c r="C35" s="17"/>
      <c r="E35" s="15"/>
      <c r="F35" s="29"/>
      <c r="G35" s="19"/>
      <c r="H35" s="18"/>
      <c r="I35" s="17"/>
      <c r="K35" s="22"/>
      <c r="L35" s="22"/>
      <c r="M35" s="19"/>
      <c r="N35" s="19"/>
    </row>
    <row r="36" spans="2:14" s="20" customFormat="1" ht="17.100000000000001" customHeight="1" x14ac:dyDescent="0.3">
      <c r="B36" s="17"/>
      <c r="C36" s="17"/>
      <c r="E36" s="15"/>
      <c r="F36" s="29"/>
      <c r="G36" s="19"/>
      <c r="H36" s="18"/>
      <c r="I36" s="17"/>
      <c r="K36" s="22"/>
      <c r="L36" s="22"/>
      <c r="M36" s="19"/>
      <c r="N36" s="19"/>
    </row>
    <row r="37" spans="2:14" s="20" customFormat="1" ht="17.100000000000001" customHeight="1" x14ac:dyDescent="0.3">
      <c r="B37" s="17"/>
      <c r="C37" s="17"/>
      <c r="E37" s="15"/>
      <c r="F37" s="29"/>
      <c r="G37" s="19"/>
      <c r="H37" s="18"/>
      <c r="I37" s="17"/>
      <c r="K37" s="22"/>
      <c r="L37" s="22"/>
      <c r="M37" s="19"/>
      <c r="N37" s="19"/>
    </row>
    <row r="38" spans="2:14" s="20" customFormat="1" ht="17.100000000000001" customHeight="1" x14ac:dyDescent="0.3">
      <c r="B38" s="17"/>
      <c r="C38" s="17"/>
      <c r="E38" s="15"/>
      <c r="F38" s="29"/>
      <c r="G38" s="19"/>
      <c r="H38" s="18"/>
      <c r="I38" s="17"/>
      <c r="K38" s="22"/>
      <c r="L38" s="22"/>
      <c r="M38" s="19"/>
      <c r="N38" s="19"/>
    </row>
    <row r="39" spans="2:14" s="20" customFormat="1" ht="17.100000000000001" customHeight="1" x14ac:dyDescent="0.3">
      <c r="B39" s="17"/>
      <c r="C39" s="17"/>
      <c r="E39" s="15"/>
      <c r="F39" s="29"/>
      <c r="G39" s="19"/>
      <c r="H39" s="18"/>
      <c r="I39" s="17"/>
      <c r="K39" s="22"/>
      <c r="L39" s="22"/>
      <c r="M39" s="19"/>
      <c r="N39" s="19"/>
    </row>
    <row r="40" spans="2:14" s="20" customFormat="1" ht="17.100000000000001" customHeight="1" x14ac:dyDescent="0.3">
      <c r="B40" s="17"/>
      <c r="C40" s="17"/>
      <c r="E40" s="15"/>
      <c r="F40" s="29"/>
      <c r="G40" s="19"/>
      <c r="H40" s="18"/>
      <c r="I40" s="17"/>
      <c r="K40" s="22"/>
      <c r="L40" s="22"/>
      <c r="M40" s="19"/>
      <c r="N40" s="19"/>
    </row>
    <row r="41" spans="2:14" s="20" customFormat="1" ht="17.100000000000001" customHeight="1" x14ac:dyDescent="0.3">
      <c r="B41" s="17"/>
      <c r="C41" s="17"/>
      <c r="E41" s="15"/>
      <c r="F41" s="29"/>
      <c r="G41" s="19"/>
      <c r="H41" s="18"/>
      <c r="I41" s="17"/>
      <c r="K41" s="22"/>
      <c r="L41" s="22"/>
      <c r="M41" s="19"/>
      <c r="N41" s="19"/>
    </row>
    <row r="42" spans="2:14" s="20" customFormat="1" ht="17.100000000000001" customHeight="1" x14ac:dyDescent="0.3">
      <c r="B42" s="17"/>
      <c r="C42" s="17"/>
      <c r="E42" s="15"/>
      <c r="F42" s="29"/>
      <c r="G42" s="19"/>
      <c r="H42" s="18"/>
      <c r="I42" s="17"/>
      <c r="K42" s="22"/>
      <c r="L42" s="22"/>
      <c r="M42" s="19"/>
      <c r="N42" s="19"/>
    </row>
    <row r="43" spans="2:14" s="20" customFormat="1" ht="17.100000000000001" customHeight="1" x14ac:dyDescent="0.3">
      <c r="B43" s="17"/>
      <c r="C43" s="17"/>
      <c r="E43" s="15"/>
      <c r="F43" s="29"/>
      <c r="G43" s="19"/>
      <c r="H43" s="18"/>
      <c r="I43" s="17"/>
      <c r="K43" s="22"/>
      <c r="L43" s="22"/>
      <c r="M43" s="19"/>
      <c r="N43" s="19"/>
    </row>
    <row r="44" spans="2:14" s="20" customFormat="1" ht="17.100000000000001" customHeight="1" x14ac:dyDescent="0.3">
      <c r="B44" s="17"/>
      <c r="C44" s="17"/>
      <c r="E44" s="15"/>
      <c r="F44" s="29"/>
      <c r="G44" s="19"/>
      <c r="H44" s="18"/>
      <c r="I44" s="17"/>
      <c r="K44" s="22"/>
      <c r="L44" s="22"/>
      <c r="M44" s="19"/>
      <c r="N44" s="19"/>
    </row>
    <row r="45" spans="2:14" s="20" customFormat="1" ht="17.100000000000001" customHeight="1" x14ac:dyDescent="0.3">
      <c r="B45" s="17"/>
      <c r="C45" s="17"/>
      <c r="E45" s="15"/>
      <c r="F45" s="29"/>
      <c r="G45" s="19"/>
      <c r="H45" s="18"/>
      <c r="I45" s="17"/>
      <c r="K45" s="22"/>
      <c r="L45" s="22"/>
      <c r="M45" s="19"/>
      <c r="N45" s="19"/>
    </row>
    <row r="46" spans="2:14" s="20" customFormat="1" ht="17.100000000000001" customHeight="1" x14ac:dyDescent="0.3">
      <c r="B46" s="17"/>
      <c r="C46" s="17"/>
      <c r="E46" s="15"/>
      <c r="F46" s="29"/>
      <c r="G46" s="19"/>
      <c r="H46" s="18"/>
      <c r="I46" s="17"/>
      <c r="K46" s="22"/>
      <c r="L46" s="22"/>
      <c r="M46" s="19"/>
      <c r="N46" s="19"/>
    </row>
    <row r="47" spans="2:14" s="20" customFormat="1" ht="17.100000000000001" customHeight="1" x14ac:dyDescent="0.3">
      <c r="B47" s="17"/>
      <c r="C47" s="17"/>
      <c r="E47" s="15"/>
      <c r="F47" s="29"/>
      <c r="G47" s="19"/>
      <c r="H47" s="18"/>
      <c r="I47" s="17"/>
      <c r="K47" s="22"/>
      <c r="L47" s="22"/>
      <c r="M47" s="19"/>
      <c r="N47" s="19"/>
    </row>
    <row r="48" spans="2:14" s="20" customFormat="1" ht="17.100000000000001" customHeight="1" x14ac:dyDescent="0.3">
      <c r="B48" s="17"/>
      <c r="C48" s="17"/>
      <c r="E48" s="15"/>
      <c r="F48" s="29"/>
      <c r="G48" s="19"/>
      <c r="H48" s="18"/>
      <c r="I48" s="17"/>
      <c r="K48" s="22"/>
      <c r="L48" s="22"/>
      <c r="M48" s="19"/>
      <c r="N48" s="19"/>
    </row>
    <row r="49" spans="2:14" s="20" customFormat="1" ht="17.100000000000001" customHeight="1" x14ac:dyDescent="0.3">
      <c r="B49" s="17"/>
      <c r="C49" s="17"/>
      <c r="E49" s="15"/>
      <c r="F49" s="29"/>
      <c r="G49" s="19"/>
      <c r="H49" s="18"/>
      <c r="I49" s="17"/>
      <c r="K49" s="22"/>
      <c r="L49" s="22"/>
      <c r="M49" s="19"/>
      <c r="N49" s="19"/>
    </row>
    <row r="50" spans="2:14" s="20" customFormat="1" ht="17.100000000000001" customHeight="1" x14ac:dyDescent="0.3">
      <c r="B50" s="17"/>
      <c r="C50" s="17"/>
      <c r="E50" s="15"/>
      <c r="F50" s="29"/>
      <c r="G50" s="19"/>
      <c r="H50" s="18"/>
      <c r="I50" s="17"/>
      <c r="K50" s="22"/>
      <c r="L50" s="22"/>
      <c r="M50" s="19"/>
      <c r="N50" s="19"/>
    </row>
    <row r="51" spans="2:14" s="20" customFormat="1" ht="17.100000000000001" customHeight="1" x14ac:dyDescent="0.3">
      <c r="B51" s="17"/>
      <c r="C51" s="17"/>
      <c r="E51" s="15"/>
      <c r="F51" s="29"/>
      <c r="G51" s="19"/>
      <c r="H51" s="18"/>
      <c r="I51" s="17"/>
      <c r="K51" s="22"/>
      <c r="L51" s="22"/>
      <c r="M51" s="19"/>
      <c r="N51" s="19"/>
    </row>
    <row r="52" spans="2:14" s="20" customFormat="1" ht="17.100000000000001" customHeight="1" x14ac:dyDescent="0.3">
      <c r="B52" s="17"/>
      <c r="C52" s="17"/>
      <c r="E52" s="15"/>
      <c r="F52" s="29"/>
      <c r="G52" s="19"/>
      <c r="H52" s="18"/>
      <c r="I52" s="17"/>
      <c r="K52" s="22"/>
      <c r="L52" s="22"/>
      <c r="M52" s="19"/>
      <c r="N52" s="19"/>
    </row>
    <row r="53" spans="2:14" s="20" customFormat="1" ht="17.100000000000001" customHeight="1" x14ac:dyDescent="0.3">
      <c r="B53" s="17"/>
      <c r="C53" s="17"/>
      <c r="E53" s="15"/>
      <c r="F53" s="29"/>
      <c r="G53" s="19"/>
      <c r="H53" s="18"/>
      <c r="I53" s="17"/>
      <c r="K53" s="22"/>
      <c r="L53" s="22"/>
      <c r="M53" s="19"/>
      <c r="N53" s="19"/>
    </row>
    <row r="54" spans="2:14" s="20" customFormat="1" ht="17.100000000000001" customHeight="1" x14ac:dyDescent="0.3">
      <c r="B54" s="17"/>
      <c r="C54" s="17"/>
      <c r="E54" s="15"/>
      <c r="F54" s="29"/>
      <c r="G54" s="19"/>
      <c r="H54" s="18"/>
      <c r="I54" s="17"/>
      <c r="K54" s="22"/>
      <c r="L54" s="22"/>
      <c r="M54" s="19"/>
      <c r="N54" s="19"/>
    </row>
    <row r="55" spans="2:14" s="20" customFormat="1" ht="17.100000000000001" customHeight="1" x14ac:dyDescent="0.3">
      <c r="B55" s="17"/>
      <c r="C55" s="17"/>
      <c r="E55" s="15"/>
      <c r="F55" s="29"/>
      <c r="G55" s="19"/>
      <c r="H55" s="18"/>
      <c r="I55" s="17"/>
      <c r="K55" s="22"/>
      <c r="L55" s="22"/>
      <c r="M55" s="19"/>
      <c r="N55" s="19"/>
    </row>
    <row r="56" spans="2:14" s="20" customFormat="1" ht="17.100000000000001" customHeight="1" x14ac:dyDescent="0.3">
      <c r="B56" s="17"/>
      <c r="C56" s="17"/>
      <c r="E56" s="15"/>
      <c r="F56" s="29"/>
      <c r="G56" s="19"/>
      <c r="H56" s="18"/>
      <c r="I56" s="17"/>
      <c r="K56" s="22"/>
      <c r="L56" s="22"/>
      <c r="M56" s="19"/>
      <c r="N56" s="19"/>
    </row>
    <row r="57" spans="2:14" s="20" customFormat="1" ht="17.100000000000001" customHeight="1" x14ac:dyDescent="0.3">
      <c r="B57" s="17"/>
      <c r="C57" s="17"/>
      <c r="E57" s="15"/>
      <c r="F57" s="29"/>
      <c r="G57" s="19"/>
      <c r="H57" s="18"/>
      <c r="I57" s="17"/>
      <c r="K57" s="22"/>
      <c r="L57" s="22"/>
      <c r="M57" s="19"/>
      <c r="N57" s="19"/>
    </row>
    <row r="58" spans="2:14" s="20" customFormat="1" ht="17.100000000000001" customHeight="1" x14ac:dyDescent="0.3">
      <c r="B58" s="17"/>
      <c r="C58" s="17"/>
      <c r="E58" s="15"/>
      <c r="F58" s="29"/>
      <c r="G58" s="19"/>
      <c r="H58" s="18"/>
      <c r="I58" s="17"/>
      <c r="K58" s="22"/>
      <c r="L58" s="22"/>
      <c r="M58" s="19"/>
      <c r="N58" s="19"/>
    </row>
    <row r="59" spans="2:14" s="20" customFormat="1" ht="17.100000000000001" customHeight="1" x14ac:dyDescent="0.3">
      <c r="B59" s="17"/>
      <c r="C59" s="17"/>
      <c r="E59" s="15"/>
      <c r="F59" s="29"/>
      <c r="G59" s="19"/>
      <c r="H59" s="18"/>
      <c r="I59" s="17"/>
      <c r="K59" s="22"/>
      <c r="L59" s="22"/>
      <c r="M59" s="19"/>
      <c r="N59" s="19"/>
    </row>
    <row r="60" spans="2:14" s="20" customFormat="1" ht="17.100000000000001" customHeight="1" x14ac:dyDescent="0.3">
      <c r="B60" s="17"/>
      <c r="C60" s="17"/>
      <c r="E60" s="15"/>
      <c r="F60" s="29"/>
      <c r="G60" s="19"/>
      <c r="H60" s="18"/>
      <c r="I60" s="17"/>
      <c r="K60" s="22"/>
      <c r="L60" s="22"/>
      <c r="M60" s="19"/>
      <c r="N60" s="19"/>
    </row>
    <row r="61" spans="2:14" s="20" customFormat="1" ht="17.100000000000001" customHeight="1" x14ac:dyDescent="0.3">
      <c r="B61" s="17"/>
      <c r="C61" s="17"/>
      <c r="E61" s="15"/>
      <c r="F61" s="29"/>
      <c r="G61" s="19"/>
      <c r="H61" s="18"/>
      <c r="I61" s="17"/>
      <c r="K61" s="22"/>
      <c r="L61" s="22"/>
      <c r="M61" s="19"/>
      <c r="N61" s="19"/>
    </row>
    <row r="62" spans="2:14" s="20" customFormat="1" ht="17.100000000000001" customHeight="1" x14ac:dyDescent="0.3">
      <c r="B62" s="17"/>
      <c r="C62" s="17"/>
      <c r="E62" s="15"/>
      <c r="F62" s="29"/>
      <c r="G62" s="19"/>
      <c r="H62" s="18"/>
      <c r="I62" s="17"/>
      <c r="K62" s="22"/>
      <c r="L62" s="22"/>
      <c r="M62" s="19"/>
      <c r="N62" s="19"/>
    </row>
    <row r="63" spans="2:14" s="20" customFormat="1" ht="17.100000000000001" customHeight="1" x14ac:dyDescent="0.3">
      <c r="B63" s="17"/>
      <c r="C63" s="17"/>
      <c r="E63" s="15"/>
      <c r="F63" s="29"/>
      <c r="G63" s="19"/>
      <c r="H63" s="18"/>
      <c r="I63" s="17"/>
      <c r="K63" s="22"/>
      <c r="L63" s="22"/>
      <c r="M63" s="19"/>
      <c r="N63" s="19"/>
    </row>
    <row r="64" spans="2:14" s="20" customFormat="1" ht="17.100000000000001" customHeight="1" x14ac:dyDescent="0.3">
      <c r="B64" s="17"/>
      <c r="C64" s="17"/>
      <c r="E64" s="15"/>
      <c r="F64" s="29"/>
      <c r="G64" s="19"/>
      <c r="H64" s="18"/>
      <c r="I64" s="17"/>
      <c r="K64" s="22"/>
      <c r="L64" s="22"/>
      <c r="M64" s="19"/>
      <c r="N64" s="19"/>
    </row>
    <row r="65" spans="2:14" s="20" customFormat="1" ht="17.100000000000001" customHeight="1" x14ac:dyDescent="0.3">
      <c r="B65" s="17"/>
      <c r="C65" s="17"/>
      <c r="E65" s="15"/>
      <c r="F65" s="29"/>
      <c r="G65" s="19"/>
      <c r="H65" s="18"/>
      <c r="I65" s="17"/>
      <c r="K65" s="22"/>
      <c r="L65" s="22"/>
      <c r="M65" s="19"/>
      <c r="N65" s="19"/>
    </row>
    <row r="66" spans="2:14" s="20" customFormat="1" ht="17.100000000000001" customHeight="1" x14ac:dyDescent="0.3">
      <c r="B66" s="17"/>
      <c r="C66" s="17"/>
      <c r="E66" s="15"/>
      <c r="F66" s="29"/>
      <c r="G66" s="19"/>
      <c r="H66" s="18"/>
      <c r="I66" s="17"/>
      <c r="K66" s="22"/>
      <c r="L66" s="22"/>
      <c r="M66" s="19"/>
      <c r="N66" s="19"/>
    </row>
    <row r="67" spans="2:14" s="20" customFormat="1" ht="17.100000000000001" customHeight="1" x14ac:dyDescent="0.3">
      <c r="B67" s="17"/>
      <c r="C67" s="17"/>
      <c r="E67" s="15"/>
      <c r="F67" s="29"/>
      <c r="G67" s="19"/>
      <c r="H67" s="18"/>
      <c r="I67" s="17"/>
      <c r="K67" s="22"/>
      <c r="L67" s="22"/>
      <c r="M67" s="19"/>
      <c r="N67" s="19"/>
    </row>
    <row r="68" spans="2:14" s="20" customFormat="1" ht="17.100000000000001" customHeight="1" x14ac:dyDescent="0.3">
      <c r="B68" s="17"/>
      <c r="C68" s="17"/>
      <c r="E68" s="15"/>
      <c r="F68" s="29"/>
      <c r="G68" s="19"/>
      <c r="H68" s="18"/>
      <c r="I68" s="17"/>
      <c r="K68" s="22"/>
      <c r="L68" s="22"/>
      <c r="M68" s="19"/>
      <c r="N68" s="19"/>
    </row>
    <row r="69" spans="2:14" s="20" customFormat="1" ht="17.100000000000001" customHeight="1" x14ac:dyDescent="0.3">
      <c r="B69" s="17"/>
      <c r="C69" s="17"/>
      <c r="E69" s="15"/>
      <c r="F69" s="29"/>
      <c r="G69" s="19"/>
      <c r="H69" s="18"/>
      <c r="I69" s="17"/>
      <c r="K69" s="22"/>
      <c r="L69" s="22"/>
      <c r="M69" s="19"/>
      <c r="N69" s="19"/>
    </row>
    <row r="70" spans="2:14" s="20" customFormat="1" ht="17.100000000000001" customHeight="1" x14ac:dyDescent="0.3">
      <c r="B70" s="17"/>
      <c r="C70" s="17"/>
      <c r="E70" s="15"/>
      <c r="F70" s="29"/>
      <c r="G70" s="19"/>
      <c r="H70" s="18"/>
      <c r="I70" s="17"/>
      <c r="K70" s="22"/>
      <c r="L70" s="22"/>
      <c r="M70" s="19"/>
      <c r="N70" s="19"/>
    </row>
    <row r="71" spans="2:14" s="20" customFormat="1" ht="17.100000000000001" customHeight="1" x14ac:dyDescent="0.3">
      <c r="B71" s="17"/>
      <c r="C71" s="17"/>
      <c r="E71" s="15"/>
      <c r="F71" s="29"/>
      <c r="G71" s="19"/>
      <c r="H71" s="18"/>
      <c r="I71" s="17"/>
      <c r="K71" s="22"/>
      <c r="L71" s="22"/>
      <c r="M71" s="19"/>
      <c r="N71" s="19"/>
    </row>
    <row r="72" spans="2:14" s="20" customFormat="1" ht="17.100000000000001" customHeight="1" x14ac:dyDescent="0.3">
      <c r="B72" s="17"/>
      <c r="C72" s="17"/>
      <c r="E72" s="15"/>
      <c r="F72" s="29"/>
      <c r="G72" s="19"/>
      <c r="H72" s="18"/>
      <c r="I72" s="17"/>
      <c r="K72" s="22"/>
      <c r="L72" s="22"/>
      <c r="M72" s="19"/>
      <c r="N72" s="19"/>
    </row>
    <row r="73" spans="2:14" s="20" customFormat="1" ht="17.100000000000001" customHeight="1" x14ac:dyDescent="0.3">
      <c r="B73" s="17"/>
      <c r="C73" s="17"/>
      <c r="E73" s="15"/>
      <c r="F73" s="29"/>
      <c r="G73" s="19"/>
      <c r="H73" s="18"/>
      <c r="I73" s="17"/>
      <c r="K73" s="22"/>
      <c r="L73" s="22"/>
      <c r="M73" s="19"/>
      <c r="N73" s="19"/>
    </row>
    <row r="74" spans="2:14" s="20" customFormat="1" ht="17.100000000000001" customHeight="1" x14ac:dyDescent="0.3">
      <c r="B74" s="17"/>
      <c r="C74" s="17"/>
      <c r="E74" s="15"/>
      <c r="F74" s="29"/>
      <c r="G74" s="19"/>
      <c r="H74" s="18"/>
      <c r="I74" s="17"/>
      <c r="K74" s="22"/>
      <c r="L74" s="22"/>
      <c r="M74" s="19"/>
      <c r="N74" s="19"/>
    </row>
    <row r="75" spans="2:14" s="20" customFormat="1" ht="17.100000000000001" customHeight="1" x14ac:dyDescent="0.3">
      <c r="B75" s="17"/>
      <c r="C75" s="17"/>
      <c r="E75" s="15"/>
      <c r="F75" s="29"/>
      <c r="G75" s="19"/>
      <c r="H75" s="18"/>
      <c r="I75" s="17"/>
      <c r="K75" s="22"/>
      <c r="L75" s="22"/>
      <c r="M75" s="19"/>
      <c r="N75" s="19"/>
    </row>
    <row r="76" spans="2:14" s="20" customFormat="1" ht="17.100000000000001" customHeight="1" x14ac:dyDescent="0.3">
      <c r="B76" s="17"/>
      <c r="C76" s="17"/>
      <c r="E76" s="15"/>
      <c r="F76" s="29"/>
      <c r="G76" s="19"/>
      <c r="H76" s="18"/>
      <c r="I76" s="17"/>
      <c r="K76" s="22"/>
      <c r="L76" s="22"/>
      <c r="M76" s="19"/>
      <c r="N76" s="19"/>
    </row>
    <row r="77" spans="2:14" s="20" customFormat="1" ht="17.100000000000001" customHeight="1" x14ac:dyDescent="0.3">
      <c r="B77" s="17"/>
      <c r="C77" s="17"/>
      <c r="E77" s="15"/>
      <c r="F77" s="29"/>
      <c r="G77" s="19"/>
      <c r="H77" s="18"/>
      <c r="I77" s="17"/>
      <c r="K77" s="22"/>
      <c r="L77" s="22"/>
      <c r="M77" s="19"/>
      <c r="N77" s="19"/>
    </row>
    <row r="78" spans="2:14" s="20" customFormat="1" ht="17.100000000000001" customHeight="1" x14ac:dyDescent="0.3">
      <c r="B78" s="17"/>
      <c r="C78" s="17"/>
      <c r="E78" s="15"/>
      <c r="F78" s="29"/>
      <c r="G78" s="19"/>
      <c r="H78" s="18"/>
      <c r="I78" s="17"/>
      <c r="K78" s="22"/>
      <c r="L78" s="22"/>
      <c r="M78" s="19"/>
      <c r="N78" s="19"/>
    </row>
    <row r="79" spans="2:14" s="20" customFormat="1" ht="17.100000000000001" customHeight="1" x14ac:dyDescent="0.3">
      <c r="B79" s="17"/>
      <c r="C79" s="17"/>
      <c r="E79" s="15"/>
      <c r="F79" s="29"/>
      <c r="G79" s="19"/>
      <c r="H79" s="18"/>
      <c r="I79" s="17"/>
      <c r="K79" s="22"/>
      <c r="L79" s="22"/>
      <c r="M79" s="19"/>
      <c r="N79" s="19"/>
    </row>
    <row r="80" spans="2:14" s="20" customFormat="1" ht="17.100000000000001" customHeight="1" x14ac:dyDescent="0.3">
      <c r="B80" s="17"/>
      <c r="C80" s="17"/>
      <c r="E80" s="15"/>
      <c r="F80" s="29"/>
      <c r="G80" s="19"/>
      <c r="H80" s="18"/>
      <c r="I80" s="17"/>
      <c r="K80" s="22"/>
      <c r="L80" s="22"/>
      <c r="M80" s="19"/>
      <c r="N80" s="19"/>
    </row>
    <row r="81" spans="2:14" s="20" customFormat="1" ht="17.100000000000001" customHeight="1" x14ac:dyDescent="0.3">
      <c r="B81" s="17"/>
      <c r="C81" s="17"/>
      <c r="E81" s="15"/>
      <c r="F81" s="29"/>
      <c r="G81" s="19"/>
      <c r="H81" s="18"/>
      <c r="I81" s="17"/>
      <c r="K81" s="22"/>
      <c r="L81" s="22"/>
      <c r="M81" s="19"/>
      <c r="N81" s="19"/>
    </row>
    <row r="82" spans="2:14" s="20" customFormat="1" ht="17.100000000000001" customHeight="1" x14ac:dyDescent="0.3">
      <c r="B82" s="17"/>
      <c r="C82" s="17"/>
      <c r="E82" s="15"/>
      <c r="F82" s="29"/>
      <c r="G82" s="19"/>
      <c r="H82" s="18"/>
      <c r="I82" s="17"/>
      <c r="K82" s="22"/>
      <c r="L82" s="22"/>
      <c r="M82" s="19"/>
      <c r="N82" s="19"/>
    </row>
    <row r="83" spans="2:14" s="20" customFormat="1" ht="17.100000000000001" customHeight="1" x14ac:dyDescent="0.3">
      <c r="B83" s="17"/>
      <c r="C83" s="17"/>
      <c r="E83" s="15"/>
      <c r="F83" s="29"/>
      <c r="G83" s="19"/>
      <c r="H83" s="18"/>
      <c r="I83" s="17"/>
      <c r="K83" s="22"/>
      <c r="L83" s="22"/>
      <c r="M83" s="19"/>
      <c r="N83" s="19"/>
    </row>
    <row r="84" spans="2:14" s="20" customFormat="1" ht="17.100000000000001" customHeight="1" x14ac:dyDescent="0.3">
      <c r="B84" s="17"/>
      <c r="C84" s="17"/>
      <c r="E84" s="15"/>
      <c r="F84" s="29"/>
      <c r="G84" s="19"/>
      <c r="H84" s="18"/>
      <c r="I84" s="17"/>
      <c r="K84" s="22"/>
      <c r="L84" s="22"/>
      <c r="M84" s="19"/>
      <c r="N84" s="19"/>
    </row>
    <row r="85" spans="2:14" s="20" customFormat="1" ht="17.100000000000001" customHeight="1" x14ac:dyDescent="0.3">
      <c r="B85" s="17"/>
      <c r="C85" s="17"/>
      <c r="E85" s="15"/>
      <c r="F85" s="29"/>
      <c r="G85" s="19"/>
      <c r="H85" s="18"/>
      <c r="I85" s="17"/>
      <c r="K85" s="22"/>
      <c r="L85" s="22"/>
      <c r="M85" s="19"/>
      <c r="N85" s="19"/>
    </row>
    <row r="86" spans="2:14" s="20" customFormat="1" ht="17.100000000000001" customHeight="1" x14ac:dyDescent="0.3">
      <c r="B86" s="17"/>
      <c r="C86" s="17"/>
      <c r="E86" s="15"/>
      <c r="F86" s="29"/>
      <c r="G86" s="19"/>
      <c r="H86" s="18"/>
      <c r="I86" s="17"/>
      <c r="K86" s="22"/>
      <c r="L86" s="22"/>
      <c r="M86" s="19"/>
      <c r="N86" s="19"/>
    </row>
    <row r="87" spans="2:14" s="20" customFormat="1" ht="17.100000000000001" customHeight="1" x14ac:dyDescent="0.3">
      <c r="B87" s="17"/>
      <c r="C87" s="17"/>
      <c r="E87" s="15"/>
      <c r="F87" s="29"/>
      <c r="G87" s="19"/>
      <c r="H87" s="18"/>
      <c r="I87" s="17"/>
      <c r="K87" s="22"/>
      <c r="L87" s="22"/>
      <c r="M87" s="19"/>
      <c r="N87" s="19"/>
    </row>
    <row r="88" spans="2:14" s="20" customFormat="1" ht="17.100000000000001" customHeight="1" x14ac:dyDescent="0.3">
      <c r="B88" s="17"/>
      <c r="C88" s="17"/>
      <c r="E88" s="15"/>
      <c r="F88" s="29"/>
      <c r="G88" s="19"/>
      <c r="H88" s="18"/>
      <c r="I88" s="17"/>
      <c r="K88" s="22"/>
      <c r="L88" s="22"/>
      <c r="M88" s="19"/>
      <c r="N88" s="19"/>
    </row>
    <row r="89" spans="2:14" s="20" customFormat="1" ht="17.100000000000001" customHeight="1" x14ac:dyDescent="0.3">
      <c r="B89" s="17"/>
      <c r="C89" s="17"/>
      <c r="E89" s="15"/>
      <c r="F89" s="29"/>
      <c r="G89" s="19"/>
      <c r="H89" s="18"/>
      <c r="I89" s="17"/>
      <c r="K89" s="22"/>
      <c r="L89" s="22"/>
      <c r="M89" s="19"/>
      <c r="N89" s="19"/>
    </row>
    <row r="90" spans="2:14" s="20" customFormat="1" ht="17.100000000000001" customHeight="1" x14ac:dyDescent="0.3">
      <c r="B90" s="17"/>
      <c r="C90" s="17"/>
      <c r="E90" s="15"/>
      <c r="F90" s="29"/>
      <c r="G90" s="19"/>
      <c r="H90" s="18"/>
      <c r="I90" s="17"/>
      <c r="K90" s="22"/>
      <c r="L90" s="22"/>
      <c r="M90" s="19"/>
      <c r="N90" s="19"/>
    </row>
    <row r="91" spans="2:14" s="20" customFormat="1" ht="17.100000000000001" customHeight="1" x14ac:dyDescent="0.3">
      <c r="B91" s="17"/>
      <c r="C91" s="17"/>
      <c r="E91" s="15"/>
      <c r="F91" s="29"/>
      <c r="G91" s="19"/>
      <c r="H91" s="18"/>
      <c r="I91" s="17"/>
      <c r="K91" s="22"/>
      <c r="L91" s="22"/>
      <c r="M91" s="19"/>
      <c r="N91" s="19"/>
    </row>
    <row r="92" spans="2:14" s="20" customFormat="1" ht="17.100000000000001" customHeight="1" x14ac:dyDescent="0.3">
      <c r="B92" s="17"/>
      <c r="C92" s="17"/>
      <c r="E92" s="15"/>
      <c r="F92" s="29"/>
      <c r="G92" s="19"/>
      <c r="H92" s="18"/>
      <c r="I92" s="17"/>
      <c r="K92" s="22"/>
      <c r="L92" s="22"/>
      <c r="M92" s="19"/>
      <c r="N92" s="19"/>
    </row>
    <row r="93" spans="2:14" s="20" customFormat="1" ht="17.100000000000001" customHeight="1" x14ac:dyDescent="0.3">
      <c r="B93" s="17"/>
      <c r="C93" s="17"/>
      <c r="E93" s="15"/>
      <c r="F93" s="29"/>
      <c r="G93" s="19"/>
      <c r="H93" s="18"/>
      <c r="I93" s="17"/>
      <c r="K93" s="22"/>
      <c r="L93" s="22"/>
      <c r="M93" s="19"/>
      <c r="N93" s="19"/>
    </row>
    <row r="94" spans="2:14" s="20" customFormat="1" ht="17.100000000000001" customHeight="1" x14ac:dyDescent="0.3">
      <c r="B94" s="17"/>
      <c r="C94" s="17"/>
      <c r="E94" s="15"/>
      <c r="F94" s="29"/>
      <c r="G94" s="19"/>
      <c r="H94" s="18"/>
      <c r="I94" s="17"/>
      <c r="K94" s="22"/>
      <c r="L94" s="22"/>
      <c r="M94" s="19"/>
      <c r="N94" s="19"/>
    </row>
    <row r="95" spans="2:14" s="20" customFormat="1" ht="17.100000000000001" customHeight="1" x14ac:dyDescent="0.3">
      <c r="B95" s="17"/>
      <c r="C95" s="17"/>
      <c r="E95" s="15"/>
      <c r="F95" s="29"/>
      <c r="G95" s="19"/>
      <c r="H95" s="18"/>
      <c r="I95" s="17"/>
      <c r="K95" s="22"/>
      <c r="L95" s="22"/>
      <c r="M95" s="19"/>
      <c r="N95" s="19"/>
    </row>
    <row r="96" spans="2:14" s="20" customFormat="1" ht="17.100000000000001" customHeight="1" x14ac:dyDescent="0.3">
      <c r="B96" s="17"/>
      <c r="C96" s="17"/>
      <c r="E96" s="15"/>
      <c r="F96" s="29"/>
      <c r="G96" s="19"/>
      <c r="H96" s="18"/>
      <c r="I96" s="17"/>
      <c r="K96" s="22"/>
      <c r="L96" s="22"/>
      <c r="M96" s="19"/>
      <c r="N96" s="19"/>
    </row>
    <row r="97" spans="2:14" s="20" customFormat="1" ht="17.100000000000001" customHeight="1" x14ac:dyDescent="0.3">
      <c r="B97" s="17"/>
      <c r="C97" s="17"/>
      <c r="E97" s="15"/>
      <c r="F97" s="29"/>
      <c r="G97" s="19"/>
      <c r="H97" s="18"/>
      <c r="I97" s="17"/>
      <c r="K97" s="22"/>
      <c r="L97" s="22"/>
      <c r="M97" s="19"/>
      <c r="N97" s="19"/>
    </row>
    <row r="98" spans="2:14" s="20" customFormat="1" ht="17.100000000000001" customHeight="1" x14ac:dyDescent="0.3">
      <c r="B98" s="17"/>
      <c r="C98" s="17"/>
      <c r="E98" s="15"/>
      <c r="F98" s="29"/>
      <c r="G98" s="19"/>
      <c r="H98" s="18"/>
      <c r="I98" s="17"/>
      <c r="K98" s="22"/>
      <c r="L98" s="22"/>
      <c r="M98" s="19"/>
      <c r="N98" s="19"/>
    </row>
    <row r="99" spans="2:14" s="20" customFormat="1" ht="17.100000000000001" customHeight="1" x14ac:dyDescent="0.3">
      <c r="B99" s="17"/>
      <c r="C99" s="17"/>
      <c r="E99" s="15"/>
      <c r="F99" s="29"/>
      <c r="G99" s="19"/>
      <c r="H99" s="18"/>
      <c r="I99" s="17"/>
      <c r="K99" s="22"/>
      <c r="L99" s="22"/>
      <c r="M99" s="19"/>
      <c r="N99" s="19"/>
    </row>
    <row r="100" spans="2:14" s="20" customFormat="1" ht="17.100000000000001" customHeight="1" x14ac:dyDescent="0.3">
      <c r="B100" s="17"/>
      <c r="C100" s="17"/>
      <c r="E100" s="15"/>
      <c r="F100" s="29"/>
      <c r="G100" s="19"/>
      <c r="H100" s="18"/>
      <c r="I100" s="17"/>
      <c r="K100" s="22"/>
      <c r="L100" s="22"/>
      <c r="M100" s="19"/>
      <c r="N100" s="19"/>
    </row>
    <row r="101" spans="2:14" s="20" customFormat="1" ht="17.100000000000001" customHeight="1" x14ac:dyDescent="0.3">
      <c r="B101" s="17"/>
      <c r="C101" s="17"/>
      <c r="E101" s="15"/>
      <c r="F101" s="29"/>
      <c r="G101" s="19"/>
      <c r="H101" s="18"/>
      <c r="I101" s="17"/>
      <c r="K101" s="22"/>
      <c r="L101" s="22"/>
      <c r="M101" s="19"/>
      <c r="N101" s="19"/>
    </row>
    <row r="102" spans="2:14" s="20" customFormat="1" ht="17.100000000000001" customHeight="1" x14ac:dyDescent="0.3">
      <c r="B102" s="17"/>
      <c r="C102" s="17"/>
      <c r="E102" s="15"/>
      <c r="F102" s="29"/>
      <c r="G102" s="19"/>
      <c r="H102" s="18"/>
      <c r="I102" s="17"/>
      <c r="K102" s="22"/>
      <c r="L102" s="22"/>
      <c r="M102" s="19"/>
      <c r="N102" s="19"/>
    </row>
    <row r="103" spans="2:14" s="20" customFormat="1" ht="17.100000000000001" customHeight="1" x14ac:dyDescent="0.3">
      <c r="B103" s="17"/>
      <c r="C103" s="17"/>
      <c r="E103" s="15"/>
      <c r="F103" s="29"/>
      <c r="G103" s="19"/>
      <c r="H103" s="18"/>
      <c r="I103" s="17"/>
      <c r="K103" s="22"/>
      <c r="L103" s="22"/>
      <c r="M103" s="19"/>
      <c r="N103" s="19"/>
    </row>
    <row r="104" spans="2:14" s="20" customFormat="1" ht="17.100000000000001" customHeight="1" x14ac:dyDescent="0.3">
      <c r="B104" s="17"/>
      <c r="C104" s="17"/>
      <c r="E104" s="15"/>
      <c r="F104" s="29"/>
      <c r="G104" s="19"/>
      <c r="H104" s="18"/>
      <c r="I104" s="17"/>
      <c r="K104" s="22"/>
      <c r="L104" s="22"/>
      <c r="M104" s="19"/>
      <c r="N104" s="19"/>
    </row>
    <row r="105" spans="2:14" s="20" customFormat="1" ht="17.100000000000001" customHeight="1" x14ac:dyDescent="0.3">
      <c r="B105" s="17"/>
      <c r="C105" s="17"/>
      <c r="E105" s="15"/>
      <c r="F105" s="29"/>
      <c r="G105" s="19"/>
      <c r="H105" s="18"/>
      <c r="I105" s="17"/>
      <c r="K105" s="22"/>
      <c r="L105" s="22"/>
      <c r="M105" s="19"/>
      <c r="N105" s="19"/>
    </row>
    <row r="106" spans="2:14" s="20" customFormat="1" ht="17.100000000000001" customHeight="1" x14ac:dyDescent="0.3">
      <c r="B106" s="17"/>
      <c r="C106" s="17"/>
      <c r="E106" s="15"/>
      <c r="F106" s="29"/>
      <c r="G106" s="19"/>
      <c r="H106" s="18"/>
      <c r="I106" s="17"/>
      <c r="K106" s="22"/>
      <c r="L106" s="22"/>
      <c r="M106" s="19"/>
      <c r="N106" s="19"/>
    </row>
    <row r="107" spans="2:14" s="20" customFormat="1" ht="17.100000000000001" customHeight="1" x14ac:dyDescent="0.3">
      <c r="B107" s="17"/>
      <c r="C107" s="17"/>
      <c r="E107" s="15"/>
      <c r="F107" s="29"/>
      <c r="G107" s="19"/>
      <c r="H107" s="18"/>
      <c r="I107" s="17"/>
      <c r="K107" s="22"/>
      <c r="L107" s="22"/>
      <c r="M107" s="19"/>
      <c r="N107" s="19"/>
    </row>
    <row r="108" spans="2:14" s="20" customFormat="1" ht="17.100000000000001" customHeight="1" x14ac:dyDescent="0.3">
      <c r="B108" s="17"/>
      <c r="C108" s="17"/>
      <c r="E108" s="15"/>
      <c r="F108" s="29"/>
      <c r="G108" s="19"/>
      <c r="H108" s="18"/>
      <c r="I108" s="17"/>
      <c r="K108" s="22"/>
      <c r="L108" s="22"/>
      <c r="M108" s="19"/>
      <c r="N108" s="19"/>
    </row>
    <row r="109" spans="2:14" s="20" customFormat="1" ht="17.100000000000001" customHeight="1" x14ac:dyDescent="0.3">
      <c r="B109" s="17"/>
      <c r="C109" s="17"/>
      <c r="E109" s="15"/>
      <c r="F109" s="29"/>
      <c r="G109" s="19"/>
      <c r="H109" s="18"/>
      <c r="I109" s="17"/>
      <c r="K109" s="22"/>
      <c r="L109" s="22"/>
      <c r="M109" s="19"/>
      <c r="N109" s="19"/>
    </row>
    <row r="110" spans="2:14" s="20" customFormat="1" ht="17.100000000000001" customHeight="1" x14ac:dyDescent="0.3">
      <c r="B110" s="17"/>
      <c r="C110" s="17"/>
      <c r="E110" s="15"/>
      <c r="F110" s="29"/>
      <c r="G110" s="19"/>
      <c r="H110" s="18"/>
      <c r="I110" s="17"/>
      <c r="K110" s="22"/>
      <c r="L110" s="22"/>
      <c r="M110" s="19"/>
      <c r="N110" s="19"/>
    </row>
    <row r="111" spans="2:14" s="20" customFormat="1" ht="17.100000000000001" customHeight="1" x14ac:dyDescent="0.3">
      <c r="B111" s="17"/>
      <c r="C111" s="17"/>
      <c r="E111" s="15"/>
      <c r="F111" s="29"/>
      <c r="G111" s="19"/>
      <c r="H111" s="18"/>
      <c r="I111" s="17"/>
      <c r="K111" s="22"/>
      <c r="L111" s="22"/>
      <c r="M111" s="19"/>
      <c r="N111" s="19"/>
    </row>
    <row r="112" spans="2:14" s="20" customFormat="1" ht="17.100000000000001" customHeight="1" x14ac:dyDescent="0.3">
      <c r="B112" s="17"/>
      <c r="C112" s="17"/>
      <c r="E112" s="15"/>
      <c r="F112" s="29"/>
      <c r="G112" s="19"/>
      <c r="H112" s="18"/>
      <c r="I112" s="17"/>
      <c r="K112" s="22"/>
      <c r="L112" s="22"/>
      <c r="M112" s="19"/>
      <c r="N112" s="19"/>
    </row>
    <row r="113" spans="2:14" s="20" customFormat="1" ht="17.100000000000001" customHeight="1" x14ac:dyDescent="0.3">
      <c r="B113" s="17"/>
      <c r="C113" s="17"/>
      <c r="E113" s="15"/>
      <c r="F113" s="29"/>
      <c r="G113" s="19"/>
      <c r="H113" s="18"/>
      <c r="I113" s="17"/>
      <c r="K113" s="22"/>
      <c r="L113" s="22"/>
      <c r="M113" s="19"/>
      <c r="N113" s="19"/>
    </row>
    <row r="114" spans="2:14" s="20" customFormat="1" ht="17.100000000000001" customHeight="1" x14ac:dyDescent="0.3">
      <c r="B114" s="17"/>
      <c r="C114" s="17"/>
      <c r="E114" s="15"/>
      <c r="F114" s="29"/>
      <c r="G114" s="19"/>
      <c r="H114" s="18"/>
      <c r="I114" s="17"/>
      <c r="K114" s="22"/>
      <c r="L114" s="22"/>
      <c r="M114" s="19"/>
      <c r="N114" s="19"/>
    </row>
    <row r="115" spans="2:14" s="20" customFormat="1" ht="17.100000000000001" customHeight="1" x14ac:dyDescent="0.3">
      <c r="B115" s="17"/>
      <c r="C115" s="17"/>
      <c r="E115" s="15"/>
      <c r="F115" s="29"/>
      <c r="G115" s="19"/>
      <c r="H115" s="18"/>
      <c r="I115" s="17"/>
      <c r="K115" s="22"/>
      <c r="L115" s="22"/>
      <c r="M115" s="19"/>
      <c r="N115" s="19"/>
    </row>
    <row r="116" spans="2:14" s="20" customFormat="1" ht="17.100000000000001" customHeight="1" x14ac:dyDescent="0.3">
      <c r="B116" s="17"/>
      <c r="C116" s="17"/>
      <c r="E116" s="15"/>
      <c r="F116" s="29"/>
      <c r="G116" s="19"/>
      <c r="H116" s="18"/>
      <c r="I116" s="17"/>
      <c r="K116" s="22"/>
      <c r="L116" s="22"/>
      <c r="M116" s="19"/>
      <c r="N116" s="19"/>
    </row>
    <row r="117" spans="2:14" s="20" customFormat="1" ht="17.100000000000001" customHeight="1" x14ac:dyDescent="0.3">
      <c r="B117" s="17"/>
      <c r="C117" s="17"/>
      <c r="E117" s="15"/>
      <c r="F117" s="29"/>
      <c r="G117" s="19"/>
      <c r="H117" s="18"/>
      <c r="I117" s="17"/>
      <c r="K117" s="22"/>
      <c r="L117" s="22"/>
      <c r="M117" s="19"/>
      <c r="N117" s="19"/>
    </row>
    <row r="118" spans="2:14" s="20" customFormat="1" ht="17.100000000000001" customHeight="1" x14ac:dyDescent="0.3">
      <c r="B118" s="17"/>
      <c r="C118" s="17"/>
      <c r="E118" s="15"/>
      <c r="F118" s="29"/>
      <c r="G118" s="19"/>
      <c r="H118" s="18"/>
      <c r="I118" s="17"/>
      <c r="K118" s="22"/>
      <c r="L118" s="22"/>
      <c r="M118" s="19"/>
      <c r="N118" s="19"/>
    </row>
    <row r="119" spans="2:14" s="20" customFormat="1" ht="17.100000000000001" customHeight="1" x14ac:dyDescent="0.3">
      <c r="B119" s="17"/>
      <c r="C119" s="17"/>
      <c r="E119" s="15"/>
      <c r="F119" s="29"/>
      <c r="G119" s="19"/>
      <c r="H119" s="18"/>
      <c r="I119" s="17"/>
      <c r="K119" s="22"/>
      <c r="L119" s="22"/>
      <c r="M119" s="19"/>
      <c r="N119" s="19"/>
    </row>
    <row r="120" spans="2:14" s="20" customFormat="1" ht="17.100000000000001" customHeight="1" x14ac:dyDescent="0.3">
      <c r="B120" s="17"/>
      <c r="C120" s="17"/>
      <c r="E120" s="15"/>
      <c r="F120" s="29"/>
      <c r="G120" s="19"/>
      <c r="H120" s="18"/>
      <c r="I120" s="17"/>
      <c r="K120" s="22"/>
      <c r="L120" s="22"/>
      <c r="M120" s="19"/>
      <c r="N120" s="19"/>
    </row>
    <row r="121" spans="2:14" s="20" customFormat="1" ht="17.100000000000001" customHeight="1" x14ac:dyDescent="0.3">
      <c r="B121" s="17"/>
      <c r="C121" s="17"/>
      <c r="E121" s="15"/>
      <c r="F121" s="29"/>
      <c r="G121" s="19"/>
      <c r="H121" s="18"/>
      <c r="I121" s="17"/>
      <c r="K121" s="22"/>
      <c r="L121" s="22"/>
      <c r="M121" s="19"/>
      <c r="N121" s="19"/>
    </row>
    <row r="122" spans="2:14" s="20" customFormat="1" ht="17.100000000000001" customHeight="1" x14ac:dyDescent="0.3">
      <c r="B122" s="17"/>
      <c r="C122" s="17"/>
      <c r="E122" s="15"/>
      <c r="F122" s="29"/>
      <c r="G122" s="19"/>
      <c r="H122" s="18"/>
      <c r="I122" s="17"/>
      <c r="K122" s="22"/>
      <c r="L122" s="22"/>
      <c r="M122" s="19"/>
      <c r="N122" s="19"/>
    </row>
    <row r="123" spans="2:14" s="20" customFormat="1" ht="17.100000000000001" customHeight="1" x14ac:dyDescent="0.3">
      <c r="B123" s="17"/>
      <c r="C123" s="17"/>
      <c r="E123" s="15"/>
      <c r="F123" s="29"/>
      <c r="G123" s="19"/>
      <c r="H123" s="18"/>
      <c r="I123" s="17"/>
      <c r="K123" s="22"/>
      <c r="L123" s="22"/>
      <c r="M123" s="19"/>
      <c r="N123" s="19"/>
    </row>
    <row r="124" spans="2:14" s="20" customFormat="1" ht="17.100000000000001" customHeight="1" x14ac:dyDescent="0.3">
      <c r="B124" s="17"/>
      <c r="C124" s="17"/>
      <c r="E124" s="15"/>
      <c r="F124" s="29"/>
      <c r="G124" s="19"/>
      <c r="H124" s="18"/>
      <c r="I124" s="17"/>
      <c r="K124" s="22"/>
      <c r="L124" s="22"/>
      <c r="M124" s="19"/>
      <c r="N124" s="19"/>
    </row>
    <row r="125" spans="2:14" s="20" customFormat="1" ht="17.100000000000001" customHeight="1" x14ac:dyDescent="0.3">
      <c r="B125" s="17"/>
      <c r="C125" s="17"/>
      <c r="E125" s="15"/>
      <c r="F125" s="29"/>
      <c r="G125" s="19"/>
      <c r="H125" s="18"/>
      <c r="I125" s="17"/>
      <c r="K125" s="22"/>
      <c r="L125" s="22"/>
      <c r="M125" s="19"/>
      <c r="N125" s="19"/>
    </row>
    <row r="126" spans="2:14" s="20" customFormat="1" ht="17.100000000000001" customHeight="1" x14ac:dyDescent="0.3">
      <c r="B126" s="17"/>
      <c r="C126" s="17"/>
      <c r="E126" s="15"/>
      <c r="F126" s="29"/>
      <c r="G126" s="19"/>
      <c r="H126" s="18"/>
      <c r="I126" s="17"/>
      <c r="K126" s="22"/>
      <c r="L126" s="22"/>
      <c r="M126" s="19"/>
      <c r="N126" s="19"/>
    </row>
    <row r="127" spans="2:14" s="20" customFormat="1" ht="17.100000000000001" customHeight="1" x14ac:dyDescent="0.3">
      <c r="B127" s="17"/>
      <c r="C127" s="17"/>
      <c r="E127" s="15"/>
      <c r="F127" s="29"/>
      <c r="G127" s="19"/>
      <c r="H127" s="18"/>
      <c r="I127" s="17"/>
      <c r="K127" s="22"/>
      <c r="L127" s="22"/>
      <c r="M127" s="19"/>
      <c r="N127" s="19"/>
    </row>
    <row r="128" spans="2:14" s="20" customFormat="1" ht="17.100000000000001" customHeight="1" x14ac:dyDescent="0.3">
      <c r="B128" s="17"/>
      <c r="C128" s="17"/>
      <c r="E128" s="15"/>
      <c r="F128" s="29"/>
      <c r="G128" s="19"/>
      <c r="H128" s="18"/>
      <c r="I128" s="17"/>
      <c r="K128" s="22"/>
      <c r="L128" s="22"/>
      <c r="M128" s="19"/>
      <c r="N128" s="19"/>
    </row>
    <row r="129" spans="2:14" s="20" customFormat="1" ht="17.100000000000001" customHeight="1" x14ac:dyDescent="0.3">
      <c r="B129" s="17"/>
      <c r="C129" s="17"/>
      <c r="E129" s="15"/>
      <c r="F129" s="29"/>
      <c r="G129" s="19"/>
      <c r="H129" s="18"/>
      <c r="I129" s="17"/>
      <c r="K129" s="22"/>
      <c r="L129" s="22"/>
      <c r="M129" s="19"/>
      <c r="N129" s="19"/>
    </row>
    <row r="130" spans="2:14" s="20" customFormat="1" ht="17.100000000000001" customHeight="1" x14ac:dyDescent="0.3">
      <c r="B130" s="17"/>
      <c r="C130" s="17"/>
      <c r="E130" s="15"/>
      <c r="F130" s="29"/>
      <c r="G130" s="19"/>
      <c r="H130" s="18"/>
      <c r="I130" s="17"/>
      <c r="K130" s="22"/>
      <c r="L130" s="22"/>
      <c r="M130" s="19"/>
      <c r="N130" s="19"/>
    </row>
    <row r="131" spans="2:14" s="20" customFormat="1" ht="17.100000000000001" customHeight="1" x14ac:dyDescent="0.3">
      <c r="B131" s="17"/>
      <c r="C131" s="17"/>
      <c r="E131" s="15"/>
      <c r="F131" s="29"/>
      <c r="G131" s="19"/>
      <c r="H131" s="18"/>
      <c r="I131" s="17"/>
      <c r="K131" s="22"/>
      <c r="L131" s="22"/>
      <c r="M131" s="19"/>
      <c r="N131" s="19"/>
    </row>
    <row r="132" spans="2:14" s="20" customFormat="1" ht="17.100000000000001" customHeight="1" x14ac:dyDescent="0.3">
      <c r="B132" s="17"/>
      <c r="C132" s="17"/>
      <c r="E132" s="15"/>
      <c r="F132" s="29"/>
      <c r="G132" s="19"/>
      <c r="H132" s="18"/>
      <c r="I132" s="17"/>
      <c r="K132" s="22"/>
      <c r="L132" s="22"/>
      <c r="M132" s="19"/>
      <c r="N132" s="19"/>
    </row>
    <row r="133" spans="2:14" s="20" customFormat="1" ht="17.100000000000001" customHeight="1" x14ac:dyDescent="0.3">
      <c r="B133" s="17"/>
      <c r="C133" s="17"/>
      <c r="E133" s="15"/>
      <c r="F133" s="29"/>
      <c r="G133" s="19"/>
      <c r="H133" s="18"/>
      <c r="I133" s="17"/>
      <c r="K133" s="22"/>
      <c r="L133" s="22"/>
      <c r="M133" s="19"/>
      <c r="N133" s="19"/>
    </row>
    <row r="134" spans="2:14" s="20" customFormat="1" ht="17.100000000000001" customHeight="1" x14ac:dyDescent="0.3">
      <c r="B134" s="17"/>
      <c r="C134" s="17"/>
      <c r="E134" s="15"/>
      <c r="F134" s="29"/>
      <c r="G134" s="19"/>
      <c r="H134" s="18"/>
      <c r="I134" s="17"/>
      <c r="K134" s="22"/>
      <c r="L134" s="22"/>
      <c r="M134" s="19"/>
      <c r="N134" s="19"/>
    </row>
    <row r="135" spans="2:14" s="20" customFormat="1" ht="17.100000000000001" customHeight="1" x14ac:dyDescent="0.3">
      <c r="B135" s="17"/>
      <c r="C135" s="17"/>
      <c r="E135" s="15"/>
      <c r="F135" s="29"/>
      <c r="G135" s="19"/>
      <c r="H135" s="18"/>
      <c r="I135" s="17"/>
      <c r="K135" s="22"/>
      <c r="L135" s="22"/>
      <c r="M135" s="19"/>
      <c r="N135" s="19"/>
    </row>
    <row r="136" spans="2:14" s="20" customFormat="1" ht="17.100000000000001" customHeight="1" x14ac:dyDescent="0.3">
      <c r="B136" s="17"/>
      <c r="C136" s="17"/>
      <c r="E136" s="15"/>
      <c r="F136" s="29"/>
      <c r="G136" s="19"/>
      <c r="H136" s="18"/>
      <c r="I136" s="17"/>
      <c r="K136" s="22"/>
      <c r="L136" s="22"/>
      <c r="M136" s="19"/>
      <c r="N136" s="19"/>
    </row>
    <row r="137" spans="2:14" s="20" customFormat="1" ht="17.100000000000001" customHeight="1" x14ac:dyDescent="0.3">
      <c r="B137" s="17"/>
      <c r="C137" s="17"/>
      <c r="E137" s="15"/>
      <c r="F137" s="29"/>
      <c r="G137" s="19"/>
      <c r="H137" s="18"/>
      <c r="I137" s="17"/>
      <c r="K137" s="22"/>
      <c r="L137" s="22"/>
      <c r="M137" s="19"/>
      <c r="N137" s="19"/>
    </row>
    <row r="138" spans="2:14" s="20" customFormat="1" ht="17.100000000000001" customHeight="1" x14ac:dyDescent="0.3">
      <c r="B138" s="17"/>
      <c r="C138" s="17"/>
      <c r="E138" s="15"/>
      <c r="F138" s="29"/>
      <c r="G138" s="19"/>
      <c r="H138" s="18"/>
      <c r="I138" s="17"/>
      <c r="K138" s="22"/>
      <c r="L138" s="22"/>
      <c r="M138" s="19"/>
      <c r="N138" s="19"/>
    </row>
    <row r="139" spans="2:14" s="20" customFormat="1" ht="17.100000000000001" customHeight="1" x14ac:dyDescent="0.3">
      <c r="B139" s="17"/>
      <c r="C139" s="17"/>
      <c r="E139" s="15"/>
      <c r="F139" s="29"/>
      <c r="G139" s="19"/>
      <c r="H139" s="18"/>
      <c r="I139" s="17"/>
      <c r="K139" s="22"/>
      <c r="L139" s="22"/>
      <c r="M139" s="19"/>
      <c r="N139" s="19"/>
    </row>
    <row r="140" spans="2:14" s="20" customFormat="1" ht="17.100000000000001" customHeight="1" x14ac:dyDescent="0.3">
      <c r="B140" s="17"/>
      <c r="C140" s="17"/>
      <c r="E140" s="15"/>
      <c r="F140" s="29"/>
      <c r="G140" s="19"/>
      <c r="H140" s="18"/>
      <c r="I140" s="17"/>
      <c r="K140" s="22"/>
      <c r="L140" s="22"/>
      <c r="M140" s="19"/>
      <c r="N140" s="19"/>
    </row>
    <row r="141" spans="2:14" s="20" customFormat="1" ht="17.100000000000001" customHeight="1" x14ac:dyDescent="0.3">
      <c r="B141" s="17"/>
      <c r="C141" s="17"/>
      <c r="E141" s="15"/>
      <c r="F141" s="29"/>
      <c r="G141" s="19"/>
      <c r="H141" s="18"/>
      <c r="I141" s="17"/>
      <c r="K141" s="22"/>
      <c r="L141" s="22"/>
      <c r="M141" s="19"/>
      <c r="N141" s="19"/>
    </row>
    <row r="142" spans="2:14" s="20" customFormat="1" ht="17.100000000000001" customHeight="1" x14ac:dyDescent="0.3">
      <c r="B142" s="17"/>
      <c r="C142" s="17"/>
      <c r="E142" s="15"/>
      <c r="F142" s="29"/>
      <c r="G142" s="19"/>
      <c r="H142" s="18"/>
      <c r="I142" s="17"/>
      <c r="K142" s="22"/>
      <c r="L142" s="22"/>
      <c r="M142" s="19"/>
      <c r="N142" s="19"/>
    </row>
    <row r="143" spans="2:14" s="20" customFormat="1" ht="17.100000000000001" customHeight="1" x14ac:dyDescent="0.3">
      <c r="B143" s="17"/>
      <c r="C143" s="17"/>
      <c r="E143" s="15"/>
      <c r="F143" s="29"/>
      <c r="G143" s="19"/>
      <c r="H143" s="18"/>
      <c r="I143" s="17"/>
      <c r="K143" s="22"/>
      <c r="L143" s="22"/>
      <c r="M143" s="19"/>
      <c r="N143" s="19"/>
    </row>
    <row r="144" spans="2:14" s="20" customFormat="1" ht="17.100000000000001" customHeight="1" x14ac:dyDescent="0.3">
      <c r="B144" s="17"/>
      <c r="C144" s="17"/>
      <c r="E144" s="15"/>
      <c r="F144" s="29"/>
      <c r="G144" s="19"/>
      <c r="H144" s="18"/>
      <c r="I144" s="17"/>
      <c r="K144" s="22"/>
      <c r="L144" s="22"/>
      <c r="M144" s="19"/>
      <c r="N144" s="19"/>
    </row>
    <row r="145" spans="2:14" s="20" customFormat="1" ht="17.100000000000001" customHeight="1" x14ac:dyDescent="0.3">
      <c r="B145" s="17"/>
      <c r="C145" s="17"/>
      <c r="E145" s="15"/>
      <c r="F145" s="29"/>
      <c r="G145" s="19"/>
      <c r="H145" s="18"/>
      <c r="I145" s="17"/>
      <c r="K145" s="22"/>
      <c r="L145" s="22"/>
      <c r="M145" s="19"/>
      <c r="N145" s="19"/>
    </row>
    <row r="146" spans="2:14" s="20" customFormat="1" ht="17.100000000000001" customHeight="1" x14ac:dyDescent="0.3">
      <c r="B146" s="17"/>
      <c r="C146" s="17"/>
      <c r="E146" s="15"/>
      <c r="F146" s="29"/>
      <c r="G146" s="19"/>
      <c r="H146" s="18"/>
      <c r="I146" s="17"/>
      <c r="K146" s="22"/>
      <c r="L146" s="22"/>
      <c r="M146" s="19"/>
      <c r="N146" s="19"/>
    </row>
    <row r="147" spans="2:14" s="20" customFormat="1" ht="17.100000000000001" customHeight="1" x14ac:dyDescent="0.3">
      <c r="B147" s="17"/>
      <c r="C147" s="17"/>
      <c r="E147" s="15"/>
      <c r="F147" s="29"/>
      <c r="G147" s="19"/>
      <c r="H147" s="18"/>
      <c r="I147" s="17"/>
      <c r="K147" s="22"/>
      <c r="L147" s="22"/>
      <c r="M147" s="19"/>
      <c r="N147" s="19"/>
    </row>
    <row r="148" spans="2:14" s="20" customFormat="1" ht="17.100000000000001" customHeight="1" x14ac:dyDescent="0.3">
      <c r="B148" s="17"/>
      <c r="C148" s="17"/>
      <c r="E148" s="15"/>
      <c r="F148" s="29"/>
      <c r="G148" s="19"/>
      <c r="H148" s="18"/>
      <c r="I148" s="17"/>
      <c r="K148" s="22"/>
      <c r="L148" s="22"/>
      <c r="M148" s="19"/>
      <c r="N148" s="19"/>
    </row>
    <row r="149" spans="2:14" s="20" customFormat="1" ht="17.100000000000001" customHeight="1" x14ac:dyDescent="0.3">
      <c r="B149" s="17"/>
      <c r="C149" s="17"/>
      <c r="E149" s="15"/>
      <c r="F149" s="29"/>
      <c r="G149" s="19"/>
      <c r="H149" s="18"/>
      <c r="I149" s="17"/>
      <c r="K149" s="22"/>
      <c r="L149" s="22"/>
      <c r="M149" s="19"/>
      <c r="N149" s="19"/>
    </row>
    <row r="150" spans="2:14" s="20" customFormat="1" ht="17.100000000000001" customHeight="1" x14ac:dyDescent="0.3">
      <c r="B150" s="17"/>
      <c r="C150" s="17"/>
      <c r="E150" s="15"/>
      <c r="F150" s="29"/>
      <c r="G150" s="19"/>
      <c r="H150" s="18"/>
      <c r="I150" s="17"/>
      <c r="K150" s="22"/>
      <c r="L150" s="22"/>
      <c r="M150" s="19"/>
      <c r="N150" s="19"/>
    </row>
    <row r="151" spans="2:14" s="20" customFormat="1" ht="17.100000000000001" customHeight="1" x14ac:dyDescent="0.3">
      <c r="B151" s="17"/>
      <c r="C151" s="17"/>
      <c r="E151" s="15"/>
      <c r="F151" s="29"/>
      <c r="G151" s="19"/>
      <c r="H151" s="18"/>
      <c r="I151" s="17"/>
      <c r="K151" s="22"/>
      <c r="L151" s="22"/>
      <c r="M151" s="19"/>
      <c r="N151" s="19"/>
    </row>
    <row r="152" spans="2:14" s="20" customFormat="1" ht="17.100000000000001" customHeight="1" x14ac:dyDescent="0.3">
      <c r="B152" s="17"/>
      <c r="C152" s="17"/>
      <c r="E152" s="15"/>
      <c r="F152" s="29"/>
      <c r="G152" s="19"/>
      <c r="H152" s="18"/>
      <c r="I152" s="17"/>
      <c r="K152" s="22"/>
      <c r="L152" s="22"/>
      <c r="M152" s="19"/>
      <c r="N152" s="19"/>
    </row>
    <row r="153" spans="2:14" s="20" customFormat="1" ht="17.100000000000001" customHeight="1" x14ac:dyDescent="0.3">
      <c r="B153" s="17"/>
      <c r="C153" s="17"/>
      <c r="E153" s="15"/>
      <c r="F153" s="29"/>
      <c r="G153" s="19"/>
      <c r="H153" s="18"/>
      <c r="I153" s="17"/>
      <c r="K153" s="22"/>
      <c r="L153" s="22"/>
      <c r="M153" s="19"/>
      <c r="N153" s="19"/>
    </row>
    <row r="154" spans="2:14" s="20" customFormat="1" ht="17.100000000000001" customHeight="1" x14ac:dyDescent="0.3">
      <c r="B154" s="17"/>
      <c r="C154" s="17"/>
      <c r="E154" s="15"/>
      <c r="F154" s="29"/>
      <c r="G154" s="19"/>
      <c r="H154" s="18"/>
      <c r="I154" s="17"/>
      <c r="K154" s="22"/>
      <c r="L154" s="22"/>
      <c r="M154" s="19"/>
      <c r="N154" s="19"/>
    </row>
    <row r="155" spans="2:14" s="20" customFormat="1" ht="17.100000000000001" customHeight="1" x14ac:dyDescent="0.3">
      <c r="B155" s="17"/>
      <c r="C155" s="17"/>
      <c r="E155" s="15"/>
      <c r="F155" s="29"/>
      <c r="G155" s="19"/>
      <c r="H155" s="18"/>
      <c r="I155" s="17"/>
      <c r="K155" s="22"/>
      <c r="L155" s="22"/>
      <c r="M155" s="19"/>
      <c r="N155" s="19"/>
    </row>
    <row r="156" spans="2:14" s="20" customFormat="1" ht="17.100000000000001" customHeight="1" x14ac:dyDescent="0.3">
      <c r="B156" s="17"/>
      <c r="C156" s="17"/>
      <c r="E156" s="15"/>
      <c r="F156" s="29"/>
      <c r="G156" s="19"/>
      <c r="H156" s="18"/>
      <c r="I156" s="17"/>
      <c r="K156" s="22"/>
      <c r="L156" s="22"/>
      <c r="M156" s="19"/>
      <c r="N156" s="19"/>
    </row>
    <row r="157" spans="2:14" s="20" customFormat="1" ht="17.100000000000001" customHeight="1" x14ac:dyDescent="0.3">
      <c r="B157" s="17"/>
      <c r="C157" s="17"/>
      <c r="E157" s="15"/>
      <c r="F157" s="29"/>
      <c r="G157" s="19"/>
      <c r="H157" s="18"/>
      <c r="I157" s="17"/>
      <c r="K157" s="22"/>
      <c r="L157" s="22"/>
      <c r="M157" s="19"/>
      <c r="N157" s="19"/>
    </row>
    <row r="158" spans="2:14" s="20" customFormat="1" ht="17.100000000000001" customHeight="1" x14ac:dyDescent="0.3">
      <c r="B158" s="17"/>
      <c r="C158" s="17"/>
      <c r="E158" s="15"/>
      <c r="F158" s="29"/>
      <c r="G158" s="19"/>
      <c r="H158" s="18"/>
      <c r="I158" s="17"/>
      <c r="K158" s="22"/>
      <c r="L158" s="22"/>
      <c r="M158" s="19"/>
      <c r="N158" s="19"/>
    </row>
    <row r="159" spans="2:14" s="20" customFormat="1" ht="17.100000000000001" customHeight="1" x14ac:dyDescent="0.3">
      <c r="B159" s="17"/>
      <c r="C159" s="17"/>
      <c r="E159" s="15"/>
      <c r="F159" s="29"/>
      <c r="G159" s="19"/>
      <c r="H159" s="18"/>
      <c r="I159" s="17"/>
      <c r="K159" s="22"/>
      <c r="L159" s="22"/>
      <c r="M159" s="19"/>
      <c r="N159" s="19"/>
    </row>
    <row r="160" spans="2:14" s="20" customFormat="1" ht="17.100000000000001" customHeight="1" x14ac:dyDescent="0.3">
      <c r="B160" s="17"/>
      <c r="C160" s="17"/>
      <c r="E160" s="15"/>
      <c r="F160" s="29"/>
      <c r="G160" s="19"/>
      <c r="H160" s="18"/>
      <c r="I160" s="17"/>
      <c r="K160" s="22"/>
      <c r="L160" s="22"/>
      <c r="M160" s="19"/>
      <c r="N160" s="19"/>
    </row>
    <row r="161" spans="2:14" s="20" customFormat="1" ht="17.100000000000001" customHeight="1" x14ac:dyDescent="0.3">
      <c r="B161" s="17"/>
      <c r="C161" s="17"/>
      <c r="E161" s="15"/>
      <c r="F161" s="29"/>
      <c r="G161" s="19"/>
      <c r="H161" s="18"/>
      <c r="I161" s="17"/>
      <c r="K161" s="22"/>
      <c r="L161" s="22"/>
      <c r="M161" s="19"/>
      <c r="N161" s="19"/>
    </row>
    <row r="162" spans="2:14" s="20" customFormat="1" ht="17.100000000000001" customHeight="1" x14ac:dyDescent="0.3">
      <c r="B162" s="17"/>
      <c r="C162" s="17"/>
      <c r="E162" s="15"/>
      <c r="F162" s="29"/>
      <c r="G162" s="19"/>
      <c r="H162" s="18"/>
      <c r="I162" s="17"/>
      <c r="K162" s="22"/>
      <c r="L162" s="22"/>
      <c r="M162" s="19"/>
      <c r="N162" s="19"/>
    </row>
    <row r="163" spans="2:14" s="20" customFormat="1" ht="17.100000000000001" customHeight="1" x14ac:dyDescent="0.3">
      <c r="B163" s="17"/>
      <c r="C163" s="17"/>
      <c r="E163" s="15"/>
      <c r="F163" s="29"/>
      <c r="G163" s="19"/>
      <c r="H163" s="18"/>
      <c r="I163" s="17"/>
      <c r="K163" s="22"/>
      <c r="L163" s="22"/>
      <c r="M163" s="19"/>
      <c r="N163" s="19"/>
    </row>
    <row r="164" spans="2:14" s="20" customFormat="1" ht="17.100000000000001" customHeight="1" x14ac:dyDescent="0.3">
      <c r="B164" s="17"/>
      <c r="C164" s="17"/>
      <c r="E164" s="15"/>
      <c r="F164" s="29"/>
      <c r="G164" s="19"/>
      <c r="H164" s="18"/>
      <c r="I164" s="17"/>
      <c r="K164" s="22"/>
      <c r="L164" s="22"/>
      <c r="M164" s="19"/>
      <c r="N164" s="19"/>
    </row>
    <row r="165" spans="2:14" s="20" customFormat="1" ht="17.100000000000001" customHeight="1" x14ac:dyDescent="0.3">
      <c r="B165" s="17"/>
      <c r="C165" s="17"/>
      <c r="E165" s="15"/>
      <c r="F165" s="29"/>
      <c r="G165" s="19"/>
      <c r="H165" s="18"/>
      <c r="I165" s="17"/>
      <c r="K165" s="22"/>
      <c r="L165" s="22"/>
      <c r="M165" s="19"/>
      <c r="N165" s="19"/>
    </row>
    <row r="166" spans="2:14" s="20" customFormat="1" ht="17.100000000000001" customHeight="1" x14ac:dyDescent="0.3">
      <c r="B166" s="17"/>
      <c r="C166" s="17"/>
      <c r="E166" s="15"/>
      <c r="F166" s="29"/>
      <c r="G166" s="19"/>
      <c r="H166" s="18"/>
      <c r="I166" s="17"/>
      <c r="K166" s="22"/>
      <c r="L166" s="22"/>
      <c r="M166" s="19"/>
      <c r="N166" s="19"/>
    </row>
    <row r="167" spans="2:14" s="20" customFormat="1" ht="17.100000000000001" customHeight="1" x14ac:dyDescent="0.3">
      <c r="B167" s="17"/>
      <c r="C167" s="17"/>
      <c r="E167" s="15"/>
      <c r="F167" s="29"/>
      <c r="G167" s="19"/>
      <c r="H167" s="18"/>
      <c r="I167" s="17"/>
      <c r="K167" s="22"/>
      <c r="L167" s="22"/>
      <c r="M167" s="19"/>
      <c r="N167" s="19"/>
    </row>
    <row r="168" spans="2:14" s="20" customFormat="1" ht="17.100000000000001" customHeight="1" x14ac:dyDescent="0.3">
      <c r="B168" s="17"/>
      <c r="C168" s="17"/>
      <c r="E168" s="15"/>
      <c r="F168" s="29"/>
      <c r="G168" s="19"/>
      <c r="H168" s="18"/>
      <c r="I168" s="17"/>
      <c r="K168" s="22"/>
      <c r="L168" s="22"/>
      <c r="M168" s="19"/>
      <c r="N168" s="19"/>
    </row>
    <row r="169" spans="2:14" s="20" customFormat="1" ht="17.100000000000001" customHeight="1" x14ac:dyDescent="0.3">
      <c r="B169" s="17"/>
      <c r="C169" s="17"/>
      <c r="E169" s="15"/>
      <c r="F169" s="29"/>
      <c r="G169" s="19"/>
      <c r="H169" s="18"/>
      <c r="I169" s="17"/>
      <c r="K169" s="22"/>
      <c r="L169" s="22"/>
      <c r="M169" s="19"/>
      <c r="N169" s="19"/>
    </row>
    <row r="170" spans="2:14" s="20" customFormat="1" ht="17.100000000000001" customHeight="1" x14ac:dyDescent="0.3">
      <c r="B170" s="17"/>
      <c r="C170" s="17"/>
      <c r="E170" s="15"/>
      <c r="F170" s="29"/>
      <c r="G170" s="19"/>
      <c r="H170" s="18"/>
      <c r="I170" s="17"/>
      <c r="K170" s="22"/>
      <c r="L170" s="22"/>
      <c r="M170" s="19"/>
      <c r="N170" s="19"/>
    </row>
    <row r="171" spans="2:14" s="20" customFormat="1" ht="17.100000000000001" customHeight="1" x14ac:dyDescent="0.3">
      <c r="B171" s="17"/>
      <c r="C171" s="17"/>
      <c r="E171" s="15"/>
      <c r="F171" s="29"/>
      <c r="G171" s="19"/>
      <c r="H171" s="18"/>
      <c r="I171" s="17"/>
      <c r="K171" s="22"/>
      <c r="L171" s="22"/>
      <c r="M171" s="19"/>
      <c r="N171" s="19"/>
    </row>
    <row r="172" spans="2:14" s="20" customFormat="1" ht="17.100000000000001" customHeight="1" x14ac:dyDescent="0.3">
      <c r="B172" s="17"/>
      <c r="C172" s="17"/>
      <c r="E172" s="15"/>
      <c r="F172" s="29"/>
      <c r="G172" s="19"/>
      <c r="H172" s="18"/>
      <c r="I172" s="17"/>
      <c r="K172" s="22"/>
      <c r="L172" s="22"/>
      <c r="M172" s="19"/>
      <c r="N172" s="19"/>
    </row>
    <row r="173" spans="2:14" s="20" customFormat="1" ht="17.100000000000001" customHeight="1" x14ac:dyDescent="0.3">
      <c r="B173" s="17"/>
      <c r="C173" s="17"/>
      <c r="E173" s="15"/>
      <c r="F173" s="29"/>
      <c r="G173" s="19"/>
      <c r="H173" s="18"/>
      <c r="I173" s="17"/>
      <c r="K173" s="22"/>
      <c r="L173" s="22"/>
      <c r="M173" s="19"/>
      <c r="N173" s="19"/>
    </row>
    <row r="174" spans="2:14" s="20" customFormat="1" ht="17.100000000000001" customHeight="1" x14ac:dyDescent="0.3">
      <c r="B174" s="17"/>
      <c r="C174" s="17"/>
      <c r="E174" s="15"/>
      <c r="F174" s="29"/>
      <c r="G174" s="19"/>
      <c r="H174" s="18"/>
      <c r="I174" s="17"/>
      <c r="K174" s="22"/>
      <c r="L174" s="22"/>
      <c r="M174" s="19"/>
      <c r="N174" s="19"/>
    </row>
    <row r="175" spans="2:14" s="20" customFormat="1" ht="17.100000000000001" customHeight="1" x14ac:dyDescent="0.3">
      <c r="B175" s="17"/>
      <c r="C175" s="17"/>
      <c r="E175" s="15"/>
      <c r="F175" s="29"/>
      <c r="G175" s="19"/>
      <c r="H175" s="18"/>
      <c r="I175" s="17"/>
      <c r="K175" s="22"/>
      <c r="L175" s="22"/>
      <c r="M175" s="19"/>
      <c r="N175" s="19"/>
    </row>
    <row r="176" spans="2:14" s="20" customFormat="1" ht="17.100000000000001" customHeight="1" x14ac:dyDescent="0.3">
      <c r="B176" s="17"/>
      <c r="C176" s="17"/>
      <c r="E176" s="15"/>
      <c r="F176" s="29"/>
      <c r="G176" s="19"/>
      <c r="H176" s="18"/>
      <c r="I176" s="17"/>
      <c r="K176" s="22"/>
      <c r="L176" s="22"/>
      <c r="M176" s="19"/>
      <c r="N176" s="19"/>
    </row>
    <row r="177" spans="2:14" s="20" customFormat="1" ht="17.100000000000001" customHeight="1" x14ac:dyDescent="0.3">
      <c r="B177" s="17"/>
      <c r="C177" s="17"/>
      <c r="E177" s="15"/>
      <c r="F177" s="29"/>
      <c r="G177" s="19"/>
      <c r="H177" s="18"/>
      <c r="I177" s="17"/>
      <c r="K177" s="22"/>
      <c r="L177" s="22"/>
      <c r="M177" s="19"/>
      <c r="N177" s="19"/>
    </row>
    <row r="178" spans="2:14" s="20" customFormat="1" ht="17.100000000000001" customHeight="1" x14ac:dyDescent="0.3">
      <c r="B178" s="17"/>
      <c r="C178" s="17"/>
      <c r="E178" s="15"/>
      <c r="F178" s="29"/>
      <c r="G178" s="19"/>
      <c r="H178" s="18"/>
      <c r="I178" s="17"/>
      <c r="K178" s="22"/>
      <c r="L178" s="22"/>
      <c r="M178" s="19"/>
      <c r="N178" s="19"/>
    </row>
    <row r="179" spans="2:14" s="20" customFormat="1" ht="17.100000000000001" customHeight="1" x14ac:dyDescent="0.3">
      <c r="B179" s="17"/>
      <c r="C179" s="17"/>
      <c r="E179" s="15"/>
      <c r="F179" s="29"/>
      <c r="G179" s="19"/>
      <c r="H179" s="18"/>
      <c r="I179" s="17"/>
      <c r="K179" s="22"/>
      <c r="L179" s="22"/>
      <c r="M179" s="19"/>
      <c r="N179" s="19"/>
    </row>
    <row r="180" spans="2:14" s="20" customFormat="1" ht="17.100000000000001" customHeight="1" x14ac:dyDescent="0.3">
      <c r="B180" s="17"/>
      <c r="C180" s="17"/>
      <c r="E180" s="15"/>
      <c r="F180" s="29"/>
      <c r="G180" s="19"/>
      <c r="H180" s="18"/>
      <c r="I180" s="17"/>
      <c r="K180" s="22"/>
      <c r="L180" s="22"/>
      <c r="M180" s="19"/>
      <c r="N180" s="19"/>
    </row>
    <row r="181" spans="2:14" s="20" customFormat="1" ht="17.100000000000001" customHeight="1" x14ac:dyDescent="0.3">
      <c r="B181" s="17"/>
      <c r="C181" s="17"/>
      <c r="E181" s="15"/>
      <c r="F181" s="29"/>
      <c r="G181" s="19"/>
      <c r="H181" s="18"/>
      <c r="I181" s="17"/>
      <c r="K181" s="22"/>
      <c r="L181" s="22"/>
      <c r="M181" s="19"/>
      <c r="N181" s="19"/>
    </row>
    <row r="182" spans="2:14" s="20" customFormat="1" ht="17.100000000000001" customHeight="1" x14ac:dyDescent="0.3">
      <c r="B182" s="17"/>
      <c r="C182" s="17"/>
      <c r="E182" s="15"/>
      <c r="F182" s="29"/>
      <c r="G182" s="19"/>
      <c r="H182" s="18"/>
      <c r="I182" s="17"/>
      <c r="K182" s="22"/>
      <c r="L182" s="22"/>
      <c r="M182" s="19"/>
      <c r="N182" s="19"/>
    </row>
    <row r="183" spans="2:14" s="20" customFormat="1" ht="17.100000000000001" customHeight="1" x14ac:dyDescent="0.3">
      <c r="B183" s="17"/>
      <c r="C183" s="17"/>
      <c r="E183" s="15"/>
      <c r="F183" s="29"/>
      <c r="G183" s="19"/>
      <c r="H183" s="18"/>
      <c r="I183" s="17"/>
      <c r="K183" s="22"/>
      <c r="L183" s="22"/>
      <c r="M183" s="19"/>
      <c r="N183" s="19"/>
    </row>
    <row r="184" spans="2:14" s="20" customFormat="1" ht="17.100000000000001" customHeight="1" x14ac:dyDescent="0.3">
      <c r="B184" s="17"/>
      <c r="C184" s="17"/>
      <c r="E184" s="15"/>
      <c r="F184" s="29"/>
      <c r="G184" s="19"/>
      <c r="H184" s="18"/>
      <c r="I184" s="17"/>
      <c r="K184" s="22"/>
      <c r="L184" s="22"/>
      <c r="M184" s="19"/>
      <c r="N184" s="19"/>
    </row>
    <row r="185" spans="2:14" s="20" customFormat="1" ht="17.100000000000001" customHeight="1" x14ac:dyDescent="0.3">
      <c r="B185" s="17"/>
      <c r="C185" s="17"/>
      <c r="E185" s="15"/>
      <c r="F185" s="29"/>
      <c r="G185" s="19"/>
      <c r="H185" s="18"/>
      <c r="I185" s="17"/>
      <c r="K185" s="22"/>
      <c r="L185" s="22"/>
      <c r="M185" s="19"/>
      <c r="N185" s="19"/>
    </row>
    <row r="186" spans="2:14" s="20" customFormat="1" ht="17.100000000000001" customHeight="1" x14ac:dyDescent="0.3">
      <c r="B186" s="17"/>
      <c r="C186" s="17"/>
      <c r="E186" s="15"/>
      <c r="F186" s="29"/>
      <c r="G186" s="19"/>
      <c r="H186" s="18"/>
      <c r="I186" s="17"/>
      <c r="K186" s="22"/>
      <c r="L186" s="22"/>
      <c r="M186" s="19"/>
      <c r="N186" s="19"/>
    </row>
    <row r="187" spans="2:14" s="20" customFormat="1" ht="17.100000000000001" customHeight="1" x14ac:dyDescent="0.3">
      <c r="B187" s="17"/>
      <c r="C187" s="17"/>
      <c r="E187" s="15"/>
      <c r="F187" s="29"/>
      <c r="G187" s="19"/>
      <c r="H187" s="18"/>
      <c r="I187" s="17"/>
      <c r="K187" s="22"/>
      <c r="L187" s="22"/>
      <c r="M187" s="19"/>
      <c r="N187" s="19"/>
    </row>
    <row r="188" spans="2:14" s="20" customFormat="1" ht="17.100000000000001" customHeight="1" x14ac:dyDescent="0.3">
      <c r="B188" s="17"/>
      <c r="C188" s="17"/>
      <c r="E188" s="15"/>
      <c r="F188" s="29"/>
      <c r="G188" s="19"/>
      <c r="H188" s="18"/>
      <c r="I188" s="17"/>
      <c r="K188" s="22"/>
      <c r="L188" s="22"/>
      <c r="M188" s="19"/>
      <c r="N188" s="19"/>
    </row>
    <row r="189" spans="2:14" s="20" customFormat="1" ht="17.100000000000001" customHeight="1" x14ac:dyDescent="0.3">
      <c r="B189" s="17"/>
      <c r="C189" s="17"/>
      <c r="E189" s="15"/>
      <c r="F189" s="29"/>
      <c r="G189" s="19"/>
      <c r="H189" s="18"/>
      <c r="I189" s="17"/>
      <c r="K189" s="22"/>
      <c r="L189" s="22"/>
      <c r="M189" s="19"/>
      <c r="N189" s="19"/>
    </row>
    <row r="190" spans="2:14" s="20" customFormat="1" ht="17.100000000000001" customHeight="1" x14ac:dyDescent="0.3">
      <c r="B190" s="17"/>
      <c r="C190" s="17"/>
      <c r="E190" s="15"/>
      <c r="F190" s="29"/>
      <c r="G190" s="19"/>
      <c r="H190" s="18"/>
      <c r="I190" s="17"/>
      <c r="K190" s="22"/>
      <c r="L190" s="22"/>
      <c r="M190" s="19"/>
      <c r="N190" s="19"/>
    </row>
    <row r="191" spans="2:14" s="20" customFormat="1" ht="17.100000000000001" customHeight="1" x14ac:dyDescent="0.3">
      <c r="B191" s="17"/>
      <c r="C191" s="17"/>
      <c r="E191" s="15"/>
      <c r="F191" s="29"/>
      <c r="G191" s="19"/>
      <c r="H191" s="18"/>
      <c r="I191" s="17"/>
      <c r="K191" s="22"/>
      <c r="L191" s="22"/>
      <c r="M191" s="19"/>
      <c r="N191" s="19"/>
    </row>
    <row r="192" spans="2:14" s="20" customFormat="1" ht="17.100000000000001" customHeight="1" x14ac:dyDescent="0.3">
      <c r="B192" s="17"/>
      <c r="C192" s="17"/>
      <c r="E192" s="15"/>
      <c r="F192" s="29"/>
      <c r="G192" s="19"/>
      <c r="H192" s="18"/>
      <c r="I192" s="17"/>
      <c r="K192" s="22"/>
      <c r="L192" s="22"/>
      <c r="M192" s="19"/>
      <c r="N192" s="19"/>
    </row>
    <row r="193" spans="2:14" s="20" customFormat="1" ht="17.100000000000001" customHeight="1" x14ac:dyDescent="0.3">
      <c r="B193" s="17"/>
      <c r="C193" s="17"/>
      <c r="E193" s="15"/>
      <c r="F193" s="29"/>
      <c r="G193" s="19"/>
      <c r="H193" s="18"/>
      <c r="I193" s="17"/>
      <c r="K193" s="22"/>
      <c r="L193" s="22"/>
      <c r="M193" s="19"/>
      <c r="N193" s="19"/>
    </row>
    <row r="194" spans="2:14" s="20" customFormat="1" ht="17.100000000000001" customHeight="1" x14ac:dyDescent="0.3">
      <c r="B194" s="17"/>
      <c r="C194" s="17"/>
      <c r="E194" s="15"/>
      <c r="F194" s="29"/>
      <c r="G194" s="19"/>
      <c r="H194" s="18"/>
      <c r="I194" s="17"/>
      <c r="K194" s="22"/>
      <c r="L194" s="22"/>
      <c r="M194" s="19"/>
      <c r="N194" s="19"/>
    </row>
    <row r="195" spans="2:14" s="20" customFormat="1" ht="17.100000000000001" customHeight="1" x14ac:dyDescent="0.3">
      <c r="B195" s="17"/>
      <c r="C195" s="17"/>
      <c r="E195" s="15"/>
      <c r="F195" s="29"/>
      <c r="G195" s="19"/>
      <c r="H195" s="18"/>
      <c r="I195" s="17"/>
      <c r="K195" s="22"/>
      <c r="L195" s="22"/>
      <c r="M195" s="19"/>
      <c r="N195" s="19"/>
    </row>
    <row r="196" spans="2:14" s="20" customFormat="1" ht="17.100000000000001" customHeight="1" x14ac:dyDescent="0.3">
      <c r="B196" s="17"/>
      <c r="C196" s="17"/>
      <c r="E196" s="15"/>
      <c r="F196" s="29"/>
      <c r="G196" s="19"/>
      <c r="H196" s="18"/>
      <c r="I196" s="17"/>
      <c r="K196" s="22"/>
      <c r="L196" s="22"/>
      <c r="M196" s="19"/>
      <c r="N196" s="19"/>
    </row>
    <row r="197" spans="2:14" s="20" customFormat="1" ht="17.100000000000001" customHeight="1" x14ac:dyDescent="0.3">
      <c r="B197" s="17"/>
      <c r="C197" s="17"/>
      <c r="E197" s="15"/>
      <c r="F197" s="29"/>
      <c r="G197" s="19"/>
      <c r="H197" s="18"/>
      <c r="I197" s="17"/>
      <c r="K197" s="22"/>
      <c r="L197" s="22"/>
      <c r="M197" s="19"/>
      <c r="N197" s="19"/>
    </row>
    <row r="198" spans="2:14" s="20" customFormat="1" ht="17.100000000000001" customHeight="1" x14ac:dyDescent="0.3">
      <c r="B198" s="17"/>
      <c r="C198" s="17"/>
      <c r="E198" s="15"/>
      <c r="F198" s="29"/>
      <c r="G198" s="19"/>
      <c r="H198" s="18"/>
      <c r="I198" s="17"/>
      <c r="K198" s="22"/>
      <c r="L198" s="22"/>
      <c r="M198" s="19"/>
      <c r="N198" s="19"/>
    </row>
    <row r="199" spans="2:14" s="20" customFormat="1" ht="17.100000000000001" customHeight="1" x14ac:dyDescent="0.3">
      <c r="B199" s="17"/>
      <c r="C199" s="17"/>
      <c r="E199" s="15"/>
      <c r="F199" s="29"/>
      <c r="G199" s="19"/>
      <c r="H199" s="18"/>
      <c r="I199" s="17"/>
      <c r="K199" s="22"/>
      <c r="L199" s="22"/>
      <c r="M199" s="19"/>
      <c r="N199" s="19"/>
    </row>
    <row r="200" spans="2:14" s="20" customFormat="1" ht="17.100000000000001" customHeight="1" x14ac:dyDescent="0.3">
      <c r="B200" s="17"/>
      <c r="C200" s="17"/>
      <c r="E200" s="15"/>
      <c r="F200" s="29"/>
      <c r="G200" s="19"/>
      <c r="H200" s="18"/>
      <c r="I200" s="17"/>
      <c r="K200" s="22"/>
      <c r="L200" s="22"/>
      <c r="M200" s="19"/>
      <c r="N200" s="19"/>
    </row>
    <row r="201" spans="2:14" s="20" customFormat="1" ht="17.100000000000001" customHeight="1" x14ac:dyDescent="0.3">
      <c r="B201" s="17"/>
      <c r="C201" s="17"/>
      <c r="E201" s="15"/>
      <c r="F201" s="29"/>
      <c r="G201" s="19"/>
      <c r="H201" s="18"/>
      <c r="I201" s="17"/>
      <c r="K201" s="22"/>
      <c r="L201" s="22"/>
      <c r="M201" s="19"/>
      <c r="N201" s="19"/>
    </row>
    <row r="202" spans="2:14" s="20" customFormat="1" ht="17.100000000000001" customHeight="1" x14ac:dyDescent="0.3">
      <c r="B202" s="17"/>
      <c r="C202" s="17"/>
      <c r="E202" s="15"/>
      <c r="F202" s="29"/>
      <c r="G202" s="19"/>
      <c r="H202" s="18"/>
      <c r="I202" s="17"/>
      <c r="K202" s="22"/>
      <c r="L202" s="22"/>
      <c r="M202" s="19"/>
      <c r="N202" s="19"/>
    </row>
    <row r="203" spans="2:14" s="20" customFormat="1" ht="17.100000000000001" customHeight="1" x14ac:dyDescent="0.3">
      <c r="B203" s="17"/>
      <c r="C203" s="17"/>
      <c r="E203" s="15"/>
      <c r="F203" s="29"/>
      <c r="G203" s="19"/>
      <c r="H203" s="18"/>
      <c r="I203" s="17"/>
      <c r="K203" s="22"/>
      <c r="L203" s="22"/>
      <c r="M203" s="19"/>
      <c r="N203" s="19"/>
    </row>
    <row r="204" spans="2:14" s="20" customFormat="1" ht="17.100000000000001" customHeight="1" x14ac:dyDescent="0.3">
      <c r="B204" s="17"/>
      <c r="C204" s="17"/>
      <c r="E204" s="15"/>
      <c r="F204" s="29"/>
      <c r="G204" s="19"/>
      <c r="H204" s="18"/>
      <c r="I204" s="17"/>
      <c r="K204" s="22"/>
      <c r="L204" s="22"/>
      <c r="M204" s="19"/>
      <c r="N204" s="19"/>
    </row>
    <row r="205" spans="2:14" s="20" customFormat="1" ht="17.100000000000001" customHeight="1" x14ac:dyDescent="0.3">
      <c r="B205" s="17"/>
      <c r="C205" s="17"/>
      <c r="E205" s="15"/>
      <c r="F205" s="29"/>
      <c r="G205" s="19"/>
      <c r="H205" s="18"/>
      <c r="I205" s="17"/>
      <c r="K205" s="22"/>
      <c r="L205" s="22"/>
      <c r="M205" s="19"/>
      <c r="N205" s="19"/>
    </row>
    <row r="206" spans="2:14" s="20" customFormat="1" ht="17.100000000000001" customHeight="1" x14ac:dyDescent="0.3">
      <c r="B206" s="17"/>
      <c r="C206" s="17"/>
      <c r="E206" s="15"/>
      <c r="F206" s="29"/>
      <c r="G206" s="19"/>
      <c r="H206" s="18"/>
      <c r="I206" s="17"/>
      <c r="K206" s="22"/>
      <c r="L206" s="22"/>
      <c r="M206" s="19"/>
      <c r="N206" s="19"/>
    </row>
    <row r="207" spans="2:14" s="20" customFormat="1" ht="17.100000000000001" customHeight="1" x14ac:dyDescent="0.3">
      <c r="B207" s="17"/>
      <c r="C207" s="17"/>
      <c r="E207" s="15"/>
      <c r="F207" s="29"/>
      <c r="G207" s="19"/>
      <c r="H207" s="18"/>
      <c r="I207" s="17"/>
      <c r="K207" s="22"/>
      <c r="L207" s="22"/>
      <c r="M207" s="19"/>
      <c r="N207" s="19"/>
    </row>
    <row r="208" spans="2:14" s="20" customFormat="1" ht="17.100000000000001" customHeight="1" x14ac:dyDescent="0.3">
      <c r="B208" s="17"/>
      <c r="C208" s="17"/>
      <c r="E208" s="15"/>
      <c r="F208" s="29"/>
      <c r="G208" s="19"/>
      <c r="H208" s="18"/>
      <c r="I208" s="17"/>
      <c r="K208" s="22"/>
      <c r="L208" s="22"/>
      <c r="M208" s="19"/>
      <c r="N208" s="19"/>
    </row>
    <row r="209" spans="2:14" s="20" customFormat="1" ht="17.100000000000001" customHeight="1" x14ac:dyDescent="0.3">
      <c r="B209" s="17"/>
      <c r="C209" s="17"/>
      <c r="E209" s="15"/>
      <c r="F209" s="29"/>
      <c r="G209" s="19"/>
      <c r="H209" s="18"/>
      <c r="I209" s="17"/>
      <c r="K209" s="22"/>
      <c r="L209" s="22"/>
      <c r="M209" s="19"/>
      <c r="N209" s="19"/>
    </row>
    <row r="210" spans="2:14" s="20" customFormat="1" ht="17.100000000000001" customHeight="1" x14ac:dyDescent="0.3">
      <c r="B210" s="17"/>
      <c r="C210" s="17"/>
      <c r="E210" s="15"/>
      <c r="F210" s="29"/>
      <c r="G210" s="19"/>
      <c r="H210" s="18"/>
      <c r="I210" s="17"/>
      <c r="K210" s="22"/>
      <c r="L210" s="22"/>
      <c r="M210" s="19"/>
      <c r="N210" s="19"/>
    </row>
    <row r="211" spans="2:14" s="20" customFormat="1" ht="17.100000000000001" customHeight="1" x14ac:dyDescent="0.3">
      <c r="B211" s="17"/>
      <c r="C211" s="17"/>
      <c r="E211" s="15"/>
      <c r="F211" s="29"/>
      <c r="G211" s="19"/>
      <c r="H211" s="18"/>
      <c r="I211" s="17"/>
      <c r="K211" s="22"/>
      <c r="L211" s="22"/>
      <c r="M211" s="19"/>
      <c r="N211" s="19"/>
    </row>
    <row r="212" spans="2:14" s="20" customFormat="1" ht="17.100000000000001" customHeight="1" x14ac:dyDescent="0.3">
      <c r="B212" s="17"/>
      <c r="C212" s="17"/>
      <c r="E212" s="15"/>
      <c r="F212" s="29"/>
      <c r="G212" s="19"/>
      <c r="H212" s="18"/>
      <c r="I212" s="17"/>
      <c r="K212" s="22"/>
      <c r="L212" s="22"/>
      <c r="M212" s="19"/>
      <c r="N212" s="19"/>
    </row>
    <row r="213" spans="2:14" s="20" customFormat="1" ht="17.100000000000001" customHeight="1" x14ac:dyDescent="0.3">
      <c r="B213" s="17"/>
      <c r="C213" s="17"/>
      <c r="E213" s="15"/>
      <c r="F213" s="29"/>
      <c r="G213" s="19"/>
      <c r="H213" s="18"/>
      <c r="I213" s="17"/>
      <c r="K213" s="22"/>
      <c r="L213" s="22"/>
      <c r="M213" s="19"/>
      <c r="N213" s="19"/>
    </row>
    <row r="214" spans="2:14" s="20" customFormat="1" ht="17.100000000000001" customHeight="1" x14ac:dyDescent="0.3">
      <c r="B214" s="17"/>
      <c r="C214" s="17"/>
      <c r="E214" s="15"/>
      <c r="F214" s="29"/>
      <c r="G214" s="19"/>
      <c r="H214" s="18"/>
      <c r="I214" s="17"/>
      <c r="K214" s="22"/>
      <c r="L214" s="22"/>
      <c r="M214" s="19"/>
      <c r="N214" s="19"/>
    </row>
    <row r="215" spans="2:14" s="20" customFormat="1" ht="17.100000000000001" customHeight="1" x14ac:dyDescent="0.3">
      <c r="B215" s="17"/>
      <c r="C215" s="17"/>
      <c r="E215" s="15"/>
      <c r="F215" s="29"/>
      <c r="G215" s="19"/>
      <c r="H215" s="18"/>
      <c r="I215" s="17"/>
      <c r="K215" s="22"/>
      <c r="L215" s="22"/>
      <c r="M215" s="19"/>
      <c r="N215" s="19"/>
    </row>
    <row r="216" spans="2:14" s="20" customFormat="1" ht="17.100000000000001" customHeight="1" x14ac:dyDescent="0.3">
      <c r="B216" s="17"/>
      <c r="C216" s="17"/>
      <c r="E216" s="15"/>
      <c r="F216" s="29"/>
      <c r="G216" s="19"/>
      <c r="H216" s="18"/>
      <c r="I216" s="17"/>
      <c r="K216" s="22"/>
      <c r="L216" s="22"/>
      <c r="M216" s="19"/>
      <c r="N216" s="19"/>
    </row>
    <row r="217" spans="2:14" s="20" customFormat="1" ht="17.100000000000001" customHeight="1" x14ac:dyDescent="0.3">
      <c r="B217" s="17"/>
      <c r="C217" s="17"/>
      <c r="E217" s="15"/>
      <c r="F217" s="29"/>
      <c r="G217" s="19"/>
      <c r="H217" s="18"/>
      <c r="I217" s="17"/>
      <c r="K217" s="22"/>
      <c r="L217" s="22"/>
      <c r="M217" s="19"/>
      <c r="N217" s="19"/>
    </row>
    <row r="218" spans="2:14" s="20" customFormat="1" ht="17.100000000000001" customHeight="1" x14ac:dyDescent="0.3">
      <c r="B218" s="17"/>
      <c r="C218" s="17"/>
      <c r="E218" s="15"/>
      <c r="F218" s="29"/>
      <c r="G218" s="19"/>
      <c r="H218" s="18"/>
      <c r="I218" s="17"/>
      <c r="K218" s="22"/>
      <c r="L218" s="22"/>
      <c r="M218" s="19"/>
      <c r="N218" s="19"/>
    </row>
    <row r="219" spans="2:14" s="20" customFormat="1" ht="17.100000000000001" customHeight="1" x14ac:dyDescent="0.3">
      <c r="B219" s="17"/>
      <c r="C219" s="17"/>
      <c r="E219" s="15"/>
      <c r="F219" s="29"/>
      <c r="G219" s="19"/>
      <c r="H219" s="18"/>
      <c r="I219" s="17"/>
      <c r="K219" s="22"/>
      <c r="L219" s="22"/>
      <c r="M219" s="19"/>
      <c r="N219" s="19"/>
    </row>
    <row r="220" spans="2:14" s="20" customFormat="1" ht="17.100000000000001" customHeight="1" x14ac:dyDescent="0.3">
      <c r="B220" s="17"/>
      <c r="C220" s="17"/>
      <c r="E220" s="15"/>
      <c r="F220" s="29"/>
      <c r="G220" s="19"/>
      <c r="H220" s="18"/>
      <c r="I220" s="17"/>
      <c r="K220" s="22"/>
      <c r="L220" s="22"/>
      <c r="M220" s="19"/>
      <c r="N220" s="19"/>
    </row>
    <row r="221" spans="2:14" s="20" customFormat="1" ht="17.100000000000001" customHeight="1" x14ac:dyDescent="0.3">
      <c r="B221" s="17"/>
      <c r="C221" s="17"/>
      <c r="E221" s="15"/>
      <c r="F221" s="29"/>
      <c r="G221" s="19"/>
      <c r="H221" s="18"/>
      <c r="I221" s="17"/>
      <c r="K221" s="22"/>
      <c r="L221" s="22"/>
      <c r="M221" s="19"/>
      <c r="N221" s="19"/>
    </row>
    <row r="222" spans="2:14" s="20" customFormat="1" ht="17.100000000000001" customHeight="1" x14ac:dyDescent="0.3">
      <c r="B222" s="17"/>
      <c r="C222" s="17"/>
      <c r="E222" s="15"/>
      <c r="F222" s="29"/>
      <c r="G222" s="19"/>
      <c r="H222" s="18"/>
      <c r="I222" s="17"/>
      <c r="K222" s="22"/>
      <c r="L222" s="22"/>
      <c r="M222" s="19"/>
      <c r="N222" s="19"/>
    </row>
    <row r="223" spans="2:14" s="20" customFormat="1" ht="17.100000000000001" customHeight="1" x14ac:dyDescent="0.3">
      <c r="B223" s="17"/>
      <c r="C223" s="17"/>
      <c r="E223" s="15"/>
      <c r="F223" s="29"/>
      <c r="G223" s="19"/>
      <c r="H223" s="18"/>
      <c r="I223" s="17"/>
      <c r="K223" s="22"/>
      <c r="L223" s="22"/>
      <c r="M223" s="19"/>
      <c r="N223" s="19"/>
    </row>
    <row r="224" spans="2:14" s="20" customFormat="1" ht="17.100000000000001" customHeight="1" x14ac:dyDescent="0.3">
      <c r="B224" s="17"/>
      <c r="C224" s="17"/>
      <c r="E224" s="15"/>
      <c r="F224" s="29"/>
      <c r="G224" s="19"/>
      <c r="H224" s="18"/>
      <c r="I224" s="17"/>
      <c r="K224" s="22"/>
      <c r="L224" s="22"/>
      <c r="M224" s="19"/>
      <c r="N224" s="19"/>
    </row>
    <row r="225" spans="2:14" s="20" customFormat="1" ht="17.100000000000001" customHeight="1" x14ac:dyDescent="0.3">
      <c r="B225" s="17"/>
      <c r="C225" s="17"/>
      <c r="E225" s="15"/>
      <c r="F225" s="29"/>
      <c r="G225" s="19"/>
      <c r="H225" s="18"/>
      <c r="I225" s="17"/>
      <c r="K225" s="22"/>
      <c r="L225" s="22"/>
      <c r="M225" s="19"/>
      <c r="N225" s="19"/>
    </row>
    <row r="226" spans="2:14" s="20" customFormat="1" ht="17.100000000000001" customHeight="1" x14ac:dyDescent="0.3">
      <c r="B226" s="17"/>
      <c r="C226" s="17"/>
      <c r="E226" s="15"/>
      <c r="F226" s="29"/>
      <c r="G226" s="19"/>
      <c r="H226" s="18"/>
      <c r="I226" s="17"/>
      <c r="K226" s="22"/>
      <c r="L226" s="22"/>
      <c r="M226" s="19"/>
      <c r="N226" s="19"/>
    </row>
    <row r="227" spans="2:14" s="20" customFormat="1" ht="17.100000000000001" customHeight="1" x14ac:dyDescent="0.3">
      <c r="B227" s="17"/>
      <c r="C227" s="17"/>
      <c r="E227" s="15"/>
      <c r="F227" s="29"/>
      <c r="G227" s="19"/>
      <c r="H227" s="18"/>
      <c r="I227" s="17"/>
      <c r="K227" s="22"/>
      <c r="L227" s="22"/>
      <c r="M227" s="19"/>
      <c r="N227" s="19"/>
    </row>
    <row r="228" spans="2:14" s="20" customFormat="1" ht="17.100000000000001" customHeight="1" x14ac:dyDescent="0.3">
      <c r="B228" s="17"/>
      <c r="C228" s="17"/>
      <c r="E228" s="15"/>
      <c r="F228" s="29"/>
      <c r="G228" s="19"/>
      <c r="H228" s="18"/>
      <c r="I228" s="17"/>
      <c r="K228" s="22"/>
      <c r="L228" s="22"/>
      <c r="M228" s="19"/>
      <c r="N228" s="19"/>
    </row>
    <row r="229" spans="2:14" s="20" customFormat="1" ht="17.100000000000001" customHeight="1" x14ac:dyDescent="0.3">
      <c r="B229" s="17"/>
      <c r="C229" s="17"/>
      <c r="E229" s="15"/>
      <c r="F229" s="29"/>
      <c r="G229" s="19"/>
      <c r="H229" s="18"/>
      <c r="I229" s="17"/>
      <c r="K229" s="22"/>
      <c r="L229" s="22"/>
      <c r="M229" s="19"/>
      <c r="N229" s="19"/>
    </row>
    <row r="230" spans="2:14" s="20" customFormat="1" ht="17.100000000000001" customHeight="1" x14ac:dyDescent="0.3">
      <c r="B230" s="17"/>
      <c r="C230" s="17"/>
      <c r="E230" s="15"/>
      <c r="F230" s="29"/>
      <c r="G230" s="19"/>
      <c r="H230" s="18"/>
      <c r="I230" s="17"/>
      <c r="K230" s="22"/>
      <c r="L230" s="22"/>
      <c r="M230" s="19"/>
      <c r="N230" s="19"/>
    </row>
    <row r="231" spans="2:14" s="20" customFormat="1" ht="17.100000000000001" customHeight="1" x14ac:dyDescent="0.3">
      <c r="B231" s="17"/>
      <c r="C231" s="17"/>
      <c r="E231" s="15"/>
      <c r="F231" s="29"/>
      <c r="G231" s="19"/>
      <c r="H231" s="18"/>
      <c r="I231" s="17"/>
      <c r="K231" s="22"/>
      <c r="L231" s="22"/>
      <c r="M231" s="19"/>
      <c r="N231" s="19"/>
    </row>
    <row r="232" spans="2:14" s="20" customFormat="1" ht="17.100000000000001" customHeight="1" x14ac:dyDescent="0.3">
      <c r="B232" s="17"/>
      <c r="C232" s="17"/>
      <c r="E232" s="15"/>
      <c r="F232" s="29"/>
      <c r="G232" s="19"/>
      <c r="H232" s="18"/>
      <c r="I232" s="17"/>
      <c r="K232" s="22"/>
      <c r="L232" s="22"/>
      <c r="M232" s="19"/>
      <c r="N232" s="19"/>
    </row>
    <row r="233" spans="2:14" s="20" customFormat="1" ht="17.100000000000001" customHeight="1" x14ac:dyDescent="0.3">
      <c r="B233" s="17"/>
      <c r="C233" s="17"/>
      <c r="E233" s="15"/>
      <c r="F233" s="29"/>
      <c r="G233" s="19"/>
      <c r="H233" s="18"/>
      <c r="I233" s="17"/>
      <c r="K233" s="22"/>
      <c r="L233" s="22"/>
      <c r="M233" s="19"/>
      <c r="N233" s="19"/>
    </row>
    <row r="234" spans="2:14" s="20" customFormat="1" ht="17.100000000000001" customHeight="1" x14ac:dyDescent="0.3">
      <c r="B234" s="17"/>
      <c r="C234" s="17"/>
      <c r="E234" s="15"/>
      <c r="F234" s="29"/>
      <c r="G234" s="19"/>
      <c r="H234" s="18"/>
      <c r="I234" s="17"/>
      <c r="K234" s="22"/>
      <c r="L234" s="22"/>
      <c r="M234" s="19"/>
      <c r="N234" s="19"/>
    </row>
    <row r="235" spans="2:14" s="20" customFormat="1" ht="17.100000000000001" customHeight="1" x14ac:dyDescent="0.3">
      <c r="B235" s="17"/>
      <c r="C235" s="17"/>
      <c r="E235" s="15"/>
      <c r="F235" s="29"/>
      <c r="G235" s="19"/>
      <c r="H235" s="18"/>
      <c r="I235" s="17"/>
      <c r="K235" s="22"/>
      <c r="L235" s="22"/>
      <c r="M235" s="19"/>
      <c r="N235" s="19"/>
    </row>
    <row r="236" spans="2:14" s="20" customFormat="1" ht="17.100000000000001" customHeight="1" x14ac:dyDescent="0.3">
      <c r="B236" s="17"/>
      <c r="C236" s="17"/>
      <c r="E236" s="15"/>
      <c r="F236" s="29"/>
      <c r="G236" s="19"/>
      <c r="H236" s="18"/>
      <c r="I236" s="17"/>
      <c r="K236" s="22"/>
      <c r="L236" s="22"/>
      <c r="M236" s="19"/>
      <c r="N236" s="19"/>
    </row>
    <row r="237" spans="2:14" s="20" customFormat="1" ht="17.100000000000001" customHeight="1" x14ac:dyDescent="0.3">
      <c r="B237" s="17"/>
      <c r="C237" s="17"/>
      <c r="E237" s="15"/>
      <c r="F237" s="29"/>
      <c r="G237" s="19"/>
      <c r="H237" s="18"/>
      <c r="I237" s="17"/>
      <c r="K237" s="22"/>
      <c r="L237" s="22"/>
      <c r="M237" s="19"/>
      <c r="N237" s="19"/>
    </row>
    <row r="238" spans="2:14" s="20" customFormat="1" ht="17.100000000000001" customHeight="1" x14ac:dyDescent="0.3">
      <c r="B238" s="17"/>
      <c r="C238" s="17"/>
      <c r="E238" s="15"/>
      <c r="F238" s="29"/>
      <c r="G238" s="19"/>
      <c r="H238" s="18"/>
      <c r="I238" s="17"/>
      <c r="K238" s="22"/>
      <c r="L238" s="22"/>
      <c r="M238" s="19"/>
      <c r="N238" s="19"/>
    </row>
    <row r="239" spans="2:14" s="20" customFormat="1" ht="17.100000000000001" customHeight="1" x14ac:dyDescent="0.3">
      <c r="B239" s="17"/>
      <c r="C239" s="17"/>
      <c r="E239" s="15"/>
      <c r="F239" s="29"/>
      <c r="G239" s="19"/>
      <c r="H239" s="18"/>
      <c r="I239" s="17"/>
      <c r="K239" s="22"/>
      <c r="L239" s="22"/>
      <c r="M239" s="19"/>
      <c r="N239" s="19"/>
    </row>
    <row r="240" spans="2:14" s="20" customFormat="1" ht="17.100000000000001" customHeight="1" x14ac:dyDescent="0.3">
      <c r="B240" s="17"/>
      <c r="C240" s="17"/>
      <c r="E240" s="15"/>
      <c r="F240" s="29"/>
      <c r="G240" s="19"/>
      <c r="H240" s="18"/>
      <c r="I240" s="17"/>
      <c r="K240" s="22"/>
      <c r="L240" s="22"/>
      <c r="M240" s="19"/>
      <c r="N240" s="19"/>
    </row>
    <row r="241" spans="2:14" s="20" customFormat="1" ht="17.100000000000001" customHeight="1" x14ac:dyDescent="0.3">
      <c r="B241" s="17"/>
      <c r="C241" s="17"/>
      <c r="E241" s="15"/>
      <c r="F241" s="29"/>
      <c r="G241" s="19"/>
      <c r="H241" s="18"/>
      <c r="I241" s="17"/>
      <c r="K241" s="22"/>
      <c r="L241" s="22"/>
      <c r="M241" s="19"/>
      <c r="N241" s="19"/>
    </row>
    <row r="242" spans="2:14" s="20" customFormat="1" ht="17.100000000000001" customHeight="1" x14ac:dyDescent="0.3">
      <c r="B242" s="17"/>
      <c r="C242" s="17"/>
      <c r="E242" s="15"/>
      <c r="F242" s="29"/>
      <c r="G242" s="19"/>
      <c r="H242" s="18"/>
      <c r="I242" s="17"/>
      <c r="K242" s="22"/>
      <c r="L242" s="22"/>
      <c r="M242" s="19"/>
      <c r="N242" s="19"/>
    </row>
    <row r="243" spans="2:14" s="20" customFormat="1" ht="17.100000000000001" customHeight="1" x14ac:dyDescent="0.3">
      <c r="B243" s="17"/>
      <c r="C243" s="17"/>
      <c r="E243" s="15"/>
      <c r="F243" s="29"/>
      <c r="G243" s="19"/>
      <c r="H243" s="18"/>
      <c r="I243" s="17"/>
      <c r="K243" s="22"/>
      <c r="L243" s="22"/>
      <c r="M243" s="19"/>
      <c r="N243" s="19"/>
    </row>
    <row r="244" spans="2:14" s="20" customFormat="1" ht="17.100000000000001" customHeight="1" x14ac:dyDescent="0.3">
      <c r="B244" s="17"/>
      <c r="C244" s="17"/>
      <c r="E244" s="15"/>
      <c r="F244" s="29"/>
      <c r="G244" s="19"/>
      <c r="H244" s="18"/>
      <c r="I244" s="17"/>
      <c r="K244" s="22"/>
      <c r="L244" s="22"/>
      <c r="M244" s="19"/>
      <c r="N244" s="19"/>
    </row>
    <row r="245" spans="2:14" s="20" customFormat="1" ht="17.100000000000001" customHeight="1" x14ac:dyDescent="0.3">
      <c r="B245" s="17"/>
      <c r="C245" s="17"/>
      <c r="E245" s="15"/>
      <c r="F245" s="29"/>
      <c r="G245" s="19"/>
      <c r="H245" s="18"/>
      <c r="I245" s="17"/>
      <c r="K245" s="22"/>
      <c r="L245" s="22"/>
      <c r="M245" s="19"/>
      <c r="N245" s="19"/>
    </row>
    <row r="246" spans="2:14" s="20" customFormat="1" ht="17.100000000000001" customHeight="1" x14ac:dyDescent="0.3">
      <c r="B246" s="17"/>
      <c r="C246" s="17"/>
      <c r="E246" s="15"/>
      <c r="F246" s="29"/>
      <c r="G246" s="19"/>
      <c r="H246" s="18"/>
      <c r="I246" s="17"/>
      <c r="K246" s="22"/>
      <c r="L246" s="22"/>
      <c r="M246" s="19"/>
      <c r="N246" s="19"/>
    </row>
    <row r="247" spans="2:14" s="20" customFormat="1" ht="17.100000000000001" customHeight="1" x14ac:dyDescent="0.3">
      <c r="B247" s="17"/>
      <c r="C247" s="17"/>
      <c r="E247" s="15"/>
      <c r="F247" s="29"/>
      <c r="G247" s="19"/>
      <c r="H247" s="18"/>
      <c r="I247" s="17"/>
      <c r="K247" s="22"/>
      <c r="L247" s="22"/>
      <c r="M247" s="19"/>
      <c r="N247" s="19"/>
    </row>
    <row r="248" spans="2:14" s="20" customFormat="1" ht="17.100000000000001" customHeight="1" x14ac:dyDescent="0.3">
      <c r="B248" s="17"/>
      <c r="C248" s="17"/>
      <c r="E248" s="15"/>
      <c r="F248" s="29"/>
      <c r="G248" s="19"/>
      <c r="H248" s="18"/>
      <c r="I248" s="17"/>
      <c r="K248" s="22"/>
      <c r="L248" s="22"/>
      <c r="M248" s="19"/>
      <c r="N248" s="19"/>
    </row>
    <row r="249" spans="2:14" s="20" customFormat="1" ht="17.100000000000001" customHeight="1" x14ac:dyDescent="0.3">
      <c r="B249" s="17"/>
      <c r="C249" s="17"/>
      <c r="E249" s="15"/>
      <c r="F249" s="29"/>
      <c r="G249" s="19"/>
      <c r="H249" s="18"/>
      <c r="I249" s="17"/>
      <c r="K249" s="22"/>
      <c r="L249" s="22"/>
      <c r="M249" s="19"/>
      <c r="N249" s="19"/>
    </row>
    <row r="250" spans="2:14" s="20" customFormat="1" ht="17.100000000000001" customHeight="1" x14ac:dyDescent="0.3">
      <c r="B250" s="17"/>
      <c r="C250" s="17"/>
      <c r="E250" s="15"/>
      <c r="F250" s="29"/>
      <c r="G250" s="19"/>
      <c r="H250" s="18"/>
      <c r="I250" s="17"/>
      <c r="K250" s="22"/>
      <c r="L250" s="22"/>
      <c r="M250" s="19"/>
      <c r="N250" s="19"/>
    </row>
    <row r="251" spans="2:14" s="20" customFormat="1" ht="17.100000000000001" customHeight="1" x14ac:dyDescent="0.3">
      <c r="B251" s="17"/>
      <c r="C251" s="17"/>
      <c r="E251" s="15"/>
      <c r="F251" s="29"/>
      <c r="G251" s="19"/>
      <c r="H251" s="18"/>
      <c r="I251" s="17"/>
      <c r="K251" s="22"/>
      <c r="L251" s="22"/>
      <c r="M251" s="19"/>
      <c r="N251" s="19"/>
    </row>
    <row r="252" spans="2:14" s="20" customFormat="1" ht="17.100000000000001" customHeight="1" x14ac:dyDescent="0.3">
      <c r="B252" s="17"/>
      <c r="C252" s="17"/>
      <c r="E252" s="15"/>
      <c r="F252" s="29"/>
      <c r="G252" s="19"/>
      <c r="H252" s="18"/>
      <c r="I252" s="17"/>
      <c r="K252" s="22"/>
      <c r="L252" s="22"/>
      <c r="M252" s="19"/>
      <c r="N252" s="19"/>
    </row>
    <row r="253" spans="2:14" s="20" customFormat="1" ht="17.100000000000001" customHeight="1" x14ac:dyDescent="0.3">
      <c r="B253" s="17"/>
      <c r="C253" s="17"/>
      <c r="E253" s="15"/>
      <c r="F253" s="29"/>
      <c r="G253" s="19"/>
      <c r="H253" s="18"/>
      <c r="I253" s="17"/>
      <c r="K253" s="22"/>
      <c r="L253" s="22"/>
      <c r="M253" s="19"/>
      <c r="N253" s="19"/>
    </row>
    <row r="254" spans="2:14" s="20" customFormat="1" ht="17.100000000000001" customHeight="1" x14ac:dyDescent="0.3">
      <c r="B254" s="17"/>
      <c r="C254" s="17"/>
      <c r="E254" s="15"/>
      <c r="F254" s="29"/>
      <c r="G254" s="19"/>
      <c r="H254" s="18"/>
      <c r="I254" s="17"/>
      <c r="K254" s="22"/>
      <c r="L254" s="22"/>
      <c r="M254" s="19"/>
      <c r="N254" s="19"/>
    </row>
    <row r="255" spans="2:14" s="20" customFormat="1" ht="17.100000000000001" customHeight="1" x14ac:dyDescent="0.3">
      <c r="B255" s="17"/>
      <c r="C255" s="17"/>
      <c r="E255" s="15"/>
      <c r="F255" s="29"/>
      <c r="G255" s="19"/>
      <c r="H255" s="18"/>
      <c r="I255" s="17"/>
      <c r="K255" s="22"/>
      <c r="L255" s="22"/>
      <c r="M255" s="19"/>
      <c r="N255" s="19"/>
    </row>
    <row r="256" spans="2:14" s="20" customFormat="1" ht="17.100000000000001" customHeight="1" x14ac:dyDescent="0.3">
      <c r="B256" s="17"/>
      <c r="C256" s="17"/>
      <c r="E256" s="15"/>
      <c r="F256" s="29"/>
      <c r="G256" s="19"/>
      <c r="H256" s="18"/>
      <c r="I256" s="17"/>
      <c r="K256" s="22"/>
      <c r="L256" s="22"/>
      <c r="M256" s="19"/>
      <c r="N256" s="19"/>
    </row>
    <row r="257" spans="2:14" s="20" customFormat="1" ht="17.100000000000001" customHeight="1" x14ac:dyDescent="0.3">
      <c r="B257" s="17"/>
      <c r="C257" s="17"/>
      <c r="E257" s="15"/>
      <c r="F257" s="29"/>
      <c r="G257" s="19"/>
      <c r="H257" s="18"/>
      <c r="I257" s="17"/>
      <c r="K257" s="22"/>
      <c r="L257" s="22"/>
      <c r="M257" s="19"/>
      <c r="N257" s="19"/>
    </row>
    <row r="258" spans="2:14" s="20" customFormat="1" ht="17.100000000000001" customHeight="1" x14ac:dyDescent="0.3">
      <c r="B258" s="17"/>
      <c r="C258" s="17"/>
      <c r="E258" s="15"/>
      <c r="F258" s="29"/>
      <c r="G258" s="19"/>
      <c r="H258" s="18"/>
      <c r="I258" s="17"/>
      <c r="K258" s="22"/>
      <c r="L258" s="22"/>
      <c r="M258" s="19"/>
      <c r="N258" s="19"/>
    </row>
    <row r="259" spans="2:14" s="20" customFormat="1" ht="17.100000000000001" customHeight="1" x14ac:dyDescent="0.3">
      <c r="B259" s="17"/>
      <c r="C259" s="17"/>
      <c r="E259" s="15"/>
      <c r="F259" s="29"/>
      <c r="G259" s="19"/>
      <c r="H259" s="18"/>
      <c r="I259" s="17"/>
      <c r="K259" s="22"/>
      <c r="L259" s="22"/>
      <c r="M259" s="19"/>
      <c r="N259" s="19"/>
    </row>
    <row r="260" spans="2:14" s="20" customFormat="1" ht="17.100000000000001" customHeight="1" x14ac:dyDescent="0.3">
      <c r="B260" s="17"/>
      <c r="C260" s="17"/>
      <c r="E260" s="15"/>
      <c r="F260" s="29"/>
      <c r="G260" s="19"/>
      <c r="H260" s="18"/>
      <c r="I260" s="17"/>
      <c r="K260" s="22"/>
      <c r="L260" s="22"/>
      <c r="M260" s="19"/>
      <c r="N260" s="19"/>
    </row>
    <row r="261" spans="2:14" s="20" customFormat="1" ht="17.100000000000001" customHeight="1" x14ac:dyDescent="0.3">
      <c r="B261" s="17"/>
      <c r="C261" s="17"/>
      <c r="E261" s="15"/>
      <c r="F261" s="29"/>
      <c r="G261" s="19"/>
      <c r="H261" s="18"/>
      <c r="I261" s="17"/>
      <c r="K261" s="22"/>
      <c r="L261" s="22"/>
      <c r="M261" s="19"/>
      <c r="N261" s="19"/>
    </row>
    <row r="262" spans="2:14" s="20" customFormat="1" ht="17.100000000000001" customHeight="1" x14ac:dyDescent="0.3">
      <c r="B262" s="17"/>
      <c r="C262" s="17"/>
      <c r="E262" s="15"/>
      <c r="F262" s="29"/>
      <c r="G262" s="19"/>
      <c r="H262" s="18"/>
      <c r="I262" s="17"/>
      <c r="K262" s="22"/>
      <c r="L262" s="22"/>
      <c r="M262" s="19"/>
      <c r="N262" s="19"/>
    </row>
    <row r="263" spans="2:14" s="20" customFormat="1" ht="17.100000000000001" customHeight="1" x14ac:dyDescent="0.3">
      <c r="B263" s="17"/>
      <c r="C263" s="17"/>
      <c r="E263" s="15"/>
      <c r="F263" s="29"/>
      <c r="G263" s="19"/>
      <c r="H263" s="18"/>
      <c r="I263" s="17"/>
      <c r="K263" s="22"/>
      <c r="L263" s="22"/>
      <c r="M263" s="19"/>
      <c r="N263" s="19"/>
    </row>
    <row r="264" spans="2:14" s="20" customFormat="1" ht="17.100000000000001" customHeight="1" x14ac:dyDescent="0.3">
      <c r="B264" s="17"/>
      <c r="C264" s="17"/>
      <c r="E264" s="15"/>
      <c r="F264" s="29"/>
      <c r="G264" s="19"/>
      <c r="H264" s="18"/>
      <c r="I264" s="17"/>
      <c r="K264" s="22"/>
      <c r="L264" s="22"/>
      <c r="M264" s="19"/>
      <c r="N264" s="19"/>
    </row>
    <row r="265" spans="2:14" s="20" customFormat="1" ht="17.100000000000001" customHeight="1" x14ac:dyDescent="0.3">
      <c r="B265" s="17"/>
      <c r="C265" s="17"/>
      <c r="E265" s="15"/>
      <c r="F265" s="29"/>
      <c r="G265" s="19"/>
      <c r="H265" s="18"/>
      <c r="I265" s="17"/>
      <c r="K265" s="22"/>
      <c r="L265" s="22"/>
      <c r="M265" s="19"/>
      <c r="N265" s="19"/>
    </row>
    <row r="266" spans="2:14" s="20" customFormat="1" ht="17.100000000000001" customHeight="1" x14ac:dyDescent="0.3">
      <c r="B266" s="17"/>
      <c r="C266" s="17"/>
      <c r="E266" s="15"/>
      <c r="F266" s="29"/>
      <c r="G266" s="19"/>
      <c r="H266" s="18"/>
      <c r="I266" s="17"/>
      <c r="K266" s="22"/>
      <c r="L266" s="22"/>
      <c r="M266" s="19"/>
      <c r="N266" s="19"/>
    </row>
    <row r="267" spans="2:14" s="20" customFormat="1" ht="17.100000000000001" customHeight="1" x14ac:dyDescent="0.3">
      <c r="B267" s="17"/>
      <c r="C267" s="17"/>
      <c r="E267" s="15"/>
      <c r="F267" s="29"/>
      <c r="G267" s="19"/>
      <c r="H267" s="18"/>
      <c r="I267" s="17"/>
      <c r="K267" s="22"/>
      <c r="L267" s="22"/>
      <c r="M267" s="19"/>
      <c r="N267" s="19"/>
    </row>
    <row r="268" spans="2:14" s="20" customFormat="1" ht="17.100000000000001" customHeight="1" x14ac:dyDescent="0.3">
      <c r="B268" s="17"/>
      <c r="C268" s="17"/>
      <c r="E268" s="15"/>
      <c r="F268" s="29"/>
      <c r="G268" s="19"/>
      <c r="H268" s="18"/>
      <c r="I268" s="17"/>
      <c r="K268" s="22"/>
      <c r="L268" s="22"/>
      <c r="M268" s="19"/>
      <c r="N268" s="19"/>
    </row>
    <row r="269" spans="2:14" s="20" customFormat="1" ht="17.100000000000001" customHeight="1" x14ac:dyDescent="0.3">
      <c r="B269" s="17"/>
      <c r="C269" s="17"/>
      <c r="E269" s="15"/>
      <c r="F269" s="29"/>
      <c r="G269" s="19"/>
      <c r="H269" s="18"/>
      <c r="I269" s="17"/>
      <c r="K269" s="22"/>
      <c r="L269" s="22"/>
      <c r="M269" s="19"/>
      <c r="N269" s="19"/>
    </row>
    <row r="270" spans="2:14" s="20" customFormat="1" ht="17.100000000000001" customHeight="1" x14ac:dyDescent="0.3">
      <c r="B270" s="17"/>
      <c r="C270" s="17"/>
      <c r="E270" s="15"/>
      <c r="F270" s="29"/>
      <c r="G270" s="19"/>
      <c r="H270" s="18"/>
      <c r="I270" s="17"/>
      <c r="K270" s="22"/>
      <c r="L270" s="22"/>
      <c r="M270" s="19"/>
      <c r="N270" s="19"/>
    </row>
    <row r="271" spans="2:14" s="20" customFormat="1" ht="17.100000000000001" customHeight="1" x14ac:dyDescent="0.3">
      <c r="B271" s="17"/>
      <c r="C271" s="17"/>
      <c r="E271" s="15"/>
      <c r="F271" s="29"/>
      <c r="G271" s="19"/>
      <c r="H271" s="18"/>
      <c r="I271" s="17"/>
      <c r="K271" s="22"/>
      <c r="L271" s="22"/>
      <c r="M271" s="19"/>
      <c r="N271" s="19"/>
    </row>
    <row r="272" spans="2:14" s="20" customFormat="1" ht="17.100000000000001" customHeight="1" x14ac:dyDescent="0.3">
      <c r="B272" s="17"/>
      <c r="C272" s="17"/>
      <c r="E272" s="15"/>
      <c r="F272" s="29"/>
      <c r="G272" s="19"/>
      <c r="H272" s="18"/>
      <c r="I272" s="17"/>
      <c r="K272" s="22"/>
      <c r="L272" s="22"/>
      <c r="M272" s="19"/>
      <c r="N272" s="19"/>
    </row>
    <row r="273" spans="2:14" s="20" customFormat="1" ht="17.100000000000001" customHeight="1" x14ac:dyDescent="0.3">
      <c r="B273" s="17"/>
      <c r="C273" s="17"/>
      <c r="E273" s="15"/>
      <c r="F273" s="29"/>
      <c r="G273" s="19"/>
      <c r="H273" s="18"/>
      <c r="I273" s="17"/>
      <c r="K273" s="22"/>
      <c r="L273" s="22"/>
      <c r="M273" s="19"/>
      <c r="N273" s="19"/>
    </row>
    <row r="274" spans="2:14" s="20" customFormat="1" ht="17.100000000000001" customHeight="1" x14ac:dyDescent="0.3">
      <c r="B274" s="17"/>
      <c r="C274" s="17"/>
      <c r="E274" s="15"/>
      <c r="F274" s="29"/>
      <c r="G274" s="19"/>
      <c r="H274" s="18"/>
      <c r="I274" s="17"/>
      <c r="K274" s="22"/>
      <c r="L274" s="22"/>
      <c r="M274" s="19"/>
      <c r="N274" s="19"/>
    </row>
    <row r="275" spans="2:14" s="20" customFormat="1" ht="17.100000000000001" customHeight="1" x14ac:dyDescent="0.3">
      <c r="B275" s="17"/>
      <c r="C275" s="17"/>
      <c r="E275" s="15"/>
      <c r="F275" s="29"/>
      <c r="G275" s="19"/>
      <c r="H275" s="18"/>
      <c r="I275" s="17"/>
      <c r="K275" s="22"/>
      <c r="L275" s="22"/>
      <c r="M275" s="19"/>
      <c r="N275" s="19"/>
    </row>
    <row r="276" spans="2:14" s="20" customFormat="1" ht="17.100000000000001" customHeight="1" x14ac:dyDescent="0.3">
      <c r="B276" s="17"/>
      <c r="C276" s="17"/>
      <c r="E276" s="15"/>
      <c r="F276" s="29"/>
      <c r="G276" s="19"/>
      <c r="H276" s="18"/>
      <c r="I276" s="17"/>
      <c r="K276" s="22"/>
      <c r="L276" s="22"/>
      <c r="M276" s="19"/>
      <c r="N276" s="19"/>
    </row>
    <row r="277" spans="2:14" s="20" customFormat="1" ht="17.100000000000001" customHeight="1" x14ac:dyDescent="0.3">
      <c r="B277" s="17"/>
      <c r="C277" s="17"/>
      <c r="E277" s="15"/>
      <c r="F277" s="29"/>
      <c r="G277" s="19"/>
      <c r="H277" s="18"/>
      <c r="I277" s="17"/>
      <c r="K277" s="22"/>
      <c r="L277" s="22"/>
      <c r="M277" s="19"/>
      <c r="N277" s="19"/>
    </row>
    <row r="278" spans="2:14" s="20" customFormat="1" ht="17.100000000000001" customHeight="1" x14ac:dyDescent="0.3">
      <c r="B278" s="17"/>
      <c r="C278" s="17"/>
      <c r="E278" s="15"/>
      <c r="F278" s="29"/>
      <c r="G278" s="19"/>
      <c r="H278" s="18"/>
      <c r="I278" s="17"/>
      <c r="K278" s="22"/>
      <c r="L278" s="22"/>
      <c r="M278" s="19"/>
      <c r="N278" s="19"/>
    </row>
    <row r="279" spans="2:14" s="20" customFormat="1" ht="17.100000000000001" customHeight="1" x14ac:dyDescent="0.3">
      <c r="B279" s="17"/>
      <c r="C279" s="17"/>
      <c r="E279" s="15"/>
      <c r="F279" s="29"/>
      <c r="G279" s="19"/>
      <c r="H279" s="18"/>
      <c r="I279" s="17"/>
      <c r="K279" s="22"/>
      <c r="L279" s="22"/>
      <c r="M279" s="19"/>
      <c r="N279" s="19"/>
    </row>
    <row r="280" spans="2:14" s="20" customFormat="1" ht="17.100000000000001" customHeight="1" x14ac:dyDescent="0.3">
      <c r="B280" s="17"/>
      <c r="C280" s="17"/>
      <c r="E280" s="15"/>
      <c r="F280" s="29"/>
      <c r="G280" s="19"/>
      <c r="H280" s="18"/>
      <c r="I280" s="17"/>
      <c r="K280" s="22"/>
      <c r="L280" s="22"/>
      <c r="M280" s="19"/>
      <c r="N280" s="19"/>
    </row>
    <row r="281" spans="2:14" s="20" customFormat="1" ht="17.100000000000001" customHeight="1" x14ac:dyDescent="0.3">
      <c r="B281" s="17"/>
      <c r="C281" s="17"/>
      <c r="E281" s="15"/>
      <c r="F281" s="29"/>
      <c r="G281" s="19"/>
      <c r="H281" s="18"/>
      <c r="I281" s="17"/>
      <c r="K281" s="22"/>
      <c r="L281" s="22"/>
      <c r="M281" s="19"/>
      <c r="N281" s="19"/>
    </row>
    <row r="282" spans="2:14" s="20" customFormat="1" ht="17.100000000000001" customHeight="1" x14ac:dyDescent="0.3">
      <c r="B282" s="17"/>
      <c r="C282" s="17"/>
      <c r="E282" s="15"/>
      <c r="F282" s="29"/>
      <c r="G282" s="19"/>
      <c r="H282" s="18"/>
      <c r="I282" s="17"/>
      <c r="K282" s="22"/>
      <c r="L282" s="22"/>
      <c r="M282" s="19"/>
      <c r="N282" s="19"/>
    </row>
    <row r="283" spans="2:14" s="20" customFormat="1" ht="17.100000000000001" customHeight="1" x14ac:dyDescent="0.3">
      <c r="B283" s="17"/>
      <c r="C283" s="17"/>
      <c r="E283" s="15"/>
      <c r="F283" s="29"/>
      <c r="G283" s="19"/>
      <c r="H283" s="18"/>
      <c r="I283" s="17"/>
      <c r="K283" s="22"/>
      <c r="L283" s="22"/>
      <c r="M283" s="19"/>
      <c r="N283" s="19"/>
    </row>
    <row r="284" spans="2:14" s="20" customFormat="1" ht="17.100000000000001" customHeight="1" x14ac:dyDescent="0.3">
      <c r="B284" s="17"/>
      <c r="C284" s="17"/>
      <c r="E284" s="15"/>
      <c r="F284" s="29"/>
      <c r="G284" s="19"/>
      <c r="H284" s="18"/>
      <c r="I284" s="17"/>
      <c r="K284" s="22"/>
      <c r="L284" s="22"/>
      <c r="M284" s="19"/>
      <c r="N284" s="19"/>
    </row>
    <row r="285" spans="2:14" s="20" customFormat="1" ht="17.100000000000001" customHeight="1" x14ac:dyDescent="0.3">
      <c r="B285" s="17"/>
      <c r="C285" s="17"/>
      <c r="E285" s="15"/>
      <c r="F285" s="29"/>
      <c r="G285" s="19"/>
      <c r="H285" s="18"/>
      <c r="I285" s="17"/>
      <c r="K285" s="22"/>
      <c r="L285" s="22"/>
      <c r="M285" s="19"/>
      <c r="N285" s="19"/>
    </row>
    <row r="286" spans="2:14" s="20" customFormat="1" ht="17.100000000000001" customHeight="1" x14ac:dyDescent="0.3">
      <c r="B286" s="17"/>
      <c r="C286" s="17"/>
      <c r="E286" s="15"/>
      <c r="F286" s="29"/>
      <c r="G286" s="19"/>
      <c r="H286" s="18"/>
      <c r="I286" s="17"/>
      <c r="K286" s="22"/>
      <c r="L286" s="22"/>
      <c r="M286" s="19"/>
      <c r="N286" s="19"/>
    </row>
    <row r="287" spans="2:14" s="20" customFormat="1" ht="17.100000000000001" customHeight="1" x14ac:dyDescent="0.3">
      <c r="B287" s="17"/>
      <c r="C287" s="17"/>
      <c r="E287" s="15"/>
      <c r="F287" s="29"/>
      <c r="G287" s="19"/>
      <c r="H287" s="18"/>
      <c r="I287" s="17"/>
      <c r="K287" s="22"/>
      <c r="L287" s="22"/>
      <c r="M287" s="19"/>
      <c r="N287" s="19"/>
    </row>
    <row r="288" spans="2:14" s="20" customFormat="1" ht="17.100000000000001" customHeight="1" x14ac:dyDescent="0.3">
      <c r="B288" s="17"/>
      <c r="C288" s="17"/>
      <c r="E288" s="15"/>
      <c r="F288" s="29"/>
      <c r="G288" s="19"/>
      <c r="H288" s="18"/>
      <c r="I288" s="17"/>
      <c r="K288" s="22"/>
      <c r="L288" s="22"/>
      <c r="M288" s="19"/>
      <c r="N288" s="19"/>
    </row>
    <row r="289" spans="2:14" s="20" customFormat="1" ht="17.100000000000001" customHeight="1" x14ac:dyDescent="0.3">
      <c r="B289" s="17"/>
      <c r="C289" s="17"/>
      <c r="E289" s="15"/>
      <c r="F289" s="29"/>
      <c r="G289" s="19"/>
      <c r="H289" s="18"/>
      <c r="I289" s="17"/>
      <c r="K289" s="22"/>
      <c r="L289" s="22"/>
      <c r="M289" s="19"/>
      <c r="N289" s="19"/>
    </row>
    <row r="290" spans="2:14" s="20" customFormat="1" ht="17.100000000000001" customHeight="1" x14ac:dyDescent="0.3">
      <c r="B290" s="17"/>
      <c r="C290" s="17"/>
      <c r="E290" s="15"/>
      <c r="F290" s="29"/>
      <c r="G290" s="19"/>
      <c r="H290" s="18"/>
      <c r="I290" s="17"/>
      <c r="K290" s="22"/>
      <c r="L290" s="22"/>
      <c r="M290" s="19"/>
      <c r="N290" s="19"/>
    </row>
    <row r="291" spans="2:14" s="20" customFormat="1" ht="17.100000000000001" customHeight="1" x14ac:dyDescent="0.3">
      <c r="B291" s="17"/>
      <c r="C291" s="17"/>
      <c r="E291" s="15"/>
      <c r="F291" s="29"/>
      <c r="G291" s="19"/>
      <c r="H291" s="18"/>
      <c r="I291" s="17"/>
      <c r="K291" s="22"/>
      <c r="L291" s="22"/>
      <c r="M291" s="19"/>
      <c r="N291" s="19"/>
    </row>
    <row r="292" spans="2:14" s="20" customFormat="1" ht="17.100000000000001" customHeight="1" x14ac:dyDescent="0.3">
      <c r="B292" s="17"/>
      <c r="C292" s="17"/>
      <c r="E292" s="15"/>
      <c r="F292" s="29"/>
      <c r="G292" s="19"/>
      <c r="H292" s="18"/>
      <c r="I292" s="17"/>
      <c r="K292" s="22"/>
      <c r="L292" s="22"/>
      <c r="M292" s="19"/>
      <c r="N292" s="19"/>
    </row>
    <row r="293" spans="2:14" s="20" customFormat="1" ht="17.100000000000001" customHeight="1" x14ac:dyDescent="0.3">
      <c r="B293" s="17"/>
      <c r="C293" s="17"/>
      <c r="E293" s="15"/>
      <c r="F293" s="29"/>
      <c r="G293" s="19"/>
      <c r="H293" s="18"/>
      <c r="I293" s="17"/>
      <c r="K293" s="22"/>
      <c r="L293" s="22"/>
      <c r="M293" s="19"/>
      <c r="N293" s="19"/>
    </row>
    <row r="294" spans="2:14" s="21" customFormat="1" ht="17.100000000000001" customHeight="1" x14ac:dyDescent="0.3">
      <c r="B294" s="12"/>
      <c r="C294" s="12"/>
      <c r="E294" s="10"/>
      <c r="F294" s="31"/>
      <c r="G294" s="13"/>
      <c r="H294" s="18"/>
      <c r="I294" s="12"/>
      <c r="K294" s="39"/>
      <c r="L294" s="39"/>
      <c r="M294" s="13"/>
      <c r="N294" s="13"/>
    </row>
    <row r="295" spans="2:14" s="21" customFormat="1" ht="17.100000000000001" customHeight="1" x14ac:dyDescent="0.3">
      <c r="B295" s="12"/>
      <c r="C295" s="12"/>
      <c r="E295" s="10"/>
      <c r="F295" s="31"/>
      <c r="G295" s="13"/>
      <c r="H295" s="18"/>
      <c r="I295" s="12"/>
      <c r="K295" s="39"/>
      <c r="L295" s="39"/>
      <c r="M295" s="13"/>
      <c r="N295" s="13"/>
    </row>
    <row r="296" spans="2:14" s="21" customFormat="1" ht="17.100000000000001" customHeight="1" x14ac:dyDescent="0.3">
      <c r="B296" s="12"/>
      <c r="C296" s="12"/>
      <c r="E296" s="10"/>
      <c r="F296" s="31"/>
      <c r="G296" s="13"/>
      <c r="H296" s="18"/>
      <c r="I296" s="12"/>
      <c r="K296" s="39"/>
      <c r="L296" s="39"/>
      <c r="M296" s="13"/>
      <c r="N296" s="13"/>
    </row>
    <row r="297" spans="2:14" s="21" customFormat="1" ht="17.100000000000001" customHeight="1" x14ac:dyDescent="0.3">
      <c r="B297" s="12"/>
      <c r="C297" s="12"/>
      <c r="E297" s="10"/>
      <c r="F297" s="31"/>
      <c r="G297" s="13"/>
      <c r="H297" s="18"/>
      <c r="I297" s="12"/>
      <c r="K297" s="39"/>
      <c r="L297" s="39"/>
      <c r="M297" s="13"/>
      <c r="N297" s="13"/>
    </row>
    <row r="298" spans="2:14" s="21" customFormat="1" ht="17.100000000000001" customHeight="1" x14ac:dyDescent="0.3">
      <c r="B298" s="12"/>
      <c r="C298" s="12"/>
      <c r="E298" s="10"/>
      <c r="F298" s="31"/>
      <c r="G298" s="13"/>
      <c r="H298" s="18"/>
      <c r="I298" s="12"/>
      <c r="K298" s="39"/>
      <c r="L298" s="39"/>
      <c r="M298" s="13"/>
      <c r="N298" s="13"/>
    </row>
    <row r="299" spans="2:14" s="21" customFormat="1" ht="17.100000000000001" customHeight="1" x14ac:dyDescent="0.3">
      <c r="B299" s="12"/>
      <c r="C299" s="12"/>
      <c r="E299" s="10"/>
      <c r="F299" s="31"/>
      <c r="G299" s="13"/>
      <c r="H299" s="18"/>
      <c r="I299" s="12"/>
      <c r="K299" s="39"/>
      <c r="L299" s="39"/>
      <c r="M299" s="13"/>
      <c r="N299" s="13"/>
    </row>
    <row r="300" spans="2:14" s="21" customFormat="1" ht="17.100000000000001" customHeight="1" x14ac:dyDescent="0.3">
      <c r="B300" s="12"/>
      <c r="C300" s="12"/>
      <c r="E300" s="10"/>
      <c r="F300" s="31"/>
      <c r="G300" s="13"/>
      <c r="H300" s="18"/>
      <c r="I300" s="12"/>
      <c r="K300" s="39"/>
      <c r="L300" s="39"/>
      <c r="M300" s="13"/>
      <c r="N300" s="13"/>
    </row>
    <row r="301" spans="2:14" s="21" customFormat="1" ht="17.100000000000001" customHeight="1" x14ac:dyDescent="0.3">
      <c r="B301" s="12"/>
      <c r="C301" s="12"/>
      <c r="E301" s="10"/>
      <c r="F301" s="31"/>
      <c r="G301" s="13"/>
      <c r="H301" s="18"/>
      <c r="I301" s="12"/>
      <c r="K301" s="39"/>
      <c r="L301" s="39"/>
      <c r="M301" s="13"/>
      <c r="N301" s="13"/>
    </row>
    <row r="302" spans="2:14" s="21" customFormat="1" ht="17.100000000000001" customHeight="1" x14ac:dyDescent="0.3">
      <c r="B302" s="12"/>
      <c r="C302" s="12"/>
      <c r="E302" s="10"/>
      <c r="F302" s="31"/>
      <c r="G302" s="13"/>
      <c r="H302" s="18"/>
      <c r="I302" s="12"/>
      <c r="K302" s="39"/>
      <c r="L302" s="39"/>
      <c r="M302" s="13"/>
      <c r="N302" s="13"/>
    </row>
    <row r="303" spans="2:14" s="21" customFormat="1" ht="17.100000000000001" customHeight="1" x14ac:dyDescent="0.3">
      <c r="B303" s="12"/>
      <c r="C303" s="12"/>
      <c r="E303" s="10"/>
      <c r="F303" s="31"/>
      <c r="G303" s="13"/>
      <c r="H303" s="18"/>
      <c r="I303" s="12"/>
      <c r="K303" s="39"/>
      <c r="L303" s="39"/>
      <c r="M303" s="13"/>
      <c r="N303" s="13"/>
    </row>
    <row r="304" spans="2:14" s="21" customFormat="1" ht="17.100000000000001" customHeight="1" x14ac:dyDescent="0.3">
      <c r="B304" s="12"/>
      <c r="C304" s="12"/>
      <c r="E304" s="10"/>
      <c r="F304" s="31"/>
      <c r="G304" s="13"/>
      <c r="H304" s="18"/>
      <c r="I304" s="12"/>
      <c r="K304" s="39"/>
      <c r="L304" s="39"/>
      <c r="M304" s="13"/>
      <c r="N304" s="13"/>
    </row>
    <row r="305" spans="2:14" s="21" customFormat="1" ht="17.100000000000001" customHeight="1" x14ac:dyDescent="0.3">
      <c r="B305" s="12"/>
      <c r="C305" s="12"/>
      <c r="E305" s="10"/>
      <c r="F305" s="31"/>
      <c r="G305" s="13"/>
      <c r="H305" s="18"/>
      <c r="I305" s="12"/>
      <c r="K305" s="39"/>
      <c r="L305" s="39"/>
      <c r="M305" s="13"/>
      <c r="N305" s="13"/>
    </row>
    <row r="306" spans="2:14" s="21" customFormat="1" ht="17.100000000000001" customHeight="1" x14ac:dyDescent="0.3">
      <c r="B306" s="12"/>
      <c r="C306" s="12"/>
      <c r="E306" s="10"/>
      <c r="F306" s="31"/>
      <c r="G306" s="13"/>
      <c r="H306" s="18"/>
      <c r="I306" s="12"/>
      <c r="K306" s="39"/>
      <c r="L306" s="39"/>
      <c r="M306" s="13"/>
      <c r="N306" s="13"/>
    </row>
    <row r="307" spans="2:14" s="21" customFormat="1" ht="17.100000000000001" customHeight="1" x14ac:dyDescent="0.3">
      <c r="B307" s="12"/>
      <c r="C307" s="12"/>
      <c r="E307" s="10"/>
      <c r="F307" s="31"/>
      <c r="G307" s="13"/>
      <c r="H307" s="18"/>
      <c r="I307" s="12"/>
      <c r="K307" s="39"/>
      <c r="L307" s="39"/>
      <c r="M307" s="13"/>
      <c r="N307" s="13"/>
    </row>
    <row r="308" spans="2:14" s="21" customFormat="1" ht="17.100000000000001" customHeight="1" x14ac:dyDescent="0.3">
      <c r="B308" s="12"/>
      <c r="C308" s="12"/>
      <c r="E308" s="10"/>
      <c r="F308" s="31"/>
      <c r="G308" s="13"/>
      <c r="H308" s="18"/>
      <c r="I308" s="12"/>
      <c r="K308" s="39"/>
      <c r="L308" s="39"/>
      <c r="M308" s="13"/>
      <c r="N308" s="13"/>
    </row>
    <row r="309" spans="2:14" s="21" customFormat="1" ht="17.100000000000001" customHeight="1" x14ac:dyDescent="0.3">
      <c r="B309" s="12"/>
      <c r="C309" s="12"/>
      <c r="E309" s="10"/>
      <c r="F309" s="31"/>
      <c r="G309" s="13"/>
      <c r="H309" s="18"/>
      <c r="I309" s="12"/>
      <c r="K309" s="39"/>
      <c r="L309" s="39"/>
      <c r="M309" s="13"/>
      <c r="N309" s="13"/>
    </row>
    <row r="310" spans="2:14" s="21" customFormat="1" ht="17.100000000000001" customHeight="1" x14ac:dyDescent="0.3">
      <c r="B310" s="12"/>
      <c r="C310" s="12"/>
      <c r="E310" s="10"/>
      <c r="F310" s="31"/>
      <c r="G310" s="13"/>
      <c r="H310" s="18"/>
      <c r="I310" s="12"/>
      <c r="K310" s="39"/>
      <c r="L310" s="39"/>
      <c r="M310" s="13"/>
      <c r="N310" s="13"/>
    </row>
    <row r="311" spans="2:14" s="21" customFormat="1" ht="17.100000000000001" customHeight="1" x14ac:dyDescent="0.3">
      <c r="B311" s="12"/>
      <c r="C311" s="12"/>
      <c r="E311" s="10"/>
      <c r="F311" s="31"/>
      <c r="G311" s="13"/>
      <c r="H311" s="18"/>
      <c r="I311" s="12"/>
      <c r="K311" s="39"/>
      <c r="L311" s="39"/>
      <c r="M311" s="13"/>
      <c r="N311" s="13"/>
    </row>
    <row r="312" spans="2:14" s="21" customFormat="1" ht="17.100000000000001" customHeight="1" x14ac:dyDescent="0.3">
      <c r="B312" s="12"/>
      <c r="C312" s="12"/>
      <c r="E312" s="10"/>
      <c r="F312" s="31"/>
      <c r="G312" s="13"/>
      <c r="H312" s="18"/>
      <c r="I312" s="12"/>
      <c r="K312" s="39"/>
      <c r="L312" s="39"/>
      <c r="M312" s="13"/>
      <c r="N312" s="13"/>
    </row>
    <row r="313" spans="2:14" s="21" customFormat="1" ht="17.100000000000001" customHeight="1" x14ac:dyDescent="0.3">
      <c r="B313" s="12"/>
      <c r="C313" s="12"/>
      <c r="E313" s="10"/>
      <c r="F313" s="31"/>
      <c r="G313" s="13"/>
      <c r="H313" s="18"/>
      <c r="I313" s="12"/>
      <c r="K313" s="39"/>
      <c r="L313" s="39"/>
      <c r="M313" s="13"/>
      <c r="N313" s="13"/>
    </row>
    <row r="314" spans="2:14" s="21" customFormat="1" ht="17.100000000000001" customHeight="1" x14ac:dyDescent="0.3">
      <c r="B314" s="12"/>
      <c r="C314" s="12"/>
      <c r="E314" s="10"/>
      <c r="F314" s="31"/>
      <c r="G314" s="13"/>
      <c r="H314" s="18"/>
      <c r="I314" s="12"/>
      <c r="K314" s="39"/>
      <c r="L314" s="39"/>
      <c r="M314" s="13"/>
      <c r="N314" s="13"/>
    </row>
    <row r="315" spans="2:14" s="21" customFormat="1" ht="17.100000000000001" customHeight="1" x14ac:dyDescent="0.3">
      <c r="B315" s="12"/>
      <c r="C315" s="12"/>
      <c r="E315" s="10"/>
      <c r="F315" s="31"/>
      <c r="G315" s="13"/>
      <c r="H315" s="18"/>
      <c r="I315" s="12"/>
      <c r="K315" s="39"/>
      <c r="L315" s="39"/>
      <c r="M315" s="13"/>
      <c r="N315" s="13"/>
    </row>
    <row r="316" spans="2:14" s="21" customFormat="1" ht="17.100000000000001" customHeight="1" x14ac:dyDescent="0.3">
      <c r="B316" s="12"/>
      <c r="C316" s="12"/>
      <c r="E316" s="10"/>
      <c r="F316" s="31"/>
      <c r="G316" s="13"/>
      <c r="H316" s="18"/>
      <c r="I316" s="12"/>
      <c r="K316" s="39"/>
      <c r="L316" s="39"/>
      <c r="M316" s="13"/>
      <c r="N316" s="13"/>
    </row>
    <row r="317" spans="2:14" s="21" customFormat="1" ht="17.100000000000001" customHeight="1" x14ac:dyDescent="0.3">
      <c r="B317" s="12"/>
      <c r="C317" s="12"/>
      <c r="E317" s="10"/>
      <c r="F317" s="31"/>
      <c r="G317" s="13"/>
      <c r="H317" s="18"/>
      <c r="I317" s="12"/>
      <c r="K317" s="39"/>
      <c r="L317" s="39"/>
      <c r="M317" s="13"/>
      <c r="N317" s="13"/>
    </row>
    <row r="318" spans="2:14" s="21" customFormat="1" ht="17.100000000000001" customHeight="1" x14ac:dyDescent="0.3">
      <c r="B318" s="12"/>
      <c r="C318" s="12"/>
      <c r="E318" s="10"/>
      <c r="F318" s="31"/>
      <c r="G318" s="13"/>
      <c r="H318" s="18"/>
      <c r="I318" s="12"/>
      <c r="K318" s="39"/>
      <c r="L318" s="39"/>
      <c r="M318" s="13"/>
      <c r="N318" s="13"/>
    </row>
    <row r="319" spans="2:14" s="21" customFormat="1" ht="17.100000000000001" customHeight="1" x14ac:dyDescent="0.3">
      <c r="B319" s="12"/>
      <c r="C319" s="12"/>
      <c r="E319" s="10"/>
      <c r="F319" s="31"/>
      <c r="G319" s="13"/>
      <c r="H319" s="18"/>
      <c r="I319" s="12"/>
      <c r="K319" s="39"/>
      <c r="L319" s="39"/>
      <c r="M319" s="13"/>
      <c r="N319" s="13"/>
    </row>
    <row r="320" spans="2:14" s="21" customFormat="1" ht="17.100000000000001" customHeight="1" x14ac:dyDescent="0.3">
      <c r="B320" s="12"/>
      <c r="C320" s="12"/>
      <c r="E320" s="10"/>
      <c r="F320" s="31"/>
      <c r="G320" s="13"/>
      <c r="H320" s="18"/>
      <c r="I320" s="12"/>
      <c r="K320" s="39"/>
      <c r="L320" s="39"/>
      <c r="M320" s="13"/>
      <c r="N320" s="13"/>
    </row>
    <row r="321" spans="2:14" s="21" customFormat="1" ht="17.100000000000001" customHeight="1" x14ac:dyDescent="0.3">
      <c r="B321" s="12"/>
      <c r="C321" s="12"/>
      <c r="E321" s="10"/>
      <c r="F321" s="31"/>
      <c r="G321" s="13"/>
      <c r="H321" s="18"/>
      <c r="I321" s="12"/>
      <c r="K321" s="39"/>
      <c r="L321" s="39"/>
      <c r="M321" s="13"/>
      <c r="N321" s="13"/>
    </row>
    <row r="322" spans="2:14" s="21" customFormat="1" ht="12" customHeight="1" x14ac:dyDescent="0.3">
      <c r="B322" s="12"/>
      <c r="C322" s="12"/>
      <c r="E322" s="10"/>
      <c r="F322" s="31"/>
      <c r="G322" s="13"/>
      <c r="H322" s="18"/>
      <c r="I322" s="12"/>
      <c r="K322" s="39"/>
      <c r="L322" s="39"/>
      <c r="M322" s="13"/>
      <c r="N322" s="13"/>
    </row>
    <row r="323" spans="2:14" s="21" customFormat="1" ht="12" customHeight="1" x14ac:dyDescent="0.3">
      <c r="B323" s="12"/>
      <c r="C323" s="12"/>
      <c r="E323" s="10"/>
      <c r="F323" s="31"/>
      <c r="G323" s="13"/>
      <c r="H323" s="18"/>
      <c r="I323" s="12"/>
      <c r="K323" s="39"/>
      <c r="L323" s="39"/>
      <c r="M323" s="13"/>
      <c r="N323" s="13"/>
    </row>
    <row r="324" spans="2:14" s="9" customFormat="1" ht="13.5" customHeight="1" x14ac:dyDescent="0.3">
      <c r="B324" s="7"/>
      <c r="C324" s="7"/>
      <c r="E324" s="5"/>
      <c r="F324" s="32"/>
      <c r="G324" s="8"/>
      <c r="H324" s="18"/>
      <c r="I324" s="7"/>
      <c r="K324" s="40"/>
      <c r="L324" s="40"/>
      <c r="M324" s="8"/>
      <c r="N324" s="8"/>
    </row>
    <row r="325" spans="2:14" s="9" customFormat="1" ht="13.5" customHeight="1" x14ac:dyDescent="0.3">
      <c r="B325" s="7"/>
      <c r="C325" s="7"/>
      <c r="E325" s="5"/>
      <c r="F325" s="32"/>
      <c r="G325" s="8"/>
      <c r="H325" s="18"/>
      <c r="I325" s="7"/>
      <c r="K325" s="40"/>
      <c r="L325" s="40"/>
      <c r="M325" s="8"/>
      <c r="N325" s="8"/>
    </row>
    <row r="326" spans="2:14" s="9" customFormat="1" ht="13.5" customHeight="1" x14ac:dyDescent="0.3">
      <c r="B326" s="7"/>
      <c r="C326" s="7"/>
      <c r="E326" s="5"/>
      <c r="F326" s="32"/>
      <c r="G326" s="8"/>
      <c r="H326" s="18"/>
      <c r="I326" s="7"/>
      <c r="K326" s="40"/>
      <c r="L326" s="40"/>
      <c r="M326" s="8"/>
      <c r="N326" s="8"/>
    </row>
    <row r="327" spans="2:14" s="9" customFormat="1" ht="13.5" customHeight="1" x14ac:dyDescent="0.3">
      <c r="B327" s="7"/>
      <c r="C327" s="7"/>
      <c r="E327" s="5"/>
      <c r="F327" s="32"/>
      <c r="G327" s="8"/>
      <c r="H327" s="18"/>
      <c r="I327" s="7"/>
      <c r="K327" s="40"/>
      <c r="L327" s="40"/>
      <c r="M327" s="8"/>
      <c r="N327" s="8"/>
    </row>
    <row r="328" spans="2:14" s="9" customFormat="1" ht="13.5" x14ac:dyDescent="0.3">
      <c r="B328" s="7"/>
      <c r="C328" s="7"/>
      <c r="E328" s="5"/>
      <c r="F328" s="32"/>
      <c r="G328" s="8"/>
      <c r="H328" s="18"/>
      <c r="I328" s="7"/>
      <c r="K328" s="40"/>
      <c r="L328" s="40"/>
      <c r="M328" s="8"/>
      <c r="N328" s="8"/>
    </row>
    <row r="329" spans="2:14" s="9" customFormat="1" ht="13.5" x14ac:dyDescent="0.3">
      <c r="B329" s="7"/>
      <c r="C329" s="7"/>
      <c r="E329" s="5"/>
      <c r="F329" s="32"/>
      <c r="G329" s="8"/>
      <c r="H329" s="8"/>
      <c r="I329" s="7"/>
      <c r="K329" s="40"/>
      <c r="L329" s="40"/>
      <c r="M329" s="8"/>
      <c r="N329" s="8"/>
    </row>
    <row r="330" spans="2:14" s="9" customFormat="1" ht="13.5" x14ac:dyDescent="0.3">
      <c r="B330" s="7"/>
      <c r="C330" s="7"/>
      <c r="E330" s="5"/>
      <c r="F330" s="32"/>
      <c r="G330" s="8"/>
      <c r="H330" s="8"/>
      <c r="I330" s="7"/>
      <c r="K330" s="40"/>
      <c r="L330" s="40"/>
      <c r="M330" s="8"/>
      <c r="N330" s="8"/>
    </row>
    <row r="331" spans="2:14" s="9" customFormat="1" ht="13.5" x14ac:dyDescent="0.3">
      <c r="B331" s="7"/>
      <c r="C331" s="7"/>
      <c r="E331" s="5"/>
      <c r="F331" s="32"/>
      <c r="G331" s="8"/>
      <c r="H331" s="8"/>
      <c r="I331" s="7"/>
      <c r="K331" s="40"/>
      <c r="L331" s="40"/>
      <c r="M331" s="8"/>
      <c r="N331" s="8"/>
    </row>
    <row r="332" spans="2:14" s="9" customFormat="1" ht="13.5" x14ac:dyDescent="0.3">
      <c r="B332" s="7"/>
      <c r="C332" s="7"/>
      <c r="E332" s="5"/>
      <c r="F332" s="32"/>
      <c r="G332" s="8"/>
      <c r="H332" s="8"/>
      <c r="I332" s="7"/>
      <c r="K332" s="40"/>
      <c r="L332" s="40"/>
      <c r="M332" s="8"/>
      <c r="N332" s="8"/>
    </row>
    <row r="333" spans="2:14" s="9" customFormat="1" ht="13.5" x14ac:dyDescent="0.3">
      <c r="B333" s="7"/>
      <c r="C333" s="7"/>
      <c r="E333" s="5"/>
      <c r="F333" s="32"/>
      <c r="G333" s="8"/>
      <c r="H333" s="8"/>
      <c r="I333" s="7"/>
      <c r="K333" s="40"/>
      <c r="L333" s="40"/>
      <c r="M333" s="8"/>
      <c r="N333" s="8"/>
    </row>
    <row r="334" spans="2:14" x14ac:dyDescent="0.3">
      <c r="H334" s="8"/>
    </row>
    <row r="335" spans="2:14" x14ac:dyDescent="0.3">
      <c r="H335" s="8"/>
    </row>
    <row r="336" spans="2:14" x14ac:dyDescent="0.3">
      <c r="H336" s="8"/>
    </row>
    <row r="337" spans="1:16" x14ac:dyDescent="0.3">
      <c r="H337" s="8"/>
    </row>
    <row r="338" spans="1:16" s="3" customFormat="1" x14ac:dyDescent="0.3">
      <c r="A338"/>
      <c r="D338"/>
      <c r="E338" s="1"/>
      <c r="F338" s="28"/>
      <c r="G338" s="4"/>
      <c r="H338" s="8"/>
      <c r="J338"/>
      <c r="K338" s="37"/>
      <c r="L338" s="37"/>
      <c r="M338" s="4"/>
      <c r="N338" s="4"/>
      <c r="O338"/>
      <c r="P338"/>
    </row>
    <row r="339" spans="1:16" s="3" customFormat="1" x14ac:dyDescent="0.3">
      <c r="A339"/>
      <c r="D339"/>
      <c r="E339" s="1"/>
      <c r="F339" s="28"/>
      <c r="G339" s="4"/>
      <c r="H339" s="8"/>
      <c r="J339"/>
      <c r="K339" s="37"/>
      <c r="L339" s="37"/>
      <c r="M339" s="4"/>
      <c r="N339" s="4"/>
      <c r="O339"/>
      <c r="P339"/>
    </row>
    <row r="340" spans="1:16" s="3" customFormat="1" x14ac:dyDescent="0.3">
      <c r="A340"/>
      <c r="D340"/>
      <c r="E340" s="1"/>
      <c r="F340" s="28"/>
      <c r="G340" s="4"/>
      <c r="H340" s="8"/>
      <c r="J340"/>
      <c r="K340" s="37"/>
      <c r="L340" s="37"/>
      <c r="M340" s="4"/>
      <c r="N340" s="4"/>
      <c r="O340"/>
      <c r="P340"/>
    </row>
    <row r="341" spans="1:16" s="3" customFormat="1" x14ac:dyDescent="0.3">
      <c r="A341"/>
      <c r="D341"/>
      <c r="E341" s="1"/>
      <c r="F341" s="28"/>
      <c r="G341" s="4"/>
      <c r="H341" s="8"/>
      <c r="J341"/>
      <c r="K341" s="37"/>
      <c r="L341" s="37"/>
      <c r="M341" s="4"/>
      <c r="N341" s="4"/>
      <c r="O341"/>
      <c r="P341"/>
    </row>
  </sheetData>
  <sheetProtection formatCells="0" formatColumns="0" formatRows="0" insertColumns="0"/>
  <autoFilter ref="A3:P328" xr:uid="{00000000-0009-0000-0000-000008000000}"/>
  <mergeCells count="20">
    <mergeCell ref="E19:F19"/>
    <mergeCell ref="D14:F14"/>
    <mergeCell ref="N2:N3"/>
    <mergeCell ref="O2:O3"/>
    <mergeCell ref="P2:P3"/>
    <mergeCell ref="E7:F7"/>
    <mergeCell ref="E11:F11"/>
    <mergeCell ref="G13:H13"/>
    <mergeCell ref="G2:H2"/>
    <mergeCell ref="I2:I3"/>
    <mergeCell ref="J2:J3"/>
    <mergeCell ref="K2:K3"/>
    <mergeCell ref="L2:L3"/>
    <mergeCell ref="M2:M3"/>
    <mergeCell ref="F2:F3"/>
    <mergeCell ref="A2:A3"/>
    <mergeCell ref="B2:B3"/>
    <mergeCell ref="C2:C3"/>
    <mergeCell ref="D2:D3"/>
    <mergeCell ref="E2:E3"/>
  </mergeCells>
  <phoneticPr fontId="2" type="noConversion"/>
  <conditionalFormatting sqref="H4:H12">
    <cfRule type="cellIs" dxfId="3" priority="3" operator="greaterThan">
      <formula>50000000</formula>
    </cfRule>
  </conditionalFormatting>
  <conditionalFormatting sqref="H14:H319">
    <cfRule type="cellIs" dxfId="2" priority="1" operator="greaterThan">
      <formula>50000000</formula>
    </cfRule>
  </conditionalFormatting>
  <conditionalFormatting sqref="P1:P1048576">
    <cfRule type="containsText" dxfId="1" priority="4" operator="containsText" text="원도급">
      <formula>NOT(ISERROR(SEARCH("원도급",P1)))</formula>
    </cfRule>
    <cfRule type="containsText" dxfId="0" priority="5" operator="containsText" text="하도급">
      <formula>NOT(ISERROR(SEARCH("하도급",P1)))</formula>
    </cfRule>
  </conditionalFormatting>
  <hyperlinks>
    <hyperlink ref="L8" r:id="rId1" display="\\Desktop-yang\e\(주)대호스토퍼\0영업사항(견적서)\AA지역별 견적현황\2021년\전라남도\광양공업용수도(450A, 1650A)-수공여수권, 남경중공업(450A),동남종합건설(1650A)\(고흥)남계어울마당 450AxD-D-고흥군,경성건설" xr:uid="{00000000-0004-0000-0800-000000000000}"/>
    <hyperlink ref="L5" r:id="rId2" display="\\Desktop-yang\e\(주)대호스토퍼\0영업사항(견적서)\AA지역별 견적현황\2021년\충청북도\충주(이천~문경, 200A~1350A)-한국철도시설공단,현대건설,대성기공" xr:uid="{00000000-0004-0000-0800-000001000000}"/>
    <hyperlink ref="L4" r:id="rId3" display="\\Desktop-yang\e\(주)대호스토퍼\0영업사항(견적서)\AA지역별 견적현황\2022년\경상북도\포항공업용수도2차(1350A PC관 외)-수공,화인종합건설\" xr:uid="{00000000-0004-0000-0800-000002000000}"/>
    <hyperlink ref="L9" r:id="rId4" display="\\Desktop-yang\e\(주)대호스토퍼\0영업사항(견적서)\AA지역별 견적현황\2021년\전라남도\광양공업용수도(450A, 1650A)-수공여수권, 남경중공업(450A),동남종합건설(1650A)\(고흥)남계어울마당 450AxD-D-고흥군,경성건설" xr:uid="{00000000-0004-0000-0800-000003000000}"/>
    <hyperlink ref="L10" r:id="rId5" display="\\Desktop-yang\e\(주)대호스토퍼\0영업사항(견적서)\AA지역별 견적현황\2021년\전라남도\광양공업용수도(450A, 1650A)-수공여수권, 남경중공업(450A),동남종합건설(1650A)\(고흥)남계어울마당 450AxD-D-고흥군,경성건설" xr:uid="{00000000-0004-0000-0800-000004000000}"/>
  </hyperlinks>
  <pageMargins left="0.70866141732283472" right="0.70866141732283472" top="0.74803149606299213" bottom="0.74803149606299213" header="0.31496062992125984" footer="0.31496062992125984"/>
  <pageSetup paperSize="9" scale="10" orientation="landscape" verticalDpi="1200" r:id="rId6"/>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2021</vt:lpstr>
      <vt:lpstr>미수금</vt:lpstr>
      <vt:lpstr>Sheet1</vt:lpstr>
      <vt:lpstr>관로공사매출</vt:lpstr>
      <vt:lpstr>동진산업2024</vt:lpstr>
      <vt:lpstr>(2024공사外발행 )</vt:lpstr>
      <vt:lpstr>대호E&amp;C</vt:lpstr>
      <vt:lpstr>동진산업</vt:lpstr>
      <vt:lpstr>동진산업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lovely1002sr@naver.com</dc:creator>
  <cp:lastModifiedBy>승리 백</cp:lastModifiedBy>
  <cp:lastPrinted>2025-12-17T23:54:25Z</cp:lastPrinted>
  <dcterms:created xsi:type="dcterms:W3CDTF">2021-08-27T00:45:05Z</dcterms:created>
  <dcterms:modified xsi:type="dcterms:W3CDTF">2026-03-23T02:14:49Z</dcterms:modified>
</cp:coreProperties>
</file>